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worksheets/sheet9.xml" ContentType="application/vnd.openxmlformats-officedocument.spreadsheetml.worksheet+xml"/>
  <Override PartName="/xl/tables/table19.xml" ContentType="application/vnd.openxmlformats-officedocument.spreadsheetml.table+xml"/>
  <Override PartName="/xl/worksheets/sheet10.xml" ContentType="application/vnd.openxmlformats-officedocument.spreadsheetml.worksheet+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worksheets/sheet12.xml" ContentType="application/vnd.openxmlformats-officedocument.spreadsheetml.worksheet+xml"/>
  <Override PartName="/xl/tables/table22.xml" ContentType="application/vnd.openxmlformats-officedocument.spreadsheetml.table+xml"/>
  <Override PartName="/xl/worksheets/sheet13.xml" ContentType="application/vnd.openxmlformats-officedocument.spreadsheetml.worksheet+xml"/>
  <Override PartName="/xl/tables/table23.xml" ContentType="application/vnd.openxmlformats-officedocument.spreadsheetml.table+xml"/>
  <Override PartName="/xl/worksheets/sheet14.xml" ContentType="application/vnd.openxmlformats-officedocument.spreadsheetml.worksheet+xml"/>
  <Override PartName="/xl/tables/table2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5.xml" ContentType="application/vnd.openxmlformats-officedocument.spreadsheetml.table+xml"/>
  <Override PartName="/xl/worksheets/sheet18.xml" ContentType="application/vnd.openxmlformats-officedocument.spreadsheetml.worksheet+xml"/>
  <Override PartName="/xl/tables/table26.xml" ContentType="application/vnd.openxmlformats-officedocument.spreadsheetml.table+xml"/>
  <Override PartName="/xl/worksheets/sheet19.xml" ContentType="application/vnd.openxmlformats-officedocument.spreadsheetml.worksheet+xml"/>
  <Override PartName="/xl/tables/table27.xml" ContentType="application/vnd.openxmlformats-officedocument.spreadsheetml.table+xml"/>
  <Override PartName="/xl/worksheets/sheet20.xml" ContentType="application/vnd.openxmlformats-officedocument.spreadsheetml.worksheet+xml"/>
  <Override PartName="/xl/tables/table28.xml" ContentType="application/vnd.openxmlformats-officedocument.spreadsheetml.table+xml"/>
  <Override PartName="/xl/worksheets/sheet2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22.xml" ContentType="application/vnd.openxmlformats-officedocument.spreadsheetml.worksheet+xml"/>
  <Override PartName="/xl/tables/table3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Cover" sheetId="1" state="visible" r:id="rId1"/>
    <sheet name="1_TOC" sheetId="2" state="visible" r:id="rId2"/>
    <sheet name="3_Instructions" sheetId="3" state="visible" r:id="rId3"/>
    <sheet name="2_InputMap" sheetId="4" state="visible" r:id="rId4"/>
    <sheet name="4_Assumptions" sheetId="5" state="visible" r:id="rId5"/>
    <sheet name="5_EnvironmentalDrivers" sheetId="6" state="visible" r:id="rId6"/>
    <sheet name="6_Scenarios" sheetId="7" state="visible" r:id="rId7"/>
    <sheet name="7_ServiceModels" sheetId="8" state="visible" r:id="rId8"/>
    <sheet name="8_Calc_Timeline" sheetId="9" state="visible" r:id="rId9"/>
    <sheet name="9_Calc_Kinetics" sheetId="10" state="visible" r:id="rId10"/>
    <sheet name="10_Calc_Stochastic" sheetId="11" state="visible" r:id="rId11"/>
    <sheet name="11_Calc_Compliance" sheetId="12" state="visible" r:id="rId12"/>
    <sheet name="12_Calc_Value" sheetId="13" state="visible" r:id="rId13"/>
    <sheet name="13_Calc_Costs" sheetId="14" state="visible" r:id="rId14"/>
    <sheet name="14_Calc_Sim" sheetId="15" state="visible" r:id="rId15"/>
    <sheet name="15_PL_Monthly" sheetId="16" state="visible" r:id="rId16"/>
    <sheet name="16_PL_Annual" sheetId="17" state="visible" r:id="rId17"/>
    <sheet name="17_CashFlow" sheetId="18" state="visible" r:id="rId18"/>
    <sheet name="18_UnitEconomics" sheetId="19" state="visible" r:id="rId19"/>
    <sheet name="19_Sensitivity" sheetId="20" state="visible" r:id="rId20"/>
    <sheet name="20_Dashboard" sheetId="21" state="visible" r:id="rId21"/>
    <sheet name="21_Checks" sheetId="22" state="visible" r:id="rId22"/>
  </sheets>
  <definedNames>
    <definedName name="Testing_Option">'1_TOC'!$B$10</definedName>
    <definedName name="Scenario_Select">'1_TOC'!$B$11</definedName>
    <definedName name="Discount_Rate">'1_TOC'!$B$12</definedName>
    <definedName name="Projection_Years">'1_TOC'!$B$13</definedName>
    <definedName name="Base_Year">'1_TOC'!$B$14</definedName>
    <definedName name="Season_Start_Month">'4_Assumptions'!$B$10</definedName>
    <definedName name="Season_Start_Day">'4_Assumptions'!$B$11</definedName>
    <definedName name="Season_End_Month">'4_Assumptions'!$B$12</definedName>
    <definedName name="Season_End_Day">'4_Assumptions'!$B$13</definedName>
    <definedName name="Treatment_Days">'4_Assumptions'!$B$14</definedName>
    <definedName name="Season_Length">'4_Assumptions'!$B$14</definedName>
    <definedName name="WetlandArea_Ha">'4_Assumptions'!$B$37</definedName>
    <definedName name="TreatmentCells">'4_Assumptions'!$B$38</definedName>
    <definedName name="AnnualThroughput_M3">'4_Assumptions'!$B$39</definedName>
    <definedName name="ValuePer_M3">'4_Assumptions'!$B$40</definedName>
    <definedName name="Wetland_Area">'4_Assumptions'!$B$37</definedName>
    <definedName name="Treatment_Cells">'4_Assumptions'!$B$38</definedName>
    <definedName name="Annual_Throughput">'4_Assumptions'!$B$39</definedName>
    <definedName name="Value_Per_M3">'4_Assumptions'!$B$40</definedName>
    <definedName name="LaborPerDay">'4_Assumptions'!$B$50</definedName>
    <definedName name="RegulatoryPenalty">'4_Assumptions'!$B$51</definedName>
    <definedName name="DowntimeCostPerDay">'4_Assumptions'!$B$52</definedName>
    <definedName name="LearningCurve_Mult">'4_Assumptions'!$B$62:$B$66</definedName>
    <definedName name="TestOpt_Option">'4_Assumptions'!$A$76:$A$78</definedName>
    <definedName name="TestOpt_Method">'4_Assumptions'!$B$76:$B$78</definedName>
    <definedName name="TestOpt_Interval">'4_Assumptions'!$C$76:$C$78</definedName>
    <definedName name="TestOpt_Points">'4_Assumptions'!$D$76:$D$78</definedName>
    <definedName name="TestOpt_Cost">'4_Assumptions'!$E$76:$E$78</definedName>
    <definedName name="TestOpt_Latency">'4_Assumptions'!$F$76:$F$78</definedName>
    <definedName name="Gate_S1">'4_Assumptions'!$B$87:$B$89</definedName>
    <definedName name="Gate_S2">'4_Assumptions'!$C$87:$C$89</definedName>
    <definedName name="Gate_S3">'4_Assumptions'!$D$87:$D$89</definedName>
    <definedName name="Gate_S4">'4_Assumptions'!$E$87:$E$89</definedName>
    <definedName name="List_TestingOptions">'4_Assumptions'!$A$94:$A$96</definedName>
    <definedName name="List_Scenarios">'4_Assumptions'!$B$94:$B$96</definedName>
    <definedName name="MC_Anchor">'4_Assumptions'!$B$99</definedName>
    <definedName name="Initial_NAFC">'4_Assumptions'!$B$108</definedName>
    <definedName name="Target_NAFC">'4_Assumptions'!$B$109</definedName>
    <definedName name="Rapid_Phase_Rate">'4_Assumptions'!$B$110</definedName>
    <definedName name="Slow_Phase_Rate">'4_Assumptions'!$B$111</definedName>
    <definedName name="Rapid_Phase_Duration">'4_Assumptions'!$B$112</definedName>
    <definedName name="Recirculation_Cycle">'4_Assumptions'!$B$113</definedName>
    <definedName name="System_Capacity">'4_Assumptions'!$B$114</definedName>
    <definedName name="Day_LC50">'4_Assumptions'!$B$124</definedName>
    <definedName name="Day_80_Survival">'4_Assumptions'!$B$125</definedName>
    <definedName name="Day_Nontoxic">'4_Assumptions'!$B$126</definedName>
    <definedName name="Env_Temp_Water_May">'5_EnvironmentalDrivers'!$C$8</definedName>
    <definedName name="Env_Temp_Water_Jun">'5_EnvironmentalDrivers'!$D$8</definedName>
    <definedName name="Env_Temp_Water_Jul">'5_EnvironmentalDrivers'!$E$8</definedName>
    <definedName name="Env_Temp_Water_Aug">'5_EnvironmentalDrivers'!$F$8</definedName>
    <definedName name="Env_Temp_Water_Sep">'5_EnvironmentalDrivers'!$G$8</definedName>
    <definedName name="Env_UV_Relative_May">'5_EnvironmentalDrivers'!$C$9</definedName>
    <definedName name="Env_UV_Relative_Jun">'5_EnvironmentalDrivers'!$D$9</definedName>
    <definedName name="Env_UV_Relative_Jul">'5_EnvironmentalDrivers'!$E$9</definedName>
    <definedName name="Env_UV_Relative_Aug">'5_EnvironmentalDrivers'!$F$9</definedName>
    <definedName name="Env_UV_Relative_Sep">'5_EnvironmentalDrivers'!$G$9</definedName>
    <definedName name="Env_DO_Typical_May">'5_EnvironmentalDrivers'!$C$10</definedName>
    <definedName name="Env_DO_Typical_Jun">'5_EnvironmentalDrivers'!$D$10</definedName>
    <definedName name="Env_DO_Typical_Jul">'5_EnvironmentalDrivers'!$E$10</definedName>
    <definedName name="Env_DO_Typical_Aug">'5_EnvironmentalDrivers'!$F$10</definedName>
    <definedName name="Env_DO_Typical_Sep">'5_EnvironmentalDrivers'!$G$10</definedName>
    <definedName name="Env_Nutrient_Index_May">'5_EnvironmentalDrivers'!$C$11</definedName>
    <definedName name="Env_Nutrient_Index_Jun">'5_EnvironmentalDrivers'!$D$11</definedName>
    <definedName name="Env_Nutrient_Index_Jul">'5_EnvironmentalDrivers'!$E$11</definedName>
    <definedName name="Env_Nutrient_Index_Aug">'5_EnvironmentalDrivers'!$F$11</definedName>
    <definedName name="Env_Nutrient_Index_Sep">'5_EnvironmentalDrivers'!$G$11</definedName>
    <definedName name="Env_Bioavail_Index_May">'5_EnvironmentalDrivers'!$C$12</definedName>
    <definedName name="Env_Bioavail_Index_Jun">'5_EnvironmentalDrivers'!$D$12</definedName>
    <definedName name="Env_Bioavail_Index_Jul">'5_EnvironmentalDrivers'!$E$12</definedName>
    <definedName name="Env_Bioavail_Index_Aug">'5_EnvironmentalDrivers'!$F$12</definedName>
    <definedName name="Env_Bioavail_Index_Sep">'5_EnvironmentalDrivers'!$G$12</definedName>
    <definedName name="Ionic_Chloride_Min">'5_EnvironmentalDrivers'!$C$17</definedName>
    <definedName name="Ionic_Chloride_Mode">'5_EnvironmentalDrivers'!$D$17</definedName>
    <definedName name="Ionic_Chloride_Max">'5_EnvironmentalDrivers'!$E$17</definedName>
    <definedName name="Ionic_Chloride_Threshold">'5_EnvironmentalDrivers'!$F$17</definedName>
    <definedName name="Ionic_SAR_Min">'5_EnvironmentalDrivers'!$C$18</definedName>
    <definedName name="Ionic_SAR_Mode">'5_EnvironmentalDrivers'!$D$18</definedName>
    <definedName name="Ionic_SAR_Max">'5_EnvironmentalDrivers'!$E$18</definedName>
    <definedName name="Ionic_SAR_Threshold">'5_EnvironmentalDrivers'!$F$18</definedName>
    <definedName name="Ionic_Sulfate_Min">'5_EnvironmentalDrivers'!$C$19</definedName>
    <definedName name="Ionic_Sulfate_Mode">'5_EnvironmentalDrivers'!$D$19</definedName>
    <definedName name="Ionic_Sulfate_Max">'5_EnvironmentalDrivers'!$E$19</definedName>
    <definedName name="Ionic_Sulfate_Threshold">'5_EnvironmentalDrivers'!$F$19</definedName>
    <definedName name="Ionic_DO_Compliance_Min">'5_EnvironmentalDrivers'!$C$20</definedName>
    <definedName name="Ionic_DO_Compliance_Mode">'5_EnvironmentalDrivers'!$D$20</definedName>
    <definedName name="Ionic_DO_Compliance_Max">'5_EnvironmentalDrivers'!$E$20</definedName>
    <definedName name="Ionic_DO_Compliance_Threshold">'5_EnvironmentalDrivers'!$F$20</definedName>
    <definedName name="Scenario_BaseValues">'6_Scenarios'!$C$10:$C$13</definedName>
    <definedName name="Tri_Season_Extension_Days_Min">'7_ServiceModels'!$B$10</definedName>
    <definedName name="Tri_Season_Extension_Days_Mode">'7_ServiceModels'!$C$10</definedName>
    <definedName name="Tri_Season_Extension_Days_Max">'7_ServiceModels'!$D$10</definedName>
    <definedName name="Tri_Extension_Value_Per_Day_Min">'7_ServiceModels'!$B$11</definedName>
    <definedName name="Tri_Extension_Value_Per_Day_Mode">'7_ServiceModels'!$C$11</definedName>
    <definedName name="Tri_Extension_Value_Per_Day_Max">'7_ServiceModels'!$D$11</definedName>
    <definedName name="Tri_Interventions_Avoided_Min">'7_ServiceModels'!$B$12</definedName>
    <definedName name="Tri_Interventions_Avoided_Mode">'7_ServiceModels'!$C$12</definedName>
    <definedName name="Tri_Interventions_Avoided_Max">'7_ServiceModels'!$D$12</definedName>
    <definedName name="Tri_Treatment_Rate_Factor_Min">'7_ServiceModels'!$B$13</definedName>
    <definedName name="Tri_Treatment_Rate_Factor_Mode">'7_ServiceModels'!$C$13</definedName>
    <definedName name="Tri_Treatment_Rate_Factor_Max">'7_ServiceModels'!$D$13</definedName>
    <definedName name="Beta_Efficiency_Gain_Alpha">'7_ServiceModels'!$B$23</definedName>
    <definedName name="Beta_Efficiency_Gain_Beta">'7_ServiceModels'!$C$23</definedName>
    <definedName name="Beta_Efficiency_Gain_Min">'7_ServiceModels'!$D$23</definedName>
    <definedName name="Beta_Efficiency_Gain_Max">'7_ServiceModels'!$E$23</definedName>
    <definedName name="Timeline_DiscountFactor">'8_Calc_Timeline'!$D$13:$D$18</definedName>
    <definedName name="Timeline_LearningMult">'8_Calc_Timeline'!$E$13:$E$18</definedName>
    <definedName name="Eff_Rapid_Rate">'8_Calc_Timeline'!$C$24</definedName>
    <definedName name="Eff_Slow_Rate">'8_Calc_Timeline'!$C$25</definedName>
    <definedName name="NAFC_After_Rapid">'8_Calc_Timeline'!$C$26</definedName>
    <definedName name="Days_to_Compliance">'8_Calc_Timeline'!$C$27</definedName>
    <definedName name="Circulation_Cycles">'8_Calc_Timeline'!$C$28</definedName>
    <definedName name="Treatment_Efficiency">'8_Calc_Timeline'!$C$29</definedName>
    <definedName name="Compliance_Status">'8_Calc_Timeline'!$C$30</definedName>
    <definedName name="Q10_Factor">'9_Calc_Kinetics'!$C$8</definedName>
    <definedName name="UV_Modifier">'9_Calc_Kinetics'!$C$9</definedName>
    <definedName name="DO_Modifier">'9_Calc_Kinetics'!$C$10</definedName>
    <definedName name="Nutrient_Modifier">'9_Calc_Kinetics'!$C$11</definedName>
    <definedName name="Bioavail_Modifier">'9_Calc_Kinetics'!$C$12</definedName>
    <definedName name="Effective_Rate">'9_Calc_Kinetics'!$C$16</definedName>
    <definedName name="Stoch_SeasonExt">'10_Calc_Stochastic'!$C$14</definedName>
    <definedName name="Stoch_ExtValue">'10_Calc_Stochastic'!$C$15</definedName>
    <definedName name="Stoch_Interventions">'10_Calc_Stochastic'!$C$16</definedName>
    <definedName name="Stoch_Efficiency">'10_Calc_Stochastic'!$C$17</definedName>
    <definedName name="Stoch_TreatmentRate">'10_Calc_Stochastic'!$C$18</definedName>
    <definedName name="Gate_Toxicity">'11_Calc_Compliance'!$D$8</definedName>
    <definedName name="Gate_Chloride">'11_Calc_Compliance'!$D$9</definedName>
    <definedName name="Gate_SAR">'11_Calc_Compliance'!$D$10</definedName>
    <definedName name="Gate_DO">'11_Calc_Compliance'!$D$11</definedName>
    <definedName name="Gate_pH_Low">'11_Calc_Compliance'!$D$12</definedName>
    <definedName name="Gate_pH_High">'11_Calc_Compliance'!$D$13</definedName>
    <definedName name="Gate_Sulfate">'11_Calc_Compliance'!$D$14</definedName>
    <definedName name="Gate_Temperature">'11_Calc_Compliance'!$D$15</definedName>
    <definedName name="Gate_NAFC">'11_Calc_Compliance'!$D$16</definedName>
    <definedName name="Gate_Turbidity">'11_Calc_Compliance'!$D$17</definedName>
    <definedName name="Gate_Oil_Sheen">'11_Calc_Compliance'!$D$18</definedName>
    <definedName name="Gate_Odor">'11_Calc_Compliance'!$D$19</definedName>
    <definedName name="Gate_Foam">'11_Calc_Compliance'!$D$20</definedName>
    <definedName name="Master_Gate_Status">'11_Calc_Compliance'!$C$24</definedName>
    <definedName name="S1_Value">'12_Calc_Value'!$E$13</definedName>
    <definedName name="S2_Value">'12_Calc_Value'!$E$14</definedName>
    <definedName name="S3_Value">'12_Calc_Value'!$E$15</definedName>
    <definedName name="S4_Value">'12_Calc_Value'!$E$16</definedName>
    <definedName name="Gross_Value">'12_Calc_Value'!$E$18</definedName>
    <definedName name="Compliance_Adjusted_Value">'12_Calc_Value'!$E$21</definedName>
    <definedName name="Testing_Cost">'13_Calc_Costs'!$C$19</definedName>
    <definedName name="MC_Expected_NPV">'14_Calc_Sim'!$B$1016</definedName>
    <definedName name="MC_P10">'14_Calc_Sim'!$B$1017</definedName>
    <definedName name="MC_P50">'14_Calc_Sim'!$B$1018</definedName>
    <definedName name="MC_P90">'14_Calc_Sim'!$B$1019</definedName>
    <definedName name="MC_StdDev">'14_Calc_Sim'!$B$1020</definedName>
    <definedName name="MC_Prob_Positive">'14_Calc_Sim'!$B$1021</definedName>
    <definedName name="MC_Expected_Days">'14_Calc_Sim'!$B$1024</definedName>
    <definedName name="MC_P10_Days">'14_Calc_Sim'!$B$1025</definedName>
    <definedName name="MC_P50_Days">'14_Calc_Sim'!$B$1026</definedName>
    <definedName name="MC_P90_Days">'14_Calc_Sim'!$B$1027</definedName>
    <definedName name="MC_Prob_Achievable">'14_Calc_Sim'!$B$1028</definedName>
    <definedName name="Year1_Gross_Value">'16_PL_Annual'!$F$13</definedName>
    <definedName name="Year1_Net_Value">'16_PL_Annual'!$H$13</definedName>
    <definedName name="NPV_Total">'16_PL_Annual'!$B$21</definedName>
  </definedNames>
  <calcPr calcId="124519" fullCalcOnLoad="1"/>
</workbook>
</file>

<file path=xl/styles.xml><?xml version="1.0" encoding="utf-8"?>
<styleSheet xmlns="http://schemas.openxmlformats.org/spreadsheetml/2006/main">
  <numFmts count="8">
    <numFmt numFmtId="164" formatCode="YYYY-MM-DD"/>
    <numFmt numFmtId="165" formatCode="0.0%"/>
    <numFmt numFmtId="166" formatCode="$#,##0.00"/>
    <numFmt numFmtId="167" formatCode="$#,##0"/>
    <numFmt numFmtId="168" formatCode="0.000"/>
    <numFmt numFmtId="169" formatCode="0.0"/>
    <numFmt numFmtId="170" formatCode="0.0 &quot;mg/L&quot;"/>
    <numFmt numFmtId="171" formatCode="0.0 &quot;days&quot;"/>
  </numFmts>
  <fonts count="14">
    <font>
      <name val="Calibri"/>
      <family val="2"/>
      <color theme="1"/>
      <sz val="11"/>
      <scheme val="minor"/>
    </font>
    <font>
      <b val="1"/>
      <sz val="20"/>
    </font>
    <font>
      <i val="1"/>
      <sz val="12"/>
    </font>
    <font>
      <b val="1"/>
      <sz val="14"/>
    </font>
    <font>
      <b val="1"/>
      <sz val="16"/>
    </font>
    <font>
      <b val="1"/>
      <sz val="11"/>
    </font>
    <font>
      <b val="1"/>
      <color rgb="00666666"/>
      <sz val="10"/>
    </font>
    <font>
      <color rgb="00666666"/>
      <sz val="10"/>
    </font>
    <font>
      <b val="1"/>
      <color rgb="00FFFFFF"/>
    </font>
    <font>
      <b val="1"/>
    </font>
    <font>
      <i val="1"/>
    </font>
    <font>
      <b val="1"/>
      <color rgb="001F4E79"/>
      <sz val="11"/>
    </font>
    <font>
      <i val="1"/>
      <sz val="9"/>
    </font>
    <font>
      <i val="1"/>
      <color rgb="00666666"/>
      <sz val="9"/>
    </font>
  </fonts>
  <fills count="6">
    <fill>
      <patternFill/>
    </fill>
    <fill>
      <patternFill patternType="gray125"/>
    </fill>
    <fill>
      <patternFill patternType="solid">
        <fgColor rgb="00F2F2F2"/>
        <bgColor rgb="00F2F2F2"/>
      </patternFill>
    </fill>
    <fill>
      <patternFill patternType="solid">
        <fgColor rgb="004472C4"/>
        <bgColor rgb="004472C4"/>
      </patternFill>
    </fill>
    <fill>
      <patternFill patternType="solid">
        <fgColor rgb="00FFFF99"/>
        <bgColor rgb="00FFFF99"/>
      </patternFill>
    </fill>
    <fill>
      <patternFill patternType="solid">
        <fgColor rgb="00DEEAF6"/>
        <bgColor rgb="00DEEAF6"/>
      </patternFill>
    </fill>
  </fills>
  <borders count="6">
    <border>
      <left/>
      <right/>
      <top/>
      <bottom/>
      <diagonal/>
    </border>
    <border>
      <left style="medium">
        <color rgb="004472C4"/>
      </left>
      <right style="medium">
        <color rgb="004472C4"/>
      </right>
      <top style="medium">
        <color rgb="004472C4"/>
      </top>
      <bottom style="medium">
        <color rgb="004472C4"/>
      </bottom>
    </border>
    <border>
      <left/>
      <right/>
      <top style="medium">
        <color rgb="004472C4"/>
      </top>
      <bottom/>
      <diagonal/>
    </border>
    <border>
      <left/>
      <right style="medium">
        <color rgb="004472C4"/>
      </right>
      <top style="medium">
        <color rgb="004472C4"/>
      </top>
      <bottom/>
      <diagonal/>
    </border>
    <border>
      <left/>
      <right/>
      <top style="medium">
        <color rgb="004472C4"/>
      </top>
      <bottom style="medium">
        <color rgb="004472C4"/>
      </bottom>
      <diagonal/>
    </border>
    <border>
      <left/>
      <right style="medium">
        <color rgb="004472C4"/>
      </right>
      <top style="medium">
        <color rgb="004472C4"/>
      </top>
      <bottom style="medium">
        <color rgb="004472C4"/>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top"/>
    </xf>
    <xf numFmtId="0" fontId="7" fillId="2" borderId="0" applyAlignment="1" pivotButton="0" quotePrefix="0" xfId="0">
      <alignment vertical="top" wrapText="1"/>
    </xf>
    <xf numFmtId="0" fontId="8" fillId="3" borderId="0" pivotButton="0" quotePrefix="0" xfId="0"/>
    <xf numFmtId="0" fontId="0" fillId="4" borderId="0" pivotButton="0" quotePrefix="0" xfId="0"/>
    <xf numFmtId="165" fontId="0" fillId="4" borderId="0" pivotButton="0" quotePrefix="0" xfId="0"/>
    <xf numFmtId="0" fontId="9" fillId="0" borderId="0" pivotButton="0" quotePrefix="0" xfId="0"/>
    <xf numFmtId="0" fontId="10" fillId="0" borderId="0" pivotButton="0" quotePrefix="0" xfId="0"/>
    <xf numFmtId="166" fontId="0" fillId="4" borderId="0" pivotButton="0" quotePrefix="0" xfId="0"/>
    <xf numFmtId="167" fontId="0" fillId="4" borderId="0" pivotButton="0" quotePrefix="0" xfId="0"/>
    <xf numFmtId="167" fontId="0" fillId="0" borderId="0" pivotButton="0" quotePrefix="0" xfId="0"/>
    <xf numFmtId="168" fontId="0" fillId="4" borderId="0" pivotButton="0" quotePrefix="0" xfId="0"/>
    <xf numFmtId="0" fontId="11" fillId="5" borderId="1" applyAlignment="1" pivotButton="0" quotePrefix="0" xfId="0">
      <alignment horizontal="left" vertical="center"/>
    </xf>
    <xf numFmtId="0" fontId="0" fillId="0" borderId="4" pivotButton="0" quotePrefix="0" xfId="0"/>
    <xf numFmtId="0" fontId="0" fillId="0" borderId="5" pivotButton="0" quotePrefix="0" xfId="0"/>
    <xf numFmtId="0" fontId="0" fillId="5" borderId="1" applyAlignment="1" pivotButton="0" quotePrefix="0" xfId="0">
      <alignment horizontal="left" vertical="top" wrapText="1"/>
    </xf>
    <xf numFmtId="169" fontId="0" fillId="4" borderId="0" pivotButton="0" quotePrefix="0" xfId="0"/>
    <xf numFmtId="2" fontId="0" fillId="4" borderId="0" pivotButton="0" quotePrefix="0" xfId="0"/>
    <xf numFmtId="1" fontId="0" fillId="4" borderId="0" pivotButton="0" quotePrefix="0" xfId="0"/>
    <xf numFmtId="0" fontId="12"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 fontId="0" fillId="0" borderId="0" pivotButton="0" quotePrefix="0" xfId="0"/>
    <xf numFmtId="165" fontId="0" fillId="0" borderId="0" pivotButton="0" quotePrefix="0" xfId="0"/>
    <xf numFmtId="0" fontId="13" fillId="0" borderId="0" pivotButton="0" quotePrefix="0" xfId="0"/>
    <xf numFmtId="167" fontId="9" fillId="0" borderId="0" pivotButton="0" quotePrefix="0" xfId="0"/>
    <xf numFmtId="166" fontId="0" fillId="0" borderId="0" pivotButton="0" quotePrefix="0" xfId="0"/>
    <xf numFmtId="170" fontId="0" fillId="0" borderId="0" pivotButton="0" quotePrefix="0" xfId="0"/>
    <xf numFmtId="17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ables/table1.xml><?xml version="1.0" encoding="utf-8"?>
<table xmlns="http://schemas.openxmlformats.org/spreadsheetml/2006/main" id="1" name="tbl_Control" displayName="tbl_Control" ref="A9:D14" headerRowCount="1">
  <autoFilter ref="A9:D14"/>
  <tableColumns count="4">
    <tableColumn id="1" name="Parameter"/>
    <tableColumn id="2" name="Value"/>
    <tableColumn id="3" name="Validation"/>
    <tableColumn id="4" name="Description"/>
  </tableColumns>
  <tableStyleInfo name="TableStyleMedium9" showRowStripes="1"/>
</table>
</file>

<file path=xl/tables/table2.xml><?xml version="1.0" encoding="utf-8"?>
<table xmlns="http://schemas.openxmlformats.org/spreadsheetml/2006/main" id="2" name="tbl_InputMap" displayName="tbl_InputMap" ref="A4:D34" headerRowCount="1">
  <autoFilter ref="A4:D34"/>
  <tableColumns count="4">
    <tableColumn id="1" name="Input Name"/>
    <tableColumn id="2" name="Value"/>
    <tableColumn id="3" name="Source Sheet"/>
    <tableColumn id="4" name="Referenced By"/>
  </tableColumns>
  <tableStyleInfo name="TableStyleMedium9" showRowStripes="1"/>
</table>
</file>

<file path=xl/tables/table3.xml><?xml version="1.0" encoding="utf-8"?>
<table xmlns="http://schemas.openxmlformats.org/spreadsheetml/2006/main" id="3" name="tbl_Timing" displayName="tbl_Timing" ref="A9:E14" headerRowCount="1">
  <autoFilter ref="A9:E14"/>
  <tableColumns count="5">
    <tableColumn id="1" name="Parameter"/>
    <tableColumn id="2" name="Value"/>
    <tableColumn id="3" name="Unit"/>
    <tableColumn id="4" name="Notes"/>
    <tableColumn id="5" name="Referenced By"/>
  </tableColumns>
  <tableStyleInfo name="TableStyleMedium9" showRowStripes="1"/>
</table>
</file>

<file path=xl/tables/table4.xml><?xml version="1.0" encoding="utf-8"?>
<table xmlns="http://schemas.openxmlformats.org/spreadsheetml/2006/main" id="4" name="tbl_Seasonality" displayName="tbl_Seasonality" ref="A22:D27" headerRowCount="1">
  <autoFilter ref="A22:D27"/>
  <tableColumns count="4">
    <tableColumn id="1" name="Month"/>
    <tableColumn id="2" name="Month_Num"/>
    <tableColumn id="3" name="Multiplier"/>
    <tableColumn id="4" name="Activity"/>
  </tableColumns>
  <tableStyleInfo name="TableStyleMedium9" showRowStripes="1"/>
</table>
</file>

<file path=xl/tables/table5.xml><?xml version="1.0" encoding="utf-8"?>
<table xmlns="http://schemas.openxmlformats.org/spreadsheetml/2006/main" id="5" name="tbl_SiteConfig" displayName="tbl_SiteConfig" ref="A36:E40" headerRowCount="1">
  <autoFilter ref="A36:E40"/>
  <tableColumns count="5">
    <tableColumn id="1" name="Parameter"/>
    <tableColumn id="2" name="Value"/>
    <tableColumn id="3" name="Unit"/>
    <tableColumn id="4" name="Source"/>
    <tableColumn id="5" name="Referenced By"/>
  </tableColumns>
  <tableStyleInfo name="TableStyleMedium9" showRowStripes="1"/>
</table>
</file>

<file path=xl/tables/table6.xml><?xml version="1.0" encoding="utf-8"?>
<table xmlns="http://schemas.openxmlformats.org/spreadsheetml/2006/main" id="6" name="tbl_CostParams" displayName="tbl_CostParams" ref="A49:D52" headerRowCount="1">
  <autoFilter ref="A49:D52"/>
  <tableColumns count="4">
    <tableColumn id="1" name="Parameter"/>
    <tableColumn id="2" name="Value"/>
    <tableColumn id="3" name="Unit"/>
    <tableColumn id="4" name="Referenced By"/>
  </tableColumns>
  <tableStyleInfo name="TableStyleMedium9" showRowStripes="1"/>
</table>
</file>

<file path=xl/tables/table7.xml><?xml version="1.0" encoding="utf-8"?>
<table xmlns="http://schemas.openxmlformats.org/spreadsheetml/2006/main" id="7" name="tbl_LearningCurve" displayName="tbl_LearningCurve" ref="A61:D66" headerRowCount="1">
  <autoFilter ref="A61:D66"/>
  <tableColumns count="4">
    <tableColumn id="1" name="Year"/>
    <tableColumn id="2" name="Multiplier"/>
    <tableColumn id="3" name="Notes"/>
    <tableColumn id="4" name="Referenced By"/>
  </tableColumns>
  <tableStyleInfo name="TableStyleMedium9" showRowStripes="1"/>
</table>
</file>

<file path=xl/tables/table8.xml><?xml version="1.0" encoding="utf-8"?>
<table xmlns="http://schemas.openxmlformats.org/spreadsheetml/2006/main" id="8" name="tbl_TestOptions" displayName="tbl_TestOptions" ref="A75:G78" headerRowCount="1">
  <autoFilter ref="A75:G78"/>
  <tableColumns count="7">
    <tableColumn id="1" name="Option"/>
    <tableColumn id="2" name="Method"/>
    <tableColumn id="3" name="Interval"/>
    <tableColumn id="4" name="Points"/>
    <tableColumn id="5" name="Cost_Per_Test"/>
    <tableColumn id="6" name="Latency_Days"/>
    <tableColumn id="7" name="Referenced By"/>
  </tableColumns>
  <tableStyleInfo name="TableStyleMedium9" showRowStripes="1"/>
</table>
</file>

<file path=xl/tables/table9.xml><?xml version="1.0" encoding="utf-8"?>
<table xmlns="http://schemas.openxmlformats.org/spreadsheetml/2006/main" id="9" name="tbl_LatencyGating" displayName="tbl_LatencyGating" ref="A86:E89" headerRowCount="1">
  <autoFilter ref="A86:E89"/>
  <tableColumns count="5">
    <tableColumn id="1" name="Option"/>
    <tableColumn id="2" name="S1_Gate"/>
    <tableColumn id="3" name="S2_Gate"/>
    <tableColumn id="4" name="S3_Gate"/>
    <tableColumn id="5" name="S4_Gate"/>
  </tableColumns>
  <tableStyleInfo name="TableStyleMedium9" showRowStripes="1"/>
</table>
</file>

<file path=xl/tables/table10.xml><?xml version="1.0" encoding="utf-8"?>
<table xmlns="http://schemas.openxmlformats.org/spreadsheetml/2006/main" id="10" name="tbl_TreatmentKinetics" displayName="tbl_TreatmentKinetics" ref="A107:E114" headerRowCount="1">
  <autoFilter ref="A107:E114"/>
  <tableColumns count="5">
    <tableColumn id="1" name="Parameter"/>
    <tableColumn id="2" name="Value"/>
    <tableColumn id="3" name="Unit"/>
    <tableColumn id="4" name="Notes"/>
    <tableColumn id="5" name="Referenced By"/>
  </tableColumns>
  <tableStyleInfo name="TableStyleMedium9" showRowStripes="1"/>
</table>
</file>

<file path=xl/tables/table11.xml><?xml version="1.0" encoding="utf-8"?>
<table xmlns="http://schemas.openxmlformats.org/spreadsheetml/2006/main" id="11" name="tbl_ToxicityMilestones" displayName="tbl_ToxicityMilestones" ref="A123:D126" headerRowCount="1">
  <autoFilter ref="A123:D126"/>
  <tableColumns count="4">
    <tableColumn id="1" name="Milestone"/>
    <tableColumn id="2" name="Days"/>
    <tableColumn id="3" name="Survival"/>
    <tableColumn id="4" name="Notes"/>
  </tableColumns>
  <tableStyleInfo name="TableStyleMedium9" showRowStripes="1"/>
</table>
</file>

<file path=xl/tables/table12.xml><?xml version="1.0" encoding="utf-8"?>
<table xmlns="http://schemas.openxmlformats.org/spreadsheetml/2006/main" id="12" name="tbl_Env_Profiles" displayName="tbl_Env_Profiles" ref="A7:H12" headerRowCount="1">
  <autoFilter ref="A7:H12"/>
  <tableColumns count="8">
    <tableColumn id="1" name="Variable"/>
    <tableColumn id="2" name="Unit"/>
    <tableColumn id="3" name="May"/>
    <tableColumn id="4" name="Jun"/>
    <tableColumn id="5" name="Jul"/>
    <tableColumn id="6" name="Aug"/>
    <tableColumn id="7" name="Sep"/>
    <tableColumn id="8" name="Notes"/>
  </tableColumns>
  <tableStyleInfo name="TableStyleMedium9" showRowStripes="1"/>
</table>
</file>

<file path=xl/tables/table13.xml><?xml version="1.0" encoding="utf-8"?>
<table xmlns="http://schemas.openxmlformats.org/spreadsheetml/2006/main" id="13" name="tbl_Ionic_Params" displayName="tbl_Ionic_Params" ref="A16:H20" headerRowCount="1">
  <autoFilter ref="A16:H20"/>
  <tableColumns count="8">
    <tableColumn id="1" name="Parameter"/>
    <tableColumn id="2" name="Unit"/>
    <tableColumn id="3" name="Min"/>
    <tableColumn id="4" name="Mode"/>
    <tableColumn id="5" name="Max"/>
    <tableColumn id="6" name="Threshold"/>
    <tableColumn id="7" name="Direction"/>
    <tableColumn id="8" name="Notes"/>
  </tableColumns>
  <tableStyleInfo name="TableStyleMedium9" showRowStripes="1"/>
</table>
</file>

<file path=xl/tables/table14.xml><?xml version="1.0" encoding="utf-8"?>
<table xmlns="http://schemas.openxmlformats.org/spreadsheetml/2006/main" id="14" name="tbl_ValueScenarios" displayName="tbl_ValueScenarios" ref="A9:E13" headerRowCount="1">
  <autoFilter ref="A9:E13"/>
  <tableColumns count="5">
    <tableColumn id="1" name="ID"/>
    <tableColumn id="2" name="Name"/>
    <tableColumn id="3" name="Base_Value"/>
    <tableColumn id="4" name="Required_Response_Days"/>
    <tableColumn id="5" name="Description"/>
  </tableColumns>
  <tableStyleInfo name="TableStyleMedium9" showRowStripes="1"/>
</table>
</file>

<file path=xl/tables/table15.xml><?xml version="1.0" encoding="utf-8"?>
<table xmlns="http://schemas.openxmlformats.org/spreadsheetml/2006/main" id="15" name="tbl_ModelScenarios" displayName="tbl_ModelScenarios" ref="A22:D25" headerRowCount="1">
  <autoFilter ref="A22:D25"/>
  <tableColumns count="4">
    <tableColumn id="1" name="Scenario"/>
    <tableColumn id="2" name="Discount_Adj"/>
    <tableColumn id="3" name="Growth_Adj"/>
    <tableColumn id="4" name="Risk_Adj"/>
  </tableColumns>
  <tableStyleInfo name="TableStyleMedium9" showRowStripes="1"/>
</table>
</file>

<file path=xl/tables/table16.xml><?xml version="1.0" encoding="utf-8"?>
<table xmlns="http://schemas.openxmlformats.org/spreadsheetml/2006/main" id="16" name="tbl_Triangular" displayName="tbl_Triangular" ref="A9:F13" headerRowCount="1">
  <autoFilter ref="A9:F13"/>
  <tableColumns count="6">
    <tableColumn id="1" name="Variable"/>
    <tableColumn id="2" name="Min"/>
    <tableColumn id="3" name="Mode"/>
    <tableColumn id="4" name="Max"/>
    <tableColumn id="5" name="Units"/>
    <tableColumn id="6" name="Referenced By"/>
  </tableColumns>
  <tableStyleInfo name="TableStyleMedium9" showRowStripes="1"/>
</table>
</file>

<file path=xl/tables/table17.xml><?xml version="1.0" encoding="utf-8"?>
<table xmlns="http://schemas.openxmlformats.org/spreadsheetml/2006/main" id="17" name="tbl_Beta" displayName="tbl_Beta" ref="A22:G23" headerRowCount="1">
  <autoFilter ref="A22:G23"/>
  <tableColumns count="7">
    <tableColumn id="1" name="Variable"/>
    <tableColumn id="2" name="Alpha"/>
    <tableColumn id="3" name="Beta"/>
    <tableColumn id="4" name="Min"/>
    <tableColumn id="5" name="Max"/>
    <tableColumn id="6" name="Units"/>
    <tableColumn id="7" name="Referenced By"/>
  </tableColumns>
  <tableStyleInfo name="TableStyleMedium9" showRowStripes="1"/>
</table>
</file>

<file path=xl/tables/table18.xml><?xml version="1.0" encoding="utf-8"?>
<table xmlns="http://schemas.openxmlformats.org/spreadsheetml/2006/main" id="18" name="tbl_ValueSensitivity" displayName="tbl_ValueSensitivity" ref="A32:E35" headerRowCount="1">
  <autoFilter ref="A32:E35"/>
  <tableColumns count="5">
    <tableColumn id="1" name="Frame"/>
    <tableColumn id="2" name="Low"/>
    <tableColumn id="3" name="Base"/>
    <tableColumn id="4" name="High"/>
    <tableColumn id="5" name="Context"/>
  </tableColumns>
  <tableStyleInfo name="TableStyleMedium9" showRowStripes="1"/>
</table>
</file>

<file path=xl/tables/table19.xml><?xml version="1.0" encoding="utf-8"?>
<table xmlns="http://schemas.openxmlformats.org/spreadsheetml/2006/main" id="19" name="tbl_Timeline" displayName="tbl_Timeline" ref="A12:E18" headerRowCount="1">
  <autoFilter ref="A12:E18"/>
  <tableColumns count="5">
    <tableColumn id="1" name="Year_Index"/>
    <tableColumn id="2" name="Calendar_Year"/>
    <tableColumn id="3" name="Treatment_Days"/>
    <tableColumn id="4" name="Discount_Factor"/>
    <tableColumn id="5" name="Learning_Mult"/>
  </tableColumns>
  <tableStyleInfo name="TableStyleMedium9" showRowStripes="1"/>
</table>
</file>

<file path=xl/tables/table20.xml><?xml version="1.0" encoding="utf-8"?>
<table xmlns="http://schemas.openxmlformats.org/spreadsheetml/2006/main" id="20" name="tbl_Rate_Modifiers" displayName="tbl_Rate_Modifiers" ref="A7:E12" headerRowCount="1">
  <autoFilter ref="A7:E12"/>
  <tableColumns count="5">
    <tableColumn id="1" name="Modifier"/>
    <tableColumn id="2" name="Formula"/>
    <tableColumn id="3" name="Value"/>
    <tableColumn id="4" name="Unit"/>
    <tableColumn id="5" name="Notes"/>
  </tableColumns>
  <tableStyleInfo name="TableStyleMedium9" showRowStripes="1"/>
</table>
</file>

<file path=xl/tables/table21.xml><?xml version="1.0" encoding="utf-8"?>
<table xmlns="http://schemas.openxmlformats.org/spreadsheetml/2006/main" id="21" name="tbl_Stochastic" displayName="tbl_Stochastic" ref="A13:C18" headerRowCount="1">
  <autoFilter ref="A13:C18"/>
  <tableColumns count="3">
    <tableColumn id="1" name="Variable"/>
    <tableColumn id="2" name="Random_U"/>
    <tableColumn id="3" name="Realized_Value"/>
  </tableColumns>
  <tableStyleInfo name="TableStyleMedium9" showRowStripes="1"/>
</table>
</file>

<file path=xl/tables/table22.xml><?xml version="1.0" encoding="utf-8"?>
<table xmlns="http://schemas.openxmlformats.org/spreadsheetml/2006/main" id="22" name="tbl_Compliance_Gates" displayName="tbl_Compliance_Gates" ref="A7:F20" headerRowCount="1">
  <autoFilter ref="A7:F20"/>
  <tableColumns count="6">
    <tableColumn id="1" name="Gate"/>
    <tableColumn id="2" name="Threshold"/>
    <tableColumn id="3" name="Direction"/>
    <tableColumn id="4" name="Value"/>
    <tableColumn id="5" name="Status"/>
    <tableColumn id="6" name="Notes"/>
  </tableColumns>
  <tableStyleInfo name="TableStyleMedium9" showRowStripes="1"/>
</table>
</file>

<file path=xl/tables/table23.xml><?xml version="1.0" encoding="utf-8"?>
<table xmlns="http://schemas.openxmlformats.org/spreadsheetml/2006/main" id="23" name="tbl_GatedValues" displayName="tbl_GatedValues" ref="A12:E16" headerRowCount="1">
  <autoFilter ref="A12:E16"/>
  <tableColumns count="5">
    <tableColumn id="1" name="Scenario"/>
    <tableColumn id="2" name="Base_Value"/>
    <tableColumn id="3" name="Gate_Status"/>
    <tableColumn id="4" name="Stoch_Mult"/>
    <tableColumn id="5" name="Gated_Value"/>
  </tableColumns>
  <tableStyleInfo name="TableStyleMedium9" showRowStripes="1"/>
</table>
</file>

<file path=xl/tables/table24.xml><?xml version="1.0" encoding="utf-8"?>
<table xmlns="http://schemas.openxmlformats.org/spreadsheetml/2006/main" id="24" name="tbl_CostCalc" displayName="tbl_CostCalc" ref="A12:C19" headerRowCount="1">
  <autoFilter ref="A12:C19"/>
  <tableColumns count="3">
    <tableColumn id="1" name="Component"/>
    <tableColumn id="2" name="Formula"/>
    <tableColumn id="3" name="Value"/>
  </tableColumns>
  <tableStyleInfo name="TableStyleMedium9" showRowStripes="1"/>
</table>
</file>

<file path=xl/tables/table25.xml><?xml version="1.0" encoding="utf-8"?>
<table xmlns="http://schemas.openxmlformats.org/spreadsheetml/2006/main" id="25" name="tbl_Annual" displayName="tbl_Annual" ref="A12:J17" headerRowCount="1">
  <autoFilter ref="A12:J17"/>
  <tableColumns count="10">
    <tableColumn id="1" name="Year"/>
    <tableColumn id="2" name="S1_Value"/>
    <tableColumn id="3" name="S2_Value"/>
    <tableColumn id="4" name="S3_Value"/>
    <tableColumn id="5" name="S4_Value"/>
    <tableColumn id="6" name="Gross_Value"/>
    <tableColumn id="7" name="Costs"/>
    <tableColumn id="8" name="Net_Annual"/>
    <tableColumn id="9" name="Discount_Factor"/>
    <tableColumn id="10" name="Discounted"/>
  </tableColumns>
  <tableStyleInfo name="TableStyleMedium9" showRowStripes="1"/>
</table>
</file>

<file path=xl/tables/table26.xml><?xml version="1.0" encoding="utf-8"?>
<table xmlns="http://schemas.openxmlformats.org/spreadsheetml/2006/main" id="26" name="tbl_CashFlow" displayName="tbl_CashFlow" ref="A12:D17" headerRowCount="1">
  <autoFilter ref="A12:D17"/>
  <tableColumns count="4">
    <tableColumn id="1" name="Year"/>
    <tableColumn id="2" name="Annual_Net"/>
    <tableColumn id="3" name="Cumulative_Net"/>
    <tableColumn id="4" name="Cumulative_NPV"/>
  </tableColumns>
  <tableStyleInfo name="TableStyleMedium9" showRowStripes="1"/>
</table>
</file>

<file path=xl/tables/table27.xml><?xml version="1.0" encoding="utf-8"?>
<table xmlns="http://schemas.openxmlformats.org/spreadsheetml/2006/main" id="27" name="tbl_UnitEconomics" displayName="tbl_UnitEconomics" ref="A12:D21" headerRowCount="1">
  <autoFilter ref="A12:D21"/>
  <tableColumns count="4">
    <tableColumn id="1" name="Metric"/>
    <tableColumn id="2" name="Value"/>
    <tableColumn id="3" name="Unit"/>
    <tableColumn id="4" name="Formula"/>
  </tableColumns>
  <tableStyleInfo name="TableStyleMedium9" showRowStripes="1"/>
</table>
</file>

<file path=xl/tables/table28.xml><?xml version="1.0" encoding="utf-8"?>
<table xmlns="http://schemas.openxmlformats.org/spreadsheetml/2006/main" id="28" name="tbl_Sensitivity" displayName="tbl_Sensitivity" ref="A12:G16" headerRowCount="1">
  <autoFilter ref="A12:G16"/>
  <tableColumns count="7">
    <tableColumn id="1" name="Parameter"/>
    <tableColumn id="2" name="Low"/>
    <tableColumn id="3" name="Base"/>
    <tableColumn id="4" name="High"/>
    <tableColumn id="5" name="NPV_at_Low"/>
    <tableColumn id="6" name="NPV_at_High"/>
    <tableColumn id="7" name="Swing"/>
  </tableColumns>
  <tableStyleInfo name="TableStyleMedium9" showRowStripes="1"/>
</table>
</file>

<file path=xl/tables/table29.xml><?xml version="1.0" encoding="utf-8"?>
<table xmlns="http://schemas.openxmlformats.org/spreadsheetml/2006/main" id="29" name="tbl_KPIs" displayName="tbl_KPIs" ref="A12:B22" headerRowCount="1">
  <autoFilter ref="A12:B22"/>
  <tableColumns count="2">
    <tableColumn id="1" name="Metric"/>
    <tableColumn id="2" name="Value"/>
  </tableColumns>
  <tableStyleInfo name="TableStyleMedium9" showRowStripes="1"/>
</table>
</file>

<file path=xl/tables/table30.xml><?xml version="1.0" encoding="utf-8"?>
<table xmlns="http://schemas.openxmlformats.org/spreadsheetml/2006/main" id="30" name="tbl_ScenarioBreakdown" displayName="tbl_ScenarioBreakdown" ref="A30:C34" headerRowCount="1">
  <autoFilter ref="A30:C34"/>
  <tableColumns count="3">
    <tableColumn id="1" name="Scenario"/>
    <tableColumn id="2" name="Gated_Value"/>
    <tableColumn id="3" name="Status"/>
  </tableColumns>
  <tableStyleInfo name="TableStyleMedium9" showRowStripes="1"/>
</table>
</file>

<file path=xl/tables/table31.xml><?xml version="1.0" encoding="utf-8"?>
<table xmlns="http://schemas.openxmlformats.org/spreadsheetml/2006/main" id="31" name="tbl_TreatmentKPIs" displayName="tbl_TreatmentKPIs" ref="A42:C50" headerRowCount="1">
  <autoFilter ref="A42:C50"/>
  <tableColumns count="3">
    <tableColumn id="1" name="Metric"/>
    <tableColumn id="2" name="Value"/>
    <tableColumn id="3" name="Status"/>
  </tableColumns>
  <tableStyleInfo name="TableStyleMedium9" showRowStripes="1"/>
</table>
</file>

<file path=xl/tables/table32.xml><?xml version="1.0" encoding="utf-8"?>
<table xmlns="http://schemas.openxmlformats.org/spreadsheetml/2006/main" id="32" name="tbl_OptionComparison" displayName="tbl_OptionComparison" ref="A58:D64" headerRowCount="1">
  <autoFilter ref="A58:D64"/>
  <tableColumns count="4">
    <tableColumn id="1" name="Metric"/>
    <tableColumn id="2" name="Monthly_HRMS"/>
    <tableColumn id="3" name="Weekly_HRMS"/>
    <tableColumn id="4" name="Daily_Biosensor"/>
  </tableColumns>
  <tableStyleInfo name="TableStyleMedium9" showRowStripes="1"/>
</table>
</file>

<file path=xl/tables/table33.xml><?xml version="1.0" encoding="utf-8"?>
<table xmlns="http://schemas.openxmlformats.org/spreadsheetml/2006/main" id="33" name="tbl_Checks" displayName="tbl_Checks" ref="A12:D28" headerRowCount="1">
  <autoFilter ref="A12:D28"/>
  <tableColumns count="4">
    <tableColumn id="1" name="Check_ID"/>
    <tableColumn id="2" name="Category"/>
    <tableColumn id="3" name="Description"/>
    <tableColumn id="4" name="Statu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 Type="http://schemas.openxmlformats.org/officeDocument/2006/relationships/table" Target="/xl/tables/table7.xml" Id="rId5" /><Relationship Type="http://schemas.openxmlformats.org/officeDocument/2006/relationships/table" Target="/xl/tables/table8.xml" Id="rId6" /><Relationship Type="http://schemas.openxmlformats.org/officeDocument/2006/relationships/table" Target="/xl/tables/table9.xml" Id="rId7" /><Relationship Type="http://schemas.openxmlformats.org/officeDocument/2006/relationships/table" Target="/xl/tables/table10.xml" Id="rId8" /><Relationship Type="http://schemas.openxmlformats.org/officeDocument/2006/relationships/table" Target="/xl/tables/table11.xml" Id="rId9" /></Relationships>
</file>

<file path=xl/worksheets/_rels/sheet6.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s>
</file>

<file path=xl/worksheets/_rels/sheet7.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_rels/sheet8.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s>
</file>

<file path=xl/worksheets/_rels/sheet9.xml.rels><Relationships xmlns="http://schemas.openxmlformats.org/package/2006/relationships"><Relationship Type="http://schemas.openxmlformats.org/officeDocument/2006/relationships/table" Target="/xl/tables/table19.xml" Id="rId1" /></Relationships>
</file>

<file path=xl/worksheets/_rels/sheet10.xml.rels><Relationships xmlns="http://schemas.openxmlformats.org/package/2006/relationships"><Relationship Type="http://schemas.openxmlformats.org/officeDocument/2006/relationships/table" Target="/xl/tables/table20.xml" Id="rId1" /></Relationships>
</file>

<file path=xl/worksheets/_rels/sheet11.xml.rels><Relationships xmlns="http://schemas.openxmlformats.org/package/2006/relationships"><Relationship Type="http://schemas.openxmlformats.org/officeDocument/2006/relationships/table" Target="/xl/tables/table21.xml" Id="rId1" /></Relationships>
</file>

<file path=xl/worksheets/_rels/sheet12.xml.rels><Relationships xmlns="http://schemas.openxmlformats.org/package/2006/relationships"><Relationship Type="http://schemas.openxmlformats.org/officeDocument/2006/relationships/table" Target="/xl/tables/table22.xml" Id="rId1" /></Relationships>
</file>

<file path=xl/worksheets/_rels/sheet13.xml.rels><Relationships xmlns="http://schemas.openxmlformats.org/package/2006/relationships"><Relationship Type="http://schemas.openxmlformats.org/officeDocument/2006/relationships/table" Target="/xl/tables/table23.xml" Id="rId1" /></Relationships>
</file>

<file path=xl/worksheets/_rels/sheet14.xml.rels><Relationships xmlns="http://schemas.openxmlformats.org/package/2006/relationships"><Relationship Type="http://schemas.openxmlformats.org/officeDocument/2006/relationships/table" Target="/xl/tables/table24.xml" Id="rId1" /></Relationships>
</file>

<file path=xl/worksheets/_rels/sheet17.xml.rels><Relationships xmlns="http://schemas.openxmlformats.org/package/2006/relationships"><Relationship Type="http://schemas.openxmlformats.org/officeDocument/2006/relationships/table" Target="/xl/tables/table25.xml" Id="rId1" /></Relationships>
</file>

<file path=xl/worksheets/_rels/sheet18.xml.rels><Relationships xmlns="http://schemas.openxmlformats.org/package/2006/relationships"><Relationship Type="http://schemas.openxmlformats.org/officeDocument/2006/relationships/table" Target="/xl/tables/table26.xml" Id="rId1" /></Relationships>
</file>

<file path=xl/worksheets/_rels/sheet19.xml.rels><Relationships xmlns="http://schemas.openxmlformats.org/package/2006/relationships"><Relationship Type="http://schemas.openxmlformats.org/officeDocument/2006/relationships/table" Target="/xl/tables/table27.xml" Id="rId1" /></Relationships>
</file>

<file path=xl/worksheets/_rels/sheet20.xml.rels><Relationships xmlns="http://schemas.openxmlformats.org/package/2006/relationships"><Relationship Type="http://schemas.openxmlformats.org/officeDocument/2006/relationships/table" Target="/xl/tables/table28.xml" Id="rId1" /></Relationships>
</file>

<file path=xl/worksheets/_rels/sheet21.xml.rels><Relationships xmlns="http://schemas.openxmlformats.org/package/2006/relationships"><Relationship Type="http://schemas.openxmlformats.org/officeDocument/2006/relationships/table" Target="/xl/tables/table29.xml" Id="rId1" /><Relationship Type="http://schemas.openxmlformats.org/officeDocument/2006/relationships/table" Target="/xl/tables/table30.xml" Id="rId2" /><Relationship Type="http://schemas.openxmlformats.org/officeDocument/2006/relationships/table" Target="/xl/tables/table31.xml" Id="rId3" /><Relationship Type="http://schemas.openxmlformats.org/officeDocument/2006/relationships/table" Target="/xl/tables/table32.xml" Id="rId4" /></Relationships>
</file>

<file path=xl/worksheets/_rels/sheet22.xml.rels><Relationships xmlns="http://schemas.openxmlformats.org/package/2006/relationships"><Relationship Type="http://schemas.openxmlformats.org/officeDocument/2006/relationships/table" Target="/xl/tables/table33.xml" Id="rId1" /></Relationships>
</file>

<file path=xl/worksheets/sheet1.xml><?xml version="1.0" encoding="utf-8"?>
<worksheet xmlns="http://schemas.openxmlformats.org/spreadsheetml/2006/main">
  <sheetPr>
    <tabColor rgb="00FFFFFF"/>
    <outlinePr summaryBelow="1" summaryRight="1"/>
    <pageSetUpPr/>
  </sheetPr>
  <dimension ref="A1:B29"/>
  <sheetViews>
    <sheetView workbookViewId="0">
      <selection activeCell="A1" sqref="A1"/>
    </sheetView>
  </sheetViews>
  <sheetFormatPr baseColWidth="8" defaultRowHeight="15"/>
  <cols>
    <col width="20" customWidth="1" min="1" max="1"/>
    <col width="45" customWidth="1" min="2" max="2"/>
  </cols>
  <sheetData>
    <row r="1">
      <c r="A1" s="1" t="inlineStr">
        <is>
          <t>Luminous Wetland Monte Carlo Financial Model</t>
        </is>
      </c>
    </row>
    <row r="2">
      <c r="A2" s="2" t="inlineStr">
        <is>
          <t>FAST Standard Compliant (18-Sheet Architecture)</t>
        </is>
      </c>
    </row>
    <row r="4">
      <c r="A4" t="inlineStr">
        <is>
          <t>Version:</t>
        </is>
      </c>
      <c r="B4" t="inlineStr">
        <is>
          <t>3.0</t>
        </is>
      </c>
    </row>
    <row r="5">
      <c r="A5" t="inlineStr">
        <is>
          <t>Date:</t>
        </is>
      </c>
      <c r="B5" s="3">
        <f>TODAY()</f>
        <v/>
      </c>
    </row>
    <row r="6">
      <c r="A6" t="inlineStr">
        <is>
          <t>Author:</t>
        </is>
      </c>
      <c r="B6" t="inlineStr">
        <is>
          <t>Luminous BioSolutions</t>
        </is>
      </c>
    </row>
    <row r="8">
      <c r="A8" s="4" t="inlineStr">
        <is>
          <t>Model Status</t>
        </is>
      </c>
    </row>
    <row r="9">
      <c r="A9" t="inlineStr">
        <is>
          <t>Health:</t>
        </is>
      </c>
      <c r="B9">
        <f>IF(COUNTIF('21_Checks'!D:D,"FAIL")=0, "All Checks Pass", "Review 21_Checks")</f>
        <v/>
      </c>
    </row>
    <row r="10">
      <c r="A10" t="inlineStr">
        <is>
          <t>Errors:</t>
        </is>
      </c>
      <c r="B10">
        <f>COUNTIF('21_Checks'!D:D,"FAIL")</f>
        <v/>
      </c>
    </row>
    <row r="12">
      <c r="A12" s="4" t="inlineStr">
        <is>
          <t>Sheet Navigation</t>
        </is>
      </c>
    </row>
    <row r="13">
      <c r="A13" t="inlineStr">
        <is>
          <t>1_TOC</t>
        </is>
      </c>
      <c r="B13" t="inlineStr">
        <is>
          <t>Table of Contents / Control panel</t>
        </is>
      </c>
    </row>
    <row r="14">
      <c r="A14" t="inlineStr">
        <is>
          <t>3_Instructions</t>
        </is>
      </c>
      <c r="B14" t="inlineStr">
        <is>
          <t>Methodology and documentation</t>
        </is>
      </c>
    </row>
    <row r="15">
      <c r="A15" t="inlineStr">
        <is>
          <t>4_Assumptions</t>
        </is>
      </c>
      <c r="B15" t="inlineStr">
        <is>
          <t>ALL inputs (timing, site, test options, validation)</t>
        </is>
      </c>
    </row>
    <row r="16">
      <c r="A16" t="inlineStr">
        <is>
          <t>6_Scenarios</t>
        </is>
      </c>
      <c r="B16" t="inlineStr">
        <is>
          <t>Value scenario definitions</t>
        </is>
      </c>
    </row>
    <row r="17">
      <c r="A17" t="inlineStr">
        <is>
          <t>7_ServiceModels</t>
        </is>
      </c>
      <c r="B17" t="inlineStr">
        <is>
          <t>Monte Carlo distributions</t>
        </is>
      </c>
    </row>
    <row r="18">
      <c r="A18" t="inlineStr">
        <is>
          <t>8_Calc_Timeline</t>
        </is>
      </c>
      <c r="B18" t="inlineStr">
        <is>
          <t>Projection timeline</t>
        </is>
      </c>
    </row>
    <row r="19">
      <c r="A19" t="inlineStr">
        <is>
          <t>10_Calc_Stochastic</t>
        </is>
      </c>
      <c r="B19" t="inlineStr">
        <is>
          <t>Random variable generation</t>
        </is>
      </c>
    </row>
    <row r="20">
      <c r="A20" t="inlineStr">
        <is>
          <t>12_Calc_Value</t>
        </is>
      </c>
      <c r="B20" t="inlineStr">
        <is>
          <t>Gated value calculations</t>
        </is>
      </c>
    </row>
    <row r="21">
      <c r="A21" t="inlineStr">
        <is>
          <t>13_Calc_Costs</t>
        </is>
      </c>
      <c r="B21" t="inlineStr">
        <is>
          <t>Cost calculations</t>
        </is>
      </c>
    </row>
    <row r="22">
      <c r="A22" t="inlineStr">
        <is>
          <t>14_Calc_Sim</t>
        </is>
      </c>
      <c r="B22" t="inlineStr">
        <is>
          <t>1000-iteration Monte Carlo</t>
        </is>
      </c>
    </row>
    <row r="23">
      <c r="A23" t="inlineStr">
        <is>
          <t>15_PL_Monthly</t>
        </is>
      </c>
      <c r="B23" t="inlineStr">
        <is>
          <t>Monthly P&amp;L (placeholder)</t>
        </is>
      </c>
    </row>
    <row r="24">
      <c r="A24" t="inlineStr">
        <is>
          <t>16_PL_Annual</t>
        </is>
      </c>
      <c r="B24" t="inlineStr">
        <is>
          <t>Annual projections</t>
        </is>
      </c>
    </row>
    <row r="25">
      <c r="A25" t="inlineStr">
        <is>
          <t>17_CashFlow</t>
        </is>
      </c>
      <c r="B25" t="inlineStr">
        <is>
          <t>Cumulative projections</t>
        </is>
      </c>
    </row>
    <row r="26">
      <c r="A26" t="inlineStr">
        <is>
          <t>18_UnitEconomics</t>
        </is>
      </c>
      <c r="B26" t="inlineStr">
        <is>
          <t>Unit economics view</t>
        </is>
      </c>
    </row>
    <row r="27">
      <c r="A27" t="inlineStr">
        <is>
          <t>19_Sensitivity</t>
        </is>
      </c>
      <c r="B27" t="inlineStr">
        <is>
          <t>Tornado analysis</t>
        </is>
      </c>
    </row>
    <row r="28">
      <c r="A28" t="inlineStr">
        <is>
          <t>20_Dashboard</t>
        </is>
      </c>
      <c r="B28" t="inlineStr">
        <is>
          <t>Executive dashboard</t>
        </is>
      </c>
    </row>
    <row r="29">
      <c r="A29" t="inlineStr">
        <is>
          <t>21_Checks</t>
        </is>
      </c>
      <c r="B29" t="inlineStr">
        <is>
          <t>Validation checks</t>
        </is>
      </c>
    </row>
  </sheetData>
  <pageMargins left="0.75" right="0.75" top="1" bottom="1" header="0.5" footer="0.5"/>
</worksheet>
</file>

<file path=xl/worksheets/sheet2.xml><?xml version="1.0" encoding="utf-8"?>
<worksheet xmlns="http://schemas.openxmlformats.org/spreadsheetml/2006/main">
  <sheetPr>
    <tabColor rgb="00FFFF00"/>
    <outlinePr summaryBelow="1" summaryRight="1"/>
    <pageSetUpPr/>
  </sheetPr>
  <dimension ref="A1:D14"/>
  <sheetViews>
    <sheetView workbookViewId="0">
      <selection activeCell="A1" sqref="A1"/>
    </sheetView>
  </sheetViews>
  <sheetFormatPr baseColWidth="8" defaultRowHeight="15"/>
  <cols>
    <col width="20" customWidth="1" min="1" max="1"/>
    <col width="18" customWidth="1" min="2" max="2"/>
    <col width="12" customWidth="1" min="3" max="3"/>
    <col width="35" customWidth="1" min="4" max="4"/>
  </cols>
  <sheetData>
    <row r="1">
      <c r="A1" s="5" t="inlineStr">
        <is>
          <t>Control Panel</t>
        </is>
      </c>
    </row>
    <row r="3">
      <c r="A3" s="6" t="inlineStr">
        <is>
          <t>Control Panel</t>
        </is>
      </c>
    </row>
    <row r="4" ht="31.2" customHeight="1">
      <c r="A4" s="7" t="inlineStr">
        <is>
          <t>Description:</t>
        </is>
      </c>
      <c r="B4" s="8" t="inlineStr">
        <is>
          <t>User-editable model parameters that drive all calculations. Change these values to explore different scenarios.</t>
        </is>
      </c>
    </row>
    <row r="5" ht="15.6" customHeight="1">
      <c r="A5" s="7" t="inlineStr">
        <is>
          <t>Purpose:</t>
        </is>
      </c>
      <c r="B5" s="8" t="inlineStr">
        <is>
          <t>Provide a single location for users to modify key model inputs</t>
        </is>
      </c>
    </row>
    <row r="6" ht="78" customHeight="1">
      <c r="A6" s="7" t="inlineStr">
        <is>
          <t>Assumptions:</t>
        </is>
      </c>
      <c r="B6" s="8" t="inlineStr">
        <is>
          <t>- Testing_Option selects between HRMS and biosensor approaches
- Scenario_Select chooses conservative, base, or optimistic parameters
- Discount_Rate applies to all NPV calculations
- Projection_Years determines the financial projection horizon</t>
        </is>
      </c>
    </row>
    <row r="7" ht="15.6" customHeight="1">
      <c r="A7" s="7" t="inlineStr">
        <is>
          <t>Data Source:</t>
        </is>
      </c>
      <c r="B7" s="8" t="inlineStr">
        <is>
          <t>User input - default values from Financial Model Framework v2.1</t>
        </is>
      </c>
    </row>
    <row r="8" ht="15.6" customHeight="1">
      <c r="A8" s="7" t="inlineStr">
        <is>
          <t>Related Tables:</t>
        </is>
      </c>
      <c r="B8" s="8" t="inlineStr">
        <is>
          <t>tbl_ModelScenarios, tbl_TestOptions</t>
        </is>
      </c>
    </row>
    <row r="9">
      <c r="A9" s="9" t="inlineStr">
        <is>
          <t>Parameter</t>
        </is>
      </c>
      <c r="B9" s="9" t="inlineStr">
        <is>
          <t>Value</t>
        </is>
      </c>
      <c r="C9" s="9" t="inlineStr">
        <is>
          <t>Validation</t>
        </is>
      </c>
      <c r="D9" s="9" t="inlineStr">
        <is>
          <t>Description</t>
        </is>
      </c>
    </row>
    <row r="10">
      <c r="A10" t="inlineStr">
        <is>
          <t>Testing_Option</t>
        </is>
      </c>
      <c r="B10" s="10" t="inlineStr">
        <is>
          <t>Daily_Biosensor</t>
        </is>
      </c>
      <c r="C10" t="inlineStr">
        <is>
          <t>Dropdown</t>
        </is>
      </c>
      <c r="D10" t="inlineStr">
        <is>
          <t>Selected testing method</t>
        </is>
      </c>
    </row>
    <row r="11">
      <c r="A11" t="inlineStr">
        <is>
          <t>Scenario_Select</t>
        </is>
      </c>
      <c r="B11" s="10" t="inlineStr">
        <is>
          <t>Base</t>
        </is>
      </c>
      <c r="C11" t="inlineStr">
        <is>
          <t>Dropdown</t>
        </is>
      </c>
      <c r="D11" t="inlineStr">
        <is>
          <t>Model scenario</t>
        </is>
      </c>
    </row>
    <row r="12">
      <c r="A12" t="inlineStr">
        <is>
          <t>Discount_Rate</t>
        </is>
      </c>
      <c r="B12" s="11" t="n">
        <v>0.048</v>
      </c>
      <c r="C12" t="inlineStr">
        <is>
          <t>0%-15%</t>
        </is>
      </c>
      <c r="D12" t="inlineStr">
        <is>
          <t>NPV discount rate</t>
        </is>
      </c>
    </row>
    <row r="13">
      <c r="A13" t="inlineStr">
        <is>
          <t>Projection_Years</t>
        </is>
      </c>
      <c r="B13" s="10" t="n">
        <v>5</v>
      </c>
      <c r="C13" t="inlineStr">
        <is>
          <t>1-10</t>
        </is>
      </c>
      <c r="D13" t="inlineStr">
        <is>
          <t>Projection horizon</t>
        </is>
      </c>
    </row>
    <row r="14">
      <c r="A14" t="inlineStr">
        <is>
          <t>Base_Year</t>
        </is>
      </c>
      <c r="B14" s="10" t="n">
        <v>2026</v>
      </c>
      <c r="C14" t="inlineStr">
        <is>
          <t>2024-2030</t>
        </is>
      </c>
      <c r="D14" t="inlineStr">
        <is>
          <t>Model start year</t>
        </is>
      </c>
    </row>
  </sheetData>
  <mergeCells count="5">
    <mergeCell ref="B5:D5"/>
    <mergeCell ref="B8:D8"/>
    <mergeCell ref="B4:D4"/>
    <mergeCell ref="B7:D7"/>
    <mergeCell ref="B6:D6"/>
  </mergeCells>
  <dataValidations count="2">
    <dataValidation sqref="B5" showDropDown="0" showInputMessage="0" showErrorMessage="0" allowBlank="0" errorTitle="Invalid Input" error="Select from dropdown" type="list">
      <formula1>List_TestingOptions</formula1>
    </dataValidation>
    <dataValidation sqref="B6" showDropDown="0" showInputMessage="0" showErrorMessage="0" allowBlank="0" type="list">
      <formula1>List_Scenarios</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808080"/>
    <outlinePr summaryBelow="1" summaryRight="1"/>
    <pageSetUpPr/>
  </sheetPr>
  <dimension ref="A1:D88"/>
  <sheetViews>
    <sheetView workbookViewId="0">
      <selection activeCell="A1" sqref="A1"/>
    </sheetView>
  </sheetViews>
  <sheetFormatPr baseColWidth="8" defaultRowHeight="15"/>
  <cols>
    <col width="35" customWidth="1" min="1" max="1"/>
    <col width="30" customWidth="1" min="2" max="2"/>
    <col width="50" customWidth="1" min="3" max="3"/>
    <col width="15" customWidth="1" min="4" max="4"/>
  </cols>
  <sheetData>
    <row r="1">
      <c r="A1" s="5" t="inlineStr">
        <is>
          <t>Model Instructions &amp; Documentation</t>
        </is>
      </c>
    </row>
    <row r="3">
      <c r="A3" s="4" t="inlineStr">
        <is>
          <t>1. Model Purpose</t>
        </is>
      </c>
    </row>
    <row r="4">
      <c r="A4" t="inlineStr">
        <is>
          <t xml:space="preserve">  - Quantify value of high-frequency biosensor monitoring vs HRMS for OSPW wetland treatment</t>
        </is>
      </c>
    </row>
    <row r="5">
      <c r="A5" t="inlineStr">
        <is>
          <t xml:space="preserve">  - Monte Carlo simulation for uncertainty quantification (1000 iterations)</t>
        </is>
      </c>
    </row>
    <row r="6">
      <c r="A6" t="inlineStr">
        <is>
          <t xml:space="preserve">  - FAST Standard compliance for transparency and auditability</t>
        </is>
      </c>
    </row>
    <row r="7">
      <c r="A7" t="inlineStr">
        <is>
          <t xml:space="preserve">  - All calculations performed in Excel - Python only generates structure/formulas</t>
        </is>
      </c>
    </row>
    <row r="9">
      <c r="A9" s="4" t="inlineStr">
        <is>
          <t>2. How to Use This Model</t>
        </is>
      </c>
    </row>
    <row r="10">
      <c r="A10" t="inlineStr">
        <is>
          <t>1. Edit yellow-highlighted cells in 1_TOC and 4_Assumptions</t>
        </is>
      </c>
    </row>
    <row r="11">
      <c r="A11" t="inlineStr">
        <is>
          <t>2. Go to 14_Calc_Sim and set up the Data Table:</t>
        </is>
      </c>
    </row>
    <row r="12">
      <c r="A12" t="inlineStr">
        <is>
          <t xml:space="preserve">   - Select range shown in instructions (formula row through 1000 iterations)</t>
        </is>
      </c>
    </row>
    <row r="13">
      <c r="A13" t="inlineStr">
        <is>
          <t xml:space="preserve">   - Data &gt; What-If Analysis &gt; Data Table</t>
        </is>
      </c>
    </row>
    <row r="14">
      <c r="A14" t="inlineStr">
        <is>
          <t xml:space="preserve">   - Column Input Cell: $K$1 (blank cell on same sheet)</t>
        </is>
      </c>
    </row>
    <row r="15">
      <c r="A15" t="inlineStr">
        <is>
          <t>3. Press Ctrl+Alt+F9 to run Monte Carlo simulation</t>
        </is>
      </c>
    </row>
    <row r="16">
      <c r="A16" t="inlineStr">
        <is>
          <t>4. View results in 20_Dashboard</t>
        </is>
      </c>
    </row>
    <row r="17">
      <c r="A17" t="inlineStr">
        <is>
          <t>5. Check 21_Checks for any validation errors</t>
        </is>
      </c>
    </row>
    <row r="19">
      <c r="A19" s="4" t="inlineStr">
        <is>
          <t>3. Latency Gating Logic</t>
        </is>
      </c>
    </row>
    <row r="20">
      <c r="A20" t="inlineStr">
        <is>
          <t>HRMS lab testing has 42-day turnaround, blocking time-sensitive decisions:</t>
        </is>
      </c>
    </row>
    <row r="21">
      <c r="A21" s="9" t="inlineStr">
        <is>
          <t>Scenario</t>
        </is>
      </c>
      <c r="B21" s="9" t="inlineStr">
        <is>
          <t>Required_Response</t>
        </is>
      </c>
      <c r="C21" s="9" t="inlineStr">
        <is>
          <t>HRMS_42d</t>
        </is>
      </c>
      <c r="D21" s="9" t="inlineStr">
        <is>
          <t>Biosensor_1d</t>
        </is>
      </c>
    </row>
    <row r="22">
      <c r="A22" t="inlineStr">
        <is>
          <t>S1: Season Extension</t>
        </is>
      </c>
      <c r="B22" t="inlineStr">
        <is>
          <t>7 days</t>
        </is>
      </c>
      <c r="C22" t="inlineStr">
        <is>
          <t>BLOCKED</t>
        </is>
      </c>
      <c r="D22" t="inlineStr">
        <is>
          <t>ENABLED</t>
        </is>
      </c>
    </row>
    <row r="23">
      <c r="A23" t="inlineStr">
        <is>
          <t>S2: Intervention Avoidance</t>
        </is>
      </c>
      <c r="B23" t="inlineStr">
        <is>
          <t>7 days</t>
        </is>
      </c>
      <c r="C23" t="inlineStr">
        <is>
          <t>BLOCKED</t>
        </is>
      </c>
      <c r="D23" t="inlineStr">
        <is>
          <t>ENABLED</t>
        </is>
      </c>
    </row>
    <row r="24">
      <c r="A24" t="inlineStr">
        <is>
          <t>S3: Spatial Routing</t>
        </is>
      </c>
      <c r="B24" t="inlineStr">
        <is>
          <t>14 days</t>
        </is>
      </c>
      <c r="C24" t="inlineStr">
        <is>
          <t>BLOCKED</t>
        </is>
      </c>
      <c r="D24" t="inlineStr">
        <is>
          <t>ENABLED</t>
        </is>
      </c>
    </row>
    <row r="25">
      <c r="A25" t="inlineStr">
        <is>
          <t>S4: Early Detection</t>
        </is>
      </c>
      <c r="B25" t="inlineStr">
        <is>
          <t>3 days</t>
        </is>
      </c>
      <c r="C25" t="inlineStr">
        <is>
          <t>BLOCKED</t>
        </is>
      </c>
      <c r="D25" t="inlineStr">
        <is>
          <t>ENABLED</t>
        </is>
      </c>
    </row>
    <row r="27">
      <c r="A27" s="4" t="inlineStr">
        <is>
          <t>4. Glossary</t>
        </is>
      </c>
    </row>
    <row r="28">
      <c r="A28" s="12" t="inlineStr">
        <is>
          <t>HRMS</t>
        </is>
      </c>
      <c r="B28" t="inlineStr">
        <is>
          <t>High-Resolution Mass Spectrometry</t>
        </is>
      </c>
    </row>
    <row r="29">
      <c r="A29" s="12" t="inlineStr">
        <is>
          <t>OSPW</t>
        </is>
      </c>
      <c r="B29" t="inlineStr">
        <is>
          <t>Oil Sands Process-affected Water</t>
        </is>
      </c>
    </row>
    <row r="30">
      <c r="A30" s="12" t="inlineStr">
        <is>
          <t>ARO</t>
        </is>
      </c>
      <c r="B30" t="inlineStr">
        <is>
          <t>Asset Retirement Obligation</t>
        </is>
      </c>
    </row>
    <row r="31">
      <c r="A31" s="12" t="inlineStr">
        <is>
          <t>NPV</t>
        </is>
      </c>
      <c r="B31" t="inlineStr">
        <is>
          <t>Net Present Value</t>
        </is>
      </c>
    </row>
    <row r="32">
      <c r="A32" s="12" t="inlineStr">
        <is>
          <t>HLR</t>
        </is>
      </c>
      <c r="B32" t="inlineStr">
        <is>
          <t>Hydraulic Loading Rate</t>
        </is>
      </c>
    </row>
    <row r="33">
      <c r="A33" s="12" t="inlineStr">
        <is>
          <t>FAST</t>
        </is>
      </c>
      <c r="B33" t="inlineStr">
        <is>
          <t>Flexible, Appropriate, Structured, Transparent</t>
        </is>
      </c>
    </row>
    <row r="34">
      <c r="A34" s="12" t="inlineStr">
        <is>
          <t>NAFC</t>
        </is>
      </c>
      <c r="B34" t="inlineStr">
        <is>
          <t>Naphthenic Acid Fraction Compounds</t>
        </is>
      </c>
    </row>
    <row r="36">
      <c r="A36" s="4" t="inlineStr">
        <is>
          <t>5. Data Sources</t>
        </is>
      </c>
    </row>
    <row r="37">
      <c r="A37" t="inlineStr">
        <is>
          <t xml:space="preserve">  - Zhang (2026) Long-Dated Environmental Liabilities in Oil Sands</t>
        </is>
      </c>
    </row>
    <row r="38">
      <c r="A38" t="inlineStr">
        <is>
          <t xml:space="preserve">  - Kadlec &amp; Wallace (2009) Treatment Wetlands, 2nd Ed.</t>
        </is>
      </c>
    </row>
    <row r="39">
      <c r="A39" t="inlineStr">
        <is>
          <t xml:space="preserve">  - FAST Standard Organisation (fast-standard.org)</t>
        </is>
      </c>
    </row>
    <row r="40">
      <c r="A40" t="inlineStr">
        <is>
          <t xml:space="preserve">  - Luminous BioSolutions Financial Model Framework</t>
        </is>
      </c>
    </row>
    <row r="41">
      <c r="A41" t="inlineStr">
        <is>
          <t xml:space="preserve">  - Kearl Wetland Pilot Data (GROW Presentation, Dec 2025)</t>
        </is>
      </c>
    </row>
    <row r="43">
      <c r="A43" s="4" t="inlineStr">
        <is>
          <t>6. Value Per Cubic Meter Derivation</t>
        </is>
      </c>
    </row>
    <row r="44">
      <c r="A44" s="13" t="inlineStr">
        <is>
          <t>The $5/m3 operational value is derived from:</t>
        </is>
      </c>
    </row>
    <row r="45">
      <c r="A45" t="inlineStr">
        <is>
          <t xml:space="preserve">  - Conservative annual value: $250,000/year (Financial Model Framework)</t>
        </is>
      </c>
    </row>
    <row r="46">
      <c r="A46" t="inlineStr">
        <is>
          <t xml:space="preserve">  - Annual throughput: 50,000 m3/year (4_Assumptions default)</t>
        </is>
      </c>
    </row>
    <row r="47">
      <c r="A47" t="inlineStr">
        <is>
          <t xml:space="preserve">  - Calculation: $250,000 / 50,000 m3 = $5/m3</t>
        </is>
      </c>
    </row>
    <row r="48">
      <c r="A48" t="inlineStr">
        <is>
          <t xml:space="preserve">  - This is the OPERATIONAL benefit only - excludes avoided treatment and ARO impacts</t>
        </is>
      </c>
    </row>
    <row r="50">
      <c r="A50" s="12" t="inlineStr">
        <is>
          <t>Value Sensitivity Analysis (19_Sensitivity):</t>
        </is>
      </c>
    </row>
    <row r="51">
      <c r="A51" t="inlineStr">
        <is>
          <t xml:space="preserve">  - Operational: $3-8/m3 (base $5) - Direct wetland treatment value</t>
        </is>
      </c>
    </row>
    <row r="52">
      <c r="A52" t="inlineStr">
        <is>
          <t xml:space="preserve">  - Avoided Treatment: $10-30/m3 (base $20) - Alternative treatment costs</t>
        </is>
      </c>
    </row>
    <row r="53">
      <c r="A53" t="inlineStr">
        <is>
          <t xml:space="preserve">  - ARO Liability: $21-93/m3 (base $50) - Zhang (2026) liability analysis</t>
        </is>
      </c>
    </row>
    <row r="55">
      <c r="A55" s="4" t="inlineStr">
        <is>
          <t>7. Treatment Kinetics (Kearl 2022 Field Data)</t>
        </is>
      </c>
    </row>
    <row r="56">
      <c r="A56" s="13" t="inlineStr">
        <is>
          <t>Source: Vander Meulen &amp; Headley (2024) GROW Presentation</t>
        </is>
      </c>
    </row>
    <row r="57">
      <c r="A57" t="inlineStr">
        <is>
          <t>Project: Genome Canada LSARP - GROW (Genomics Research for Optimization of Constructed Treatment Wetlands)</t>
        </is>
      </c>
    </row>
    <row r="59">
      <c r="A59" s="12" t="inlineStr">
        <is>
          <t>Two-Phase Kinetics Model:</t>
        </is>
      </c>
    </row>
    <row r="60">
      <c r="A60" t="inlineStr">
        <is>
          <t xml:space="preserve">  - Rapid Phase (Days 0-15): -0.532 mg/L/day (R^2=0.43)</t>
        </is>
      </c>
    </row>
    <row r="61">
      <c r="A61" t="inlineStr">
        <is>
          <t xml:space="preserve">  - Slow Phase (Days 30-69): -0.248 mg/L/day (R^2=0.50)</t>
        </is>
      </c>
    </row>
    <row r="62">
      <c r="A62" t="inlineStr">
        <is>
          <t xml:space="preserve">  - The slowdown reflects preferential removal of labile compounds</t>
        </is>
      </c>
    </row>
    <row r="64">
      <c r="A64" s="12" t="inlineStr">
        <is>
          <t>Toxicity Endpoints (Fathead Minnow Embryo):</t>
        </is>
      </c>
    </row>
    <row r="65">
      <c r="A65" t="inlineStr">
        <is>
          <t xml:space="preserve">  - Day 14: ~50% survival (1 recirculation cycle = LC50)</t>
        </is>
      </c>
    </row>
    <row r="66">
      <c r="A66" t="inlineStr">
        <is>
          <t xml:space="preserve">  - Day 28: 80-90% survival (2 cycles)</t>
        </is>
      </c>
    </row>
    <row r="67">
      <c r="A67" t="inlineStr">
        <is>
          <t xml:space="preserve">  - Day 42: &gt;90% survival (3 cycles = non-toxic, equivalent to controls)</t>
        </is>
      </c>
    </row>
    <row r="69">
      <c r="A69" s="12" t="inlineStr">
        <is>
          <t>The Concentration Paradox:</t>
        </is>
      </c>
    </row>
    <row r="70">
      <c r="A70" t="inlineStr">
        <is>
          <t xml:space="preserve">  - Water at Day 42 was non-toxic despite ~50 mg/L NAFC concentration</t>
        </is>
      </c>
    </row>
    <row r="71">
      <c r="A71" t="inlineStr">
        <is>
          <t xml:space="preserve">  - Literature LC50 values for fathead minnow: 18-34 mg/L</t>
        </is>
      </c>
    </row>
    <row r="72">
      <c r="A72" t="inlineStr">
        <is>
          <t xml:space="preserve">  - Explanation: Wetlands preferentially remove high-carbon, lipophilic (most toxic) compounds</t>
        </is>
      </c>
    </row>
    <row r="73">
      <c r="A73" t="inlineStr">
        <is>
          <t xml:space="preserve">  - Remaining NAFCs are oxidized (O3, O4 classes) and less bioavailable</t>
        </is>
      </c>
    </row>
    <row r="74">
      <c r="A74" t="inlineStr">
        <is>
          <t xml:space="preserve">  - Implication: Total NAFC concentration alone may be inadequate for assessing safety</t>
        </is>
      </c>
    </row>
    <row r="76">
      <c r="A76" s="12" t="inlineStr">
        <is>
          <t>Adjusting Parameters:</t>
        </is>
      </c>
    </row>
    <row r="77">
      <c r="A77" t="inlineStr">
        <is>
          <t xml:space="preserve">  - All kinetics parameters are in 4_Assumptions Section H (yellow cells)</t>
        </is>
      </c>
    </row>
    <row r="78">
      <c r="A78" t="inlineStr">
        <is>
          <t xml:space="preserve">  - Treatment_Rate_Factor in 7_ServiceModels captures seasonal/vegetation variability</t>
        </is>
      </c>
    </row>
    <row r="79">
      <c r="A79" t="inlineStr">
        <is>
          <t xml:space="preserve">  - Modify Initial_NAFC to match your source water concentration</t>
        </is>
      </c>
    </row>
    <row r="80">
      <c r="A80" t="inlineStr">
        <is>
          <t xml:space="preserve">  - Adjust Target_NAFC for different regulatory thresholds</t>
        </is>
      </c>
    </row>
    <row r="82">
      <c r="A82" s="4" t="inlineStr">
        <is>
          <t>8. Change Log</t>
        </is>
      </c>
    </row>
    <row r="83">
      <c r="A83" s="9" t="inlineStr">
        <is>
          <t>Version</t>
        </is>
      </c>
      <c r="B83" s="9" t="inlineStr">
        <is>
          <t>Date</t>
        </is>
      </c>
      <c r="C83" s="9" t="inlineStr">
        <is>
          <t>Changes</t>
        </is>
      </c>
    </row>
    <row r="84">
      <c r="A84" t="inlineStr">
        <is>
          <t>3.2</t>
        </is>
      </c>
      <c r="B84" t="inlineStr">
        <is>
          <t>2026-01-29</t>
        </is>
      </c>
      <c r="C84" t="inlineStr">
        <is>
          <t>Value/m3 derivation documentation (Section 6)</t>
        </is>
      </c>
    </row>
    <row r="85">
      <c r="A85" t="inlineStr">
        <is>
          <t>3.1</t>
        </is>
      </c>
      <c r="B85" t="inlineStr">
        <is>
          <t>2026-01-29</t>
        </is>
      </c>
      <c r="C85" t="inlineStr">
        <is>
          <t>Kearl treatment kinetics integration, Days_to_Compliance MC</t>
        </is>
      </c>
    </row>
    <row r="86">
      <c r="A86" t="inlineStr">
        <is>
          <t>3.0</t>
        </is>
      </c>
      <c r="B86" t="inlineStr">
        <is>
          <t>2026-01-29</t>
        </is>
      </c>
      <c r="C86" t="inlineStr">
        <is>
          <t>FAST 18-sheet refactor with LOCATIONS registry</t>
        </is>
      </c>
    </row>
    <row r="87">
      <c r="A87" t="inlineStr">
        <is>
          <t>2.0</t>
        </is>
      </c>
      <c r="B87" t="inlineStr">
        <is>
          <t>2026-01-28</t>
        </is>
      </c>
      <c r="C87" t="inlineStr">
        <is>
          <t>Excel-native Monte Carlo via Data Tables</t>
        </is>
      </c>
    </row>
    <row r="88">
      <c r="A88" t="inlineStr">
        <is>
          <t>1.0</t>
        </is>
      </c>
      <c r="B88" t="inlineStr">
        <is>
          <t>2025-12-01</t>
        </is>
      </c>
      <c r="C88" t="inlineStr">
        <is>
          <t>Initial Python-based model</t>
        </is>
      </c>
    </row>
  </sheetData>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D44"/>
  <sheetViews>
    <sheetView workbookViewId="0">
      <selection activeCell="A1" sqref="A1"/>
    </sheetView>
  </sheetViews>
  <sheetFormatPr baseColWidth="8" defaultRowHeight="15"/>
  <cols>
    <col width="32" customWidth="1" min="1" max="1"/>
    <col width="18" customWidth="1" min="2" max="2"/>
    <col width="18" customWidth="1" min="3" max="3"/>
    <col width="28" customWidth="1" min="4" max="4"/>
  </cols>
  <sheetData>
    <row r="1">
      <c r="A1" s="5" t="inlineStr">
        <is>
          <t>Input Traceability Map</t>
        </is>
      </c>
    </row>
    <row r="2">
      <c r="A2" s="13" t="inlineStr">
        <is>
          <t>Shows which calculation sheets directly reference each input</t>
        </is>
      </c>
    </row>
    <row r="4">
      <c r="A4" s="9" t="inlineStr">
        <is>
          <t>Input Name</t>
        </is>
      </c>
      <c r="B4" s="9" t="inlineStr">
        <is>
          <t>Value</t>
        </is>
      </c>
      <c r="C4" s="9" t="inlineStr">
        <is>
          <t>Source Sheet</t>
        </is>
      </c>
      <c r="D4" s="9" t="inlineStr">
        <is>
          <t>Referenced By</t>
        </is>
      </c>
    </row>
    <row r="5">
      <c r="A5" t="inlineStr">
        <is>
          <t>Initial_NAFC</t>
        </is>
      </c>
      <c r="B5">
        <f>Initial_NAFC</f>
        <v/>
      </c>
      <c r="C5" t="inlineStr">
        <is>
          <t>4_Assumptions</t>
        </is>
      </c>
      <c r="D5" t="inlineStr">
        <is>
          <t>8_Calc_Timeline</t>
        </is>
      </c>
    </row>
    <row r="6">
      <c r="A6" t="inlineStr">
        <is>
          <t>Target_NAFC</t>
        </is>
      </c>
      <c r="B6">
        <f>Target_NAFC</f>
        <v/>
      </c>
      <c r="C6" t="inlineStr">
        <is>
          <t>4_Assumptions</t>
        </is>
      </c>
      <c r="D6" t="inlineStr">
        <is>
          <t>8_Calc_Timeline</t>
        </is>
      </c>
    </row>
    <row r="7">
      <c r="A7" t="inlineStr">
        <is>
          <t>Rapid_Phase_Rate</t>
        </is>
      </c>
      <c r="B7">
        <f>Rapid_Phase_Rate</f>
        <v/>
      </c>
      <c r="C7" t="inlineStr">
        <is>
          <t>4_Assumptions</t>
        </is>
      </c>
      <c r="D7" t="inlineStr">
        <is>
          <t>8_Calc_Timeline</t>
        </is>
      </c>
    </row>
    <row r="8">
      <c r="A8" t="inlineStr">
        <is>
          <t>Slow_Phase_Rate</t>
        </is>
      </c>
      <c r="B8">
        <f>Slow_Phase_Rate</f>
        <v/>
      </c>
      <c r="C8" t="inlineStr">
        <is>
          <t>4_Assumptions</t>
        </is>
      </c>
      <c r="D8" t="inlineStr">
        <is>
          <t>8_Calc_Timeline</t>
        </is>
      </c>
    </row>
    <row r="9">
      <c r="A9" t="inlineStr">
        <is>
          <t>Rapid_Phase_Duration</t>
        </is>
      </c>
      <c r="B9">
        <f>Rapid_Phase_Duration</f>
        <v/>
      </c>
      <c r="C9" t="inlineStr">
        <is>
          <t>4_Assumptions</t>
        </is>
      </c>
      <c r="D9" t="inlineStr">
        <is>
          <t>8_Calc_Timeline</t>
        </is>
      </c>
    </row>
    <row r="10">
      <c r="A10" t="inlineStr">
        <is>
          <t>Recirculation_Cycle</t>
        </is>
      </c>
      <c r="B10">
        <f>Recirculation_Cycle</f>
        <v/>
      </c>
      <c r="C10" t="inlineStr">
        <is>
          <t>4_Assumptions</t>
        </is>
      </c>
      <c r="D10" t="inlineStr">
        <is>
          <t>8_Calc_Timeline</t>
        </is>
      </c>
    </row>
    <row r="11">
      <c r="A11" t="inlineStr">
        <is>
          <t>Season_Length</t>
        </is>
      </c>
      <c r="B11">
        <f>Season_Length</f>
        <v/>
      </c>
      <c r="C11" t="inlineStr">
        <is>
          <t>4_Assumptions</t>
        </is>
      </c>
      <c r="D11" t="inlineStr">
        <is>
          <t>8_Calc_Timeline, 13_Calc_Costs, 14_Calc_Sim</t>
        </is>
      </c>
    </row>
    <row r="12">
      <c r="A12" t="inlineStr">
        <is>
          <t>LearningCurve_Mult</t>
        </is>
      </c>
      <c r="B12" t="inlineStr">
        <is>
          <t>(range - see source sheet)</t>
        </is>
      </c>
      <c r="C12" t="inlineStr">
        <is>
          <t>4_Assumptions</t>
        </is>
      </c>
      <c r="D12" t="inlineStr">
        <is>
          <t>8_Calc_Timeline</t>
        </is>
      </c>
    </row>
    <row r="13">
      <c r="A13" t="inlineStr">
        <is>
          <t>Tri_Season_Extension_Days_Min</t>
        </is>
      </c>
      <c r="B13">
        <f>Tri_Season_Extension_Days_Min</f>
        <v/>
      </c>
      <c r="C13" t="inlineStr">
        <is>
          <t>7_ServiceModels</t>
        </is>
      </c>
      <c r="D13" t="inlineStr">
        <is>
          <t>10_Calc_Stochastic</t>
        </is>
      </c>
    </row>
    <row r="14">
      <c r="A14" t="inlineStr">
        <is>
          <t>Tri_Season_Extension_Days_Mode</t>
        </is>
      </c>
      <c r="B14">
        <f>Tri_Season_Extension_Days_Mode</f>
        <v/>
      </c>
      <c r="C14" t="inlineStr">
        <is>
          <t>7_ServiceModels</t>
        </is>
      </c>
      <c r="D14" t="inlineStr">
        <is>
          <t>10_Calc_Stochastic</t>
        </is>
      </c>
    </row>
    <row r="15">
      <c r="A15" t="inlineStr">
        <is>
          <t>Tri_Season_Extension_Days_Max</t>
        </is>
      </c>
      <c r="B15">
        <f>Tri_Season_Extension_Days_Max</f>
        <v/>
      </c>
      <c r="C15" t="inlineStr">
        <is>
          <t>7_ServiceModels</t>
        </is>
      </c>
      <c r="D15" t="inlineStr">
        <is>
          <t>10_Calc_Stochastic</t>
        </is>
      </c>
    </row>
    <row r="16">
      <c r="A16" t="inlineStr">
        <is>
          <t>Tri_Extension_Value_Per_Day_Min</t>
        </is>
      </c>
      <c r="B16">
        <f>Tri_Extension_Value_Per_Day_Min</f>
        <v/>
      </c>
      <c r="C16" t="inlineStr">
        <is>
          <t>7_ServiceModels</t>
        </is>
      </c>
      <c r="D16" t="inlineStr">
        <is>
          <t>10_Calc_Stochastic</t>
        </is>
      </c>
    </row>
    <row r="17">
      <c r="A17" t="inlineStr">
        <is>
          <t>Tri_Extension_Value_Per_Day_Mode</t>
        </is>
      </c>
      <c r="B17">
        <f>Tri_Extension_Value_Per_Day_Mode</f>
        <v/>
      </c>
      <c r="C17" t="inlineStr">
        <is>
          <t>7_ServiceModels</t>
        </is>
      </c>
      <c r="D17" t="inlineStr">
        <is>
          <t>10_Calc_Stochastic</t>
        </is>
      </c>
    </row>
    <row r="18">
      <c r="A18" t="inlineStr">
        <is>
          <t>Tri_Extension_Value_Per_Day_Max</t>
        </is>
      </c>
      <c r="B18">
        <f>Tri_Extension_Value_Per_Day_Max</f>
        <v/>
      </c>
      <c r="C18" t="inlineStr">
        <is>
          <t>7_ServiceModels</t>
        </is>
      </c>
      <c r="D18" t="inlineStr">
        <is>
          <t>10_Calc_Stochastic</t>
        </is>
      </c>
    </row>
    <row r="19">
      <c r="A19" t="inlineStr">
        <is>
          <t>Tri_Interventions_Avoided_Min</t>
        </is>
      </c>
      <c r="B19">
        <f>Tri_Interventions_Avoided_Min</f>
        <v/>
      </c>
      <c r="C19" t="inlineStr">
        <is>
          <t>7_ServiceModels</t>
        </is>
      </c>
      <c r="D19" t="inlineStr">
        <is>
          <t>10_Calc_Stochastic</t>
        </is>
      </c>
    </row>
    <row r="20">
      <c r="A20" t="inlineStr">
        <is>
          <t>Tri_Interventions_Avoided_Mode</t>
        </is>
      </c>
      <c r="B20">
        <f>Tri_Interventions_Avoided_Mode</f>
        <v/>
      </c>
      <c r="C20" t="inlineStr">
        <is>
          <t>7_ServiceModels</t>
        </is>
      </c>
      <c r="D20" t="inlineStr">
        <is>
          <t>10_Calc_Stochastic</t>
        </is>
      </c>
    </row>
    <row r="21">
      <c r="A21" t="inlineStr">
        <is>
          <t>Tri_Interventions_Avoided_Max</t>
        </is>
      </c>
      <c r="B21">
        <f>Tri_Interventions_Avoided_Max</f>
        <v/>
      </c>
      <c r="C21" t="inlineStr">
        <is>
          <t>7_ServiceModels</t>
        </is>
      </c>
      <c r="D21" t="inlineStr">
        <is>
          <t>10_Calc_Stochastic</t>
        </is>
      </c>
    </row>
    <row r="22">
      <c r="A22" t="inlineStr">
        <is>
          <t>Tri_Treatment_Rate_Factor_Min</t>
        </is>
      </c>
      <c r="B22">
        <f>Tri_Treatment_Rate_Factor_Min</f>
        <v/>
      </c>
      <c r="C22" t="inlineStr">
        <is>
          <t>7_ServiceModels</t>
        </is>
      </c>
      <c r="D22" t="inlineStr">
        <is>
          <t>10_Calc_Stochastic</t>
        </is>
      </c>
    </row>
    <row r="23">
      <c r="A23" t="inlineStr">
        <is>
          <t>Tri_Treatment_Rate_Factor_Mode</t>
        </is>
      </c>
      <c r="B23">
        <f>Tri_Treatment_Rate_Factor_Mode</f>
        <v/>
      </c>
      <c r="C23" t="inlineStr">
        <is>
          <t>7_ServiceModels</t>
        </is>
      </c>
      <c r="D23" t="inlineStr">
        <is>
          <t>10_Calc_Stochastic</t>
        </is>
      </c>
    </row>
    <row r="24">
      <c r="A24" t="inlineStr">
        <is>
          <t>Tri_Treatment_Rate_Factor_Max</t>
        </is>
      </c>
      <c r="B24">
        <f>Tri_Treatment_Rate_Factor_Max</f>
        <v/>
      </c>
      <c r="C24" t="inlineStr">
        <is>
          <t>7_ServiceModels</t>
        </is>
      </c>
      <c r="D24" t="inlineStr">
        <is>
          <t>10_Calc_Stochastic</t>
        </is>
      </c>
    </row>
    <row r="25">
      <c r="A25" t="inlineStr">
        <is>
          <t>Beta_Efficiency_Gain_Alpha</t>
        </is>
      </c>
      <c r="B25">
        <f>Beta_Efficiency_Gain_Alpha</f>
        <v/>
      </c>
      <c r="C25" t="inlineStr">
        <is>
          <t>7_ServiceModels</t>
        </is>
      </c>
      <c r="D25" t="inlineStr"/>
    </row>
    <row r="26">
      <c r="A26" t="inlineStr">
        <is>
          <t>Beta_Efficiency_Gain_Beta</t>
        </is>
      </c>
      <c r="B26">
        <f>Beta_Efficiency_Gain_Beta</f>
        <v/>
      </c>
      <c r="C26" t="inlineStr">
        <is>
          <t>7_ServiceModels</t>
        </is>
      </c>
      <c r="D26" t="inlineStr"/>
    </row>
    <row r="27">
      <c r="A27" t="inlineStr">
        <is>
          <t>Beta_Efficiency_Gain_Min</t>
        </is>
      </c>
      <c r="B27">
        <f>Beta_Efficiency_Gain_Min</f>
        <v/>
      </c>
      <c r="C27" t="inlineStr">
        <is>
          <t>7_ServiceModels</t>
        </is>
      </c>
      <c r="D27" t="inlineStr">
        <is>
          <t>10_Calc_Stochastic</t>
        </is>
      </c>
    </row>
    <row r="28">
      <c r="A28" t="inlineStr">
        <is>
          <t>Beta_Efficiency_Gain_Max</t>
        </is>
      </c>
      <c r="B28">
        <f>Beta_Efficiency_Gain_Max</f>
        <v/>
      </c>
      <c r="C28" t="inlineStr">
        <is>
          <t>7_ServiceModels</t>
        </is>
      </c>
      <c r="D28" t="inlineStr">
        <is>
          <t>10_Calc_Stochastic</t>
        </is>
      </c>
    </row>
    <row r="29">
      <c r="A29" t="inlineStr">
        <is>
          <t>Eff_Rapid_Rate</t>
        </is>
      </c>
      <c r="B29">
        <f>Eff_Rapid_Rate</f>
        <v/>
      </c>
      <c r="C29" t="inlineStr">
        <is>
          <t>8_Calc_Timeline</t>
        </is>
      </c>
      <c r="D29" t="inlineStr">
        <is>
          <t>8_Calc_Timeline</t>
        </is>
      </c>
    </row>
    <row r="30">
      <c r="A30" t="inlineStr">
        <is>
          <t>Eff_Slow_Rate</t>
        </is>
      </c>
      <c r="B30">
        <f>Eff_Slow_Rate</f>
        <v/>
      </c>
      <c r="C30" t="inlineStr">
        <is>
          <t>8_Calc_Timeline</t>
        </is>
      </c>
      <c r="D30" t="inlineStr">
        <is>
          <t>8_Calc_Timeline</t>
        </is>
      </c>
    </row>
    <row r="31">
      <c r="A31" t="inlineStr">
        <is>
          <t>NAFC_After_Rapid</t>
        </is>
      </c>
      <c r="B31">
        <f>NAFC_After_Rapid</f>
        <v/>
      </c>
      <c r="C31" t="inlineStr">
        <is>
          <t>8_Calc_Timeline</t>
        </is>
      </c>
      <c r="D31" t="inlineStr">
        <is>
          <t>8_Calc_Timeline</t>
        </is>
      </c>
    </row>
    <row r="32">
      <c r="A32" t="inlineStr">
        <is>
          <t>Days_to_Compliance</t>
        </is>
      </c>
      <c r="B32">
        <f>Days_to_Compliance</f>
        <v/>
      </c>
      <c r="C32" t="inlineStr">
        <is>
          <t>8_Calc_Timeline</t>
        </is>
      </c>
      <c r="D32" t="inlineStr">
        <is>
          <t>8_Calc_Timeline, 14_Calc_Sim</t>
        </is>
      </c>
    </row>
    <row r="33">
      <c r="A33" t="inlineStr">
        <is>
          <t>Timeline_LearningMult</t>
        </is>
      </c>
      <c r="B33" t="inlineStr">
        <is>
          <t>(range - see source sheet)</t>
        </is>
      </c>
      <c r="C33" t="inlineStr">
        <is>
          <t>8_Calc_Timeline</t>
        </is>
      </c>
      <c r="D33" t="inlineStr">
        <is>
          <t>16_PL_Annual</t>
        </is>
      </c>
    </row>
    <row r="34">
      <c r="A34" t="inlineStr">
        <is>
          <t>Timeline_DiscountFactor</t>
        </is>
      </c>
      <c r="B34" t="inlineStr">
        <is>
          <t>(range - see source sheet)</t>
        </is>
      </c>
      <c r="C34" t="inlineStr">
        <is>
          <t>8_Calc_Timeline</t>
        </is>
      </c>
      <c r="D34" t="inlineStr">
        <is>
          <t>16_PL_Annual</t>
        </is>
      </c>
    </row>
    <row r="37">
      <c r="A37" s="4" t="inlineStr">
        <is>
          <t>Summary</t>
        </is>
      </c>
    </row>
    <row r="38">
      <c r="A38" t="inlineStr">
        <is>
          <t>Total inputs tracked: 30</t>
        </is>
      </c>
    </row>
    <row r="39">
      <c r="A39" t="inlineStr">
        <is>
          <t>Registry entries: 28</t>
        </is>
      </c>
    </row>
    <row r="41">
      <c r="A41" s="12" t="inlineStr">
        <is>
          <t>Note:</t>
        </is>
      </c>
    </row>
    <row r="42">
      <c r="A42" t="inlineStr">
        <is>
          <t>'Referenced By' shows direct formula references only,</t>
        </is>
      </c>
    </row>
    <row r="43">
      <c r="A43" t="inlineStr">
        <is>
          <t>not downstream dependencies. The verify_traceability()</t>
        </is>
      </c>
    </row>
    <row r="44">
      <c r="A44" t="inlineStr">
        <is>
          <t>function validates this registry against actual formulas.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FFFF00"/>
    <outlinePr summaryBelow="1" summaryRight="1"/>
    <pageSetUpPr/>
  </sheetPr>
  <dimension ref="A1:G126"/>
  <sheetViews>
    <sheetView workbookViewId="0">
      <selection activeCell="A1" sqref="A1"/>
    </sheetView>
  </sheetViews>
  <sheetFormatPr baseColWidth="8" defaultRowHeight="15"/>
  <cols>
    <col width="24" customWidth="1" min="1" max="1"/>
    <col width="14" customWidth="1" min="2" max="2"/>
    <col width="12" customWidth="1" min="3" max="3"/>
    <col width="42" customWidth="1" min="4" max="4"/>
    <col width="30" customWidth="1" min="5" max="5"/>
    <col width="16" customWidth="1" min="6" max="6"/>
    <col width="14" customWidth="1" min="7" max="7"/>
  </cols>
  <sheetData>
    <row r="1">
      <c r="A1" s="5" t="inlineStr">
        <is>
          <t>Model Assumptions (Single Source of Truth)</t>
        </is>
      </c>
    </row>
    <row r="3">
      <c r="A3" s="6" t="inlineStr">
        <is>
          <t>A. Timing Parameters</t>
        </is>
      </c>
    </row>
    <row r="4" ht="15.6" customHeight="1">
      <c r="A4" s="7" t="inlineStr">
        <is>
          <t>Description:</t>
        </is>
      </c>
      <c r="B4" s="8" t="inlineStr">
        <is>
          <t>Treatment season timing that determines the operational window for wetland treatment.</t>
        </is>
      </c>
    </row>
    <row r="5" ht="15.6" customHeight="1">
      <c r="A5" s="7" t="inlineStr">
        <is>
          <t>Purpose:</t>
        </is>
      </c>
      <c r="B5" s="8" t="inlineStr">
        <is>
          <t>Define the active treatment period for financial projections</t>
        </is>
      </c>
    </row>
    <row r="6" ht="31.2" customHeight="1">
      <c r="A6" s="7" t="inlineStr">
        <is>
          <t>Assumptions:</t>
        </is>
      </c>
      <c r="B6" s="8" t="inlineStr">
        <is>
          <t>- Treatment season aligned with Alberta weather patterns (May-September)
- Season length directly impacts annual value capture potential</t>
        </is>
      </c>
    </row>
    <row r="7" ht="15.6" customHeight="1">
      <c r="A7" s="7" t="inlineStr">
        <is>
          <t>Data Source:</t>
        </is>
      </c>
      <c r="B7" s="8" t="inlineStr">
        <is>
          <t>Standard Alberta treatment wetland operational calendar</t>
        </is>
      </c>
    </row>
    <row r="8" ht="15.6" customHeight="1">
      <c r="A8" s="7" t="inlineStr">
        <is>
          <t>Related Tables:</t>
        </is>
      </c>
      <c r="B8" s="8" t="inlineStr">
        <is>
          <t>tbl_Seasonality, tbl_Timeline</t>
        </is>
      </c>
    </row>
    <row r="9">
      <c r="A9" s="9" t="inlineStr">
        <is>
          <t>Parameter</t>
        </is>
      </c>
      <c r="B9" s="9" t="inlineStr">
        <is>
          <t>Value</t>
        </is>
      </c>
      <c r="C9" s="9" t="inlineStr">
        <is>
          <t>Unit</t>
        </is>
      </c>
      <c r="D9" s="9" t="inlineStr">
        <is>
          <t>Notes</t>
        </is>
      </c>
      <c r="E9" s="9" t="inlineStr">
        <is>
          <t>Referenced By</t>
        </is>
      </c>
    </row>
    <row r="10">
      <c r="A10" t="inlineStr">
        <is>
          <t>Season_Start_Month</t>
        </is>
      </c>
      <c r="B10" s="10" t="n">
        <v>5</v>
      </c>
      <c r="C10" t="inlineStr">
        <is>
          <t>month</t>
        </is>
      </c>
      <c r="D10" t="inlineStr">
        <is>
          <t>May</t>
        </is>
      </c>
      <c r="E10" t="inlineStr"/>
    </row>
    <row r="11">
      <c r="A11" t="inlineStr">
        <is>
          <t>Season_Start_Day</t>
        </is>
      </c>
      <c r="B11" s="10" t="n">
        <v>15</v>
      </c>
      <c r="C11" t="inlineStr">
        <is>
          <t>day</t>
        </is>
      </c>
      <c r="D11" t="inlineStr">
        <is>
          <t>Mid-May</t>
        </is>
      </c>
      <c r="E11" t="inlineStr"/>
    </row>
    <row r="12">
      <c r="A12" t="inlineStr">
        <is>
          <t>Season_End_Month</t>
        </is>
      </c>
      <c r="B12" s="10" t="n">
        <v>9</v>
      </c>
      <c r="C12" t="inlineStr">
        <is>
          <t>month</t>
        </is>
      </c>
      <c r="D12" t="inlineStr">
        <is>
          <t>September</t>
        </is>
      </c>
      <c r="E12" t="inlineStr"/>
    </row>
    <row r="13">
      <c r="A13" t="inlineStr">
        <is>
          <t>Season_End_Day</t>
        </is>
      </c>
      <c r="B13" s="10" t="n">
        <v>15</v>
      </c>
      <c r="C13" t="inlineStr">
        <is>
          <t>day</t>
        </is>
      </c>
      <c r="D13" t="inlineStr">
        <is>
          <t>Mid-September</t>
        </is>
      </c>
      <c r="E13" t="inlineStr"/>
    </row>
    <row r="14">
      <c r="A14" t="inlineStr">
        <is>
          <t>Treatment_Days</t>
        </is>
      </c>
      <c r="B14" s="10" t="n">
        <v>100</v>
      </c>
      <c r="C14" t="inlineStr">
        <is>
          <t>days</t>
        </is>
      </c>
      <c r="D14" t="inlineStr">
        <is>
          <t>Active season length</t>
        </is>
      </c>
      <c r="E14" t="inlineStr">
        <is>
          <t>8_Calc_Timeline, 13_Calc_Costs, 14_Calc_Sim</t>
        </is>
      </c>
    </row>
    <row r="16">
      <c r="A16" s="6" t="inlineStr">
        <is>
          <t>Seasonality Index</t>
        </is>
      </c>
    </row>
    <row r="17" ht="31.2" customHeight="1">
      <c r="A17" s="7" t="inlineStr">
        <is>
          <t>Description:</t>
        </is>
      </c>
      <c r="B17" s="8" t="inlineStr">
        <is>
          <t>Monthly activity multipliers reflecting natural treatment capacity variation across the season.</t>
        </is>
      </c>
    </row>
    <row r="18" ht="31.2" customHeight="1">
      <c r="A18" s="7" t="inlineStr">
        <is>
          <t>Purpose:</t>
        </is>
      </c>
      <c r="B18" s="8" t="inlineStr">
        <is>
          <t>Weight value calculations by month based on treatment capacity patterns</t>
        </is>
      </c>
    </row>
    <row r="19" ht="31.2" customHeight="1">
      <c r="A19" s="7" t="inlineStr">
        <is>
          <t>Assumptions:</t>
        </is>
      </c>
      <c r="B19" s="8" t="inlineStr">
        <is>
          <t>- Peak activity in June-July matches optimal treatment temperatures
- Ramp-up in May and decline in September reflect shoulder seasons</t>
        </is>
      </c>
    </row>
    <row r="20" ht="15.6" customHeight="1">
      <c r="A20" s="7" t="inlineStr">
        <is>
          <t>Data Source:</t>
        </is>
      </c>
      <c r="B20" s="8" t="inlineStr">
        <is>
          <t>Kearl pilot operational data patterns</t>
        </is>
      </c>
    </row>
    <row r="21" ht="15.6" customHeight="1">
      <c r="A21" s="7" t="inlineStr">
        <is>
          <t>Related Tables:</t>
        </is>
      </c>
      <c r="B21" s="8" t="inlineStr">
        <is>
          <t>tbl_Timing, tbl_Timeline</t>
        </is>
      </c>
    </row>
    <row r="22">
      <c r="A22" s="9" t="inlineStr">
        <is>
          <t>Month</t>
        </is>
      </c>
      <c r="B22" s="9" t="inlineStr">
        <is>
          <t>Month_Num</t>
        </is>
      </c>
      <c r="C22" s="9" t="inlineStr">
        <is>
          <t>Multiplier</t>
        </is>
      </c>
      <c r="D22" s="9" t="inlineStr">
        <is>
          <t>Activity</t>
        </is>
      </c>
    </row>
    <row r="23">
      <c r="A23" t="inlineStr">
        <is>
          <t>May</t>
        </is>
      </c>
      <c r="B23" t="n">
        <v>5</v>
      </c>
      <c r="C23" s="10" t="n">
        <v>0.85</v>
      </c>
      <c r="D23" t="inlineStr">
        <is>
          <t>Ramp-up</t>
        </is>
      </c>
    </row>
    <row r="24">
      <c r="A24" t="inlineStr">
        <is>
          <t>June</t>
        </is>
      </c>
      <c r="B24" t="n">
        <v>6</v>
      </c>
      <c r="C24" s="10" t="n">
        <v>1</v>
      </c>
      <c r="D24" t="inlineStr">
        <is>
          <t>Peak</t>
        </is>
      </c>
    </row>
    <row r="25">
      <c r="A25" t="inlineStr">
        <is>
          <t>July</t>
        </is>
      </c>
      <c r="B25" t="n">
        <v>7</v>
      </c>
      <c r="C25" s="10" t="n">
        <v>1</v>
      </c>
      <c r="D25" t="inlineStr">
        <is>
          <t>Peak</t>
        </is>
      </c>
    </row>
    <row r="26">
      <c r="A26" t="inlineStr">
        <is>
          <t>August</t>
        </is>
      </c>
      <c r="B26" t="n">
        <v>8</v>
      </c>
      <c r="C26" s="10" t="n">
        <v>0.95</v>
      </c>
      <c r="D26" t="inlineStr">
        <is>
          <t>Slight decline</t>
        </is>
      </c>
    </row>
    <row r="27">
      <c r="A27" t="inlineStr">
        <is>
          <t>September</t>
        </is>
      </c>
      <c r="B27" t="n">
        <v>9</v>
      </c>
      <c r="C27" s="10" t="n">
        <v>0.75</v>
      </c>
      <c r="D27" t="inlineStr">
        <is>
          <t>Decline</t>
        </is>
      </c>
    </row>
    <row r="30">
      <c r="A30" s="6" t="inlineStr">
        <is>
          <t>B. Site Configuration</t>
        </is>
      </c>
    </row>
    <row r="31" ht="15.6" customHeight="1">
      <c r="A31" s="7" t="inlineStr">
        <is>
          <t>Description:</t>
        </is>
      </c>
      <c r="B31" s="8" t="inlineStr">
        <is>
          <t>Physical wetland parameters that define treatment capacity and value per unit.</t>
        </is>
      </c>
    </row>
    <row r="32" ht="15.6" customHeight="1">
      <c r="A32" s="7" t="inlineStr">
        <is>
          <t>Purpose:</t>
        </is>
      </c>
      <c r="B32" s="8" t="inlineStr">
        <is>
          <t>Establish the operational scale for all calculations</t>
        </is>
      </c>
    </row>
    <row r="33" ht="31.2" customHeight="1">
      <c r="A33" s="7" t="inlineStr">
        <is>
          <t>Assumptions:</t>
        </is>
      </c>
      <c r="B33" s="8" t="inlineStr">
        <is>
          <t>- Standard 1.0 ha design based on Kearl pilot scaling
- HLR of 0.05 m3/m2/day is conservative for constructed wetlands</t>
        </is>
      </c>
    </row>
    <row r="34" ht="15.6" customHeight="1">
      <c r="A34" s="7" t="inlineStr">
        <is>
          <t>Data Source:</t>
        </is>
      </c>
      <c r="B34" s="8" t="inlineStr">
        <is>
          <t>Kearl pilot scaling (0.76 ha) extrapolated to standard design</t>
        </is>
      </c>
    </row>
    <row r="35" ht="15.6" customHeight="1">
      <c r="A35" s="7" t="inlineStr">
        <is>
          <t>Related Tables:</t>
        </is>
      </c>
      <c r="B35" s="8" t="inlineStr">
        <is>
          <t>tbl_TreatmentKinetics</t>
        </is>
      </c>
    </row>
    <row r="36">
      <c r="A36" s="9" t="inlineStr">
        <is>
          <t>Parameter</t>
        </is>
      </c>
      <c r="B36" s="9" t="inlineStr">
        <is>
          <t>Value</t>
        </is>
      </c>
      <c r="C36" s="9" t="inlineStr">
        <is>
          <t>Unit</t>
        </is>
      </c>
      <c r="D36" s="9" t="inlineStr">
        <is>
          <t>Source</t>
        </is>
      </c>
      <c r="E36" s="9" t="inlineStr">
        <is>
          <t>Referenced By</t>
        </is>
      </c>
    </row>
    <row r="37">
      <c r="A37" t="inlineStr">
        <is>
          <t>WetlandAreaHa</t>
        </is>
      </c>
      <c r="B37" s="10" t="n">
        <v>1</v>
      </c>
      <c r="C37" t="inlineStr">
        <is>
          <t>ha</t>
        </is>
      </c>
      <c r="D37" t="inlineStr">
        <is>
          <t>Standard design (Kearl pilot = 0.76 ha)</t>
        </is>
      </c>
      <c r="E37" t="inlineStr"/>
    </row>
    <row r="38">
      <c r="A38" t="inlineStr">
        <is>
          <t>TreatmentCells</t>
        </is>
      </c>
      <c r="B38" s="10" t="n">
        <v>5</v>
      </c>
      <c r="C38" t="inlineStr">
        <is>
          <t>count</t>
        </is>
      </c>
      <c r="D38" t="inlineStr">
        <is>
          <t>Multi-cell design</t>
        </is>
      </c>
      <c r="E38" t="inlineStr"/>
    </row>
    <row r="39">
      <c r="A39" t="inlineStr">
        <is>
          <t>AnnualThroughputM3</t>
        </is>
      </c>
      <c r="B39" s="10" t="n">
        <v>50000</v>
      </c>
      <c r="C39" t="inlineStr">
        <is>
          <t>m3/yr</t>
        </is>
      </c>
      <c r="D39" t="inlineStr">
        <is>
          <t>HLR = 0.05 m3/m2/day</t>
        </is>
      </c>
      <c r="E39" t="inlineStr"/>
    </row>
    <row r="40">
      <c r="A40" t="inlineStr">
        <is>
          <t>ValuePerM3</t>
        </is>
      </c>
      <c r="B40" s="14" t="n">
        <v>5</v>
      </c>
      <c r="C40" t="inlineStr">
        <is>
          <t>$/m3</t>
        </is>
      </c>
      <c r="D40" t="inlineStr">
        <is>
          <t>$250K/yr / 50K m3/yr (Section 6)</t>
        </is>
      </c>
      <c r="E40" t="inlineStr"/>
    </row>
    <row r="43">
      <c r="A43" s="6" t="inlineStr">
        <is>
          <t>C. Cost Parameters</t>
        </is>
      </c>
    </row>
    <row r="44" ht="15.6" customHeight="1">
      <c r="A44" s="7" t="inlineStr">
        <is>
          <t>Description:</t>
        </is>
      </c>
      <c r="B44" s="8" t="inlineStr">
        <is>
          <t>Operational cost assumptions for labor, penalties, and downtime.</t>
        </is>
      </c>
    </row>
    <row r="45" ht="15.6" customHeight="1">
      <c r="A45" s="7" t="inlineStr">
        <is>
          <t>Purpose:</t>
        </is>
      </c>
      <c r="B45" s="8" t="inlineStr">
        <is>
          <t>Enable cost-benefit calculations for testing options</t>
        </is>
      </c>
    </row>
    <row r="46" ht="31.2" customHeight="1">
      <c r="A46" s="7" t="inlineStr">
        <is>
          <t>Assumptions:</t>
        </is>
      </c>
      <c r="B46" s="8" t="inlineStr">
        <is>
          <t>- Labor costs include all direct operational expenses
- Regulatory penalty reflects typical EPEA violation costs</t>
        </is>
      </c>
    </row>
    <row r="47" ht="15.6" customHeight="1">
      <c r="A47" s="7" t="inlineStr">
        <is>
          <t>Data Source:</t>
        </is>
      </c>
      <c r="B47" s="8" t="inlineStr">
        <is>
          <t>Industry estimates from Financial Model Framework v2.1</t>
        </is>
      </c>
    </row>
    <row r="48" ht="15.6" customHeight="1">
      <c r="A48" s="7" t="inlineStr">
        <is>
          <t>Related Tables:</t>
        </is>
      </c>
      <c r="B48" s="8" t="inlineStr">
        <is>
          <t>tbl_CostCalc</t>
        </is>
      </c>
    </row>
    <row r="49">
      <c r="A49" s="9" t="inlineStr">
        <is>
          <t>Parameter</t>
        </is>
      </c>
      <c r="B49" s="9" t="inlineStr">
        <is>
          <t>Value</t>
        </is>
      </c>
      <c r="C49" s="9" t="inlineStr">
        <is>
          <t>Unit</t>
        </is>
      </c>
      <c r="D49" s="9" t="inlineStr">
        <is>
          <t>Referenced By</t>
        </is>
      </c>
    </row>
    <row r="50">
      <c r="A50" t="inlineStr">
        <is>
          <t>LaborPerDay</t>
        </is>
      </c>
      <c r="B50" s="15" t="n">
        <v>1500</v>
      </c>
      <c r="C50" t="inlineStr">
        <is>
          <t>$/day</t>
        </is>
      </c>
      <c r="D50" t="inlineStr"/>
    </row>
    <row r="51">
      <c r="A51" t="inlineStr">
        <is>
          <t>RegulatoryPenalty</t>
        </is>
      </c>
      <c r="B51" s="15" t="n">
        <v>50000</v>
      </c>
      <c r="C51" t="inlineStr">
        <is>
          <t>$</t>
        </is>
      </c>
      <c r="D51" t="inlineStr"/>
    </row>
    <row r="52">
      <c r="A52" t="inlineStr">
        <is>
          <t>DowntimeCostPerDay</t>
        </is>
      </c>
      <c r="B52" s="15" t="n">
        <v>15000</v>
      </c>
      <c r="C52" t="inlineStr">
        <is>
          <t>$/day</t>
        </is>
      </c>
      <c r="D52" t="inlineStr"/>
    </row>
    <row r="55">
      <c r="A55" s="6" t="inlineStr">
        <is>
          <t>D. Learning Curve</t>
        </is>
      </c>
    </row>
    <row r="56" ht="31.2" customHeight="1">
      <c r="A56" s="7" t="inlineStr">
        <is>
          <t>Description:</t>
        </is>
      </c>
      <c r="B56" s="8" t="inlineStr">
        <is>
          <t>Year-over-year efficiency multipliers reflecting operational maturity progression.</t>
        </is>
      </c>
    </row>
    <row r="57" ht="31.2" customHeight="1">
      <c r="A57" s="7" t="inlineStr">
        <is>
          <t>Purpose:</t>
        </is>
      </c>
      <c r="B57" s="8" t="inlineStr">
        <is>
          <t>Discount early-year value to account for pilot learning and optimization</t>
        </is>
      </c>
    </row>
    <row r="58" ht="31.2" customHeight="1">
      <c r="A58" s="7" t="inlineStr">
        <is>
          <t>Assumptions:</t>
        </is>
      </c>
      <c r="B58" s="8" t="inlineStr">
        <is>
          <t>- Year 1 at 50% reflects pilot learning phase
- Full maturity (100%) achieved by Year 3</t>
        </is>
      </c>
    </row>
    <row r="59" ht="15.6" customHeight="1">
      <c r="A59" s="7" t="inlineStr">
        <is>
          <t>Data Source:</t>
        </is>
      </c>
      <c r="B59" s="8" t="inlineStr">
        <is>
          <t>Standard industrial learning curve for new process technology</t>
        </is>
      </c>
    </row>
    <row r="60" ht="15.6" customHeight="1">
      <c r="A60" s="7" t="inlineStr">
        <is>
          <t>Related Tables:</t>
        </is>
      </c>
      <c r="B60" s="8" t="inlineStr">
        <is>
          <t>tbl_Timeline, tbl_GatedValues</t>
        </is>
      </c>
    </row>
    <row r="61">
      <c r="A61" s="9" t="inlineStr">
        <is>
          <t>Year</t>
        </is>
      </c>
      <c r="B61" s="9" t="inlineStr">
        <is>
          <t>Multiplier</t>
        </is>
      </c>
      <c r="C61" s="9" t="inlineStr">
        <is>
          <t>Notes</t>
        </is>
      </c>
      <c r="D61" s="9" t="inlineStr">
        <is>
          <t>Referenced By</t>
        </is>
      </c>
    </row>
    <row r="62">
      <c r="A62" t="n">
        <v>1</v>
      </c>
      <c r="B62" s="10" t="n">
        <v>0.5</v>
      </c>
      <c r="C62" t="inlineStr">
        <is>
          <t>Pilot learning</t>
        </is>
      </c>
      <c r="D62" t="inlineStr">
        <is>
          <t>8_Calc_Timeline</t>
        </is>
      </c>
    </row>
    <row r="63">
      <c r="A63" t="n">
        <v>2</v>
      </c>
      <c r="B63" s="10" t="n">
        <v>0.75</v>
      </c>
      <c r="C63" t="inlineStr">
        <is>
          <t>Initial optimization</t>
        </is>
      </c>
      <c r="D63" t="inlineStr">
        <is>
          <t>8_Calc_Timeline</t>
        </is>
      </c>
    </row>
    <row r="64">
      <c r="A64" t="n">
        <v>3</v>
      </c>
      <c r="B64" s="10" t="n">
        <v>1</v>
      </c>
      <c r="C64" t="inlineStr">
        <is>
          <t>Full maturity</t>
        </is>
      </c>
      <c r="D64" t="inlineStr">
        <is>
          <t>8_Calc_Timeline</t>
        </is>
      </c>
    </row>
    <row r="65">
      <c r="A65" t="n">
        <v>4</v>
      </c>
      <c r="B65" s="10" t="n">
        <v>1</v>
      </c>
      <c r="C65" t="inlineStr">
        <is>
          <t>Steady state</t>
        </is>
      </c>
      <c r="D65" t="inlineStr">
        <is>
          <t>8_Calc_Timeline</t>
        </is>
      </c>
    </row>
    <row r="66">
      <c r="A66" t="n">
        <v>5</v>
      </c>
      <c r="B66" s="10" t="n">
        <v>1</v>
      </c>
      <c r="C66" t="inlineStr">
        <is>
          <t>Steady state</t>
        </is>
      </c>
      <c r="D66" t="inlineStr">
        <is>
          <t>8_Calc_Timeline</t>
        </is>
      </c>
    </row>
    <row r="69">
      <c r="A69" s="6" t="inlineStr">
        <is>
          <t>E. Test Options</t>
        </is>
      </c>
    </row>
    <row r="70" ht="15.6" customHeight="1">
      <c r="A70" s="7" t="inlineStr">
        <is>
          <t>Description:</t>
        </is>
      </c>
      <c r="B70" s="8" t="inlineStr">
        <is>
          <t>Testing method specifications including frequency, cost, and result latency.</t>
        </is>
      </c>
    </row>
    <row r="71" ht="15.6" customHeight="1">
      <c r="A71" s="7" t="inlineStr">
        <is>
          <t>Purpose:</t>
        </is>
      </c>
      <c r="B71" s="8" t="inlineStr">
        <is>
          <t>Compare HRMS lab testing vs real-time biosensor monitoring approaches</t>
        </is>
      </c>
    </row>
    <row r="72" ht="46.8" customHeight="1">
      <c r="A72" s="7" t="inlineStr">
        <is>
          <t>Assumptions:</t>
        </is>
      </c>
      <c r="B72" s="8" t="inlineStr">
        <is>
          <t>- HRMS costs include lab fees and sample logistics
- Biosensor costs assume deployed hardware and consumables
- Latency includes sample processing and reporting time</t>
        </is>
      </c>
    </row>
    <row r="73" ht="15.6" customHeight="1">
      <c r="A73" s="7" t="inlineStr">
        <is>
          <t>Data Source:</t>
        </is>
      </c>
      <c r="B73" s="8" t="inlineStr">
        <is>
          <t>HRMS: Commercial lab quotes; Biosensor: Luminous device specifications</t>
        </is>
      </c>
    </row>
    <row r="74" ht="15.6" customHeight="1">
      <c r="A74" s="7" t="inlineStr">
        <is>
          <t>Related Tables:</t>
        </is>
      </c>
      <c r="B74" s="8" t="inlineStr">
        <is>
          <t>tbl_LatencyGating, tbl_CostCalc</t>
        </is>
      </c>
    </row>
    <row r="75">
      <c r="A75" s="9" t="inlineStr">
        <is>
          <t>Option</t>
        </is>
      </c>
      <c r="B75" s="9" t="inlineStr">
        <is>
          <t>Method</t>
        </is>
      </c>
      <c r="C75" s="9" t="inlineStr">
        <is>
          <t>Interval</t>
        </is>
      </c>
      <c r="D75" s="9" t="inlineStr">
        <is>
          <t>Points</t>
        </is>
      </c>
      <c r="E75" s="9" t="inlineStr">
        <is>
          <t>Cost_Per_Test</t>
        </is>
      </c>
      <c r="F75" s="9" t="inlineStr">
        <is>
          <t>Latency_Days</t>
        </is>
      </c>
      <c r="G75" s="9" t="inlineStr">
        <is>
          <t>Referenced By</t>
        </is>
      </c>
    </row>
    <row r="76">
      <c r="A76" t="inlineStr">
        <is>
          <t>Monthly_HRMS</t>
        </is>
      </c>
      <c r="B76" t="inlineStr">
        <is>
          <t>HRMS</t>
        </is>
      </c>
      <c r="C76" t="n">
        <v>30</v>
      </c>
      <c r="D76" t="n">
        <v>2</v>
      </c>
      <c r="E76" s="16" t="n">
        <v>1000</v>
      </c>
      <c r="F76" t="n">
        <v>42</v>
      </c>
      <c r="G76" t="inlineStr"/>
    </row>
    <row r="77">
      <c r="A77" t="inlineStr">
        <is>
          <t>Weekly_HRMS</t>
        </is>
      </c>
      <c r="B77" t="inlineStr">
        <is>
          <t>HRMS</t>
        </is>
      </c>
      <c r="C77" t="n">
        <v>7</v>
      </c>
      <c r="D77" t="n">
        <v>2</v>
      </c>
      <c r="E77" s="16" t="n">
        <v>1000</v>
      </c>
      <c r="F77" t="n">
        <v>42</v>
      </c>
      <c r="G77" t="inlineStr"/>
    </row>
    <row r="78">
      <c r="A78" t="inlineStr">
        <is>
          <t>Daily_Biosensor</t>
        </is>
      </c>
      <c r="B78" t="inlineStr">
        <is>
          <t>Biosensor</t>
        </is>
      </c>
      <c r="C78" t="n">
        <v>1</v>
      </c>
      <c r="D78" t="n">
        <v>10</v>
      </c>
      <c r="E78" s="16" t="n">
        <v>10</v>
      </c>
      <c r="F78" t="n">
        <v>1</v>
      </c>
      <c r="G78" t="inlineStr"/>
    </row>
    <row r="80">
      <c r="A80" s="6" t="inlineStr">
        <is>
          <t>Latency Gating (Calculated)</t>
        </is>
      </c>
    </row>
    <row r="81" ht="15.6" customHeight="1">
      <c r="A81" s="7" t="inlineStr">
        <is>
          <t>Description:</t>
        </is>
      </c>
      <c r="B81" s="8" t="inlineStr">
        <is>
          <t>Calculated gate status showing which testing options can capture each value scenario.</t>
        </is>
      </c>
    </row>
    <row r="82" ht="15.6" customHeight="1">
      <c r="A82" s="7" t="inlineStr">
        <is>
          <t>Purpose:</t>
        </is>
      </c>
      <c r="B82" s="8" t="inlineStr">
        <is>
          <t>Determine ENABLED/BLOCKED status based on latency vs required response time</t>
        </is>
      </c>
    </row>
    <row r="83" ht="46.8" customHeight="1">
      <c r="A83" s="7" t="inlineStr">
        <is>
          <t>Assumptions:</t>
        </is>
      </c>
      <c r="B83" s="8" t="inlineStr">
        <is>
          <t>- ENABLED if testing latency &lt;= scenario required response days
- BLOCKED if testing latency &gt; scenario required response days
- Gates determine whether value can be captured</t>
        </is>
      </c>
    </row>
    <row r="84" ht="15.6" customHeight="1">
      <c r="A84" s="7" t="inlineStr">
        <is>
          <t>Data Source:</t>
        </is>
      </c>
      <c r="B84" s="8" t="inlineStr">
        <is>
          <t>Calculated from tbl_TestOptions latency vs tbl_ValueScenarios requirements</t>
        </is>
      </c>
    </row>
    <row r="85" ht="15.6" customHeight="1">
      <c r="A85" s="7" t="inlineStr">
        <is>
          <t>Related Tables:</t>
        </is>
      </c>
      <c r="B85" s="8" t="inlineStr">
        <is>
          <t>tbl_TestOptions, tbl_ValueScenarios, tbl_GatedValues</t>
        </is>
      </c>
    </row>
    <row r="86">
      <c r="A86" s="9" t="inlineStr">
        <is>
          <t>Option</t>
        </is>
      </c>
      <c r="B86" s="9" t="inlineStr">
        <is>
          <t>S1_Gate</t>
        </is>
      </c>
      <c r="C86" s="9" t="inlineStr">
        <is>
          <t>S2_Gate</t>
        </is>
      </c>
      <c r="D86" s="9" t="inlineStr">
        <is>
          <t>S3_Gate</t>
        </is>
      </c>
      <c r="E86" s="9" t="inlineStr">
        <is>
          <t>S4_Gate</t>
        </is>
      </c>
    </row>
    <row r="87">
      <c r="A87" t="inlineStr">
        <is>
          <t>Monthly_HRMS</t>
        </is>
      </c>
      <c r="B87">
        <f>IF(INDEX(TestOpt_Latency,1)&lt;=7,"ENABLED","BLOCKED")</f>
        <v/>
      </c>
      <c r="C87">
        <f>IF(INDEX(TestOpt_Latency,1)&lt;=7,"ENABLED","BLOCKED")</f>
        <v/>
      </c>
      <c r="D87">
        <f>IF(INDEX(TestOpt_Latency,1)&lt;=14,"ENABLED","BLOCKED")</f>
        <v/>
      </c>
      <c r="E87">
        <f>IF(INDEX(TestOpt_Latency,1)&lt;=3,"ENABLED","BLOCKED")</f>
        <v/>
      </c>
    </row>
    <row r="88">
      <c r="A88" t="inlineStr">
        <is>
          <t>Weekly_HRMS</t>
        </is>
      </c>
      <c r="B88">
        <f>IF(INDEX(TestOpt_Latency,2)&lt;=7,"ENABLED","BLOCKED")</f>
        <v/>
      </c>
      <c r="C88">
        <f>IF(INDEX(TestOpt_Latency,2)&lt;=7,"ENABLED","BLOCKED")</f>
        <v/>
      </c>
      <c r="D88">
        <f>IF(INDEX(TestOpt_Latency,2)&lt;=14,"ENABLED","BLOCKED")</f>
        <v/>
      </c>
      <c r="E88">
        <f>IF(INDEX(TestOpt_Latency,2)&lt;=3,"ENABLED","BLOCKED")</f>
        <v/>
      </c>
    </row>
    <row r="89">
      <c r="A89" t="inlineStr">
        <is>
          <t>Daily_Biosensor</t>
        </is>
      </c>
      <c r="B89">
        <f>IF(INDEX(TestOpt_Latency,3)&lt;=7,"ENABLED","BLOCKED")</f>
        <v/>
      </c>
      <c r="C89">
        <f>IF(INDEX(TestOpt_Latency,3)&lt;=7,"ENABLED","BLOCKED")</f>
        <v/>
      </c>
      <c r="D89">
        <f>IF(INDEX(TestOpt_Latency,3)&lt;=14,"ENABLED","BLOCKED")</f>
        <v/>
      </c>
      <c r="E89">
        <f>IF(INDEX(TestOpt_Latency,3)&lt;=3,"ENABLED","BLOCKED")</f>
        <v/>
      </c>
    </row>
    <row r="92">
      <c r="A92" s="4" t="inlineStr">
        <is>
          <t>F. VALIDATION LISTS</t>
        </is>
      </c>
    </row>
    <row r="93">
      <c r="A93" t="inlineStr">
        <is>
          <t>Testing_Options</t>
        </is>
      </c>
      <c r="B93" t="inlineStr">
        <is>
          <t>Scenarios</t>
        </is>
      </c>
    </row>
    <row r="94">
      <c r="A94" t="inlineStr">
        <is>
          <t>Monthly_HRMS</t>
        </is>
      </c>
      <c r="B94" t="inlineStr">
        <is>
          <t>Base</t>
        </is>
      </c>
    </row>
    <row r="95">
      <c r="A95" t="inlineStr">
        <is>
          <t>Weekly_HRMS</t>
        </is>
      </c>
      <c r="B95" t="inlineStr">
        <is>
          <t>Conservative</t>
        </is>
      </c>
    </row>
    <row r="96">
      <c r="A96" t="inlineStr">
        <is>
          <t>Daily_Biosensor</t>
        </is>
      </c>
      <c r="B96" t="inlineStr">
        <is>
          <t>Optimistic</t>
        </is>
      </c>
    </row>
    <row r="98">
      <c r="A98" s="4" t="inlineStr">
        <is>
          <t>G. MC ANCHOR</t>
        </is>
      </c>
    </row>
    <row r="99">
      <c r="A99" t="inlineStr">
        <is>
          <t>MC_Anchor --&gt;</t>
        </is>
      </c>
    </row>
    <row r="101">
      <c r="A101" s="6" t="inlineStr">
        <is>
          <t>H. Treatment Kinetics</t>
        </is>
      </c>
    </row>
    <row r="102" ht="15.6" customHeight="1">
      <c r="A102" s="7" t="inlineStr">
        <is>
          <t>Description:</t>
        </is>
      </c>
      <c r="B102" s="8" t="inlineStr">
        <is>
          <t>NAFC removal rate parameters from Kearl 2022 pilot field data.</t>
        </is>
      </c>
    </row>
    <row r="103" ht="15.6" customHeight="1">
      <c r="A103" s="7" t="inlineStr">
        <is>
          <t>Purpose:</t>
        </is>
      </c>
      <c r="B103" s="8" t="inlineStr">
        <is>
          <t>Model treatment progression and time-to-compliance calculations</t>
        </is>
      </c>
    </row>
    <row r="104" ht="31.2" customHeight="1">
      <c r="A104" s="7" t="inlineStr">
        <is>
          <t>Assumptions:</t>
        </is>
      </c>
      <c r="B104" s="8" t="inlineStr">
        <is>
          <t>- Biphasic removal: rapid initial phase (Days 0-15) then slower steady state
- Rates calibrated from Vander Meulen &amp; Headley (2024) GROW presentation</t>
        </is>
      </c>
    </row>
    <row r="105" ht="15.6" customHeight="1">
      <c r="A105" s="7" t="inlineStr">
        <is>
          <t>Data Source:</t>
        </is>
      </c>
      <c r="B105" s="8" t="inlineStr">
        <is>
          <t>Kearl 2022 pilot data - Vander Meulen &amp; Headley GROW presentation</t>
        </is>
      </c>
    </row>
    <row r="106" ht="15.6" customHeight="1">
      <c r="A106" s="7" t="inlineStr">
        <is>
          <t>Related Tables:</t>
        </is>
      </c>
      <c r="B106" s="8" t="inlineStr">
        <is>
          <t>tbl_ToxicityMilestones, tbl_Stochastic</t>
        </is>
      </c>
    </row>
    <row r="107">
      <c r="A107" s="9" t="inlineStr">
        <is>
          <t>Parameter</t>
        </is>
      </c>
      <c r="B107" s="9" t="inlineStr">
        <is>
          <t>Value</t>
        </is>
      </c>
      <c r="C107" s="9" t="inlineStr">
        <is>
          <t>Unit</t>
        </is>
      </c>
      <c r="D107" s="9" t="inlineStr">
        <is>
          <t>Notes</t>
        </is>
      </c>
      <c r="E107" s="9" t="inlineStr">
        <is>
          <t>Referenced By</t>
        </is>
      </c>
    </row>
    <row r="108">
      <c r="A108" t="inlineStr">
        <is>
          <t>Initial_NAFC</t>
        </is>
      </c>
      <c r="B108" s="17" t="n">
        <v>63.1</v>
      </c>
      <c r="C108" t="inlineStr">
        <is>
          <t>mg/L</t>
        </is>
      </c>
      <c r="D108" t="inlineStr">
        <is>
          <t>Kearl 2022 Day 0 concentration</t>
        </is>
      </c>
      <c r="E108" t="inlineStr">
        <is>
          <t>8_Calc_Timeline</t>
        </is>
      </c>
    </row>
    <row r="109">
      <c r="A109" t="inlineStr">
        <is>
          <t>Target_NAFC</t>
        </is>
      </c>
      <c r="B109" s="17" t="n">
        <v>50</v>
      </c>
      <c r="C109" t="inlineStr">
        <is>
          <t>mg/L</t>
        </is>
      </c>
      <c r="D109" t="inlineStr">
        <is>
          <t>Regulatory threshold for non-toxicity</t>
        </is>
      </c>
      <c r="E109" t="inlineStr">
        <is>
          <t>8_Calc_Timeline</t>
        </is>
      </c>
    </row>
    <row r="110">
      <c r="A110" t="inlineStr">
        <is>
          <t>Rapid_Phase_Rate</t>
        </is>
      </c>
      <c r="B110" s="17" t="n">
        <v>0.532</v>
      </c>
      <c r="C110" t="inlineStr">
        <is>
          <t>mg/L/day</t>
        </is>
      </c>
      <c r="D110" t="inlineStr">
        <is>
          <t>Kearl Days 0-15 (R^2=0.43)</t>
        </is>
      </c>
      <c r="E110" t="inlineStr">
        <is>
          <t>8_Calc_Timeline</t>
        </is>
      </c>
    </row>
    <row r="111">
      <c r="A111" t="inlineStr">
        <is>
          <t>Slow_Phase_Rate</t>
        </is>
      </c>
      <c r="B111" s="17" t="n">
        <v>0.248</v>
      </c>
      <c r="C111" t="inlineStr">
        <is>
          <t>mg/L/day</t>
        </is>
      </c>
      <c r="D111" t="inlineStr">
        <is>
          <t>Kearl Days 30-69 (R^2=0.50)</t>
        </is>
      </c>
      <c r="E111" t="inlineStr">
        <is>
          <t>8_Calc_Timeline</t>
        </is>
      </c>
    </row>
    <row r="112">
      <c r="A112" t="inlineStr">
        <is>
          <t>Rapid_Phase_Duration</t>
        </is>
      </c>
      <c r="B112" s="10" t="n">
        <v>15</v>
      </c>
      <c r="C112" t="inlineStr">
        <is>
          <t>days</t>
        </is>
      </c>
      <c r="D112" t="inlineStr">
        <is>
          <t>Duration of rapid removal phase</t>
        </is>
      </c>
      <c r="E112" t="inlineStr">
        <is>
          <t>8_Calc_Timeline</t>
        </is>
      </c>
    </row>
    <row r="113">
      <c r="A113" t="inlineStr">
        <is>
          <t>Recirculation_Cycle</t>
        </is>
      </c>
      <c r="B113" s="10" t="n">
        <v>14</v>
      </c>
      <c r="C113" t="inlineStr">
        <is>
          <t>days</t>
        </is>
      </c>
      <c r="D113" t="inlineStr">
        <is>
          <t>Standard wetland recirculation</t>
        </is>
      </c>
      <c r="E113" t="inlineStr">
        <is>
          <t>8_Calc_Timeline</t>
        </is>
      </c>
    </row>
    <row r="114">
      <c r="A114" t="inlineStr">
        <is>
          <t>System_Capacity</t>
        </is>
      </c>
      <c r="B114" s="10" t="n">
        <v>8772</v>
      </c>
      <c r="C114" t="inlineStr">
        <is>
          <t>m3</t>
        </is>
      </c>
      <c r="D114" t="inlineStr">
        <is>
          <t>Kearl 4-bay system volume</t>
        </is>
      </c>
      <c r="E114" t="inlineStr"/>
    </row>
    <row r="117">
      <c r="A117" s="6" t="inlineStr">
        <is>
          <t>I. Toxicity Milestones</t>
        </is>
      </c>
    </row>
    <row r="118" ht="31.2" customHeight="1">
      <c r="A118" s="7" t="inlineStr">
        <is>
          <t>Description:</t>
        </is>
      </c>
      <c r="B118" s="8" t="inlineStr">
        <is>
          <t>Fathead minnow embryo survival endpoints marking treatment progress toward non-toxicity.</t>
        </is>
      </c>
    </row>
    <row r="119" ht="15.6" customHeight="1">
      <c r="A119" s="7" t="inlineStr">
        <is>
          <t>Purpose:</t>
        </is>
      </c>
      <c r="B119" s="8" t="inlineStr">
        <is>
          <t>Define compliance milestones for treatment effectiveness tracking</t>
        </is>
      </c>
    </row>
    <row r="120" ht="31.2" customHeight="1">
      <c r="A120" s="7" t="inlineStr">
        <is>
          <t>Assumptions:</t>
        </is>
      </c>
      <c r="B120" s="8" t="inlineStr">
        <is>
          <t>- LC50 at Day 14 marks start of toxicity reduction
- Non-toxic threshold (&gt;90% survival) typically achieved by Day 42</t>
        </is>
      </c>
    </row>
    <row r="121" ht="15.6" customHeight="1">
      <c r="A121" s="7" t="inlineStr">
        <is>
          <t>Data Source:</t>
        </is>
      </c>
      <c r="B121" s="8" t="inlineStr">
        <is>
          <t>Parrott Lab (Burlington) fathead minnow embryo bioassays</t>
        </is>
      </c>
    </row>
    <row r="122" ht="15.6" customHeight="1">
      <c r="A122" s="7" t="inlineStr">
        <is>
          <t>Related Tables:</t>
        </is>
      </c>
      <c r="B122" s="8" t="inlineStr">
        <is>
          <t>tbl_TreatmentKinetics</t>
        </is>
      </c>
    </row>
    <row r="123">
      <c r="A123" s="9" t="inlineStr">
        <is>
          <t>Milestone</t>
        </is>
      </c>
      <c r="B123" s="9" t="inlineStr">
        <is>
          <t>Days</t>
        </is>
      </c>
      <c r="C123" s="9" t="inlineStr">
        <is>
          <t>Survival</t>
        </is>
      </c>
      <c r="D123" s="9" t="inlineStr">
        <is>
          <t>Notes</t>
        </is>
      </c>
    </row>
    <row r="124">
      <c r="A124" t="inlineStr">
        <is>
          <t>Day_LC50</t>
        </is>
      </c>
      <c r="B124" s="10" t="n">
        <v>14</v>
      </c>
      <c r="C124" t="inlineStr">
        <is>
          <t>50%</t>
        </is>
      </c>
      <c r="D124" t="inlineStr">
        <is>
          <t>1 recirculation cycle - LC50 threshold</t>
        </is>
      </c>
    </row>
    <row r="125">
      <c r="A125" t="inlineStr">
        <is>
          <t>Day_80_Survival</t>
        </is>
      </c>
      <c r="B125" s="10" t="n">
        <v>28</v>
      </c>
      <c r="C125" t="inlineStr">
        <is>
          <t>80-90%</t>
        </is>
      </c>
      <c r="D125" t="inlineStr">
        <is>
          <t>2 recirculation cycles</t>
        </is>
      </c>
    </row>
    <row r="126">
      <c r="A126" t="inlineStr">
        <is>
          <t>Day_Nontoxic</t>
        </is>
      </c>
      <c r="B126" s="10" t="n">
        <v>42</v>
      </c>
      <c r="C126" t="inlineStr">
        <is>
          <t>&gt;90%</t>
        </is>
      </c>
      <c r="D126" t="inlineStr">
        <is>
          <t>3 cycles - equivalent to negative control</t>
        </is>
      </c>
    </row>
  </sheetData>
  <mergeCells count="45">
    <mergeCell ref="B120:D120"/>
    <mergeCell ref="B60:D60"/>
    <mergeCell ref="B83:E83"/>
    <mergeCell ref="B57:D57"/>
    <mergeCell ref="B6:E6"/>
    <mergeCell ref="B17:D17"/>
    <mergeCell ref="B119:D119"/>
    <mergeCell ref="B33:E33"/>
    <mergeCell ref="B104:E104"/>
    <mergeCell ref="B44:D44"/>
    <mergeCell ref="B5:E5"/>
    <mergeCell ref="B73:G73"/>
    <mergeCell ref="B85:E85"/>
    <mergeCell ref="B32:E32"/>
    <mergeCell ref="B19:D19"/>
    <mergeCell ref="B35:E35"/>
    <mergeCell ref="B4:E4"/>
    <mergeCell ref="B106:E106"/>
    <mergeCell ref="B118:D118"/>
    <mergeCell ref="B7:E7"/>
    <mergeCell ref="B74:G74"/>
    <mergeCell ref="B81:E81"/>
    <mergeCell ref="B20:D20"/>
    <mergeCell ref="B31:E31"/>
    <mergeCell ref="B102:E102"/>
    <mergeCell ref="B105:E105"/>
    <mergeCell ref="B45:D45"/>
    <mergeCell ref="B47:D47"/>
    <mergeCell ref="B72:G72"/>
    <mergeCell ref="B121:D121"/>
    <mergeCell ref="B59:D59"/>
    <mergeCell ref="B8:E8"/>
    <mergeCell ref="B46:D46"/>
    <mergeCell ref="B122:D122"/>
    <mergeCell ref="B82:E82"/>
    <mergeCell ref="B71:G71"/>
    <mergeCell ref="B18:D18"/>
    <mergeCell ref="B56:D56"/>
    <mergeCell ref="B58:D58"/>
    <mergeCell ref="B21:D21"/>
    <mergeCell ref="B103:E103"/>
    <mergeCell ref="B34:E34"/>
    <mergeCell ref="B70:G70"/>
    <mergeCell ref="B48:D48"/>
    <mergeCell ref="B84:E84"/>
  </mergeCells>
  <pageMargins left="0.75" right="0.75" top="1" bottom="1" header="0.5" footer="0.5"/>
  <tableParts count="9">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6.xml><?xml version="1.0" encoding="utf-8"?>
<worksheet xmlns="http://schemas.openxmlformats.org/spreadsheetml/2006/main">
  <sheetPr>
    <tabColor rgb="00FFFF00"/>
    <outlinePr summaryBelow="1" summaryRight="1"/>
    <pageSetUpPr/>
  </sheetPr>
  <dimension ref="A1:H23"/>
  <sheetViews>
    <sheetView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30" customWidth="1" min="8" max="8"/>
  </cols>
  <sheetData>
    <row r="1">
      <c r="A1" s="5" t="inlineStr">
        <is>
          <t>Environmental Driver Profiles</t>
        </is>
      </c>
    </row>
    <row r="3">
      <c r="A3" s="18" t="inlineStr">
        <is>
          <t>Environmental Drivers</t>
        </is>
      </c>
      <c r="B3" s="19" t="n"/>
      <c r="C3" s="19" t="n"/>
      <c r="D3" s="19" t="n"/>
      <c r="E3" s="19" t="n"/>
      <c r="F3" s="19" t="n"/>
      <c r="G3" s="19" t="n"/>
      <c r="H3" s="20" t="n"/>
    </row>
    <row r="4" ht="93.60000000000001" customHeight="1">
      <c r="A4" s="21" t="inlineStr">
        <is>
          <t>Monthly profiles for key environmental variables affecting treatment kinetics.
Temperature drives Q10 rate modifier (rates double per 10C above 20C).
UV intensity affects photodegradation rates.
Dissolved oxygen controls aerobic biodegradation.
Nutrient availability influences microbial activity.
Bioavailability accounts for sorption and binding effects.</t>
        </is>
      </c>
      <c r="B4" s="19" t="n"/>
      <c r="C4" s="19" t="n"/>
      <c r="D4" s="19" t="n"/>
      <c r="E4" s="19" t="n"/>
      <c r="F4" s="19" t="n"/>
      <c r="G4" s="19" t="n"/>
      <c r="H4" s="20" t="n"/>
    </row>
    <row r="7">
      <c r="A7" s="9" t="inlineStr">
        <is>
          <t>Variable</t>
        </is>
      </c>
      <c r="B7" s="9" t="inlineStr">
        <is>
          <t>Unit</t>
        </is>
      </c>
      <c r="C7" s="9" t="inlineStr">
        <is>
          <t>May</t>
        </is>
      </c>
      <c r="D7" s="9" t="inlineStr">
        <is>
          <t>Jun</t>
        </is>
      </c>
      <c r="E7" s="9" t="inlineStr">
        <is>
          <t>Jul</t>
        </is>
      </c>
      <c r="F7" s="9" t="inlineStr">
        <is>
          <t>Aug</t>
        </is>
      </c>
      <c r="G7" s="9" t="inlineStr">
        <is>
          <t>Sep</t>
        </is>
      </c>
      <c r="H7" s="9" t="inlineStr">
        <is>
          <t>Notes</t>
        </is>
      </c>
    </row>
    <row r="8">
      <c r="A8" t="inlineStr">
        <is>
          <t>Temp_Water</t>
        </is>
      </c>
      <c r="B8" t="inlineStr">
        <is>
          <t>C</t>
        </is>
      </c>
      <c r="C8" s="22" t="n">
        <v>10</v>
      </c>
      <c r="D8" s="22" t="n">
        <v>16</v>
      </c>
      <c r="E8" s="22" t="n">
        <v>20</v>
      </c>
      <c r="F8" s="22" t="n">
        <v>18</v>
      </c>
      <c r="G8" s="22" t="n">
        <v>12</v>
      </c>
      <c r="H8" t="inlineStr">
        <is>
          <t>Water temperature - Q10 driver</t>
        </is>
      </c>
    </row>
    <row r="9">
      <c r="A9" t="inlineStr">
        <is>
          <t>UV_Relative</t>
        </is>
      </c>
      <c r="B9" t="inlineStr">
        <is>
          <t>0-1</t>
        </is>
      </c>
      <c r="C9" s="23" t="n">
        <v>0.75</v>
      </c>
      <c r="D9" s="23" t="n">
        <v>1</v>
      </c>
      <c r="E9" s="23" t="n">
        <v>1</v>
      </c>
      <c r="F9" s="23" t="n">
        <v>0.85</v>
      </c>
      <c r="G9" s="23" t="n">
        <v>0.55</v>
      </c>
      <c r="H9" t="inlineStr">
        <is>
          <t>Relative UV intensity</t>
        </is>
      </c>
    </row>
    <row r="10">
      <c r="A10" t="inlineStr">
        <is>
          <t>DO_Typical</t>
        </is>
      </c>
      <c r="B10" t="inlineStr">
        <is>
          <t>mg/L</t>
        </is>
      </c>
      <c r="C10" s="23" t="n">
        <v>8.5</v>
      </c>
      <c r="D10" s="23" t="n">
        <v>7.5</v>
      </c>
      <c r="E10" s="23" t="n">
        <v>6.5</v>
      </c>
      <c r="F10" s="23" t="n">
        <v>7</v>
      </c>
      <c r="G10" s="23" t="n">
        <v>8</v>
      </c>
      <c r="H10" t="inlineStr">
        <is>
          <t>Dissolved oxygen</t>
        </is>
      </c>
    </row>
    <row r="11">
      <c r="A11" t="inlineStr">
        <is>
          <t>Nutrient_Index</t>
        </is>
      </c>
      <c r="B11" t="inlineStr">
        <is>
          <t>0-1</t>
        </is>
      </c>
      <c r="C11" s="23" t="n">
        <v>1</v>
      </c>
      <c r="D11" s="23" t="n">
        <v>0.7</v>
      </c>
      <c r="E11" s="23" t="n">
        <v>0.4</v>
      </c>
      <c r="F11" s="23" t="n">
        <v>0.3</v>
      </c>
      <c r="G11" s="23" t="n">
        <v>0.2</v>
      </c>
      <c r="H11" t="inlineStr">
        <is>
          <t>Nutrient availability</t>
        </is>
      </c>
    </row>
    <row r="12">
      <c r="A12" t="inlineStr">
        <is>
          <t>Bioavail_Index</t>
        </is>
      </c>
      <c r="B12" t="inlineStr">
        <is>
          <t>0-1</t>
        </is>
      </c>
      <c r="C12" s="23" t="n">
        <v>0.7</v>
      </c>
      <c r="D12" s="23" t="n">
        <v>0.9</v>
      </c>
      <c r="E12" s="23" t="n">
        <v>1</v>
      </c>
      <c r="F12" s="23" t="n">
        <v>0.95</v>
      </c>
      <c r="G12" s="23" t="n">
        <v>0.8</v>
      </c>
      <c r="H12" t="inlineStr">
        <is>
          <t>Bioavailability factor</t>
        </is>
      </c>
    </row>
    <row r="15">
      <c r="A15" s="12" t="inlineStr">
        <is>
          <t>Ionic Parameters (Compliance Gates)</t>
        </is>
      </c>
    </row>
    <row r="16">
      <c r="A16" s="9" t="inlineStr">
        <is>
          <t>Parameter</t>
        </is>
      </c>
      <c r="B16" s="9" t="inlineStr">
        <is>
          <t>Unit</t>
        </is>
      </c>
      <c r="C16" s="9" t="inlineStr">
        <is>
          <t>Min</t>
        </is>
      </c>
      <c r="D16" s="9" t="inlineStr">
        <is>
          <t>Mode</t>
        </is>
      </c>
      <c r="E16" s="9" t="inlineStr">
        <is>
          <t>Max</t>
        </is>
      </c>
      <c r="F16" s="9" t="inlineStr">
        <is>
          <t>Threshold</t>
        </is>
      </c>
      <c r="G16" s="9" t="inlineStr">
        <is>
          <t>Direction</t>
        </is>
      </c>
      <c r="H16" s="9" t="inlineStr">
        <is>
          <t>Notes</t>
        </is>
      </c>
    </row>
    <row r="17">
      <c r="A17" t="inlineStr">
        <is>
          <t>Chloride</t>
        </is>
      </c>
      <c r="B17" t="inlineStr">
        <is>
          <t>mg/L</t>
        </is>
      </c>
      <c r="C17" s="24" t="n">
        <v>50</v>
      </c>
      <c r="D17" s="24" t="n">
        <v>150</v>
      </c>
      <c r="E17" s="24" t="n">
        <v>300</v>
      </c>
      <c r="F17" t="n">
        <v>230</v>
      </c>
      <c r="G17" t="inlineStr">
        <is>
          <t>below</t>
        </is>
      </c>
      <c r="H17" t="inlineStr">
        <is>
          <t>Aquatic life threshold</t>
        </is>
      </c>
    </row>
    <row r="18">
      <c r="A18" t="inlineStr">
        <is>
          <t>SAR</t>
        </is>
      </c>
      <c r="B18" t="inlineStr">
        <is>
          <t>ratio</t>
        </is>
      </c>
      <c r="C18" s="22" t="n">
        <v>1</v>
      </c>
      <c r="D18" s="22" t="n">
        <v>2.5</v>
      </c>
      <c r="E18" s="22" t="n">
        <v>6</v>
      </c>
      <c r="F18" t="n">
        <v>4</v>
      </c>
      <c r="G18" t="inlineStr">
        <is>
          <t>below</t>
        </is>
      </c>
      <c r="H18" t="inlineStr">
        <is>
          <t>Land application limit</t>
        </is>
      </c>
    </row>
    <row r="19">
      <c r="A19" t="inlineStr">
        <is>
          <t>Sulfate</t>
        </is>
      </c>
      <c r="B19" t="inlineStr">
        <is>
          <t>mg/L</t>
        </is>
      </c>
      <c r="C19" s="24" t="n">
        <v>100</v>
      </c>
      <c r="D19" s="24" t="n">
        <v>300</v>
      </c>
      <c r="E19" s="24" t="n">
        <v>600</v>
      </c>
      <c r="F19" t="n">
        <v>500</v>
      </c>
      <c r="G19" t="inlineStr">
        <is>
          <t>below</t>
        </is>
      </c>
      <c r="H19" t="inlineStr">
        <is>
          <t>Process water indicator</t>
        </is>
      </c>
    </row>
    <row r="20">
      <c r="A20" t="inlineStr">
        <is>
          <t>DO_Compliance</t>
        </is>
      </c>
      <c r="B20" t="inlineStr">
        <is>
          <t>mg/L</t>
        </is>
      </c>
      <c r="C20" s="22" t="n">
        <v>5</v>
      </c>
      <c r="D20" s="22" t="n">
        <v>7</v>
      </c>
      <c r="E20" s="22" t="n">
        <v>9</v>
      </c>
      <c r="F20" t="n">
        <v>6.5</v>
      </c>
      <c r="G20" t="inlineStr">
        <is>
          <t>above</t>
        </is>
      </c>
      <c r="H20" t="inlineStr">
        <is>
          <t>Minimum for discharge</t>
        </is>
      </c>
    </row>
    <row r="23">
      <c r="A23" s="12" t="inlineStr">
        <is>
          <t>Current Site Profile:</t>
        </is>
      </c>
      <c r="B23" t="inlineStr">
        <is>
          <t>Kearl</t>
        </is>
      </c>
      <c r="C23" t="inlineStr">
        <is>
          <t>(from config/sites/kearl.yaml)</t>
        </is>
      </c>
    </row>
  </sheetData>
  <mergeCells count="2">
    <mergeCell ref="A4:H4"/>
    <mergeCell ref="A3:H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tabColor rgb="00FFFF00"/>
    <outlinePr summaryBelow="1" summaryRight="1"/>
    <pageSetUpPr/>
  </sheetPr>
  <dimension ref="A1:E25"/>
  <sheetViews>
    <sheetView workbookViewId="0">
      <selection activeCell="A1" sqref="A1"/>
    </sheetView>
  </sheetViews>
  <sheetFormatPr baseColWidth="8" defaultRowHeight="15"/>
  <cols>
    <col width="12" customWidth="1" min="1" max="1"/>
    <col width="22" customWidth="1" min="2" max="2"/>
    <col width="14" customWidth="1" min="3" max="3"/>
    <col width="24" customWidth="1" min="4" max="4"/>
    <col width="40" customWidth="1" min="5" max="5"/>
  </cols>
  <sheetData>
    <row r="1">
      <c r="A1" s="5" t="inlineStr">
        <is>
          <t>Value Scenario Definitions</t>
        </is>
      </c>
    </row>
    <row r="3">
      <c r="A3" s="6" t="inlineStr">
        <is>
          <t>Value Scenario Definitions</t>
        </is>
      </c>
    </row>
    <row r="4" ht="31.2" customHeight="1">
      <c r="A4" s="7" t="inlineStr">
        <is>
          <t>Description:</t>
        </is>
      </c>
      <c r="B4" s="8" t="inlineStr">
        <is>
          <t>Four value streams enabled by biosensor monitoring that HRMS testing cannot capture due to latency constraints.</t>
        </is>
      </c>
    </row>
    <row r="5" ht="31.2" customHeight="1">
      <c r="A5" s="7" t="inlineStr">
        <is>
          <t>Purpose:</t>
        </is>
      </c>
      <c r="B5" s="8" t="inlineStr">
        <is>
          <t>Quantify the annual financial benefit of each operational improvement enabled by real-time monitoring</t>
        </is>
      </c>
    </row>
    <row r="6" ht="62.40000000000001" customHeight="1">
      <c r="A6" s="7" t="inlineStr">
        <is>
          <t>Assumptions:</t>
        </is>
      </c>
      <c r="B6" s="8" t="inlineStr">
        <is>
          <t>- Values are additive (a single biosensor deployment captures all four simultaneously)
- Base values calibrated from $250K/year total operational value allocation
- Required response days based on operational decision-making windows
- HRMS 42-day latency blocks all scenarios; biosensor 1-day latency enables all</t>
        </is>
      </c>
    </row>
    <row r="7" ht="15.6" customHeight="1">
      <c r="A7" s="7" t="inlineStr">
        <is>
          <t>Data Source:</t>
        </is>
      </c>
      <c r="B7" s="8" t="inlineStr">
        <is>
          <t>Financial Model Framework v2.1 - operational value allocation</t>
        </is>
      </c>
    </row>
    <row r="8" ht="15.6" customHeight="1">
      <c r="A8" s="7" t="inlineStr">
        <is>
          <t>Related Tables:</t>
        </is>
      </c>
      <c r="B8" s="8" t="inlineStr">
        <is>
          <t>tbl_ModelScenarios, tbl_GatedValues, tbl_LatencyGating</t>
        </is>
      </c>
    </row>
    <row r="9">
      <c r="A9" s="9" t="inlineStr">
        <is>
          <t>ID</t>
        </is>
      </c>
      <c r="B9" s="9" t="inlineStr">
        <is>
          <t>Name</t>
        </is>
      </c>
      <c r="C9" s="9" t="inlineStr">
        <is>
          <t>Base_Value</t>
        </is>
      </c>
      <c r="D9" s="9" t="inlineStr">
        <is>
          <t>Required_Response_Days</t>
        </is>
      </c>
      <c r="E9" s="9" t="inlineStr">
        <is>
          <t>Description</t>
        </is>
      </c>
    </row>
    <row r="10">
      <c r="A10" t="inlineStr">
        <is>
          <t>S1</t>
        </is>
      </c>
      <c r="B10" t="inlineStr">
        <is>
          <t>Season Extension</t>
        </is>
      </c>
      <c r="C10" s="15" t="n">
        <v>104000</v>
      </c>
      <c r="D10" t="n">
        <v>7</v>
      </c>
      <c r="E10" t="inlineStr">
        <is>
          <t>Temperature-based vs calendar shutdown</t>
        </is>
      </c>
    </row>
    <row r="11">
      <c r="A11" t="inlineStr">
        <is>
          <t>S2</t>
        </is>
      </c>
      <c r="B11" t="inlineStr">
        <is>
          <t>Intervention Avoidance</t>
        </is>
      </c>
      <c r="C11" s="15" t="n">
        <v>67500</v>
      </c>
      <c r="D11" t="n">
        <v>7</v>
      </c>
      <c r="E11" t="inlineStr">
        <is>
          <t>Prevented false-positive interventions</t>
        </is>
      </c>
    </row>
    <row r="12">
      <c r="A12" t="inlineStr">
        <is>
          <t>S3</t>
        </is>
      </c>
      <c r="B12" t="inlineStr">
        <is>
          <t>Spatial Routing</t>
        </is>
      </c>
      <c r="C12" s="15" t="n">
        <v>78000</v>
      </c>
      <c r="D12" t="n">
        <v>14</v>
      </c>
      <c r="E12" t="inlineStr">
        <is>
          <t>Route to high-performing cells</t>
        </is>
      </c>
    </row>
    <row r="13">
      <c r="A13" t="inlineStr">
        <is>
          <t>S4</t>
        </is>
      </c>
      <c r="B13" t="inlineStr">
        <is>
          <t>Early Detection</t>
        </is>
      </c>
      <c r="C13" s="15" t="n">
        <v>36000</v>
      </c>
      <c r="D13" t="n">
        <v>3</v>
      </c>
      <c r="E13" t="inlineStr">
        <is>
          <t>Reduced bio-assay costs</t>
        </is>
      </c>
    </row>
    <row r="16">
      <c r="A16" s="6" t="inlineStr">
        <is>
          <t>Model Scenarios</t>
        </is>
      </c>
    </row>
    <row r="17" ht="31.2" customHeight="1">
      <c r="A17" s="7" t="inlineStr">
        <is>
          <t>Description:</t>
        </is>
      </c>
      <c r="B17" s="8" t="inlineStr">
        <is>
          <t>Parameter adjustments for conservative, base, and optimistic financial projections.</t>
        </is>
      </c>
    </row>
    <row r="18" ht="31.2" customHeight="1">
      <c r="A18" s="7" t="inlineStr">
        <is>
          <t>Purpose:</t>
        </is>
      </c>
      <c r="B18" s="8" t="inlineStr">
        <is>
          <t>Enable sensitivity analysis by adjusting discount rate, growth rate, and risk factors</t>
        </is>
      </c>
    </row>
    <row r="19" ht="78" customHeight="1">
      <c r="A19" s="7" t="inlineStr">
        <is>
          <t>Assumptions:</t>
        </is>
      </c>
      <c r="B19" s="8" t="inlineStr">
        <is>
          <t>- Base scenario uses unadjusted parameters from model inputs
- Conservative adds higher discount (+0.4%), lower growth (-2%), higher risk (+10%)
- Optimistic uses lower discount (-0.3%), higher growth (+1%), lower risk (-10%)</t>
        </is>
      </c>
    </row>
    <row r="20" ht="31.2" customHeight="1">
      <c r="A20" s="7" t="inlineStr">
        <is>
          <t>Data Source:</t>
        </is>
      </c>
      <c r="B20" s="8" t="inlineStr">
        <is>
          <t>Standard financial modeling practice - scenario analysis parameters</t>
        </is>
      </c>
    </row>
    <row r="21" ht="15.6" customHeight="1">
      <c r="A21" s="7" t="inlineStr">
        <is>
          <t>Related Tables:</t>
        </is>
      </c>
      <c r="B21" s="8" t="inlineStr">
        <is>
          <t>tbl_ValueScenarios, tbl_Sensitivity</t>
        </is>
      </c>
    </row>
    <row r="22">
      <c r="A22" s="9" t="inlineStr">
        <is>
          <t>Scenario</t>
        </is>
      </c>
      <c r="B22" s="9" t="inlineStr">
        <is>
          <t>Discount_Adj</t>
        </is>
      </c>
      <c r="C22" s="9" t="inlineStr">
        <is>
          <t>Growth_Adj</t>
        </is>
      </c>
      <c r="D22" s="9" t="inlineStr">
        <is>
          <t>Risk_Adj</t>
        </is>
      </c>
    </row>
    <row r="23">
      <c r="A23" t="inlineStr">
        <is>
          <t>Base</t>
        </is>
      </c>
      <c r="B23" s="11" t="n">
        <v>0</v>
      </c>
      <c r="C23" s="11" t="n">
        <v>0</v>
      </c>
      <c r="D23" s="11" t="n">
        <v>0</v>
      </c>
    </row>
    <row r="24">
      <c r="A24" t="inlineStr">
        <is>
          <t>Conservative</t>
        </is>
      </c>
      <c r="B24" s="11" t="n">
        <v>0.004</v>
      </c>
      <c r="C24" s="11" t="n">
        <v>-0.02</v>
      </c>
      <c r="D24" s="11" t="n">
        <v>0.1</v>
      </c>
    </row>
    <row r="25">
      <c r="A25" t="inlineStr">
        <is>
          <t>Optimistic</t>
        </is>
      </c>
      <c r="B25" s="11" t="n">
        <v>-0.003</v>
      </c>
      <c r="C25" s="11" t="n">
        <v>0.01</v>
      </c>
      <c r="D25" s="11" t="n">
        <v>-0.1</v>
      </c>
    </row>
  </sheetData>
  <mergeCells count="10">
    <mergeCell ref="B19:D19"/>
    <mergeCell ref="B8:E8"/>
    <mergeCell ref="B4:E4"/>
    <mergeCell ref="B6:E6"/>
    <mergeCell ref="B17:D17"/>
    <mergeCell ref="B18:D18"/>
    <mergeCell ref="B7:E7"/>
    <mergeCell ref="B21:D21"/>
    <mergeCell ref="B5:E5"/>
    <mergeCell ref="B20:D20"/>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tabColor rgb="00FFFF00"/>
    <outlinePr summaryBelow="1" summaryRight="1"/>
    <pageSetUpPr/>
  </sheetPr>
  <dimension ref="A1:G35"/>
  <sheetViews>
    <sheetView workbookViewId="0">
      <selection activeCell="A1" sqref="A1"/>
    </sheetView>
  </sheetViews>
  <sheetFormatPr baseColWidth="8" defaultRowHeight="15"/>
  <cols>
    <col width="28" customWidth="1" min="1" max="1"/>
    <col width="12" customWidth="1" min="2" max="2"/>
    <col width="12" customWidth="1" min="3" max="3"/>
    <col width="12" customWidth="1" min="4" max="4"/>
    <col width="12" customWidth="1" min="5" max="5"/>
    <col width="30" customWidth="1" min="6" max="6"/>
    <col width="35" customWidth="1" min="7" max="7"/>
  </cols>
  <sheetData>
    <row r="1">
      <c r="A1" s="5" t="inlineStr">
        <is>
          <t>Monte Carlo Distribution Parameters</t>
        </is>
      </c>
    </row>
    <row r="3">
      <c r="A3" s="6" t="inlineStr">
        <is>
          <t>Triangular Distributions</t>
        </is>
      </c>
    </row>
    <row r="4" ht="31.2" customHeight="1">
      <c r="A4" s="7" t="inlineStr">
        <is>
          <t>Description:</t>
        </is>
      </c>
      <c r="B4" s="8" t="inlineStr">
        <is>
          <t>Monte Carlo input parameters using triangular probability distributions for key uncertain variables.</t>
        </is>
      </c>
    </row>
    <row r="5" ht="31.2" customHeight="1">
      <c r="A5" s="7" t="inlineStr">
        <is>
          <t>Purpose:</t>
        </is>
      </c>
      <c r="B5" s="8" t="inlineStr">
        <is>
          <t>Define the uncertainty ranges for stochastic variables that drive value scenario calculations</t>
        </is>
      </c>
    </row>
    <row r="6" ht="62.40000000000001" customHeight="1">
      <c r="A6" s="7" t="inlineStr">
        <is>
          <t>Assumptions:</t>
        </is>
      </c>
      <c r="B6" s="8" t="inlineStr">
        <is>
          <t>- Triangular distribution selected for interpretability with stakeholders
- Min/Max represent 10th/90th percentile expert estimates, not absolute bounds
- Mode represents the most likely value (base case assumption)
- Variables are assumed independent (no correlation modeled)</t>
        </is>
      </c>
    </row>
    <row r="7" ht="15.6" customHeight="1">
      <c r="A7" s="7" t="inlineStr">
        <is>
          <t>Data Source:</t>
        </is>
      </c>
      <c r="B7" s="8" t="inlineStr">
        <is>
          <t>Expert judgment calibrated against Financial Model Framework v2.1</t>
        </is>
      </c>
    </row>
    <row r="8" ht="15.6" customHeight="1">
      <c r="A8" s="7" t="inlineStr">
        <is>
          <t>Related Tables:</t>
        </is>
      </c>
      <c r="B8" s="8" t="inlineStr">
        <is>
          <t>tbl_Stochastic, tbl_GatedValues, tbl_ValueScenarios</t>
        </is>
      </c>
    </row>
    <row r="9">
      <c r="A9" s="9" t="inlineStr">
        <is>
          <t>Variable</t>
        </is>
      </c>
      <c r="B9" s="9" t="inlineStr">
        <is>
          <t>Min</t>
        </is>
      </c>
      <c r="C9" s="9" t="inlineStr">
        <is>
          <t>Mode</t>
        </is>
      </c>
      <c r="D9" s="9" t="inlineStr">
        <is>
          <t>Max</t>
        </is>
      </c>
      <c r="E9" s="9" t="inlineStr">
        <is>
          <t>Units</t>
        </is>
      </c>
      <c r="F9" s="9" t="inlineStr">
        <is>
          <t>Referenced By</t>
        </is>
      </c>
    </row>
    <row r="10">
      <c r="A10" t="inlineStr">
        <is>
          <t>Season_Extension_Days</t>
        </is>
      </c>
      <c r="B10" s="10" t="n">
        <v>14</v>
      </c>
      <c r="C10" s="10" t="n">
        <v>21</v>
      </c>
      <c r="D10" s="10" t="n">
        <v>35</v>
      </c>
      <c r="E10" t="inlineStr">
        <is>
          <t>days</t>
        </is>
      </c>
      <c r="F10" t="inlineStr">
        <is>
          <t>10_Calc_Stochastic</t>
        </is>
      </c>
    </row>
    <row r="11">
      <c r="A11" t="inlineStr">
        <is>
          <t>Extension_Value_Per_Day</t>
        </is>
      </c>
      <c r="B11" s="15" t="n">
        <v>3000</v>
      </c>
      <c r="C11" s="15" t="n">
        <v>7500</v>
      </c>
      <c r="D11" s="15" t="n">
        <v>15000</v>
      </c>
      <c r="E11" t="inlineStr">
        <is>
          <t>$/day</t>
        </is>
      </c>
      <c r="F11" t="inlineStr">
        <is>
          <t>10_Calc_Stochastic</t>
        </is>
      </c>
    </row>
    <row r="12">
      <c r="A12" t="inlineStr">
        <is>
          <t>Interventions_Avoided</t>
        </is>
      </c>
      <c r="B12" s="10" t="n">
        <v>1</v>
      </c>
      <c r="C12" s="10" t="n">
        <v>3</v>
      </c>
      <c r="D12" s="10" t="n">
        <v>8</v>
      </c>
      <c r="E12" t="inlineStr">
        <is>
          <t>events</t>
        </is>
      </c>
      <c r="F12" t="inlineStr">
        <is>
          <t>10_Calc_Stochastic</t>
        </is>
      </c>
    </row>
    <row r="13">
      <c r="A13" t="inlineStr">
        <is>
          <t>Treatment_Rate_Factor</t>
        </is>
      </c>
      <c r="B13" s="10" t="n">
        <v>0.7</v>
      </c>
      <c r="C13" s="10" t="n">
        <v>1</v>
      </c>
      <c r="D13" s="10" t="n">
        <v>1.3</v>
      </c>
      <c r="E13" t="inlineStr">
        <is>
          <t>multiplier</t>
        </is>
      </c>
      <c r="F13" t="inlineStr">
        <is>
          <t>10_Calc_Stochastic</t>
        </is>
      </c>
    </row>
    <row r="16">
      <c r="A16" s="6" t="inlineStr">
        <is>
          <t>Beta Distributions</t>
        </is>
      </c>
    </row>
    <row r="17" ht="15.6" customHeight="1">
      <c r="A17" s="7" t="inlineStr">
        <is>
          <t>Description:</t>
        </is>
      </c>
      <c r="B17" s="8" t="inlineStr">
        <is>
          <t>Monte Carlo input parameters using beta distributions for bounded percentage variables.</t>
        </is>
      </c>
    </row>
    <row r="18" ht="15.6" customHeight="1">
      <c r="A18" s="7" t="inlineStr">
        <is>
          <t>Purpose:</t>
        </is>
      </c>
      <c r="B18" s="8" t="inlineStr">
        <is>
          <t>Model uncertainty in efficiency and probability parameters that must stay within 0-100% bounds</t>
        </is>
      </c>
    </row>
    <row r="19" ht="46.8" customHeight="1">
      <c r="A19" s="7" t="inlineStr">
        <is>
          <t>Assumptions:</t>
        </is>
      </c>
      <c r="B19" s="8" t="inlineStr">
        <is>
          <t>- Beta distribution ensures values stay within specified bounds
- Alpha/Beta parameters shape the distribution skewness
- Used for variables that represent percentages or bounded factors</t>
        </is>
      </c>
    </row>
    <row r="20" ht="15.6" customHeight="1">
      <c r="A20" s="7" t="inlineStr">
        <is>
          <t>Data Source:</t>
        </is>
      </c>
      <c r="B20" s="8" t="inlineStr">
        <is>
          <t>Expert judgment for efficiency and probability estimates</t>
        </is>
      </c>
    </row>
    <row r="21" ht="15.6" customHeight="1">
      <c r="A21" s="7" t="inlineStr">
        <is>
          <t>Related Tables:</t>
        </is>
      </c>
      <c r="B21" s="8" t="inlineStr">
        <is>
          <t>tbl_Triangular, tbl_Stochastic</t>
        </is>
      </c>
    </row>
    <row r="22">
      <c r="A22" s="9" t="inlineStr">
        <is>
          <t>Variable</t>
        </is>
      </c>
      <c r="B22" s="9" t="inlineStr">
        <is>
          <t>Alpha</t>
        </is>
      </c>
      <c r="C22" s="9" t="inlineStr">
        <is>
          <t>Beta</t>
        </is>
      </c>
      <c r="D22" s="9" t="inlineStr">
        <is>
          <t>Min</t>
        </is>
      </c>
      <c r="E22" s="9" t="inlineStr">
        <is>
          <t>Max</t>
        </is>
      </c>
      <c r="F22" s="9" t="inlineStr">
        <is>
          <t>Units</t>
        </is>
      </c>
      <c r="G22" s="9" t="inlineStr">
        <is>
          <t>Referenced By</t>
        </is>
      </c>
    </row>
    <row r="23">
      <c r="A23" t="inlineStr">
        <is>
          <t>Efficiency_Gain</t>
        </is>
      </c>
      <c r="B23" s="10" t="n">
        <v>2</v>
      </c>
      <c r="C23" s="10" t="n">
        <v>5</v>
      </c>
      <c r="D23" s="10" t="n">
        <v>0.05</v>
      </c>
      <c r="E23" s="10" t="n">
        <v>0.4</v>
      </c>
      <c r="F23" t="inlineStr">
        <is>
          <t>%</t>
        </is>
      </c>
      <c r="G23" t="inlineStr"/>
    </row>
    <row r="26">
      <c r="A26" s="6" t="inlineStr">
        <is>
          <t>Value Per M3 Sensitivity Frames</t>
        </is>
      </c>
    </row>
    <row r="27" ht="31.2" customHeight="1">
      <c r="A27" s="7" t="inlineStr">
        <is>
          <t>Description:</t>
        </is>
      </c>
      <c r="B27" s="8" t="inlineStr">
        <is>
          <t>Alternative value framing approaches for sensitivity analysis and stakeholder communication.</t>
        </is>
      </c>
    </row>
    <row r="28" ht="31.2" customHeight="1">
      <c r="A28" s="7" t="inlineStr">
        <is>
          <t>Purpose:</t>
        </is>
      </c>
      <c r="B28" s="8" t="inlineStr">
        <is>
          <t>Provide multiple perspectives on value per cubic meter of treated water</t>
        </is>
      </c>
    </row>
    <row r="29" ht="124.8" customHeight="1">
      <c r="A29" s="7" t="inlineStr">
        <is>
          <t>Assumptions:</t>
        </is>
      </c>
      <c r="B29" s="8" t="inlineStr">
        <is>
          <t>- Operational frame: Direct operational cost savings
- Avoided Treatment frame: Value of alternatives not needed
- ARO Liability frame: Asset retirement obligation cost reduction (Zhang 2026)
- Values are illustrative ranges for framing discussions</t>
        </is>
      </c>
    </row>
    <row r="30" ht="31.2" customHeight="1">
      <c r="A30" s="7" t="inlineStr">
        <is>
          <t>Data Source:</t>
        </is>
      </c>
      <c r="B30" s="8" t="inlineStr">
        <is>
          <t>Zhang (2026) analysis for ARO frame; operational estimates for others</t>
        </is>
      </c>
    </row>
    <row r="31" ht="15.6" customHeight="1">
      <c r="A31" s="7" t="inlineStr">
        <is>
          <t>Related Tables:</t>
        </is>
      </c>
      <c r="B31" s="8" t="inlineStr">
        <is>
          <t>tbl_ValueScenarios, tbl_KPIs</t>
        </is>
      </c>
    </row>
    <row r="32">
      <c r="A32" s="9" t="inlineStr">
        <is>
          <t>Frame</t>
        </is>
      </c>
      <c r="B32" s="9" t="inlineStr">
        <is>
          <t>Low</t>
        </is>
      </c>
      <c r="C32" s="9" t="inlineStr">
        <is>
          <t>Base</t>
        </is>
      </c>
      <c r="D32" s="9" t="inlineStr">
        <is>
          <t>High</t>
        </is>
      </c>
      <c r="E32" s="9" t="inlineStr">
        <is>
          <t>Context</t>
        </is>
      </c>
    </row>
    <row r="33">
      <c r="A33" t="inlineStr">
        <is>
          <t>Operational</t>
        </is>
      </c>
      <c r="B33" s="15" t="n">
        <v>3</v>
      </c>
      <c r="C33" s="15" t="n">
        <v>5</v>
      </c>
      <c r="D33" s="15" t="n">
        <v>8</v>
      </c>
      <c r="E33" t="inlineStr">
        <is>
          <t>Direct operational benefit</t>
        </is>
      </c>
    </row>
    <row r="34">
      <c r="A34" t="inlineStr">
        <is>
          <t>Avoided Treatment</t>
        </is>
      </c>
      <c r="B34" s="15" t="n">
        <v>10</v>
      </c>
      <c r="C34" s="15" t="n">
        <v>20</v>
      </c>
      <c r="D34" s="15" t="n">
        <v>30</v>
      </c>
      <c r="E34" t="inlineStr">
        <is>
          <t>Alternative treatment costs</t>
        </is>
      </c>
    </row>
    <row r="35">
      <c r="A35" t="inlineStr">
        <is>
          <t>ARO Liability</t>
        </is>
      </c>
      <c r="B35" s="15" t="n">
        <v>21</v>
      </c>
      <c r="C35" s="15" t="n">
        <v>50</v>
      </c>
      <c r="D35" s="15" t="n">
        <v>93</v>
      </c>
      <c r="E35" t="inlineStr">
        <is>
          <t>Zhang (2026) analysis</t>
        </is>
      </c>
    </row>
  </sheetData>
  <mergeCells count="15">
    <mergeCell ref="B4:F4"/>
    <mergeCell ref="B19:G19"/>
    <mergeCell ref="B20:G20"/>
    <mergeCell ref="B27:E27"/>
    <mergeCell ref="B7:F7"/>
    <mergeCell ref="B31:E31"/>
    <mergeCell ref="B6:F6"/>
    <mergeCell ref="B17:G17"/>
    <mergeCell ref="B30:E30"/>
    <mergeCell ref="B5:F5"/>
    <mergeCell ref="B29:E29"/>
    <mergeCell ref="B18:G18"/>
    <mergeCell ref="B8:F8"/>
    <mergeCell ref="B21:G21"/>
    <mergeCell ref="B28:E28"/>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tabColor rgb="004472C4"/>
    <outlinePr summaryBelow="1" summaryRight="1"/>
    <pageSetUpPr/>
  </sheetPr>
  <dimension ref="A1:E30"/>
  <sheetViews>
    <sheetView workbookViewId="0">
      <selection activeCell="A1" sqref="A1"/>
    </sheetView>
  </sheetViews>
  <sheetFormatPr baseColWidth="8" defaultRowHeight="15"/>
  <cols>
    <col width="20" customWidth="1" min="1" max="1"/>
    <col width="36" customWidth="1" min="2" max="2"/>
    <col width="16" customWidth="1" min="3" max="3"/>
    <col width="12" customWidth="1" min="4" max="4"/>
    <col width="14" customWidth="1" min="5" max="5"/>
  </cols>
  <sheetData>
    <row r="1">
      <c r="A1" s="5" t="inlineStr">
        <is>
          <t>Projection Timeline</t>
        </is>
      </c>
    </row>
    <row r="2"/>
    <row r="3">
      <c r="A3" s="18" t="inlineStr">
        <is>
          <t>Understanding the Timeline</t>
        </is>
      </c>
      <c r="B3" s="19" t="n"/>
      <c r="C3" s="19" t="n"/>
      <c r="D3" s="19" t="n"/>
      <c r="E3" s="20" t="n"/>
    </row>
    <row r="4" ht="140.4" customHeight="1">
      <c r="A4" s="21" t="inlineStr">
        <is>
          <t>This sheet generates the projection timeline used throughout the model.
Key outputs:
- Year numbers (1-5) based on Projection_Years setting
- Calendar years starting from Base_Year
- Month indices for seasonal calculations
The timeline drives all time-dependent calculations in sheets 8-15.
Changing Projection_Years or Base_Year in 1_TOC updates this timeline.</t>
        </is>
      </c>
      <c r="B4" s="19" t="n"/>
      <c r="C4" s="19" t="n"/>
      <c r="D4" s="19" t="n"/>
      <c r="E4" s="20" t="n"/>
    </row>
    <row r="5"/>
    <row r="6">
      <c r="A6" s="6" t="inlineStr">
        <is>
          <t>Projection Timeline</t>
        </is>
      </c>
    </row>
    <row r="7" ht="31.2" customHeight="1">
      <c r="A7" s="7" t="inlineStr">
        <is>
          <t>Description:</t>
        </is>
      </c>
      <c r="B7" s="8" t="inlineStr">
        <is>
          <t>Year-by-year projection timeline with seasonal month breakdown and learning curve factors.</t>
        </is>
      </c>
    </row>
    <row r="8" ht="15.6" customHeight="1">
      <c r="A8" s="7" t="inlineStr">
        <is>
          <t>Purpose:</t>
        </is>
      </c>
      <c r="B8" s="8" t="inlineStr">
        <is>
          <t>Generate the time dimension for all financial calculations</t>
        </is>
      </c>
    </row>
    <row r="9" ht="46.8" customHeight="1">
      <c r="A9" s="7" t="inlineStr">
        <is>
          <t>Assumptions:</t>
        </is>
      </c>
      <c r="B9" s="8" t="inlineStr">
        <is>
          <t>- Projection starts at Base_Year and extends for Projection_Years
- Each year contains 12 months with season flags
- Learning curve multiplier applied from tbl_LearningCurve</t>
        </is>
      </c>
    </row>
    <row r="10" ht="15.6" customHeight="1">
      <c r="A10" s="7" t="inlineStr">
        <is>
          <t>Data Source:</t>
        </is>
      </c>
      <c r="B10" s="8" t="inlineStr">
        <is>
          <t>Generated from 1_TOC control parameters</t>
        </is>
      </c>
    </row>
    <row r="11" ht="15.6" customHeight="1">
      <c r="A11" s="7" t="inlineStr">
        <is>
          <t>Related Tables:</t>
        </is>
      </c>
      <c r="B11" s="8" t="inlineStr">
        <is>
          <t>tbl_LearningCurve, tbl_Seasonality, tbl_Annual</t>
        </is>
      </c>
    </row>
    <row r="12">
      <c r="A12" s="9" t="inlineStr">
        <is>
          <t>Year_Index</t>
        </is>
      </c>
      <c r="B12" s="9" t="inlineStr">
        <is>
          <t>Calendar_Year</t>
        </is>
      </c>
      <c r="C12" s="9" t="inlineStr">
        <is>
          <t>Treatment_Days</t>
        </is>
      </c>
      <c r="D12" s="9" t="inlineStr">
        <is>
          <t>Discount_Factor</t>
        </is>
      </c>
      <c r="E12" s="9" t="inlineStr">
        <is>
          <t>Learning_Mult</t>
        </is>
      </c>
    </row>
    <row r="13">
      <c r="A13" t="n">
        <v>0</v>
      </c>
      <c r="B13">
        <f>Base_Year+0</f>
        <v/>
      </c>
      <c r="C13">
        <f>Season_Length</f>
        <v/>
      </c>
      <c r="D13" t="n">
        <v>1</v>
      </c>
      <c r="E13" t="n">
        <v>1</v>
      </c>
    </row>
    <row r="14">
      <c r="A14" t="n">
        <v>1</v>
      </c>
      <c r="B14">
        <f>Base_Year+1</f>
        <v/>
      </c>
      <c r="C14">
        <f>Season_Length</f>
        <v/>
      </c>
      <c r="D14">
        <f>1/(1+Discount_Rate)^1</f>
        <v/>
      </c>
      <c r="E14">
        <f>INDEX(LearningCurve_Mult,1)</f>
        <v/>
      </c>
    </row>
    <row r="15">
      <c r="A15" t="n">
        <v>2</v>
      </c>
      <c r="B15">
        <f>Base_Year+2</f>
        <v/>
      </c>
      <c r="C15">
        <f>Season_Length</f>
        <v/>
      </c>
      <c r="D15">
        <f>1/(1+Discount_Rate)^2</f>
        <v/>
      </c>
      <c r="E15">
        <f>INDEX(LearningCurve_Mult,2)</f>
        <v/>
      </c>
    </row>
    <row r="16">
      <c r="A16" t="n">
        <v>3</v>
      </c>
      <c r="B16">
        <f>Base_Year+3</f>
        <v/>
      </c>
      <c r="C16">
        <f>Season_Length</f>
        <v/>
      </c>
      <c r="D16">
        <f>1/(1+Discount_Rate)^3</f>
        <v/>
      </c>
      <c r="E16">
        <f>INDEX(LearningCurve_Mult,3)</f>
        <v/>
      </c>
    </row>
    <row r="17">
      <c r="A17" t="n">
        <v>4</v>
      </c>
      <c r="B17">
        <f>Base_Year+4</f>
        <v/>
      </c>
      <c r="C17">
        <f>Season_Length</f>
        <v/>
      </c>
      <c r="D17">
        <f>1/(1+Discount_Rate)^4</f>
        <v/>
      </c>
      <c r="E17">
        <f>INDEX(LearningCurve_Mult,4)</f>
        <v/>
      </c>
    </row>
    <row r="18">
      <c r="A18" t="n">
        <v>5</v>
      </c>
      <c r="B18">
        <f>Base_Year+5</f>
        <v/>
      </c>
      <c r="C18">
        <f>Season_Length</f>
        <v/>
      </c>
      <c r="D18">
        <f>1/(1+Discount_Rate)^5</f>
        <v/>
      </c>
      <c r="E18">
        <f>INDEX(LearningCurve_Mult,5)</f>
        <v/>
      </c>
    </row>
    <row r="19"/>
    <row r="20"/>
    <row r="21">
      <c r="A21" s="4" t="inlineStr">
        <is>
          <t>Treatment Kinetics (Kearl 2022)</t>
        </is>
      </c>
    </row>
    <row r="22">
      <c r="A22" s="25" t="inlineStr">
        <is>
          <t>Source: Vander Meulen &amp; Headley (2024) GROW</t>
        </is>
      </c>
    </row>
    <row r="23">
      <c r="A23" s="9" t="inlineStr">
        <is>
          <t>Metric</t>
        </is>
      </c>
      <c r="B23" s="9" t="inlineStr">
        <is>
          <t>Formula</t>
        </is>
      </c>
      <c r="C23" s="9" t="inlineStr">
        <is>
          <t>Value</t>
        </is>
      </c>
      <c r="D23" s="9" t="inlineStr">
        <is>
          <t>Unit</t>
        </is>
      </c>
    </row>
    <row r="24">
      <c r="A24" t="inlineStr">
        <is>
          <t>Eff_Rapid_Rate</t>
        </is>
      </c>
      <c r="B24" t="inlineStr">
        <is>
          <t>'=Rapid_Phase_Rate * Stoch_TreatmentRate</t>
        </is>
      </c>
      <c r="C24" s="26">
        <f>Rapid_Phase_Rate*Stoch_TreatmentRate</f>
        <v/>
      </c>
      <c r="D24" t="inlineStr">
        <is>
          <t>mg/L/day</t>
        </is>
      </c>
    </row>
    <row r="25">
      <c r="A25" t="inlineStr">
        <is>
          <t>Eff_Slow_Rate</t>
        </is>
      </c>
      <c r="B25" t="inlineStr">
        <is>
          <t>'=Slow_Phase_Rate * Stoch_TreatmentRate</t>
        </is>
      </c>
      <c r="C25" s="26">
        <f>Slow_Phase_Rate*Stoch_TreatmentRate</f>
        <v/>
      </c>
      <c r="D25" t="inlineStr">
        <is>
          <t>mg/L/day</t>
        </is>
      </c>
    </row>
    <row r="26">
      <c r="A26" t="inlineStr">
        <is>
          <t>NAFC_After_Rapid</t>
        </is>
      </c>
      <c r="B26" t="inlineStr">
        <is>
          <t>'=MAX(0, Initial - Rate * Duration)</t>
        </is>
      </c>
      <c r="C26" s="27">
        <f>MAX(0,Initial_NAFC-Eff_Rapid_Rate*Rapid_Phase_Duration)</f>
        <v/>
      </c>
      <c r="D26" t="inlineStr">
        <is>
          <t>mg/L</t>
        </is>
      </c>
    </row>
    <row r="27">
      <c r="A27" t="inlineStr">
        <is>
          <t>Days_to_Compliance</t>
        </is>
      </c>
      <c r="B27" t="inlineStr">
        <is>
          <t>Two-phase calculation</t>
        </is>
      </c>
      <c r="C27" s="28">
        <f>IF(Initial_NAFC&lt;=Target_NAFC,0,IF(NAFC_After_Rapid&lt;=Target_NAFC,(Initial_NAFC-Target_NAFC)/Eff_Rapid_Rate,Rapid_Phase_Duration+(NAFC_After_Rapid-Target_NAFC)/Eff_Slow_Rate))</f>
        <v/>
      </c>
      <c r="D27" t="inlineStr">
        <is>
          <t>days</t>
        </is>
      </c>
    </row>
    <row r="28">
      <c r="A28" t="inlineStr">
        <is>
          <t>Circulation_Cycles</t>
        </is>
      </c>
      <c r="B28" t="inlineStr">
        <is>
          <t>'=CEILING(Days / Cycle, 1)</t>
        </is>
      </c>
      <c r="C28" s="29">
        <f>CEILING(Days_to_Compliance/Recirculation_Cycle,1)</f>
        <v/>
      </c>
      <c r="D28" t="inlineStr">
        <is>
          <t>cycles</t>
        </is>
      </c>
    </row>
    <row r="29">
      <c r="A29" t="inlineStr">
        <is>
          <t>Treatment_Efficiency</t>
        </is>
      </c>
      <c r="B29" t="inlineStr">
        <is>
          <t>'=(Initial - Target) / Initial</t>
        </is>
      </c>
      <c r="C29" s="30">
        <f>(Initial_NAFC-Target_NAFC)/Initial_NAFC</f>
        <v/>
      </c>
      <c r="D29" t="inlineStr">
        <is>
          <t>%</t>
        </is>
      </c>
    </row>
    <row r="30">
      <c r="A30" t="inlineStr">
        <is>
          <t>Compliance_Status</t>
        </is>
      </c>
      <c r="B30" t="inlineStr">
        <is>
          <t>Achievable within season?</t>
        </is>
      </c>
      <c r="C30">
        <f>IF(Days_to_Compliance&lt;=Season_Length,"ACHIEVABLE","EXCEEDS SEASON")</f>
        <v/>
      </c>
      <c r="D30" t="inlineStr">
        <is>
          <t>status</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4472C4"/>
    <outlinePr summaryBelow="1" summaryRight="1"/>
    <pageSetUpPr/>
  </sheetPr>
  <dimension ref="A1:E17"/>
  <sheetViews>
    <sheetView workbookViewId="0">
      <selection activeCell="A1" sqref="A1"/>
    </sheetView>
  </sheetViews>
  <sheetFormatPr baseColWidth="8" defaultRowHeight="15"/>
  <cols>
    <col width="24" customWidth="1" min="1" max="1"/>
    <col width="55" customWidth="1" min="2" max="2"/>
    <col width="14" customWidth="1" min="3" max="3"/>
    <col width="12" customWidth="1" min="4" max="4"/>
    <col width="35" customWidth="1" min="5" max="5"/>
  </cols>
  <sheetData>
    <row r="1">
      <c r="A1" s="5" t="inlineStr">
        <is>
          <t>Treatment Kinetics Modifiers</t>
        </is>
      </c>
    </row>
    <row r="3">
      <c r="A3" s="18" t="inlineStr">
        <is>
          <t>Kinetics Cascade</t>
        </is>
      </c>
      <c r="B3" s="19" t="n"/>
      <c r="C3" s="19" t="n"/>
      <c r="D3" s="19" t="n"/>
      <c r="E3" s="20" t="n"/>
    </row>
    <row r="4" ht="78" customHeight="1">
      <c r="A4" s="21" t="inlineStr">
        <is>
          <t>Environmental rate modifiers cascade to produce Effective_Rate.
Q10: Temperature coefficient (rate doubles per 10C above reference).
UV: Photodegradation modifier (reduced by turbidity).
DO: Aerobic biodegradation modifier (full above 6.5 mg/L).
Nutrient/Bioavail: Substrate availability modifiers.</t>
        </is>
      </c>
      <c r="B4" s="19" t="n"/>
      <c r="C4" s="19" t="n"/>
      <c r="D4" s="19" t="n"/>
      <c r="E4" s="20" t="n"/>
    </row>
    <row r="7">
      <c r="A7" s="9" t="inlineStr">
        <is>
          <t>Modifier</t>
        </is>
      </c>
      <c r="B7" s="9" t="inlineStr">
        <is>
          <t>Formula</t>
        </is>
      </c>
      <c r="C7" s="9" t="inlineStr">
        <is>
          <t>Value</t>
        </is>
      </c>
      <c r="D7" s="9" t="inlineStr">
        <is>
          <t>Unit</t>
        </is>
      </c>
      <c r="E7" s="9" t="inlineStr">
        <is>
          <t>Notes</t>
        </is>
      </c>
    </row>
    <row r="8">
      <c r="A8" t="inlineStr">
        <is>
          <t>Q10_Factor</t>
        </is>
      </c>
      <c r="B8">
        <f>2^((Stoch_Temp-20)/10)</f>
        <v/>
      </c>
      <c r="C8" s="26">
        <f>2^((Env_Temp_Water_Jul-20)/10)</f>
        <v/>
      </c>
      <c r="D8" t="inlineStr">
        <is>
          <t>multiplier</t>
        </is>
      </c>
      <c r="E8" t="inlineStr">
        <is>
          <t>T=20C gives 1.0, T=30C gives 2.0</t>
        </is>
      </c>
    </row>
    <row r="9">
      <c r="A9" t="inlineStr">
        <is>
          <t>UV_Modifier</t>
        </is>
      </c>
      <c r="B9">
        <f>UV_Relative*(1-MIN(1,Turbidity/100))</f>
        <v/>
      </c>
      <c r="C9" s="26">
        <f>Env_UV_Relative_Jul*(1-MIN(1,Ionic_Chloride_Mode/1000))</f>
        <v/>
      </c>
      <c r="D9" t="inlineStr">
        <is>
          <t>multiplier</t>
        </is>
      </c>
      <c r="E9" t="inlineStr">
        <is>
          <t>UV intensity adjusted for turbidity</t>
        </is>
      </c>
    </row>
    <row r="10">
      <c r="A10" t="inlineStr">
        <is>
          <t>DO_Modifier</t>
        </is>
      </c>
      <c r="B10">
        <f>IF(DO&gt;=6.5,1,DO/6.5)</f>
        <v/>
      </c>
      <c r="C10" s="26">
        <f>IF(Env_DO_Typical_Jul&gt;=6.5,1,Env_DO_Typical_Jul/6.5)</f>
        <v/>
      </c>
      <c r="D10" t="inlineStr">
        <is>
          <t>multiplier</t>
        </is>
      </c>
      <c r="E10" t="inlineStr">
        <is>
          <t>Full rate above 6.5 mg/L</t>
        </is>
      </c>
    </row>
    <row r="11">
      <c r="A11" t="inlineStr">
        <is>
          <t>Nutrient_Modifier</t>
        </is>
      </c>
      <c r="B11">
        <f>Nutrient_Index</f>
        <v/>
      </c>
      <c r="C11" s="26">
        <f>Env_Nutrient_Index_Jul</f>
        <v/>
      </c>
      <c r="D11" t="inlineStr">
        <is>
          <t>multiplier</t>
        </is>
      </c>
      <c r="E11" t="inlineStr">
        <is>
          <t>Nutrient availability factor</t>
        </is>
      </c>
    </row>
    <row r="12">
      <c r="A12" t="inlineStr">
        <is>
          <t>Bioavail_Modifier</t>
        </is>
      </c>
      <c r="B12">
        <f>Bioavail*(1-Clay*0.5)</f>
        <v/>
      </c>
      <c r="C12" s="26">
        <f>Env_Bioavail_Index_Jul*(1-0.15*0.5)</f>
        <v/>
      </c>
      <c r="D12" t="inlineStr">
        <is>
          <t>multiplier</t>
        </is>
      </c>
      <c r="E12" t="inlineStr">
        <is>
          <t>Adjusted for clay sorption</t>
        </is>
      </c>
    </row>
    <row r="15">
      <c r="A15" s="12" t="inlineStr">
        <is>
          <t>Combined Rate Calculation</t>
        </is>
      </c>
    </row>
    <row r="16">
      <c r="A16" t="inlineStr">
        <is>
          <t>Effective_Rate</t>
        </is>
      </c>
      <c r="B16">
        <f>Base_Rate * Q10 * UV * DO * Nutrient * Bioavail * Stoch_Treatment</f>
        <v/>
      </c>
      <c r="C16" s="26">
        <f>Rapid_Phase_Rate*Q10_Factor*UV_Modifier*DO_Modifier*Nutrient_Modifier*Bioavail_Modifier*Stoch_TreatmentRate</f>
        <v/>
      </c>
      <c r="D16" t="inlineStr">
        <is>
          <t>mg/L/day</t>
        </is>
      </c>
      <c r="E16" t="inlineStr">
        <is>
          <t>Combined effective treatment rate</t>
        </is>
      </c>
    </row>
    <row r="17">
      <c r="A17" t="inlineStr">
        <is>
          <t>Rate_vs_Baseline</t>
        </is>
      </c>
      <c r="B17">
        <f>Effective_Rate / Rapid_Phase_Rate</f>
        <v/>
      </c>
      <c r="C17" s="30">
        <f>Effective_Rate/Rapid_Phase_Rate</f>
        <v/>
      </c>
      <c r="D17" t="inlineStr">
        <is>
          <t>%</t>
        </is>
      </c>
      <c r="E17" t="inlineStr">
        <is>
          <t>Effective vs baseline rate</t>
        </is>
      </c>
    </row>
  </sheetData>
  <mergeCells count="2">
    <mergeCell ref="A4:E4"/>
    <mergeCell ref="A3:E3"/>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4472C4"/>
    <outlinePr summaryBelow="1" summaryRight="1"/>
    <pageSetUpPr/>
  </sheetPr>
  <dimension ref="A1:C18"/>
  <sheetViews>
    <sheetView workbookViewId="0">
      <selection activeCell="A1" sqref="A1"/>
    </sheetView>
  </sheetViews>
  <sheetFormatPr baseColWidth="8" defaultRowHeight="15"/>
  <cols>
    <col width="22" customWidth="1" min="1" max="1"/>
    <col width="12" customWidth="1" min="2" max="2"/>
    <col width="70" customWidth="1" min="3" max="3"/>
  </cols>
  <sheetData>
    <row r="1">
      <c r="A1" s="5" t="inlineStr">
        <is>
          <t>Stochastic Variables</t>
        </is>
      </c>
    </row>
    <row r="2">
      <c r="A2" s="13" t="inlineStr">
        <is>
          <t>(Press F9 to recalculate random draws)</t>
        </is>
      </c>
    </row>
    <row r="3"/>
    <row r="4">
      <c r="A4" s="18" t="inlineStr">
        <is>
          <t>Monte Carlo Random Variables</t>
        </is>
      </c>
      <c r="B4" s="19" t="n"/>
      <c r="C4" s="20" t="n"/>
    </row>
    <row r="5" ht="202.8" customHeight="1">
      <c r="A5" s="21" t="inlineStr">
        <is>
          <t>This sheet generates random variables for Monte Carlo simulation.
Each variable uses a triangular distribution defined in 5_ServiceModels:
- Min: Worst-case value
- Mode: Most likely value
- Max: Best-case value
The RAND() functions recalculate when you press F9 or Ctrl+Alt+F9.
Sheet 10_Calc_Sim captures 1000 iterations via Excel Data Tables.
Important: These values change on every recalculation. The simulation
statistics (P10, P50, P90) in the Dashboard are calculated from the
1000 captured iterations, not from individual cell values.</t>
        </is>
      </c>
      <c r="B5" s="19" t="n"/>
      <c r="C5" s="20" t="n"/>
    </row>
    <row r="6"/>
    <row r="7">
      <c r="A7" s="6" t="inlineStr">
        <is>
          <t>Stochastic Variables</t>
        </is>
      </c>
    </row>
    <row r="8" ht="31.2" customHeight="1">
      <c r="A8" s="7" t="inlineStr">
        <is>
          <t>Description:</t>
        </is>
      </c>
      <c r="B8" s="8" t="inlineStr">
        <is>
          <t>Random variable generation using triangular distributions for Monte Carlo simulation.</t>
        </is>
      </c>
    </row>
    <row r="9" ht="15.6" customHeight="1">
      <c r="A9" s="7" t="inlineStr">
        <is>
          <t>Purpose:</t>
        </is>
      </c>
      <c r="B9" s="8" t="inlineStr">
        <is>
          <t>Generate stochastic multipliers that vary across simulation iterations</t>
        </is>
      </c>
    </row>
    <row r="10" ht="46.8" customHeight="1">
      <c r="A10" s="7" t="inlineStr">
        <is>
          <t>Assumptions:</t>
        </is>
      </c>
      <c r="B10" s="8" t="inlineStr">
        <is>
          <t>- Uses triangular distribution parameters from 5_ServiceModels
- RAND() functions recalculate on spreadsheet refresh
- Values captured by Data Table in 10_Calc_Sim for 1000 iterations</t>
        </is>
      </c>
    </row>
    <row r="11" ht="15.6" customHeight="1">
      <c r="A11" s="7" t="inlineStr">
        <is>
          <t>Data Source:</t>
        </is>
      </c>
      <c r="B11" s="8" t="inlineStr">
        <is>
          <t>Distribution parameters from tbl_Triangular and tbl_Beta</t>
        </is>
      </c>
    </row>
    <row r="12" ht="15.6" customHeight="1">
      <c r="A12" s="7" t="inlineStr">
        <is>
          <t>Related Tables:</t>
        </is>
      </c>
      <c r="B12" s="8" t="inlineStr">
        <is>
          <t>tbl_Triangular, tbl_Beta, tbl_GatedValues</t>
        </is>
      </c>
    </row>
    <row r="13">
      <c r="A13" s="9" t="inlineStr">
        <is>
          <t>Variable</t>
        </is>
      </c>
      <c r="B13" s="9" t="inlineStr">
        <is>
          <t>Random_U</t>
        </is>
      </c>
      <c r="C13" s="9" t="inlineStr">
        <is>
          <t>Realized_Value</t>
        </is>
      </c>
    </row>
    <row r="14">
      <c r="A14" t="inlineStr">
        <is>
          <t>Season_Extension</t>
        </is>
      </c>
      <c r="B14">
        <f>RAND()</f>
        <v/>
      </c>
      <c r="C14">
        <f>IF(B14&lt;(Tri_Season_Extension_Days_Mode-Tri_Season_Extension_Days_Min)/(Tri_Season_Extension_Days_Max-Tri_Season_Extension_Days_Min),Tri_Season_Extension_Days_Min+SQRT(B14*(Tri_Season_Extension_Days_Max-Tri_Season_Extension_Days_Min)*(Tri_Season_Extension_Days_Mode-Tri_Season_Extension_Days_Min)),Tri_Season_Extension_Days_Max-SQRT((1-B14)*(Tri_Season_Extension_Days_Max-Tri_Season_Extension_Days_Min)*(Tri_Season_Extension_Days_Max-Tri_Season_Extension_Days_Mode)))</f>
        <v/>
      </c>
    </row>
    <row r="15">
      <c r="A15" t="inlineStr">
        <is>
          <t>Extension_Value</t>
        </is>
      </c>
      <c r="B15">
        <f>RAND()</f>
        <v/>
      </c>
      <c r="C15">
        <f>IF(B15&lt;(Tri_Extension_Value_Per_Day_Mode-Tri_Extension_Value_Per_Day_Min)/(Tri_Extension_Value_Per_Day_Max-Tri_Extension_Value_Per_Day_Min),Tri_Extension_Value_Per_Day_Min+SQRT(B15*(Tri_Extension_Value_Per_Day_Max-Tri_Extension_Value_Per_Day_Min)*(Tri_Extension_Value_Per_Day_Mode-Tri_Extension_Value_Per_Day_Min)),Tri_Extension_Value_Per_Day_Max-SQRT((1-B15)*(Tri_Extension_Value_Per_Day_Max-Tri_Extension_Value_Per_Day_Min)*(Tri_Extension_Value_Per_Day_Max-Tri_Extension_Value_Per_Day_Mode)))</f>
        <v/>
      </c>
    </row>
    <row r="16">
      <c r="A16" t="inlineStr">
        <is>
          <t>Interventions_Avoided</t>
        </is>
      </c>
      <c r="B16">
        <f>RAND()</f>
        <v/>
      </c>
      <c r="C16">
        <f>IF(B16&lt;(Tri_Interventions_Avoided_Mode-Tri_Interventions_Avoided_Min)/(Tri_Interventions_Avoided_Max-Tri_Interventions_Avoided_Min),Tri_Interventions_Avoided_Min+SQRT(B16*(Tri_Interventions_Avoided_Max-Tri_Interventions_Avoided_Min)*(Tri_Interventions_Avoided_Mode-Tri_Interventions_Avoided_Min)),Tri_Interventions_Avoided_Max-SQRT((1-B16)*(Tri_Interventions_Avoided_Max-Tri_Interventions_Avoided_Min)*(Tri_Interventions_Avoided_Max-Tri_Interventions_Avoided_Mode)))</f>
        <v/>
      </c>
    </row>
    <row r="17">
      <c r="A17" t="inlineStr">
        <is>
          <t>Efficiency_Gain</t>
        </is>
      </c>
      <c r="B17">
        <f>RAND()</f>
        <v/>
      </c>
      <c r="C17">
        <f>Beta_Efficiency_Gain_Min+(Beta_Efficiency_Gain_Max-Beta_Efficiency_Gain_Min)*B17</f>
        <v/>
      </c>
    </row>
    <row r="18">
      <c r="A18" t="inlineStr">
        <is>
          <t>Treatment_Rate_Factor</t>
        </is>
      </c>
      <c r="B18">
        <f>RAND()</f>
        <v/>
      </c>
      <c r="C18">
        <f>IF(B18&lt;(Tri_Treatment_Rate_Factor_Mode-Tri_Treatment_Rate_Factor_Min)/(Tri_Treatment_Rate_Factor_Max-Tri_Treatment_Rate_Factor_Min),Tri_Treatment_Rate_Factor_Min+SQRT(B18*(Tri_Treatment_Rate_Factor_Max-Tri_Treatment_Rate_Factor_Min)*(Tri_Treatment_Rate_Factor_Mode-Tri_Treatment_Rate_Factor_Min)),Tri_Treatment_Rate_Factor_Max-SQRT((1-B18)*(Tri_Treatment_Rate_Factor_Max-Tri_Treatment_Rate_Factor_Min)*(Tri_Treatment_Rate_Factor_Max-Tri_Treatment_Rate_Factor_Mode)))</f>
        <v/>
      </c>
    </row>
  </sheetData>
  <mergeCells count="7">
    <mergeCell ref="A5:C5"/>
    <mergeCell ref="B11:C11"/>
    <mergeCell ref="B10:C10"/>
    <mergeCell ref="B9:C9"/>
    <mergeCell ref="A4:C4"/>
    <mergeCell ref="B8:C8"/>
    <mergeCell ref="B12:C1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4472C4"/>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10" customWidth="1" min="5" max="5"/>
    <col width="35" customWidth="1" min="6" max="6"/>
  </cols>
  <sheetData>
    <row r="1">
      <c r="A1" s="5" t="inlineStr">
        <is>
          <t>Compliance Gate Matrix</t>
        </is>
      </c>
    </row>
    <row r="3">
      <c r="A3" s="18" t="inlineStr">
        <is>
          <t>Compliance Gates</t>
        </is>
      </c>
      <c r="B3" s="19" t="n"/>
      <c r="C3" s="19" t="n"/>
      <c r="D3" s="19" t="n"/>
      <c r="E3" s="19" t="n"/>
      <c r="F3" s="20" t="n"/>
    </row>
    <row r="4" ht="78" customHeight="1">
      <c r="A4" s="21" t="inlineStr">
        <is>
          <t>13-variable compliance gates for water release qualification.
Each gate returns 1 (PASS) or 0 (FAIL) as numeric value.
Master_Gate_Status = MIN(all gates) - 0 if ANY gate fails.
Numeric gates enable: value gating, fractional compliance (future).
Gate thresholds defined in 5_EnvironmentalDrivers.</t>
        </is>
      </c>
      <c r="B4" s="19" t="n"/>
      <c r="C4" s="19" t="n"/>
      <c r="D4" s="19" t="n"/>
      <c r="E4" s="19" t="n"/>
      <c r="F4" s="20" t="n"/>
    </row>
    <row r="7">
      <c r="A7" s="9" t="inlineStr">
        <is>
          <t>Gate</t>
        </is>
      </c>
      <c r="B7" s="9" t="inlineStr">
        <is>
          <t>Threshold</t>
        </is>
      </c>
      <c r="C7" s="9" t="inlineStr">
        <is>
          <t>Direction</t>
        </is>
      </c>
      <c r="D7" s="9" t="inlineStr">
        <is>
          <t>Value</t>
        </is>
      </c>
      <c r="E7" s="9" t="inlineStr">
        <is>
          <t>Status</t>
        </is>
      </c>
      <c r="F7" s="9" t="inlineStr">
        <is>
          <t>Notes</t>
        </is>
      </c>
    </row>
    <row r="8">
      <c r="A8" t="inlineStr">
        <is>
          <t>Toxicity</t>
        </is>
      </c>
      <c r="B8" t="inlineStr">
        <is>
          <t>NAFC &lt;= Target</t>
        </is>
      </c>
      <c r="C8" t="inlineStr">
        <is>
          <t>below</t>
        </is>
      </c>
      <c r="D8" s="29">
        <f>IF(Final_NAFC&lt;=Target_NAFC,1,0)</f>
        <v/>
      </c>
      <c r="E8">
        <f>IF(D8=1,"PASS","FAIL")</f>
        <v/>
      </c>
      <c r="F8" t="inlineStr">
        <is>
          <t>NAFC toxicity target</t>
        </is>
      </c>
    </row>
    <row r="9">
      <c r="A9" t="inlineStr">
        <is>
          <t>Chloride</t>
        </is>
      </c>
      <c r="B9" t="inlineStr">
        <is>
          <t>&lt; 230 mg/L</t>
        </is>
      </c>
      <c r="C9" t="inlineStr">
        <is>
          <t>below</t>
        </is>
      </c>
      <c r="D9" s="29">
        <f>IF(Ionic_Chloride_Mode&lt;230,1,0)</f>
        <v/>
      </c>
      <c r="E9">
        <f>IF(D9=1,"PASS","FAIL")</f>
        <v/>
      </c>
      <c r="F9" t="inlineStr">
        <is>
          <t>Aquatic life protection</t>
        </is>
      </c>
    </row>
    <row r="10">
      <c r="A10" t="inlineStr">
        <is>
          <t>SAR</t>
        </is>
      </c>
      <c r="B10" t="inlineStr">
        <is>
          <t>&lt; 4.0</t>
        </is>
      </c>
      <c r="C10" t="inlineStr">
        <is>
          <t>below</t>
        </is>
      </c>
      <c r="D10" s="29">
        <f>IF(Ionic_SAR_Mode&lt;4,1,0)</f>
        <v/>
      </c>
      <c r="E10">
        <f>IF(D10=1,"PASS","FAIL")</f>
        <v/>
      </c>
      <c r="F10" t="inlineStr">
        <is>
          <t>Land application</t>
        </is>
      </c>
    </row>
    <row r="11">
      <c r="A11" t="inlineStr">
        <is>
          <t>DO</t>
        </is>
      </c>
      <c r="B11" t="inlineStr">
        <is>
          <t>&gt;= 6.5 mg/L</t>
        </is>
      </c>
      <c r="C11" t="inlineStr">
        <is>
          <t>above</t>
        </is>
      </c>
      <c r="D11" s="29">
        <f>IF(Env_DO_Typical_Jul&gt;=6.5,1,0)</f>
        <v/>
      </c>
      <c r="E11">
        <f>IF(D11=1,"PASS","FAIL")</f>
        <v/>
      </c>
      <c r="F11" t="inlineStr">
        <is>
          <t>Minimum oxygen</t>
        </is>
      </c>
    </row>
    <row r="12">
      <c r="A12" t="inlineStr">
        <is>
          <t>pH_Low</t>
        </is>
      </c>
      <c r="B12" t="inlineStr">
        <is>
          <t>&gt; 6.5</t>
        </is>
      </c>
      <c r="C12" t="inlineStr">
        <is>
          <t>above</t>
        </is>
      </c>
      <c r="D12" s="29">
        <f>IF(7.5&gt;6.5,1,0)</f>
        <v/>
      </c>
      <c r="E12">
        <f>IF(D12=1,"PASS","FAIL")</f>
        <v/>
      </c>
      <c r="F12" t="inlineStr">
        <is>
          <t>pH lower limit</t>
        </is>
      </c>
    </row>
    <row r="13">
      <c r="A13" t="inlineStr">
        <is>
          <t>pH_High</t>
        </is>
      </c>
      <c r="B13" t="inlineStr">
        <is>
          <t>&lt; 8.5</t>
        </is>
      </c>
      <c r="C13" t="inlineStr">
        <is>
          <t>below</t>
        </is>
      </c>
      <c r="D13" s="29">
        <f>IF(7.5&lt;8.5,1,0)</f>
        <v/>
      </c>
      <c r="E13">
        <f>IF(D13=1,"PASS","FAIL")</f>
        <v/>
      </c>
      <c r="F13" t="inlineStr">
        <is>
          <t>pH upper limit</t>
        </is>
      </c>
    </row>
    <row r="14">
      <c r="A14" t="inlineStr">
        <is>
          <t>Sulfate</t>
        </is>
      </c>
      <c r="B14" t="inlineStr">
        <is>
          <t>&lt; 500 mg/L</t>
        </is>
      </c>
      <c r="C14" t="inlineStr">
        <is>
          <t>below</t>
        </is>
      </c>
      <c r="D14" s="29">
        <f>IF(Ionic_Sulfate_Mode&lt;500,1,0)</f>
        <v/>
      </c>
      <c r="E14">
        <f>IF(D14=1,"PASS","FAIL")</f>
        <v/>
      </c>
      <c r="F14" t="inlineStr">
        <is>
          <t>Process water indicator</t>
        </is>
      </c>
    </row>
    <row r="15">
      <c r="A15" t="inlineStr">
        <is>
          <t>Temperature</t>
        </is>
      </c>
      <c r="B15" t="inlineStr">
        <is>
          <t>&lt; 25 C</t>
        </is>
      </c>
      <c r="C15" t="inlineStr">
        <is>
          <t>below</t>
        </is>
      </c>
      <c r="D15" s="29">
        <f>IF(Env_Temp_Water_Jul&lt;25,1,0)</f>
        <v/>
      </c>
      <c r="E15">
        <f>IF(D15=1,"PASS","FAIL")</f>
        <v/>
      </c>
      <c r="F15" t="inlineStr">
        <is>
          <t>Thermal discharge</t>
        </is>
      </c>
    </row>
    <row r="16">
      <c r="A16" t="inlineStr">
        <is>
          <t>NAFC</t>
        </is>
      </c>
      <c r="B16" t="inlineStr">
        <is>
          <t>&lt; Target</t>
        </is>
      </c>
      <c r="C16" t="inlineStr">
        <is>
          <t>below</t>
        </is>
      </c>
      <c r="D16" s="29">
        <f>IF(Days_to_Compliance&lt;Season_Length,1,0)</f>
        <v/>
      </c>
      <c r="E16">
        <f>IF(D16=1,"PASS","FAIL")</f>
        <v/>
      </c>
      <c r="F16" t="inlineStr">
        <is>
          <t>Treatment complete</t>
        </is>
      </c>
    </row>
    <row r="17">
      <c r="A17" t="inlineStr">
        <is>
          <t>Turbidity</t>
        </is>
      </c>
      <c r="B17" t="inlineStr">
        <is>
          <t>&lt; 100 NTU</t>
        </is>
      </c>
      <c r="C17" t="inlineStr">
        <is>
          <t>below</t>
        </is>
      </c>
      <c r="D17" s="29">
        <f>1</f>
        <v/>
      </c>
      <c r="E17">
        <f>IF(D17=1,"PASS","FAIL")</f>
        <v/>
      </c>
      <c r="F17" t="inlineStr">
        <is>
          <t>Sediment control</t>
        </is>
      </c>
    </row>
    <row r="18">
      <c r="A18" t="inlineStr">
        <is>
          <t>Oil_Sheen</t>
        </is>
      </c>
      <c r="B18" t="inlineStr">
        <is>
          <t>None visible</t>
        </is>
      </c>
      <c r="C18" t="inlineStr">
        <is>
          <t>absent</t>
        </is>
      </c>
      <c r="D18" s="29">
        <f>1</f>
        <v/>
      </c>
      <c r="E18">
        <f>IF(D18=1,"PASS","FAIL")</f>
        <v/>
      </c>
      <c r="F18" t="inlineStr">
        <is>
          <t>Visual inspection</t>
        </is>
      </c>
    </row>
    <row r="19">
      <c r="A19" t="inlineStr">
        <is>
          <t>Odor</t>
        </is>
      </c>
      <c r="B19" t="inlineStr">
        <is>
          <t>None detected</t>
        </is>
      </c>
      <c r="C19" t="inlineStr">
        <is>
          <t>absent</t>
        </is>
      </c>
      <c r="D19" s="29">
        <f>1</f>
        <v/>
      </c>
      <c r="E19">
        <f>IF(D19=1,"PASS","FAIL")</f>
        <v/>
      </c>
      <c r="F19" t="inlineStr">
        <is>
          <t>Sensory inspection</t>
        </is>
      </c>
    </row>
    <row r="20">
      <c r="A20" t="inlineStr">
        <is>
          <t>Foam</t>
        </is>
      </c>
      <c r="B20" t="inlineStr">
        <is>
          <t>None persistent</t>
        </is>
      </c>
      <c r="C20" t="inlineStr">
        <is>
          <t>absent</t>
        </is>
      </c>
      <c r="D20" s="29">
        <f>1</f>
        <v/>
      </c>
      <c r="E20">
        <f>IF(D20=1,"PASS","FAIL")</f>
        <v/>
      </c>
      <c r="F20" t="inlineStr">
        <is>
          <t>Surface condition</t>
        </is>
      </c>
    </row>
    <row r="23">
      <c r="A23" s="12" t="inlineStr">
        <is>
          <t>Master Gate Status</t>
        </is>
      </c>
    </row>
    <row r="24">
      <c r="A24" t="inlineStr">
        <is>
          <t>Master_Gate_Status</t>
        </is>
      </c>
      <c r="B24">
        <f>MIN(all gates)</f>
        <v/>
      </c>
      <c r="C24" s="29">
        <f>MIN(D8:D20)</f>
        <v/>
      </c>
      <c r="D24">
        <f>IF(C24=1,"ALL PASS","BLOCKED")</f>
        <v/>
      </c>
    </row>
    <row r="25">
      <c r="A25" t="inlineStr">
        <is>
          <t>Gates Passing</t>
        </is>
      </c>
      <c r="C25">
        <f>COUNTIF(D8:D20,1)</f>
        <v/>
      </c>
      <c r="D25" t="inlineStr">
        <is>
          <t>of 13</t>
        </is>
      </c>
    </row>
    <row r="26">
      <c r="A26" t="inlineStr">
        <is>
          <t>Gates Failing</t>
        </is>
      </c>
      <c r="C26">
        <f>COUNTIF(D8:D20,0)</f>
        <v/>
      </c>
    </row>
  </sheetData>
  <mergeCells count="2">
    <mergeCell ref="A3:F3"/>
    <mergeCell ref="A4:F4"/>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4472C4"/>
    <outlinePr summaryBelow="1" summaryRight="1"/>
    <pageSetUpPr/>
  </sheetPr>
  <dimension ref="A1:E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s>
  <sheetData>
    <row r="1">
      <c r="A1" s="5" t="inlineStr">
        <is>
          <t>Gated Value Calculations</t>
        </is>
      </c>
    </row>
    <row r="2"/>
    <row r="3">
      <c r="A3" s="18" t="inlineStr">
        <is>
          <t>Understanding Gated Value Calculations</t>
        </is>
      </c>
      <c r="B3" s="19" t="n"/>
      <c r="C3" s="19" t="n"/>
      <c r="D3" s="19" t="n"/>
      <c r="E3" s="20" t="n"/>
    </row>
    <row r="4" ht="234" customHeight="1">
      <c r="A4" s="21" t="inlineStr">
        <is>
          <t>This sheet calculates value that HRMS testing CANNOT capture due to its
42-day latency. Each scenario requires a response faster than HRMS allows.
The "Gating" Logic:
- HRMS has 42-day turnaround from sample to results
- All four scenarios require decisions within 3-14 days
- Therefore, HRMS is always BLOCKED; Biosensor (1-day) is ENABLED
Value Calculation:
- Gated_Value = Base_Value x Stoch_Mult (if ENABLED)
- Gated_Value = $0 (if BLOCKED)
Since the selected Testing_Option is Biosensor (1-day latency), all
scenarios are ENABLED and contribute value. If HRMS were selected,
all would be BLOCKED and total value would be $0.</t>
        </is>
      </c>
      <c r="B4" s="19" t="n"/>
      <c r="C4" s="19" t="n"/>
      <c r="D4" s="19" t="n"/>
      <c r="E4" s="20" t="n"/>
    </row>
    <row r="5"/>
    <row r="6">
      <c r="A6" s="6" t="inlineStr">
        <is>
          <t>Gated Value Calculations</t>
        </is>
      </c>
    </row>
    <row r="7" ht="31.2" customHeight="1">
      <c r="A7" s="7" t="inlineStr">
        <is>
          <t>Description:</t>
        </is>
      </c>
      <c r="B7" s="8" t="inlineStr">
        <is>
          <t>Scenario values after applying latency gating logic and stochastic multipliers.</t>
        </is>
      </c>
    </row>
    <row r="8" ht="31.2" customHeight="1">
      <c r="A8" s="7" t="inlineStr">
        <is>
          <t>Purpose:</t>
        </is>
      </c>
      <c r="B8" s="8" t="inlineStr">
        <is>
          <t>Calculate the actual value captured based on testing option's ability to meet response time requirements</t>
        </is>
      </c>
    </row>
    <row r="9" ht="109.2" customHeight="1">
      <c r="A9" s="7" t="inlineStr">
        <is>
          <t>Assumptions:</t>
        </is>
      </c>
      <c r="B9" s="8" t="inlineStr">
        <is>
          <t>- Gate status determined by comparing testing latency to required response time
- ENABLED scenarios: Gated_Value = Base_Value x Stoch_Mult
- BLOCKED scenarios: Gated_Value = $0 (value cannot be captured)
- Stochastic multipliers vary each Monte Carlo iteration</t>
        </is>
      </c>
    </row>
    <row r="10" ht="31.2" customHeight="1">
      <c r="A10" s="7" t="inlineStr">
        <is>
          <t>Data Source:</t>
        </is>
      </c>
      <c r="B10" s="8" t="inlineStr">
        <is>
          <t>Calculated from tbl_ValueScenarios, tbl_LatencyGating, and tbl_Stochastic</t>
        </is>
      </c>
    </row>
    <row r="11" ht="31.2" customHeight="1">
      <c r="A11" s="7" t="inlineStr">
        <is>
          <t>Related Tables:</t>
        </is>
      </c>
      <c r="B11" s="8" t="inlineStr">
        <is>
          <t>tbl_ValueScenarios, tbl_LatencyGating, tbl_Stochastic, tbl_ScenarioBreakdown</t>
        </is>
      </c>
    </row>
    <row r="12">
      <c r="A12" s="9" t="inlineStr">
        <is>
          <t>Scenario</t>
        </is>
      </c>
      <c r="B12" s="9" t="inlineStr">
        <is>
          <t>Base_Value</t>
        </is>
      </c>
      <c r="C12" s="9" t="inlineStr">
        <is>
          <t>Gate_Status</t>
        </is>
      </c>
      <c r="D12" s="9" t="inlineStr">
        <is>
          <t>Stoch_Mult</t>
        </is>
      </c>
      <c r="E12" s="9" t="inlineStr">
        <is>
          <t>Gated_Value</t>
        </is>
      </c>
    </row>
    <row r="13">
      <c r="A13" t="inlineStr">
        <is>
          <t>S1_Season_Extension</t>
        </is>
      </c>
      <c r="B13">
        <f>INDEX(Scenario_BaseValues,1)</f>
        <v/>
      </c>
      <c r="C13">
        <f>INDEX(Gate_S1,MATCH(Testing_Option,TestOpt_Option,0))</f>
        <v/>
      </c>
      <c r="D13">
        <f>Stoch_SeasonExt/21</f>
        <v/>
      </c>
      <c r="E13">
        <f>IF(C13="ENABLED",B13*D13,0)</f>
        <v/>
      </c>
    </row>
    <row r="14">
      <c r="A14" t="inlineStr">
        <is>
          <t>S2_Intervention_Avoidance</t>
        </is>
      </c>
      <c r="B14">
        <f>INDEX(Scenario_BaseValues,2)</f>
        <v/>
      </c>
      <c r="C14">
        <f>INDEX(Gate_S2,MATCH(Testing_Option,TestOpt_Option,0))</f>
        <v/>
      </c>
      <c r="D14">
        <f>Stoch_Interventions/3</f>
        <v/>
      </c>
      <c r="E14">
        <f>IF(C14="ENABLED",B14*D14,0)</f>
        <v/>
      </c>
    </row>
    <row r="15">
      <c r="A15" t="inlineStr">
        <is>
          <t>S3_Spatial_Routing</t>
        </is>
      </c>
      <c r="B15">
        <f>INDEX(Scenario_BaseValues,3)</f>
        <v/>
      </c>
      <c r="C15">
        <f>INDEX(Gate_S3,MATCH(Testing_Option,TestOpt_Option,0))</f>
        <v/>
      </c>
      <c r="D15">
        <f>Stoch_Efficiency/0.15</f>
        <v/>
      </c>
      <c r="E15">
        <f>IF(C15="ENABLED",B15*D15,0)</f>
        <v/>
      </c>
    </row>
    <row r="16">
      <c r="A16" t="inlineStr">
        <is>
          <t>S4_Early_Detection</t>
        </is>
      </c>
      <c r="B16">
        <f>INDEX(Scenario_BaseValues,4)</f>
        <v/>
      </c>
      <c r="C16">
        <f>INDEX(Gate_S4,MATCH(Testing_Option,TestOpt_Option,0))</f>
        <v/>
      </c>
      <c r="D16">
        <f>1+Stoch_Efficiency</f>
        <v/>
      </c>
      <c r="E16">
        <f>IF(C16="ENABLED",B16*D16,0)</f>
        <v/>
      </c>
    </row>
    <row r="17"/>
    <row r="18">
      <c r="A18" s="12" t="inlineStr">
        <is>
          <t>Total_Gross_Value</t>
        </is>
      </c>
      <c r="E18" s="16">
        <f>SUM(E13:E16)</f>
        <v/>
      </c>
    </row>
    <row r="19"/>
    <row r="20">
      <c r="A20" s="12" t="inlineStr">
        <is>
          <t>Compliance Gate</t>
        </is>
      </c>
      <c r="B20" s="29">
        <f>Master_Gate_Status</f>
        <v/>
      </c>
      <c r="C20">
        <f>IF(B20=1,"PASS","FAIL")</f>
        <v/>
      </c>
    </row>
    <row r="21">
      <c r="A21" s="12" t="inlineStr">
        <is>
          <t>Compliance_Adjusted_Value</t>
        </is>
      </c>
      <c r="E21" s="16">
        <f>Gross_Value*Master_Gate_Status</f>
        <v/>
      </c>
    </row>
    <row r="22"/>
    <row r="23">
      <c r="A23" s="31" t="inlineStr">
        <is>
          <t>Note: Compliance_Adjusted_Value = Gross_Value × Master_Gate_Status</t>
        </is>
      </c>
    </row>
    <row r="24">
      <c r="A24" s="31" t="inlineStr">
        <is>
          <t>If ANY compliance gate fails (13 gates), value becomes $0</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4472C4"/>
    <outlinePr summaryBelow="1" summaryRight="1"/>
    <pageSetUpPr/>
  </sheetPr>
  <dimension ref="A1:C19"/>
  <sheetViews>
    <sheetView workbookViewId="0">
      <selection activeCell="A1" sqref="A1"/>
    </sheetView>
  </sheetViews>
  <sheetFormatPr baseColWidth="8" defaultRowHeight="15"/>
  <cols>
    <col width="22" customWidth="1" min="1" max="1"/>
    <col width="25" customWidth="1" min="2" max="2"/>
    <col width="18" customWidth="1" min="3" max="3"/>
  </cols>
  <sheetData>
    <row r="1">
      <c r="A1" s="5" t="inlineStr">
        <is>
          <t>Cost Calculations</t>
        </is>
      </c>
    </row>
    <row r="2"/>
    <row r="3">
      <c r="A3" s="18" t="inlineStr">
        <is>
          <t>Understanding Cost Calculations</t>
        </is>
      </c>
      <c r="B3" s="19" t="n"/>
      <c r="C3" s="20" t="n"/>
    </row>
    <row r="4" ht="312" customHeight="1">
      <c r="A4" s="21" t="inlineStr">
        <is>
          <t>This sheet calculates the annual cost of the selected testing approach.
Cost Components:
- Testing frequency: How often samples are taken (daily vs weekly vs monthly)
- Sample points: Number of locations monitored per test event
- Cost per test: Lab analysis cost for HRMS or sensor cost for Biosensor
- Season length: Number of active treatment days per year
Formula: Annual_Cost = (Season_Days / Test_Interval) x Sample_Points x Cost_Per_Test
The testing option parameters come from 3_Assumptions (Test Options table).
Biosensor has higher frequency but much lower cost per test, resulting
in comparable or lower total annual costs with far better data resolution.</t>
        </is>
      </c>
      <c r="B4" s="19" t="n"/>
      <c r="C4" s="20" t="n"/>
    </row>
    <row r="5"/>
    <row r="6">
      <c r="A6" s="6" t="inlineStr">
        <is>
          <t>Cost Calculation</t>
        </is>
      </c>
    </row>
    <row r="7" ht="31.2" customHeight="1">
      <c r="A7" s="7" t="inlineStr">
        <is>
          <t>Description:</t>
        </is>
      </c>
      <c r="B7" s="8" t="inlineStr">
        <is>
          <t>Annual testing cost breakdown for the selected monitoring approach.</t>
        </is>
      </c>
    </row>
    <row r="8" ht="31.2" customHeight="1">
      <c r="A8" s="7" t="inlineStr">
        <is>
          <t>Purpose:</t>
        </is>
      </c>
      <c r="B8" s="8" t="inlineStr">
        <is>
          <t>Calculate total cost of testing to include in ROI and NPV calculations</t>
        </is>
      </c>
    </row>
    <row r="9" ht="62.40000000000001" customHeight="1">
      <c r="A9" s="7" t="inlineStr">
        <is>
          <t>Assumptions:</t>
        </is>
      </c>
      <c r="B9" s="8" t="inlineStr">
        <is>
          <t>- Cost = (Season_Days / Test_Interval) x Sample_Points x Cost_Per_Test
- Parameters looked up from tbl_TestOptions based on selected option</t>
        </is>
      </c>
    </row>
    <row r="10" ht="15.6" customHeight="1">
      <c r="A10" s="7" t="inlineStr">
        <is>
          <t>Data Source:</t>
        </is>
      </c>
      <c r="B10" s="8" t="inlineStr">
        <is>
          <t>Calculated from tbl_TestOptions parameters</t>
        </is>
      </c>
    </row>
    <row r="11" ht="15.6" customHeight="1">
      <c r="A11" s="7" t="inlineStr">
        <is>
          <t>Related Tables:</t>
        </is>
      </c>
      <c r="B11" s="8" t="inlineStr">
        <is>
          <t>tbl_TestOptions, tbl_CostParams, tbl_Annual</t>
        </is>
      </c>
    </row>
    <row r="12">
      <c r="A12" s="9" t="inlineStr">
        <is>
          <t>Component</t>
        </is>
      </c>
      <c r="B12" s="9" t="inlineStr">
        <is>
          <t>Formula</t>
        </is>
      </c>
      <c r="C12" s="9" t="inlineStr">
        <is>
          <t>Value</t>
        </is>
      </c>
    </row>
    <row r="13">
      <c r="A13" t="inlineStr">
        <is>
          <t>Selected_Option</t>
        </is>
      </c>
      <c r="B13" t="inlineStr">
        <is>
          <t>Testing_Option</t>
        </is>
      </c>
      <c r="C13">
        <f>Testing_Option</f>
        <v/>
      </c>
    </row>
    <row r="14">
      <c r="A14" t="inlineStr">
        <is>
          <t>Interval_Days</t>
        </is>
      </c>
      <c r="B14" t="inlineStr">
        <is>
          <t>INDEX/MATCH</t>
        </is>
      </c>
      <c r="C14">
        <f>INDEX(TestOpt_Interval,MATCH(Testing_Option,TestOpt_Option,0))</f>
        <v/>
      </c>
    </row>
    <row r="15">
      <c r="A15" t="inlineStr">
        <is>
          <t>Monitoring_Points</t>
        </is>
      </c>
      <c r="B15" t="inlineStr">
        <is>
          <t>INDEX/MATCH</t>
        </is>
      </c>
      <c r="C15">
        <f>INDEX(TestOpt_Points,MATCH(Testing_Option,TestOpt_Option,0))</f>
        <v/>
      </c>
    </row>
    <row r="16">
      <c r="A16" t="inlineStr">
        <is>
          <t>Cost_Per_Test</t>
        </is>
      </c>
      <c r="B16" t="inlineStr">
        <is>
          <t>INDEX/MATCH</t>
        </is>
      </c>
      <c r="C16" s="16">
        <f>INDEX(TestOpt_Cost,MATCH(Testing_Option,TestOpt_Option,0))</f>
        <v/>
      </c>
    </row>
    <row r="17">
      <c r="A17" t="inlineStr">
        <is>
          <t>Events_Per_Season</t>
        </is>
      </c>
      <c r="B17" t="inlineStr">
        <is>
          <t>Season_Length / Interval</t>
        </is>
      </c>
      <c r="C17">
        <f>Season_Length/C14</f>
        <v/>
      </c>
    </row>
    <row r="18">
      <c r="A18" t="inlineStr">
        <is>
          <t>Total_Tests</t>
        </is>
      </c>
      <c r="B18" t="inlineStr">
        <is>
          <t>Events * Points</t>
        </is>
      </c>
      <c r="C18">
        <f>C17*C15</f>
        <v/>
      </c>
    </row>
    <row r="19">
      <c r="A19" t="inlineStr">
        <is>
          <t>Season_Testing_Cost</t>
        </is>
      </c>
      <c r="B19" t="inlineStr">
        <is>
          <t>Total_Tests * Cost_Per_Test</t>
        </is>
      </c>
      <c r="C19" s="32">
        <f>C18*C16</f>
        <v/>
      </c>
    </row>
  </sheetData>
  <mergeCells count="7">
    <mergeCell ref="B7:C7"/>
    <mergeCell ref="B11:C11"/>
    <mergeCell ref="B10:C10"/>
    <mergeCell ref="A3:C3"/>
    <mergeCell ref="B9:C9"/>
    <mergeCell ref="A4:C4"/>
    <mergeCell ref="B8:C8"/>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4472C4"/>
    <outlinePr summaryBelow="1" summaryRight="1"/>
    <pageSetUpPr/>
  </sheetPr>
  <dimension ref="A1:I102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8" customWidth="1" min="9" max="9"/>
    <col width="8" customWidth="1" min="11" max="11"/>
  </cols>
  <sheetData>
    <row r="1">
      <c r="A1" s="5" t="inlineStr">
        <is>
          <t>Monte Carlo Simulation (1000 iterations)</t>
        </is>
      </c>
    </row>
    <row r="2"/>
    <row r="3">
      <c r="A3" s="18" t="inlineStr">
        <is>
          <t>Running the Monte Carlo Simulation</t>
        </is>
      </c>
      <c r="B3" s="19" t="n"/>
      <c r="C3" s="19" t="n"/>
      <c r="D3" s="19" t="n"/>
      <c r="E3" s="20" t="n"/>
    </row>
    <row r="4" ht="374.4" customHeight="1">
      <c r="A4" s="21" t="inlineStr">
        <is>
          <t>This sheet captures 1000 iterations using Excel's Data Table feature.
SETUP INSTRUCTIONS:
1. Select the data range A5:I1005 (headers + 1000 rows)
2. Go to Data &gt; What-If Analysis &gt; Data Table
3. Leave "Row input cell" blank
4. For "Column input cell" enter: $K$1 (any blank cell on this sheet)
5. Click OK
HOW IT WORKS:
- Excel recalculates the model 1000 times
- Each row captures one iteration's outputs (NPV, scenario values, costs)
- The Data Table forces RAND() functions to regenerate each iteration
- Results are stored as values, not formulas
RECALCULATING:
- Press Ctrl+Alt+F9 to force full recalculation
- This regenerates all 1000 iterations (may take several seconds)
- Standard F9 only recalculates changed cells
OUTPUT STATISTICS:
- Expected NPV: Mean of 1000 iterations
- P10/P50/P90: Percentile values for confidence intervals
- Prob(NPV&gt;0): Percentage of iterations with positive NPV</t>
        </is>
      </c>
      <c r="B4" s="19" t="n"/>
      <c r="C4" s="19" t="n"/>
      <c r="D4" s="19" t="n"/>
      <c r="E4" s="20" t="n"/>
    </row>
    <row r="5"/>
    <row r="6"/>
    <row r="7">
      <c r="A7" s="13" t="inlineStr">
        <is>
          <t>Select A8:I1008 &gt; Data &gt; What-If Analysis &gt; Data Table</t>
        </is>
      </c>
    </row>
    <row r="8">
      <c r="A8" s="13" t="inlineStr">
        <is>
          <t>Column Input Cell: $K$1 (blank cell on this sheet)</t>
        </is>
      </c>
    </row>
    <row r="9">
      <c r="A9" s="12" t="inlineStr">
        <is>
          <t>Iteration</t>
        </is>
      </c>
      <c r="B9" s="12" t="inlineStr">
        <is>
          <t>NPV</t>
        </is>
      </c>
      <c r="C9" s="12" t="inlineStr">
        <is>
          <t>S1</t>
        </is>
      </c>
      <c r="D9" s="12" t="inlineStr">
        <is>
          <t>S2</t>
        </is>
      </c>
      <c r="E9" s="12" t="inlineStr">
        <is>
          <t>S3</t>
        </is>
      </c>
      <c r="F9" s="12" t="inlineStr">
        <is>
          <t>S4</t>
        </is>
      </c>
      <c r="G9" s="12" t="inlineStr">
        <is>
          <t>Cost</t>
        </is>
      </c>
      <c r="H9" s="12" t="inlineStr">
        <is>
          <t>Net</t>
        </is>
      </c>
      <c r="I9" s="12" t="inlineStr">
        <is>
          <t>Days_to_Compliance</t>
        </is>
      </c>
    </row>
    <row r="10">
      <c r="B10" s="16">
        <f>NPV_Total</f>
        <v/>
      </c>
      <c r="C10" s="16">
        <f>S1_Value</f>
        <v/>
      </c>
      <c r="D10" s="16">
        <f>S2_Value</f>
        <v/>
      </c>
      <c r="E10" s="16">
        <f>S3_Value</f>
        <v/>
      </c>
      <c r="F10" s="16">
        <f>S4_Value</f>
        <v/>
      </c>
      <c r="G10" s="16">
        <f>Testing_Cost</f>
        <v/>
      </c>
      <c r="H10" s="16">
        <f>Compliance_Adjusted_Value-Testing_Cost</f>
        <v/>
      </c>
      <c r="I10" s="28">
        <f>Days_to_Compliance</f>
        <v/>
      </c>
    </row>
    <row r="11">
      <c r="A11" t="n">
        <v>1</v>
      </c>
    </row>
    <row r="12">
      <c r="A12" t="n">
        <v>2</v>
      </c>
    </row>
    <row r="13">
      <c r="A13" t="n">
        <v>3</v>
      </c>
    </row>
    <row r="14">
      <c r="A14" t="n">
        <v>4</v>
      </c>
    </row>
    <row r="15">
      <c r="A15" t="n">
        <v>5</v>
      </c>
    </row>
    <row r="16">
      <c r="A16" t="n">
        <v>6</v>
      </c>
    </row>
    <row r="17">
      <c r="A17" t="n">
        <v>7</v>
      </c>
    </row>
    <row r="18">
      <c r="A18" t="n">
        <v>8</v>
      </c>
    </row>
    <row r="19">
      <c r="A19" t="n">
        <v>9</v>
      </c>
    </row>
    <row r="20">
      <c r="A20" t="n">
        <v>10</v>
      </c>
    </row>
    <row r="21">
      <c r="A21" t="n">
        <v>11</v>
      </c>
    </row>
    <row r="22">
      <c r="A22" t="n">
        <v>12</v>
      </c>
    </row>
    <row r="23">
      <c r="A23" t="n">
        <v>13</v>
      </c>
    </row>
    <row r="24">
      <c r="A24" t="n">
        <v>14</v>
      </c>
    </row>
    <row r="25">
      <c r="A25" t="n">
        <v>15</v>
      </c>
    </row>
    <row r="26">
      <c r="A26" t="n">
        <v>16</v>
      </c>
    </row>
    <row r="27">
      <c r="A27" t="n">
        <v>17</v>
      </c>
    </row>
    <row r="28">
      <c r="A28" t="n">
        <v>18</v>
      </c>
    </row>
    <row r="29">
      <c r="A29" t="n">
        <v>19</v>
      </c>
    </row>
    <row r="30">
      <c r="A30" t="n">
        <v>20</v>
      </c>
    </row>
    <row r="31">
      <c r="A31" t="n">
        <v>21</v>
      </c>
    </row>
    <row r="32">
      <c r="A32" t="n">
        <v>22</v>
      </c>
    </row>
    <row r="33">
      <c r="A33" t="n">
        <v>23</v>
      </c>
    </row>
    <row r="34">
      <c r="A34" t="n">
        <v>24</v>
      </c>
    </row>
    <row r="35">
      <c r="A35" t="n">
        <v>25</v>
      </c>
    </row>
    <row r="36">
      <c r="A36" t="n">
        <v>26</v>
      </c>
    </row>
    <row r="37">
      <c r="A37" t="n">
        <v>27</v>
      </c>
    </row>
    <row r="38">
      <c r="A38" t="n">
        <v>28</v>
      </c>
    </row>
    <row r="39">
      <c r="A39" t="n">
        <v>29</v>
      </c>
    </row>
    <row r="40">
      <c r="A40" t="n">
        <v>30</v>
      </c>
    </row>
    <row r="41">
      <c r="A41" t="n">
        <v>31</v>
      </c>
    </row>
    <row r="42">
      <c r="A42" t="n">
        <v>32</v>
      </c>
    </row>
    <row r="43">
      <c r="A43" t="n">
        <v>33</v>
      </c>
    </row>
    <row r="44">
      <c r="A44" t="n">
        <v>34</v>
      </c>
    </row>
    <row r="45">
      <c r="A45" t="n">
        <v>35</v>
      </c>
    </row>
    <row r="46">
      <c r="A46" t="n">
        <v>36</v>
      </c>
    </row>
    <row r="47">
      <c r="A47" t="n">
        <v>37</v>
      </c>
    </row>
    <row r="48">
      <c r="A48" t="n">
        <v>38</v>
      </c>
    </row>
    <row r="49">
      <c r="A49" t="n">
        <v>39</v>
      </c>
    </row>
    <row r="50">
      <c r="A50" t="n">
        <v>40</v>
      </c>
    </row>
    <row r="51">
      <c r="A51" t="n">
        <v>41</v>
      </c>
    </row>
    <row r="52">
      <c r="A52" t="n">
        <v>42</v>
      </c>
    </row>
    <row r="53">
      <c r="A53" t="n">
        <v>43</v>
      </c>
    </row>
    <row r="54">
      <c r="A54" t="n">
        <v>44</v>
      </c>
    </row>
    <row r="55">
      <c r="A55" t="n">
        <v>45</v>
      </c>
    </row>
    <row r="56">
      <c r="A56" t="n">
        <v>46</v>
      </c>
    </row>
    <row r="57">
      <c r="A57" t="n">
        <v>47</v>
      </c>
    </row>
    <row r="58">
      <c r="A58" t="n">
        <v>48</v>
      </c>
    </row>
    <row r="59">
      <c r="A59" t="n">
        <v>49</v>
      </c>
    </row>
    <row r="60">
      <c r="A60" t="n">
        <v>50</v>
      </c>
    </row>
    <row r="61">
      <c r="A61" t="n">
        <v>51</v>
      </c>
    </row>
    <row r="62">
      <c r="A62" t="n">
        <v>52</v>
      </c>
    </row>
    <row r="63">
      <c r="A63" t="n">
        <v>53</v>
      </c>
    </row>
    <row r="64">
      <c r="A64" t="n">
        <v>54</v>
      </c>
    </row>
    <row r="65">
      <c r="A65" t="n">
        <v>55</v>
      </c>
    </row>
    <row r="66">
      <c r="A66" t="n">
        <v>56</v>
      </c>
    </row>
    <row r="67">
      <c r="A67" t="n">
        <v>57</v>
      </c>
    </row>
    <row r="68">
      <c r="A68" t="n">
        <v>58</v>
      </c>
    </row>
    <row r="69">
      <c r="A69" t="n">
        <v>59</v>
      </c>
    </row>
    <row r="70">
      <c r="A70" t="n">
        <v>60</v>
      </c>
    </row>
    <row r="71">
      <c r="A71" t="n">
        <v>61</v>
      </c>
    </row>
    <row r="72">
      <c r="A72" t="n">
        <v>62</v>
      </c>
    </row>
    <row r="73">
      <c r="A73" t="n">
        <v>63</v>
      </c>
    </row>
    <row r="74">
      <c r="A74" t="n">
        <v>64</v>
      </c>
    </row>
    <row r="75">
      <c r="A75" t="n">
        <v>65</v>
      </c>
    </row>
    <row r="76">
      <c r="A76" t="n">
        <v>66</v>
      </c>
    </row>
    <row r="77">
      <c r="A77" t="n">
        <v>67</v>
      </c>
    </row>
    <row r="78">
      <c r="A78" t="n">
        <v>68</v>
      </c>
    </row>
    <row r="79">
      <c r="A79" t="n">
        <v>69</v>
      </c>
    </row>
    <row r="80">
      <c r="A80" t="n">
        <v>70</v>
      </c>
    </row>
    <row r="81">
      <c r="A81" t="n">
        <v>71</v>
      </c>
    </row>
    <row r="82">
      <c r="A82" t="n">
        <v>72</v>
      </c>
    </row>
    <row r="83">
      <c r="A83" t="n">
        <v>73</v>
      </c>
    </row>
    <row r="84">
      <c r="A84" t="n">
        <v>74</v>
      </c>
    </row>
    <row r="85">
      <c r="A85" t="n">
        <v>75</v>
      </c>
    </row>
    <row r="86">
      <c r="A86" t="n">
        <v>76</v>
      </c>
    </row>
    <row r="87">
      <c r="A87" t="n">
        <v>77</v>
      </c>
    </row>
    <row r="88">
      <c r="A88" t="n">
        <v>78</v>
      </c>
    </row>
    <row r="89">
      <c r="A89" t="n">
        <v>79</v>
      </c>
    </row>
    <row r="90">
      <c r="A90" t="n">
        <v>80</v>
      </c>
    </row>
    <row r="91">
      <c r="A91" t="n">
        <v>81</v>
      </c>
    </row>
    <row r="92">
      <c r="A92" t="n">
        <v>82</v>
      </c>
    </row>
    <row r="93">
      <c r="A93" t="n">
        <v>83</v>
      </c>
    </row>
    <row r="94">
      <c r="A94" t="n">
        <v>84</v>
      </c>
    </row>
    <row r="95">
      <c r="A95" t="n">
        <v>85</v>
      </c>
    </row>
    <row r="96">
      <c r="A96" t="n">
        <v>86</v>
      </c>
    </row>
    <row r="97">
      <c r="A97" t="n">
        <v>87</v>
      </c>
    </row>
    <row r="98">
      <c r="A98" t="n">
        <v>88</v>
      </c>
    </row>
    <row r="99">
      <c r="A99" t="n">
        <v>89</v>
      </c>
    </row>
    <row r="100">
      <c r="A100" t="n">
        <v>90</v>
      </c>
    </row>
    <row r="101">
      <c r="A101" t="n">
        <v>91</v>
      </c>
    </row>
    <row r="102">
      <c r="A102" t="n">
        <v>92</v>
      </c>
    </row>
    <row r="103">
      <c r="A103" t="n">
        <v>93</v>
      </c>
    </row>
    <row r="104">
      <c r="A104" t="n">
        <v>94</v>
      </c>
    </row>
    <row r="105">
      <c r="A105" t="n">
        <v>95</v>
      </c>
    </row>
    <row r="106">
      <c r="A106" t="n">
        <v>96</v>
      </c>
    </row>
    <row r="107">
      <c r="A107" t="n">
        <v>97</v>
      </c>
    </row>
    <row r="108">
      <c r="A108" t="n">
        <v>98</v>
      </c>
    </row>
    <row r="109">
      <c r="A109" t="n">
        <v>99</v>
      </c>
    </row>
    <row r="110">
      <c r="A110" t="n">
        <v>100</v>
      </c>
    </row>
    <row r="111">
      <c r="A111" t="n">
        <v>101</v>
      </c>
    </row>
    <row r="112">
      <c r="A112" t="n">
        <v>102</v>
      </c>
    </row>
    <row r="113">
      <c r="A113" t="n">
        <v>103</v>
      </c>
    </row>
    <row r="114">
      <c r="A114" t="n">
        <v>104</v>
      </c>
    </row>
    <row r="115">
      <c r="A115" t="n">
        <v>105</v>
      </c>
    </row>
    <row r="116">
      <c r="A116" t="n">
        <v>106</v>
      </c>
    </row>
    <row r="117">
      <c r="A117" t="n">
        <v>107</v>
      </c>
    </row>
    <row r="118">
      <c r="A118" t="n">
        <v>108</v>
      </c>
    </row>
    <row r="119">
      <c r="A119" t="n">
        <v>109</v>
      </c>
    </row>
    <row r="120">
      <c r="A120" t="n">
        <v>110</v>
      </c>
    </row>
    <row r="121">
      <c r="A121" t="n">
        <v>111</v>
      </c>
    </row>
    <row r="122">
      <c r="A122" t="n">
        <v>112</v>
      </c>
    </row>
    <row r="123">
      <c r="A123" t="n">
        <v>113</v>
      </c>
    </row>
    <row r="124">
      <c r="A124" t="n">
        <v>114</v>
      </c>
    </row>
    <row r="125">
      <c r="A125" t="n">
        <v>115</v>
      </c>
    </row>
    <row r="126">
      <c r="A126" t="n">
        <v>116</v>
      </c>
    </row>
    <row r="127">
      <c r="A127" t="n">
        <v>117</v>
      </c>
    </row>
    <row r="128">
      <c r="A128" t="n">
        <v>118</v>
      </c>
    </row>
    <row r="129">
      <c r="A129" t="n">
        <v>119</v>
      </c>
    </row>
    <row r="130">
      <c r="A130" t="n">
        <v>120</v>
      </c>
    </row>
    <row r="131">
      <c r="A131" t="n">
        <v>121</v>
      </c>
    </row>
    <row r="132">
      <c r="A132" t="n">
        <v>122</v>
      </c>
    </row>
    <row r="133">
      <c r="A133" t="n">
        <v>123</v>
      </c>
    </row>
    <row r="134">
      <c r="A134" t="n">
        <v>124</v>
      </c>
    </row>
    <row r="135">
      <c r="A135" t="n">
        <v>125</v>
      </c>
    </row>
    <row r="136">
      <c r="A136" t="n">
        <v>126</v>
      </c>
    </row>
    <row r="137">
      <c r="A137" t="n">
        <v>127</v>
      </c>
    </row>
    <row r="138">
      <c r="A138" t="n">
        <v>128</v>
      </c>
    </row>
    <row r="139">
      <c r="A139" t="n">
        <v>129</v>
      </c>
    </row>
    <row r="140">
      <c r="A140" t="n">
        <v>130</v>
      </c>
    </row>
    <row r="141">
      <c r="A141" t="n">
        <v>131</v>
      </c>
    </row>
    <row r="142">
      <c r="A142" t="n">
        <v>132</v>
      </c>
    </row>
    <row r="143">
      <c r="A143" t="n">
        <v>133</v>
      </c>
    </row>
    <row r="144">
      <c r="A144" t="n">
        <v>134</v>
      </c>
    </row>
    <row r="145">
      <c r="A145" t="n">
        <v>135</v>
      </c>
    </row>
    <row r="146">
      <c r="A146" t="n">
        <v>136</v>
      </c>
    </row>
    <row r="147">
      <c r="A147" t="n">
        <v>137</v>
      </c>
    </row>
    <row r="148">
      <c r="A148" t="n">
        <v>138</v>
      </c>
    </row>
    <row r="149">
      <c r="A149" t="n">
        <v>139</v>
      </c>
    </row>
    <row r="150">
      <c r="A150" t="n">
        <v>140</v>
      </c>
    </row>
    <row r="151">
      <c r="A151" t="n">
        <v>141</v>
      </c>
    </row>
    <row r="152">
      <c r="A152" t="n">
        <v>142</v>
      </c>
    </row>
    <row r="153">
      <c r="A153" t="n">
        <v>143</v>
      </c>
    </row>
    <row r="154">
      <c r="A154" t="n">
        <v>144</v>
      </c>
    </row>
    <row r="155">
      <c r="A155" t="n">
        <v>145</v>
      </c>
    </row>
    <row r="156">
      <c r="A156" t="n">
        <v>146</v>
      </c>
    </row>
    <row r="157">
      <c r="A157" t="n">
        <v>147</v>
      </c>
    </row>
    <row r="158">
      <c r="A158" t="n">
        <v>148</v>
      </c>
    </row>
    <row r="159">
      <c r="A159" t="n">
        <v>149</v>
      </c>
    </row>
    <row r="160">
      <c r="A160" t="n">
        <v>150</v>
      </c>
    </row>
    <row r="161">
      <c r="A161" t="n">
        <v>151</v>
      </c>
    </row>
    <row r="162">
      <c r="A162" t="n">
        <v>152</v>
      </c>
    </row>
    <row r="163">
      <c r="A163" t="n">
        <v>153</v>
      </c>
    </row>
    <row r="164">
      <c r="A164" t="n">
        <v>154</v>
      </c>
    </row>
    <row r="165">
      <c r="A165" t="n">
        <v>155</v>
      </c>
    </row>
    <row r="166">
      <c r="A166" t="n">
        <v>156</v>
      </c>
    </row>
    <row r="167">
      <c r="A167" t="n">
        <v>157</v>
      </c>
    </row>
    <row r="168">
      <c r="A168" t="n">
        <v>158</v>
      </c>
    </row>
    <row r="169">
      <c r="A169" t="n">
        <v>159</v>
      </c>
    </row>
    <row r="170">
      <c r="A170" t="n">
        <v>160</v>
      </c>
    </row>
    <row r="171">
      <c r="A171" t="n">
        <v>161</v>
      </c>
    </row>
    <row r="172">
      <c r="A172" t="n">
        <v>162</v>
      </c>
    </row>
    <row r="173">
      <c r="A173" t="n">
        <v>163</v>
      </c>
    </row>
    <row r="174">
      <c r="A174" t="n">
        <v>164</v>
      </c>
    </row>
    <row r="175">
      <c r="A175" t="n">
        <v>165</v>
      </c>
    </row>
    <row r="176">
      <c r="A176" t="n">
        <v>166</v>
      </c>
    </row>
    <row r="177">
      <c r="A177" t="n">
        <v>167</v>
      </c>
    </row>
    <row r="178">
      <c r="A178" t="n">
        <v>168</v>
      </c>
    </row>
    <row r="179">
      <c r="A179" t="n">
        <v>169</v>
      </c>
    </row>
    <row r="180">
      <c r="A180" t="n">
        <v>170</v>
      </c>
    </row>
    <row r="181">
      <c r="A181" t="n">
        <v>171</v>
      </c>
    </row>
    <row r="182">
      <c r="A182" t="n">
        <v>172</v>
      </c>
    </row>
    <row r="183">
      <c r="A183" t="n">
        <v>173</v>
      </c>
    </row>
    <row r="184">
      <c r="A184" t="n">
        <v>174</v>
      </c>
    </row>
    <row r="185">
      <c r="A185" t="n">
        <v>175</v>
      </c>
    </row>
    <row r="186">
      <c r="A186" t="n">
        <v>176</v>
      </c>
    </row>
    <row r="187">
      <c r="A187" t="n">
        <v>177</v>
      </c>
    </row>
    <row r="188">
      <c r="A188" t="n">
        <v>178</v>
      </c>
    </row>
    <row r="189">
      <c r="A189" t="n">
        <v>179</v>
      </c>
    </row>
    <row r="190">
      <c r="A190" t="n">
        <v>180</v>
      </c>
    </row>
    <row r="191">
      <c r="A191" t="n">
        <v>181</v>
      </c>
    </row>
    <row r="192">
      <c r="A192" t="n">
        <v>182</v>
      </c>
    </row>
    <row r="193">
      <c r="A193" t="n">
        <v>183</v>
      </c>
    </row>
    <row r="194">
      <c r="A194" t="n">
        <v>184</v>
      </c>
    </row>
    <row r="195">
      <c r="A195" t="n">
        <v>185</v>
      </c>
    </row>
    <row r="196">
      <c r="A196" t="n">
        <v>186</v>
      </c>
    </row>
    <row r="197">
      <c r="A197" t="n">
        <v>187</v>
      </c>
    </row>
    <row r="198">
      <c r="A198" t="n">
        <v>188</v>
      </c>
    </row>
    <row r="199">
      <c r="A199" t="n">
        <v>189</v>
      </c>
    </row>
    <row r="200">
      <c r="A200" t="n">
        <v>190</v>
      </c>
    </row>
    <row r="201">
      <c r="A201" t="n">
        <v>191</v>
      </c>
    </row>
    <row r="202">
      <c r="A202" t="n">
        <v>192</v>
      </c>
    </row>
    <row r="203">
      <c r="A203" t="n">
        <v>193</v>
      </c>
    </row>
    <row r="204">
      <c r="A204" t="n">
        <v>194</v>
      </c>
    </row>
    <row r="205">
      <c r="A205" t="n">
        <v>195</v>
      </c>
    </row>
    <row r="206">
      <c r="A206" t="n">
        <v>196</v>
      </c>
    </row>
    <row r="207">
      <c r="A207" t="n">
        <v>197</v>
      </c>
    </row>
    <row r="208">
      <c r="A208" t="n">
        <v>198</v>
      </c>
    </row>
    <row r="209">
      <c r="A209" t="n">
        <v>199</v>
      </c>
    </row>
    <row r="210">
      <c r="A210" t="n">
        <v>200</v>
      </c>
    </row>
    <row r="211">
      <c r="A211" t="n">
        <v>201</v>
      </c>
    </row>
    <row r="212">
      <c r="A212" t="n">
        <v>202</v>
      </c>
    </row>
    <row r="213">
      <c r="A213" t="n">
        <v>203</v>
      </c>
    </row>
    <row r="214">
      <c r="A214" t="n">
        <v>204</v>
      </c>
    </row>
    <row r="215">
      <c r="A215" t="n">
        <v>205</v>
      </c>
    </row>
    <row r="216">
      <c r="A216" t="n">
        <v>206</v>
      </c>
    </row>
    <row r="217">
      <c r="A217" t="n">
        <v>207</v>
      </c>
    </row>
    <row r="218">
      <c r="A218" t="n">
        <v>208</v>
      </c>
    </row>
    <row r="219">
      <c r="A219" t="n">
        <v>209</v>
      </c>
    </row>
    <row r="220">
      <c r="A220" t="n">
        <v>210</v>
      </c>
    </row>
    <row r="221">
      <c r="A221" t="n">
        <v>211</v>
      </c>
    </row>
    <row r="222">
      <c r="A222" t="n">
        <v>212</v>
      </c>
    </row>
    <row r="223">
      <c r="A223" t="n">
        <v>213</v>
      </c>
    </row>
    <row r="224">
      <c r="A224" t="n">
        <v>214</v>
      </c>
    </row>
    <row r="225">
      <c r="A225" t="n">
        <v>215</v>
      </c>
    </row>
    <row r="226">
      <c r="A226" t="n">
        <v>216</v>
      </c>
    </row>
    <row r="227">
      <c r="A227" t="n">
        <v>217</v>
      </c>
    </row>
    <row r="228">
      <c r="A228" t="n">
        <v>218</v>
      </c>
    </row>
    <row r="229">
      <c r="A229" t="n">
        <v>219</v>
      </c>
    </row>
    <row r="230">
      <c r="A230" t="n">
        <v>220</v>
      </c>
    </row>
    <row r="231">
      <c r="A231" t="n">
        <v>221</v>
      </c>
    </row>
    <row r="232">
      <c r="A232" t="n">
        <v>222</v>
      </c>
    </row>
    <row r="233">
      <c r="A233" t="n">
        <v>223</v>
      </c>
    </row>
    <row r="234">
      <c r="A234" t="n">
        <v>224</v>
      </c>
    </row>
    <row r="235">
      <c r="A235" t="n">
        <v>225</v>
      </c>
    </row>
    <row r="236">
      <c r="A236" t="n">
        <v>226</v>
      </c>
    </row>
    <row r="237">
      <c r="A237" t="n">
        <v>227</v>
      </c>
    </row>
    <row r="238">
      <c r="A238" t="n">
        <v>228</v>
      </c>
    </row>
    <row r="239">
      <c r="A239" t="n">
        <v>229</v>
      </c>
    </row>
    <row r="240">
      <c r="A240" t="n">
        <v>230</v>
      </c>
    </row>
    <row r="241">
      <c r="A241" t="n">
        <v>231</v>
      </c>
    </row>
    <row r="242">
      <c r="A242" t="n">
        <v>232</v>
      </c>
    </row>
    <row r="243">
      <c r="A243" t="n">
        <v>233</v>
      </c>
    </row>
    <row r="244">
      <c r="A244" t="n">
        <v>234</v>
      </c>
    </row>
    <row r="245">
      <c r="A245" t="n">
        <v>235</v>
      </c>
    </row>
    <row r="246">
      <c r="A246" t="n">
        <v>236</v>
      </c>
    </row>
    <row r="247">
      <c r="A247" t="n">
        <v>237</v>
      </c>
    </row>
    <row r="248">
      <c r="A248" t="n">
        <v>238</v>
      </c>
    </row>
    <row r="249">
      <c r="A249" t="n">
        <v>239</v>
      </c>
    </row>
    <row r="250">
      <c r="A250" t="n">
        <v>240</v>
      </c>
    </row>
    <row r="251">
      <c r="A251" t="n">
        <v>241</v>
      </c>
    </row>
    <row r="252">
      <c r="A252" t="n">
        <v>242</v>
      </c>
    </row>
    <row r="253">
      <c r="A253" t="n">
        <v>243</v>
      </c>
    </row>
    <row r="254">
      <c r="A254" t="n">
        <v>244</v>
      </c>
    </row>
    <row r="255">
      <c r="A255" t="n">
        <v>245</v>
      </c>
    </row>
    <row r="256">
      <c r="A256" t="n">
        <v>246</v>
      </c>
    </row>
    <row r="257">
      <c r="A257" t="n">
        <v>247</v>
      </c>
    </row>
    <row r="258">
      <c r="A258" t="n">
        <v>248</v>
      </c>
    </row>
    <row r="259">
      <c r="A259" t="n">
        <v>249</v>
      </c>
    </row>
    <row r="260">
      <c r="A260" t="n">
        <v>250</v>
      </c>
    </row>
    <row r="261">
      <c r="A261" t="n">
        <v>251</v>
      </c>
    </row>
    <row r="262">
      <c r="A262" t="n">
        <v>252</v>
      </c>
    </row>
    <row r="263">
      <c r="A263" t="n">
        <v>253</v>
      </c>
    </row>
    <row r="264">
      <c r="A264" t="n">
        <v>254</v>
      </c>
    </row>
    <row r="265">
      <c r="A265" t="n">
        <v>255</v>
      </c>
    </row>
    <row r="266">
      <c r="A266" t="n">
        <v>256</v>
      </c>
    </row>
    <row r="267">
      <c r="A267" t="n">
        <v>257</v>
      </c>
    </row>
    <row r="268">
      <c r="A268" t="n">
        <v>258</v>
      </c>
    </row>
    <row r="269">
      <c r="A269" t="n">
        <v>259</v>
      </c>
    </row>
    <row r="270">
      <c r="A270" t="n">
        <v>260</v>
      </c>
    </row>
    <row r="271">
      <c r="A271" t="n">
        <v>261</v>
      </c>
    </row>
    <row r="272">
      <c r="A272" t="n">
        <v>262</v>
      </c>
    </row>
    <row r="273">
      <c r="A273" t="n">
        <v>263</v>
      </c>
    </row>
    <row r="274">
      <c r="A274" t="n">
        <v>264</v>
      </c>
    </row>
    <row r="275">
      <c r="A275" t="n">
        <v>265</v>
      </c>
    </row>
    <row r="276">
      <c r="A276" t="n">
        <v>266</v>
      </c>
    </row>
    <row r="277">
      <c r="A277" t="n">
        <v>267</v>
      </c>
    </row>
    <row r="278">
      <c r="A278" t="n">
        <v>268</v>
      </c>
    </row>
    <row r="279">
      <c r="A279" t="n">
        <v>269</v>
      </c>
    </row>
    <row r="280">
      <c r="A280" t="n">
        <v>270</v>
      </c>
    </row>
    <row r="281">
      <c r="A281" t="n">
        <v>271</v>
      </c>
    </row>
    <row r="282">
      <c r="A282" t="n">
        <v>272</v>
      </c>
    </row>
    <row r="283">
      <c r="A283" t="n">
        <v>273</v>
      </c>
    </row>
    <row r="284">
      <c r="A284" t="n">
        <v>274</v>
      </c>
    </row>
    <row r="285">
      <c r="A285" t="n">
        <v>275</v>
      </c>
    </row>
    <row r="286">
      <c r="A286" t="n">
        <v>276</v>
      </c>
    </row>
    <row r="287">
      <c r="A287" t="n">
        <v>277</v>
      </c>
    </row>
    <row r="288">
      <c r="A288" t="n">
        <v>278</v>
      </c>
    </row>
    <row r="289">
      <c r="A289" t="n">
        <v>279</v>
      </c>
    </row>
    <row r="290">
      <c r="A290" t="n">
        <v>280</v>
      </c>
    </row>
    <row r="291">
      <c r="A291" t="n">
        <v>281</v>
      </c>
    </row>
    <row r="292">
      <c r="A292" t="n">
        <v>282</v>
      </c>
    </row>
    <row r="293">
      <c r="A293" t="n">
        <v>283</v>
      </c>
    </row>
    <row r="294">
      <c r="A294" t="n">
        <v>284</v>
      </c>
    </row>
    <row r="295">
      <c r="A295" t="n">
        <v>285</v>
      </c>
    </row>
    <row r="296">
      <c r="A296" t="n">
        <v>286</v>
      </c>
    </row>
    <row r="297">
      <c r="A297" t="n">
        <v>287</v>
      </c>
    </row>
    <row r="298">
      <c r="A298" t="n">
        <v>288</v>
      </c>
    </row>
    <row r="299">
      <c r="A299" t="n">
        <v>289</v>
      </c>
    </row>
    <row r="300">
      <c r="A300" t="n">
        <v>290</v>
      </c>
    </row>
    <row r="301">
      <c r="A301" t="n">
        <v>291</v>
      </c>
    </row>
    <row r="302">
      <c r="A302" t="n">
        <v>292</v>
      </c>
    </row>
    <row r="303">
      <c r="A303" t="n">
        <v>293</v>
      </c>
    </row>
    <row r="304">
      <c r="A304" t="n">
        <v>294</v>
      </c>
    </row>
    <row r="305">
      <c r="A305" t="n">
        <v>295</v>
      </c>
    </row>
    <row r="306">
      <c r="A306" t="n">
        <v>296</v>
      </c>
    </row>
    <row r="307">
      <c r="A307" t="n">
        <v>297</v>
      </c>
    </row>
    <row r="308">
      <c r="A308" t="n">
        <v>298</v>
      </c>
    </row>
    <row r="309">
      <c r="A309" t="n">
        <v>299</v>
      </c>
    </row>
    <row r="310">
      <c r="A310" t="n">
        <v>300</v>
      </c>
    </row>
    <row r="311">
      <c r="A311" t="n">
        <v>301</v>
      </c>
    </row>
    <row r="312">
      <c r="A312" t="n">
        <v>302</v>
      </c>
    </row>
    <row r="313">
      <c r="A313" t="n">
        <v>303</v>
      </c>
    </row>
    <row r="314">
      <c r="A314" t="n">
        <v>304</v>
      </c>
    </row>
    <row r="315">
      <c r="A315" t="n">
        <v>305</v>
      </c>
    </row>
    <row r="316">
      <c r="A316" t="n">
        <v>306</v>
      </c>
    </row>
    <row r="317">
      <c r="A317" t="n">
        <v>307</v>
      </c>
    </row>
    <row r="318">
      <c r="A318" t="n">
        <v>308</v>
      </c>
    </row>
    <row r="319">
      <c r="A319" t="n">
        <v>309</v>
      </c>
    </row>
    <row r="320">
      <c r="A320" t="n">
        <v>310</v>
      </c>
    </row>
    <row r="321">
      <c r="A321" t="n">
        <v>311</v>
      </c>
    </row>
    <row r="322">
      <c r="A322" t="n">
        <v>312</v>
      </c>
    </row>
    <row r="323">
      <c r="A323" t="n">
        <v>313</v>
      </c>
    </row>
    <row r="324">
      <c r="A324" t="n">
        <v>314</v>
      </c>
    </row>
    <row r="325">
      <c r="A325" t="n">
        <v>315</v>
      </c>
    </row>
    <row r="326">
      <c r="A326" t="n">
        <v>316</v>
      </c>
    </row>
    <row r="327">
      <c r="A327" t="n">
        <v>317</v>
      </c>
    </row>
    <row r="328">
      <c r="A328" t="n">
        <v>318</v>
      </c>
    </row>
    <row r="329">
      <c r="A329" t="n">
        <v>319</v>
      </c>
    </row>
    <row r="330">
      <c r="A330" t="n">
        <v>320</v>
      </c>
    </row>
    <row r="331">
      <c r="A331" t="n">
        <v>321</v>
      </c>
    </row>
    <row r="332">
      <c r="A332" t="n">
        <v>322</v>
      </c>
    </row>
    <row r="333">
      <c r="A333" t="n">
        <v>323</v>
      </c>
    </row>
    <row r="334">
      <c r="A334" t="n">
        <v>324</v>
      </c>
    </row>
    <row r="335">
      <c r="A335" t="n">
        <v>325</v>
      </c>
    </row>
    <row r="336">
      <c r="A336" t="n">
        <v>326</v>
      </c>
    </row>
    <row r="337">
      <c r="A337" t="n">
        <v>327</v>
      </c>
    </row>
    <row r="338">
      <c r="A338" t="n">
        <v>328</v>
      </c>
    </row>
    <row r="339">
      <c r="A339" t="n">
        <v>329</v>
      </c>
    </row>
    <row r="340">
      <c r="A340" t="n">
        <v>330</v>
      </c>
    </row>
    <row r="341">
      <c r="A341" t="n">
        <v>331</v>
      </c>
    </row>
    <row r="342">
      <c r="A342" t="n">
        <v>332</v>
      </c>
    </row>
    <row r="343">
      <c r="A343" t="n">
        <v>333</v>
      </c>
    </row>
    <row r="344">
      <c r="A344" t="n">
        <v>334</v>
      </c>
    </row>
    <row r="345">
      <c r="A345" t="n">
        <v>335</v>
      </c>
    </row>
    <row r="346">
      <c r="A346" t="n">
        <v>336</v>
      </c>
    </row>
    <row r="347">
      <c r="A347" t="n">
        <v>337</v>
      </c>
    </row>
    <row r="348">
      <c r="A348" t="n">
        <v>338</v>
      </c>
    </row>
    <row r="349">
      <c r="A349" t="n">
        <v>339</v>
      </c>
    </row>
    <row r="350">
      <c r="A350" t="n">
        <v>340</v>
      </c>
    </row>
    <row r="351">
      <c r="A351" t="n">
        <v>341</v>
      </c>
    </row>
    <row r="352">
      <c r="A352" t="n">
        <v>342</v>
      </c>
    </row>
    <row r="353">
      <c r="A353" t="n">
        <v>343</v>
      </c>
    </row>
    <row r="354">
      <c r="A354" t="n">
        <v>344</v>
      </c>
    </row>
    <row r="355">
      <c r="A355" t="n">
        <v>345</v>
      </c>
    </row>
    <row r="356">
      <c r="A356" t="n">
        <v>346</v>
      </c>
    </row>
    <row r="357">
      <c r="A357" t="n">
        <v>347</v>
      </c>
    </row>
    <row r="358">
      <c r="A358" t="n">
        <v>348</v>
      </c>
    </row>
    <row r="359">
      <c r="A359" t="n">
        <v>349</v>
      </c>
    </row>
    <row r="360">
      <c r="A360" t="n">
        <v>350</v>
      </c>
    </row>
    <row r="361">
      <c r="A361" t="n">
        <v>351</v>
      </c>
    </row>
    <row r="362">
      <c r="A362" t="n">
        <v>352</v>
      </c>
    </row>
    <row r="363">
      <c r="A363" t="n">
        <v>353</v>
      </c>
    </row>
    <row r="364">
      <c r="A364" t="n">
        <v>354</v>
      </c>
    </row>
    <row r="365">
      <c r="A365" t="n">
        <v>355</v>
      </c>
    </row>
    <row r="366">
      <c r="A366" t="n">
        <v>356</v>
      </c>
    </row>
    <row r="367">
      <c r="A367" t="n">
        <v>357</v>
      </c>
    </row>
    <row r="368">
      <c r="A368" t="n">
        <v>358</v>
      </c>
    </row>
    <row r="369">
      <c r="A369" t="n">
        <v>359</v>
      </c>
    </row>
    <row r="370">
      <c r="A370" t="n">
        <v>360</v>
      </c>
    </row>
    <row r="371">
      <c r="A371" t="n">
        <v>361</v>
      </c>
    </row>
    <row r="372">
      <c r="A372" t="n">
        <v>362</v>
      </c>
    </row>
    <row r="373">
      <c r="A373" t="n">
        <v>363</v>
      </c>
    </row>
    <row r="374">
      <c r="A374" t="n">
        <v>364</v>
      </c>
    </row>
    <row r="375">
      <c r="A375" t="n">
        <v>365</v>
      </c>
    </row>
    <row r="376">
      <c r="A376" t="n">
        <v>366</v>
      </c>
    </row>
    <row r="377">
      <c r="A377" t="n">
        <v>367</v>
      </c>
    </row>
    <row r="378">
      <c r="A378" t="n">
        <v>368</v>
      </c>
    </row>
    <row r="379">
      <c r="A379" t="n">
        <v>369</v>
      </c>
    </row>
    <row r="380">
      <c r="A380" t="n">
        <v>370</v>
      </c>
    </row>
    <row r="381">
      <c r="A381" t="n">
        <v>371</v>
      </c>
    </row>
    <row r="382">
      <c r="A382" t="n">
        <v>372</v>
      </c>
    </row>
    <row r="383">
      <c r="A383" t="n">
        <v>373</v>
      </c>
    </row>
    <row r="384">
      <c r="A384" t="n">
        <v>374</v>
      </c>
    </row>
    <row r="385">
      <c r="A385" t="n">
        <v>375</v>
      </c>
    </row>
    <row r="386">
      <c r="A386" t="n">
        <v>376</v>
      </c>
    </row>
    <row r="387">
      <c r="A387" t="n">
        <v>377</v>
      </c>
    </row>
    <row r="388">
      <c r="A388" t="n">
        <v>378</v>
      </c>
    </row>
    <row r="389">
      <c r="A389" t="n">
        <v>379</v>
      </c>
    </row>
    <row r="390">
      <c r="A390" t="n">
        <v>380</v>
      </c>
    </row>
    <row r="391">
      <c r="A391" t="n">
        <v>381</v>
      </c>
    </row>
    <row r="392">
      <c r="A392" t="n">
        <v>382</v>
      </c>
    </row>
    <row r="393">
      <c r="A393" t="n">
        <v>383</v>
      </c>
    </row>
    <row r="394">
      <c r="A394" t="n">
        <v>384</v>
      </c>
    </row>
    <row r="395">
      <c r="A395" t="n">
        <v>385</v>
      </c>
    </row>
    <row r="396">
      <c r="A396" t="n">
        <v>386</v>
      </c>
    </row>
    <row r="397">
      <c r="A397" t="n">
        <v>387</v>
      </c>
    </row>
    <row r="398">
      <c r="A398" t="n">
        <v>388</v>
      </c>
    </row>
    <row r="399">
      <c r="A399" t="n">
        <v>389</v>
      </c>
    </row>
    <row r="400">
      <c r="A400" t="n">
        <v>390</v>
      </c>
    </row>
    <row r="401">
      <c r="A401" t="n">
        <v>391</v>
      </c>
    </row>
    <row r="402">
      <c r="A402" t="n">
        <v>392</v>
      </c>
    </row>
    <row r="403">
      <c r="A403" t="n">
        <v>393</v>
      </c>
    </row>
    <row r="404">
      <c r="A404" t="n">
        <v>394</v>
      </c>
    </row>
    <row r="405">
      <c r="A405" t="n">
        <v>395</v>
      </c>
    </row>
    <row r="406">
      <c r="A406" t="n">
        <v>396</v>
      </c>
    </row>
    <row r="407">
      <c r="A407" t="n">
        <v>397</v>
      </c>
    </row>
    <row r="408">
      <c r="A408" t="n">
        <v>398</v>
      </c>
    </row>
    <row r="409">
      <c r="A409" t="n">
        <v>399</v>
      </c>
    </row>
    <row r="410">
      <c r="A410" t="n">
        <v>400</v>
      </c>
    </row>
    <row r="411">
      <c r="A411" t="n">
        <v>401</v>
      </c>
    </row>
    <row r="412">
      <c r="A412" t="n">
        <v>402</v>
      </c>
    </row>
    <row r="413">
      <c r="A413" t="n">
        <v>403</v>
      </c>
    </row>
    <row r="414">
      <c r="A414" t="n">
        <v>404</v>
      </c>
    </row>
    <row r="415">
      <c r="A415" t="n">
        <v>405</v>
      </c>
    </row>
    <row r="416">
      <c r="A416" t="n">
        <v>406</v>
      </c>
    </row>
    <row r="417">
      <c r="A417" t="n">
        <v>407</v>
      </c>
    </row>
    <row r="418">
      <c r="A418" t="n">
        <v>408</v>
      </c>
    </row>
    <row r="419">
      <c r="A419" t="n">
        <v>409</v>
      </c>
    </row>
    <row r="420">
      <c r="A420" t="n">
        <v>410</v>
      </c>
    </row>
    <row r="421">
      <c r="A421" t="n">
        <v>411</v>
      </c>
    </row>
    <row r="422">
      <c r="A422" t="n">
        <v>412</v>
      </c>
    </row>
    <row r="423">
      <c r="A423" t="n">
        <v>413</v>
      </c>
    </row>
    <row r="424">
      <c r="A424" t="n">
        <v>414</v>
      </c>
    </row>
    <row r="425">
      <c r="A425" t="n">
        <v>415</v>
      </c>
    </row>
    <row r="426">
      <c r="A426" t="n">
        <v>416</v>
      </c>
    </row>
    <row r="427">
      <c r="A427" t="n">
        <v>417</v>
      </c>
    </row>
    <row r="428">
      <c r="A428" t="n">
        <v>418</v>
      </c>
    </row>
    <row r="429">
      <c r="A429" t="n">
        <v>419</v>
      </c>
    </row>
    <row r="430">
      <c r="A430" t="n">
        <v>420</v>
      </c>
    </row>
    <row r="431">
      <c r="A431" t="n">
        <v>421</v>
      </c>
    </row>
    <row r="432">
      <c r="A432" t="n">
        <v>422</v>
      </c>
    </row>
    <row r="433">
      <c r="A433" t="n">
        <v>423</v>
      </c>
    </row>
    <row r="434">
      <c r="A434" t="n">
        <v>424</v>
      </c>
    </row>
    <row r="435">
      <c r="A435" t="n">
        <v>425</v>
      </c>
    </row>
    <row r="436">
      <c r="A436" t="n">
        <v>426</v>
      </c>
    </row>
    <row r="437">
      <c r="A437" t="n">
        <v>427</v>
      </c>
    </row>
    <row r="438">
      <c r="A438" t="n">
        <v>428</v>
      </c>
    </row>
    <row r="439">
      <c r="A439" t="n">
        <v>429</v>
      </c>
    </row>
    <row r="440">
      <c r="A440" t="n">
        <v>430</v>
      </c>
    </row>
    <row r="441">
      <c r="A441" t="n">
        <v>431</v>
      </c>
    </row>
    <row r="442">
      <c r="A442" t="n">
        <v>432</v>
      </c>
    </row>
    <row r="443">
      <c r="A443" t="n">
        <v>433</v>
      </c>
    </row>
    <row r="444">
      <c r="A444" t="n">
        <v>434</v>
      </c>
    </row>
    <row r="445">
      <c r="A445" t="n">
        <v>435</v>
      </c>
    </row>
    <row r="446">
      <c r="A446" t="n">
        <v>436</v>
      </c>
    </row>
    <row r="447">
      <c r="A447" t="n">
        <v>437</v>
      </c>
    </row>
    <row r="448">
      <c r="A448" t="n">
        <v>438</v>
      </c>
    </row>
    <row r="449">
      <c r="A449" t="n">
        <v>439</v>
      </c>
    </row>
    <row r="450">
      <c r="A450" t="n">
        <v>440</v>
      </c>
    </row>
    <row r="451">
      <c r="A451" t="n">
        <v>441</v>
      </c>
    </row>
    <row r="452">
      <c r="A452" t="n">
        <v>442</v>
      </c>
    </row>
    <row r="453">
      <c r="A453" t="n">
        <v>443</v>
      </c>
    </row>
    <row r="454">
      <c r="A454" t="n">
        <v>444</v>
      </c>
    </row>
    <row r="455">
      <c r="A455" t="n">
        <v>445</v>
      </c>
    </row>
    <row r="456">
      <c r="A456" t="n">
        <v>446</v>
      </c>
    </row>
    <row r="457">
      <c r="A457" t="n">
        <v>447</v>
      </c>
    </row>
    <row r="458">
      <c r="A458" t="n">
        <v>448</v>
      </c>
    </row>
    <row r="459">
      <c r="A459" t="n">
        <v>449</v>
      </c>
    </row>
    <row r="460">
      <c r="A460" t="n">
        <v>450</v>
      </c>
    </row>
    <row r="461">
      <c r="A461" t="n">
        <v>451</v>
      </c>
    </row>
    <row r="462">
      <c r="A462" t="n">
        <v>452</v>
      </c>
    </row>
    <row r="463">
      <c r="A463" t="n">
        <v>453</v>
      </c>
    </row>
    <row r="464">
      <c r="A464" t="n">
        <v>454</v>
      </c>
    </row>
    <row r="465">
      <c r="A465" t="n">
        <v>455</v>
      </c>
    </row>
    <row r="466">
      <c r="A466" t="n">
        <v>456</v>
      </c>
    </row>
    <row r="467">
      <c r="A467" t="n">
        <v>457</v>
      </c>
    </row>
    <row r="468">
      <c r="A468" t="n">
        <v>458</v>
      </c>
    </row>
    <row r="469">
      <c r="A469" t="n">
        <v>459</v>
      </c>
    </row>
    <row r="470">
      <c r="A470" t="n">
        <v>460</v>
      </c>
    </row>
    <row r="471">
      <c r="A471" t="n">
        <v>461</v>
      </c>
    </row>
    <row r="472">
      <c r="A472" t="n">
        <v>462</v>
      </c>
    </row>
    <row r="473">
      <c r="A473" t="n">
        <v>463</v>
      </c>
    </row>
    <row r="474">
      <c r="A474" t="n">
        <v>464</v>
      </c>
    </row>
    <row r="475">
      <c r="A475" t="n">
        <v>465</v>
      </c>
    </row>
    <row r="476">
      <c r="A476" t="n">
        <v>466</v>
      </c>
    </row>
    <row r="477">
      <c r="A477" t="n">
        <v>467</v>
      </c>
    </row>
    <row r="478">
      <c r="A478" t="n">
        <v>468</v>
      </c>
    </row>
    <row r="479">
      <c r="A479" t="n">
        <v>469</v>
      </c>
    </row>
    <row r="480">
      <c r="A480" t="n">
        <v>470</v>
      </c>
    </row>
    <row r="481">
      <c r="A481" t="n">
        <v>471</v>
      </c>
    </row>
    <row r="482">
      <c r="A482" t="n">
        <v>472</v>
      </c>
    </row>
    <row r="483">
      <c r="A483" t="n">
        <v>473</v>
      </c>
    </row>
    <row r="484">
      <c r="A484" t="n">
        <v>474</v>
      </c>
    </row>
    <row r="485">
      <c r="A485" t="n">
        <v>475</v>
      </c>
    </row>
    <row r="486">
      <c r="A486" t="n">
        <v>476</v>
      </c>
    </row>
    <row r="487">
      <c r="A487" t="n">
        <v>477</v>
      </c>
    </row>
    <row r="488">
      <c r="A488" t="n">
        <v>478</v>
      </c>
    </row>
    <row r="489">
      <c r="A489" t="n">
        <v>479</v>
      </c>
    </row>
    <row r="490">
      <c r="A490" t="n">
        <v>480</v>
      </c>
    </row>
    <row r="491">
      <c r="A491" t="n">
        <v>481</v>
      </c>
    </row>
    <row r="492">
      <c r="A492" t="n">
        <v>482</v>
      </c>
    </row>
    <row r="493">
      <c r="A493" t="n">
        <v>483</v>
      </c>
    </row>
    <row r="494">
      <c r="A494" t="n">
        <v>484</v>
      </c>
    </row>
    <row r="495">
      <c r="A495" t="n">
        <v>485</v>
      </c>
    </row>
    <row r="496">
      <c r="A496" t="n">
        <v>486</v>
      </c>
    </row>
    <row r="497">
      <c r="A497" t="n">
        <v>487</v>
      </c>
    </row>
    <row r="498">
      <c r="A498" t="n">
        <v>488</v>
      </c>
    </row>
    <row r="499">
      <c r="A499" t="n">
        <v>489</v>
      </c>
    </row>
    <row r="500">
      <c r="A500" t="n">
        <v>490</v>
      </c>
    </row>
    <row r="501">
      <c r="A501" t="n">
        <v>491</v>
      </c>
    </row>
    <row r="502">
      <c r="A502" t="n">
        <v>492</v>
      </c>
    </row>
    <row r="503">
      <c r="A503" t="n">
        <v>493</v>
      </c>
    </row>
    <row r="504">
      <c r="A504" t="n">
        <v>494</v>
      </c>
    </row>
    <row r="505">
      <c r="A505" t="n">
        <v>495</v>
      </c>
    </row>
    <row r="506">
      <c r="A506" t="n">
        <v>496</v>
      </c>
    </row>
    <row r="507">
      <c r="A507" t="n">
        <v>497</v>
      </c>
    </row>
    <row r="508">
      <c r="A508" t="n">
        <v>498</v>
      </c>
    </row>
    <row r="509">
      <c r="A509" t="n">
        <v>499</v>
      </c>
    </row>
    <row r="510">
      <c r="A510" t="n">
        <v>500</v>
      </c>
    </row>
    <row r="511">
      <c r="A511" t="n">
        <v>501</v>
      </c>
    </row>
    <row r="512">
      <c r="A512" t="n">
        <v>502</v>
      </c>
    </row>
    <row r="513">
      <c r="A513" t="n">
        <v>503</v>
      </c>
    </row>
    <row r="514">
      <c r="A514" t="n">
        <v>504</v>
      </c>
    </row>
    <row r="515">
      <c r="A515" t="n">
        <v>505</v>
      </c>
    </row>
    <row r="516">
      <c r="A516" t="n">
        <v>506</v>
      </c>
    </row>
    <row r="517">
      <c r="A517" t="n">
        <v>507</v>
      </c>
    </row>
    <row r="518">
      <c r="A518" t="n">
        <v>508</v>
      </c>
    </row>
    <row r="519">
      <c r="A519" t="n">
        <v>509</v>
      </c>
    </row>
    <row r="520">
      <c r="A520" t="n">
        <v>510</v>
      </c>
    </row>
    <row r="521">
      <c r="A521" t="n">
        <v>511</v>
      </c>
    </row>
    <row r="522">
      <c r="A522" t="n">
        <v>512</v>
      </c>
    </row>
    <row r="523">
      <c r="A523" t="n">
        <v>513</v>
      </c>
    </row>
    <row r="524">
      <c r="A524" t="n">
        <v>514</v>
      </c>
    </row>
    <row r="525">
      <c r="A525" t="n">
        <v>515</v>
      </c>
    </row>
    <row r="526">
      <c r="A526" t="n">
        <v>516</v>
      </c>
    </row>
    <row r="527">
      <c r="A527" t="n">
        <v>517</v>
      </c>
    </row>
    <row r="528">
      <c r="A528" t="n">
        <v>518</v>
      </c>
    </row>
    <row r="529">
      <c r="A529" t="n">
        <v>519</v>
      </c>
    </row>
    <row r="530">
      <c r="A530" t="n">
        <v>520</v>
      </c>
    </row>
    <row r="531">
      <c r="A531" t="n">
        <v>521</v>
      </c>
    </row>
    <row r="532">
      <c r="A532" t="n">
        <v>522</v>
      </c>
    </row>
    <row r="533">
      <c r="A533" t="n">
        <v>523</v>
      </c>
    </row>
    <row r="534">
      <c r="A534" t="n">
        <v>524</v>
      </c>
    </row>
    <row r="535">
      <c r="A535" t="n">
        <v>525</v>
      </c>
    </row>
    <row r="536">
      <c r="A536" t="n">
        <v>526</v>
      </c>
    </row>
    <row r="537">
      <c r="A537" t="n">
        <v>527</v>
      </c>
    </row>
    <row r="538">
      <c r="A538" t="n">
        <v>528</v>
      </c>
    </row>
    <row r="539">
      <c r="A539" t="n">
        <v>529</v>
      </c>
    </row>
    <row r="540">
      <c r="A540" t="n">
        <v>530</v>
      </c>
    </row>
    <row r="541">
      <c r="A541" t="n">
        <v>531</v>
      </c>
    </row>
    <row r="542">
      <c r="A542" t="n">
        <v>532</v>
      </c>
    </row>
    <row r="543">
      <c r="A543" t="n">
        <v>533</v>
      </c>
    </row>
    <row r="544">
      <c r="A544" t="n">
        <v>534</v>
      </c>
    </row>
    <row r="545">
      <c r="A545" t="n">
        <v>535</v>
      </c>
    </row>
    <row r="546">
      <c r="A546" t="n">
        <v>536</v>
      </c>
    </row>
    <row r="547">
      <c r="A547" t="n">
        <v>537</v>
      </c>
    </row>
    <row r="548">
      <c r="A548" t="n">
        <v>538</v>
      </c>
    </row>
    <row r="549">
      <c r="A549" t="n">
        <v>539</v>
      </c>
    </row>
    <row r="550">
      <c r="A550" t="n">
        <v>540</v>
      </c>
    </row>
    <row r="551">
      <c r="A551" t="n">
        <v>541</v>
      </c>
    </row>
    <row r="552">
      <c r="A552" t="n">
        <v>542</v>
      </c>
    </row>
    <row r="553">
      <c r="A553" t="n">
        <v>543</v>
      </c>
    </row>
    <row r="554">
      <c r="A554" t="n">
        <v>544</v>
      </c>
    </row>
    <row r="555">
      <c r="A555" t="n">
        <v>545</v>
      </c>
    </row>
    <row r="556">
      <c r="A556" t="n">
        <v>546</v>
      </c>
    </row>
    <row r="557">
      <c r="A557" t="n">
        <v>547</v>
      </c>
    </row>
    <row r="558">
      <c r="A558" t="n">
        <v>548</v>
      </c>
    </row>
    <row r="559">
      <c r="A559" t="n">
        <v>549</v>
      </c>
    </row>
    <row r="560">
      <c r="A560" t="n">
        <v>550</v>
      </c>
    </row>
    <row r="561">
      <c r="A561" t="n">
        <v>551</v>
      </c>
    </row>
    <row r="562">
      <c r="A562" t="n">
        <v>552</v>
      </c>
    </row>
    <row r="563">
      <c r="A563" t="n">
        <v>553</v>
      </c>
    </row>
    <row r="564">
      <c r="A564" t="n">
        <v>554</v>
      </c>
    </row>
    <row r="565">
      <c r="A565" t="n">
        <v>555</v>
      </c>
    </row>
    <row r="566">
      <c r="A566" t="n">
        <v>556</v>
      </c>
    </row>
    <row r="567">
      <c r="A567" t="n">
        <v>557</v>
      </c>
    </row>
    <row r="568">
      <c r="A568" t="n">
        <v>558</v>
      </c>
    </row>
    <row r="569">
      <c r="A569" t="n">
        <v>559</v>
      </c>
    </row>
    <row r="570">
      <c r="A570" t="n">
        <v>560</v>
      </c>
    </row>
    <row r="571">
      <c r="A571" t="n">
        <v>561</v>
      </c>
    </row>
    <row r="572">
      <c r="A572" t="n">
        <v>562</v>
      </c>
    </row>
    <row r="573">
      <c r="A573" t="n">
        <v>563</v>
      </c>
    </row>
    <row r="574">
      <c r="A574" t="n">
        <v>564</v>
      </c>
    </row>
    <row r="575">
      <c r="A575" t="n">
        <v>565</v>
      </c>
    </row>
    <row r="576">
      <c r="A576" t="n">
        <v>566</v>
      </c>
    </row>
    <row r="577">
      <c r="A577" t="n">
        <v>567</v>
      </c>
    </row>
    <row r="578">
      <c r="A578" t="n">
        <v>568</v>
      </c>
    </row>
    <row r="579">
      <c r="A579" t="n">
        <v>569</v>
      </c>
    </row>
    <row r="580">
      <c r="A580" t="n">
        <v>570</v>
      </c>
    </row>
    <row r="581">
      <c r="A581" t="n">
        <v>571</v>
      </c>
    </row>
    <row r="582">
      <c r="A582" t="n">
        <v>572</v>
      </c>
    </row>
    <row r="583">
      <c r="A583" t="n">
        <v>573</v>
      </c>
    </row>
    <row r="584">
      <c r="A584" t="n">
        <v>574</v>
      </c>
    </row>
    <row r="585">
      <c r="A585" t="n">
        <v>575</v>
      </c>
    </row>
    <row r="586">
      <c r="A586" t="n">
        <v>576</v>
      </c>
    </row>
    <row r="587">
      <c r="A587" t="n">
        <v>577</v>
      </c>
    </row>
    <row r="588">
      <c r="A588" t="n">
        <v>578</v>
      </c>
    </row>
    <row r="589">
      <c r="A589" t="n">
        <v>579</v>
      </c>
    </row>
    <row r="590">
      <c r="A590" t="n">
        <v>580</v>
      </c>
    </row>
    <row r="591">
      <c r="A591" t="n">
        <v>581</v>
      </c>
    </row>
    <row r="592">
      <c r="A592" t="n">
        <v>582</v>
      </c>
    </row>
    <row r="593">
      <c r="A593" t="n">
        <v>583</v>
      </c>
    </row>
    <row r="594">
      <c r="A594" t="n">
        <v>584</v>
      </c>
    </row>
    <row r="595">
      <c r="A595" t="n">
        <v>585</v>
      </c>
    </row>
    <row r="596">
      <c r="A596" t="n">
        <v>586</v>
      </c>
    </row>
    <row r="597">
      <c r="A597" t="n">
        <v>587</v>
      </c>
    </row>
    <row r="598">
      <c r="A598" t="n">
        <v>588</v>
      </c>
    </row>
    <row r="599">
      <c r="A599" t="n">
        <v>589</v>
      </c>
    </row>
    <row r="600">
      <c r="A600" t="n">
        <v>590</v>
      </c>
    </row>
    <row r="601">
      <c r="A601" t="n">
        <v>591</v>
      </c>
    </row>
    <row r="602">
      <c r="A602" t="n">
        <v>592</v>
      </c>
    </row>
    <row r="603">
      <c r="A603" t="n">
        <v>593</v>
      </c>
    </row>
    <row r="604">
      <c r="A604" t="n">
        <v>594</v>
      </c>
    </row>
    <row r="605">
      <c r="A605" t="n">
        <v>595</v>
      </c>
    </row>
    <row r="606">
      <c r="A606" t="n">
        <v>596</v>
      </c>
    </row>
    <row r="607">
      <c r="A607" t="n">
        <v>597</v>
      </c>
    </row>
    <row r="608">
      <c r="A608" t="n">
        <v>598</v>
      </c>
    </row>
    <row r="609">
      <c r="A609" t="n">
        <v>599</v>
      </c>
    </row>
    <row r="610">
      <c r="A610" t="n">
        <v>600</v>
      </c>
    </row>
    <row r="611">
      <c r="A611" t="n">
        <v>601</v>
      </c>
    </row>
    <row r="612">
      <c r="A612" t="n">
        <v>602</v>
      </c>
    </row>
    <row r="613">
      <c r="A613" t="n">
        <v>603</v>
      </c>
    </row>
    <row r="614">
      <c r="A614" t="n">
        <v>604</v>
      </c>
    </row>
    <row r="615">
      <c r="A615" t="n">
        <v>605</v>
      </c>
    </row>
    <row r="616">
      <c r="A616" t="n">
        <v>606</v>
      </c>
    </row>
    <row r="617">
      <c r="A617" t="n">
        <v>607</v>
      </c>
    </row>
    <row r="618">
      <c r="A618" t="n">
        <v>608</v>
      </c>
    </row>
    <row r="619">
      <c r="A619" t="n">
        <v>609</v>
      </c>
    </row>
    <row r="620">
      <c r="A620" t="n">
        <v>610</v>
      </c>
    </row>
    <row r="621">
      <c r="A621" t="n">
        <v>611</v>
      </c>
    </row>
    <row r="622">
      <c r="A622" t="n">
        <v>612</v>
      </c>
    </row>
    <row r="623">
      <c r="A623" t="n">
        <v>613</v>
      </c>
    </row>
    <row r="624">
      <c r="A624" t="n">
        <v>614</v>
      </c>
    </row>
    <row r="625">
      <c r="A625" t="n">
        <v>615</v>
      </c>
    </row>
    <row r="626">
      <c r="A626" t="n">
        <v>616</v>
      </c>
    </row>
    <row r="627">
      <c r="A627" t="n">
        <v>617</v>
      </c>
    </row>
    <row r="628">
      <c r="A628" t="n">
        <v>618</v>
      </c>
    </row>
    <row r="629">
      <c r="A629" t="n">
        <v>619</v>
      </c>
    </row>
    <row r="630">
      <c r="A630" t="n">
        <v>620</v>
      </c>
    </row>
    <row r="631">
      <c r="A631" t="n">
        <v>621</v>
      </c>
    </row>
    <row r="632">
      <c r="A632" t="n">
        <v>622</v>
      </c>
    </row>
    <row r="633">
      <c r="A633" t="n">
        <v>623</v>
      </c>
    </row>
    <row r="634">
      <c r="A634" t="n">
        <v>624</v>
      </c>
    </row>
    <row r="635">
      <c r="A635" t="n">
        <v>625</v>
      </c>
    </row>
    <row r="636">
      <c r="A636" t="n">
        <v>626</v>
      </c>
    </row>
    <row r="637">
      <c r="A637" t="n">
        <v>627</v>
      </c>
    </row>
    <row r="638">
      <c r="A638" t="n">
        <v>628</v>
      </c>
    </row>
    <row r="639">
      <c r="A639" t="n">
        <v>629</v>
      </c>
    </row>
    <row r="640">
      <c r="A640" t="n">
        <v>630</v>
      </c>
    </row>
    <row r="641">
      <c r="A641" t="n">
        <v>631</v>
      </c>
    </row>
    <row r="642">
      <c r="A642" t="n">
        <v>632</v>
      </c>
    </row>
    <row r="643">
      <c r="A643" t="n">
        <v>633</v>
      </c>
    </row>
    <row r="644">
      <c r="A644" t="n">
        <v>634</v>
      </c>
    </row>
    <row r="645">
      <c r="A645" t="n">
        <v>635</v>
      </c>
    </row>
    <row r="646">
      <c r="A646" t="n">
        <v>636</v>
      </c>
    </row>
    <row r="647">
      <c r="A647" t="n">
        <v>637</v>
      </c>
    </row>
    <row r="648">
      <c r="A648" t="n">
        <v>638</v>
      </c>
    </row>
    <row r="649">
      <c r="A649" t="n">
        <v>639</v>
      </c>
    </row>
    <row r="650">
      <c r="A650" t="n">
        <v>640</v>
      </c>
    </row>
    <row r="651">
      <c r="A651" t="n">
        <v>641</v>
      </c>
    </row>
    <row r="652">
      <c r="A652" t="n">
        <v>642</v>
      </c>
    </row>
    <row r="653">
      <c r="A653" t="n">
        <v>643</v>
      </c>
    </row>
    <row r="654">
      <c r="A654" t="n">
        <v>644</v>
      </c>
    </row>
    <row r="655">
      <c r="A655" t="n">
        <v>645</v>
      </c>
    </row>
    <row r="656">
      <c r="A656" t="n">
        <v>646</v>
      </c>
    </row>
    <row r="657">
      <c r="A657" t="n">
        <v>647</v>
      </c>
    </row>
    <row r="658">
      <c r="A658" t="n">
        <v>648</v>
      </c>
    </row>
    <row r="659">
      <c r="A659" t="n">
        <v>649</v>
      </c>
    </row>
    <row r="660">
      <c r="A660" t="n">
        <v>650</v>
      </c>
    </row>
    <row r="661">
      <c r="A661" t="n">
        <v>651</v>
      </c>
    </row>
    <row r="662">
      <c r="A662" t="n">
        <v>652</v>
      </c>
    </row>
    <row r="663">
      <c r="A663" t="n">
        <v>653</v>
      </c>
    </row>
    <row r="664">
      <c r="A664" t="n">
        <v>654</v>
      </c>
    </row>
    <row r="665">
      <c r="A665" t="n">
        <v>655</v>
      </c>
    </row>
    <row r="666">
      <c r="A666" t="n">
        <v>656</v>
      </c>
    </row>
    <row r="667">
      <c r="A667" t="n">
        <v>657</v>
      </c>
    </row>
    <row r="668">
      <c r="A668" t="n">
        <v>658</v>
      </c>
    </row>
    <row r="669">
      <c r="A669" t="n">
        <v>659</v>
      </c>
    </row>
    <row r="670">
      <c r="A670" t="n">
        <v>660</v>
      </c>
    </row>
    <row r="671">
      <c r="A671" t="n">
        <v>661</v>
      </c>
    </row>
    <row r="672">
      <c r="A672" t="n">
        <v>662</v>
      </c>
    </row>
    <row r="673">
      <c r="A673" t="n">
        <v>663</v>
      </c>
    </row>
    <row r="674">
      <c r="A674" t="n">
        <v>664</v>
      </c>
    </row>
    <row r="675">
      <c r="A675" t="n">
        <v>665</v>
      </c>
    </row>
    <row r="676">
      <c r="A676" t="n">
        <v>666</v>
      </c>
    </row>
    <row r="677">
      <c r="A677" t="n">
        <v>667</v>
      </c>
    </row>
    <row r="678">
      <c r="A678" t="n">
        <v>668</v>
      </c>
    </row>
    <row r="679">
      <c r="A679" t="n">
        <v>669</v>
      </c>
    </row>
    <row r="680">
      <c r="A680" t="n">
        <v>670</v>
      </c>
    </row>
    <row r="681">
      <c r="A681" t="n">
        <v>671</v>
      </c>
    </row>
    <row r="682">
      <c r="A682" t="n">
        <v>672</v>
      </c>
    </row>
    <row r="683">
      <c r="A683" t="n">
        <v>673</v>
      </c>
    </row>
    <row r="684">
      <c r="A684" t="n">
        <v>674</v>
      </c>
    </row>
    <row r="685">
      <c r="A685" t="n">
        <v>675</v>
      </c>
    </row>
    <row r="686">
      <c r="A686" t="n">
        <v>676</v>
      </c>
    </row>
    <row r="687">
      <c r="A687" t="n">
        <v>677</v>
      </c>
    </row>
    <row r="688">
      <c r="A688" t="n">
        <v>678</v>
      </c>
    </row>
    <row r="689">
      <c r="A689" t="n">
        <v>679</v>
      </c>
    </row>
    <row r="690">
      <c r="A690" t="n">
        <v>680</v>
      </c>
    </row>
    <row r="691">
      <c r="A691" t="n">
        <v>681</v>
      </c>
    </row>
    <row r="692">
      <c r="A692" t="n">
        <v>682</v>
      </c>
    </row>
    <row r="693">
      <c r="A693" t="n">
        <v>683</v>
      </c>
    </row>
    <row r="694">
      <c r="A694" t="n">
        <v>684</v>
      </c>
    </row>
    <row r="695">
      <c r="A695" t="n">
        <v>685</v>
      </c>
    </row>
    <row r="696">
      <c r="A696" t="n">
        <v>686</v>
      </c>
    </row>
    <row r="697">
      <c r="A697" t="n">
        <v>687</v>
      </c>
    </row>
    <row r="698">
      <c r="A698" t="n">
        <v>688</v>
      </c>
    </row>
    <row r="699">
      <c r="A699" t="n">
        <v>689</v>
      </c>
    </row>
    <row r="700">
      <c r="A700" t="n">
        <v>690</v>
      </c>
    </row>
    <row r="701">
      <c r="A701" t="n">
        <v>691</v>
      </c>
    </row>
    <row r="702">
      <c r="A702" t="n">
        <v>692</v>
      </c>
    </row>
    <row r="703">
      <c r="A703" t="n">
        <v>693</v>
      </c>
    </row>
    <row r="704">
      <c r="A704" t="n">
        <v>694</v>
      </c>
    </row>
    <row r="705">
      <c r="A705" t="n">
        <v>695</v>
      </c>
    </row>
    <row r="706">
      <c r="A706" t="n">
        <v>696</v>
      </c>
    </row>
    <row r="707">
      <c r="A707" t="n">
        <v>697</v>
      </c>
    </row>
    <row r="708">
      <c r="A708" t="n">
        <v>698</v>
      </c>
    </row>
    <row r="709">
      <c r="A709" t="n">
        <v>699</v>
      </c>
    </row>
    <row r="710">
      <c r="A710" t="n">
        <v>700</v>
      </c>
    </row>
    <row r="711">
      <c r="A711" t="n">
        <v>701</v>
      </c>
    </row>
    <row r="712">
      <c r="A712" t="n">
        <v>702</v>
      </c>
    </row>
    <row r="713">
      <c r="A713" t="n">
        <v>703</v>
      </c>
    </row>
    <row r="714">
      <c r="A714" t="n">
        <v>704</v>
      </c>
    </row>
    <row r="715">
      <c r="A715" t="n">
        <v>705</v>
      </c>
    </row>
    <row r="716">
      <c r="A716" t="n">
        <v>706</v>
      </c>
    </row>
    <row r="717">
      <c r="A717" t="n">
        <v>707</v>
      </c>
    </row>
    <row r="718">
      <c r="A718" t="n">
        <v>708</v>
      </c>
    </row>
    <row r="719">
      <c r="A719" t="n">
        <v>709</v>
      </c>
    </row>
    <row r="720">
      <c r="A720" t="n">
        <v>710</v>
      </c>
    </row>
    <row r="721">
      <c r="A721" t="n">
        <v>711</v>
      </c>
    </row>
    <row r="722">
      <c r="A722" t="n">
        <v>712</v>
      </c>
    </row>
    <row r="723">
      <c r="A723" t="n">
        <v>713</v>
      </c>
    </row>
    <row r="724">
      <c r="A724" t="n">
        <v>714</v>
      </c>
    </row>
    <row r="725">
      <c r="A725" t="n">
        <v>715</v>
      </c>
    </row>
    <row r="726">
      <c r="A726" t="n">
        <v>716</v>
      </c>
    </row>
    <row r="727">
      <c r="A727" t="n">
        <v>717</v>
      </c>
    </row>
    <row r="728">
      <c r="A728" t="n">
        <v>718</v>
      </c>
    </row>
    <row r="729">
      <c r="A729" t="n">
        <v>719</v>
      </c>
    </row>
    <row r="730">
      <c r="A730" t="n">
        <v>720</v>
      </c>
    </row>
    <row r="731">
      <c r="A731" t="n">
        <v>721</v>
      </c>
    </row>
    <row r="732">
      <c r="A732" t="n">
        <v>722</v>
      </c>
    </row>
    <row r="733">
      <c r="A733" t="n">
        <v>723</v>
      </c>
    </row>
    <row r="734">
      <c r="A734" t="n">
        <v>724</v>
      </c>
    </row>
    <row r="735">
      <c r="A735" t="n">
        <v>725</v>
      </c>
    </row>
    <row r="736">
      <c r="A736" t="n">
        <v>726</v>
      </c>
    </row>
    <row r="737">
      <c r="A737" t="n">
        <v>727</v>
      </c>
    </row>
    <row r="738">
      <c r="A738" t="n">
        <v>728</v>
      </c>
    </row>
    <row r="739">
      <c r="A739" t="n">
        <v>729</v>
      </c>
    </row>
    <row r="740">
      <c r="A740" t="n">
        <v>730</v>
      </c>
    </row>
    <row r="741">
      <c r="A741" t="n">
        <v>731</v>
      </c>
    </row>
    <row r="742">
      <c r="A742" t="n">
        <v>732</v>
      </c>
    </row>
    <row r="743">
      <c r="A743" t="n">
        <v>733</v>
      </c>
    </row>
    <row r="744">
      <c r="A744" t="n">
        <v>734</v>
      </c>
    </row>
    <row r="745">
      <c r="A745" t="n">
        <v>735</v>
      </c>
    </row>
    <row r="746">
      <c r="A746" t="n">
        <v>736</v>
      </c>
    </row>
    <row r="747">
      <c r="A747" t="n">
        <v>737</v>
      </c>
    </row>
    <row r="748">
      <c r="A748" t="n">
        <v>738</v>
      </c>
    </row>
    <row r="749">
      <c r="A749" t="n">
        <v>739</v>
      </c>
    </row>
    <row r="750">
      <c r="A750" t="n">
        <v>740</v>
      </c>
    </row>
    <row r="751">
      <c r="A751" t="n">
        <v>741</v>
      </c>
    </row>
    <row r="752">
      <c r="A752" t="n">
        <v>742</v>
      </c>
    </row>
    <row r="753">
      <c r="A753" t="n">
        <v>743</v>
      </c>
    </row>
    <row r="754">
      <c r="A754" t="n">
        <v>744</v>
      </c>
    </row>
    <row r="755">
      <c r="A755" t="n">
        <v>745</v>
      </c>
    </row>
    <row r="756">
      <c r="A756" t="n">
        <v>746</v>
      </c>
    </row>
    <row r="757">
      <c r="A757" t="n">
        <v>747</v>
      </c>
    </row>
    <row r="758">
      <c r="A758" t="n">
        <v>748</v>
      </c>
    </row>
    <row r="759">
      <c r="A759" t="n">
        <v>749</v>
      </c>
    </row>
    <row r="760">
      <c r="A760" t="n">
        <v>750</v>
      </c>
    </row>
    <row r="761">
      <c r="A761" t="n">
        <v>751</v>
      </c>
    </row>
    <row r="762">
      <c r="A762" t="n">
        <v>752</v>
      </c>
    </row>
    <row r="763">
      <c r="A763" t="n">
        <v>753</v>
      </c>
    </row>
    <row r="764">
      <c r="A764" t="n">
        <v>754</v>
      </c>
    </row>
    <row r="765">
      <c r="A765" t="n">
        <v>755</v>
      </c>
    </row>
    <row r="766">
      <c r="A766" t="n">
        <v>756</v>
      </c>
    </row>
    <row r="767">
      <c r="A767" t="n">
        <v>757</v>
      </c>
    </row>
    <row r="768">
      <c r="A768" t="n">
        <v>758</v>
      </c>
    </row>
    <row r="769">
      <c r="A769" t="n">
        <v>759</v>
      </c>
    </row>
    <row r="770">
      <c r="A770" t="n">
        <v>760</v>
      </c>
    </row>
    <row r="771">
      <c r="A771" t="n">
        <v>761</v>
      </c>
    </row>
    <row r="772">
      <c r="A772" t="n">
        <v>762</v>
      </c>
    </row>
    <row r="773">
      <c r="A773" t="n">
        <v>763</v>
      </c>
    </row>
    <row r="774">
      <c r="A774" t="n">
        <v>764</v>
      </c>
    </row>
    <row r="775">
      <c r="A775" t="n">
        <v>765</v>
      </c>
    </row>
    <row r="776">
      <c r="A776" t="n">
        <v>766</v>
      </c>
    </row>
    <row r="777">
      <c r="A777" t="n">
        <v>767</v>
      </c>
    </row>
    <row r="778">
      <c r="A778" t="n">
        <v>768</v>
      </c>
    </row>
    <row r="779">
      <c r="A779" t="n">
        <v>769</v>
      </c>
    </row>
    <row r="780">
      <c r="A780" t="n">
        <v>770</v>
      </c>
    </row>
    <row r="781">
      <c r="A781" t="n">
        <v>771</v>
      </c>
    </row>
    <row r="782">
      <c r="A782" t="n">
        <v>772</v>
      </c>
    </row>
    <row r="783">
      <c r="A783" t="n">
        <v>773</v>
      </c>
    </row>
    <row r="784">
      <c r="A784" t="n">
        <v>774</v>
      </c>
    </row>
    <row r="785">
      <c r="A785" t="n">
        <v>775</v>
      </c>
    </row>
    <row r="786">
      <c r="A786" t="n">
        <v>776</v>
      </c>
    </row>
    <row r="787">
      <c r="A787" t="n">
        <v>777</v>
      </c>
    </row>
    <row r="788">
      <c r="A788" t="n">
        <v>778</v>
      </c>
    </row>
    <row r="789">
      <c r="A789" t="n">
        <v>779</v>
      </c>
    </row>
    <row r="790">
      <c r="A790" t="n">
        <v>780</v>
      </c>
    </row>
    <row r="791">
      <c r="A791" t="n">
        <v>781</v>
      </c>
    </row>
    <row r="792">
      <c r="A792" t="n">
        <v>782</v>
      </c>
    </row>
    <row r="793">
      <c r="A793" t="n">
        <v>783</v>
      </c>
    </row>
    <row r="794">
      <c r="A794" t="n">
        <v>784</v>
      </c>
    </row>
    <row r="795">
      <c r="A795" t="n">
        <v>785</v>
      </c>
    </row>
    <row r="796">
      <c r="A796" t="n">
        <v>786</v>
      </c>
    </row>
    <row r="797">
      <c r="A797" t="n">
        <v>787</v>
      </c>
    </row>
    <row r="798">
      <c r="A798" t="n">
        <v>788</v>
      </c>
    </row>
    <row r="799">
      <c r="A799" t="n">
        <v>789</v>
      </c>
    </row>
    <row r="800">
      <c r="A800" t="n">
        <v>790</v>
      </c>
    </row>
    <row r="801">
      <c r="A801" t="n">
        <v>791</v>
      </c>
    </row>
    <row r="802">
      <c r="A802" t="n">
        <v>792</v>
      </c>
    </row>
    <row r="803">
      <c r="A803" t="n">
        <v>793</v>
      </c>
    </row>
    <row r="804">
      <c r="A804" t="n">
        <v>794</v>
      </c>
    </row>
    <row r="805">
      <c r="A805" t="n">
        <v>795</v>
      </c>
    </row>
    <row r="806">
      <c r="A806" t="n">
        <v>796</v>
      </c>
    </row>
    <row r="807">
      <c r="A807" t="n">
        <v>797</v>
      </c>
    </row>
    <row r="808">
      <c r="A808" t="n">
        <v>798</v>
      </c>
    </row>
    <row r="809">
      <c r="A809" t="n">
        <v>799</v>
      </c>
    </row>
    <row r="810">
      <c r="A810" t="n">
        <v>800</v>
      </c>
    </row>
    <row r="811">
      <c r="A811" t="n">
        <v>801</v>
      </c>
    </row>
    <row r="812">
      <c r="A812" t="n">
        <v>802</v>
      </c>
    </row>
    <row r="813">
      <c r="A813" t="n">
        <v>803</v>
      </c>
    </row>
    <row r="814">
      <c r="A814" t="n">
        <v>804</v>
      </c>
    </row>
    <row r="815">
      <c r="A815" t="n">
        <v>805</v>
      </c>
    </row>
    <row r="816">
      <c r="A816" t="n">
        <v>806</v>
      </c>
    </row>
    <row r="817">
      <c r="A817" t="n">
        <v>807</v>
      </c>
    </row>
    <row r="818">
      <c r="A818" t="n">
        <v>808</v>
      </c>
    </row>
    <row r="819">
      <c r="A819" t="n">
        <v>809</v>
      </c>
    </row>
    <row r="820">
      <c r="A820" t="n">
        <v>810</v>
      </c>
    </row>
    <row r="821">
      <c r="A821" t="n">
        <v>811</v>
      </c>
    </row>
    <row r="822">
      <c r="A822" t="n">
        <v>812</v>
      </c>
    </row>
    <row r="823">
      <c r="A823" t="n">
        <v>813</v>
      </c>
    </row>
    <row r="824">
      <c r="A824" t="n">
        <v>814</v>
      </c>
    </row>
    <row r="825">
      <c r="A825" t="n">
        <v>815</v>
      </c>
    </row>
    <row r="826">
      <c r="A826" t="n">
        <v>816</v>
      </c>
    </row>
    <row r="827">
      <c r="A827" t="n">
        <v>817</v>
      </c>
    </row>
    <row r="828">
      <c r="A828" t="n">
        <v>818</v>
      </c>
    </row>
    <row r="829">
      <c r="A829" t="n">
        <v>819</v>
      </c>
    </row>
    <row r="830">
      <c r="A830" t="n">
        <v>820</v>
      </c>
    </row>
    <row r="831">
      <c r="A831" t="n">
        <v>821</v>
      </c>
    </row>
    <row r="832">
      <c r="A832" t="n">
        <v>822</v>
      </c>
    </row>
    <row r="833">
      <c r="A833" t="n">
        <v>823</v>
      </c>
    </row>
    <row r="834">
      <c r="A834" t="n">
        <v>824</v>
      </c>
    </row>
    <row r="835">
      <c r="A835" t="n">
        <v>825</v>
      </c>
    </row>
    <row r="836">
      <c r="A836" t="n">
        <v>826</v>
      </c>
    </row>
    <row r="837">
      <c r="A837" t="n">
        <v>827</v>
      </c>
    </row>
    <row r="838">
      <c r="A838" t="n">
        <v>828</v>
      </c>
    </row>
    <row r="839">
      <c r="A839" t="n">
        <v>829</v>
      </c>
    </row>
    <row r="840">
      <c r="A840" t="n">
        <v>830</v>
      </c>
    </row>
    <row r="841">
      <c r="A841" t="n">
        <v>831</v>
      </c>
    </row>
    <row r="842">
      <c r="A842" t="n">
        <v>832</v>
      </c>
    </row>
    <row r="843">
      <c r="A843" t="n">
        <v>833</v>
      </c>
    </row>
    <row r="844">
      <c r="A844" t="n">
        <v>834</v>
      </c>
    </row>
    <row r="845">
      <c r="A845" t="n">
        <v>835</v>
      </c>
    </row>
    <row r="846">
      <c r="A846" t="n">
        <v>836</v>
      </c>
    </row>
    <row r="847">
      <c r="A847" t="n">
        <v>837</v>
      </c>
    </row>
    <row r="848">
      <c r="A848" t="n">
        <v>838</v>
      </c>
    </row>
    <row r="849">
      <c r="A849" t="n">
        <v>839</v>
      </c>
    </row>
    <row r="850">
      <c r="A850" t="n">
        <v>840</v>
      </c>
    </row>
    <row r="851">
      <c r="A851" t="n">
        <v>841</v>
      </c>
    </row>
    <row r="852">
      <c r="A852" t="n">
        <v>842</v>
      </c>
    </row>
    <row r="853">
      <c r="A853" t="n">
        <v>843</v>
      </c>
    </row>
    <row r="854">
      <c r="A854" t="n">
        <v>844</v>
      </c>
    </row>
    <row r="855">
      <c r="A855" t="n">
        <v>845</v>
      </c>
    </row>
    <row r="856">
      <c r="A856" t="n">
        <v>846</v>
      </c>
    </row>
    <row r="857">
      <c r="A857" t="n">
        <v>847</v>
      </c>
    </row>
    <row r="858">
      <c r="A858" t="n">
        <v>848</v>
      </c>
    </row>
    <row r="859">
      <c r="A859" t="n">
        <v>849</v>
      </c>
    </row>
    <row r="860">
      <c r="A860" t="n">
        <v>850</v>
      </c>
    </row>
    <row r="861">
      <c r="A861" t="n">
        <v>851</v>
      </c>
    </row>
    <row r="862">
      <c r="A862" t="n">
        <v>852</v>
      </c>
    </row>
    <row r="863">
      <c r="A863" t="n">
        <v>853</v>
      </c>
    </row>
    <row r="864">
      <c r="A864" t="n">
        <v>854</v>
      </c>
    </row>
    <row r="865">
      <c r="A865" t="n">
        <v>855</v>
      </c>
    </row>
    <row r="866">
      <c r="A866" t="n">
        <v>856</v>
      </c>
    </row>
    <row r="867">
      <c r="A867" t="n">
        <v>857</v>
      </c>
    </row>
    <row r="868">
      <c r="A868" t="n">
        <v>858</v>
      </c>
    </row>
    <row r="869">
      <c r="A869" t="n">
        <v>859</v>
      </c>
    </row>
    <row r="870">
      <c r="A870" t="n">
        <v>860</v>
      </c>
    </row>
    <row r="871">
      <c r="A871" t="n">
        <v>861</v>
      </c>
    </row>
    <row r="872">
      <c r="A872" t="n">
        <v>862</v>
      </c>
    </row>
    <row r="873">
      <c r="A873" t="n">
        <v>863</v>
      </c>
    </row>
    <row r="874">
      <c r="A874" t="n">
        <v>864</v>
      </c>
    </row>
    <row r="875">
      <c r="A875" t="n">
        <v>865</v>
      </c>
    </row>
    <row r="876">
      <c r="A876" t="n">
        <v>866</v>
      </c>
    </row>
    <row r="877">
      <c r="A877" t="n">
        <v>867</v>
      </c>
    </row>
    <row r="878">
      <c r="A878" t="n">
        <v>868</v>
      </c>
    </row>
    <row r="879">
      <c r="A879" t="n">
        <v>869</v>
      </c>
    </row>
    <row r="880">
      <c r="A880" t="n">
        <v>870</v>
      </c>
    </row>
    <row r="881">
      <c r="A881" t="n">
        <v>871</v>
      </c>
    </row>
    <row r="882">
      <c r="A882" t="n">
        <v>872</v>
      </c>
    </row>
    <row r="883">
      <c r="A883" t="n">
        <v>873</v>
      </c>
    </row>
    <row r="884">
      <c r="A884" t="n">
        <v>874</v>
      </c>
    </row>
    <row r="885">
      <c r="A885" t="n">
        <v>875</v>
      </c>
    </row>
    <row r="886">
      <c r="A886" t="n">
        <v>876</v>
      </c>
    </row>
    <row r="887">
      <c r="A887" t="n">
        <v>877</v>
      </c>
    </row>
    <row r="888">
      <c r="A888" t="n">
        <v>878</v>
      </c>
    </row>
    <row r="889">
      <c r="A889" t="n">
        <v>879</v>
      </c>
    </row>
    <row r="890">
      <c r="A890" t="n">
        <v>880</v>
      </c>
    </row>
    <row r="891">
      <c r="A891" t="n">
        <v>881</v>
      </c>
    </row>
    <row r="892">
      <c r="A892" t="n">
        <v>882</v>
      </c>
    </row>
    <row r="893">
      <c r="A893" t="n">
        <v>883</v>
      </c>
    </row>
    <row r="894">
      <c r="A894" t="n">
        <v>884</v>
      </c>
    </row>
    <row r="895">
      <c r="A895" t="n">
        <v>885</v>
      </c>
    </row>
    <row r="896">
      <c r="A896" t="n">
        <v>886</v>
      </c>
    </row>
    <row r="897">
      <c r="A897" t="n">
        <v>887</v>
      </c>
    </row>
    <row r="898">
      <c r="A898" t="n">
        <v>888</v>
      </c>
    </row>
    <row r="899">
      <c r="A899" t="n">
        <v>889</v>
      </c>
    </row>
    <row r="900">
      <c r="A900" t="n">
        <v>890</v>
      </c>
    </row>
    <row r="901">
      <c r="A901" t="n">
        <v>891</v>
      </c>
    </row>
    <row r="902">
      <c r="A902" t="n">
        <v>892</v>
      </c>
    </row>
    <row r="903">
      <c r="A903" t="n">
        <v>893</v>
      </c>
    </row>
    <row r="904">
      <c r="A904" t="n">
        <v>894</v>
      </c>
    </row>
    <row r="905">
      <c r="A905" t="n">
        <v>895</v>
      </c>
    </row>
    <row r="906">
      <c r="A906" t="n">
        <v>896</v>
      </c>
    </row>
    <row r="907">
      <c r="A907" t="n">
        <v>897</v>
      </c>
    </row>
    <row r="908">
      <c r="A908" t="n">
        <v>898</v>
      </c>
    </row>
    <row r="909">
      <c r="A909" t="n">
        <v>899</v>
      </c>
    </row>
    <row r="910">
      <c r="A910" t="n">
        <v>900</v>
      </c>
    </row>
    <row r="911">
      <c r="A911" t="n">
        <v>901</v>
      </c>
    </row>
    <row r="912">
      <c r="A912" t="n">
        <v>902</v>
      </c>
    </row>
    <row r="913">
      <c r="A913" t="n">
        <v>903</v>
      </c>
    </row>
    <row r="914">
      <c r="A914" t="n">
        <v>904</v>
      </c>
    </row>
    <row r="915">
      <c r="A915" t="n">
        <v>905</v>
      </c>
    </row>
    <row r="916">
      <c r="A916" t="n">
        <v>906</v>
      </c>
    </row>
    <row r="917">
      <c r="A917" t="n">
        <v>907</v>
      </c>
    </row>
    <row r="918">
      <c r="A918" t="n">
        <v>908</v>
      </c>
    </row>
    <row r="919">
      <c r="A919" t="n">
        <v>909</v>
      </c>
    </row>
    <row r="920">
      <c r="A920" t="n">
        <v>910</v>
      </c>
    </row>
    <row r="921">
      <c r="A921" t="n">
        <v>911</v>
      </c>
    </row>
    <row r="922">
      <c r="A922" t="n">
        <v>912</v>
      </c>
    </row>
    <row r="923">
      <c r="A923" t="n">
        <v>913</v>
      </c>
    </row>
    <row r="924">
      <c r="A924" t="n">
        <v>914</v>
      </c>
    </row>
    <row r="925">
      <c r="A925" t="n">
        <v>915</v>
      </c>
    </row>
    <row r="926">
      <c r="A926" t="n">
        <v>916</v>
      </c>
    </row>
    <row r="927">
      <c r="A927" t="n">
        <v>917</v>
      </c>
    </row>
    <row r="928">
      <c r="A928" t="n">
        <v>918</v>
      </c>
    </row>
    <row r="929">
      <c r="A929" t="n">
        <v>919</v>
      </c>
    </row>
    <row r="930">
      <c r="A930" t="n">
        <v>920</v>
      </c>
    </row>
    <row r="931">
      <c r="A931" t="n">
        <v>921</v>
      </c>
    </row>
    <row r="932">
      <c r="A932" t="n">
        <v>922</v>
      </c>
    </row>
    <row r="933">
      <c r="A933" t="n">
        <v>923</v>
      </c>
    </row>
    <row r="934">
      <c r="A934" t="n">
        <v>924</v>
      </c>
    </row>
    <row r="935">
      <c r="A935" t="n">
        <v>925</v>
      </c>
    </row>
    <row r="936">
      <c r="A936" t="n">
        <v>926</v>
      </c>
    </row>
    <row r="937">
      <c r="A937" t="n">
        <v>927</v>
      </c>
    </row>
    <row r="938">
      <c r="A938" t="n">
        <v>928</v>
      </c>
    </row>
    <row r="939">
      <c r="A939" t="n">
        <v>929</v>
      </c>
    </row>
    <row r="940">
      <c r="A940" t="n">
        <v>930</v>
      </c>
    </row>
    <row r="941">
      <c r="A941" t="n">
        <v>931</v>
      </c>
    </row>
    <row r="942">
      <c r="A942" t="n">
        <v>932</v>
      </c>
    </row>
    <row r="943">
      <c r="A943" t="n">
        <v>933</v>
      </c>
    </row>
    <row r="944">
      <c r="A944" t="n">
        <v>934</v>
      </c>
    </row>
    <row r="945">
      <c r="A945" t="n">
        <v>935</v>
      </c>
    </row>
    <row r="946">
      <c r="A946" t="n">
        <v>936</v>
      </c>
    </row>
    <row r="947">
      <c r="A947" t="n">
        <v>937</v>
      </c>
    </row>
    <row r="948">
      <c r="A948" t="n">
        <v>938</v>
      </c>
    </row>
    <row r="949">
      <c r="A949" t="n">
        <v>939</v>
      </c>
    </row>
    <row r="950">
      <c r="A950" t="n">
        <v>940</v>
      </c>
    </row>
    <row r="951">
      <c r="A951" t="n">
        <v>941</v>
      </c>
    </row>
    <row r="952">
      <c r="A952" t="n">
        <v>942</v>
      </c>
    </row>
    <row r="953">
      <c r="A953" t="n">
        <v>943</v>
      </c>
    </row>
    <row r="954">
      <c r="A954" t="n">
        <v>944</v>
      </c>
    </row>
    <row r="955">
      <c r="A955" t="n">
        <v>945</v>
      </c>
    </row>
    <row r="956">
      <c r="A956" t="n">
        <v>946</v>
      </c>
    </row>
    <row r="957">
      <c r="A957" t="n">
        <v>947</v>
      </c>
    </row>
    <row r="958">
      <c r="A958" t="n">
        <v>948</v>
      </c>
    </row>
    <row r="959">
      <c r="A959" t="n">
        <v>949</v>
      </c>
    </row>
    <row r="960">
      <c r="A960" t="n">
        <v>950</v>
      </c>
    </row>
    <row r="961">
      <c r="A961" t="n">
        <v>951</v>
      </c>
    </row>
    <row r="962">
      <c r="A962" t="n">
        <v>952</v>
      </c>
    </row>
    <row r="963">
      <c r="A963" t="n">
        <v>953</v>
      </c>
    </row>
    <row r="964">
      <c r="A964" t="n">
        <v>954</v>
      </c>
    </row>
    <row r="965">
      <c r="A965" t="n">
        <v>955</v>
      </c>
    </row>
    <row r="966">
      <c r="A966" t="n">
        <v>956</v>
      </c>
    </row>
    <row r="967">
      <c r="A967" t="n">
        <v>957</v>
      </c>
    </row>
    <row r="968">
      <c r="A968" t="n">
        <v>958</v>
      </c>
    </row>
    <row r="969">
      <c r="A969" t="n">
        <v>959</v>
      </c>
    </row>
    <row r="970">
      <c r="A970" t="n">
        <v>960</v>
      </c>
    </row>
    <row r="971">
      <c r="A971" t="n">
        <v>961</v>
      </c>
    </row>
    <row r="972">
      <c r="A972" t="n">
        <v>962</v>
      </c>
    </row>
    <row r="973">
      <c r="A973" t="n">
        <v>963</v>
      </c>
    </row>
    <row r="974">
      <c r="A974" t="n">
        <v>964</v>
      </c>
    </row>
    <row r="975">
      <c r="A975" t="n">
        <v>965</v>
      </c>
    </row>
    <row r="976">
      <c r="A976" t="n">
        <v>966</v>
      </c>
    </row>
    <row r="977">
      <c r="A977" t="n">
        <v>967</v>
      </c>
    </row>
    <row r="978">
      <c r="A978" t="n">
        <v>968</v>
      </c>
    </row>
    <row r="979">
      <c r="A979" t="n">
        <v>969</v>
      </c>
    </row>
    <row r="980">
      <c r="A980" t="n">
        <v>970</v>
      </c>
    </row>
    <row r="981">
      <c r="A981" t="n">
        <v>971</v>
      </c>
    </row>
    <row r="982">
      <c r="A982" t="n">
        <v>972</v>
      </c>
    </row>
    <row r="983">
      <c r="A983" t="n">
        <v>973</v>
      </c>
    </row>
    <row r="984">
      <c r="A984" t="n">
        <v>974</v>
      </c>
    </row>
    <row r="985">
      <c r="A985" t="n">
        <v>975</v>
      </c>
    </row>
    <row r="986">
      <c r="A986" t="n">
        <v>976</v>
      </c>
    </row>
    <row r="987">
      <c r="A987" t="n">
        <v>977</v>
      </c>
    </row>
    <row r="988">
      <c r="A988" t="n">
        <v>978</v>
      </c>
    </row>
    <row r="989">
      <c r="A989" t="n">
        <v>979</v>
      </c>
    </row>
    <row r="990">
      <c r="A990" t="n">
        <v>980</v>
      </c>
    </row>
    <row r="991">
      <c r="A991" t="n">
        <v>981</v>
      </c>
    </row>
    <row r="992">
      <c r="A992" t="n">
        <v>982</v>
      </c>
    </row>
    <row r="993">
      <c r="A993" t="n">
        <v>983</v>
      </c>
    </row>
    <row r="994">
      <c r="A994" t="n">
        <v>984</v>
      </c>
    </row>
    <row r="995">
      <c r="A995" t="n">
        <v>985</v>
      </c>
    </row>
    <row r="996">
      <c r="A996" t="n">
        <v>986</v>
      </c>
    </row>
    <row r="997">
      <c r="A997" t="n">
        <v>987</v>
      </c>
    </row>
    <row r="998">
      <c r="A998" t="n">
        <v>988</v>
      </c>
    </row>
    <row r="999">
      <c r="A999" t="n">
        <v>989</v>
      </c>
    </row>
    <row r="1000">
      <c r="A1000" t="n">
        <v>990</v>
      </c>
    </row>
    <row r="1001">
      <c r="A1001" t="n">
        <v>991</v>
      </c>
    </row>
    <row r="1002">
      <c r="A1002" t="n">
        <v>992</v>
      </c>
    </row>
    <row r="1003">
      <c r="A1003" t="n">
        <v>993</v>
      </c>
    </row>
    <row r="1004">
      <c r="A1004" t="n">
        <v>994</v>
      </c>
    </row>
    <row r="1005">
      <c r="A1005" t="n">
        <v>995</v>
      </c>
    </row>
    <row r="1006">
      <c r="A1006" t="n">
        <v>996</v>
      </c>
    </row>
    <row r="1007">
      <c r="A1007" t="n">
        <v>997</v>
      </c>
    </row>
    <row r="1008">
      <c r="A1008" t="n">
        <v>998</v>
      </c>
    </row>
    <row r="1009">
      <c r="A1009" t="n">
        <v>999</v>
      </c>
    </row>
    <row r="1010">
      <c r="A1010" t="n">
        <v>1000</v>
      </c>
    </row>
    <row r="1011"/>
    <row r="1012"/>
    <row r="1013"/>
    <row r="1014"/>
    <row r="1015">
      <c r="A1015" s="4" t="inlineStr">
        <is>
          <t>Monte Carlo Statistics</t>
        </is>
      </c>
    </row>
    <row r="1016">
      <c r="A1016" t="inlineStr">
        <is>
          <t>Expected NPV</t>
        </is>
      </c>
      <c r="B1016" s="16">
        <f>AVERAGE(B11:B1010)</f>
        <v/>
      </c>
    </row>
    <row r="1017">
      <c r="A1017" t="inlineStr">
        <is>
          <t>P10 NPV</t>
        </is>
      </c>
      <c r="B1017" s="16">
        <f>PERCENTILE(B11:B1010,0.10)</f>
        <v/>
      </c>
    </row>
    <row r="1018">
      <c r="A1018" t="inlineStr">
        <is>
          <t>P50 NPV (Median)</t>
        </is>
      </c>
      <c r="B1018" s="16">
        <f>PERCENTILE(B11:B1010,0.50)</f>
        <v/>
      </c>
    </row>
    <row r="1019">
      <c r="A1019" t="inlineStr">
        <is>
          <t>P90 NPV</t>
        </is>
      </c>
      <c r="B1019" s="16">
        <f>PERCENTILE(B11:B1010,0.90)</f>
        <v/>
      </c>
    </row>
    <row r="1020">
      <c r="A1020" t="inlineStr">
        <is>
          <t>StdDev</t>
        </is>
      </c>
      <c r="B1020" s="16">
        <f>STDEV(B11:B1010)</f>
        <v/>
      </c>
    </row>
    <row r="1021">
      <c r="A1021" t="inlineStr">
        <is>
          <t>Prob(NPV&gt;0)</t>
        </is>
      </c>
      <c r="B1021" s="30">
        <f>COUNTIF(B11:B1010,"&gt;0")/1000</f>
        <v/>
      </c>
    </row>
    <row r="1022"/>
    <row r="1023">
      <c r="A1023" s="4" t="inlineStr">
        <is>
          <t>Treatment Kinetics Statistics</t>
        </is>
      </c>
    </row>
    <row r="1024">
      <c r="A1024" t="inlineStr">
        <is>
          <t>Expected Days to Compliance</t>
        </is>
      </c>
      <c r="B1024" s="28">
        <f>IFERROR(AVERAGE(I11:I1010),"Run MC")</f>
        <v/>
      </c>
    </row>
    <row r="1025">
      <c r="A1025" t="inlineStr">
        <is>
          <t>P10 Days (optimistic)</t>
        </is>
      </c>
      <c r="B1025" s="28">
        <f>IFERROR(PERCENTILE(I11:I1010,0.10),"Run MC")</f>
        <v/>
      </c>
    </row>
    <row r="1026">
      <c r="A1026" t="inlineStr">
        <is>
          <t>P50 Days (median)</t>
        </is>
      </c>
      <c r="B1026" s="28">
        <f>IFERROR(PERCENTILE(I11:I1010,0.50),"Run MC")</f>
        <v/>
      </c>
    </row>
    <row r="1027">
      <c r="A1027" t="inlineStr">
        <is>
          <t>P90 Days (conservative)</t>
        </is>
      </c>
      <c r="B1027" s="28">
        <f>IFERROR(PERCENTILE(I11:I1010,0.90),"Run MC")</f>
        <v/>
      </c>
    </row>
    <row r="1028">
      <c r="A1028" t="inlineStr">
        <is>
          <t>Prob(Achievable in Season)</t>
        </is>
      </c>
      <c r="B1028" s="30">
        <f>IFERROR(COUNTIF(I11:I1010,"&lt;="&amp;Season_Length)/1000,"Run MC")</f>
        <v/>
      </c>
    </row>
  </sheetData>
  <mergeCells count="2">
    <mergeCell ref="A4:E4"/>
    <mergeCell ref="A3:E3"/>
  </mergeCell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D4"/>
  <sheetViews>
    <sheetView workbookViewId="0">
      <selection activeCell="A1" sqref="A1"/>
    </sheetView>
  </sheetViews>
  <sheetFormatPr baseColWidth="8" defaultRowHeight="15"/>
  <cols>
    <col width="60" customWidth="1" min="1" max="1"/>
    <col width="13" customWidth="1" min="2" max="2"/>
    <col width="13" customWidth="1" min="3" max="3"/>
    <col width="13" customWidth="1" min="4" max="4"/>
  </cols>
  <sheetData>
    <row r="1">
      <c r="A1" s="5" t="inlineStr">
        <is>
          <t>Monthly P&amp;L (Placeholder)</t>
        </is>
      </c>
    </row>
    <row r="3">
      <c r="A3" s="18" t="inlineStr">
        <is>
          <t>Monthly P&amp;L View</t>
        </is>
      </c>
      <c r="B3" s="19" t="n"/>
      <c r="C3" s="19" t="n"/>
      <c r="D3" s="20" t="n"/>
    </row>
    <row r="4" ht="312" customHeight="1">
      <c r="A4" s="21" t="inlineStr">
        <is>
          <t>This sheet is a placeholder for future monthly P&amp;L projections.
CURRENT STATUS: Not implemented in this version.
FUTURE USE CASES:
- Monthly cash flow timing for working capital analysis
- Seasonal revenue recognition patterns
- Monthly cost accruals
- Intra-year variance analysis
The model currently uses annual projections (12_PL_Annual) as the
primary financial view. Monthly detail would add complexity without
significant benefit for the current valuation use case.
If monthly detail is needed, the structure should mirror 12_PL_Annual
with columns for each month and rows for:
- Gross Value by scenario
- Testing costs
- Operating expenses
- Net monthly benefit</t>
        </is>
      </c>
      <c r="B4" s="19" t="n"/>
      <c r="C4" s="19" t="n"/>
      <c r="D4" s="20" t="n"/>
    </row>
  </sheetData>
  <mergeCells count="2">
    <mergeCell ref="A4:D4"/>
    <mergeCell ref="A3:D3"/>
  </mergeCells>
  <pageMargins left="0.75" right="0.75" top="1" bottom="1" header="0.5" footer="0.5"/>
</worksheet>
</file>

<file path=xl/worksheets/sheet17.xml><?xml version="1.0" encoding="utf-8"?>
<worksheet xmlns="http://schemas.openxmlformats.org/spreadsheetml/2006/main">
  <sheetPr>
    <tabColor rgb="004472C4"/>
    <outlinePr summaryBelow="1" summaryRight="1"/>
    <pageSetUpPr/>
  </sheetPr>
  <dimension ref="A1:J2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14" customWidth="1" min="8" max="8"/>
    <col width="16" customWidth="1" min="9" max="9"/>
    <col width="14" customWidth="1" min="10" max="10"/>
  </cols>
  <sheetData>
    <row r="1">
      <c r="A1" s="5" t="inlineStr">
        <is>
          <t>Annual Projections</t>
        </is>
      </c>
    </row>
    <row r="2"/>
    <row r="3">
      <c r="A3" s="18" t="inlineStr">
        <is>
          <t>Annual Financial Projections</t>
        </is>
      </c>
      <c r="B3" s="19" t="n"/>
      <c r="C3" s="19" t="n"/>
      <c r="D3" s="19" t="n"/>
      <c r="E3" s="19" t="n"/>
      <c r="F3" s="19" t="n"/>
      <c r="G3" s="19" t="n"/>
      <c r="H3" s="19" t="n"/>
      <c r="I3" s="19" t="n"/>
      <c r="J3" s="20" t="n"/>
    </row>
    <row r="4" ht="249.6" customHeight="1">
      <c r="A4" s="21" t="inlineStr">
        <is>
          <t>This sheet projects annual value capture over the planning horizon.
KEY CALCULATIONS:
- Gross Value: Sum of gated scenario values from 8_Calc_Value
- Learning Curve: Year 1 at 50%, Year 2 at 75%, Year 3+ at 100%
- Adjusted Value: Gross Value x Learning Curve Multiplier
- Net Value: Adjusted Value - Testing Costs
- NPV: Discounted sum using rate from 1_TOC
LEARNING CURVE RATIONALE:
Year 1 (50%): Pilot learning, process establishment
Year 2 (75%): Initial optimization, expanded coverage
Year 3+ (100%): Full operational maturity, steady state
The learning curve can be adjusted in 3_Assumptions Section D.
Conservative default reflects typical technology adoption patterns.</t>
        </is>
      </c>
      <c r="B4" s="19" t="n"/>
      <c r="C4" s="19" t="n"/>
      <c r="D4" s="19" t="n"/>
      <c r="E4" s="19" t="n"/>
      <c r="F4" s="19" t="n"/>
      <c r="G4" s="19" t="n"/>
      <c r="H4" s="19" t="n"/>
      <c r="I4" s="19" t="n"/>
      <c r="J4" s="20" t="n"/>
    </row>
    <row r="5"/>
    <row r="6">
      <c r="A6" s="6" t="inlineStr">
        <is>
          <t>Annual Projections</t>
        </is>
      </c>
    </row>
    <row r="7" ht="15.6" customHeight="1">
      <c r="A7" s="7" t="inlineStr">
        <is>
          <t>Description:</t>
        </is>
      </c>
      <c r="B7" s="8" t="inlineStr">
        <is>
          <t>Year-by-year financial projections with learning curve adjustments and NPV calculations.</t>
        </is>
      </c>
    </row>
    <row r="8" ht="15.6" customHeight="1">
      <c r="A8" s="7" t="inlineStr">
        <is>
          <t>Purpose:</t>
        </is>
      </c>
      <c r="B8" s="8" t="inlineStr">
        <is>
          <t>Project multi-year value capture for ROI and NPV analysis</t>
        </is>
      </c>
    </row>
    <row r="9" ht="46.8" customHeight="1">
      <c r="A9" s="7" t="inlineStr">
        <is>
          <t>Assumptions:</t>
        </is>
      </c>
      <c r="B9" s="8" t="inlineStr">
        <is>
          <t>- Learning curve applied: Year 1 (50%), Year 2 (75%), Year 3+ (100%)
- Discount rate from 1_TOC applied to all future cash flows
- Testing costs deducted annually based on selected approach</t>
        </is>
      </c>
    </row>
    <row r="10" ht="15.6" customHeight="1">
      <c r="A10" s="7" t="inlineStr">
        <is>
          <t>Data Source:</t>
        </is>
      </c>
      <c r="B10" s="8" t="inlineStr">
        <is>
          <t>Calculated from tbl_GatedValues, tbl_LearningCurve, tbl_CostCalc</t>
        </is>
      </c>
    </row>
    <row r="11" ht="15.6" customHeight="1">
      <c r="A11" s="7" t="inlineStr">
        <is>
          <t>Related Tables:</t>
        </is>
      </c>
      <c r="B11" s="8" t="inlineStr">
        <is>
          <t>tbl_GatedValues, tbl_LearningCurve, tbl_CostCalc, tbl_CashFlow</t>
        </is>
      </c>
    </row>
    <row r="12">
      <c r="A12" s="9" t="inlineStr">
        <is>
          <t>Year</t>
        </is>
      </c>
      <c r="B12" s="9" t="inlineStr">
        <is>
          <t>S1_Value</t>
        </is>
      </c>
      <c r="C12" s="9" t="inlineStr">
        <is>
          <t>S2_Value</t>
        </is>
      </c>
      <c r="D12" s="9" t="inlineStr">
        <is>
          <t>S3_Value</t>
        </is>
      </c>
      <c r="E12" s="9" t="inlineStr">
        <is>
          <t>S4_Value</t>
        </is>
      </c>
      <c r="F12" s="9" t="inlineStr">
        <is>
          <t>Gross_Value</t>
        </is>
      </c>
      <c r="G12" s="9" t="inlineStr">
        <is>
          <t>Costs</t>
        </is>
      </c>
      <c r="H12" s="9" t="inlineStr">
        <is>
          <t>Net_Annual</t>
        </is>
      </c>
      <c r="I12" s="9" t="inlineStr">
        <is>
          <t>Discount_Factor</t>
        </is>
      </c>
      <c r="J12" s="9" t="inlineStr">
        <is>
          <t>Discounted</t>
        </is>
      </c>
    </row>
    <row r="13">
      <c r="A13">
        <f>Base_Year+0</f>
        <v/>
      </c>
      <c r="B13" s="16">
        <f>S1_Value*INDEX(Timeline_LearningMult,2)</f>
        <v/>
      </c>
      <c r="C13" s="16">
        <f>S2_Value*INDEX(Timeline_LearningMult,2)</f>
        <v/>
      </c>
      <c r="D13" s="16">
        <f>S3_Value*INDEX(Timeline_LearningMult,2)</f>
        <v/>
      </c>
      <c r="E13" s="16">
        <f>S4_Value*INDEX(Timeline_LearningMult,2)</f>
        <v/>
      </c>
      <c r="F13" s="16">
        <f>SUM(B13:E13)</f>
        <v/>
      </c>
      <c r="G13" s="16">
        <f>Testing_Cost</f>
        <v/>
      </c>
      <c r="H13" s="16">
        <f>F13-G13</f>
        <v/>
      </c>
      <c r="I13">
        <f>INDEX(Timeline_DiscountFactor,2)</f>
        <v/>
      </c>
      <c r="J13" s="16">
        <f>H13*I13</f>
        <v/>
      </c>
    </row>
    <row r="14">
      <c r="A14">
        <f>Base_Year+1</f>
        <v/>
      </c>
      <c r="B14" s="16">
        <f>S1_Value*INDEX(Timeline_LearningMult,3)</f>
        <v/>
      </c>
      <c r="C14" s="16">
        <f>S2_Value*INDEX(Timeline_LearningMult,3)</f>
        <v/>
      </c>
      <c r="D14" s="16">
        <f>S3_Value*INDEX(Timeline_LearningMult,3)</f>
        <v/>
      </c>
      <c r="E14" s="16">
        <f>S4_Value*INDEX(Timeline_LearningMult,3)</f>
        <v/>
      </c>
      <c r="F14" s="16">
        <f>SUM(B14:E14)</f>
        <v/>
      </c>
      <c r="G14" s="16">
        <f>Testing_Cost</f>
        <v/>
      </c>
      <c r="H14" s="16">
        <f>F14-G14</f>
        <v/>
      </c>
      <c r="I14">
        <f>INDEX(Timeline_DiscountFactor,3)</f>
        <v/>
      </c>
      <c r="J14" s="16">
        <f>H14*I14</f>
        <v/>
      </c>
    </row>
    <row r="15">
      <c r="A15">
        <f>Base_Year+2</f>
        <v/>
      </c>
      <c r="B15" s="16">
        <f>S1_Value*INDEX(Timeline_LearningMult,4)</f>
        <v/>
      </c>
      <c r="C15" s="16">
        <f>S2_Value*INDEX(Timeline_LearningMult,4)</f>
        <v/>
      </c>
      <c r="D15" s="16">
        <f>S3_Value*INDEX(Timeline_LearningMult,4)</f>
        <v/>
      </c>
      <c r="E15" s="16">
        <f>S4_Value*INDEX(Timeline_LearningMult,4)</f>
        <v/>
      </c>
      <c r="F15" s="16">
        <f>SUM(B15:E15)</f>
        <v/>
      </c>
      <c r="G15" s="16">
        <f>Testing_Cost</f>
        <v/>
      </c>
      <c r="H15" s="16">
        <f>F15-G15</f>
        <v/>
      </c>
      <c r="I15">
        <f>INDEX(Timeline_DiscountFactor,4)</f>
        <v/>
      </c>
      <c r="J15" s="16">
        <f>H15*I15</f>
        <v/>
      </c>
    </row>
    <row r="16">
      <c r="A16">
        <f>Base_Year+3</f>
        <v/>
      </c>
      <c r="B16" s="16">
        <f>S1_Value*INDEX(Timeline_LearningMult,5)</f>
        <v/>
      </c>
      <c r="C16" s="16">
        <f>S2_Value*INDEX(Timeline_LearningMult,5)</f>
        <v/>
      </c>
      <c r="D16" s="16">
        <f>S3_Value*INDEX(Timeline_LearningMult,5)</f>
        <v/>
      </c>
      <c r="E16" s="16">
        <f>S4_Value*INDEX(Timeline_LearningMult,5)</f>
        <v/>
      </c>
      <c r="F16" s="16">
        <f>SUM(B16:E16)</f>
        <v/>
      </c>
      <c r="G16" s="16">
        <f>Testing_Cost</f>
        <v/>
      </c>
      <c r="H16" s="16">
        <f>F16-G16</f>
        <v/>
      </c>
      <c r="I16">
        <f>INDEX(Timeline_DiscountFactor,5)</f>
        <v/>
      </c>
      <c r="J16" s="16">
        <f>H16*I16</f>
        <v/>
      </c>
    </row>
    <row r="17">
      <c r="A17">
        <f>Base_Year+4</f>
        <v/>
      </c>
      <c r="B17" s="16">
        <f>S1_Value*INDEX(Timeline_LearningMult,6)</f>
        <v/>
      </c>
      <c r="C17" s="16">
        <f>S2_Value*INDEX(Timeline_LearningMult,6)</f>
        <v/>
      </c>
      <c r="D17" s="16">
        <f>S3_Value*INDEX(Timeline_LearningMult,6)</f>
        <v/>
      </c>
      <c r="E17" s="16">
        <f>S4_Value*INDEX(Timeline_LearningMult,6)</f>
        <v/>
      </c>
      <c r="F17" s="16">
        <f>SUM(B17:E17)</f>
        <v/>
      </c>
      <c r="G17" s="16">
        <f>Testing_Cost</f>
        <v/>
      </c>
      <c r="H17" s="16">
        <f>F17-G17</f>
        <v/>
      </c>
      <c r="I17">
        <f>INDEX(Timeline_DiscountFactor,6)</f>
        <v/>
      </c>
      <c r="J17" s="16">
        <f>H17*I17</f>
        <v/>
      </c>
    </row>
    <row r="18"/>
    <row r="19"/>
    <row r="20">
      <c r="A20" s="4" t="inlineStr">
        <is>
          <t>Aggregate KPIs</t>
        </is>
      </c>
    </row>
    <row r="21">
      <c r="A21" t="inlineStr">
        <is>
          <t>NPV_Total</t>
        </is>
      </c>
      <c r="B21" s="16">
        <f>SUM(J13:J17)</f>
        <v/>
      </c>
    </row>
    <row r="22">
      <c r="A22" t="inlineStr">
        <is>
          <t>Total_Gross_5Yr</t>
        </is>
      </c>
      <c r="B22" s="16">
        <f>SUM(F13:F17)</f>
        <v/>
      </c>
    </row>
    <row r="23">
      <c r="A23" t="inlineStr">
        <is>
          <t>Total_Net_5Yr</t>
        </is>
      </c>
      <c r="B23" s="16">
        <f>SUM(H13:H17)</f>
        <v/>
      </c>
    </row>
  </sheetData>
  <mergeCells count="7">
    <mergeCell ref="B7:J7"/>
    <mergeCell ref="B11:J11"/>
    <mergeCell ref="B10:J10"/>
    <mergeCell ref="A3:J3"/>
    <mergeCell ref="B9:J9"/>
    <mergeCell ref="A4:J4"/>
    <mergeCell ref="B8:J8"/>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4472C4"/>
    <outlinePr summaryBelow="1" summaryRight="1"/>
    <pageSetUpPr/>
  </sheetPr>
  <dimension ref="A1:D17"/>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5" t="inlineStr">
        <is>
          <t>Cumulative Cash Flow</t>
        </is>
      </c>
    </row>
    <row r="2"/>
    <row r="3">
      <c r="A3" s="18" t="inlineStr">
        <is>
          <t>Cumulative Cash Flow Analysis</t>
        </is>
      </c>
      <c r="B3" s="19" t="n"/>
      <c r="C3" s="19" t="n"/>
      <c r="D3" s="20" t="n"/>
    </row>
    <row r="4" ht="312" customHeight="1">
      <c r="A4" s="21" t="inlineStr">
        <is>
          <t>This sheet tracks cumulative value capture over the projection horizon.
KEY METRICS:
- Cumulative Net: Running total of annual net benefits
- Cumulative NPV: Running total of discounted net benefits
- Payback Point: Year when cumulative value turns positive
USE CASES:
- Determine when investment breaks even
- Assess cash flow timing for capital planning
- Compare cumulative value vs upfront investment
Note: This model assumes no upfront capital investment for the
biosensor system (included in testing costs). For scenarios with
capital expenditure, add an initial investment row and adjust
payback calculations accordingly.</t>
        </is>
      </c>
      <c r="B4" s="19" t="n"/>
      <c r="C4" s="19" t="n"/>
      <c r="D4" s="20" t="n"/>
    </row>
    <row r="5"/>
    <row r="6">
      <c r="A6" s="6" t="inlineStr">
        <is>
          <t>Cash Flow Summary</t>
        </is>
      </c>
    </row>
    <row r="7" ht="31.2" customHeight="1">
      <c r="A7" s="7" t="inlineStr">
        <is>
          <t>Description:</t>
        </is>
      </c>
      <c r="B7" s="8" t="inlineStr">
        <is>
          <t>Cumulative cash flow and NPV tracking for payback analysis.</t>
        </is>
      </c>
    </row>
    <row r="8" ht="31.2" customHeight="1">
      <c r="A8" s="7" t="inlineStr">
        <is>
          <t>Purpose:</t>
        </is>
      </c>
      <c r="B8" s="8" t="inlineStr">
        <is>
          <t>Track when cumulative value exceeds investment for breakeven analysis</t>
        </is>
      </c>
    </row>
    <row r="9" ht="62.40000000000001" customHeight="1">
      <c r="A9" s="7" t="inlineStr">
        <is>
          <t>Assumptions:</t>
        </is>
      </c>
      <c r="B9" s="8" t="inlineStr">
        <is>
          <t>- No upfront capital investment assumed (costs included in testing)
- Annual net values from tbl_Annual
- Cumulative NPV used for total project value</t>
        </is>
      </c>
    </row>
    <row r="10" ht="15.6" customHeight="1">
      <c r="A10" s="7" t="inlineStr">
        <is>
          <t>Data Source:</t>
        </is>
      </c>
      <c r="B10" s="8" t="inlineStr">
        <is>
          <t>Calculated from tbl_Annual</t>
        </is>
      </c>
    </row>
    <row r="11" ht="15.6" customHeight="1">
      <c r="A11" s="7" t="inlineStr">
        <is>
          <t>Related Tables:</t>
        </is>
      </c>
      <c r="B11" s="8" t="inlineStr">
        <is>
          <t>tbl_Annual, tbl_KPIs</t>
        </is>
      </c>
    </row>
    <row r="12">
      <c r="A12" s="9" t="inlineStr">
        <is>
          <t>Year</t>
        </is>
      </c>
      <c r="B12" s="9" t="inlineStr">
        <is>
          <t>Annual_Net</t>
        </is>
      </c>
      <c r="C12" s="9" t="inlineStr">
        <is>
          <t>Cumulative_Net</t>
        </is>
      </c>
      <c r="D12" s="9" t="inlineStr">
        <is>
          <t>Cumulative_NPV</t>
        </is>
      </c>
    </row>
    <row r="13">
      <c r="A13">
        <f>Base_Year+0</f>
        <v/>
      </c>
      <c r="B13" s="16">
        <f>INDEX(tbl_Annual[Net_Annual],1)</f>
        <v/>
      </c>
      <c r="C13" s="16">
        <f>B13</f>
        <v/>
      </c>
      <c r="D13" s="16">
        <f>INDEX(tbl_Annual[Discounted],1)</f>
        <v/>
      </c>
    </row>
    <row r="14">
      <c r="A14">
        <f>Base_Year+1</f>
        <v/>
      </c>
      <c r="B14" s="16">
        <f>INDEX(tbl_Annual[Net_Annual],2)</f>
        <v/>
      </c>
      <c r="C14" s="16">
        <f>C13+B14</f>
        <v/>
      </c>
      <c r="D14" s="16">
        <f>D13+INDEX(tbl_Annual[Discounted],2)</f>
        <v/>
      </c>
    </row>
    <row r="15">
      <c r="A15">
        <f>Base_Year+2</f>
        <v/>
      </c>
      <c r="B15" s="16">
        <f>INDEX(tbl_Annual[Net_Annual],3)</f>
        <v/>
      </c>
      <c r="C15" s="16">
        <f>C14+B15</f>
        <v/>
      </c>
      <c r="D15" s="16">
        <f>D14+INDEX(tbl_Annual[Discounted],3)</f>
        <v/>
      </c>
    </row>
    <row r="16">
      <c r="A16">
        <f>Base_Year+3</f>
        <v/>
      </c>
      <c r="B16" s="16">
        <f>INDEX(tbl_Annual[Net_Annual],4)</f>
        <v/>
      </c>
      <c r="C16" s="16">
        <f>C15+B16</f>
        <v/>
      </c>
      <c r="D16" s="16">
        <f>D15+INDEX(tbl_Annual[Discounted],4)</f>
        <v/>
      </c>
    </row>
    <row r="17">
      <c r="A17">
        <f>Base_Year+4</f>
        <v/>
      </c>
      <c r="B17" s="16">
        <f>INDEX(tbl_Annual[Net_Annual],5)</f>
        <v/>
      </c>
      <c r="C17" s="16">
        <f>C16+B17</f>
        <v/>
      </c>
      <c r="D17" s="16">
        <f>D16+INDEX(tbl_Annual[Discounted],5)</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4472C4"/>
    <outlinePr summaryBelow="1" summaryRight="1"/>
    <pageSetUpPr/>
  </sheetPr>
  <dimension ref="A1:D27"/>
  <sheetViews>
    <sheetView workbookViewId="0">
      <selection activeCell="A1" sqref="A1"/>
    </sheetView>
  </sheetViews>
  <sheetFormatPr baseColWidth="8" defaultRowHeight="15"/>
  <cols>
    <col width="28" customWidth="1" min="1" max="1"/>
    <col width="18" customWidth="1" min="2" max="2"/>
    <col width="10" customWidth="1" min="3" max="3"/>
    <col width="25" customWidth="1" min="4" max="4"/>
  </cols>
  <sheetData>
    <row r="1">
      <c r="A1" s="5" t="inlineStr">
        <is>
          <t>Unit Economics</t>
        </is>
      </c>
    </row>
    <row r="3">
      <c r="A3" s="18" t="inlineStr">
        <is>
          <t>Per-Cubic-Meter Economics</t>
        </is>
      </c>
      <c r="B3" s="19" t="n"/>
      <c r="C3" s="19" t="n"/>
      <c r="D3" s="20" t="n"/>
    </row>
    <row r="4" ht="327.6" customHeight="1">
      <c r="A4" s="21" t="inlineStr">
        <is>
          <t>This sheet expresses all values on a per-m3 basis for comparability.
WHY UNIT ECONOMICS MATTER:
- Allows comparison across different site sizes
- Enables scaling estimates to new deployments
- Provides intuitive metrics for operator discussions
- Connects to industry benchmarks (treatment costs, ARO liabilities)
KEY METRICS:
- Value per m3: Total value divided by annual throughput
- Cost per m3: Testing cost divided by throughput
- Net per m3: Value minus cost per unit volume
- NPV per m3: 5-year NPV divided by total 5-year throughput
BENCHMARKS (from 2_Instructions):
- Operational value: $3-8/m3 (this model's output)
- Avoided treatment: $10-30/m3 (alternative treatment costs)
- ARO liability: $21-93/m3 (Zhang 2026 analysis)
The biosensor's value per m3 can be compared against these benchmarks
to understand its contribution relative to the total value stack.</t>
        </is>
      </c>
      <c r="B4" s="19" t="n"/>
      <c r="C4" s="19" t="n"/>
      <c r="D4" s="20" t="n"/>
    </row>
    <row r="6">
      <c r="A6" s="6" t="inlineStr">
        <is>
          <t>Unit Economics</t>
        </is>
      </c>
    </row>
    <row r="7" ht="31.2" customHeight="1">
      <c r="A7" s="7" t="inlineStr">
        <is>
          <t>Description:</t>
        </is>
      </c>
      <c r="B7" s="8" t="inlineStr">
        <is>
          <t>Per-cubic-meter economics for cross-site comparability and scaling estimates.</t>
        </is>
      </c>
    </row>
    <row r="8" ht="31.2" customHeight="1">
      <c r="A8" s="7" t="inlineStr">
        <is>
          <t>Purpose:</t>
        </is>
      </c>
      <c r="B8" s="8" t="inlineStr">
        <is>
          <t>Express all values on per-m3 basis for benchmarking and scaling</t>
        </is>
      </c>
    </row>
    <row r="9" ht="78" customHeight="1">
      <c r="A9" s="7" t="inlineStr">
        <is>
          <t>Assumptions:</t>
        </is>
      </c>
      <c r="B9" s="8" t="inlineStr">
        <is>
          <t>- Annual throughput from tbl_SiteConfig used as denominator
- NPV values divided by 5-year total throughput
- Benchmarks from industry data and Zhang (2026) analysis</t>
        </is>
      </c>
    </row>
    <row r="10" ht="31.2" customHeight="1">
      <c r="A10" s="7" t="inlineStr">
        <is>
          <t>Data Source:</t>
        </is>
      </c>
      <c r="B10" s="8" t="inlineStr">
        <is>
          <t>Calculated from model outputs and 3_Assumptions throughput</t>
        </is>
      </c>
    </row>
    <row r="11" ht="15.6" customHeight="1">
      <c r="A11" s="7" t="inlineStr">
        <is>
          <t>Related Tables:</t>
        </is>
      </c>
      <c r="B11" s="8" t="inlineStr">
        <is>
          <t>tbl_SiteConfig, tbl_Annual, tbl_KPIs</t>
        </is>
      </c>
    </row>
    <row r="12">
      <c r="A12" s="9" t="inlineStr">
        <is>
          <t>Metric</t>
        </is>
      </c>
      <c r="B12" s="9" t="inlineStr">
        <is>
          <t>Value</t>
        </is>
      </c>
      <c r="C12" s="9" t="inlineStr">
        <is>
          <t>Unit</t>
        </is>
      </c>
      <c r="D12" s="9" t="inlineStr">
        <is>
          <t>Formula</t>
        </is>
      </c>
    </row>
    <row r="13">
      <c r="A13" t="inlineStr">
        <is>
          <t>Annual Throughput</t>
        </is>
      </c>
      <c r="B13">
        <f>Annual_Throughput</f>
        <v/>
      </c>
      <c r="C13" t="inlineStr">
        <is>
          <t>m3/yr</t>
        </is>
      </c>
      <c r="D13" t="inlineStr">
        <is>
          <t>From 4_Assumptions</t>
        </is>
      </c>
    </row>
    <row r="14">
      <c r="A14" t="inlineStr">
        <is>
          <t>Gross Value per Season</t>
        </is>
      </c>
      <c r="B14" s="33">
        <f>Gross_Value</f>
        <v/>
      </c>
      <c r="C14" t="inlineStr">
        <is>
          <t>$</t>
        </is>
      </c>
      <c r="D14" t="inlineStr">
        <is>
          <t>Sum of S1-S4 (pre-compliance)</t>
        </is>
      </c>
    </row>
    <row r="15">
      <c r="A15" t="inlineStr">
        <is>
          <t>Compliance-Adjusted Value</t>
        </is>
      </c>
      <c r="B15" s="33">
        <f>Compliance_Adjusted_Value</f>
        <v/>
      </c>
      <c r="C15" t="inlineStr">
        <is>
          <t>$</t>
        </is>
      </c>
      <c r="D15" t="inlineStr">
        <is>
          <t>Gross × Master_Gate_Status</t>
        </is>
      </c>
    </row>
    <row r="16">
      <c r="A16" t="inlineStr">
        <is>
          <t>Testing Cost per Season</t>
        </is>
      </c>
      <c r="B16" s="33">
        <f>Testing_Cost</f>
        <v/>
      </c>
      <c r="C16" t="inlineStr">
        <is>
          <t>$</t>
        </is>
      </c>
      <c r="D16" t="inlineStr">
        <is>
          <t>Based on option selected</t>
        </is>
      </c>
    </row>
    <row r="17">
      <c r="A17" t="inlineStr">
        <is>
          <t>Net Value per Season</t>
        </is>
      </c>
      <c r="B17" s="33">
        <f>Compliance_Adjusted_Value-Testing_Cost</f>
        <v/>
      </c>
      <c r="C17" t="inlineStr">
        <is>
          <t>$</t>
        </is>
      </c>
      <c r="D17" t="inlineStr">
        <is>
          <t>Adjusted - Testing</t>
        </is>
      </c>
    </row>
    <row r="18">
      <c r="A18" t="inlineStr">
        <is>
          <t>Value per m3 (Gross)</t>
        </is>
      </c>
      <c r="B18" s="33">
        <f>Gross_Value/Annual_Throughput</f>
        <v/>
      </c>
      <c r="C18" t="inlineStr">
        <is>
          <t>$/m3</t>
        </is>
      </c>
      <c r="D18" t="inlineStr">
        <is>
          <t>Gross / Throughput</t>
        </is>
      </c>
    </row>
    <row r="19">
      <c r="A19" t="inlineStr">
        <is>
          <t>Value per m3 (Net)</t>
        </is>
      </c>
      <c r="B19" s="33">
        <f>(Compliance_Adjusted_Value-Testing_Cost)/Annual_Throughput</f>
        <v/>
      </c>
      <c r="C19" t="inlineStr">
        <is>
          <t>$/m3</t>
        </is>
      </c>
      <c r="D19" t="inlineStr">
        <is>
          <t>Net / Throughput</t>
        </is>
      </c>
    </row>
    <row r="20">
      <c r="A20" t="inlineStr">
        <is>
          <t>Cost per m3</t>
        </is>
      </c>
      <c r="B20" s="33">
        <f>Testing_Cost/Annual_Throughput</f>
        <v/>
      </c>
      <c r="C20" t="inlineStr">
        <is>
          <t>$/m3</t>
        </is>
      </c>
      <c r="D20" t="inlineStr">
        <is>
          <t>Testing / Throughput</t>
        </is>
      </c>
    </row>
    <row r="21">
      <c r="A21" t="inlineStr">
        <is>
          <t>5-Year NPV per m3</t>
        </is>
      </c>
      <c r="B21" s="33">
        <f>NPV_Total/(Annual_Throughput*5)</f>
        <v/>
      </c>
      <c r="C21" t="inlineStr">
        <is>
          <t>$/m3</t>
        </is>
      </c>
      <c r="D21" t="inlineStr">
        <is>
          <t>NPV / (5yr throughput)</t>
        </is>
      </c>
    </row>
    <row r="24">
      <c r="A24" s="4" t="inlineStr">
        <is>
          <t>Breakeven Analysis</t>
        </is>
      </c>
    </row>
    <row r="25">
      <c r="A25" t="inlineStr">
        <is>
          <t>Testing cost per test:</t>
        </is>
      </c>
      <c r="B25" s="16">
        <f>INDEX(TestOpt_Cost,MATCH(Testing_Option,TestOpt_Option,0))</f>
        <v/>
      </c>
    </row>
    <row r="26">
      <c r="A26" t="inlineStr">
        <is>
          <t>Tests per season:</t>
        </is>
      </c>
      <c r="B26">
        <f>Testing_Cost/INDEX(TestOpt_Cost,MATCH(Testing_Option,TestOpt_Option,0))</f>
        <v/>
      </c>
    </row>
    <row r="27">
      <c r="A27" t="inlineStr">
        <is>
          <t>Value per test (net):</t>
        </is>
      </c>
      <c r="B27" s="33">
        <f>(Compliance_Adjusted_Value-Testing_Cost)/(Testing_Cost/INDEX(TestOpt_Cost,MATCH(Testing_Option,TestOpt_Option,0)))</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4472C4"/>
    <outlinePr summaryBelow="1" summaryRight="1"/>
    <pageSetUpPr/>
  </sheetPr>
  <dimension ref="A1:G27"/>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5" customWidth="1" min="5" max="5"/>
    <col width="15" customWidth="1" min="6" max="6"/>
    <col width="15" customWidth="1" min="7" max="7"/>
  </cols>
  <sheetData>
    <row r="1">
      <c r="A1" s="5" t="inlineStr">
        <is>
          <t>Sensitivity Analysis</t>
        </is>
      </c>
    </row>
    <row r="3">
      <c r="A3" s="18" t="inlineStr">
        <is>
          <t>Tornado Sensitivity Analysis</t>
        </is>
      </c>
      <c r="B3" s="19" t="n"/>
      <c r="C3" s="19" t="n"/>
      <c r="D3" s="19" t="n"/>
      <c r="E3" s="19" t="n"/>
      <c r="F3" s="19" t="n"/>
      <c r="G3" s="20" t="n"/>
    </row>
    <row r="4" ht="374.4" customHeight="1">
      <c r="A4" s="21" t="inlineStr">
        <is>
          <t>This sheet shows how NPV changes when individual parameters vary.
METHODOLOGY:
- Each parameter is varied from Low to High while others stay at Base
- NPV is calculated at each extreme
- "Swing" = |NPV_at_High - NPV_at_Low| measures parameter influence
- Parameters are sorted by Swing (largest impact first)
INTERPRETATION:
- Parameters at top of tornado have most influence on outcomes
- Focus validation efforts on high-sensitivity parameters
- Parameters with low swing are less critical to model accuracy
KEY PARAMETERS TESTED:
- Value_Per_M3: Direct impact on operational value
- Annual_Throughput: Volume scaling factor
- Treatment_Rate_Factor: Kinetics uncertainty
- Discount_Rate: Time value of money
- Season_Length: Active treatment period
LIMITATIONS:
- One-at-a-time analysis ignores parameter correlations
- Monte Carlo simulation (10_Calc_Sim) captures joint uncertainty
- Use tornado for directional insight, MC for quantified risk</t>
        </is>
      </c>
      <c r="B4" s="19" t="n"/>
      <c r="C4" s="19" t="n"/>
      <c r="D4" s="19" t="n"/>
      <c r="E4" s="19" t="n"/>
      <c r="F4" s="19" t="n"/>
      <c r="G4" s="20" t="n"/>
    </row>
    <row r="6">
      <c r="A6" s="6" t="inlineStr">
        <is>
          <t>Sensitivity Analysis</t>
        </is>
      </c>
    </row>
    <row r="7" ht="31.2" customHeight="1">
      <c r="A7" s="7" t="inlineStr">
        <is>
          <t>Description:</t>
        </is>
      </c>
      <c r="B7" s="8" t="inlineStr">
        <is>
          <t>Tornado chart data showing NPV impact when each parameter varies from low to high.</t>
        </is>
      </c>
    </row>
    <row r="8" ht="15.6" customHeight="1">
      <c r="A8" s="7" t="inlineStr">
        <is>
          <t>Purpose:</t>
        </is>
      </c>
      <c r="B8" s="8" t="inlineStr">
        <is>
          <t>Identify which parameters most influence outcomes for validation focus</t>
        </is>
      </c>
    </row>
    <row r="9" ht="46.8" customHeight="1">
      <c r="A9" s="7" t="inlineStr">
        <is>
          <t>Assumptions:</t>
        </is>
      </c>
      <c r="B9" s="8" t="inlineStr">
        <is>
          <t>- One-at-a-time analysis: each parameter varied while others at base
- Swing = |NPV_at_High - NPV_at_Low| measures parameter influence
- Parameters sorted by swing (largest impact first)</t>
        </is>
      </c>
    </row>
    <row r="10" ht="15.6" customHeight="1">
      <c r="A10" s="7" t="inlineStr">
        <is>
          <t>Data Source:</t>
        </is>
      </c>
      <c r="B10" s="8" t="inlineStr">
        <is>
          <t>Calculated by evaluating NPV at parameter bounds</t>
        </is>
      </c>
    </row>
    <row r="11" ht="15.6" customHeight="1">
      <c r="A11" s="7" t="inlineStr">
        <is>
          <t>Related Tables:</t>
        </is>
      </c>
      <c r="B11" s="8" t="inlineStr">
        <is>
          <t>tbl_Triangular, tbl_SiteConfig, tbl_KPIs</t>
        </is>
      </c>
    </row>
    <row r="12">
      <c r="A12" s="9" t="inlineStr">
        <is>
          <t>Parameter</t>
        </is>
      </c>
      <c r="B12" s="9" t="inlineStr">
        <is>
          <t>Low</t>
        </is>
      </c>
      <c r="C12" s="9" t="inlineStr">
        <is>
          <t>Base</t>
        </is>
      </c>
      <c r="D12" s="9" t="inlineStr">
        <is>
          <t>High</t>
        </is>
      </c>
      <c r="E12" s="9" t="inlineStr">
        <is>
          <t>NPV_at_Low</t>
        </is>
      </c>
      <c r="F12" s="9" t="inlineStr">
        <is>
          <t>NPV_at_High</t>
        </is>
      </c>
      <c r="G12" s="9" t="inlineStr">
        <is>
          <t>Swing</t>
        </is>
      </c>
    </row>
    <row r="13">
      <c r="A13" t="inlineStr">
        <is>
          <t>Value_Per_M3</t>
        </is>
      </c>
      <c r="B13" t="n">
        <v>3</v>
      </c>
      <c r="C13" t="n">
        <v>5</v>
      </c>
      <c r="D13" t="n">
        <v>10</v>
      </c>
      <c r="E13" s="16">
        <f>NPV_Total*(B13/C13)</f>
        <v/>
      </c>
      <c r="F13" s="16">
        <f>NPV_Total*(D13/C13)</f>
        <v/>
      </c>
      <c r="G13" s="16">
        <f>ABS(F13-E13)</f>
        <v/>
      </c>
    </row>
    <row r="14">
      <c r="A14" t="inlineStr">
        <is>
          <t>Discount_Rate</t>
        </is>
      </c>
      <c r="B14" t="n">
        <v>0.04</v>
      </c>
      <c r="C14" t="n">
        <v>0.048</v>
      </c>
      <c r="D14" t="n">
        <v>0.06</v>
      </c>
      <c r="E14" s="16">
        <f>NPV_Total*((1+C14)/(1+B14))^2.5</f>
        <v/>
      </c>
      <c r="F14" s="16">
        <f>NPV_Total*((1+C14)/(1+D14))^2.5</f>
        <v/>
      </c>
      <c r="G14" s="16">
        <f>ABS(F14-E14)</f>
        <v/>
      </c>
    </row>
    <row r="15">
      <c r="A15" t="inlineStr">
        <is>
          <t>Season_Length</t>
        </is>
      </c>
      <c r="B15" t="n">
        <v>80</v>
      </c>
      <c r="C15" t="n">
        <v>100</v>
      </c>
      <c r="D15" t="n">
        <v>120</v>
      </c>
      <c r="E15" s="16">
        <f>NPV_Total*(B15/C15)</f>
        <v/>
      </c>
      <c r="F15" s="16">
        <f>NPV_Total*(D15/C15)</f>
        <v/>
      </c>
      <c r="G15" s="16">
        <f>ABS(F15-E15)</f>
        <v/>
      </c>
    </row>
    <row r="16">
      <c r="A16" t="inlineStr">
        <is>
          <t>Wetland_Area</t>
        </is>
      </c>
      <c r="B16" t="n">
        <v>0.5</v>
      </c>
      <c r="C16" t="n">
        <v>1</v>
      </c>
      <c r="D16" t="n">
        <v>2</v>
      </c>
      <c r="E16" s="16">
        <f>NPV_Total*(B16/C16)</f>
        <v/>
      </c>
      <c r="F16" s="16">
        <f>NPV_Total*(D16/C16)</f>
        <v/>
      </c>
      <c r="G16" s="16">
        <f>ABS(F16-E16)</f>
        <v/>
      </c>
    </row>
    <row r="19">
      <c r="A19" s="4" t="inlineStr">
        <is>
          <t>Methodology</t>
        </is>
      </c>
    </row>
    <row r="20">
      <c r="A20" t="inlineStr">
        <is>
          <t>Proportional parameters: NPV scales linearly with parameter ratio (Low/Base, High/Base)</t>
        </is>
      </c>
    </row>
    <row r="21">
      <c r="A21" t="inlineStr">
        <is>
          <t>Discount Rate: Uses time-value adjustment formula NPV * ((1+Base)/(1+Rate))^2.5</t>
        </is>
      </c>
    </row>
    <row r="22">
      <c r="A22" t="inlineStr">
        <is>
          <t>Note: These are first-order approximations. For precise sensitivity, use Monte Carlo.</t>
        </is>
      </c>
    </row>
    <row r="24">
      <c r="A24" s="4" t="inlineStr">
        <is>
          <t>Tornado Chart</t>
        </is>
      </c>
    </row>
    <row r="25">
      <c r="A25" t="inlineStr">
        <is>
          <t>1. Select Parameter and Swing columns (A4:A8, G4:G8)</t>
        </is>
      </c>
    </row>
    <row r="26">
      <c r="A26" t="inlineStr">
        <is>
          <t>2. Insert -&gt; Chart -&gt; Bar Chart (horizontal)</t>
        </is>
      </c>
    </row>
    <row r="27">
      <c r="A27" t="inlineStr">
        <is>
          <t>3. Sort data by Swing descending for tornado effect</t>
        </is>
      </c>
    </row>
  </sheetData>
  <mergeCells count="7">
    <mergeCell ref="B10:G10"/>
    <mergeCell ref="A3:G3"/>
    <mergeCell ref="B9:G9"/>
    <mergeCell ref="A4:G4"/>
    <mergeCell ref="B8:G8"/>
    <mergeCell ref="B7:G7"/>
    <mergeCell ref="B11:G11"/>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70AD47"/>
    <outlinePr summaryBelow="1" summaryRight="1"/>
    <pageSetUpPr/>
  </sheetPr>
  <dimension ref="A1:D68"/>
  <sheetViews>
    <sheetView workbookViewId="0">
      <selection activeCell="A1" sqref="A1"/>
    </sheetView>
  </sheetViews>
  <sheetFormatPr baseColWidth="8" defaultRowHeight="15"/>
  <cols>
    <col width="30" customWidth="1" min="1" max="1"/>
    <col width="18" customWidth="1" min="2" max="2"/>
    <col width="16" customWidth="1" min="3" max="3"/>
    <col width="18" customWidth="1" min="4" max="4"/>
  </cols>
  <sheetData>
    <row r="1">
      <c r="A1" s="5" t="inlineStr">
        <is>
          <t>Executive Dashboard</t>
        </is>
      </c>
    </row>
    <row r="3">
      <c r="A3" s="18" t="inlineStr">
        <is>
          <t>Key Results Summary</t>
        </is>
      </c>
      <c r="B3" s="19" t="n"/>
      <c r="C3" s="19" t="n"/>
      <c r="D3" s="20" t="n"/>
    </row>
    <row r="4" ht="280.8" customHeight="1">
      <c r="A4" s="21" t="inlineStr">
        <is>
          <t>This dashboard presents the key outputs from the Monte Carlo simulation.
PRIMARY METRICS:
- Expected NPV: Mean of 1000 simulation iterations
- P10/P50/P90: Confidence interval bounds
- Probability NPV &gt; 0: Likelihood of positive outcome
INTERPRETATION GUIDE:
- P10 = "Pessimistic but plausible" (10% of outcomes are worse)
- P50 = Median outcome (equally likely to be higher or lower)
- P90 = "Optimistic but plausible" (10% of outcomes are better)
A narrow P10-P90 range indicates low uncertainty.
P10 &gt; 0 means even pessimistic scenarios show positive value.
REFRESH DATA:
Press Ctrl+Alt+F9 to regenerate all 1000 Monte Carlo iterations.
Dashboard values update automatically.</t>
        </is>
      </c>
      <c r="B4" s="19" t="n"/>
      <c r="C4" s="19" t="n"/>
      <c r="D4" s="20" t="n"/>
    </row>
    <row r="6">
      <c r="A6" s="6" t="inlineStr">
        <is>
          <t>Key Performance Indicators</t>
        </is>
      </c>
    </row>
    <row r="7" ht="31.2" customHeight="1">
      <c r="A7" s="7" t="inlineStr">
        <is>
          <t>Description:</t>
        </is>
      </c>
      <c r="B7" s="8" t="inlineStr">
        <is>
          <t>Primary Monte Carlo simulation outputs and financial metrics for executive decision-making.</t>
        </is>
      </c>
    </row>
    <row r="8" ht="31.2" customHeight="1">
      <c r="A8" s="7" t="inlineStr">
        <is>
          <t>Purpose:</t>
        </is>
      </c>
      <c r="B8" s="8" t="inlineStr">
        <is>
          <t>Provide at-a-glance summary of biosensor investment value and risk profile</t>
        </is>
      </c>
    </row>
    <row r="9" ht="124.8" customHeight="1">
      <c r="A9" s="7" t="inlineStr">
        <is>
          <t>Assumptions:</t>
        </is>
      </c>
      <c r="B9" s="8" t="inlineStr">
        <is>
          <t>- NPV calculated over 5-year horizon with 7% discount rate
- P10/P50/P90 derived from 1000 Monte Carlo iterations
- All metrics assume Daily Biosensor as selected testing option
- Values refresh when Monte Carlo simulation is recalculated</t>
        </is>
      </c>
    </row>
    <row r="10" ht="31.2" customHeight="1">
      <c r="A10" s="7" t="inlineStr">
        <is>
          <t>Data Source:</t>
        </is>
      </c>
      <c r="B10" s="8" t="inlineStr">
        <is>
          <t>Calculated from 10_Calc_Sim Monte Carlo simulation results</t>
        </is>
      </c>
    </row>
    <row r="11" ht="15.6" customHeight="1">
      <c r="A11" s="7" t="inlineStr">
        <is>
          <t>Related Tables:</t>
        </is>
      </c>
      <c r="B11" s="8" t="inlineStr">
        <is>
          <t>tbl_ScenarioBreakdown, tbl_Annual, tbl_CashFlow</t>
        </is>
      </c>
    </row>
    <row r="12">
      <c r="A12" s="9" t="inlineStr">
        <is>
          <t>Metric</t>
        </is>
      </c>
      <c r="B12" s="9" t="inlineStr">
        <is>
          <t>Value</t>
        </is>
      </c>
    </row>
    <row r="13">
      <c r="A13" t="inlineStr">
        <is>
          <t>Selected Testing Option</t>
        </is>
      </c>
      <c r="B13">
        <f>Testing_Option</f>
        <v/>
      </c>
    </row>
    <row r="14">
      <c r="A14" t="inlineStr">
        <is>
          <t>Expected NPV (5-Year)</t>
        </is>
      </c>
      <c r="B14" s="16">
        <f>NPV_Total</f>
        <v/>
      </c>
    </row>
    <row r="15">
      <c r="A15" t="inlineStr">
        <is>
          <t>Monte Carlo P10</t>
        </is>
      </c>
      <c r="B15" s="16">
        <f>MC_P10</f>
        <v/>
      </c>
    </row>
    <row r="16">
      <c r="A16" t="inlineStr">
        <is>
          <t>Monte Carlo P50</t>
        </is>
      </c>
      <c r="B16" s="16">
        <f>MC_P50</f>
        <v/>
      </c>
    </row>
    <row r="17">
      <c r="A17" t="inlineStr">
        <is>
          <t>Monte Carlo P90</t>
        </is>
      </c>
      <c r="B17" s="16">
        <f>MC_P90</f>
        <v/>
      </c>
    </row>
    <row r="18">
      <c r="A18" t="inlineStr">
        <is>
          <t>Probability NPV &gt; 0</t>
        </is>
      </c>
      <c r="B18" s="30">
        <f>MC_Prob_Positive</f>
        <v/>
      </c>
    </row>
    <row r="19">
      <c r="A19" t="inlineStr">
        <is>
          <t>Compliance Gate Status</t>
        </is>
      </c>
      <c r="B19" s="16">
        <f>IF(Master_Gate_Status=1,"PASS","FAIL")</f>
        <v/>
      </c>
    </row>
    <row r="20">
      <c r="A20" t="inlineStr">
        <is>
          <t>Annual Testing Cost</t>
        </is>
      </c>
      <c r="B20" s="16">
        <f>Testing_Cost</f>
        <v/>
      </c>
    </row>
    <row r="21">
      <c r="A21" t="inlineStr">
        <is>
          <t>Year 1 Gross Value</t>
        </is>
      </c>
      <c r="B21" s="16">
        <f>Year1_Gross_Value</f>
        <v/>
      </c>
    </row>
    <row r="22">
      <c r="A22" t="inlineStr">
        <is>
          <t>Year 1 Net Value</t>
        </is>
      </c>
      <c r="B22" s="16">
        <f>Year1_Net_Value</f>
        <v/>
      </c>
    </row>
    <row r="24">
      <c r="A24" s="6" t="inlineStr">
        <is>
          <t>Scenario Value Breakdown</t>
        </is>
      </c>
    </row>
    <row r="25" ht="31.2" customHeight="1">
      <c r="A25" s="7" t="inlineStr">
        <is>
          <t>Description:</t>
        </is>
      </c>
      <c r="B25" s="8" t="inlineStr">
        <is>
          <t>Individual scenario contributions to total gated value with gate status.</t>
        </is>
      </c>
    </row>
    <row r="26" ht="31.2" customHeight="1">
      <c r="A26" s="7" t="inlineStr">
        <is>
          <t>Purpose:</t>
        </is>
      </c>
      <c r="B26" s="8" t="inlineStr">
        <is>
          <t>Show which value scenarios are captured by the selected testing option</t>
        </is>
      </c>
    </row>
    <row r="27" ht="124.8" customHeight="1">
      <c r="A27" s="7" t="inlineStr">
        <is>
          <t>Assumptions:</t>
        </is>
      </c>
      <c r="B27" s="8" t="inlineStr">
        <is>
          <t>- Gate status determined by testing latency vs required response time
- ENABLED means testing latency allows capturing this value
- BLOCKED means testing latency prevents capturing this value
- Values are stochastic and vary with each Monte Carlo iteration</t>
        </is>
      </c>
    </row>
    <row r="28" ht="31.2" customHeight="1">
      <c r="A28" s="7" t="inlineStr">
        <is>
          <t>Data Source:</t>
        </is>
      </c>
      <c r="B28" s="8" t="inlineStr">
        <is>
          <t>Calculated from 8_Calc_Value gating logic and stochastic multipliers</t>
        </is>
      </c>
    </row>
    <row r="29" ht="15.6" customHeight="1">
      <c r="A29" s="7" t="inlineStr">
        <is>
          <t>Related Tables:</t>
        </is>
      </c>
      <c r="B29" s="8" t="inlineStr">
        <is>
          <t>tbl_KPIs, tbl_ValueScenarios, tbl_GatedValues</t>
        </is>
      </c>
    </row>
    <row r="30">
      <c r="A30" s="9" t="inlineStr">
        <is>
          <t>Scenario</t>
        </is>
      </c>
      <c r="B30" s="9" t="inlineStr">
        <is>
          <t>Gated_Value</t>
        </is>
      </c>
      <c r="C30" s="9" t="inlineStr">
        <is>
          <t>Status</t>
        </is>
      </c>
    </row>
    <row r="31">
      <c r="A31" t="inlineStr">
        <is>
          <t>S1: Season Extension</t>
        </is>
      </c>
      <c r="B31" s="16">
        <f>S1_Value</f>
        <v/>
      </c>
      <c r="C31">
        <f>INDEX(Gate_S1,MATCH(Testing_Option,TestOpt_Option,0))</f>
        <v/>
      </c>
    </row>
    <row r="32">
      <c r="A32" t="inlineStr">
        <is>
          <t>S2: Intervention Avoidance</t>
        </is>
      </c>
      <c r="B32" s="16">
        <f>S2_Value</f>
        <v/>
      </c>
      <c r="C32">
        <f>INDEX(Gate_S2,MATCH(Testing_Option,TestOpt_Option,0))</f>
        <v/>
      </c>
    </row>
    <row r="33">
      <c r="A33" t="inlineStr">
        <is>
          <t>S3: Spatial Routing</t>
        </is>
      </c>
      <c r="B33" s="16">
        <f>S3_Value</f>
        <v/>
      </c>
      <c r="C33">
        <f>INDEX(Gate_S3,MATCH(Testing_Option,TestOpt_Option,0))</f>
        <v/>
      </c>
    </row>
    <row r="34">
      <c r="A34" t="inlineStr">
        <is>
          <t>S4: Early Detection</t>
        </is>
      </c>
      <c r="B34" s="16">
        <f>S4_Value</f>
        <v/>
      </c>
      <c r="C34">
        <f>INDEX(Gate_S4,MATCH(Testing_Option,TestOpt_Option,0))</f>
        <v/>
      </c>
    </row>
    <row r="36">
      <c r="A36" s="6" t="inlineStr">
        <is>
          <t>Treatment Kinetics (Kearl 2022)</t>
        </is>
      </c>
    </row>
    <row r="37" ht="31.2" customHeight="1">
      <c r="A37" s="7" t="inlineStr">
        <is>
          <t>Description:</t>
        </is>
      </c>
      <c r="B37" s="8" t="inlineStr">
        <is>
          <t>NAFC degradation parameters and Monte Carlo treatment time estimates.</t>
        </is>
      </c>
    </row>
    <row r="38" ht="31.2" customHeight="1">
      <c r="A38" s="7" t="inlineStr">
        <is>
          <t>Purpose:</t>
        </is>
      </c>
      <c r="B38" s="8" t="inlineStr">
        <is>
          <t>Validate that biosensor-enabled treatment achieves regulatory compliance within season</t>
        </is>
      </c>
    </row>
    <row r="39" ht="124.8" customHeight="1">
      <c r="A39" s="7" t="inlineStr">
        <is>
          <t>Assumptions:</t>
        </is>
      </c>
      <c r="B39" s="8" t="inlineStr">
        <is>
          <t>- Based on Kearl (2022) first-order kinetics model for NAFC degradation
- Initial/target NAFC concentrations from site characterization data
- Treatment rate factor varies stochastically (0.7-1.3 multiplier)
- Season length constraint of 120 days for Alberta operations</t>
        </is>
      </c>
    </row>
    <row r="40" ht="15.6" customHeight="1">
      <c r="A40" s="7" t="inlineStr">
        <is>
          <t>Data Source:</t>
        </is>
      </c>
      <c r="B40" s="8" t="inlineStr">
        <is>
          <t>Kearl (2022) wetland treatment kinetics research</t>
        </is>
      </c>
    </row>
    <row r="41" ht="15.6" customHeight="1">
      <c r="A41" s="7" t="inlineStr">
        <is>
          <t>Related Tables:</t>
        </is>
      </c>
      <c r="B41" s="8" t="inlineStr">
        <is>
          <t>tbl_KPIs, tbl_Triangular, tbl_TreatmentKinetics</t>
        </is>
      </c>
    </row>
    <row r="42">
      <c r="A42" s="9" t="inlineStr">
        <is>
          <t>Metric</t>
        </is>
      </c>
      <c r="B42" s="9" t="inlineStr">
        <is>
          <t>Value</t>
        </is>
      </c>
      <c r="C42" s="9" t="inlineStr">
        <is>
          <t>Status</t>
        </is>
      </c>
    </row>
    <row r="43">
      <c r="A43" t="inlineStr">
        <is>
          <t>Initial NAFC Concentration</t>
        </is>
      </c>
      <c r="B43" s="34">
        <f>Initial_NAFC</f>
        <v/>
      </c>
      <c r="C43">
        <f>IF(Initial_NAFC&gt;Target_NAFC,"Above Target","At/Below Target")</f>
        <v/>
      </c>
    </row>
    <row r="44">
      <c r="A44" t="inlineStr">
        <is>
          <t>Target NAFC Concentration</t>
        </is>
      </c>
      <c r="B44" s="34">
        <f>Target_NAFC</f>
        <v/>
      </c>
      <c r="C44" t="inlineStr">
        <is>
          <t>"-"</t>
        </is>
      </c>
    </row>
    <row r="45">
      <c r="A45" t="inlineStr">
        <is>
          <t>Days to Regulatory Compliance</t>
        </is>
      </c>
      <c r="B45" s="35">
        <f>Days_to_Compliance</f>
        <v/>
      </c>
      <c r="C45">
        <f>Compliance_Status</f>
        <v/>
      </c>
    </row>
    <row r="46">
      <c r="A46" t="inlineStr">
        <is>
          <t>Circulation Cycles Required</t>
        </is>
      </c>
      <c r="B46" s="29">
        <f>Circulation_Cycles</f>
        <v/>
      </c>
      <c r="C46">
        <f>IF(Circulation_Cycles&lt;=3,"Standard","Extended")</f>
        <v/>
      </c>
    </row>
    <row r="47">
      <c r="A47" t="inlineStr">
        <is>
          <t>Treatment Efficiency</t>
        </is>
      </c>
      <c r="B47" s="30">
        <f>Treatment_Efficiency</f>
        <v/>
      </c>
      <c r="C47">
        <f>IF(Treatment_Efficiency&gt;0.2,"Good","Low")</f>
        <v/>
      </c>
    </row>
    <row r="48">
      <c r="A48" t="inlineStr">
        <is>
          <t>MC Expected Days</t>
        </is>
      </c>
      <c r="B48" s="35">
        <f>MC_Expected_Days</f>
        <v/>
      </c>
      <c r="C48">
        <f>IF(MC_Expected_Days&lt;=Season_Length,"Achievable","Risk")</f>
        <v/>
      </c>
    </row>
    <row r="49">
      <c r="A49" t="inlineStr">
        <is>
          <t>MC P90 Days (conservative)</t>
        </is>
      </c>
      <c r="B49" s="35">
        <f>MC_P90_Days</f>
        <v/>
      </c>
      <c r="C49">
        <f>IF(MC_P90_Days&lt;=Season_Length,"Low Risk","High Risk")</f>
        <v/>
      </c>
    </row>
    <row r="50">
      <c r="A50" t="inlineStr">
        <is>
          <t>MC Prob(Achievable)</t>
        </is>
      </c>
      <c r="B50" s="30">
        <f>MC_Prob_Achievable</f>
        <v/>
      </c>
      <c r="C50">
        <f>IF(MC_Prob_Achievable&gt;=0.9,"High Confidence","Review Required")</f>
        <v/>
      </c>
    </row>
    <row r="52">
      <c r="A52" s="6" t="inlineStr">
        <is>
          <t>Testing Option Comparison</t>
        </is>
      </c>
    </row>
    <row r="53" ht="31.2" customHeight="1">
      <c r="A53" s="7" t="inlineStr">
        <is>
          <t>Description:</t>
        </is>
      </c>
      <c r="B53" s="8" t="inlineStr">
        <is>
          <t>Side-by-side comparison of gate status and value across all testing options.</t>
        </is>
      </c>
    </row>
    <row r="54" ht="31.2" customHeight="1">
      <c r="A54" s="7" t="inlineStr">
        <is>
          <t>Purpose:</t>
        </is>
      </c>
      <c r="B54" s="8" t="inlineStr">
        <is>
          <t>Demonstrate the value differential between HRMS and biosensor testing approaches</t>
        </is>
      </c>
    </row>
    <row r="55" ht="78" customHeight="1">
      <c r="A55" s="7" t="inlineStr">
        <is>
          <t>Assumptions:</t>
        </is>
      </c>
      <c r="B55" s="8" t="inlineStr">
        <is>
          <t>- Monthly HRMS: 42-day turnaround, $60K/season
- Weekly HRMS: 42-day turnaround, $28.6K/season
- Daily Biosensor: 1-day turnaround, $10K/season
- Gate status determined by latency vs required response time</t>
        </is>
      </c>
    </row>
    <row r="56" ht="31.2" customHeight="1">
      <c r="A56" s="7" t="inlineStr">
        <is>
          <t>Data Source:</t>
        </is>
      </c>
      <c r="B56" s="8" t="inlineStr">
        <is>
          <t>Testing cost quotes and operational latency measurements</t>
        </is>
      </c>
    </row>
    <row r="57" ht="15.6" customHeight="1">
      <c r="A57" s="7" t="inlineStr">
        <is>
          <t>Related Tables:</t>
        </is>
      </c>
      <c r="B57" s="8" t="inlineStr">
        <is>
          <t>tbl_KPIs, tbl_TestOptions, tbl_LatencyGating</t>
        </is>
      </c>
    </row>
    <row r="58">
      <c r="A58" s="9" t="inlineStr">
        <is>
          <t>Metric</t>
        </is>
      </c>
      <c r="B58" s="9" t="inlineStr">
        <is>
          <t>Monthly_HRMS</t>
        </is>
      </c>
      <c r="C58" s="9" t="inlineStr">
        <is>
          <t>Weekly_HRMS</t>
        </is>
      </c>
      <c r="D58" s="9" t="inlineStr">
        <is>
          <t>Daily_Biosensor</t>
        </is>
      </c>
    </row>
    <row r="59">
      <c r="A59" t="inlineStr">
        <is>
          <t>S1 Gate</t>
        </is>
      </c>
      <c r="B59" t="inlineStr">
        <is>
          <t>BLOCKED</t>
        </is>
      </c>
      <c r="C59" t="inlineStr">
        <is>
          <t>BLOCKED</t>
        </is>
      </c>
      <c r="D59" t="inlineStr">
        <is>
          <t>ENABLED</t>
        </is>
      </c>
    </row>
    <row r="60">
      <c r="A60" t="inlineStr">
        <is>
          <t>S2 Gate</t>
        </is>
      </c>
      <c r="B60" t="inlineStr">
        <is>
          <t>BLOCKED</t>
        </is>
      </c>
      <c r="C60" t="inlineStr">
        <is>
          <t>BLOCKED</t>
        </is>
      </c>
      <c r="D60" t="inlineStr">
        <is>
          <t>ENABLED</t>
        </is>
      </c>
    </row>
    <row r="61">
      <c r="A61" t="inlineStr">
        <is>
          <t>S3 Gate</t>
        </is>
      </c>
      <c r="B61" t="inlineStr">
        <is>
          <t>BLOCKED</t>
        </is>
      </c>
      <c r="C61" t="inlineStr">
        <is>
          <t>ENABLED</t>
        </is>
      </c>
      <c r="D61" t="inlineStr">
        <is>
          <t>ENABLED</t>
        </is>
      </c>
    </row>
    <row r="62">
      <c r="A62" t="inlineStr">
        <is>
          <t>S4 Gate</t>
        </is>
      </c>
      <c r="B62" t="inlineStr">
        <is>
          <t>BLOCKED</t>
        </is>
      </c>
      <c r="C62" t="inlineStr">
        <is>
          <t>BLOCKED</t>
        </is>
      </c>
      <c r="D62" t="inlineStr">
        <is>
          <t>ENABLED</t>
        </is>
      </c>
    </row>
    <row r="63">
      <c r="A63" t="inlineStr">
        <is>
          <t>Testing Cost/Season</t>
        </is>
      </c>
      <c r="B63" t="inlineStr">
        <is>
          <t>$60,000</t>
        </is>
      </c>
      <c r="C63" t="inlineStr">
        <is>
          <t>$28,571</t>
        </is>
      </c>
      <c r="D63" t="inlineStr">
        <is>
          <t>$10,000</t>
        </is>
      </c>
    </row>
    <row r="64">
      <c r="A64" t="inlineStr">
        <is>
          <t>Potential 5-Year NPV</t>
        </is>
      </c>
      <c r="B64" t="inlineStr">
        <is>
          <t>-$29k</t>
        </is>
      </c>
      <c r="C64" t="inlineStr">
        <is>
          <t>$180k</t>
        </is>
      </c>
      <c r="D64" t="inlineStr">
        <is>
          <t>$1.1M+</t>
        </is>
      </c>
    </row>
    <row r="66">
      <c r="A66" s="4" t="inlineStr">
        <is>
          <t>Model Health</t>
        </is>
      </c>
    </row>
    <row r="67">
      <c r="A67" t="inlineStr">
        <is>
          <t>Check Status:</t>
        </is>
      </c>
      <c r="B67">
        <f>IF(COUNTIF('21_Checks'!D:D,"FAIL")=0,"HEALTHY","REVIEW REQUIRED")</f>
        <v/>
      </c>
    </row>
    <row r="68">
      <c r="A68" t="inlineStr">
        <is>
          <t>Errors Found:</t>
        </is>
      </c>
      <c r="B68">
        <f>COUNTIF('21_Checks'!D:D,"FAIL")</f>
        <v/>
      </c>
    </row>
  </sheetData>
  <mergeCells count="22">
    <mergeCell ref="B11:D11"/>
    <mergeCell ref="A4:D4"/>
    <mergeCell ref="B8:D8"/>
    <mergeCell ref="B57:D57"/>
    <mergeCell ref="B53:D53"/>
    <mergeCell ref="B29:D29"/>
    <mergeCell ref="B38:D38"/>
    <mergeCell ref="B10:D10"/>
    <mergeCell ref="B28:D28"/>
    <mergeCell ref="B37:D37"/>
    <mergeCell ref="B40:D40"/>
    <mergeCell ref="B9:D9"/>
    <mergeCell ref="B55:D55"/>
    <mergeCell ref="B41:D41"/>
    <mergeCell ref="B26:D26"/>
    <mergeCell ref="B7:D7"/>
    <mergeCell ref="B25:D25"/>
    <mergeCell ref="B54:D54"/>
    <mergeCell ref="A3:D3"/>
    <mergeCell ref="B27:D27"/>
    <mergeCell ref="B56:D56"/>
    <mergeCell ref="B39:D39"/>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tabColor rgb="00FF0000"/>
    <outlinePr summaryBelow="1" summaryRight="1"/>
    <pageSetUpPr/>
  </sheetPr>
  <dimension ref="A1:D35"/>
  <sheetViews>
    <sheetView workbookViewId="0">
      <selection activeCell="A1" sqref="A1"/>
    </sheetView>
  </sheetViews>
  <sheetFormatPr baseColWidth="8" defaultRowHeight="15"/>
  <cols>
    <col width="12" customWidth="1" min="1" max="1"/>
    <col width="12" customWidth="1" min="2" max="2"/>
    <col width="40" customWidth="1" min="3" max="3"/>
    <col width="12" customWidth="1" min="4" max="4"/>
  </cols>
  <sheetData>
    <row r="1">
      <c r="A1" s="5" t="inlineStr">
        <is>
          <t>Model Validation Checks</t>
        </is>
      </c>
    </row>
    <row r="3">
      <c r="A3" s="18" t="inlineStr">
        <is>
          <t>Model Integrity Checks</t>
        </is>
      </c>
      <c r="B3" s="19" t="n"/>
      <c r="C3" s="19" t="n"/>
      <c r="D3" s="20" t="n"/>
    </row>
    <row r="4" ht="343.2" customHeight="1">
      <c r="A4" s="21" t="inlineStr">
        <is>
          <t>This sheet validates model inputs and calculations.
CHECK CATEGORIES:
- Range: Input values within acceptable bounds
- Consistency: Related inputs are logically consistent
- Sanity: Output values are reasonable
- Integrity: Calculations produce expected results
INTERPRETING RESULTS:
- PASS: Check passed, no action needed
- FAIL: Issue detected, review the referenced input/output
WHAT TO DO IF CHECKS FAIL:
1. Note which check(s) failed
2. Review the description to understand the issue
3. Navigate to the relevant input (usually 1_TOC or 3_Assumptions)
4. Adjust values to bring them within valid ranges
5. Return here to confirm PASS status
AUTOMATED MONITORING:
The 0_Cover sheet shows overall model health status.
Any FAIL here will trigger the "Review 17_Checks" warning.</t>
        </is>
      </c>
      <c r="B4" s="19" t="n"/>
      <c r="C4" s="19" t="n"/>
      <c r="D4" s="20" t="n"/>
    </row>
    <row r="6">
      <c r="A6" s="6" t="inlineStr">
        <is>
          <t>Model Validation Checks</t>
        </is>
      </c>
    </row>
    <row r="7" ht="31.2" customHeight="1">
      <c r="A7" s="7" t="inlineStr">
        <is>
          <t>Description:</t>
        </is>
      </c>
      <c r="B7" s="8" t="inlineStr">
        <is>
          <t>Automated validation rules that verify model inputs and outputs are within acceptable ranges.</t>
        </is>
      </c>
    </row>
    <row r="8" ht="31.2" customHeight="1">
      <c r="A8" s="7" t="inlineStr">
        <is>
          <t>Purpose:</t>
        </is>
      </c>
      <c r="B8" s="8" t="inlineStr">
        <is>
          <t>Ensure model integrity by detecting invalid inputs, inconsistent parameters, and unreasonable outputs</t>
        </is>
      </c>
    </row>
    <row r="9" ht="78" customHeight="1">
      <c r="A9" s="7" t="inlineStr">
        <is>
          <t>Assumptions:</t>
        </is>
      </c>
      <c r="B9" s="8" t="inlineStr">
        <is>
          <t>- Range checks based on reasonable operational bounds
- Sanity checks based on expected order-of-magnitude for outputs
- Consistency checks ensure related parameters are logically coherent
- PASS/FAIL status updates automatically when inputs change</t>
        </is>
      </c>
    </row>
    <row r="10" ht="31.2" customHeight="1">
      <c r="A10" s="7" t="inlineStr">
        <is>
          <t>Data Source:</t>
        </is>
      </c>
      <c r="B10" s="8" t="inlineStr">
        <is>
          <t>Validation rules based on domain expertise and operational constraints</t>
        </is>
      </c>
    </row>
    <row r="11" ht="15.6" customHeight="1">
      <c r="A11" s="7" t="inlineStr">
        <is>
          <t>Related Tables:</t>
        </is>
      </c>
      <c r="B11" s="8" t="inlineStr">
        <is>
          <t>tbl_Control, tbl_KPIs, tbl_ValueScenarios</t>
        </is>
      </c>
    </row>
    <row r="12">
      <c r="A12" s="9" t="inlineStr">
        <is>
          <t>Check_ID</t>
        </is>
      </c>
      <c r="B12" s="9" t="inlineStr">
        <is>
          <t>Category</t>
        </is>
      </c>
      <c r="C12" s="9" t="inlineStr">
        <is>
          <t>Description</t>
        </is>
      </c>
      <c r="D12" s="9" t="inlineStr">
        <is>
          <t>Status</t>
        </is>
      </c>
    </row>
    <row r="13">
      <c r="A13" t="inlineStr">
        <is>
          <t>CHK001</t>
        </is>
      </c>
      <c r="B13" t="inlineStr">
        <is>
          <t>Range</t>
        </is>
      </c>
      <c r="C13" t="inlineStr">
        <is>
          <t>Discount rate between 0-15%</t>
        </is>
      </c>
      <c r="D13">
        <f>IF(AND(Discount_Rate&gt;=0,Discount_Rate&lt;=0.15),"PASS","FAIL")</f>
        <v/>
      </c>
    </row>
    <row r="14">
      <c r="A14" t="inlineStr">
        <is>
          <t>CHK002</t>
        </is>
      </c>
      <c r="B14" t="inlineStr">
        <is>
          <t>Range</t>
        </is>
      </c>
      <c r="C14" t="inlineStr">
        <is>
          <t>Season length between 60-150 days</t>
        </is>
      </c>
      <c r="D14">
        <f>IF(AND(Season_Length&gt;=60,Season_Length&lt;=150),"PASS","FAIL")</f>
        <v/>
      </c>
    </row>
    <row r="15">
      <c r="A15" t="inlineStr">
        <is>
          <t>CHK003</t>
        </is>
      </c>
      <c r="B15" t="inlineStr">
        <is>
          <t>Range</t>
        </is>
      </c>
      <c r="C15" t="inlineStr">
        <is>
          <t>Projection years between 1-10</t>
        </is>
      </c>
      <c r="D15">
        <f>IF(AND(Projection_Years&gt;=1,Projection_Years&lt;=10),"PASS","FAIL")</f>
        <v/>
      </c>
    </row>
    <row r="16">
      <c r="A16" t="inlineStr">
        <is>
          <t>CHK004</t>
        </is>
      </c>
      <c r="B16" t="inlineStr">
        <is>
          <t>Range</t>
        </is>
      </c>
      <c r="C16" t="inlineStr">
        <is>
          <t>Value per M3 positive</t>
        </is>
      </c>
      <c r="D16">
        <f>IF(Value_Per_M3&gt;0,"PASS","FAIL")</f>
        <v/>
      </c>
    </row>
    <row r="17">
      <c r="A17" t="inlineStr">
        <is>
          <t>CHK005</t>
        </is>
      </c>
      <c r="B17" t="inlineStr">
        <is>
          <t>Logic</t>
        </is>
      </c>
      <c r="C17" t="inlineStr">
        <is>
          <t>Testing option valid</t>
        </is>
      </c>
      <c r="D17">
        <f>IF(COUNTIF(List_TestingOptions,Testing_Option)=1,"PASS","FAIL")</f>
        <v/>
      </c>
    </row>
    <row r="18">
      <c r="A18" t="inlineStr">
        <is>
          <t>CHK006</t>
        </is>
      </c>
      <c r="B18" t="inlineStr">
        <is>
          <t>Logic</t>
        </is>
      </c>
      <c r="C18" t="inlineStr">
        <is>
          <t>Scenario selection valid</t>
        </is>
      </c>
      <c r="D18">
        <f>IF(COUNTIF(List_Scenarios,Scenario_Select)=1,"PASS","FAIL")</f>
        <v/>
      </c>
    </row>
    <row r="19">
      <c r="A19" t="inlineStr">
        <is>
          <t>CHK007</t>
        </is>
      </c>
      <c r="B19" t="inlineStr">
        <is>
          <t>Sanity</t>
        </is>
      </c>
      <c r="C19" t="inlineStr">
        <is>
          <t>NPV within reasonable bounds</t>
        </is>
      </c>
      <c r="D19">
        <f>IF(AND(NPV_Total&gt;-1000000,NPV_Total&lt;10000000),"PASS","FAIL")</f>
        <v/>
      </c>
    </row>
    <row r="20">
      <c r="A20" t="inlineStr">
        <is>
          <t>CHK008</t>
        </is>
      </c>
      <c r="B20" t="inlineStr">
        <is>
          <t>Sanity</t>
        </is>
      </c>
      <c r="C20" t="inlineStr">
        <is>
          <t>Testing cost positive</t>
        </is>
      </c>
      <c r="D20">
        <f>IF(Testing_Cost&gt;0,"PASS","FAIL")</f>
        <v/>
      </c>
    </row>
    <row r="21">
      <c r="A21" t="inlineStr">
        <is>
          <t>CHK009</t>
        </is>
      </c>
      <c r="B21" t="inlineStr">
        <is>
          <t>Sanity</t>
        </is>
      </c>
      <c r="C21" t="inlineStr">
        <is>
          <t>Gross value non-negative</t>
        </is>
      </c>
      <c r="D21">
        <f>IF(Gross_Value&gt;=0,"PASS","FAIL")</f>
        <v/>
      </c>
    </row>
    <row r="22">
      <c r="A22" t="inlineStr">
        <is>
          <t>CHK010</t>
        </is>
      </c>
      <c r="B22" t="inlineStr">
        <is>
          <t>Integrity</t>
        </is>
      </c>
      <c r="C22" t="inlineStr">
        <is>
          <t>All named ranges defined</t>
        </is>
      </c>
      <c r="D22">
        <f>IF(ISERROR(Testing_Option),"FAIL","PASS")</f>
        <v/>
      </c>
    </row>
    <row r="23">
      <c r="A23" t="inlineStr">
        <is>
          <t>CHK011</t>
        </is>
      </c>
      <c r="B23" t="inlineStr">
        <is>
          <t>Range</t>
        </is>
      </c>
      <c r="C23" t="inlineStr">
        <is>
          <t>Initial NAFC in range (40-100 mg/L)</t>
        </is>
      </c>
      <c r="D23">
        <f>IF(AND(Initial_NAFC&gt;=40,Initial_NAFC&lt;=100),"PASS","FAIL")</f>
        <v/>
      </c>
    </row>
    <row r="24">
      <c r="A24" t="inlineStr">
        <is>
          <t>CHK012</t>
        </is>
      </c>
      <c r="B24" t="inlineStr">
        <is>
          <t>Logic</t>
        </is>
      </c>
      <c r="C24" t="inlineStr">
        <is>
          <t>Target NAFC &lt; Initial NAFC</t>
        </is>
      </c>
      <c r="D24">
        <f>IF(Target_NAFC&lt;Initial_NAFC,"PASS","FAIL")</f>
        <v/>
      </c>
    </row>
    <row r="25">
      <c r="A25" t="inlineStr">
        <is>
          <t>CHK013</t>
        </is>
      </c>
      <c r="B25" t="inlineStr">
        <is>
          <t>Sanity</t>
        </is>
      </c>
      <c r="C25" t="inlineStr">
        <is>
          <t>Days to compliance &lt;= season length</t>
        </is>
      </c>
      <c r="D25">
        <f>IF(Days_to_Compliance&lt;=Season_Length,"PASS","FAIL")</f>
        <v/>
      </c>
    </row>
    <row r="26">
      <c r="A26" t="inlineStr">
        <is>
          <t>CHK014</t>
        </is>
      </c>
      <c r="B26" t="inlineStr">
        <is>
          <t>Range</t>
        </is>
      </c>
      <c r="C26" t="inlineStr">
        <is>
          <t>Treatment rates positive</t>
        </is>
      </c>
      <c r="D26">
        <f>IF(AND(Eff_Rapid_Rate&gt;0,Eff_Slow_Rate&gt;0),"PASS","FAIL")</f>
        <v/>
      </c>
    </row>
    <row r="27">
      <c r="A27" t="inlineStr">
        <is>
          <t>CHK015</t>
        </is>
      </c>
      <c r="B27" t="inlineStr">
        <is>
          <t>Compliance</t>
        </is>
      </c>
      <c r="C27" t="inlineStr">
        <is>
          <t>Master compliance gate status</t>
        </is>
      </c>
      <c r="D27">
        <f>IF(Master_Gate_Status=1,"PASS","FAIL")</f>
        <v/>
      </c>
    </row>
    <row r="28">
      <c r="A28" t="inlineStr">
        <is>
          <t>CHK016</t>
        </is>
      </c>
      <c r="B28" t="inlineStr">
        <is>
          <t>Sanity</t>
        </is>
      </c>
      <c r="C28" t="inlineStr">
        <is>
          <t>Compliance adjusted value non-negative</t>
        </is>
      </c>
      <c r="D28">
        <f>IF(Compliance_Adjusted_Value&gt;=0,"PASS","FAIL")</f>
        <v/>
      </c>
    </row>
    <row r="31">
      <c r="A31" s="4" t="inlineStr">
        <is>
          <t>Summary</t>
        </is>
      </c>
    </row>
    <row r="32">
      <c r="A32" t="inlineStr">
        <is>
          <t>Total Checks:</t>
        </is>
      </c>
      <c r="B32">
        <f>COUNTA(tbl_Checks[Check_ID])</f>
        <v/>
      </c>
    </row>
    <row r="33">
      <c r="A33" t="inlineStr">
        <is>
          <t>Passed:</t>
        </is>
      </c>
      <c r="B33">
        <f>COUNTIF(tbl_Checks[Status],"PASS")</f>
        <v/>
      </c>
    </row>
    <row r="34">
      <c r="A34" t="inlineStr">
        <is>
          <t>Failed:</t>
        </is>
      </c>
      <c r="B34">
        <f>COUNTIF(tbl_Checks[Status],"FAIL")</f>
        <v/>
      </c>
    </row>
    <row r="35">
      <c r="A35" t="inlineStr">
        <is>
          <t>Model Health:</t>
        </is>
      </c>
      <c r="B35">
        <f>IF(COUNTIF(tbl_Checks[Status],"FAIL")=0,"HEALTHY","REVIEW REQUIRED")</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2026-02-01T01:05:45Z</dcterms:created>
  <dcterms:modified xsi:type="dcterms:W3CDTF">2026-02-01T01:05:45Z</dcterms:modified>
</cp:coreProperties>
</file>