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sheets/sheet5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worksheets/sheet6.xml" ContentType="application/vnd.openxmlformats-officedocument.spreadsheetml.worksheet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worksheets/sheet7.xml" ContentType="application/vnd.openxmlformats-officedocument.spreadsheetml.worksheet+xml"/>
  <Override PartName="/xl/tables/table16.xml" ContentType="application/vnd.openxmlformats-officedocument.spreadsheetml.table+xml"/>
  <Override PartName="/xl/worksheets/sheet8.xml" ContentType="application/vnd.openxmlformats-officedocument.spreadsheetml.worksheet+xml"/>
  <Override PartName="/xl/tables/table17.xml" ContentType="application/vnd.openxmlformats-officedocument.spreadsheetml.table+xml"/>
  <Override PartName="/xl/worksheets/sheet9.xml" ContentType="application/vnd.openxmlformats-officedocument.spreadsheetml.worksheet+xml"/>
  <Override PartName="/xl/tables/table18.xml" ContentType="application/vnd.openxmlformats-officedocument.spreadsheetml.table+xml"/>
  <Override PartName="/xl/worksheets/sheet10.xml" ContentType="application/vnd.openxmlformats-officedocument.spreadsheetml.worksheet+xml"/>
  <Override PartName="/xl/tables/table19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20.xml" ContentType="application/vnd.openxmlformats-officedocument.spreadsheetml.table+xml"/>
  <Override PartName="/xl/worksheets/sheet14.xml" ContentType="application/vnd.openxmlformats-officedocument.spreadsheetml.worksheet+xml"/>
  <Override PartName="/xl/tables/table21.xml" ContentType="application/vnd.openxmlformats-officedocument.spreadsheetml.table+xml"/>
  <Override PartName="/xl/worksheets/sheet15.xml" ContentType="application/vnd.openxmlformats-officedocument.spreadsheetml.worksheet+xml"/>
  <Override PartName="/xl/tables/table22.xml" ContentType="application/vnd.openxmlformats-officedocument.spreadsheetml.table+xml"/>
  <Override PartName="/xl/worksheets/sheet16.xml" ContentType="application/vnd.openxmlformats-officedocument.spreadsheetml.worksheet+xml"/>
  <Override PartName="/xl/tables/table23.xml" ContentType="application/vnd.openxmlformats-officedocument.spreadsheetml.table+xml"/>
  <Override PartName="/xl/worksheets/sheet17.xml" ContentType="application/vnd.openxmlformats-officedocument.spreadsheetml.worksheet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worksheets/sheet18.xml" ContentType="application/vnd.openxmlformats-officedocument.spreadsheetml.worksheet+xml"/>
  <Override PartName="/xl/tables/table2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_Cover" sheetId="1" state="visible" r:id="rId1"/>
    <sheet name="1_TOC" sheetId="2" state="visible" r:id="rId2"/>
    <sheet name="2_Instructions" sheetId="3" state="visible" r:id="rId3"/>
    <sheet name="3_Assumptions" sheetId="4" state="visible" r:id="rId4"/>
    <sheet name="4_Scenarios" sheetId="5" state="visible" r:id="rId5"/>
    <sheet name="5_ServiceModels" sheetId="6" state="visible" r:id="rId6"/>
    <sheet name="6_Calc_Timeline" sheetId="7" state="visible" r:id="rId7"/>
    <sheet name="7_Calc_Stochastic" sheetId="8" state="visible" r:id="rId8"/>
    <sheet name="8_Calc_Value" sheetId="9" state="visible" r:id="rId9"/>
    <sheet name="9_Calc_Costs" sheetId="10" state="visible" r:id="rId10"/>
    <sheet name="10_Calc_Sim" sheetId="11" state="visible" r:id="rId11"/>
    <sheet name="11_PL_Monthly" sheetId="12" state="visible" r:id="rId12"/>
    <sheet name="12_PL_Annual" sheetId="13" state="visible" r:id="rId13"/>
    <sheet name="13_CashFlow" sheetId="14" state="visible" r:id="rId14"/>
    <sheet name="14_UnitEconomics" sheetId="15" state="visible" r:id="rId15"/>
    <sheet name="15_Sensitivity" sheetId="16" state="visible" r:id="rId16"/>
    <sheet name="16_Dashboard" sheetId="17" state="visible" r:id="rId17"/>
    <sheet name="17_Checks" sheetId="18" state="visible" r:id="rId18"/>
  </sheets>
  <definedNames>
    <definedName name="Testing_Option">'1_TOC'!$B$10</definedName>
    <definedName name="Scenario_Select">'1_TOC'!$B$11</definedName>
    <definedName name="Discount_Rate">'1_TOC'!$B$12</definedName>
    <definedName name="Projection_Years">'1_TOC'!$B$13</definedName>
    <definedName name="Base_Year">'1_TOC'!$B$14</definedName>
    <definedName name="Season_Start_Month">'3_Assumptions'!$B$10</definedName>
    <definedName name="Season_Start_Day">'3_Assumptions'!$B$11</definedName>
    <definedName name="Season_End_Month">'3_Assumptions'!$B$12</definedName>
    <definedName name="Season_End_Day">'3_Assumptions'!$B$13</definedName>
    <definedName name="Treatment_Days">'3_Assumptions'!$B$14</definedName>
    <definedName name="Season_Length">'3_Assumptions'!$B$14</definedName>
    <definedName name="WetlandArea_Ha">'3_Assumptions'!$B$37</definedName>
    <definedName name="TreatmentCells">'3_Assumptions'!$B$38</definedName>
    <definedName name="AnnualThroughput_M3">'3_Assumptions'!$B$39</definedName>
    <definedName name="ValuePer_M3">'3_Assumptions'!$B$40</definedName>
    <definedName name="Wetland_Area">'3_Assumptions'!$B$37</definedName>
    <definedName name="Treatment_Cells">'3_Assumptions'!$B$38</definedName>
    <definedName name="Annual_Throughput">'3_Assumptions'!$B$39</definedName>
    <definedName name="Value_Per_M3">'3_Assumptions'!$B$40</definedName>
    <definedName name="LaborPerDay">'3_Assumptions'!$B$50</definedName>
    <definedName name="RegulatoryPenalty">'3_Assumptions'!$B$51</definedName>
    <definedName name="DowntimeCostPerDay">'3_Assumptions'!$B$52</definedName>
    <definedName name="LearningCurve_Mult">'3_Assumptions'!$B$62:$B$66</definedName>
    <definedName name="TestOpt_Option">'3_Assumptions'!$A$76:$A$78</definedName>
    <definedName name="TestOpt_Method">'3_Assumptions'!$B$76:$B$78</definedName>
    <definedName name="TestOpt_Interval">'3_Assumptions'!$C$76:$C$78</definedName>
    <definedName name="TestOpt_Points">'3_Assumptions'!$D$76:$D$78</definedName>
    <definedName name="TestOpt_Cost">'3_Assumptions'!$E$76:$E$78</definedName>
    <definedName name="TestOpt_Latency">'3_Assumptions'!$F$76:$F$78</definedName>
    <definedName name="Gate_S1">'3_Assumptions'!$B$87:$B$89</definedName>
    <definedName name="Gate_S2">'3_Assumptions'!$C$87:$C$89</definedName>
    <definedName name="Gate_S3">'3_Assumptions'!$D$87:$D$89</definedName>
    <definedName name="Gate_S4">'3_Assumptions'!$E$87:$E$89</definedName>
    <definedName name="List_TestingOptions">'3_Assumptions'!$A$94:$A$96</definedName>
    <definedName name="List_Scenarios">'3_Assumptions'!$B$94:$B$96</definedName>
    <definedName name="MC_Anchor">'3_Assumptions'!$B$99</definedName>
    <definedName name="Initial_NAFC">'3_Assumptions'!$B$108</definedName>
    <definedName name="Target_NAFC">'3_Assumptions'!$B$109</definedName>
    <definedName name="Rapid_Phase_Rate">'3_Assumptions'!$B$110</definedName>
    <definedName name="Slow_Phase_Rate">'3_Assumptions'!$B$111</definedName>
    <definedName name="Rapid_Phase_Duration">'3_Assumptions'!$B$112</definedName>
    <definedName name="Recirculation_Cycle">'3_Assumptions'!$B$113</definedName>
    <definedName name="System_Capacity">'3_Assumptions'!$B$114</definedName>
    <definedName name="Day_LC50">'3_Assumptions'!$B$124</definedName>
    <definedName name="Day_80_Survival">'3_Assumptions'!$B$125</definedName>
    <definedName name="Day_Nontoxic">'3_Assumptions'!$B$126</definedName>
    <definedName name="Scenario_BaseValues">'4_Scenarios'!$C$10:$C$13</definedName>
    <definedName name="Tri_Season_Extension_Days_Min">'5_ServiceModels'!$B$10</definedName>
    <definedName name="Tri_Season_Extension_Days_Mode">'5_ServiceModels'!$C$10</definedName>
    <definedName name="Tri_Season_Extension_Days_Max">'5_ServiceModels'!$D$10</definedName>
    <definedName name="Tri_Extension_Value_Per_Day_Min">'5_ServiceModels'!$B$11</definedName>
    <definedName name="Tri_Extension_Value_Per_Day_Mode">'5_ServiceModels'!$C$11</definedName>
    <definedName name="Tri_Extension_Value_Per_Day_Max">'5_ServiceModels'!$D$11</definedName>
    <definedName name="Tri_Interventions_Avoided_Min">'5_ServiceModels'!$B$12</definedName>
    <definedName name="Tri_Interventions_Avoided_Mode">'5_ServiceModels'!$C$12</definedName>
    <definedName name="Tri_Interventions_Avoided_Max">'5_ServiceModels'!$D$12</definedName>
    <definedName name="Tri_Treatment_Rate_Factor_Min">'5_ServiceModels'!$B$13</definedName>
    <definedName name="Tri_Treatment_Rate_Factor_Mode">'5_ServiceModels'!$C$13</definedName>
    <definedName name="Tri_Treatment_Rate_Factor_Max">'5_ServiceModels'!$D$13</definedName>
    <definedName name="Beta_Efficiency_Gain_Alpha">'5_ServiceModels'!$B$23</definedName>
    <definedName name="Beta_Efficiency_Gain_Beta">'5_ServiceModels'!$C$23</definedName>
    <definedName name="Beta_Efficiency_Gain_Min">'5_ServiceModels'!$D$23</definedName>
    <definedName name="Beta_Efficiency_Gain_Max">'5_ServiceModels'!$E$23</definedName>
    <definedName name="Timeline_DiscountFactor">'6_Calc_Timeline'!$D$13:$D$18</definedName>
    <definedName name="Timeline_LearningMult">'6_Calc_Timeline'!$E$13:$E$18</definedName>
    <definedName name="Eff_Rapid_Rate">'6_Calc_Timeline'!$C$24</definedName>
    <definedName name="Eff_Slow_Rate">'6_Calc_Timeline'!$C$25</definedName>
    <definedName name="NAFC_After_Rapid">'6_Calc_Timeline'!$C$26</definedName>
    <definedName name="Days_to_Compliance">'6_Calc_Timeline'!$C$27</definedName>
    <definedName name="Circulation_Cycles">'6_Calc_Timeline'!$C$28</definedName>
    <definedName name="Treatment_Efficiency">'6_Calc_Timeline'!$C$29</definedName>
    <definedName name="Compliance_Status">'6_Calc_Timeline'!$C$30</definedName>
    <definedName name="Stoch_SeasonExt">'7_Calc_Stochastic'!$C$14</definedName>
    <definedName name="Stoch_ExtValue">'7_Calc_Stochastic'!$C$15</definedName>
    <definedName name="Stoch_Interventions">'7_Calc_Stochastic'!$C$16</definedName>
    <definedName name="Stoch_Efficiency">'7_Calc_Stochastic'!$C$17</definedName>
    <definedName name="Stoch_TreatmentRate">'7_Calc_Stochastic'!$C$18</definedName>
    <definedName name="S1_Value">'8_Calc_Value'!$E$13</definedName>
    <definedName name="S2_Value">'8_Calc_Value'!$E$14</definedName>
    <definedName name="S3_Value">'8_Calc_Value'!$E$15</definedName>
    <definedName name="S4_Value">'8_Calc_Value'!$E$16</definedName>
    <definedName name="Gross_Value">'8_Calc_Value'!$E$18</definedName>
    <definedName name="Testing_Cost">'9_Calc_Costs'!$C$19</definedName>
    <definedName name="MC_Expected_NPV">'10_Calc_Sim'!$B$1011</definedName>
    <definedName name="MC_P10">'10_Calc_Sim'!$B$1012</definedName>
    <definedName name="MC_P50">'10_Calc_Sim'!$B$1013</definedName>
    <definedName name="MC_P90">'10_Calc_Sim'!$B$1014</definedName>
    <definedName name="MC_StdDev">'10_Calc_Sim'!$B$1015</definedName>
    <definedName name="MC_Prob_Positive">'10_Calc_Sim'!$B$1016</definedName>
    <definedName name="MC_Expected_Days">'10_Calc_Sim'!$B$1019</definedName>
    <definedName name="MC_P10_Days">'10_Calc_Sim'!$B$1020</definedName>
    <definedName name="MC_P50_Days">'10_Calc_Sim'!$B$1021</definedName>
    <definedName name="MC_P90_Days">'10_Calc_Sim'!$B$1022</definedName>
    <definedName name="MC_Prob_Achievable">'10_Calc_Sim'!$B$1023</definedName>
    <definedName name="Year1_Gross_Value">'12_PL_Annual'!$F$13</definedName>
    <definedName name="Year1_Net_Value">'12_PL_Annual'!$H$13</definedName>
    <definedName name="NPV_Total">'12_PL_Annual'!$B$21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0.0%"/>
    <numFmt numFmtId="166" formatCode="$#,##0.00"/>
    <numFmt numFmtId="167" formatCode="$#,##0"/>
    <numFmt numFmtId="168" formatCode="0.000"/>
    <numFmt numFmtId="169" formatCode="0.0"/>
    <numFmt numFmtId="170" formatCode="0.0 &quot;mg/L&quot;"/>
    <numFmt numFmtId="171" formatCode="0.0 &quot;days&quot;"/>
  </numFmts>
  <fonts count="13">
    <font>
      <name val="Calibri"/>
      <family val="2"/>
      <color theme="1"/>
      <sz val="11"/>
      <scheme val="minor"/>
    </font>
    <font>
      <b val="1"/>
      <sz val="20"/>
    </font>
    <font>
      <i val="1"/>
      <sz val="12"/>
    </font>
    <font>
      <b val="1"/>
      <sz val="14"/>
    </font>
    <font>
      <b val="1"/>
      <sz val="16"/>
    </font>
    <font>
      <b val="1"/>
      <sz val="11"/>
    </font>
    <font>
      <b val="1"/>
      <color rgb="00666666"/>
      <sz val="10"/>
    </font>
    <font>
      <color rgb="00666666"/>
      <sz val="10"/>
    </font>
    <font>
      <b val="1"/>
      <color rgb="00FFFFFF"/>
    </font>
    <font>
      <b val="1"/>
    </font>
    <font>
      <i val="1"/>
    </font>
    <font>
      <b val="1"/>
      <color rgb="001F4E79"/>
      <sz val="11"/>
    </font>
    <font>
      <i val="1"/>
      <sz val="9"/>
    </font>
  </fonts>
  <fills count="6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  <fill>
      <patternFill patternType="solid">
        <fgColor rgb="00DEEAF6"/>
        <bgColor rgb="00DEEAF6"/>
      </patternFill>
    </fill>
  </fills>
  <borders count="6">
    <border>
      <left/>
      <right/>
      <top/>
      <bottom/>
      <diagonal/>
    </border>
    <border>
      <left style="medium">
        <color rgb="004472C4"/>
      </left>
      <right style="medium">
        <color rgb="004472C4"/>
      </right>
      <top style="medium">
        <color rgb="004472C4"/>
      </top>
      <bottom style="medium">
        <color rgb="004472C4"/>
      </bottom>
    </border>
    <border>
      <left/>
      <right/>
      <top style="medium">
        <color rgb="004472C4"/>
      </top>
      <bottom/>
      <diagonal/>
    </border>
    <border>
      <left/>
      <right style="medium">
        <color rgb="004472C4"/>
      </right>
      <top style="medium">
        <color rgb="004472C4"/>
      </top>
      <bottom/>
      <diagonal/>
    </border>
    <border>
      <left/>
      <right/>
      <top style="medium">
        <color rgb="004472C4"/>
      </top>
      <bottom style="medium">
        <color rgb="004472C4"/>
      </bottom>
      <diagonal/>
    </border>
    <border>
      <left/>
      <right style="medium">
        <color rgb="004472C4"/>
      </right>
      <top style="medium">
        <color rgb="004472C4"/>
      </top>
      <bottom style="medium">
        <color rgb="004472C4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top"/>
    </xf>
    <xf numFmtId="0" fontId="7" fillId="2" borderId="0" applyAlignment="1" pivotButton="0" quotePrefix="0" xfId="0">
      <alignment vertical="top" wrapText="1"/>
    </xf>
    <xf numFmtId="0" fontId="8" fillId="3" borderId="0" pivotButton="0" quotePrefix="0" xfId="0"/>
    <xf numFmtId="0" fontId="0" fillId="4" borderId="0" pivotButton="0" quotePrefix="0" xfId="0"/>
    <xf numFmtId="165" fontId="0" fillId="4" borderId="0" pivotButton="0" quotePrefix="0" xfId="0"/>
    <xf numFmtId="0" fontId="9" fillId="0" borderId="0" pivotButton="0" quotePrefix="0" xfId="0"/>
    <xf numFmtId="0" fontId="10" fillId="0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7" fontId="0" fillId="0" borderId="0" pivotButton="0" quotePrefix="0" xfId="0"/>
    <xf numFmtId="168" fontId="0" fillId="4" borderId="0" pivotButton="0" quotePrefix="0" xfId="0"/>
    <xf numFmtId="0" fontId="11" fillId="5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0" fillId="5" borderId="1" applyAlignment="1" pivotButton="0" quotePrefix="0" xfId="0">
      <alignment horizontal="left" vertical="top" wrapText="1"/>
    </xf>
    <xf numFmtId="0" fontId="12" fillId="0" borderId="0" pivotButton="0" quotePrefix="0" xfId="0"/>
    <xf numFmtId="168" fontId="0" fillId="0" borderId="0" pivotButton="0" quotePrefix="0" xfId="0"/>
    <xf numFmtId="2" fontId="0" fillId="0" borderId="0" pivotButton="0" quotePrefix="0" xfId="0"/>
    <xf numFmtId="169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7" fontId="9" fillId="0" borderId="0" pivotButton="0" quotePrefix="0" xfId="0"/>
    <xf numFmtId="166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ables/table1.xml><?xml version="1.0" encoding="utf-8"?>
<table xmlns="http://schemas.openxmlformats.org/spreadsheetml/2006/main" id="1" name="tbl_Control" displayName="tbl_Control" ref="A9:D14" headerRowCount="1">
  <autoFilter ref="A9:D14"/>
  <tableColumns count="4">
    <tableColumn id="1" name="Parameter"/>
    <tableColumn id="2" name="Value"/>
    <tableColumn id="3" name="Validation"/>
    <tableColumn id="4" name="Description"/>
  </tableColumns>
  <tableStyleInfo name="TableStyleMedium9" showRowStripes="1"/>
</table>
</file>

<file path=xl/tables/table2.xml><?xml version="1.0" encoding="utf-8"?>
<table xmlns="http://schemas.openxmlformats.org/spreadsheetml/2006/main" id="2" name="tbl_Timing" displayName="tbl_Timing" ref="A9:D14" headerRowCount="1">
  <autoFilter ref="A9:D14"/>
  <tableColumns count="4">
    <tableColumn id="1" name="Parameter"/>
    <tableColumn id="2" name="Value"/>
    <tableColumn id="3" name="Unit"/>
    <tableColumn id="4" name="Notes"/>
  </tableColumns>
  <tableStyleInfo name="TableStyleMedium9" showRowStripes="1"/>
</table>
</file>

<file path=xl/tables/table3.xml><?xml version="1.0" encoding="utf-8"?>
<table xmlns="http://schemas.openxmlformats.org/spreadsheetml/2006/main" id="3" name="tbl_Seasonality" displayName="tbl_Seasonality" ref="A22:D27" headerRowCount="1">
  <autoFilter ref="A22:D27"/>
  <tableColumns count="4">
    <tableColumn id="1" name="Month"/>
    <tableColumn id="2" name="Month_Num"/>
    <tableColumn id="3" name="Multiplier"/>
    <tableColumn id="4" name="Activity"/>
  </tableColumns>
  <tableStyleInfo name="TableStyleMedium9" showRowStripes="1"/>
</table>
</file>

<file path=xl/tables/table4.xml><?xml version="1.0" encoding="utf-8"?>
<table xmlns="http://schemas.openxmlformats.org/spreadsheetml/2006/main" id="4" name="tbl_SiteConfig" displayName="tbl_SiteConfig" ref="A36:D40" headerRowCount="1">
  <autoFilter ref="A36:D40"/>
  <tableColumns count="4">
    <tableColumn id="1" name="Parameter"/>
    <tableColumn id="2" name="Value"/>
    <tableColumn id="3" name="Unit"/>
    <tableColumn id="4" name="Source"/>
  </tableColumns>
  <tableStyleInfo name="TableStyleMedium9" showRowStripes="1"/>
</table>
</file>

<file path=xl/tables/table5.xml><?xml version="1.0" encoding="utf-8"?>
<table xmlns="http://schemas.openxmlformats.org/spreadsheetml/2006/main" id="5" name="tbl_CostParams" displayName="tbl_CostParams" ref="A49:C52" headerRowCount="1">
  <autoFilter ref="A49:C52"/>
  <tableColumns count="3">
    <tableColumn id="1" name="Parameter"/>
    <tableColumn id="2" name="Value"/>
    <tableColumn id="3" name="Unit"/>
  </tableColumns>
  <tableStyleInfo name="TableStyleMedium9" showRowStripes="1"/>
</table>
</file>

<file path=xl/tables/table6.xml><?xml version="1.0" encoding="utf-8"?>
<table xmlns="http://schemas.openxmlformats.org/spreadsheetml/2006/main" id="6" name="tbl_LearningCurve" displayName="tbl_LearningCurve" ref="A61:C66" headerRowCount="1">
  <autoFilter ref="A61:C66"/>
  <tableColumns count="3">
    <tableColumn id="1" name="Year"/>
    <tableColumn id="2" name="Multiplier"/>
    <tableColumn id="3" name="Notes"/>
  </tableColumns>
  <tableStyleInfo name="TableStyleMedium9" showRowStripes="1"/>
</table>
</file>

<file path=xl/tables/table7.xml><?xml version="1.0" encoding="utf-8"?>
<table xmlns="http://schemas.openxmlformats.org/spreadsheetml/2006/main" id="7" name="tbl_TestOptions" displayName="tbl_TestOptions" ref="A75:F78" headerRowCount="1">
  <autoFilter ref="A75:F78"/>
  <tableColumns count="6">
    <tableColumn id="1" name="Option"/>
    <tableColumn id="2" name="Method"/>
    <tableColumn id="3" name="Interval"/>
    <tableColumn id="4" name="Points"/>
    <tableColumn id="5" name="Cost_Per_Test"/>
    <tableColumn id="6" name="Latency_Days"/>
  </tableColumns>
  <tableStyleInfo name="TableStyleMedium9" showRowStripes="1"/>
</table>
</file>

<file path=xl/tables/table8.xml><?xml version="1.0" encoding="utf-8"?>
<table xmlns="http://schemas.openxmlformats.org/spreadsheetml/2006/main" id="8" name="tbl_LatencyGating" displayName="tbl_LatencyGating" ref="A86:E89" headerRowCount="1">
  <autoFilter ref="A86:E89"/>
  <tableColumns count="5">
    <tableColumn id="1" name="Option"/>
    <tableColumn id="2" name="S1_Gate"/>
    <tableColumn id="3" name="S2_Gate"/>
    <tableColumn id="4" name="S3_Gate"/>
    <tableColumn id="5" name="S4_Gate"/>
  </tableColumns>
  <tableStyleInfo name="TableStyleMedium9" showRowStripes="1"/>
</table>
</file>

<file path=xl/tables/table9.xml><?xml version="1.0" encoding="utf-8"?>
<table xmlns="http://schemas.openxmlformats.org/spreadsheetml/2006/main" id="9" name="tbl_TreatmentKinetics" displayName="tbl_TreatmentKinetics" ref="A107:D114" headerRowCount="1">
  <autoFilter ref="A107:D114"/>
  <tableColumns count="4">
    <tableColumn id="1" name="Parameter"/>
    <tableColumn id="2" name="Value"/>
    <tableColumn id="3" name="Unit"/>
    <tableColumn id="4" name="Notes"/>
  </tableColumns>
  <tableStyleInfo name="TableStyleMedium9" showRowStripes="1"/>
</table>
</file>

<file path=xl/tables/table10.xml><?xml version="1.0" encoding="utf-8"?>
<table xmlns="http://schemas.openxmlformats.org/spreadsheetml/2006/main" id="10" name="tbl_ToxicityMilestones" displayName="tbl_ToxicityMilestones" ref="A123:D126" headerRowCount="1">
  <autoFilter ref="A123:D126"/>
  <tableColumns count="4">
    <tableColumn id="1" name="Milestone"/>
    <tableColumn id="2" name="Days"/>
    <tableColumn id="3" name="Survival"/>
    <tableColumn id="4" name="Notes"/>
  </tableColumns>
  <tableStyleInfo name="TableStyleMedium9" showRowStripes="1"/>
</table>
</file>

<file path=xl/tables/table11.xml><?xml version="1.0" encoding="utf-8"?>
<table xmlns="http://schemas.openxmlformats.org/spreadsheetml/2006/main" id="11" name="tbl_ValueScenarios" displayName="tbl_ValueScenarios" ref="A9:E13" headerRowCount="1">
  <autoFilter ref="A9:E13"/>
  <tableColumns count="5">
    <tableColumn id="1" name="ID"/>
    <tableColumn id="2" name="Name"/>
    <tableColumn id="3" name="Base_Value"/>
    <tableColumn id="4" name="Required_Response_Days"/>
    <tableColumn id="5" name="Description"/>
  </tableColumns>
  <tableStyleInfo name="TableStyleMedium9" showRowStripes="1"/>
</table>
</file>

<file path=xl/tables/table12.xml><?xml version="1.0" encoding="utf-8"?>
<table xmlns="http://schemas.openxmlformats.org/spreadsheetml/2006/main" id="12" name="tbl_ModelScenarios" displayName="tbl_ModelScenarios" ref="A22:D25" headerRowCount="1">
  <autoFilter ref="A22:D25"/>
  <tableColumns count="4">
    <tableColumn id="1" name="Scenario"/>
    <tableColumn id="2" name="Discount_Adj"/>
    <tableColumn id="3" name="Growth_Adj"/>
    <tableColumn id="4" name="Risk_Adj"/>
  </tableColumns>
  <tableStyleInfo name="TableStyleMedium9" showRowStripes="1"/>
</table>
</file>

<file path=xl/tables/table13.xml><?xml version="1.0" encoding="utf-8"?>
<table xmlns="http://schemas.openxmlformats.org/spreadsheetml/2006/main" id="13" name="tbl_Triangular" displayName="tbl_Triangular" ref="A9:E13" headerRowCount="1">
  <autoFilter ref="A9:E13"/>
  <tableColumns count="5">
    <tableColumn id="1" name="Variable"/>
    <tableColumn id="2" name="Min"/>
    <tableColumn id="3" name="Mode"/>
    <tableColumn id="4" name="Max"/>
    <tableColumn id="5" name="Units"/>
  </tableColumns>
  <tableStyleInfo name="TableStyleMedium9" showRowStripes="1"/>
</table>
</file>

<file path=xl/tables/table14.xml><?xml version="1.0" encoding="utf-8"?>
<table xmlns="http://schemas.openxmlformats.org/spreadsheetml/2006/main" id="14" name="tbl_Beta" displayName="tbl_Beta" ref="A22:F23" headerRowCount="1">
  <autoFilter ref="A22:F23"/>
  <tableColumns count="6">
    <tableColumn id="1" name="Variable"/>
    <tableColumn id="2" name="Alpha"/>
    <tableColumn id="3" name="Beta"/>
    <tableColumn id="4" name="Min"/>
    <tableColumn id="5" name="Max"/>
    <tableColumn id="6" name="Units"/>
  </tableColumns>
  <tableStyleInfo name="TableStyleMedium9" showRowStripes="1"/>
</table>
</file>

<file path=xl/tables/table15.xml><?xml version="1.0" encoding="utf-8"?>
<table xmlns="http://schemas.openxmlformats.org/spreadsheetml/2006/main" id="15" name="tbl_ValueSensitivity" displayName="tbl_ValueSensitivity" ref="A32:E35" headerRowCount="1">
  <autoFilter ref="A32:E35"/>
  <tableColumns count="5">
    <tableColumn id="1" name="Frame"/>
    <tableColumn id="2" name="Low"/>
    <tableColumn id="3" name="Base"/>
    <tableColumn id="4" name="High"/>
    <tableColumn id="5" name="Context"/>
  </tableColumns>
  <tableStyleInfo name="TableStyleMedium9" showRowStripes="1"/>
</table>
</file>

<file path=xl/tables/table16.xml><?xml version="1.0" encoding="utf-8"?>
<table xmlns="http://schemas.openxmlformats.org/spreadsheetml/2006/main" id="16" name="tbl_Timeline" displayName="tbl_Timeline" ref="A12:E18" headerRowCount="1">
  <autoFilter ref="A12:E18"/>
  <tableColumns count="5">
    <tableColumn id="1" name="Year_Index"/>
    <tableColumn id="2" name="Calendar_Year"/>
    <tableColumn id="3" name="Treatment_Days"/>
    <tableColumn id="4" name="Discount_Factor"/>
    <tableColumn id="5" name="Learning_Mult"/>
  </tableColumns>
  <tableStyleInfo name="TableStyleMedium9" showRowStripes="1"/>
</table>
</file>

<file path=xl/tables/table17.xml><?xml version="1.0" encoding="utf-8"?>
<table xmlns="http://schemas.openxmlformats.org/spreadsheetml/2006/main" id="17" name="tbl_Stochastic" displayName="tbl_Stochastic" ref="A13:C18" headerRowCount="1">
  <autoFilter ref="A13:C18"/>
  <tableColumns count="3">
    <tableColumn id="1" name="Variable"/>
    <tableColumn id="2" name="Random_U"/>
    <tableColumn id="3" name="Realized_Value"/>
  </tableColumns>
  <tableStyleInfo name="TableStyleMedium9" showRowStripes="1"/>
</table>
</file>

<file path=xl/tables/table18.xml><?xml version="1.0" encoding="utf-8"?>
<table xmlns="http://schemas.openxmlformats.org/spreadsheetml/2006/main" id="18" name="tbl_GatedValues" displayName="tbl_GatedValues" ref="A12:E16" headerRowCount="1">
  <autoFilter ref="A12:E16"/>
  <tableColumns count="5">
    <tableColumn id="1" name="Scenario"/>
    <tableColumn id="2" name="Base_Value"/>
    <tableColumn id="3" name="Gate_Status"/>
    <tableColumn id="4" name="Stoch_Mult"/>
    <tableColumn id="5" name="Gated_Value"/>
  </tableColumns>
  <tableStyleInfo name="TableStyleMedium9" showRowStripes="1"/>
</table>
</file>

<file path=xl/tables/table19.xml><?xml version="1.0" encoding="utf-8"?>
<table xmlns="http://schemas.openxmlformats.org/spreadsheetml/2006/main" id="19" name="tbl_CostCalc" displayName="tbl_CostCalc" ref="A12:C19" headerRowCount="1">
  <autoFilter ref="A12:C19"/>
  <tableColumns count="3">
    <tableColumn id="1" name="Component"/>
    <tableColumn id="2" name="Formula"/>
    <tableColumn id="3" name="Value"/>
  </tableColumns>
  <tableStyleInfo name="TableStyleMedium9" showRowStripes="1"/>
</table>
</file>

<file path=xl/tables/table20.xml><?xml version="1.0" encoding="utf-8"?>
<table xmlns="http://schemas.openxmlformats.org/spreadsheetml/2006/main" id="20" name="tbl_Annual" displayName="tbl_Annual" ref="A12:J17" headerRowCount="1">
  <autoFilter ref="A12:J17"/>
  <tableColumns count="10">
    <tableColumn id="1" name="Year"/>
    <tableColumn id="2" name="S1_Value"/>
    <tableColumn id="3" name="S2_Value"/>
    <tableColumn id="4" name="S3_Value"/>
    <tableColumn id="5" name="S4_Value"/>
    <tableColumn id="6" name="Gross_Value"/>
    <tableColumn id="7" name="Costs"/>
    <tableColumn id="8" name="Net_Annual"/>
    <tableColumn id="9" name="Discount_Factor"/>
    <tableColumn id="10" name="Discounted"/>
  </tableColumns>
  <tableStyleInfo name="TableStyleMedium9" showRowStripes="1"/>
</table>
</file>

<file path=xl/tables/table21.xml><?xml version="1.0" encoding="utf-8"?>
<table xmlns="http://schemas.openxmlformats.org/spreadsheetml/2006/main" id="21" name="tbl_CashFlow" displayName="tbl_CashFlow" ref="A12:D17" headerRowCount="1">
  <autoFilter ref="A12:D17"/>
  <tableColumns count="4">
    <tableColumn id="1" name="Year"/>
    <tableColumn id="2" name="Annual_Net"/>
    <tableColumn id="3" name="Cumulative_Net"/>
    <tableColumn id="4" name="Cumulative_NPV"/>
  </tableColumns>
  <tableStyleInfo name="TableStyleMedium9" showRowStripes="1"/>
</table>
</file>

<file path=xl/tables/table22.xml><?xml version="1.0" encoding="utf-8"?>
<table xmlns="http://schemas.openxmlformats.org/spreadsheetml/2006/main" id="22" name="tbl_UnitEconomics" displayName="tbl_UnitEconomics" ref="A12:D20" headerRowCount="1">
  <autoFilter ref="A12:D20"/>
  <tableColumns count="4">
    <tableColumn id="1" name="Metric"/>
    <tableColumn id="2" name="Value"/>
    <tableColumn id="3" name="Unit"/>
    <tableColumn id="4" name="Formula"/>
  </tableColumns>
  <tableStyleInfo name="TableStyleMedium9" showRowStripes="1"/>
</table>
</file>

<file path=xl/tables/table23.xml><?xml version="1.0" encoding="utf-8"?>
<table xmlns="http://schemas.openxmlformats.org/spreadsheetml/2006/main" id="23" name="tbl_Sensitivity" displayName="tbl_Sensitivity" ref="A12:G16" headerRowCount="1">
  <autoFilter ref="A12:G16"/>
  <tableColumns count="7">
    <tableColumn id="1" name="Parameter"/>
    <tableColumn id="2" name="Low"/>
    <tableColumn id="3" name="Base"/>
    <tableColumn id="4" name="High"/>
    <tableColumn id="5" name="NPV_at_Low"/>
    <tableColumn id="6" name="NPV_at_High"/>
    <tableColumn id="7" name="Swing"/>
  </tableColumns>
  <tableStyleInfo name="TableStyleMedium9" showRowStripes="1"/>
</table>
</file>

<file path=xl/tables/table24.xml><?xml version="1.0" encoding="utf-8"?>
<table xmlns="http://schemas.openxmlformats.org/spreadsheetml/2006/main" id="24" name="tbl_KPIs" displayName="tbl_KPIs" ref="A12:B21" headerRowCount="1">
  <autoFilter ref="A12:B21"/>
  <tableColumns count="2">
    <tableColumn id="1" name="Metric"/>
    <tableColumn id="2" name="Value"/>
  </tableColumns>
  <tableStyleInfo name="TableStyleMedium9" showRowStripes="1"/>
</table>
</file>

<file path=xl/tables/table25.xml><?xml version="1.0" encoding="utf-8"?>
<table xmlns="http://schemas.openxmlformats.org/spreadsheetml/2006/main" id="25" name="tbl_ScenarioBreakdown" displayName="tbl_ScenarioBreakdown" ref="A29:C33" headerRowCount="1">
  <autoFilter ref="A29:C33"/>
  <tableColumns count="3">
    <tableColumn id="1" name="Scenario"/>
    <tableColumn id="2" name="Gated_Value"/>
    <tableColumn id="3" name="Status"/>
  </tableColumns>
  <tableStyleInfo name="TableStyleMedium9" showRowStripes="1"/>
</table>
</file>

<file path=xl/tables/table26.xml><?xml version="1.0" encoding="utf-8"?>
<table xmlns="http://schemas.openxmlformats.org/spreadsheetml/2006/main" id="26" name="tbl_TreatmentKPIs" displayName="tbl_TreatmentKPIs" ref="A41:C49" headerRowCount="1">
  <autoFilter ref="A41:C49"/>
  <tableColumns count="3">
    <tableColumn id="1" name="Metric"/>
    <tableColumn id="2" name="Value"/>
    <tableColumn id="3" name="Status"/>
  </tableColumns>
  <tableStyleInfo name="TableStyleMedium9" showRowStripes="1"/>
</table>
</file>

<file path=xl/tables/table27.xml><?xml version="1.0" encoding="utf-8"?>
<table xmlns="http://schemas.openxmlformats.org/spreadsheetml/2006/main" id="27" name="tbl_OptionComparison" displayName="tbl_OptionComparison" ref="A57:D63" headerRowCount="1">
  <autoFilter ref="A57:D63"/>
  <tableColumns count="4">
    <tableColumn id="1" name="Metric"/>
    <tableColumn id="2" name="Monthly_HRMS"/>
    <tableColumn id="3" name="Weekly_HRMS"/>
    <tableColumn id="4" name="Daily_Biosensor"/>
  </tableColumns>
  <tableStyleInfo name="TableStyleMedium9" showRowStripes="1"/>
</table>
</file>

<file path=xl/tables/table28.xml><?xml version="1.0" encoding="utf-8"?>
<table xmlns="http://schemas.openxmlformats.org/spreadsheetml/2006/main" id="28" name="tbl_Checks" displayName="tbl_Checks" ref="A12:D26" headerRowCount="1">
  <autoFilter ref="A12:D26"/>
  <tableColumns count="4">
    <tableColumn id="1" name="Check_ID"/>
    <tableColumn id="2" name="Category"/>
    <tableColumn id="3" name="Description"/>
    <tableColumn id="4" name="Status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Relationship Type="http://schemas.openxmlformats.org/officeDocument/2006/relationships/table" Target="/xl/tables/table5.xml" Id="rId4" /><Relationship Type="http://schemas.openxmlformats.org/officeDocument/2006/relationships/table" Target="/xl/tables/table6.xml" Id="rId5" /><Relationship Type="http://schemas.openxmlformats.org/officeDocument/2006/relationships/table" Target="/xl/tables/table7.xml" Id="rId6" /><Relationship Type="http://schemas.openxmlformats.org/officeDocument/2006/relationships/table" Target="/xl/tables/table8.xml" Id="rId7" /><Relationship Type="http://schemas.openxmlformats.org/officeDocument/2006/relationships/table" Target="/xl/tables/table9.xml" Id="rId8" /><Relationship Type="http://schemas.openxmlformats.org/officeDocument/2006/relationships/table" Target="/xl/tables/table10.xml" Id="rId9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1.xml" Id="rId1" /><Relationship Type="http://schemas.openxmlformats.org/officeDocument/2006/relationships/table" Target="/xl/tables/table12.xml" Id="rId2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3.xml" Id="rId1" /><Relationship Type="http://schemas.openxmlformats.org/officeDocument/2006/relationships/table" Target="/xl/tables/table14.xml" Id="rId2" /><Relationship Type="http://schemas.openxmlformats.org/officeDocument/2006/relationships/table" Target="/xl/tables/table15.xml" Id="rId3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24.xml" Id="rId1" /><Relationship Type="http://schemas.openxmlformats.org/officeDocument/2006/relationships/table" Target="/xl/tables/table25.xml" Id="rId2" /><Relationship Type="http://schemas.openxmlformats.org/officeDocument/2006/relationships/table" Target="/xl/tables/table26.xml" Id="rId3" /><Relationship Type="http://schemas.openxmlformats.org/officeDocument/2006/relationships/table" Target="/xl/tables/table27.xml" Id="rId4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28.xml" Id="rId1" /></Relationships>
</file>

<file path=xl/worksheets/sheet1.xml><?xml version="1.0" encoding="utf-8"?>
<worksheet xmlns="http://schemas.openxmlformats.org/spreadsheetml/2006/main">
  <sheetPr>
    <tabColor rgb="00FFFFFF"/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0" customWidth="1" min="1" max="1"/>
    <col width="45" customWidth="1" min="2" max="2"/>
  </cols>
  <sheetData>
    <row r="1">
      <c r="A1" s="1" t="inlineStr">
        <is>
          <t>Luminous Wetland Monte Carlo Financial Model</t>
        </is>
      </c>
    </row>
    <row r="2">
      <c r="A2" s="2" t="inlineStr">
        <is>
          <t>FAST Standard Compliant (18-Sheet Architecture)</t>
        </is>
      </c>
    </row>
    <row r="3"/>
    <row r="4">
      <c r="A4" t="inlineStr">
        <is>
          <t>Version:</t>
        </is>
      </c>
      <c r="B4" t="inlineStr">
        <is>
          <t>3.0</t>
        </is>
      </c>
    </row>
    <row r="5">
      <c r="A5" t="inlineStr">
        <is>
          <t>Date:</t>
        </is>
      </c>
      <c r="B5" s="3">
        <f>TODAY()</f>
        <v/>
      </c>
    </row>
    <row r="6">
      <c r="A6" t="inlineStr">
        <is>
          <t>Author:</t>
        </is>
      </c>
      <c r="B6" t="inlineStr">
        <is>
          <t>Luminous BioSolutions</t>
        </is>
      </c>
    </row>
    <row r="7"/>
    <row r="8">
      <c r="A8" s="4" t="inlineStr">
        <is>
          <t>Model Status</t>
        </is>
      </c>
    </row>
    <row r="9">
      <c r="A9" t="inlineStr">
        <is>
          <t>Health:</t>
        </is>
      </c>
      <c r="B9">
        <f>IF(COUNTIF('17_Checks'!D:D,"FAIL")=0, "All Checks Pass", "Review 17_Checks")</f>
        <v/>
      </c>
    </row>
    <row r="10">
      <c r="A10" t="inlineStr">
        <is>
          <t>Errors:</t>
        </is>
      </c>
      <c r="B10">
        <f>COUNTIF('17_Checks'!D:D,"FAIL")</f>
        <v/>
      </c>
    </row>
    <row r="11"/>
    <row r="12">
      <c r="A12" s="4" t="inlineStr">
        <is>
          <t>Sheet Navigation</t>
        </is>
      </c>
    </row>
    <row r="13">
      <c r="A13" t="inlineStr">
        <is>
          <t>1_TOC</t>
        </is>
      </c>
      <c r="B13" t="inlineStr">
        <is>
          <t>Table of Contents / Control panel</t>
        </is>
      </c>
    </row>
    <row r="14">
      <c r="A14" t="inlineStr">
        <is>
          <t>2_Instructions</t>
        </is>
      </c>
      <c r="B14" t="inlineStr">
        <is>
          <t>Methodology and documentation</t>
        </is>
      </c>
    </row>
    <row r="15">
      <c r="A15" t="inlineStr">
        <is>
          <t>3_Assumptions</t>
        </is>
      </c>
      <c r="B15" t="inlineStr">
        <is>
          <t>ALL inputs (timing, site, test options, validation)</t>
        </is>
      </c>
    </row>
    <row r="16">
      <c r="A16" t="inlineStr">
        <is>
          <t>4_Scenarios</t>
        </is>
      </c>
      <c r="B16" t="inlineStr">
        <is>
          <t>Value scenario definitions</t>
        </is>
      </c>
    </row>
    <row r="17">
      <c r="A17" t="inlineStr">
        <is>
          <t>5_ServiceModels</t>
        </is>
      </c>
      <c r="B17" t="inlineStr">
        <is>
          <t>Monte Carlo distributions</t>
        </is>
      </c>
    </row>
    <row r="18">
      <c r="A18" t="inlineStr">
        <is>
          <t>6_Calc_Timeline</t>
        </is>
      </c>
      <c r="B18" t="inlineStr">
        <is>
          <t>Projection timeline</t>
        </is>
      </c>
    </row>
    <row r="19">
      <c r="A19" t="inlineStr">
        <is>
          <t>7_Calc_Stochastic</t>
        </is>
      </c>
      <c r="B19" t="inlineStr">
        <is>
          <t>Random variable generation</t>
        </is>
      </c>
    </row>
    <row r="20">
      <c r="A20" t="inlineStr">
        <is>
          <t>8_Calc_Value</t>
        </is>
      </c>
      <c r="B20" t="inlineStr">
        <is>
          <t>Gated value calculations</t>
        </is>
      </c>
    </row>
    <row r="21">
      <c r="A21" t="inlineStr">
        <is>
          <t>9_Calc_Costs</t>
        </is>
      </c>
      <c r="B21" t="inlineStr">
        <is>
          <t>Cost calculations</t>
        </is>
      </c>
    </row>
    <row r="22">
      <c r="A22" t="inlineStr">
        <is>
          <t>10_Calc_Sim</t>
        </is>
      </c>
      <c r="B22" t="inlineStr">
        <is>
          <t>1000-iteration Monte Carlo</t>
        </is>
      </c>
    </row>
    <row r="23">
      <c r="A23" t="inlineStr">
        <is>
          <t>11_PL_Monthly</t>
        </is>
      </c>
      <c r="B23" t="inlineStr">
        <is>
          <t>Monthly P&amp;L (placeholder)</t>
        </is>
      </c>
    </row>
    <row r="24">
      <c r="A24" t="inlineStr">
        <is>
          <t>12_PL_Annual</t>
        </is>
      </c>
      <c r="B24" t="inlineStr">
        <is>
          <t>Annual projections</t>
        </is>
      </c>
    </row>
    <row r="25">
      <c r="A25" t="inlineStr">
        <is>
          <t>13_CashFlow</t>
        </is>
      </c>
      <c r="B25" t="inlineStr">
        <is>
          <t>Cumulative projections</t>
        </is>
      </c>
    </row>
    <row r="26">
      <c r="A26" t="inlineStr">
        <is>
          <t>14_UnitEconomics</t>
        </is>
      </c>
      <c r="B26" t="inlineStr">
        <is>
          <t>Unit economics view</t>
        </is>
      </c>
    </row>
    <row r="27">
      <c r="A27" t="inlineStr">
        <is>
          <t>15_Sensitivity</t>
        </is>
      </c>
      <c r="B27" t="inlineStr">
        <is>
          <t>Tornado analysis</t>
        </is>
      </c>
    </row>
    <row r="28">
      <c r="A28" t="inlineStr">
        <is>
          <t>16_Dashboard</t>
        </is>
      </c>
      <c r="B28" t="inlineStr">
        <is>
          <t>Executive dashboard</t>
        </is>
      </c>
    </row>
    <row r="29">
      <c r="A29" t="inlineStr">
        <is>
          <t>17_Checks</t>
        </is>
      </c>
      <c r="B29" t="inlineStr">
        <is>
          <t>Validation checks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FF00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  <col width="35" customWidth="1" min="4" max="4"/>
  </cols>
  <sheetData>
    <row r="1">
      <c r="A1" s="5" t="inlineStr">
        <is>
          <t>Control Panel</t>
        </is>
      </c>
    </row>
    <row r="2"/>
    <row r="3">
      <c r="A3" s="6" t="inlineStr">
        <is>
          <t>Control Panel</t>
        </is>
      </c>
    </row>
    <row r="4" ht="26" customHeight="1">
      <c r="A4" s="7" t="inlineStr">
        <is>
          <t>Description:</t>
        </is>
      </c>
      <c r="B4" s="8" t="inlineStr">
        <is>
          <t>User-editable model parameters that drive all calculations. Change these values to explore different scenarios.</t>
        </is>
      </c>
    </row>
    <row r="5" ht="26" customHeight="1">
      <c r="A5" s="7" t="inlineStr">
        <is>
          <t>Purpose:</t>
        </is>
      </c>
      <c r="B5" s="8" t="inlineStr">
        <is>
          <t>Provide a single location for users to modify key model inputs</t>
        </is>
      </c>
    </row>
    <row r="6" ht="65" customHeight="1">
      <c r="A6" s="7" t="inlineStr">
        <is>
          <t>Assumptions:</t>
        </is>
      </c>
      <c r="B6" s="8" t="inlineStr">
        <is>
          <t>- Testing_Option selects between HRMS and biosensor approaches
- Scenario_Select chooses conservative, base, or optimistic parameters
- Discount_Rate applies to all NPV calculations
- Projection_Years determines the financial projection horizon</t>
        </is>
      </c>
    </row>
    <row r="7" ht="26" customHeight="1">
      <c r="A7" s="7" t="inlineStr">
        <is>
          <t>Data Source:</t>
        </is>
      </c>
      <c r="B7" s="8" t="inlineStr">
        <is>
          <t>User input - default values from Financial Model Framework v2.1</t>
        </is>
      </c>
    </row>
    <row r="8" ht="13" customHeight="1">
      <c r="A8" s="7" t="inlineStr">
        <is>
          <t>Related Tables:</t>
        </is>
      </c>
      <c r="B8" s="8" t="inlineStr">
        <is>
          <t>tbl_ModelScenarios, tbl_TestOptions</t>
        </is>
      </c>
    </row>
    <row r="9">
      <c r="A9" s="9" t="inlineStr">
        <is>
          <t>Parameter</t>
        </is>
      </c>
      <c r="B9" s="9" t="inlineStr">
        <is>
          <t>Value</t>
        </is>
      </c>
      <c r="C9" s="9" t="inlineStr">
        <is>
          <t>Validation</t>
        </is>
      </c>
      <c r="D9" s="9" t="inlineStr">
        <is>
          <t>Description</t>
        </is>
      </c>
    </row>
    <row r="10">
      <c r="A10" t="inlineStr">
        <is>
          <t>Testing_Option</t>
        </is>
      </c>
      <c r="B10" s="10" t="inlineStr">
        <is>
          <t>Daily_Biosensor</t>
        </is>
      </c>
      <c r="C10" t="inlineStr">
        <is>
          <t>Dropdown</t>
        </is>
      </c>
      <c r="D10" t="inlineStr">
        <is>
          <t>Selected testing method</t>
        </is>
      </c>
    </row>
    <row r="11">
      <c r="A11" t="inlineStr">
        <is>
          <t>Scenario_Select</t>
        </is>
      </c>
      <c r="B11" s="10" t="inlineStr">
        <is>
          <t>Base</t>
        </is>
      </c>
      <c r="C11" t="inlineStr">
        <is>
          <t>Dropdown</t>
        </is>
      </c>
      <c r="D11" t="inlineStr">
        <is>
          <t>Model scenario</t>
        </is>
      </c>
    </row>
    <row r="12">
      <c r="A12" t="inlineStr">
        <is>
          <t>Discount_Rate</t>
        </is>
      </c>
      <c r="B12" s="11" t="n">
        <v>0.048</v>
      </c>
      <c r="C12" t="inlineStr">
        <is>
          <t>0%-15%</t>
        </is>
      </c>
      <c r="D12" t="inlineStr">
        <is>
          <t>NPV discount rate</t>
        </is>
      </c>
    </row>
    <row r="13">
      <c r="A13" t="inlineStr">
        <is>
          <t>Projection_Years</t>
        </is>
      </c>
      <c r="B13" s="10" t="n">
        <v>5</v>
      </c>
      <c r="C13" t="inlineStr">
        <is>
          <t>1-10</t>
        </is>
      </c>
      <c r="D13" t="inlineStr">
        <is>
          <t>Projection horizon</t>
        </is>
      </c>
    </row>
    <row r="14">
      <c r="A14" t="inlineStr">
        <is>
          <t>Base_Year</t>
        </is>
      </c>
      <c r="B14" s="10" t="n">
        <v>2026</v>
      </c>
      <c r="C14" t="inlineStr">
        <is>
          <t>2024-2030</t>
        </is>
      </c>
      <c r="D14" t="inlineStr">
        <is>
          <t>Model start year</t>
        </is>
      </c>
    </row>
  </sheetData>
  <mergeCells count="5">
    <mergeCell ref="B5:D5"/>
    <mergeCell ref="B8:D8"/>
    <mergeCell ref="B4:D4"/>
    <mergeCell ref="B7:D7"/>
    <mergeCell ref="B6:D6"/>
  </mergeCells>
  <dataValidations count="2">
    <dataValidation sqref="B5" showDropDown="0" showInputMessage="0" showErrorMessage="0" allowBlank="0" errorTitle="Invalid Input" error="Select from dropdown" type="list">
      <formula1>List_TestingOptions</formula1>
    </dataValidation>
    <dataValidation sqref="B6" showDropDown="0" showInputMessage="0" showErrorMessage="0" allowBlank="0" type="list">
      <formula1>List_Scenarios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D88"/>
  <sheetViews>
    <sheetView workbookViewId="0">
      <selection activeCell="A1" sqref="A1"/>
    </sheetView>
  </sheetViews>
  <sheetFormatPr baseColWidth="8" defaultRowHeight="15"/>
  <cols>
    <col width="35" customWidth="1" min="1" max="1"/>
    <col width="30" customWidth="1" min="2" max="2"/>
    <col width="50" customWidth="1" min="3" max="3"/>
    <col width="15" customWidth="1" min="4" max="4"/>
  </cols>
  <sheetData>
    <row r="1">
      <c r="A1" s="5" t="inlineStr">
        <is>
          <t>Model Instructions &amp; Documentation</t>
        </is>
      </c>
    </row>
    <row r="2"/>
    <row r="3">
      <c r="A3" s="4" t="inlineStr">
        <is>
          <t>1. Model Purpose</t>
        </is>
      </c>
    </row>
    <row r="4">
      <c r="A4" t="inlineStr">
        <is>
          <t xml:space="preserve">  - Quantify value of high-frequency biosensor monitoring vs HRMS for OSPW wetland treatment</t>
        </is>
      </c>
    </row>
    <row r="5">
      <c r="A5" t="inlineStr">
        <is>
          <t xml:space="preserve">  - Monte Carlo simulation for uncertainty quantification (1000 iterations)</t>
        </is>
      </c>
    </row>
    <row r="6">
      <c r="A6" t="inlineStr">
        <is>
          <t xml:space="preserve">  - FAST Standard compliance for transparency and auditability</t>
        </is>
      </c>
    </row>
    <row r="7">
      <c r="A7" t="inlineStr">
        <is>
          <t xml:space="preserve">  - All calculations performed in Excel - Python only generates structure/formulas</t>
        </is>
      </c>
    </row>
    <row r="8"/>
    <row r="9">
      <c r="A9" s="4" t="inlineStr">
        <is>
          <t>2. How to Use This Model</t>
        </is>
      </c>
    </row>
    <row r="10">
      <c r="A10" t="inlineStr">
        <is>
          <t>1. Edit yellow-highlighted cells in 1_TOC and 3_Assumptions</t>
        </is>
      </c>
    </row>
    <row r="11">
      <c r="A11" t="inlineStr">
        <is>
          <t>2. Go to 10_Calc_Sim and set up the Data Table:</t>
        </is>
      </c>
    </row>
    <row r="12">
      <c r="A12" t="inlineStr">
        <is>
          <t xml:space="preserve">   - Select A5:I1005</t>
        </is>
      </c>
    </row>
    <row r="13">
      <c r="A13" t="inlineStr">
        <is>
          <t xml:space="preserve">   - Data &gt; What-If Analysis &gt; Data Table</t>
        </is>
      </c>
    </row>
    <row r="14">
      <c r="A14" t="inlineStr">
        <is>
          <t xml:space="preserve">   - Column Input Cell: $K$1 (blank cell on same sheet)</t>
        </is>
      </c>
    </row>
    <row r="15">
      <c r="A15" t="inlineStr">
        <is>
          <t>3. Press Ctrl+Alt+F9 to run Monte Carlo simulation</t>
        </is>
      </c>
    </row>
    <row r="16">
      <c r="A16" t="inlineStr">
        <is>
          <t>4. View results in 16_Dashboard</t>
        </is>
      </c>
    </row>
    <row r="17">
      <c r="A17" t="inlineStr">
        <is>
          <t>5. Check 17_Checks for any validation errors</t>
        </is>
      </c>
    </row>
    <row r="18"/>
    <row r="19">
      <c r="A19" s="4" t="inlineStr">
        <is>
          <t>3. Latency Gating Logic</t>
        </is>
      </c>
    </row>
    <row r="20">
      <c r="A20" t="inlineStr">
        <is>
          <t>HRMS lab testing has 42-day turnaround, blocking time-sensitive decisions:</t>
        </is>
      </c>
    </row>
    <row r="21">
      <c r="A21" s="9" t="inlineStr">
        <is>
          <t>Scenario</t>
        </is>
      </c>
      <c r="B21" s="9" t="inlineStr">
        <is>
          <t>Required_Response</t>
        </is>
      </c>
      <c r="C21" s="9" t="inlineStr">
        <is>
          <t>HRMS_42d</t>
        </is>
      </c>
      <c r="D21" s="9" t="inlineStr">
        <is>
          <t>Biosensor_1d</t>
        </is>
      </c>
    </row>
    <row r="22">
      <c r="A22" t="inlineStr">
        <is>
          <t>S1: Season Extension</t>
        </is>
      </c>
      <c r="B22" t="inlineStr">
        <is>
          <t>7 days</t>
        </is>
      </c>
      <c r="C22" t="inlineStr">
        <is>
          <t>BLOCKED</t>
        </is>
      </c>
      <c r="D22" t="inlineStr">
        <is>
          <t>ENABLED</t>
        </is>
      </c>
    </row>
    <row r="23">
      <c r="A23" t="inlineStr">
        <is>
          <t>S2: Intervention Avoidance</t>
        </is>
      </c>
      <c r="B23" t="inlineStr">
        <is>
          <t>7 days</t>
        </is>
      </c>
      <c r="C23" t="inlineStr">
        <is>
          <t>BLOCKED</t>
        </is>
      </c>
      <c r="D23" t="inlineStr">
        <is>
          <t>ENABLED</t>
        </is>
      </c>
    </row>
    <row r="24">
      <c r="A24" t="inlineStr">
        <is>
          <t>S3: Spatial Routing</t>
        </is>
      </c>
      <c r="B24" t="inlineStr">
        <is>
          <t>14 days</t>
        </is>
      </c>
      <c r="C24" t="inlineStr">
        <is>
          <t>BLOCKED</t>
        </is>
      </c>
      <c r="D24" t="inlineStr">
        <is>
          <t>ENABLED</t>
        </is>
      </c>
    </row>
    <row r="25">
      <c r="A25" t="inlineStr">
        <is>
          <t>S4: Early Detection</t>
        </is>
      </c>
      <c r="B25" t="inlineStr">
        <is>
          <t>3 days</t>
        </is>
      </c>
      <c r="C25" t="inlineStr">
        <is>
          <t>BLOCKED</t>
        </is>
      </c>
      <c r="D25" t="inlineStr">
        <is>
          <t>ENABLED</t>
        </is>
      </c>
    </row>
    <row r="26"/>
    <row r="27">
      <c r="A27" s="4" t="inlineStr">
        <is>
          <t>4. Glossary</t>
        </is>
      </c>
    </row>
    <row r="28">
      <c r="A28" s="12" t="inlineStr">
        <is>
          <t>HRMS</t>
        </is>
      </c>
      <c r="B28" t="inlineStr">
        <is>
          <t>High-Resolution Mass Spectrometry</t>
        </is>
      </c>
    </row>
    <row r="29">
      <c r="A29" s="12" t="inlineStr">
        <is>
          <t>OSPW</t>
        </is>
      </c>
      <c r="B29" t="inlineStr">
        <is>
          <t>Oil Sands Process-affected Water</t>
        </is>
      </c>
    </row>
    <row r="30">
      <c r="A30" s="12" t="inlineStr">
        <is>
          <t>ARO</t>
        </is>
      </c>
      <c r="B30" t="inlineStr">
        <is>
          <t>Asset Retirement Obligation</t>
        </is>
      </c>
    </row>
    <row r="31">
      <c r="A31" s="12" t="inlineStr">
        <is>
          <t>NPV</t>
        </is>
      </c>
      <c r="B31" t="inlineStr">
        <is>
          <t>Net Present Value</t>
        </is>
      </c>
    </row>
    <row r="32">
      <c r="A32" s="12" t="inlineStr">
        <is>
          <t>HLR</t>
        </is>
      </c>
      <c r="B32" t="inlineStr">
        <is>
          <t>Hydraulic Loading Rate</t>
        </is>
      </c>
    </row>
    <row r="33">
      <c r="A33" s="12" t="inlineStr">
        <is>
          <t>FAST</t>
        </is>
      </c>
      <c r="B33" t="inlineStr">
        <is>
          <t>Flexible, Appropriate, Structured, Transparent</t>
        </is>
      </c>
    </row>
    <row r="34">
      <c r="A34" s="12" t="inlineStr">
        <is>
          <t>NAFC</t>
        </is>
      </c>
      <c r="B34" t="inlineStr">
        <is>
          <t>Naphthenic Acid Fraction Compounds</t>
        </is>
      </c>
    </row>
    <row r="35"/>
    <row r="36">
      <c r="A36" s="4" t="inlineStr">
        <is>
          <t>5. Data Sources</t>
        </is>
      </c>
    </row>
    <row r="37">
      <c r="A37" t="inlineStr">
        <is>
          <t xml:space="preserve">  - Zhang (2026) Long-Dated Environmental Liabilities in Oil Sands</t>
        </is>
      </c>
    </row>
    <row r="38">
      <c r="A38" t="inlineStr">
        <is>
          <t xml:space="preserve">  - Kadlec &amp; Wallace (2009) Treatment Wetlands, 2nd Ed.</t>
        </is>
      </c>
    </row>
    <row r="39">
      <c r="A39" t="inlineStr">
        <is>
          <t xml:space="preserve">  - FAST Standard Organisation (fast-standard.org)</t>
        </is>
      </c>
    </row>
    <row r="40">
      <c r="A40" t="inlineStr">
        <is>
          <t xml:space="preserve">  - Luminous BioSolutions Financial Model Framework</t>
        </is>
      </c>
    </row>
    <row r="41">
      <c r="A41" t="inlineStr">
        <is>
          <t xml:space="preserve">  - Kearl Wetland Pilot Data (GROW Presentation, Dec 2025)</t>
        </is>
      </c>
    </row>
    <row r="42"/>
    <row r="43">
      <c r="A43" s="4" t="inlineStr">
        <is>
          <t>6. Value Per Cubic Meter Derivation</t>
        </is>
      </c>
    </row>
    <row r="44">
      <c r="A44" s="13" t="inlineStr">
        <is>
          <t>The $5/m3 operational value is derived from:</t>
        </is>
      </c>
    </row>
    <row r="45">
      <c r="A45" t="inlineStr">
        <is>
          <t xml:space="preserve">  - Conservative annual value: $250,000/year (Financial Model Framework)</t>
        </is>
      </c>
    </row>
    <row r="46">
      <c r="A46" t="inlineStr">
        <is>
          <t xml:space="preserve">  - Annual throughput: 50,000 m3/year (3_Assumptions default)</t>
        </is>
      </c>
    </row>
    <row r="47">
      <c r="A47" t="inlineStr">
        <is>
          <t xml:space="preserve">  - Calculation: $250,000 / 50,000 m3 = $5/m3</t>
        </is>
      </c>
    </row>
    <row r="48">
      <c r="A48" t="inlineStr">
        <is>
          <t xml:space="preserve">  - This is the OPERATIONAL benefit only - excludes avoided treatment and ARO impacts</t>
        </is>
      </c>
    </row>
    <row r="49"/>
    <row r="50">
      <c r="A50" s="12" t="inlineStr">
        <is>
          <t>Value Sensitivity Analysis (15_Sensitivity):</t>
        </is>
      </c>
    </row>
    <row r="51">
      <c r="A51" t="inlineStr">
        <is>
          <t xml:space="preserve">  - Operational: $3-8/m3 (base $5) - Direct wetland treatment value</t>
        </is>
      </c>
    </row>
    <row r="52">
      <c r="A52" t="inlineStr">
        <is>
          <t xml:space="preserve">  - Avoided Treatment: $10-30/m3 (base $20) - Alternative treatment costs</t>
        </is>
      </c>
    </row>
    <row r="53">
      <c r="A53" t="inlineStr">
        <is>
          <t xml:space="preserve">  - ARO Liability: $21-93/m3 (base $50) - Zhang (2026) liability analysis</t>
        </is>
      </c>
    </row>
    <row r="54"/>
    <row r="55">
      <c r="A55" s="4" t="inlineStr">
        <is>
          <t>7. Treatment Kinetics (Kearl 2022 Field Data)</t>
        </is>
      </c>
    </row>
    <row r="56">
      <c r="A56" s="13" t="inlineStr">
        <is>
          <t>Source: Vander Meulen &amp; Headley (2024) GROW Presentation</t>
        </is>
      </c>
    </row>
    <row r="57">
      <c r="A57" t="inlineStr">
        <is>
          <t>Project: Genome Canada LSARP - GROW (Genomics Research for Optimization of Constructed Treatment Wetlands)</t>
        </is>
      </c>
    </row>
    <row r="58"/>
    <row r="59">
      <c r="A59" s="12" t="inlineStr">
        <is>
          <t>Two-Phase Kinetics Model:</t>
        </is>
      </c>
    </row>
    <row r="60">
      <c r="A60" t="inlineStr">
        <is>
          <t xml:space="preserve">  - Rapid Phase (Days 0-15): -0.532 mg/L/day (R^2=0.43)</t>
        </is>
      </c>
    </row>
    <row r="61">
      <c r="A61" t="inlineStr">
        <is>
          <t xml:space="preserve">  - Slow Phase (Days 30-69): -0.248 mg/L/day (R^2=0.50)</t>
        </is>
      </c>
    </row>
    <row r="62">
      <c r="A62" t="inlineStr">
        <is>
          <t xml:space="preserve">  - The slowdown reflects preferential removal of labile compounds</t>
        </is>
      </c>
    </row>
    <row r="63"/>
    <row r="64">
      <c r="A64" s="12" t="inlineStr">
        <is>
          <t>Toxicity Endpoints (Fathead Minnow Embryo):</t>
        </is>
      </c>
    </row>
    <row r="65">
      <c r="A65" t="inlineStr">
        <is>
          <t xml:space="preserve">  - Day 14: ~50% survival (1 recirculation cycle = LC50)</t>
        </is>
      </c>
    </row>
    <row r="66">
      <c r="A66" t="inlineStr">
        <is>
          <t xml:space="preserve">  - Day 28: 80-90% survival (2 cycles)</t>
        </is>
      </c>
    </row>
    <row r="67">
      <c r="A67" t="inlineStr">
        <is>
          <t xml:space="preserve">  - Day 42: &gt;90% survival (3 cycles = non-toxic, equivalent to controls)</t>
        </is>
      </c>
    </row>
    <row r="68"/>
    <row r="69">
      <c r="A69" s="12" t="inlineStr">
        <is>
          <t>The Concentration Paradox:</t>
        </is>
      </c>
    </row>
    <row r="70">
      <c r="A70" t="inlineStr">
        <is>
          <t xml:space="preserve">  - Water at Day 42 was non-toxic despite ~50 mg/L NAFC concentration</t>
        </is>
      </c>
    </row>
    <row r="71">
      <c r="A71" t="inlineStr">
        <is>
          <t xml:space="preserve">  - Literature LC50 values for fathead minnow: 18-34 mg/L</t>
        </is>
      </c>
    </row>
    <row r="72">
      <c r="A72" t="inlineStr">
        <is>
          <t xml:space="preserve">  - Explanation: Wetlands preferentially remove high-carbon, lipophilic (most toxic) compounds</t>
        </is>
      </c>
    </row>
    <row r="73">
      <c r="A73" t="inlineStr">
        <is>
          <t xml:space="preserve">  - Remaining NAFCs are oxidized (O3, O4 classes) and less bioavailable</t>
        </is>
      </c>
    </row>
    <row r="74">
      <c r="A74" t="inlineStr">
        <is>
          <t xml:space="preserve">  - Implication: Total NAFC concentration alone may be inadequate for assessing safety</t>
        </is>
      </c>
    </row>
    <row r="75"/>
    <row r="76">
      <c r="A76" s="12" t="inlineStr">
        <is>
          <t>Adjusting Parameters:</t>
        </is>
      </c>
    </row>
    <row r="77">
      <c r="A77" t="inlineStr">
        <is>
          <t xml:space="preserve">  - All kinetics parameters are in 3_Assumptions Section H (yellow cells)</t>
        </is>
      </c>
    </row>
    <row r="78">
      <c r="A78" t="inlineStr">
        <is>
          <t xml:space="preserve">  - Treatment_Rate_Factor in 5_ServiceModels captures seasonal/vegetation variability</t>
        </is>
      </c>
    </row>
    <row r="79">
      <c r="A79" t="inlineStr">
        <is>
          <t xml:space="preserve">  - Modify Initial_NAFC to match your source water concentration</t>
        </is>
      </c>
    </row>
    <row r="80">
      <c r="A80" t="inlineStr">
        <is>
          <t xml:space="preserve">  - Adjust Target_NAFC for different regulatory thresholds</t>
        </is>
      </c>
    </row>
    <row r="81"/>
    <row r="82">
      <c r="A82" s="4" t="inlineStr">
        <is>
          <t>8. Change Log</t>
        </is>
      </c>
    </row>
    <row r="83">
      <c r="A83" s="9" t="inlineStr">
        <is>
          <t>Version</t>
        </is>
      </c>
      <c r="B83" s="9" t="inlineStr">
        <is>
          <t>Date</t>
        </is>
      </c>
      <c r="C83" s="9" t="inlineStr">
        <is>
          <t>Changes</t>
        </is>
      </c>
    </row>
    <row r="84">
      <c r="A84" t="inlineStr">
        <is>
          <t>3.2</t>
        </is>
      </c>
      <c r="B84" t="inlineStr">
        <is>
          <t>2026-01-29</t>
        </is>
      </c>
      <c r="C84" t="inlineStr">
        <is>
          <t>Value/m3 derivation documentation (Section 6)</t>
        </is>
      </c>
    </row>
    <row r="85">
      <c r="A85" t="inlineStr">
        <is>
          <t>3.1</t>
        </is>
      </c>
      <c r="B85" t="inlineStr">
        <is>
          <t>2026-01-29</t>
        </is>
      </c>
      <c r="C85" t="inlineStr">
        <is>
          <t>Kearl treatment kinetics integration, Days_to_Compliance MC</t>
        </is>
      </c>
    </row>
    <row r="86">
      <c r="A86" t="inlineStr">
        <is>
          <t>3.0</t>
        </is>
      </c>
      <c r="B86" t="inlineStr">
        <is>
          <t>2026-01-29</t>
        </is>
      </c>
      <c r="C86" t="inlineStr">
        <is>
          <t>FAST 18-sheet refactor with LOCATIONS registry</t>
        </is>
      </c>
    </row>
    <row r="87">
      <c r="A87" t="inlineStr">
        <is>
          <t>2.0</t>
        </is>
      </c>
      <c r="B87" t="inlineStr">
        <is>
          <t>2026-01-28</t>
        </is>
      </c>
      <c r="C87" t="inlineStr">
        <is>
          <t>Excel-native Monte Carlo via Data Tables</t>
        </is>
      </c>
    </row>
    <row r="88">
      <c r="A88" t="inlineStr">
        <is>
          <t>1.0</t>
        </is>
      </c>
      <c r="B88" t="inlineStr">
        <is>
          <t>2025-12-01</t>
        </is>
      </c>
      <c r="C88" t="inlineStr">
        <is>
          <t>Initial Python-based model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FF00"/>
    <outlinePr summaryBelow="1" summaryRight="1"/>
    <pageSetUpPr/>
  </sheetPr>
  <dimension ref="A1:F126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42" customWidth="1" min="4" max="4"/>
    <col width="16" customWidth="1" min="5" max="5"/>
    <col width="14" customWidth="1" min="6" max="6"/>
  </cols>
  <sheetData>
    <row r="1">
      <c r="A1" s="5" t="inlineStr">
        <is>
          <t>Model Assumptions (Single Source of Truth)</t>
        </is>
      </c>
    </row>
    <row r="2"/>
    <row r="3">
      <c r="A3" s="6" t="inlineStr">
        <is>
          <t>A. Timing Parameters</t>
        </is>
      </c>
    </row>
    <row r="4" ht="26" customHeight="1">
      <c r="A4" s="7" t="inlineStr">
        <is>
          <t>Description:</t>
        </is>
      </c>
      <c r="B4" s="8" t="inlineStr">
        <is>
          <t>Treatment season timing that determines the operational window for wetland treatment.</t>
        </is>
      </c>
    </row>
    <row r="5" ht="26" customHeight="1">
      <c r="A5" s="7" t="inlineStr">
        <is>
          <t>Purpose:</t>
        </is>
      </c>
      <c r="B5" s="8" t="inlineStr">
        <is>
          <t>Define the active treatment period for financial projections</t>
        </is>
      </c>
    </row>
    <row r="6" ht="39" customHeight="1">
      <c r="A6" s="7" t="inlineStr">
        <is>
          <t>Assumptions:</t>
        </is>
      </c>
      <c r="B6" s="8" t="inlineStr">
        <is>
          <t>- Treatment season aligned with Alberta weather patterns (May-September)
- Season length directly impacts annual value capture potential</t>
        </is>
      </c>
    </row>
    <row r="7" ht="13" customHeight="1">
      <c r="A7" s="7" t="inlineStr">
        <is>
          <t>Data Source:</t>
        </is>
      </c>
      <c r="B7" s="8" t="inlineStr">
        <is>
          <t>Standard Alberta treatment wetland operational calendar</t>
        </is>
      </c>
    </row>
    <row r="8" ht="13" customHeight="1">
      <c r="A8" s="7" t="inlineStr">
        <is>
          <t>Related Tables:</t>
        </is>
      </c>
      <c r="B8" s="8" t="inlineStr">
        <is>
          <t>tbl_Seasonality, tbl_Timeline</t>
        </is>
      </c>
    </row>
    <row r="9">
      <c r="A9" s="9" t="inlineStr">
        <is>
          <t>Parameter</t>
        </is>
      </c>
      <c r="B9" s="9" t="inlineStr">
        <is>
          <t>Value</t>
        </is>
      </c>
      <c r="C9" s="9" t="inlineStr">
        <is>
          <t>Unit</t>
        </is>
      </c>
      <c r="D9" s="9" t="inlineStr">
        <is>
          <t>Notes</t>
        </is>
      </c>
    </row>
    <row r="10">
      <c r="A10" t="inlineStr">
        <is>
          <t>Season_Start_Month</t>
        </is>
      </c>
      <c r="B10" s="10" t="n">
        <v>5</v>
      </c>
      <c r="C10" t="inlineStr">
        <is>
          <t>month</t>
        </is>
      </c>
      <c r="D10" t="inlineStr">
        <is>
          <t>May</t>
        </is>
      </c>
    </row>
    <row r="11">
      <c r="A11" t="inlineStr">
        <is>
          <t>Season_Start_Day</t>
        </is>
      </c>
      <c r="B11" s="10" t="n">
        <v>15</v>
      </c>
      <c r="C11" t="inlineStr">
        <is>
          <t>day</t>
        </is>
      </c>
      <c r="D11" t="inlineStr">
        <is>
          <t>Mid-May</t>
        </is>
      </c>
    </row>
    <row r="12">
      <c r="A12" t="inlineStr">
        <is>
          <t>Season_End_Month</t>
        </is>
      </c>
      <c r="B12" s="10" t="n">
        <v>9</v>
      </c>
      <c r="C12" t="inlineStr">
        <is>
          <t>month</t>
        </is>
      </c>
      <c r="D12" t="inlineStr">
        <is>
          <t>September</t>
        </is>
      </c>
    </row>
    <row r="13">
      <c r="A13" t="inlineStr">
        <is>
          <t>Season_End_Day</t>
        </is>
      </c>
      <c r="B13" s="10" t="n">
        <v>15</v>
      </c>
      <c r="C13" t="inlineStr">
        <is>
          <t>day</t>
        </is>
      </c>
      <c r="D13" t="inlineStr">
        <is>
          <t>Mid-September</t>
        </is>
      </c>
    </row>
    <row r="14">
      <c r="A14" t="inlineStr">
        <is>
          <t>Treatment_Days</t>
        </is>
      </c>
      <c r="B14" s="10" t="n">
        <v>100</v>
      </c>
      <c r="C14" t="inlineStr">
        <is>
          <t>days</t>
        </is>
      </c>
      <c r="D14" t="inlineStr">
        <is>
          <t>Active season length</t>
        </is>
      </c>
    </row>
    <row r="15"/>
    <row r="16">
      <c r="A16" s="6" t="inlineStr">
        <is>
          <t>Seasonality Index</t>
        </is>
      </c>
    </row>
    <row r="17" ht="26" customHeight="1">
      <c r="A17" s="7" t="inlineStr">
        <is>
          <t>Description:</t>
        </is>
      </c>
      <c r="B17" s="8" t="inlineStr">
        <is>
          <t>Monthly activity multipliers reflecting natural treatment capacity variation across the season.</t>
        </is>
      </c>
    </row>
    <row r="18" ht="26" customHeight="1">
      <c r="A18" s="7" t="inlineStr">
        <is>
          <t>Purpose:</t>
        </is>
      </c>
      <c r="B18" s="8" t="inlineStr">
        <is>
          <t>Weight value calculations by month based on treatment capacity patterns</t>
        </is>
      </c>
    </row>
    <row r="19" ht="39" customHeight="1">
      <c r="A19" s="7" t="inlineStr">
        <is>
          <t>Assumptions:</t>
        </is>
      </c>
      <c r="B19" s="8" t="inlineStr">
        <is>
          <t>- Peak activity in June-July matches optimal treatment temperatures
- Ramp-up in May and decline in September reflect shoulder seasons</t>
        </is>
      </c>
    </row>
    <row r="20" ht="13" customHeight="1">
      <c r="A20" s="7" t="inlineStr">
        <is>
          <t>Data Source:</t>
        </is>
      </c>
      <c r="B20" s="8" t="inlineStr">
        <is>
          <t>Kearl pilot operational data patterns</t>
        </is>
      </c>
    </row>
    <row r="21" ht="13" customHeight="1">
      <c r="A21" s="7" t="inlineStr">
        <is>
          <t>Related Tables:</t>
        </is>
      </c>
      <c r="B21" s="8" t="inlineStr">
        <is>
          <t>tbl_Timing, tbl_Timeline</t>
        </is>
      </c>
    </row>
    <row r="22">
      <c r="A22" s="9" t="inlineStr">
        <is>
          <t>Month</t>
        </is>
      </c>
      <c r="B22" s="9" t="inlineStr">
        <is>
          <t>Month_Num</t>
        </is>
      </c>
      <c r="C22" s="9" t="inlineStr">
        <is>
          <t>Multiplier</t>
        </is>
      </c>
      <c r="D22" s="9" t="inlineStr">
        <is>
          <t>Activity</t>
        </is>
      </c>
    </row>
    <row r="23">
      <c r="A23" t="inlineStr">
        <is>
          <t>May</t>
        </is>
      </c>
      <c r="B23" t="n">
        <v>5</v>
      </c>
      <c r="C23" s="10" t="n">
        <v>0.85</v>
      </c>
      <c r="D23" t="inlineStr">
        <is>
          <t>Ramp-up</t>
        </is>
      </c>
    </row>
    <row r="24">
      <c r="A24" t="inlineStr">
        <is>
          <t>June</t>
        </is>
      </c>
      <c r="B24" t="n">
        <v>6</v>
      </c>
      <c r="C24" s="10" t="n">
        <v>1</v>
      </c>
      <c r="D24" t="inlineStr">
        <is>
          <t>Peak</t>
        </is>
      </c>
    </row>
    <row r="25">
      <c r="A25" t="inlineStr">
        <is>
          <t>July</t>
        </is>
      </c>
      <c r="B25" t="n">
        <v>7</v>
      </c>
      <c r="C25" s="10" t="n">
        <v>1</v>
      </c>
      <c r="D25" t="inlineStr">
        <is>
          <t>Peak</t>
        </is>
      </c>
    </row>
    <row r="26">
      <c r="A26" t="inlineStr">
        <is>
          <t>August</t>
        </is>
      </c>
      <c r="B26" t="n">
        <v>8</v>
      </c>
      <c r="C26" s="10" t="n">
        <v>0.95</v>
      </c>
      <c r="D26" t="inlineStr">
        <is>
          <t>Slight decline</t>
        </is>
      </c>
    </row>
    <row r="27">
      <c r="A27" t="inlineStr">
        <is>
          <t>September</t>
        </is>
      </c>
      <c r="B27" t="n">
        <v>9</v>
      </c>
      <c r="C27" s="10" t="n">
        <v>0.75</v>
      </c>
      <c r="D27" t="inlineStr">
        <is>
          <t>Decline</t>
        </is>
      </c>
    </row>
    <row r="28"/>
    <row r="29"/>
    <row r="30">
      <c r="A30" s="6" t="inlineStr">
        <is>
          <t>B. Site Configuration</t>
        </is>
      </c>
    </row>
    <row r="31" ht="26" customHeight="1">
      <c r="A31" s="7" t="inlineStr">
        <is>
          <t>Description:</t>
        </is>
      </c>
      <c r="B31" s="8" t="inlineStr">
        <is>
          <t>Physical wetland parameters that define treatment capacity and value per unit.</t>
        </is>
      </c>
    </row>
    <row r="32" ht="13" customHeight="1">
      <c r="A32" s="7" t="inlineStr">
        <is>
          <t>Purpose:</t>
        </is>
      </c>
      <c r="B32" s="8" t="inlineStr">
        <is>
          <t>Establish the operational scale for all calculations</t>
        </is>
      </c>
    </row>
    <row r="33" ht="26" customHeight="1">
      <c r="A33" s="7" t="inlineStr">
        <is>
          <t>Assumptions:</t>
        </is>
      </c>
      <c r="B33" s="8" t="inlineStr">
        <is>
          <t>- Standard 1.0 ha design based on Kearl pilot scaling
- HLR of 0.05 m3/m2/day is conservative for constructed wetlands</t>
        </is>
      </c>
    </row>
    <row r="34" ht="26" customHeight="1">
      <c r="A34" s="7" t="inlineStr">
        <is>
          <t>Data Source:</t>
        </is>
      </c>
      <c r="B34" s="8" t="inlineStr">
        <is>
          <t>Kearl pilot scaling (0.76 ha) extrapolated to standard design</t>
        </is>
      </c>
    </row>
    <row r="35" ht="13" customHeight="1">
      <c r="A35" s="7" t="inlineStr">
        <is>
          <t>Related Tables:</t>
        </is>
      </c>
      <c r="B35" s="8" t="inlineStr">
        <is>
          <t>tbl_TreatmentKinetics</t>
        </is>
      </c>
    </row>
    <row r="36">
      <c r="A36" s="9" t="inlineStr">
        <is>
          <t>Parameter</t>
        </is>
      </c>
      <c r="B36" s="9" t="inlineStr">
        <is>
          <t>Value</t>
        </is>
      </c>
      <c r="C36" s="9" t="inlineStr">
        <is>
          <t>Unit</t>
        </is>
      </c>
      <c r="D36" s="9" t="inlineStr">
        <is>
          <t>Source</t>
        </is>
      </c>
    </row>
    <row r="37">
      <c r="A37" t="inlineStr">
        <is>
          <t>WetlandAreaHa</t>
        </is>
      </c>
      <c r="B37" s="10" t="n">
        <v>1</v>
      </c>
      <c r="C37" t="inlineStr">
        <is>
          <t>ha</t>
        </is>
      </c>
      <c r="D37" t="inlineStr">
        <is>
          <t>Standard design (Kearl pilot = 0.76 ha)</t>
        </is>
      </c>
    </row>
    <row r="38">
      <c r="A38" t="inlineStr">
        <is>
          <t>TreatmentCells</t>
        </is>
      </c>
      <c r="B38" s="10" t="n">
        <v>5</v>
      </c>
      <c r="C38" t="inlineStr">
        <is>
          <t>count</t>
        </is>
      </c>
      <c r="D38" t="inlineStr">
        <is>
          <t>Multi-cell design</t>
        </is>
      </c>
    </row>
    <row r="39">
      <c r="A39" t="inlineStr">
        <is>
          <t>AnnualThroughputM3</t>
        </is>
      </c>
      <c r="B39" s="10" t="n">
        <v>50000</v>
      </c>
      <c r="C39" t="inlineStr">
        <is>
          <t>m3/yr</t>
        </is>
      </c>
      <c r="D39" t="inlineStr">
        <is>
          <t>HLR = 0.05 m3/m2/day</t>
        </is>
      </c>
    </row>
    <row r="40">
      <c r="A40" t="inlineStr">
        <is>
          <t>ValuePerM3</t>
        </is>
      </c>
      <c r="B40" s="14" t="n">
        <v>5</v>
      </c>
      <c r="C40" t="inlineStr">
        <is>
          <t>$/m3</t>
        </is>
      </c>
      <c r="D40" t="inlineStr">
        <is>
          <t>$250K/yr / 50K m3/yr (Section 6)</t>
        </is>
      </c>
    </row>
    <row r="41"/>
    <row r="42"/>
    <row r="43">
      <c r="A43" s="6" t="inlineStr">
        <is>
          <t>C. Cost Parameters</t>
        </is>
      </c>
    </row>
    <row r="44" ht="26" customHeight="1">
      <c r="A44" s="7" t="inlineStr">
        <is>
          <t>Description:</t>
        </is>
      </c>
      <c r="B44" s="8" t="inlineStr">
        <is>
          <t>Operational cost assumptions for labor, penalties, and downtime.</t>
        </is>
      </c>
    </row>
    <row r="45" ht="26" customHeight="1">
      <c r="A45" s="7" t="inlineStr">
        <is>
          <t>Purpose:</t>
        </is>
      </c>
      <c r="B45" s="8" t="inlineStr">
        <is>
          <t>Enable cost-benefit calculations for testing options</t>
        </is>
      </c>
    </row>
    <row r="46" ht="39" customHeight="1">
      <c r="A46" s="7" t="inlineStr">
        <is>
          <t>Assumptions:</t>
        </is>
      </c>
      <c r="B46" s="8" t="inlineStr">
        <is>
          <t>- Labor costs include all direct operational expenses
- Regulatory penalty reflects typical EPEA violation costs</t>
        </is>
      </c>
    </row>
    <row r="47" ht="26" customHeight="1">
      <c r="A47" s="7" t="inlineStr">
        <is>
          <t>Data Source:</t>
        </is>
      </c>
      <c r="B47" s="8" t="inlineStr">
        <is>
          <t>Industry estimates from Financial Model Framework v2.1</t>
        </is>
      </c>
    </row>
    <row r="48" ht="13" customHeight="1">
      <c r="A48" s="7" t="inlineStr">
        <is>
          <t>Related Tables:</t>
        </is>
      </c>
      <c r="B48" s="8" t="inlineStr">
        <is>
          <t>tbl_CostCalc</t>
        </is>
      </c>
    </row>
    <row r="49">
      <c r="A49" s="9" t="inlineStr">
        <is>
          <t>Parameter</t>
        </is>
      </c>
      <c r="B49" s="9" t="inlineStr">
        <is>
          <t>Value</t>
        </is>
      </c>
      <c r="C49" s="9" t="inlineStr">
        <is>
          <t>Unit</t>
        </is>
      </c>
    </row>
    <row r="50">
      <c r="A50" t="inlineStr">
        <is>
          <t>LaborPerDay</t>
        </is>
      </c>
      <c r="B50" s="15" t="n">
        <v>1500</v>
      </c>
      <c r="C50" t="inlineStr">
        <is>
          <t>$/day</t>
        </is>
      </c>
    </row>
    <row r="51">
      <c r="A51" t="inlineStr">
        <is>
          <t>RegulatoryPenalty</t>
        </is>
      </c>
      <c r="B51" s="15" t="n">
        <v>50000</v>
      </c>
      <c r="C51" t="inlineStr">
        <is>
          <t>$</t>
        </is>
      </c>
    </row>
    <row r="52">
      <c r="A52" t="inlineStr">
        <is>
          <t>DowntimeCostPerDay</t>
        </is>
      </c>
      <c r="B52" s="15" t="n">
        <v>15000</v>
      </c>
      <c r="C52" t="inlineStr">
        <is>
          <t>$/day</t>
        </is>
      </c>
    </row>
    <row r="53"/>
    <row r="54"/>
    <row r="55">
      <c r="A55" s="6" t="inlineStr">
        <is>
          <t>D. Learning Curve</t>
        </is>
      </c>
    </row>
    <row r="56" ht="39" customHeight="1">
      <c r="A56" s="7" t="inlineStr">
        <is>
          <t>Description:</t>
        </is>
      </c>
      <c r="B56" s="8" t="inlineStr">
        <is>
          <t>Year-over-year efficiency multipliers reflecting operational maturity progression.</t>
        </is>
      </c>
    </row>
    <row r="57" ht="26" customHeight="1">
      <c r="A57" s="7" t="inlineStr">
        <is>
          <t>Purpose:</t>
        </is>
      </c>
      <c r="B57" s="8" t="inlineStr">
        <is>
          <t>Discount early-year value to account for pilot learning and optimization</t>
        </is>
      </c>
    </row>
    <row r="58" ht="39" customHeight="1">
      <c r="A58" s="7" t="inlineStr">
        <is>
          <t>Assumptions:</t>
        </is>
      </c>
      <c r="B58" s="8" t="inlineStr">
        <is>
          <t>- Year 1 at 50% reflects pilot learning phase
- Full maturity (100%) achieved by Year 3</t>
        </is>
      </c>
    </row>
    <row r="59" ht="26" customHeight="1">
      <c r="A59" s="7" t="inlineStr">
        <is>
          <t>Data Source:</t>
        </is>
      </c>
      <c r="B59" s="8" t="inlineStr">
        <is>
          <t>Standard industrial learning curve for new process technology</t>
        </is>
      </c>
    </row>
    <row r="60" ht="13" customHeight="1">
      <c r="A60" s="7" t="inlineStr">
        <is>
          <t>Related Tables:</t>
        </is>
      </c>
      <c r="B60" s="8" t="inlineStr">
        <is>
          <t>tbl_Timeline, tbl_GatedValues</t>
        </is>
      </c>
    </row>
    <row r="61">
      <c r="A61" s="9" t="inlineStr">
        <is>
          <t>Year</t>
        </is>
      </c>
      <c r="B61" s="9" t="inlineStr">
        <is>
          <t>Multiplier</t>
        </is>
      </c>
      <c r="C61" s="9" t="inlineStr">
        <is>
          <t>Notes</t>
        </is>
      </c>
    </row>
    <row r="62">
      <c r="A62" t="n">
        <v>1</v>
      </c>
      <c r="B62" s="10" t="n">
        <v>0.5</v>
      </c>
      <c r="C62" t="inlineStr">
        <is>
          <t>Pilot learning</t>
        </is>
      </c>
    </row>
    <row r="63">
      <c r="A63" t="n">
        <v>2</v>
      </c>
      <c r="B63" s="10" t="n">
        <v>0.75</v>
      </c>
      <c r="C63" t="inlineStr">
        <is>
          <t>Initial optimization</t>
        </is>
      </c>
    </row>
    <row r="64">
      <c r="A64" t="n">
        <v>3</v>
      </c>
      <c r="B64" s="10" t="n">
        <v>1</v>
      </c>
      <c r="C64" t="inlineStr">
        <is>
          <t>Full maturity</t>
        </is>
      </c>
    </row>
    <row r="65">
      <c r="A65" t="n">
        <v>4</v>
      </c>
      <c r="B65" s="10" t="n">
        <v>1</v>
      </c>
      <c r="C65" t="inlineStr">
        <is>
          <t>Steady state</t>
        </is>
      </c>
    </row>
    <row r="66">
      <c r="A66" t="n">
        <v>5</v>
      </c>
      <c r="B66" s="10" t="n">
        <v>1</v>
      </c>
      <c r="C66" t="inlineStr">
        <is>
          <t>Steady state</t>
        </is>
      </c>
    </row>
    <row r="67"/>
    <row r="68"/>
    <row r="69">
      <c r="A69" s="6" t="inlineStr">
        <is>
          <t>E. Test Options</t>
        </is>
      </c>
    </row>
    <row r="70" ht="13" customHeight="1">
      <c r="A70" s="7" t="inlineStr">
        <is>
          <t>Description:</t>
        </is>
      </c>
      <c r="B70" s="8" t="inlineStr">
        <is>
          <t>Testing method specifications including frequency, cost, and result latency.</t>
        </is>
      </c>
    </row>
    <row r="71" ht="13" customHeight="1">
      <c r="A71" s="7" t="inlineStr">
        <is>
          <t>Purpose:</t>
        </is>
      </c>
      <c r="B71" s="8" t="inlineStr">
        <is>
          <t>Compare HRMS lab testing vs real-time biosensor monitoring approaches</t>
        </is>
      </c>
    </row>
    <row r="72" ht="26" customHeight="1">
      <c r="A72" s="7" t="inlineStr">
        <is>
          <t>Assumptions:</t>
        </is>
      </c>
      <c r="B72" s="8" t="inlineStr">
        <is>
          <t>- HRMS costs include lab fees and sample logistics
- Biosensor costs assume deployed hardware and consumables
- Latency includes sample processing and reporting time</t>
        </is>
      </c>
    </row>
    <row r="73" ht="13" customHeight="1">
      <c r="A73" s="7" t="inlineStr">
        <is>
          <t>Data Source:</t>
        </is>
      </c>
      <c r="B73" s="8" t="inlineStr">
        <is>
          <t>HRMS: Commercial lab quotes; Biosensor: Luminous device specifications</t>
        </is>
      </c>
    </row>
    <row r="74" ht="13" customHeight="1">
      <c r="A74" s="7" t="inlineStr">
        <is>
          <t>Related Tables:</t>
        </is>
      </c>
      <c r="B74" s="8" t="inlineStr">
        <is>
          <t>tbl_LatencyGating, tbl_CostCalc</t>
        </is>
      </c>
    </row>
    <row r="75">
      <c r="A75" s="9" t="inlineStr">
        <is>
          <t>Option</t>
        </is>
      </c>
      <c r="B75" s="9" t="inlineStr">
        <is>
          <t>Method</t>
        </is>
      </c>
      <c r="C75" s="9" t="inlineStr">
        <is>
          <t>Interval</t>
        </is>
      </c>
      <c r="D75" s="9" t="inlineStr">
        <is>
          <t>Points</t>
        </is>
      </c>
      <c r="E75" s="9" t="inlineStr">
        <is>
          <t>Cost_Per_Test</t>
        </is>
      </c>
      <c r="F75" s="9" t="inlineStr">
        <is>
          <t>Latency_Days</t>
        </is>
      </c>
    </row>
    <row r="76">
      <c r="A76" t="inlineStr">
        <is>
          <t>Monthly_HRMS</t>
        </is>
      </c>
      <c r="B76" t="inlineStr">
        <is>
          <t>HRMS</t>
        </is>
      </c>
      <c r="C76" t="n">
        <v>30</v>
      </c>
      <c r="D76" t="n">
        <v>2</v>
      </c>
      <c r="E76" s="16" t="n">
        <v>1000</v>
      </c>
      <c r="F76" t="n">
        <v>42</v>
      </c>
    </row>
    <row r="77">
      <c r="A77" t="inlineStr">
        <is>
          <t>Weekly_HRMS</t>
        </is>
      </c>
      <c r="B77" t="inlineStr">
        <is>
          <t>HRMS</t>
        </is>
      </c>
      <c r="C77" t="n">
        <v>7</v>
      </c>
      <c r="D77" t="n">
        <v>2</v>
      </c>
      <c r="E77" s="16" t="n">
        <v>1000</v>
      </c>
      <c r="F77" t="n">
        <v>42</v>
      </c>
    </row>
    <row r="78">
      <c r="A78" t="inlineStr">
        <is>
          <t>Daily_Biosensor</t>
        </is>
      </c>
      <c r="B78" t="inlineStr">
        <is>
          <t>Biosensor</t>
        </is>
      </c>
      <c r="C78" t="n">
        <v>1</v>
      </c>
      <c r="D78" t="n">
        <v>10</v>
      </c>
      <c r="E78" s="16" t="n">
        <v>10</v>
      </c>
      <c r="F78" t="n">
        <v>1</v>
      </c>
    </row>
    <row r="79"/>
    <row r="80">
      <c r="A80" s="6" t="inlineStr">
        <is>
          <t>Latency Gating (Calculated)</t>
        </is>
      </c>
    </row>
    <row r="81" ht="26" customHeight="1">
      <c r="A81" s="7" t="inlineStr">
        <is>
          <t>Description:</t>
        </is>
      </c>
      <c r="B81" s="8" t="inlineStr">
        <is>
          <t>Calculated gate status showing which testing options can capture each value scenario.</t>
        </is>
      </c>
    </row>
    <row r="82" ht="13" customHeight="1">
      <c r="A82" s="7" t="inlineStr">
        <is>
          <t>Purpose:</t>
        </is>
      </c>
      <c r="B82" s="8" t="inlineStr">
        <is>
          <t>Determine ENABLED/BLOCKED status based on latency vs required response time</t>
        </is>
      </c>
    </row>
    <row r="83" ht="39" customHeight="1">
      <c r="A83" s="7" t="inlineStr">
        <is>
          <t>Assumptions:</t>
        </is>
      </c>
      <c r="B83" s="8" t="inlineStr">
        <is>
          <t>- ENABLED if testing latency &lt;= scenario required response days
- BLOCKED if testing latency &gt; scenario required response days
- Gates determine whether value can be captured</t>
        </is>
      </c>
    </row>
    <row r="84" ht="13" customHeight="1">
      <c r="A84" s="7" t="inlineStr">
        <is>
          <t>Data Source:</t>
        </is>
      </c>
      <c r="B84" s="8" t="inlineStr">
        <is>
          <t>Calculated from tbl_TestOptions latency vs tbl_ValueScenarios requirements</t>
        </is>
      </c>
    </row>
    <row r="85" ht="13" customHeight="1">
      <c r="A85" s="7" t="inlineStr">
        <is>
          <t>Related Tables:</t>
        </is>
      </c>
      <c r="B85" s="8" t="inlineStr">
        <is>
          <t>tbl_TestOptions, tbl_ValueScenarios, tbl_GatedValues</t>
        </is>
      </c>
    </row>
    <row r="86">
      <c r="A86" s="9" t="inlineStr">
        <is>
          <t>Option</t>
        </is>
      </c>
      <c r="B86" s="9" t="inlineStr">
        <is>
          <t>S1_Gate</t>
        </is>
      </c>
      <c r="C86" s="9" t="inlineStr">
        <is>
          <t>S2_Gate</t>
        </is>
      </c>
      <c r="D86" s="9" t="inlineStr">
        <is>
          <t>S3_Gate</t>
        </is>
      </c>
      <c r="E86" s="9" t="inlineStr">
        <is>
          <t>S4_Gate</t>
        </is>
      </c>
    </row>
    <row r="87">
      <c r="A87" t="inlineStr">
        <is>
          <t>Monthly_HRMS</t>
        </is>
      </c>
      <c r="B87">
        <f>IF(INDEX(TestOpt_Latency,1)&lt;=7,"ENABLED","BLOCKED")</f>
        <v/>
      </c>
      <c r="C87">
        <f>IF(INDEX(TestOpt_Latency,1)&lt;=7,"ENABLED","BLOCKED")</f>
        <v/>
      </c>
      <c r="D87">
        <f>IF(INDEX(TestOpt_Latency,1)&lt;=14,"ENABLED","BLOCKED")</f>
        <v/>
      </c>
      <c r="E87">
        <f>IF(INDEX(TestOpt_Latency,1)&lt;=3,"ENABLED","BLOCKED")</f>
        <v/>
      </c>
    </row>
    <row r="88">
      <c r="A88" t="inlineStr">
        <is>
          <t>Weekly_HRMS</t>
        </is>
      </c>
      <c r="B88">
        <f>IF(INDEX(TestOpt_Latency,2)&lt;=7,"ENABLED","BLOCKED")</f>
        <v/>
      </c>
      <c r="C88">
        <f>IF(INDEX(TestOpt_Latency,2)&lt;=7,"ENABLED","BLOCKED")</f>
        <v/>
      </c>
      <c r="D88">
        <f>IF(INDEX(TestOpt_Latency,2)&lt;=14,"ENABLED","BLOCKED")</f>
        <v/>
      </c>
      <c r="E88">
        <f>IF(INDEX(TestOpt_Latency,2)&lt;=3,"ENABLED","BLOCKED")</f>
        <v/>
      </c>
    </row>
    <row r="89">
      <c r="A89" t="inlineStr">
        <is>
          <t>Daily_Biosensor</t>
        </is>
      </c>
      <c r="B89">
        <f>IF(INDEX(TestOpt_Latency,3)&lt;=7,"ENABLED","BLOCKED")</f>
        <v/>
      </c>
      <c r="C89">
        <f>IF(INDEX(TestOpt_Latency,3)&lt;=7,"ENABLED","BLOCKED")</f>
        <v/>
      </c>
      <c r="D89">
        <f>IF(INDEX(TestOpt_Latency,3)&lt;=14,"ENABLED","BLOCKED")</f>
        <v/>
      </c>
      <c r="E89">
        <f>IF(INDEX(TestOpt_Latency,3)&lt;=3,"ENABLED","BLOCKED")</f>
        <v/>
      </c>
    </row>
    <row r="90"/>
    <row r="91"/>
    <row r="92">
      <c r="A92" s="4" t="inlineStr">
        <is>
          <t>F. VALIDATION LISTS</t>
        </is>
      </c>
    </row>
    <row r="93">
      <c r="A93" t="inlineStr">
        <is>
          <t>Testing_Options</t>
        </is>
      </c>
      <c r="B93" t="inlineStr">
        <is>
          <t>Scenarios</t>
        </is>
      </c>
    </row>
    <row r="94">
      <c r="A94" t="inlineStr">
        <is>
          <t>Monthly_HRMS</t>
        </is>
      </c>
      <c r="B94" t="inlineStr">
        <is>
          <t>Base</t>
        </is>
      </c>
    </row>
    <row r="95">
      <c r="A95" t="inlineStr">
        <is>
          <t>Weekly_HRMS</t>
        </is>
      </c>
      <c r="B95" t="inlineStr">
        <is>
          <t>Conservative</t>
        </is>
      </c>
    </row>
    <row r="96">
      <c r="A96" t="inlineStr">
        <is>
          <t>Daily_Biosensor</t>
        </is>
      </c>
      <c r="B96" t="inlineStr">
        <is>
          <t>Optimistic</t>
        </is>
      </c>
    </row>
    <row r="97"/>
    <row r="98">
      <c r="A98" s="4" t="inlineStr">
        <is>
          <t>G. MC ANCHOR</t>
        </is>
      </c>
    </row>
    <row r="99">
      <c r="A99" t="inlineStr">
        <is>
          <t>MC_Anchor --&gt;</t>
        </is>
      </c>
    </row>
    <row r="100"/>
    <row r="101">
      <c r="A101" s="6" t="inlineStr">
        <is>
          <t>H. Treatment Kinetics</t>
        </is>
      </c>
    </row>
    <row r="102" ht="26" customHeight="1">
      <c r="A102" s="7" t="inlineStr">
        <is>
          <t>Description:</t>
        </is>
      </c>
      <c r="B102" s="8" t="inlineStr">
        <is>
          <t>NAFC removal rate parameters from Kearl 2022 pilot field data.</t>
        </is>
      </c>
    </row>
    <row r="103" ht="26" customHeight="1">
      <c r="A103" s="7" t="inlineStr">
        <is>
          <t>Purpose:</t>
        </is>
      </c>
      <c r="B103" s="8" t="inlineStr">
        <is>
          <t>Model treatment progression and time-to-compliance calculations</t>
        </is>
      </c>
    </row>
    <row r="104" ht="39" customHeight="1">
      <c r="A104" s="7" t="inlineStr">
        <is>
          <t>Assumptions:</t>
        </is>
      </c>
      <c r="B104" s="8" t="inlineStr">
        <is>
          <t>- Biphasic removal: rapid initial phase (Days 0-15) then slower steady state
- Rates calibrated from Vander Meulen &amp; Headley (2024) GROW presentation</t>
        </is>
      </c>
    </row>
    <row r="105" ht="26" customHeight="1">
      <c r="A105" s="7" t="inlineStr">
        <is>
          <t>Data Source:</t>
        </is>
      </c>
      <c r="B105" s="8" t="inlineStr">
        <is>
          <t>Kearl 2022 pilot data - Vander Meulen &amp; Headley GROW presentation</t>
        </is>
      </c>
    </row>
    <row r="106" ht="13" customHeight="1">
      <c r="A106" s="7" t="inlineStr">
        <is>
          <t>Related Tables:</t>
        </is>
      </c>
      <c r="B106" s="8" t="inlineStr">
        <is>
          <t>tbl_ToxicityMilestones, tbl_Stochastic</t>
        </is>
      </c>
    </row>
    <row r="107">
      <c r="A107" s="9" t="inlineStr">
        <is>
          <t>Parameter</t>
        </is>
      </c>
      <c r="B107" s="9" t="inlineStr">
        <is>
          <t>Value</t>
        </is>
      </c>
      <c r="C107" s="9" t="inlineStr">
        <is>
          <t>Unit</t>
        </is>
      </c>
      <c r="D107" s="9" t="inlineStr">
        <is>
          <t>Notes</t>
        </is>
      </c>
    </row>
    <row r="108">
      <c r="A108" t="inlineStr">
        <is>
          <t>Initial_NAFC</t>
        </is>
      </c>
      <c r="B108" s="17" t="n">
        <v>63.1</v>
      </c>
      <c r="C108" t="inlineStr">
        <is>
          <t>mg/L</t>
        </is>
      </c>
      <c r="D108" t="inlineStr">
        <is>
          <t>Kearl 2022 Day 0 concentration</t>
        </is>
      </c>
    </row>
    <row r="109">
      <c r="A109" t="inlineStr">
        <is>
          <t>Target_NAFC</t>
        </is>
      </c>
      <c r="B109" s="17" t="n">
        <v>50</v>
      </c>
      <c r="C109" t="inlineStr">
        <is>
          <t>mg/L</t>
        </is>
      </c>
      <c r="D109" t="inlineStr">
        <is>
          <t>Regulatory threshold for non-toxicity</t>
        </is>
      </c>
    </row>
    <row r="110">
      <c r="A110" t="inlineStr">
        <is>
          <t>Rapid_Phase_Rate</t>
        </is>
      </c>
      <c r="B110" s="17" t="n">
        <v>0.532</v>
      </c>
      <c r="C110" t="inlineStr">
        <is>
          <t>mg/L/day</t>
        </is>
      </c>
      <c r="D110" t="inlineStr">
        <is>
          <t>Kearl Days 0-15 (R^2=0.43)</t>
        </is>
      </c>
    </row>
    <row r="111">
      <c r="A111" t="inlineStr">
        <is>
          <t>Slow_Phase_Rate</t>
        </is>
      </c>
      <c r="B111" s="17" t="n">
        <v>0.248</v>
      </c>
      <c r="C111" t="inlineStr">
        <is>
          <t>mg/L/day</t>
        </is>
      </c>
      <c r="D111" t="inlineStr">
        <is>
          <t>Kearl Days 30-69 (R^2=0.50)</t>
        </is>
      </c>
    </row>
    <row r="112">
      <c r="A112" t="inlineStr">
        <is>
          <t>Rapid_Phase_Duration</t>
        </is>
      </c>
      <c r="B112" s="10" t="n">
        <v>15</v>
      </c>
      <c r="C112" t="inlineStr">
        <is>
          <t>days</t>
        </is>
      </c>
      <c r="D112" t="inlineStr">
        <is>
          <t>Duration of rapid removal phase</t>
        </is>
      </c>
    </row>
    <row r="113">
      <c r="A113" t="inlineStr">
        <is>
          <t>Recirculation_Cycle</t>
        </is>
      </c>
      <c r="B113" s="10" t="n">
        <v>14</v>
      </c>
      <c r="C113" t="inlineStr">
        <is>
          <t>days</t>
        </is>
      </c>
      <c r="D113" t="inlineStr">
        <is>
          <t>Standard wetland recirculation</t>
        </is>
      </c>
    </row>
    <row r="114">
      <c r="A114" t="inlineStr">
        <is>
          <t>System_Capacity</t>
        </is>
      </c>
      <c r="B114" s="10" t="n">
        <v>8772</v>
      </c>
      <c r="C114" t="inlineStr">
        <is>
          <t>m3</t>
        </is>
      </c>
      <c r="D114" t="inlineStr">
        <is>
          <t>Kearl 4-bay system volume</t>
        </is>
      </c>
    </row>
    <row r="115"/>
    <row r="116"/>
    <row r="117">
      <c r="A117" s="6" t="inlineStr">
        <is>
          <t>I. Toxicity Milestones</t>
        </is>
      </c>
    </row>
    <row r="118" ht="26" customHeight="1">
      <c r="A118" s="7" t="inlineStr">
        <is>
          <t>Description:</t>
        </is>
      </c>
      <c r="B118" s="8" t="inlineStr">
        <is>
          <t>Fathead minnow embryo survival endpoints marking treatment progress toward non-toxicity.</t>
        </is>
      </c>
    </row>
    <row r="119" ht="26" customHeight="1">
      <c r="A119" s="7" t="inlineStr">
        <is>
          <t>Purpose:</t>
        </is>
      </c>
      <c r="B119" s="8" t="inlineStr">
        <is>
          <t>Define compliance milestones for treatment effectiveness tracking</t>
        </is>
      </c>
    </row>
    <row r="120" ht="26" customHeight="1">
      <c r="A120" s="7" t="inlineStr">
        <is>
          <t>Assumptions:</t>
        </is>
      </c>
      <c r="B120" s="8" t="inlineStr">
        <is>
          <t>- LC50 at Day 14 marks start of toxicity reduction
- Non-toxic threshold (&gt;90% survival) typically achieved by Day 42</t>
        </is>
      </c>
    </row>
    <row r="121" ht="13" customHeight="1">
      <c r="A121" s="7" t="inlineStr">
        <is>
          <t>Data Source:</t>
        </is>
      </c>
      <c r="B121" s="8" t="inlineStr">
        <is>
          <t>Parrott Lab (Burlington) fathead minnow embryo bioassays</t>
        </is>
      </c>
    </row>
    <row r="122" ht="13" customHeight="1">
      <c r="A122" s="7" t="inlineStr">
        <is>
          <t>Related Tables:</t>
        </is>
      </c>
      <c r="B122" s="8" t="inlineStr">
        <is>
          <t>tbl_TreatmentKinetics</t>
        </is>
      </c>
    </row>
    <row r="123">
      <c r="A123" s="9" t="inlineStr">
        <is>
          <t>Milestone</t>
        </is>
      </c>
      <c r="B123" s="9" t="inlineStr">
        <is>
          <t>Days</t>
        </is>
      </c>
      <c r="C123" s="9" t="inlineStr">
        <is>
          <t>Survival</t>
        </is>
      </c>
      <c r="D123" s="9" t="inlineStr">
        <is>
          <t>Notes</t>
        </is>
      </c>
    </row>
    <row r="124">
      <c r="A124" t="inlineStr">
        <is>
          <t>Day_LC50</t>
        </is>
      </c>
      <c r="B124" s="10" t="n">
        <v>14</v>
      </c>
      <c r="C124" t="inlineStr">
        <is>
          <t>50%</t>
        </is>
      </c>
      <c r="D124" t="inlineStr">
        <is>
          <t>1 recirculation cycle - LC50 threshold</t>
        </is>
      </c>
    </row>
    <row r="125">
      <c r="A125" t="inlineStr">
        <is>
          <t>Day_80_Survival</t>
        </is>
      </c>
      <c r="B125" s="10" t="n">
        <v>28</v>
      </c>
      <c r="C125" t="inlineStr">
        <is>
          <t>80-90%</t>
        </is>
      </c>
      <c r="D125" t="inlineStr">
        <is>
          <t>2 recirculation cycles</t>
        </is>
      </c>
    </row>
    <row r="126">
      <c r="A126" t="inlineStr">
        <is>
          <t>Day_Nontoxic</t>
        </is>
      </c>
      <c r="B126" s="10" t="n">
        <v>42</v>
      </c>
      <c r="C126" t="inlineStr">
        <is>
          <t>&gt;90%</t>
        </is>
      </c>
      <c r="D126" t="inlineStr">
        <is>
          <t>3 cycles - equivalent to negative control</t>
        </is>
      </c>
    </row>
  </sheetData>
  <mergeCells count="45">
    <mergeCell ref="B47:C47"/>
    <mergeCell ref="B120:D120"/>
    <mergeCell ref="B83:E83"/>
    <mergeCell ref="B59:C59"/>
    <mergeCell ref="B8:D8"/>
    <mergeCell ref="B72:F72"/>
    <mergeCell ref="B17:D17"/>
    <mergeCell ref="B46:C46"/>
    <mergeCell ref="B119:D119"/>
    <mergeCell ref="B71:F71"/>
    <mergeCell ref="B56:C56"/>
    <mergeCell ref="B85:E85"/>
    <mergeCell ref="B103:D103"/>
    <mergeCell ref="B34:D34"/>
    <mergeCell ref="B58:C58"/>
    <mergeCell ref="B70:F70"/>
    <mergeCell ref="B19:D19"/>
    <mergeCell ref="B48:C48"/>
    <mergeCell ref="B118:D118"/>
    <mergeCell ref="B60:C60"/>
    <mergeCell ref="B81:E81"/>
    <mergeCell ref="B57:C57"/>
    <mergeCell ref="B6:D6"/>
    <mergeCell ref="B20:D20"/>
    <mergeCell ref="B33:D33"/>
    <mergeCell ref="B104:D104"/>
    <mergeCell ref="B44:C44"/>
    <mergeCell ref="B5:D5"/>
    <mergeCell ref="B73:F73"/>
    <mergeCell ref="B32:D32"/>
    <mergeCell ref="B4:D4"/>
    <mergeCell ref="B35:D35"/>
    <mergeCell ref="B106:D106"/>
    <mergeCell ref="B7:D7"/>
    <mergeCell ref="B74:F74"/>
    <mergeCell ref="B121:D121"/>
    <mergeCell ref="B31:D31"/>
    <mergeCell ref="B122:D122"/>
    <mergeCell ref="B102:D102"/>
    <mergeCell ref="B82:E82"/>
    <mergeCell ref="B45:C45"/>
    <mergeCell ref="B18:D18"/>
    <mergeCell ref="B21:D21"/>
    <mergeCell ref="B105:D105"/>
    <mergeCell ref="B84:E84"/>
  </mergeCells>
  <pageMargins left="0.75" right="0.75" top="1" bottom="1" header="0.5" footer="0.5"/>
  <tableParts count="9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</tableParts>
</worksheet>
</file>

<file path=xl/worksheets/sheet5.xml><?xml version="1.0" encoding="utf-8"?>
<worksheet xmlns="http://schemas.openxmlformats.org/spreadsheetml/2006/main">
  <sheetPr>
    <tabColor rgb="00FFFF00"/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24" customWidth="1" min="4" max="4"/>
    <col width="40" customWidth="1" min="5" max="5"/>
  </cols>
  <sheetData>
    <row r="1">
      <c r="A1" s="5" t="inlineStr">
        <is>
          <t>Value Scenario Definitions</t>
        </is>
      </c>
    </row>
    <row r="2"/>
    <row r="3">
      <c r="A3" s="6" t="inlineStr">
        <is>
          <t>Value Scenario Definitions</t>
        </is>
      </c>
    </row>
    <row r="4" ht="26" customHeight="1">
      <c r="A4" s="7" t="inlineStr">
        <is>
          <t>Description:</t>
        </is>
      </c>
      <c r="B4" s="8" t="inlineStr">
        <is>
          <t>Four value streams enabled by biosensor monitoring that HRMS testing cannot capture due to latency constraints.</t>
        </is>
      </c>
    </row>
    <row r="5" ht="26" customHeight="1">
      <c r="A5" s="7" t="inlineStr">
        <is>
          <t>Purpose:</t>
        </is>
      </c>
      <c r="B5" s="8" t="inlineStr">
        <is>
          <t>Quantify the annual financial benefit of each operational improvement enabled by real-time monitoring</t>
        </is>
      </c>
    </row>
    <row r="6" ht="52" customHeight="1">
      <c r="A6" s="7" t="inlineStr">
        <is>
          <t>Assumptions:</t>
        </is>
      </c>
      <c r="B6" s="8" t="inlineStr">
        <is>
          <t>- Values are additive (a single biosensor deployment captures all four simultaneously)
- Base values calibrated from $250K/year total operational value allocation
- Required response days based on operational decision-making windows
- HRMS 42-day latency blocks all scenarios; biosensor 1-day latency enables all</t>
        </is>
      </c>
    </row>
    <row r="7" ht="13" customHeight="1">
      <c r="A7" s="7" t="inlineStr">
        <is>
          <t>Data Source:</t>
        </is>
      </c>
      <c r="B7" s="8" t="inlineStr">
        <is>
          <t>Financial Model Framework v2.1 - operational value allocation</t>
        </is>
      </c>
    </row>
    <row r="8" ht="13" customHeight="1">
      <c r="A8" s="7" t="inlineStr">
        <is>
          <t>Related Tables:</t>
        </is>
      </c>
      <c r="B8" s="8" t="inlineStr">
        <is>
          <t>tbl_ModelScenarios, tbl_GatedValues, tbl_LatencyGating</t>
        </is>
      </c>
    </row>
    <row r="9">
      <c r="A9" s="9" t="inlineStr">
        <is>
          <t>ID</t>
        </is>
      </c>
      <c r="B9" s="9" t="inlineStr">
        <is>
          <t>Name</t>
        </is>
      </c>
      <c r="C9" s="9" t="inlineStr">
        <is>
          <t>Base_Value</t>
        </is>
      </c>
      <c r="D9" s="9" t="inlineStr">
        <is>
          <t>Required_Response_Days</t>
        </is>
      </c>
      <c r="E9" s="9" t="inlineStr">
        <is>
          <t>Description</t>
        </is>
      </c>
    </row>
    <row r="10">
      <c r="A10" t="inlineStr">
        <is>
          <t>S1</t>
        </is>
      </c>
      <c r="B10" t="inlineStr">
        <is>
          <t>Season Extension</t>
        </is>
      </c>
      <c r="C10" s="15" t="n">
        <v>104000</v>
      </c>
      <c r="D10" t="n">
        <v>7</v>
      </c>
      <c r="E10" t="inlineStr">
        <is>
          <t>Temperature-based vs calendar shutdown</t>
        </is>
      </c>
    </row>
    <row r="11">
      <c r="A11" t="inlineStr">
        <is>
          <t>S2</t>
        </is>
      </c>
      <c r="B11" t="inlineStr">
        <is>
          <t>Intervention Avoidance</t>
        </is>
      </c>
      <c r="C11" s="15" t="n">
        <v>67500</v>
      </c>
      <c r="D11" t="n">
        <v>7</v>
      </c>
      <c r="E11" t="inlineStr">
        <is>
          <t>Prevented false-positive interventions</t>
        </is>
      </c>
    </row>
    <row r="12">
      <c r="A12" t="inlineStr">
        <is>
          <t>S3</t>
        </is>
      </c>
      <c r="B12" t="inlineStr">
        <is>
          <t>Spatial Routing</t>
        </is>
      </c>
      <c r="C12" s="15" t="n">
        <v>78000</v>
      </c>
      <c r="D12" t="n">
        <v>14</v>
      </c>
      <c r="E12" t="inlineStr">
        <is>
          <t>Route to high-performing cells</t>
        </is>
      </c>
    </row>
    <row r="13">
      <c r="A13" t="inlineStr">
        <is>
          <t>S4</t>
        </is>
      </c>
      <c r="B13" t="inlineStr">
        <is>
          <t>Early Detection</t>
        </is>
      </c>
      <c r="C13" s="15" t="n">
        <v>36000</v>
      </c>
      <c r="D13" t="n">
        <v>3</v>
      </c>
      <c r="E13" t="inlineStr">
        <is>
          <t>Reduced bio-assay costs</t>
        </is>
      </c>
    </row>
    <row r="14"/>
    <row r="15"/>
    <row r="16">
      <c r="A16" s="6" t="inlineStr">
        <is>
          <t>Model Scenarios</t>
        </is>
      </c>
    </row>
    <row r="17" ht="26" customHeight="1">
      <c r="A17" s="7" t="inlineStr">
        <is>
          <t>Description:</t>
        </is>
      </c>
      <c r="B17" s="8" t="inlineStr">
        <is>
          <t>Parameter adjustments for conservative, base, and optimistic financial projections.</t>
        </is>
      </c>
    </row>
    <row r="18" ht="26" customHeight="1">
      <c r="A18" s="7" t="inlineStr">
        <is>
          <t>Purpose:</t>
        </is>
      </c>
      <c r="B18" s="8" t="inlineStr">
        <is>
          <t>Enable sensitivity analysis by adjusting discount rate, growth rate, and risk factors</t>
        </is>
      </c>
    </row>
    <row r="19" ht="52" customHeight="1">
      <c r="A19" s="7" t="inlineStr">
        <is>
          <t>Assumptions:</t>
        </is>
      </c>
      <c r="B19" s="8" t="inlineStr">
        <is>
          <t>- Base scenario uses unadjusted parameters from model inputs
- Conservative adds higher discount (+0.4%), lower growth (-2%), higher risk (+10%)
- Optimistic uses lower discount (-0.3%), higher growth (+1%), lower risk (-10%)</t>
        </is>
      </c>
    </row>
    <row r="20" ht="26" customHeight="1">
      <c r="A20" s="7" t="inlineStr">
        <is>
          <t>Data Source:</t>
        </is>
      </c>
      <c r="B20" s="8" t="inlineStr">
        <is>
          <t>Standard financial modeling practice - scenario analysis parameters</t>
        </is>
      </c>
    </row>
    <row r="21" ht="13" customHeight="1">
      <c r="A21" s="7" t="inlineStr">
        <is>
          <t>Related Tables:</t>
        </is>
      </c>
      <c r="B21" s="8" t="inlineStr">
        <is>
          <t>tbl_ValueScenarios, tbl_Sensitivity</t>
        </is>
      </c>
    </row>
    <row r="22">
      <c r="A22" s="9" t="inlineStr">
        <is>
          <t>Scenario</t>
        </is>
      </c>
      <c r="B22" s="9" t="inlineStr">
        <is>
          <t>Discount_Adj</t>
        </is>
      </c>
      <c r="C22" s="9" t="inlineStr">
        <is>
          <t>Growth_Adj</t>
        </is>
      </c>
      <c r="D22" s="9" t="inlineStr">
        <is>
          <t>Risk_Adj</t>
        </is>
      </c>
    </row>
    <row r="23">
      <c r="A23" t="inlineStr">
        <is>
          <t>Base</t>
        </is>
      </c>
      <c r="B23" s="11" t="n">
        <v>0</v>
      </c>
      <c r="C23" s="11" t="n">
        <v>0</v>
      </c>
      <c r="D23" s="11" t="n">
        <v>0</v>
      </c>
    </row>
    <row r="24">
      <c r="A24" t="inlineStr">
        <is>
          <t>Conservative</t>
        </is>
      </c>
      <c r="B24" s="11" t="n">
        <v>0.004</v>
      </c>
      <c r="C24" s="11" t="n">
        <v>-0.02</v>
      </c>
      <c r="D24" s="11" t="n">
        <v>0.1</v>
      </c>
    </row>
    <row r="25">
      <c r="A25" t="inlineStr">
        <is>
          <t>Optimistic</t>
        </is>
      </c>
      <c r="B25" s="11" t="n">
        <v>-0.003</v>
      </c>
      <c r="C25" s="11" t="n">
        <v>0.01</v>
      </c>
      <c r="D25" s="11" t="n">
        <v>-0.1</v>
      </c>
    </row>
  </sheetData>
  <mergeCells count="10">
    <mergeCell ref="B19:D19"/>
    <mergeCell ref="B8:E8"/>
    <mergeCell ref="B4:E4"/>
    <mergeCell ref="B6:E6"/>
    <mergeCell ref="B17:D17"/>
    <mergeCell ref="B18:D18"/>
    <mergeCell ref="B7:E7"/>
    <mergeCell ref="B21:D21"/>
    <mergeCell ref="B5:E5"/>
    <mergeCell ref="B20:D20"/>
  </mergeCell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tabColor rgb="00FFFF00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35" customWidth="1" min="6" max="6"/>
  </cols>
  <sheetData>
    <row r="1">
      <c r="A1" s="5" t="inlineStr">
        <is>
          <t>Monte Carlo Distribution Parameters</t>
        </is>
      </c>
    </row>
    <row r="2"/>
    <row r="3">
      <c r="A3" s="6" t="inlineStr">
        <is>
          <t>Triangular Distributions</t>
        </is>
      </c>
    </row>
    <row r="4" ht="26" customHeight="1">
      <c r="A4" s="7" t="inlineStr">
        <is>
          <t>Description:</t>
        </is>
      </c>
      <c r="B4" s="8" t="inlineStr">
        <is>
          <t>Monte Carlo input parameters using triangular probability distributions for key uncertain variables.</t>
        </is>
      </c>
    </row>
    <row r="5" ht="26" customHeight="1">
      <c r="A5" s="7" t="inlineStr">
        <is>
          <t>Purpose:</t>
        </is>
      </c>
      <c r="B5" s="8" t="inlineStr">
        <is>
          <t>Define the uncertainty ranges for stochastic variables that drive value scenario calculations</t>
        </is>
      </c>
    </row>
    <row r="6" ht="52" customHeight="1">
      <c r="A6" s="7" t="inlineStr">
        <is>
          <t>Assumptions:</t>
        </is>
      </c>
      <c r="B6" s="8" t="inlineStr">
        <is>
          <t>- Triangular distribution selected for interpretability with stakeholders
- Min/Max represent 10th/90th percentile expert estimates, not absolute bounds
- Mode represents the most likely value (base case assumption)
- Variables are assumed independent (no correlation modeled)</t>
        </is>
      </c>
    </row>
    <row r="7" ht="13" customHeight="1">
      <c r="A7" s="7" t="inlineStr">
        <is>
          <t>Data Source:</t>
        </is>
      </c>
      <c r="B7" s="8" t="inlineStr">
        <is>
          <t>Expert judgment calibrated against Financial Model Framework v2.1</t>
        </is>
      </c>
    </row>
    <row r="8" ht="13" customHeight="1">
      <c r="A8" s="7" t="inlineStr">
        <is>
          <t>Related Tables:</t>
        </is>
      </c>
      <c r="B8" s="8" t="inlineStr">
        <is>
          <t>tbl_Stochastic, tbl_GatedValues, tbl_ValueScenarios</t>
        </is>
      </c>
    </row>
    <row r="9">
      <c r="A9" s="9" t="inlineStr">
        <is>
          <t>Variable</t>
        </is>
      </c>
      <c r="B9" s="9" t="inlineStr">
        <is>
          <t>Min</t>
        </is>
      </c>
      <c r="C9" s="9" t="inlineStr">
        <is>
          <t>Mode</t>
        </is>
      </c>
      <c r="D9" s="9" t="inlineStr">
        <is>
          <t>Max</t>
        </is>
      </c>
      <c r="E9" s="9" t="inlineStr">
        <is>
          <t>Units</t>
        </is>
      </c>
    </row>
    <row r="10">
      <c r="A10" t="inlineStr">
        <is>
          <t>Season_Extension_Days</t>
        </is>
      </c>
      <c r="B10" s="10" t="n">
        <v>14</v>
      </c>
      <c r="C10" s="10" t="n">
        <v>21</v>
      </c>
      <c r="D10" s="10" t="n">
        <v>35</v>
      </c>
      <c r="E10" t="inlineStr">
        <is>
          <t>days</t>
        </is>
      </c>
    </row>
    <row r="11">
      <c r="A11" t="inlineStr">
        <is>
          <t>Extension_Value_Per_Day</t>
        </is>
      </c>
      <c r="B11" s="15" t="n">
        <v>3000</v>
      </c>
      <c r="C11" s="15" t="n">
        <v>7500</v>
      </c>
      <c r="D11" s="15" t="n">
        <v>15000</v>
      </c>
      <c r="E11" t="inlineStr">
        <is>
          <t>$/day</t>
        </is>
      </c>
    </row>
    <row r="12">
      <c r="A12" t="inlineStr">
        <is>
          <t>Interventions_Avoided</t>
        </is>
      </c>
      <c r="B12" s="10" t="n">
        <v>1</v>
      </c>
      <c r="C12" s="10" t="n">
        <v>3</v>
      </c>
      <c r="D12" s="10" t="n">
        <v>8</v>
      </c>
      <c r="E12" t="inlineStr">
        <is>
          <t>events</t>
        </is>
      </c>
    </row>
    <row r="13">
      <c r="A13" t="inlineStr">
        <is>
          <t>Treatment_Rate_Factor</t>
        </is>
      </c>
      <c r="B13" s="10" t="n">
        <v>0.7</v>
      </c>
      <c r="C13" s="10" t="n">
        <v>1</v>
      </c>
      <c r="D13" s="10" t="n">
        <v>1.3</v>
      </c>
      <c r="E13" t="inlineStr">
        <is>
          <t>multiplier</t>
        </is>
      </c>
    </row>
    <row r="14"/>
    <row r="15"/>
    <row r="16">
      <c r="A16" s="6" t="inlineStr">
        <is>
          <t>Beta Distributions</t>
        </is>
      </c>
    </row>
    <row r="17" ht="13" customHeight="1">
      <c r="A17" s="7" t="inlineStr">
        <is>
          <t>Description:</t>
        </is>
      </c>
      <c r="B17" s="8" t="inlineStr">
        <is>
          <t>Monte Carlo input parameters using beta distributions for bounded percentage variables.</t>
        </is>
      </c>
    </row>
    <row r="18" ht="13" customHeight="1">
      <c r="A18" s="7" t="inlineStr">
        <is>
          <t>Purpose:</t>
        </is>
      </c>
      <c r="B18" s="8" t="inlineStr">
        <is>
          <t>Model uncertainty in efficiency and probability parameters that must stay within 0-100% bounds</t>
        </is>
      </c>
    </row>
    <row r="19" ht="26" customHeight="1">
      <c r="A19" s="7" t="inlineStr">
        <is>
          <t>Assumptions:</t>
        </is>
      </c>
      <c r="B19" s="8" t="inlineStr">
        <is>
          <t>- Beta distribution ensures values stay within specified bounds
- Alpha/Beta parameters shape the distribution skewness
- Used for variables that represent percentages or bounded factors</t>
        </is>
      </c>
    </row>
    <row r="20" ht="13" customHeight="1">
      <c r="A20" s="7" t="inlineStr">
        <is>
          <t>Data Source:</t>
        </is>
      </c>
      <c r="B20" s="8" t="inlineStr">
        <is>
          <t>Expert judgment for efficiency and probability estimates</t>
        </is>
      </c>
    </row>
    <row r="21" ht="13" customHeight="1">
      <c r="A21" s="7" t="inlineStr">
        <is>
          <t>Related Tables:</t>
        </is>
      </c>
      <c r="B21" s="8" t="inlineStr">
        <is>
          <t>tbl_Triangular, tbl_Stochastic</t>
        </is>
      </c>
    </row>
    <row r="22">
      <c r="A22" s="9" t="inlineStr">
        <is>
          <t>Variable</t>
        </is>
      </c>
      <c r="B22" s="9" t="inlineStr">
        <is>
          <t>Alpha</t>
        </is>
      </c>
      <c r="C22" s="9" t="inlineStr">
        <is>
          <t>Beta</t>
        </is>
      </c>
      <c r="D22" s="9" t="inlineStr">
        <is>
          <t>Min</t>
        </is>
      </c>
      <c r="E22" s="9" t="inlineStr">
        <is>
          <t>Max</t>
        </is>
      </c>
      <c r="F22" s="9" t="inlineStr">
        <is>
          <t>Units</t>
        </is>
      </c>
    </row>
    <row r="23">
      <c r="A23" t="inlineStr">
        <is>
          <t>Efficiency_Gain</t>
        </is>
      </c>
      <c r="B23" s="10" t="n">
        <v>2</v>
      </c>
      <c r="C23" s="10" t="n">
        <v>5</v>
      </c>
      <c r="D23" s="10" t="n">
        <v>0.05</v>
      </c>
      <c r="E23" s="10" t="n">
        <v>0.4</v>
      </c>
      <c r="F23" t="inlineStr">
        <is>
          <t>%</t>
        </is>
      </c>
    </row>
    <row r="24"/>
    <row r="25"/>
    <row r="26">
      <c r="A26" s="6" t="inlineStr">
        <is>
          <t>Value Per M3 Sensitivity Frames</t>
        </is>
      </c>
    </row>
    <row r="27" ht="26" customHeight="1">
      <c r="A27" s="7" t="inlineStr">
        <is>
          <t>Description:</t>
        </is>
      </c>
      <c r="B27" s="8" t="inlineStr">
        <is>
          <t>Alternative value framing approaches for sensitivity analysis and stakeholder communication.</t>
        </is>
      </c>
    </row>
    <row r="28" ht="13" customHeight="1">
      <c r="A28" s="7" t="inlineStr">
        <is>
          <t>Purpose:</t>
        </is>
      </c>
      <c r="B28" s="8" t="inlineStr">
        <is>
          <t>Provide multiple perspectives on value per cubic meter of treated water</t>
        </is>
      </c>
    </row>
    <row r="29" ht="52" customHeight="1">
      <c r="A29" s="7" t="inlineStr">
        <is>
          <t>Assumptions:</t>
        </is>
      </c>
      <c r="B29" s="8" t="inlineStr">
        <is>
          <t>- Operational frame: Direct operational cost savings
- Avoided Treatment frame: Value of alternatives not needed
- ARO Liability frame: Asset retirement obligation cost reduction (Zhang 2026)
- Values are illustrative ranges for framing discussions</t>
        </is>
      </c>
    </row>
    <row r="30" ht="13" customHeight="1">
      <c r="A30" s="7" t="inlineStr">
        <is>
          <t>Data Source:</t>
        </is>
      </c>
      <c r="B30" s="8" t="inlineStr">
        <is>
          <t>Zhang (2026) analysis for ARO frame; operational estimates for others</t>
        </is>
      </c>
    </row>
    <row r="31" ht="13" customHeight="1">
      <c r="A31" s="7" t="inlineStr">
        <is>
          <t>Related Tables:</t>
        </is>
      </c>
      <c r="B31" s="8" t="inlineStr">
        <is>
          <t>tbl_ValueScenarios, tbl_KPIs</t>
        </is>
      </c>
    </row>
    <row r="32">
      <c r="A32" s="9" t="inlineStr">
        <is>
          <t>Frame</t>
        </is>
      </c>
      <c r="B32" s="9" t="inlineStr">
        <is>
          <t>Low</t>
        </is>
      </c>
      <c r="C32" s="9" t="inlineStr">
        <is>
          <t>Base</t>
        </is>
      </c>
      <c r="D32" s="9" t="inlineStr">
        <is>
          <t>High</t>
        </is>
      </c>
      <c r="E32" s="9" t="inlineStr">
        <is>
          <t>Context</t>
        </is>
      </c>
    </row>
    <row r="33">
      <c r="A33" t="inlineStr">
        <is>
          <t>Operational</t>
        </is>
      </c>
      <c r="B33" s="15" t="n">
        <v>3</v>
      </c>
      <c r="C33" s="15" t="n">
        <v>5</v>
      </c>
      <c r="D33" s="15" t="n">
        <v>8</v>
      </c>
      <c r="E33" t="inlineStr">
        <is>
          <t>Direct operational benefit</t>
        </is>
      </c>
    </row>
    <row r="34">
      <c r="A34" t="inlineStr">
        <is>
          <t>Avoided Treatment</t>
        </is>
      </c>
      <c r="B34" s="15" t="n">
        <v>10</v>
      </c>
      <c r="C34" s="15" t="n">
        <v>20</v>
      </c>
      <c r="D34" s="15" t="n">
        <v>30</v>
      </c>
      <c r="E34" t="inlineStr">
        <is>
          <t>Alternative treatment costs</t>
        </is>
      </c>
    </row>
    <row r="35">
      <c r="A35" t="inlineStr">
        <is>
          <t>ARO Liability</t>
        </is>
      </c>
      <c r="B35" s="15" t="n">
        <v>21</v>
      </c>
      <c r="C35" s="15" t="n">
        <v>50</v>
      </c>
      <c r="D35" s="15" t="n">
        <v>93</v>
      </c>
      <c r="E35" t="inlineStr">
        <is>
          <t>Zhang (2026) analysis</t>
        </is>
      </c>
    </row>
  </sheetData>
  <mergeCells count="15">
    <mergeCell ref="B21:F21"/>
    <mergeCell ref="B31:E31"/>
    <mergeCell ref="B27:E27"/>
    <mergeCell ref="B8:E8"/>
    <mergeCell ref="B4:E4"/>
    <mergeCell ref="B20:F20"/>
    <mergeCell ref="B6:E6"/>
    <mergeCell ref="B30:E30"/>
    <mergeCell ref="B19:F19"/>
    <mergeCell ref="B29:E29"/>
    <mergeCell ref="B7:E7"/>
    <mergeCell ref="B5:E5"/>
    <mergeCell ref="B28:E28"/>
    <mergeCell ref="B17:F17"/>
    <mergeCell ref="B18:F18"/>
  </mergeCells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16" customWidth="1" min="3" max="3"/>
    <col width="12" customWidth="1" min="4" max="4"/>
    <col width="14" customWidth="1" min="5" max="5"/>
  </cols>
  <sheetData>
    <row r="1">
      <c r="A1" s="5" t="inlineStr">
        <is>
          <t>Projection Timeline</t>
        </is>
      </c>
    </row>
    <row r="2"/>
    <row r="3">
      <c r="A3" s="18" t="inlineStr">
        <is>
          <t>Understanding the Timeline</t>
        </is>
      </c>
      <c r="B3" s="19" t="n"/>
      <c r="C3" s="19" t="n"/>
      <c r="D3" s="19" t="n"/>
      <c r="E3" s="20" t="n"/>
    </row>
    <row r="4" ht="135" customHeight="1">
      <c r="A4" s="21" t="inlineStr">
        <is>
          <t>This sheet generates the projection timeline used throughout the model.
Key outputs:
- Year numbers (1-5) based on Projection_Years setting
- Calendar years starting from Base_Year
- Month indices for seasonal calculations
The timeline drives all time-dependent calculations in sheets 8-15.
Changing Projection_Years or Base_Year in 1_TOC updates this timeline.</t>
        </is>
      </c>
      <c r="B4" s="19" t="n"/>
      <c r="C4" s="19" t="n"/>
      <c r="D4" s="19" t="n"/>
      <c r="E4" s="20" t="n"/>
    </row>
    <row r="5"/>
    <row r="6">
      <c r="A6" s="6" t="inlineStr">
        <is>
          <t>Projection Timeline</t>
        </is>
      </c>
    </row>
    <row r="7" ht="26" customHeight="1">
      <c r="A7" s="7" t="inlineStr">
        <is>
          <t>Description:</t>
        </is>
      </c>
      <c r="B7" s="8" t="inlineStr">
        <is>
          <t>Year-by-year projection timeline with seasonal month breakdown and learning curve factors.</t>
        </is>
      </c>
    </row>
    <row r="8" ht="13" customHeight="1">
      <c r="A8" s="7" t="inlineStr">
        <is>
          <t>Purpose:</t>
        </is>
      </c>
      <c r="B8" s="8" t="inlineStr">
        <is>
          <t>Generate the time dimension for all financial calculations</t>
        </is>
      </c>
    </row>
    <row r="9" ht="39" customHeight="1">
      <c r="A9" s="7" t="inlineStr">
        <is>
          <t>Assumptions:</t>
        </is>
      </c>
      <c r="B9" s="8" t="inlineStr">
        <is>
          <t>- Projection starts at Base_Year and extends for Projection_Years
- Each year contains 12 months with season flags
- Learning curve multiplier applied from tbl_LearningCurve</t>
        </is>
      </c>
    </row>
    <row r="10" ht="13" customHeight="1">
      <c r="A10" s="7" t="inlineStr">
        <is>
          <t>Data Source:</t>
        </is>
      </c>
      <c r="B10" s="8" t="inlineStr">
        <is>
          <t>Generated from 1_TOC control parameters</t>
        </is>
      </c>
    </row>
    <row r="11" ht="13" customHeight="1">
      <c r="A11" s="7" t="inlineStr">
        <is>
          <t>Related Tables:</t>
        </is>
      </c>
      <c r="B11" s="8" t="inlineStr">
        <is>
          <t>tbl_LearningCurve, tbl_Seasonality, tbl_Annual</t>
        </is>
      </c>
    </row>
    <row r="12">
      <c r="A12" s="9" t="inlineStr">
        <is>
          <t>Year_Index</t>
        </is>
      </c>
      <c r="B12" s="9" t="inlineStr">
        <is>
          <t>Calendar_Year</t>
        </is>
      </c>
      <c r="C12" s="9" t="inlineStr">
        <is>
          <t>Treatment_Days</t>
        </is>
      </c>
      <c r="D12" s="9" t="inlineStr">
        <is>
          <t>Discount_Factor</t>
        </is>
      </c>
      <c r="E12" s="9" t="inlineStr">
        <is>
          <t>Learning_Mult</t>
        </is>
      </c>
    </row>
    <row r="13">
      <c r="A13" t="n">
        <v>0</v>
      </c>
      <c r="B13">
        <f>Base_Year+0</f>
        <v/>
      </c>
      <c r="C13">
        <f>Season_Length</f>
        <v/>
      </c>
      <c r="D13" t="n">
        <v>1</v>
      </c>
      <c r="E13" t="n">
        <v>1</v>
      </c>
    </row>
    <row r="14">
      <c r="A14" t="n">
        <v>1</v>
      </c>
      <c r="B14">
        <f>Base_Year+1</f>
        <v/>
      </c>
      <c r="C14">
        <f>Season_Length</f>
        <v/>
      </c>
      <c r="D14">
        <f>1/(1+Discount_Rate)^1</f>
        <v/>
      </c>
      <c r="E14">
        <f>INDEX(LearningCurve_Mult,1)</f>
        <v/>
      </c>
    </row>
    <row r="15">
      <c r="A15" t="n">
        <v>2</v>
      </c>
      <c r="B15">
        <f>Base_Year+2</f>
        <v/>
      </c>
      <c r="C15">
        <f>Season_Length</f>
        <v/>
      </c>
      <c r="D15">
        <f>1/(1+Discount_Rate)^2</f>
        <v/>
      </c>
      <c r="E15">
        <f>INDEX(LearningCurve_Mult,2)</f>
        <v/>
      </c>
    </row>
    <row r="16">
      <c r="A16" t="n">
        <v>3</v>
      </c>
      <c r="B16">
        <f>Base_Year+3</f>
        <v/>
      </c>
      <c r="C16">
        <f>Season_Length</f>
        <v/>
      </c>
      <c r="D16">
        <f>1/(1+Discount_Rate)^3</f>
        <v/>
      </c>
      <c r="E16">
        <f>INDEX(LearningCurve_Mult,3)</f>
        <v/>
      </c>
    </row>
    <row r="17">
      <c r="A17" t="n">
        <v>4</v>
      </c>
      <c r="B17">
        <f>Base_Year+4</f>
        <v/>
      </c>
      <c r="C17">
        <f>Season_Length</f>
        <v/>
      </c>
      <c r="D17">
        <f>1/(1+Discount_Rate)^4</f>
        <v/>
      </c>
      <c r="E17">
        <f>INDEX(LearningCurve_Mult,4)</f>
        <v/>
      </c>
    </row>
    <row r="18">
      <c r="A18" t="n">
        <v>5</v>
      </c>
      <c r="B18">
        <f>Base_Year+5</f>
        <v/>
      </c>
      <c r="C18">
        <f>Season_Length</f>
        <v/>
      </c>
      <c r="D18">
        <f>1/(1+Discount_Rate)^5</f>
        <v/>
      </c>
      <c r="E18">
        <f>INDEX(LearningCurve_Mult,5)</f>
        <v/>
      </c>
    </row>
    <row r="19"/>
    <row r="20"/>
    <row r="21">
      <c r="A21" s="4" t="inlineStr">
        <is>
          <t>Treatment Kinetics (Kearl 2022)</t>
        </is>
      </c>
    </row>
    <row r="22">
      <c r="A22" s="22" t="inlineStr">
        <is>
          <t>Source: Vander Meulen &amp; Headley (2024) GROW</t>
        </is>
      </c>
    </row>
    <row r="23">
      <c r="A23" s="9" t="inlineStr">
        <is>
          <t>Metric</t>
        </is>
      </c>
      <c r="B23" s="9" t="inlineStr">
        <is>
          <t>Formula</t>
        </is>
      </c>
      <c r="C23" s="9" t="inlineStr">
        <is>
          <t>Value</t>
        </is>
      </c>
      <c r="D23" s="9" t="inlineStr">
        <is>
          <t>Unit</t>
        </is>
      </c>
    </row>
    <row r="24">
      <c r="A24" t="inlineStr">
        <is>
          <t>Eff_Rapid_Rate</t>
        </is>
      </c>
      <c r="B24" t="inlineStr">
        <is>
          <t>'=Rapid_Phase_Rate * Stoch_TreatmentRate</t>
        </is>
      </c>
      <c r="C24" s="23">
        <f>Rapid_Phase_Rate*Stoch_TreatmentRate</f>
        <v/>
      </c>
      <c r="D24" t="inlineStr">
        <is>
          <t>mg/L/day</t>
        </is>
      </c>
    </row>
    <row r="25">
      <c r="A25" t="inlineStr">
        <is>
          <t>Eff_Slow_Rate</t>
        </is>
      </c>
      <c r="B25" t="inlineStr">
        <is>
          <t>'=Slow_Phase_Rate * Stoch_TreatmentRate</t>
        </is>
      </c>
      <c r="C25" s="23">
        <f>Slow_Phase_Rate*Stoch_TreatmentRate</f>
        <v/>
      </c>
      <c r="D25" t="inlineStr">
        <is>
          <t>mg/L/day</t>
        </is>
      </c>
    </row>
    <row r="26">
      <c r="A26" t="inlineStr">
        <is>
          <t>NAFC_After_Rapid</t>
        </is>
      </c>
      <c r="B26" t="inlineStr">
        <is>
          <t>'=MAX(0, Initial - Rate * Duration)</t>
        </is>
      </c>
      <c r="C26" s="24">
        <f>MAX(0,Initial_NAFC-Eff_Rapid_Rate*Rapid_Phase_Duration)</f>
        <v/>
      </c>
      <c r="D26" t="inlineStr">
        <is>
          <t>mg/L</t>
        </is>
      </c>
    </row>
    <row r="27">
      <c r="A27" t="inlineStr">
        <is>
          <t>Days_to_Compliance</t>
        </is>
      </c>
      <c r="B27" t="inlineStr">
        <is>
          <t>Two-phase calculation</t>
        </is>
      </c>
      <c r="C27" s="25">
        <f>IF(Initial_NAFC&lt;=Target_NAFC,0,IF(NAFC_After_Rapid&lt;=Target_NAFC,(Initial_NAFC-Target_NAFC)/Eff_Rapid_Rate,Rapid_Phase_Duration+(NAFC_After_Rapid-Target_NAFC)/Eff_Slow_Rate))</f>
        <v/>
      </c>
      <c r="D27" t="inlineStr">
        <is>
          <t>days</t>
        </is>
      </c>
    </row>
    <row r="28">
      <c r="A28" t="inlineStr">
        <is>
          <t>Circulation_Cycles</t>
        </is>
      </c>
      <c r="B28" t="inlineStr">
        <is>
          <t>'=CEILING(Days / Cycle, 1)</t>
        </is>
      </c>
      <c r="C28" s="26">
        <f>CEILING(Days_to_Compliance/Recirculation_Cycle,1)</f>
        <v/>
      </c>
      <c r="D28" t="inlineStr">
        <is>
          <t>cycles</t>
        </is>
      </c>
    </row>
    <row r="29">
      <c r="A29" t="inlineStr">
        <is>
          <t>Treatment_Efficiency</t>
        </is>
      </c>
      <c r="B29" t="inlineStr">
        <is>
          <t>'=(Initial - Target) / Initial</t>
        </is>
      </c>
      <c r="C29" s="27">
        <f>(Initial_NAFC-Target_NAFC)/Initial_NAFC</f>
        <v/>
      </c>
      <c r="D29" t="inlineStr">
        <is>
          <t>%</t>
        </is>
      </c>
    </row>
    <row r="30">
      <c r="A30" t="inlineStr">
        <is>
          <t>Compliance_Status</t>
        </is>
      </c>
      <c r="B30" t="inlineStr">
        <is>
          <t>Achievable within season?</t>
        </is>
      </c>
      <c r="C30">
        <f>IF(Days_to_Compliance&lt;=Season_Length,"ACHIEVABLE","EXCEEDS SEASON")</f>
        <v/>
      </c>
      <c r="D30" t="inlineStr">
        <is>
          <t>status</t>
        </is>
      </c>
    </row>
  </sheetData>
  <mergeCells count="7">
    <mergeCell ref="B9:E9"/>
    <mergeCell ref="A4:E4"/>
    <mergeCell ref="B8:E8"/>
    <mergeCell ref="B7:E7"/>
    <mergeCell ref="B11:E11"/>
    <mergeCell ref="B10:E10"/>
    <mergeCell ref="A3:E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4472C4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70" customWidth="1" min="3" max="3"/>
  </cols>
  <sheetData>
    <row r="1">
      <c r="A1" s="5" t="inlineStr">
        <is>
          <t>Stochastic Variables</t>
        </is>
      </c>
    </row>
    <row r="2">
      <c r="A2" s="13" t="inlineStr">
        <is>
          <t>(Press F9 to recalculate random draws)</t>
        </is>
      </c>
    </row>
    <row r="3"/>
    <row r="4">
      <c r="A4" s="18" t="inlineStr">
        <is>
          <t>Monte Carlo Random Variables</t>
        </is>
      </c>
      <c r="B4" s="19" t="n"/>
      <c r="C4" s="20" t="n"/>
    </row>
    <row r="5" ht="195" customHeight="1">
      <c r="A5" s="21" t="inlineStr">
        <is>
          <t>This sheet generates random variables for Monte Carlo simulation.
Each variable uses a triangular distribution defined in 5_ServiceModels:
- Min: Worst-case value
- Mode: Most likely value
- Max: Best-case value
The RAND() functions recalculate when you press F9 or Ctrl+Alt+F9.
Sheet 10_Calc_Sim captures 1000 iterations via Excel Data Tables.
Important: These values change on every recalculation. The simulation
statistics (P10, P50, P90) in the Dashboard are calculated from the
1000 captured iterations, not from individual cell values.</t>
        </is>
      </c>
      <c r="B5" s="19" t="n"/>
      <c r="C5" s="20" t="n"/>
    </row>
    <row r="6"/>
    <row r="7">
      <c r="A7" s="6" t="inlineStr">
        <is>
          <t>Stochastic Variables</t>
        </is>
      </c>
    </row>
    <row r="8" ht="39" customHeight="1">
      <c r="A8" s="7" t="inlineStr">
        <is>
          <t>Description:</t>
        </is>
      </c>
      <c r="B8" s="8" t="inlineStr">
        <is>
          <t>Random variable generation using triangular distributions for Monte Carlo simulation.</t>
        </is>
      </c>
    </row>
    <row r="9" ht="26" customHeight="1">
      <c r="A9" s="7" t="inlineStr">
        <is>
          <t>Purpose:</t>
        </is>
      </c>
      <c r="B9" s="8" t="inlineStr">
        <is>
          <t>Generate stochastic multipliers that vary across simulation iterations</t>
        </is>
      </c>
    </row>
    <row r="10" ht="65" customHeight="1">
      <c r="A10" s="7" t="inlineStr">
        <is>
          <t>Assumptions:</t>
        </is>
      </c>
      <c r="B10" s="8" t="inlineStr">
        <is>
          <t>- Uses triangular distribution parameters from 5_ServiceModels
- RAND() functions recalculate on spreadsheet refresh
- Values captured by Data Table in 10_Calc_Sim for 1000 iterations</t>
        </is>
      </c>
    </row>
    <row r="11" ht="26" customHeight="1">
      <c r="A11" s="7" t="inlineStr">
        <is>
          <t>Data Source:</t>
        </is>
      </c>
      <c r="B11" s="8" t="inlineStr">
        <is>
          <t>Distribution parameters from tbl_Triangular and tbl_Beta</t>
        </is>
      </c>
    </row>
    <row r="12" ht="26" customHeight="1">
      <c r="A12" s="7" t="inlineStr">
        <is>
          <t>Related Tables:</t>
        </is>
      </c>
      <c r="B12" s="8" t="inlineStr">
        <is>
          <t>tbl_Triangular, tbl_Beta, tbl_GatedValues</t>
        </is>
      </c>
    </row>
    <row r="13">
      <c r="A13" s="9" t="inlineStr">
        <is>
          <t>Variable</t>
        </is>
      </c>
      <c r="B13" s="9" t="inlineStr">
        <is>
          <t>Random_U</t>
        </is>
      </c>
      <c r="C13" s="9" t="inlineStr">
        <is>
          <t>Realized_Value</t>
        </is>
      </c>
    </row>
    <row r="14">
      <c r="A14" t="inlineStr">
        <is>
          <t>Season_Extension</t>
        </is>
      </c>
      <c r="B14">
        <f>RAND()</f>
        <v/>
      </c>
      <c r="C14">
        <f>IF(B14&lt;(Tri_Season_Extension_Days_Mode-Tri_Season_Extension_Days_Min)/(Tri_Season_Extension_Days_Max-Tri_Season_Extension_Days_Min),Tri_Season_Extension_Days_Min+SQRT(B14*(Tri_Season_Extension_Days_Max-Tri_Season_Extension_Days_Min)*(Tri_Season_Extension_Days_Mode-Tri_Season_Extension_Days_Min)),Tri_Season_Extension_Days_Max-SQRT((1-B14)*(Tri_Season_Extension_Days_Max-Tri_Season_Extension_Days_Min)*(Tri_Season_Extension_Days_Max-Tri_Season_Extension_Days_Mode)))</f>
        <v/>
      </c>
    </row>
    <row r="15">
      <c r="A15" t="inlineStr">
        <is>
          <t>Extension_Value</t>
        </is>
      </c>
      <c r="B15">
        <f>RAND()</f>
        <v/>
      </c>
      <c r="C15">
        <f>IF(B15&lt;(Tri_Extension_Value_Per_Day_Mode-Tri_Extension_Value_Per_Day_Min)/(Tri_Extension_Value_Per_Day_Max-Tri_Extension_Value_Per_Day_Min),Tri_Extension_Value_Per_Day_Min+SQRT(B15*(Tri_Extension_Value_Per_Day_Max-Tri_Extension_Value_Per_Day_Min)*(Tri_Extension_Value_Per_Day_Mode-Tri_Extension_Value_Per_Day_Min)),Tri_Extension_Value_Per_Day_Max-SQRT((1-B15)*(Tri_Extension_Value_Per_Day_Max-Tri_Extension_Value_Per_Day_Min)*(Tri_Extension_Value_Per_Day_Max-Tri_Extension_Value_Per_Day_Mode)))</f>
        <v/>
      </c>
    </row>
    <row r="16">
      <c r="A16" t="inlineStr">
        <is>
          <t>Interventions_Avoided</t>
        </is>
      </c>
      <c r="B16">
        <f>RAND()</f>
        <v/>
      </c>
      <c r="C16">
        <f>IF(B16&lt;(Tri_Interventions_Avoided_Mode-Tri_Interventions_Avoided_Min)/(Tri_Interventions_Avoided_Max-Tri_Interventions_Avoided_Min),Tri_Interventions_Avoided_Min+SQRT(B16*(Tri_Interventions_Avoided_Max-Tri_Interventions_Avoided_Min)*(Tri_Interventions_Avoided_Mode-Tri_Interventions_Avoided_Min)),Tri_Interventions_Avoided_Max-SQRT((1-B16)*(Tri_Interventions_Avoided_Max-Tri_Interventions_Avoided_Min)*(Tri_Interventions_Avoided_Max-Tri_Interventions_Avoided_Mode)))</f>
        <v/>
      </c>
    </row>
    <row r="17">
      <c r="A17" t="inlineStr">
        <is>
          <t>Efficiency_Gain</t>
        </is>
      </c>
      <c r="B17">
        <f>RAND()</f>
        <v/>
      </c>
      <c r="C17">
        <f>Beta_Efficiency_Gain_Min+(Beta_Efficiency_Gain_Max-Beta_Efficiency_Gain_Min)*B17</f>
        <v/>
      </c>
    </row>
    <row r="18">
      <c r="A18" t="inlineStr">
        <is>
          <t>Treatment_Rate_Factor</t>
        </is>
      </c>
      <c r="B18">
        <f>RAND()</f>
        <v/>
      </c>
      <c r="C18">
        <f>IF(B18&lt;(Tri_Treatment_Rate_Factor_Mode-Tri_Treatment_Rate_Factor_Min)/(Tri_Treatment_Rate_Factor_Max-Tri_Treatment_Rate_Factor_Min),Tri_Treatment_Rate_Factor_Min+SQRT(B18*(Tri_Treatment_Rate_Factor_Max-Tri_Treatment_Rate_Factor_Min)*(Tri_Treatment_Rate_Factor_Mode-Tri_Treatment_Rate_Factor_Min)),Tri_Treatment_Rate_Factor_Max-SQRT((1-B18)*(Tri_Treatment_Rate_Factor_Max-Tri_Treatment_Rate_Factor_Min)*(Tri_Treatment_Rate_Factor_Max-Tri_Treatment_Rate_Factor_Mode)))</f>
        <v/>
      </c>
    </row>
  </sheetData>
  <mergeCells count="7">
    <mergeCell ref="A5:C5"/>
    <mergeCell ref="B11:C11"/>
    <mergeCell ref="B10:C10"/>
    <mergeCell ref="B9:C9"/>
    <mergeCell ref="A4:C4"/>
    <mergeCell ref="B8:C8"/>
    <mergeCell ref="B12:C1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4472C4"/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5" t="inlineStr">
        <is>
          <t>Gated Value Calculations</t>
        </is>
      </c>
    </row>
    <row r="2"/>
    <row r="3">
      <c r="A3" s="18" t="inlineStr">
        <is>
          <t>Understanding Gated Value Calculations</t>
        </is>
      </c>
      <c r="B3" s="19" t="n"/>
      <c r="C3" s="19" t="n"/>
      <c r="D3" s="19" t="n"/>
      <c r="E3" s="20" t="n"/>
    </row>
    <row r="4" ht="225" customHeight="1">
      <c r="A4" s="21" t="inlineStr">
        <is>
          <t>This sheet calculates value that HRMS testing CANNOT capture due to its
42-day latency. Each scenario requires a response faster than HRMS allows.
The "Gating" Logic:
- HRMS has 42-day turnaround from sample to results
- All four scenarios require decisions within 3-14 days
- Therefore, HRMS is always BLOCKED; Biosensor (1-day) is ENABLED
Value Calculation:
- Gated_Value = Base_Value x Stoch_Mult (if ENABLED)
- Gated_Value = $0 (if BLOCKED)
Since the selected Testing_Option is Biosensor (1-day latency), all
scenarios are ENABLED and contribute value. If HRMS were selected,
all would be BLOCKED and total value would be $0.</t>
        </is>
      </c>
      <c r="B4" s="19" t="n"/>
      <c r="C4" s="19" t="n"/>
      <c r="D4" s="19" t="n"/>
      <c r="E4" s="20" t="n"/>
    </row>
    <row r="5"/>
    <row r="6">
      <c r="A6" s="6" t="inlineStr">
        <is>
          <t>Gated Value Calculations</t>
        </is>
      </c>
    </row>
    <row r="7" ht="13" customHeight="1">
      <c r="A7" s="7" t="inlineStr">
        <is>
          <t>Description:</t>
        </is>
      </c>
      <c r="B7" s="8" t="inlineStr">
        <is>
          <t>Scenario values after applying latency gating logic and stochastic multipliers.</t>
        </is>
      </c>
    </row>
    <row r="8" ht="26" customHeight="1">
      <c r="A8" s="7" t="inlineStr">
        <is>
          <t>Purpose:</t>
        </is>
      </c>
      <c r="B8" s="8" t="inlineStr">
        <is>
          <t>Calculate the actual value captured based on testing option's ability to meet response time requirements</t>
        </is>
      </c>
    </row>
    <row r="9" ht="52" customHeight="1">
      <c r="A9" s="7" t="inlineStr">
        <is>
          <t>Assumptions:</t>
        </is>
      </c>
      <c r="B9" s="8" t="inlineStr">
        <is>
          <t>- Gate status determined by comparing testing latency to required response time
- ENABLED scenarios: Gated_Value = Base_Value x Stoch_Mult
- BLOCKED scenarios: Gated_Value = $0 (value cannot be captured)
- Stochastic multipliers vary each Monte Carlo iteration</t>
        </is>
      </c>
    </row>
    <row r="10" ht="13" customHeight="1">
      <c r="A10" s="7" t="inlineStr">
        <is>
          <t>Data Source:</t>
        </is>
      </c>
      <c r="B10" s="8" t="inlineStr">
        <is>
          <t>Calculated from tbl_ValueScenarios, tbl_LatencyGating, and tbl_Stochastic</t>
        </is>
      </c>
    </row>
    <row r="11" ht="13" customHeight="1">
      <c r="A11" s="7" t="inlineStr">
        <is>
          <t>Related Tables:</t>
        </is>
      </c>
      <c r="B11" s="8" t="inlineStr">
        <is>
          <t>tbl_ValueScenarios, tbl_LatencyGating, tbl_Stochastic, tbl_ScenarioBreakdown</t>
        </is>
      </c>
    </row>
    <row r="12">
      <c r="A12" s="9" t="inlineStr">
        <is>
          <t>Scenario</t>
        </is>
      </c>
      <c r="B12" s="9" t="inlineStr">
        <is>
          <t>Base_Value</t>
        </is>
      </c>
      <c r="C12" s="9" t="inlineStr">
        <is>
          <t>Gate_Status</t>
        </is>
      </c>
      <c r="D12" s="9" t="inlineStr">
        <is>
          <t>Stoch_Mult</t>
        </is>
      </c>
      <c r="E12" s="9" t="inlineStr">
        <is>
          <t>Gated_Value</t>
        </is>
      </c>
    </row>
    <row r="13">
      <c r="A13" t="inlineStr">
        <is>
          <t>S1_Season_Extension</t>
        </is>
      </c>
      <c r="B13">
        <f>INDEX(Scenario_BaseValues,1)</f>
        <v/>
      </c>
      <c r="C13">
        <f>INDEX(Gate_S1,MATCH(Testing_Option,TestOpt_Option,0))</f>
        <v/>
      </c>
      <c r="D13">
        <f>Stoch_SeasonExt/21</f>
        <v/>
      </c>
      <c r="E13">
        <f>IF(C13="ENABLED",B13*D13,0)</f>
        <v/>
      </c>
    </row>
    <row r="14">
      <c r="A14" t="inlineStr">
        <is>
          <t>S2_Intervention_Avoidance</t>
        </is>
      </c>
      <c r="B14">
        <f>INDEX(Scenario_BaseValues,2)</f>
        <v/>
      </c>
      <c r="C14">
        <f>INDEX(Gate_S2,MATCH(Testing_Option,TestOpt_Option,0))</f>
        <v/>
      </c>
      <c r="D14">
        <f>Stoch_Interventions/3</f>
        <v/>
      </c>
      <c r="E14">
        <f>IF(C14="ENABLED",B14*D14,0)</f>
        <v/>
      </c>
    </row>
    <row r="15">
      <c r="A15" t="inlineStr">
        <is>
          <t>S3_Spatial_Routing</t>
        </is>
      </c>
      <c r="B15">
        <f>INDEX(Scenario_BaseValues,3)</f>
        <v/>
      </c>
      <c r="C15">
        <f>INDEX(Gate_S3,MATCH(Testing_Option,TestOpt_Option,0))</f>
        <v/>
      </c>
      <c r="D15">
        <f>Stoch_Efficiency/0.15</f>
        <v/>
      </c>
      <c r="E15">
        <f>IF(C15="ENABLED",B15*D15,0)</f>
        <v/>
      </c>
    </row>
    <row r="16">
      <c r="A16" t="inlineStr">
        <is>
          <t>S4_Early_Detection</t>
        </is>
      </c>
      <c r="B16">
        <f>INDEX(Scenario_BaseValues,4)</f>
        <v/>
      </c>
      <c r="C16">
        <f>INDEX(Gate_S4,MATCH(Testing_Option,TestOpt_Option,0))</f>
        <v/>
      </c>
      <c r="D16">
        <f>1+Stoch_Efficiency</f>
        <v/>
      </c>
      <c r="E16">
        <f>IF(C16="ENABLED",B16*D16,0)</f>
        <v/>
      </c>
    </row>
    <row r="17"/>
    <row r="18">
      <c r="A18" s="12" t="inlineStr">
        <is>
          <t>Total_Gross_Value</t>
        </is>
      </c>
      <c r="E18" s="16">
        <f>SUM(E13:E16)</f>
        <v/>
      </c>
    </row>
  </sheetData>
  <mergeCells count="7">
    <mergeCell ref="B9:E9"/>
    <mergeCell ref="A4:E4"/>
    <mergeCell ref="B8:E8"/>
    <mergeCell ref="B7:E7"/>
    <mergeCell ref="B11:E11"/>
    <mergeCell ref="B10:E10"/>
    <mergeCell ref="A3:E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4472C4"/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2" customWidth="1" min="1" max="1"/>
    <col width="25" customWidth="1" min="2" max="2"/>
    <col width="18" customWidth="1" min="3" max="3"/>
  </cols>
  <sheetData>
    <row r="1">
      <c r="A1" s="5" t="inlineStr">
        <is>
          <t>Cost Calculations</t>
        </is>
      </c>
    </row>
    <row r="2"/>
    <row r="3">
      <c r="A3" s="18" t="inlineStr">
        <is>
          <t>Understanding Cost Calculations</t>
        </is>
      </c>
      <c r="B3" s="19" t="n"/>
      <c r="C3" s="20" t="n"/>
    </row>
    <row r="4" ht="195" customHeight="1">
      <c r="A4" s="21" t="inlineStr">
        <is>
          <t>This sheet calculates the annual cost of the selected testing approach.
Cost Components:
- Testing frequency: How often samples are taken (daily vs weekly vs monthly)
- Sample points: Number of locations monitored per test event
- Cost per test: Lab analysis cost for HRMS or sensor cost for Biosensor
- Season length: Number of active treatment days per year
Formula: Annual_Cost = (Season_Days / Test_Interval) x Sample_Points x Cost_Per_Test
The testing option parameters come from 3_Assumptions (Test Options table).
Biosensor has higher frequency but much lower cost per test, resulting
in comparable or lower total annual costs with far better data resolution.</t>
        </is>
      </c>
      <c r="B4" s="19" t="n"/>
      <c r="C4" s="20" t="n"/>
    </row>
    <row r="5"/>
    <row r="6">
      <c r="A6" s="6" t="inlineStr">
        <is>
          <t>Cost Calculation</t>
        </is>
      </c>
    </row>
    <row r="7" ht="26" customHeight="1">
      <c r="A7" s="7" t="inlineStr">
        <is>
          <t>Description:</t>
        </is>
      </c>
      <c r="B7" s="8" t="inlineStr">
        <is>
          <t>Annual testing cost breakdown for the selected monitoring approach.</t>
        </is>
      </c>
    </row>
    <row r="8" ht="26" customHeight="1">
      <c r="A8" s="7" t="inlineStr">
        <is>
          <t>Purpose:</t>
        </is>
      </c>
      <c r="B8" s="8" t="inlineStr">
        <is>
          <t>Calculate total cost of testing to include in ROI and NPV calculations</t>
        </is>
      </c>
    </row>
    <row r="9" ht="52" customHeight="1">
      <c r="A9" s="7" t="inlineStr">
        <is>
          <t>Assumptions:</t>
        </is>
      </c>
      <c r="B9" s="8" t="inlineStr">
        <is>
          <t>- Cost = (Season_Days / Test_Interval) x Sample_Points x Cost_Per_Test
- Parameters looked up from tbl_TestOptions based on selected option</t>
        </is>
      </c>
    </row>
    <row r="10" ht="26" customHeight="1">
      <c r="A10" s="7" t="inlineStr">
        <is>
          <t>Data Source:</t>
        </is>
      </c>
      <c r="B10" s="8" t="inlineStr">
        <is>
          <t>Calculated from tbl_TestOptions parameters</t>
        </is>
      </c>
    </row>
    <row r="11" ht="26" customHeight="1">
      <c r="A11" s="7" t="inlineStr">
        <is>
          <t>Related Tables:</t>
        </is>
      </c>
      <c r="B11" s="8" t="inlineStr">
        <is>
          <t>tbl_TestOptions, tbl_CostParams, tbl_Annual</t>
        </is>
      </c>
    </row>
    <row r="12">
      <c r="A12" s="9" t="inlineStr">
        <is>
          <t>Component</t>
        </is>
      </c>
      <c r="B12" s="9" t="inlineStr">
        <is>
          <t>Formula</t>
        </is>
      </c>
      <c r="C12" s="9" t="inlineStr">
        <is>
          <t>Value</t>
        </is>
      </c>
    </row>
    <row r="13">
      <c r="A13" t="inlineStr">
        <is>
          <t>Selected_Option</t>
        </is>
      </c>
      <c r="B13" t="inlineStr">
        <is>
          <t>Testing_Option</t>
        </is>
      </c>
      <c r="C13">
        <f>Testing_Option</f>
        <v/>
      </c>
    </row>
    <row r="14">
      <c r="A14" t="inlineStr">
        <is>
          <t>Interval_Days</t>
        </is>
      </c>
      <c r="B14" t="inlineStr">
        <is>
          <t>INDEX/MATCH</t>
        </is>
      </c>
      <c r="C14">
        <f>INDEX(TestOpt_Interval,MATCH(Testing_Option,TestOpt_Option,0))</f>
        <v/>
      </c>
    </row>
    <row r="15">
      <c r="A15" t="inlineStr">
        <is>
          <t>Monitoring_Points</t>
        </is>
      </c>
      <c r="B15" t="inlineStr">
        <is>
          <t>INDEX/MATCH</t>
        </is>
      </c>
      <c r="C15">
        <f>INDEX(TestOpt_Points,MATCH(Testing_Option,TestOpt_Option,0))</f>
        <v/>
      </c>
    </row>
    <row r="16">
      <c r="A16" t="inlineStr">
        <is>
          <t>Cost_Per_Test</t>
        </is>
      </c>
      <c r="B16" t="inlineStr">
        <is>
          <t>INDEX/MATCH</t>
        </is>
      </c>
      <c r="C16" s="16">
        <f>INDEX(TestOpt_Cost,MATCH(Testing_Option,TestOpt_Option,0))</f>
        <v/>
      </c>
    </row>
    <row r="17">
      <c r="A17" t="inlineStr">
        <is>
          <t>Events_Per_Season</t>
        </is>
      </c>
      <c r="B17" t="inlineStr">
        <is>
          <t>Season_Length / Interval</t>
        </is>
      </c>
      <c r="C17">
        <f>Season_Length/C14</f>
        <v/>
      </c>
    </row>
    <row r="18">
      <c r="A18" t="inlineStr">
        <is>
          <t>Total_Tests</t>
        </is>
      </c>
      <c r="B18" t="inlineStr">
        <is>
          <t>Events * Points</t>
        </is>
      </c>
      <c r="C18">
        <f>C17*C15</f>
        <v/>
      </c>
    </row>
    <row r="19">
      <c r="A19" t="inlineStr">
        <is>
          <t>Season_Testing_Cost</t>
        </is>
      </c>
      <c r="B19" t="inlineStr">
        <is>
          <t>Total_Tests * Cost_Per_Test</t>
        </is>
      </c>
      <c r="C19" s="28">
        <f>C18*C16</f>
        <v/>
      </c>
    </row>
  </sheetData>
  <mergeCells count="7">
    <mergeCell ref="B7:C7"/>
    <mergeCell ref="B11:C11"/>
    <mergeCell ref="B10:C10"/>
    <mergeCell ref="A3:C3"/>
    <mergeCell ref="B9:C9"/>
    <mergeCell ref="A4:C4"/>
    <mergeCell ref="B8:C8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4472C4"/>
    <outlinePr summaryBelow="1" summaryRight="1"/>
    <pageSetUpPr/>
  </sheetPr>
  <dimension ref="A1:O1023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  <col width="8" customWidth="1" min="11" max="11"/>
  </cols>
  <sheetData>
    <row r="1">
      <c r="A1" s="5" t="inlineStr">
        <is>
          <t>Monte Carlo Simulation (1000 iterations)</t>
        </is>
      </c>
      <c r="L1" s="18" t="inlineStr">
        <is>
          <t>Running the Monte Carlo Simulation</t>
        </is>
      </c>
      <c r="M1" s="19" t="n"/>
      <c r="N1" s="19" t="n"/>
      <c r="O1" s="20" t="n"/>
    </row>
    <row r="2" ht="360" customHeight="1">
      <c r="A2" s="13" t="inlineStr">
        <is>
          <t>Select A5:I1005 &gt; Data &gt; What-If Analysis &gt; Data Table</t>
        </is>
      </c>
      <c r="L2" s="21" t="inlineStr">
        <is>
          <t>This sheet captures 1000 iterations using Excel's Data Table feature.
SETUP INSTRUCTIONS:
1. Select the data range A5:I1005 (headers + 1000 rows)
2. Go to Data &gt; What-If Analysis &gt; Data Table
3. Leave "Row input cell" blank
4. For "Column input cell" enter: $K$1 (any blank cell on this sheet)
5. Click OK
HOW IT WORKS:
- Excel recalculates the model 1000 times
- Each row captures one iteration's outputs (NPV, scenario values, costs)
- The Data Table forces RAND() functions to regenerate each iteration
- Results are stored as values, not formulas
RECALCULATING:
- Press Ctrl+Alt+F9 to force full recalculation
- This regenerates all 1000 iterations (may take several seconds)
- Standard F9 only recalculates changed cells
OUTPUT STATISTICS:
- Expected NPV: Mean of 1000 iterations
- P10/P50/P90: Percentile values for confidence intervals
- Prob(NPV&gt;0): Percentage of iterations with positive NPV</t>
        </is>
      </c>
      <c r="M2" s="19" t="n"/>
      <c r="N2" s="19" t="n"/>
      <c r="O2" s="20" t="n"/>
    </row>
    <row r="3">
      <c r="A3" s="13" t="inlineStr">
        <is>
          <t>Column Input Cell: $K$1 (blank cell on this sheet)</t>
        </is>
      </c>
    </row>
    <row r="4">
      <c r="A4" s="12" t="inlineStr">
        <is>
          <t>Iteration</t>
        </is>
      </c>
      <c r="B4" s="12" t="inlineStr">
        <is>
          <t>NPV</t>
        </is>
      </c>
      <c r="C4" s="12" t="inlineStr">
        <is>
          <t>S1</t>
        </is>
      </c>
      <c r="D4" s="12" t="inlineStr">
        <is>
          <t>S2</t>
        </is>
      </c>
      <c r="E4" s="12" t="inlineStr">
        <is>
          <t>S3</t>
        </is>
      </c>
      <c r="F4" s="12" t="inlineStr">
        <is>
          <t>S4</t>
        </is>
      </c>
      <c r="G4" s="12" t="inlineStr">
        <is>
          <t>Cost</t>
        </is>
      </c>
      <c r="H4" s="12" t="inlineStr">
        <is>
          <t>Net</t>
        </is>
      </c>
      <c r="I4" s="12" t="inlineStr">
        <is>
          <t>Days_to_Compliance</t>
        </is>
      </c>
    </row>
    <row r="5">
      <c r="B5" s="16">
        <f>NPV_Total</f>
        <v/>
      </c>
      <c r="C5" s="16">
        <f>S1_Value</f>
        <v/>
      </c>
      <c r="D5" s="16">
        <f>S2_Value</f>
        <v/>
      </c>
      <c r="E5" s="16">
        <f>S3_Value</f>
        <v/>
      </c>
      <c r="F5" s="16">
        <f>S4_Value</f>
        <v/>
      </c>
      <c r="G5" s="16">
        <f>Testing_Cost</f>
        <v/>
      </c>
      <c r="H5" s="16">
        <f>Gross_Value-Testing_Cost</f>
        <v/>
      </c>
      <c r="I5" s="25">
        <f>Days_to_Compliance</f>
        <v/>
      </c>
    </row>
    <row r="6">
      <c r="A6" t="n">
        <v>1</v>
      </c>
    </row>
    <row r="7">
      <c r="A7" t="n">
        <v>2</v>
      </c>
    </row>
    <row r="8">
      <c r="A8" t="n">
        <v>3</v>
      </c>
    </row>
    <row r="9">
      <c r="A9" t="n">
        <v>4</v>
      </c>
    </row>
    <row r="10">
      <c r="A10" t="n">
        <v>5</v>
      </c>
    </row>
    <row r="11">
      <c r="A11" t="n">
        <v>6</v>
      </c>
    </row>
    <row r="12">
      <c r="A12" t="n">
        <v>7</v>
      </c>
    </row>
    <row r="13">
      <c r="A13" t="n">
        <v>8</v>
      </c>
    </row>
    <row r="14">
      <c r="A14" t="n">
        <v>9</v>
      </c>
    </row>
    <row r="15">
      <c r="A15" t="n">
        <v>10</v>
      </c>
    </row>
    <row r="16">
      <c r="A16" t="n">
        <v>11</v>
      </c>
    </row>
    <row r="17">
      <c r="A17" t="n">
        <v>12</v>
      </c>
    </row>
    <row r="18">
      <c r="A18" t="n">
        <v>13</v>
      </c>
    </row>
    <row r="19">
      <c r="A19" t="n">
        <v>14</v>
      </c>
    </row>
    <row r="20">
      <c r="A20" t="n">
        <v>15</v>
      </c>
    </row>
    <row r="21">
      <c r="A21" t="n">
        <v>16</v>
      </c>
    </row>
    <row r="22">
      <c r="A22" t="n">
        <v>17</v>
      </c>
    </row>
    <row r="23">
      <c r="A23" t="n">
        <v>18</v>
      </c>
    </row>
    <row r="24">
      <c r="A24" t="n">
        <v>19</v>
      </c>
    </row>
    <row r="25">
      <c r="A25" t="n">
        <v>20</v>
      </c>
    </row>
    <row r="26">
      <c r="A26" t="n">
        <v>21</v>
      </c>
    </row>
    <row r="27">
      <c r="A27" t="n">
        <v>22</v>
      </c>
    </row>
    <row r="28">
      <c r="A28" t="n">
        <v>23</v>
      </c>
    </row>
    <row r="29">
      <c r="A29" t="n">
        <v>24</v>
      </c>
    </row>
    <row r="30">
      <c r="A30" t="n">
        <v>25</v>
      </c>
    </row>
    <row r="31">
      <c r="A31" t="n">
        <v>26</v>
      </c>
    </row>
    <row r="32">
      <c r="A32" t="n">
        <v>27</v>
      </c>
    </row>
    <row r="33">
      <c r="A33" t="n">
        <v>28</v>
      </c>
    </row>
    <row r="34">
      <c r="A34" t="n">
        <v>29</v>
      </c>
    </row>
    <row r="35">
      <c r="A35" t="n">
        <v>30</v>
      </c>
    </row>
    <row r="36">
      <c r="A36" t="n">
        <v>31</v>
      </c>
    </row>
    <row r="37">
      <c r="A37" t="n">
        <v>32</v>
      </c>
    </row>
    <row r="38">
      <c r="A38" t="n">
        <v>33</v>
      </c>
    </row>
    <row r="39">
      <c r="A39" t="n">
        <v>34</v>
      </c>
    </row>
    <row r="40">
      <c r="A40" t="n">
        <v>35</v>
      </c>
    </row>
    <row r="41">
      <c r="A41" t="n">
        <v>36</v>
      </c>
    </row>
    <row r="42">
      <c r="A42" t="n">
        <v>37</v>
      </c>
    </row>
    <row r="43">
      <c r="A43" t="n">
        <v>38</v>
      </c>
    </row>
    <row r="44">
      <c r="A44" t="n">
        <v>39</v>
      </c>
    </row>
    <row r="45">
      <c r="A45" t="n">
        <v>40</v>
      </c>
    </row>
    <row r="46">
      <c r="A46" t="n">
        <v>41</v>
      </c>
    </row>
    <row r="47">
      <c r="A47" t="n">
        <v>42</v>
      </c>
    </row>
    <row r="48">
      <c r="A48" t="n">
        <v>43</v>
      </c>
    </row>
    <row r="49">
      <c r="A49" t="n">
        <v>44</v>
      </c>
    </row>
    <row r="50">
      <c r="A50" t="n">
        <v>45</v>
      </c>
    </row>
    <row r="51">
      <c r="A51" t="n">
        <v>46</v>
      </c>
    </row>
    <row r="52">
      <c r="A52" t="n">
        <v>47</v>
      </c>
    </row>
    <row r="53">
      <c r="A53" t="n">
        <v>48</v>
      </c>
    </row>
    <row r="54">
      <c r="A54" t="n">
        <v>49</v>
      </c>
    </row>
    <row r="55">
      <c r="A55" t="n">
        <v>50</v>
      </c>
    </row>
    <row r="56">
      <c r="A56" t="n">
        <v>51</v>
      </c>
    </row>
    <row r="57">
      <c r="A57" t="n">
        <v>52</v>
      </c>
    </row>
    <row r="58">
      <c r="A58" t="n">
        <v>53</v>
      </c>
    </row>
    <row r="59">
      <c r="A59" t="n">
        <v>54</v>
      </c>
    </row>
    <row r="60">
      <c r="A60" t="n">
        <v>55</v>
      </c>
    </row>
    <row r="61">
      <c r="A61" t="n">
        <v>56</v>
      </c>
    </row>
    <row r="62">
      <c r="A62" t="n">
        <v>57</v>
      </c>
    </row>
    <row r="63">
      <c r="A63" t="n">
        <v>58</v>
      </c>
    </row>
    <row r="64">
      <c r="A64" t="n">
        <v>59</v>
      </c>
    </row>
    <row r="65">
      <c r="A65" t="n">
        <v>60</v>
      </c>
    </row>
    <row r="66">
      <c r="A66" t="n">
        <v>61</v>
      </c>
    </row>
    <row r="67">
      <c r="A67" t="n">
        <v>62</v>
      </c>
    </row>
    <row r="68">
      <c r="A68" t="n">
        <v>63</v>
      </c>
    </row>
    <row r="69">
      <c r="A69" t="n">
        <v>64</v>
      </c>
    </row>
    <row r="70">
      <c r="A70" t="n">
        <v>65</v>
      </c>
    </row>
    <row r="71">
      <c r="A71" t="n">
        <v>66</v>
      </c>
    </row>
    <row r="72">
      <c r="A72" t="n">
        <v>67</v>
      </c>
    </row>
    <row r="73">
      <c r="A73" t="n">
        <v>68</v>
      </c>
    </row>
    <row r="74">
      <c r="A74" t="n">
        <v>69</v>
      </c>
    </row>
    <row r="75">
      <c r="A75" t="n">
        <v>70</v>
      </c>
    </row>
    <row r="76">
      <c r="A76" t="n">
        <v>71</v>
      </c>
    </row>
    <row r="77">
      <c r="A77" t="n">
        <v>72</v>
      </c>
    </row>
    <row r="78">
      <c r="A78" t="n">
        <v>73</v>
      </c>
    </row>
    <row r="79">
      <c r="A79" t="n">
        <v>74</v>
      </c>
    </row>
    <row r="80">
      <c r="A80" t="n">
        <v>75</v>
      </c>
    </row>
    <row r="81">
      <c r="A81" t="n">
        <v>76</v>
      </c>
    </row>
    <row r="82">
      <c r="A82" t="n">
        <v>77</v>
      </c>
    </row>
    <row r="83">
      <c r="A83" t="n">
        <v>78</v>
      </c>
    </row>
    <row r="84">
      <c r="A84" t="n">
        <v>79</v>
      </c>
    </row>
    <row r="85">
      <c r="A85" t="n">
        <v>80</v>
      </c>
    </row>
    <row r="86">
      <c r="A86" t="n">
        <v>81</v>
      </c>
    </row>
    <row r="87">
      <c r="A87" t="n">
        <v>82</v>
      </c>
    </row>
    <row r="88">
      <c r="A88" t="n">
        <v>83</v>
      </c>
    </row>
    <row r="89">
      <c r="A89" t="n">
        <v>84</v>
      </c>
    </row>
    <row r="90">
      <c r="A90" t="n">
        <v>85</v>
      </c>
    </row>
    <row r="91">
      <c r="A91" t="n">
        <v>86</v>
      </c>
    </row>
    <row r="92">
      <c r="A92" t="n">
        <v>87</v>
      </c>
    </row>
    <row r="93">
      <c r="A93" t="n">
        <v>88</v>
      </c>
    </row>
    <row r="94">
      <c r="A94" t="n">
        <v>89</v>
      </c>
    </row>
    <row r="95">
      <c r="A95" t="n">
        <v>90</v>
      </c>
    </row>
    <row r="96">
      <c r="A96" t="n">
        <v>91</v>
      </c>
    </row>
    <row r="97">
      <c r="A97" t="n">
        <v>92</v>
      </c>
    </row>
    <row r="98">
      <c r="A98" t="n">
        <v>93</v>
      </c>
    </row>
    <row r="99">
      <c r="A99" t="n">
        <v>94</v>
      </c>
    </row>
    <row r="100">
      <c r="A100" t="n">
        <v>95</v>
      </c>
    </row>
    <row r="101">
      <c r="A101" t="n">
        <v>96</v>
      </c>
    </row>
    <row r="102">
      <c r="A102" t="n">
        <v>97</v>
      </c>
    </row>
    <row r="103">
      <c r="A103" t="n">
        <v>98</v>
      </c>
    </row>
    <row r="104">
      <c r="A104" t="n">
        <v>99</v>
      </c>
    </row>
    <row r="105">
      <c r="A105" t="n">
        <v>100</v>
      </c>
    </row>
    <row r="106">
      <c r="A106" t="n">
        <v>101</v>
      </c>
    </row>
    <row r="107">
      <c r="A107" t="n">
        <v>102</v>
      </c>
    </row>
    <row r="108">
      <c r="A108" t="n">
        <v>103</v>
      </c>
    </row>
    <row r="109">
      <c r="A109" t="n">
        <v>104</v>
      </c>
    </row>
    <row r="110">
      <c r="A110" t="n">
        <v>105</v>
      </c>
    </row>
    <row r="111">
      <c r="A111" t="n">
        <v>106</v>
      </c>
    </row>
    <row r="112">
      <c r="A112" t="n">
        <v>107</v>
      </c>
    </row>
    <row r="113">
      <c r="A113" t="n">
        <v>108</v>
      </c>
    </row>
    <row r="114">
      <c r="A114" t="n">
        <v>109</v>
      </c>
    </row>
    <row r="115">
      <c r="A115" t="n">
        <v>110</v>
      </c>
    </row>
    <row r="116">
      <c r="A116" t="n">
        <v>111</v>
      </c>
    </row>
    <row r="117">
      <c r="A117" t="n">
        <v>112</v>
      </c>
    </row>
    <row r="118">
      <c r="A118" t="n">
        <v>113</v>
      </c>
    </row>
    <row r="119">
      <c r="A119" t="n">
        <v>114</v>
      </c>
    </row>
    <row r="120">
      <c r="A120" t="n">
        <v>115</v>
      </c>
    </row>
    <row r="121">
      <c r="A121" t="n">
        <v>116</v>
      </c>
    </row>
    <row r="122">
      <c r="A122" t="n">
        <v>117</v>
      </c>
    </row>
    <row r="123">
      <c r="A123" t="n">
        <v>118</v>
      </c>
    </row>
    <row r="124">
      <c r="A124" t="n">
        <v>119</v>
      </c>
    </row>
    <row r="125">
      <c r="A125" t="n">
        <v>120</v>
      </c>
    </row>
    <row r="126">
      <c r="A126" t="n">
        <v>121</v>
      </c>
    </row>
    <row r="127">
      <c r="A127" t="n">
        <v>122</v>
      </c>
    </row>
    <row r="128">
      <c r="A128" t="n">
        <v>123</v>
      </c>
    </row>
    <row r="129">
      <c r="A129" t="n">
        <v>124</v>
      </c>
    </row>
    <row r="130">
      <c r="A130" t="n">
        <v>125</v>
      </c>
    </row>
    <row r="131">
      <c r="A131" t="n">
        <v>126</v>
      </c>
    </row>
    <row r="132">
      <c r="A132" t="n">
        <v>127</v>
      </c>
    </row>
    <row r="133">
      <c r="A133" t="n">
        <v>128</v>
      </c>
    </row>
    <row r="134">
      <c r="A134" t="n">
        <v>129</v>
      </c>
    </row>
    <row r="135">
      <c r="A135" t="n">
        <v>130</v>
      </c>
    </row>
    <row r="136">
      <c r="A136" t="n">
        <v>131</v>
      </c>
    </row>
    <row r="137">
      <c r="A137" t="n">
        <v>132</v>
      </c>
    </row>
    <row r="138">
      <c r="A138" t="n">
        <v>133</v>
      </c>
    </row>
    <row r="139">
      <c r="A139" t="n">
        <v>134</v>
      </c>
    </row>
    <row r="140">
      <c r="A140" t="n">
        <v>135</v>
      </c>
    </row>
    <row r="141">
      <c r="A141" t="n">
        <v>136</v>
      </c>
    </row>
    <row r="142">
      <c r="A142" t="n">
        <v>137</v>
      </c>
    </row>
    <row r="143">
      <c r="A143" t="n">
        <v>138</v>
      </c>
    </row>
    <row r="144">
      <c r="A144" t="n">
        <v>139</v>
      </c>
    </row>
    <row r="145">
      <c r="A145" t="n">
        <v>140</v>
      </c>
    </row>
    <row r="146">
      <c r="A146" t="n">
        <v>141</v>
      </c>
    </row>
    <row r="147">
      <c r="A147" t="n">
        <v>142</v>
      </c>
    </row>
    <row r="148">
      <c r="A148" t="n">
        <v>143</v>
      </c>
    </row>
    <row r="149">
      <c r="A149" t="n">
        <v>144</v>
      </c>
    </row>
    <row r="150">
      <c r="A150" t="n">
        <v>145</v>
      </c>
    </row>
    <row r="151">
      <c r="A151" t="n">
        <v>146</v>
      </c>
    </row>
    <row r="152">
      <c r="A152" t="n">
        <v>147</v>
      </c>
    </row>
    <row r="153">
      <c r="A153" t="n">
        <v>148</v>
      </c>
    </row>
    <row r="154">
      <c r="A154" t="n">
        <v>149</v>
      </c>
    </row>
    <row r="155">
      <c r="A155" t="n">
        <v>150</v>
      </c>
    </row>
    <row r="156">
      <c r="A156" t="n">
        <v>151</v>
      </c>
    </row>
    <row r="157">
      <c r="A157" t="n">
        <v>152</v>
      </c>
    </row>
    <row r="158">
      <c r="A158" t="n">
        <v>153</v>
      </c>
    </row>
    <row r="159">
      <c r="A159" t="n">
        <v>154</v>
      </c>
    </row>
    <row r="160">
      <c r="A160" t="n">
        <v>155</v>
      </c>
    </row>
    <row r="161">
      <c r="A161" t="n">
        <v>156</v>
      </c>
    </row>
    <row r="162">
      <c r="A162" t="n">
        <v>157</v>
      </c>
    </row>
    <row r="163">
      <c r="A163" t="n">
        <v>158</v>
      </c>
    </row>
    <row r="164">
      <c r="A164" t="n">
        <v>159</v>
      </c>
    </row>
    <row r="165">
      <c r="A165" t="n">
        <v>160</v>
      </c>
    </row>
    <row r="166">
      <c r="A166" t="n">
        <v>161</v>
      </c>
    </row>
    <row r="167">
      <c r="A167" t="n">
        <v>162</v>
      </c>
    </row>
    <row r="168">
      <c r="A168" t="n">
        <v>163</v>
      </c>
    </row>
    <row r="169">
      <c r="A169" t="n">
        <v>164</v>
      </c>
    </row>
    <row r="170">
      <c r="A170" t="n">
        <v>165</v>
      </c>
    </row>
    <row r="171">
      <c r="A171" t="n">
        <v>166</v>
      </c>
    </row>
    <row r="172">
      <c r="A172" t="n">
        <v>167</v>
      </c>
    </row>
    <row r="173">
      <c r="A173" t="n">
        <v>168</v>
      </c>
    </row>
    <row r="174">
      <c r="A174" t="n">
        <v>169</v>
      </c>
    </row>
    <row r="175">
      <c r="A175" t="n">
        <v>170</v>
      </c>
    </row>
    <row r="176">
      <c r="A176" t="n">
        <v>171</v>
      </c>
    </row>
    <row r="177">
      <c r="A177" t="n">
        <v>172</v>
      </c>
    </row>
    <row r="178">
      <c r="A178" t="n">
        <v>173</v>
      </c>
    </row>
    <row r="179">
      <c r="A179" t="n">
        <v>174</v>
      </c>
    </row>
    <row r="180">
      <c r="A180" t="n">
        <v>175</v>
      </c>
    </row>
    <row r="181">
      <c r="A181" t="n">
        <v>176</v>
      </c>
    </row>
    <row r="182">
      <c r="A182" t="n">
        <v>177</v>
      </c>
    </row>
    <row r="183">
      <c r="A183" t="n">
        <v>178</v>
      </c>
    </row>
    <row r="184">
      <c r="A184" t="n">
        <v>179</v>
      </c>
    </row>
    <row r="185">
      <c r="A185" t="n">
        <v>180</v>
      </c>
    </row>
    <row r="186">
      <c r="A186" t="n">
        <v>181</v>
      </c>
    </row>
    <row r="187">
      <c r="A187" t="n">
        <v>182</v>
      </c>
    </row>
    <row r="188">
      <c r="A188" t="n">
        <v>183</v>
      </c>
    </row>
    <row r="189">
      <c r="A189" t="n">
        <v>184</v>
      </c>
    </row>
    <row r="190">
      <c r="A190" t="n">
        <v>185</v>
      </c>
    </row>
    <row r="191">
      <c r="A191" t="n">
        <v>186</v>
      </c>
    </row>
    <row r="192">
      <c r="A192" t="n">
        <v>187</v>
      </c>
    </row>
    <row r="193">
      <c r="A193" t="n">
        <v>188</v>
      </c>
    </row>
    <row r="194">
      <c r="A194" t="n">
        <v>189</v>
      </c>
    </row>
    <row r="195">
      <c r="A195" t="n">
        <v>190</v>
      </c>
    </row>
    <row r="196">
      <c r="A196" t="n">
        <v>191</v>
      </c>
    </row>
    <row r="197">
      <c r="A197" t="n">
        <v>192</v>
      </c>
    </row>
    <row r="198">
      <c r="A198" t="n">
        <v>193</v>
      </c>
    </row>
    <row r="199">
      <c r="A199" t="n">
        <v>194</v>
      </c>
    </row>
    <row r="200">
      <c r="A200" t="n">
        <v>195</v>
      </c>
    </row>
    <row r="201">
      <c r="A201" t="n">
        <v>196</v>
      </c>
    </row>
    <row r="202">
      <c r="A202" t="n">
        <v>197</v>
      </c>
    </row>
    <row r="203">
      <c r="A203" t="n">
        <v>198</v>
      </c>
    </row>
    <row r="204">
      <c r="A204" t="n">
        <v>199</v>
      </c>
    </row>
    <row r="205">
      <c r="A205" t="n">
        <v>200</v>
      </c>
    </row>
    <row r="206">
      <c r="A206" t="n">
        <v>201</v>
      </c>
    </row>
    <row r="207">
      <c r="A207" t="n">
        <v>202</v>
      </c>
    </row>
    <row r="208">
      <c r="A208" t="n">
        <v>203</v>
      </c>
    </row>
    <row r="209">
      <c r="A209" t="n">
        <v>204</v>
      </c>
    </row>
    <row r="210">
      <c r="A210" t="n">
        <v>205</v>
      </c>
    </row>
    <row r="211">
      <c r="A211" t="n">
        <v>206</v>
      </c>
    </row>
    <row r="212">
      <c r="A212" t="n">
        <v>207</v>
      </c>
    </row>
    <row r="213">
      <c r="A213" t="n">
        <v>208</v>
      </c>
    </row>
    <row r="214">
      <c r="A214" t="n">
        <v>209</v>
      </c>
    </row>
    <row r="215">
      <c r="A215" t="n">
        <v>210</v>
      </c>
    </row>
    <row r="216">
      <c r="A216" t="n">
        <v>211</v>
      </c>
    </row>
    <row r="217">
      <c r="A217" t="n">
        <v>212</v>
      </c>
    </row>
    <row r="218">
      <c r="A218" t="n">
        <v>213</v>
      </c>
    </row>
    <row r="219">
      <c r="A219" t="n">
        <v>214</v>
      </c>
    </row>
    <row r="220">
      <c r="A220" t="n">
        <v>215</v>
      </c>
    </row>
    <row r="221">
      <c r="A221" t="n">
        <v>216</v>
      </c>
    </row>
    <row r="222">
      <c r="A222" t="n">
        <v>217</v>
      </c>
    </row>
    <row r="223">
      <c r="A223" t="n">
        <v>218</v>
      </c>
    </row>
    <row r="224">
      <c r="A224" t="n">
        <v>219</v>
      </c>
    </row>
    <row r="225">
      <c r="A225" t="n">
        <v>220</v>
      </c>
    </row>
    <row r="226">
      <c r="A226" t="n">
        <v>221</v>
      </c>
    </row>
    <row r="227">
      <c r="A227" t="n">
        <v>222</v>
      </c>
    </row>
    <row r="228">
      <c r="A228" t="n">
        <v>223</v>
      </c>
    </row>
    <row r="229">
      <c r="A229" t="n">
        <v>224</v>
      </c>
    </row>
    <row r="230">
      <c r="A230" t="n">
        <v>225</v>
      </c>
    </row>
    <row r="231">
      <c r="A231" t="n">
        <v>226</v>
      </c>
    </row>
    <row r="232">
      <c r="A232" t="n">
        <v>227</v>
      </c>
    </row>
    <row r="233">
      <c r="A233" t="n">
        <v>228</v>
      </c>
    </row>
    <row r="234">
      <c r="A234" t="n">
        <v>229</v>
      </c>
    </row>
    <row r="235">
      <c r="A235" t="n">
        <v>230</v>
      </c>
    </row>
    <row r="236">
      <c r="A236" t="n">
        <v>231</v>
      </c>
    </row>
    <row r="237">
      <c r="A237" t="n">
        <v>232</v>
      </c>
    </row>
    <row r="238">
      <c r="A238" t="n">
        <v>233</v>
      </c>
    </row>
    <row r="239">
      <c r="A239" t="n">
        <v>234</v>
      </c>
    </row>
    <row r="240">
      <c r="A240" t="n">
        <v>235</v>
      </c>
    </row>
    <row r="241">
      <c r="A241" t="n">
        <v>236</v>
      </c>
    </row>
    <row r="242">
      <c r="A242" t="n">
        <v>237</v>
      </c>
    </row>
    <row r="243">
      <c r="A243" t="n">
        <v>238</v>
      </c>
    </row>
    <row r="244">
      <c r="A244" t="n">
        <v>239</v>
      </c>
    </row>
    <row r="245">
      <c r="A245" t="n">
        <v>240</v>
      </c>
    </row>
    <row r="246">
      <c r="A246" t="n">
        <v>241</v>
      </c>
    </row>
    <row r="247">
      <c r="A247" t="n">
        <v>242</v>
      </c>
    </row>
    <row r="248">
      <c r="A248" t="n">
        <v>243</v>
      </c>
    </row>
    <row r="249">
      <c r="A249" t="n">
        <v>244</v>
      </c>
    </row>
    <row r="250">
      <c r="A250" t="n">
        <v>245</v>
      </c>
    </row>
    <row r="251">
      <c r="A251" t="n">
        <v>246</v>
      </c>
    </row>
    <row r="252">
      <c r="A252" t="n">
        <v>247</v>
      </c>
    </row>
    <row r="253">
      <c r="A253" t="n">
        <v>248</v>
      </c>
    </row>
    <row r="254">
      <c r="A254" t="n">
        <v>249</v>
      </c>
    </row>
    <row r="255">
      <c r="A255" t="n">
        <v>250</v>
      </c>
    </row>
    <row r="256">
      <c r="A256" t="n">
        <v>251</v>
      </c>
    </row>
    <row r="257">
      <c r="A257" t="n">
        <v>252</v>
      </c>
    </row>
    <row r="258">
      <c r="A258" t="n">
        <v>253</v>
      </c>
    </row>
    <row r="259">
      <c r="A259" t="n">
        <v>254</v>
      </c>
    </row>
    <row r="260">
      <c r="A260" t="n">
        <v>255</v>
      </c>
    </row>
    <row r="261">
      <c r="A261" t="n">
        <v>256</v>
      </c>
    </row>
    <row r="262">
      <c r="A262" t="n">
        <v>257</v>
      </c>
    </row>
    <row r="263">
      <c r="A263" t="n">
        <v>258</v>
      </c>
    </row>
    <row r="264">
      <c r="A264" t="n">
        <v>259</v>
      </c>
    </row>
    <row r="265">
      <c r="A265" t="n">
        <v>260</v>
      </c>
    </row>
    <row r="266">
      <c r="A266" t="n">
        <v>261</v>
      </c>
    </row>
    <row r="267">
      <c r="A267" t="n">
        <v>262</v>
      </c>
    </row>
    <row r="268">
      <c r="A268" t="n">
        <v>263</v>
      </c>
    </row>
    <row r="269">
      <c r="A269" t="n">
        <v>264</v>
      </c>
    </row>
    <row r="270">
      <c r="A270" t="n">
        <v>265</v>
      </c>
    </row>
    <row r="271">
      <c r="A271" t="n">
        <v>266</v>
      </c>
    </row>
    <row r="272">
      <c r="A272" t="n">
        <v>267</v>
      </c>
    </row>
    <row r="273">
      <c r="A273" t="n">
        <v>268</v>
      </c>
    </row>
    <row r="274">
      <c r="A274" t="n">
        <v>269</v>
      </c>
    </row>
    <row r="275">
      <c r="A275" t="n">
        <v>270</v>
      </c>
    </row>
    <row r="276">
      <c r="A276" t="n">
        <v>271</v>
      </c>
    </row>
    <row r="277">
      <c r="A277" t="n">
        <v>272</v>
      </c>
    </row>
    <row r="278">
      <c r="A278" t="n">
        <v>273</v>
      </c>
    </row>
    <row r="279">
      <c r="A279" t="n">
        <v>274</v>
      </c>
    </row>
    <row r="280">
      <c r="A280" t="n">
        <v>275</v>
      </c>
    </row>
    <row r="281">
      <c r="A281" t="n">
        <v>276</v>
      </c>
    </row>
    <row r="282">
      <c r="A282" t="n">
        <v>277</v>
      </c>
    </row>
    <row r="283">
      <c r="A283" t="n">
        <v>278</v>
      </c>
    </row>
    <row r="284">
      <c r="A284" t="n">
        <v>279</v>
      </c>
    </row>
    <row r="285">
      <c r="A285" t="n">
        <v>280</v>
      </c>
    </row>
    <row r="286">
      <c r="A286" t="n">
        <v>281</v>
      </c>
    </row>
    <row r="287">
      <c r="A287" t="n">
        <v>282</v>
      </c>
    </row>
    <row r="288">
      <c r="A288" t="n">
        <v>283</v>
      </c>
    </row>
    <row r="289">
      <c r="A289" t="n">
        <v>284</v>
      </c>
    </row>
    <row r="290">
      <c r="A290" t="n">
        <v>285</v>
      </c>
    </row>
    <row r="291">
      <c r="A291" t="n">
        <v>286</v>
      </c>
    </row>
    <row r="292">
      <c r="A292" t="n">
        <v>287</v>
      </c>
    </row>
    <row r="293">
      <c r="A293" t="n">
        <v>288</v>
      </c>
    </row>
    <row r="294">
      <c r="A294" t="n">
        <v>289</v>
      </c>
    </row>
    <row r="295">
      <c r="A295" t="n">
        <v>290</v>
      </c>
    </row>
    <row r="296">
      <c r="A296" t="n">
        <v>291</v>
      </c>
    </row>
    <row r="297">
      <c r="A297" t="n">
        <v>292</v>
      </c>
    </row>
    <row r="298">
      <c r="A298" t="n">
        <v>293</v>
      </c>
    </row>
    <row r="299">
      <c r="A299" t="n">
        <v>294</v>
      </c>
    </row>
    <row r="300">
      <c r="A300" t="n">
        <v>295</v>
      </c>
    </row>
    <row r="301">
      <c r="A301" t="n">
        <v>296</v>
      </c>
    </row>
    <row r="302">
      <c r="A302" t="n">
        <v>297</v>
      </c>
    </row>
    <row r="303">
      <c r="A303" t="n">
        <v>298</v>
      </c>
    </row>
    <row r="304">
      <c r="A304" t="n">
        <v>299</v>
      </c>
    </row>
    <row r="305">
      <c r="A305" t="n">
        <v>300</v>
      </c>
    </row>
    <row r="306">
      <c r="A306" t="n">
        <v>301</v>
      </c>
    </row>
    <row r="307">
      <c r="A307" t="n">
        <v>302</v>
      </c>
    </row>
    <row r="308">
      <c r="A308" t="n">
        <v>303</v>
      </c>
    </row>
    <row r="309">
      <c r="A309" t="n">
        <v>304</v>
      </c>
    </row>
    <row r="310">
      <c r="A310" t="n">
        <v>305</v>
      </c>
    </row>
    <row r="311">
      <c r="A311" t="n">
        <v>306</v>
      </c>
    </row>
    <row r="312">
      <c r="A312" t="n">
        <v>307</v>
      </c>
    </row>
    <row r="313">
      <c r="A313" t="n">
        <v>308</v>
      </c>
    </row>
    <row r="314">
      <c r="A314" t="n">
        <v>309</v>
      </c>
    </row>
    <row r="315">
      <c r="A315" t="n">
        <v>310</v>
      </c>
    </row>
    <row r="316">
      <c r="A316" t="n">
        <v>311</v>
      </c>
    </row>
    <row r="317">
      <c r="A317" t="n">
        <v>312</v>
      </c>
    </row>
    <row r="318">
      <c r="A318" t="n">
        <v>313</v>
      </c>
    </row>
    <row r="319">
      <c r="A319" t="n">
        <v>314</v>
      </c>
    </row>
    <row r="320">
      <c r="A320" t="n">
        <v>315</v>
      </c>
    </row>
    <row r="321">
      <c r="A321" t="n">
        <v>316</v>
      </c>
    </row>
    <row r="322">
      <c r="A322" t="n">
        <v>317</v>
      </c>
    </row>
    <row r="323">
      <c r="A323" t="n">
        <v>318</v>
      </c>
    </row>
    <row r="324">
      <c r="A324" t="n">
        <v>319</v>
      </c>
    </row>
    <row r="325">
      <c r="A325" t="n">
        <v>320</v>
      </c>
    </row>
    <row r="326">
      <c r="A326" t="n">
        <v>321</v>
      </c>
    </row>
    <row r="327">
      <c r="A327" t="n">
        <v>322</v>
      </c>
    </row>
    <row r="328">
      <c r="A328" t="n">
        <v>323</v>
      </c>
    </row>
    <row r="329">
      <c r="A329" t="n">
        <v>324</v>
      </c>
    </row>
    <row r="330">
      <c r="A330" t="n">
        <v>325</v>
      </c>
    </row>
    <row r="331">
      <c r="A331" t="n">
        <v>326</v>
      </c>
    </row>
    <row r="332">
      <c r="A332" t="n">
        <v>327</v>
      </c>
    </row>
    <row r="333">
      <c r="A333" t="n">
        <v>328</v>
      </c>
    </row>
    <row r="334">
      <c r="A334" t="n">
        <v>329</v>
      </c>
    </row>
    <row r="335">
      <c r="A335" t="n">
        <v>330</v>
      </c>
    </row>
    <row r="336">
      <c r="A336" t="n">
        <v>331</v>
      </c>
    </row>
    <row r="337">
      <c r="A337" t="n">
        <v>332</v>
      </c>
    </row>
    <row r="338">
      <c r="A338" t="n">
        <v>333</v>
      </c>
    </row>
    <row r="339">
      <c r="A339" t="n">
        <v>334</v>
      </c>
    </row>
    <row r="340">
      <c r="A340" t="n">
        <v>335</v>
      </c>
    </row>
    <row r="341">
      <c r="A341" t="n">
        <v>336</v>
      </c>
    </row>
    <row r="342">
      <c r="A342" t="n">
        <v>337</v>
      </c>
    </row>
    <row r="343">
      <c r="A343" t="n">
        <v>338</v>
      </c>
    </row>
    <row r="344">
      <c r="A344" t="n">
        <v>339</v>
      </c>
    </row>
    <row r="345">
      <c r="A345" t="n">
        <v>340</v>
      </c>
    </row>
    <row r="346">
      <c r="A346" t="n">
        <v>341</v>
      </c>
    </row>
    <row r="347">
      <c r="A347" t="n">
        <v>342</v>
      </c>
    </row>
    <row r="348">
      <c r="A348" t="n">
        <v>343</v>
      </c>
    </row>
    <row r="349">
      <c r="A349" t="n">
        <v>344</v>
      </c>
    </row>
    <row r="350">
      <c r="A350" t="n">
        <v>345</v>
      </c>
    </row>
    <row r="351">
      <c r="A351" t="n">
        <v>346</v>
      </c>
    </row>
    <row r="352">
      <c r="A352" t="n">
        <v>347</v>
      </c>
    </row>
    <row r="353">
      <c r="A353" t="n">
        <v>348</v>
      </c>
    </row>
    <row r="354">
      <c r="A354" t="n">
        <v>349</v>
      </c>
    </row>
    <row r="355">
      <c r="A355" t="n">
        <v>350</v>
      </c>
    </row>
    <row r="356">
      <c r="A356" t="n">
        <v>351</v>
      </c>
    </row>
    <row r="357">
      <c r="A357" t="n">
        <v>352</v>
      </c>
    </row>
    <row r="358">
      <c r="A358" t="n">
        <v>353</v>
      </c>
    </row>
    <row r="359">
      <c r="A359" t="n">
        <v>354</v>
      </c>
    </row>
    <row r="360">
      <c r="A360" t="n">
        <v>355</v>
      </c>
    </row>
    <row r="361">
      <c r="A361" t="n">
        <v>356</v>
      </c>
    </row>
    <row r="362">
      <c r="A362" t="n">
        <v>357</v>
      </c>
    </row>
    <row r="363">
      <c r="A363" t="n">
        <v>358</v>
      </c>
    </row>
    <row r="364">
      <c r="A364" t="n">
        <v>359</v>
      </c>
    </row>
    <row r="365">
      <c r="A365" t="n">
        <v>360</v>
      </c>
    </row>
    <row r="366">
      <c r="A366" t="n">
        <v>361</v>
      </c>
    </row>
    <row r="367">
      <c r="A367" t="n">
        <v>362</v>
      </c>
    </row>
    <row r="368">
      <c r="A368" t="n">
        <v>363</v>
      </c>
    </row>
    <row r="369">
      <c r="A369" t="n">
        <v>364</v>
      </c>
    </row>
    <row r="370">
      <c r="A370" t="n">
        <v>365</v>
      </c>
    </row>
    <row r="371">
      <c r="A371" t="n">
        <v>366</v>
      </c>
    </row>
    <row r="372">
      <c r="A372" t="n">
        <v>367</v>
      </c>
    </row>
    <row r="373">
      <c r="A373" t="n">
        <v>368</v>
      </c>
    </row>
    <row r="374">
      <c r="A374" t="n">
        <v>369</v>
      </c>
    </row>
    <row r="375">
      <c r="A375" t="n">
        <v>370</v>
      </c>
    </row>
    <row r="376">
      <c r="A376" t="n">
        <v>371</v>
      </c>
    </row>
    <row r="377">
      <c r="A377" t="n">
        <v>372</v>
      </c>
    </row>
    <row r="378">
      <c r="A378" t="n">
        <v>373</v>
      </c>
    </row>
    <row r="379">
      <c r="A379" t="n">
        <v>374</v>
      </c>
    </row>
    <row r="380">
      <c r="A380" t="n">
        <v>375</v>
      </c>
    </row>
    <row r="381">
      <c r="A381" t="n">
        <v>376</v>
      </c>
    </row>
    <row r="382">
      <c r="A382" t="n">
        <v>377</v>
      </c>
    </row>
    <row r="383">
      <c r="A383" t="n">
        <v>378</v>
      </c>
    </row>
    <row r="384">
      <c r="A384" t="n">
        <v>379</v>
      </c>
    </row>
    <row r="385">
      <c r="A385" t="n">
        <v>380</v>
      </c>
    </row>
    <row r="386">
      <c r="A386" t="n">
        <v>381</v>
      </c>
    </row>
    <row r="387">
      <c r="A387" t="n">
        <v>382</v>
      </c>
    </row>
    <row r="388">
      <c r="A388" t="n">
        <v>383</v>
      </c>
    </row>
    <row r="389">
      <c r="A389" t="n">
        <v>384</v>
      </c>
    </row>
    <row r="390">
      <c r="A390" t="n">
        <v>385</v>
      </c>
    </row>
    <row r="391">
      <c r="A391" t="n">
        <v>386</v>
      </c>
    </row>
    <row r="392">
      <c r="A392" t="n">
        <v>387</v>
      </c>
    </row>
    <row r="393">
      <c r="A393" t="n">
        <v>388</v>
      </c>
    </row>
    <row r="394">
      <c r="A394" t="n">
        <v>389</v>
      </c>
    </row>
    <row r="395">
      <c r="A395" t="n">
        <v>390</v>
      </c>
    </row>
    <row r="396">
      <c r="A396" t="n">
        <v>391</v>
      </c>
    </row>
    <row r="397">
      <c r="A397" t="n">
        <v>392</v>
      </c>
    </row>
    <row r="398">
      <c r="A398" t="n">
        <v>393</v>
      </c>
    </row>
    <row r="399">
      <c r="A399" t="n">
        <v>394</v>
      </c>
    </row>
    <row r="400">
      <c r="A400" t="n">
        <v>395</v>
      </c>
    </row>
    <row r="401">
      <c r="A401" t="n">
        <v>396</v>
      </c>
    </row>
    <row r="402">
      <c r="A402" t="n">
        <v>397</v>
      </c>
    </row>
    <row r="403">
      <c r="A403" t="n">
        <v>398</v>
      </c>
    </row>
    <row r="404">
      <c r="A404" t="n">
        <v>399</v>
      </c>
    </row>
    <row r="405">
      <c r="A405" t="n">
        <v>400</v>
      </c>
    </row>
    <row r="406">
      <c r="A406" t="n">
        <v>401</v>
      </c>
    </row>
    <row r="407">
      <c r="A407" t="n">
        <v>402</v>
      </c>
    </row>
    <row r="408">
      <c r="A408" t="n">
        <v>403</v>
      </c>
    </row>
    <row r="409">
      <c r="A409" t="n">
        <v>404</v>
      </c>
    </row>
    <row r="410">
      <c r="A410" t="n">
        <v>405</v>
      </c>
    </row>
    <row r="411">
      <c r="A411" t="n">
        <v>406</v>
      </c>
    </row>
    <row r="412">
      <c r="A412" t="n">
        <v>407</v>
      </c>
    </row>
    <row r="413">
      <c r="A413" t="n">
        <v>408</v>
      </c>
    </row>
    <row r="414">
      <c r="A414" t="n">
        <v>409</v>
      </c>
    </row>
    <row r="415">
      <c r="A415" t="n">
        <v>410</v>
      </c>
    </row>
    <row r="416">
      <c r="A416" t="n">
        <v>411</v>
      </c>
    </row>
    <row r="417">
      <c r="A417" t="n">
        <v>412</v>
      </c>
    </row>
    <row r="418">
      <c r="A418" t="n">
        <v>413</v>
      </c>
    </row>
    <row r="419">
      <c r="A419" t="n">
        <v>414</v>
      </c>
    </row>
    <row r="420">
      <c r="A420" t="n">
        <v>415</v>
      </c>
    </row>
    <row r="421">
      <c r="A421" t="n">
        <v>416</v>
      </c>
    </row>
    <row r="422">
      <c r="A422" t="n">
        <v>417</v>
      </c>
    </row>
    <row r="423">
      <c r="A423" t="n">
        <v>418</v>
      </c>
    </row>
    <row r="424">
      <c r="A424" t="n">
        <v>419</v>
      </c>
    </row>
    <row r="425">
      <c r="A425" t="n">
        <v>420</v>
      </c>
    </row>
    <row r="426">
      <c r="A426" t="n">
        <v>421</v>
      </c>
    </row>
    <row r="427">
      <c r="A427" t="n">
        <v>422</v>
      </c>
    </row>
    <row r="428">
      <c r="A428" t="n">
        <v>423</v>
      </c>
    </row>
    <row r="429">
      <c r="A429" t="n">
        <v>424</v>
      </c>
    </row>
    <row r="430">
      <c r="A430" t="n">
        <v>425</v>
      </c>
    </row>
    <row r="431">
      <c r="A431" t="n">
        <v>426</v>
      </c>
    </row>
    <row r="432">
      <c r="A432" t="n">
        <v>427</v>
      </c>
    </row>
    <row r="433">
      <c r="A433" t="n">
        <v>428</v>
      </c>
    </row>
    <row r="434">
      <c r="A434" t="n">
        <v>429</v>
      </c>
    </row>
    <row r="435">
      <c r="A435" t="n">
        <v>430</v>
      </c>
    </row>
    <row r="436">
      <c r="A436" t="n">
        <v>431</v>
      </c>
    </row>
    <row r="437">
      <c r="A437" t="n">
        <v>432</v>
      </c>
    </row>
    <row r="438">
      <c r="A438" t="n">
        <v>433</v>
      </c>
    </row>
    <row r="439">
      <c r="A439" t="n">
        <v>434</v>
      </c>
    </row>
    <row r="440">
      <c r="A440" t="n">
        <v>435</v>
      </c>
    </row>
    <row r="441">
      <c r="A441" t="n">
        <v>436</v>
      </c>
    </row>
    <row r="442">
      <c r="A442" t="n">
        <v>437</v>
      </c>
    </row>
    <row r="443">
      <c r="A443" t="n">
        <v>438</v>
      </c>
    </row>
    <row r="444">
      <c r="A444" t="n">
        <v>439</v>
      </c>
    </row>
    <row r="445">
      <c r="A445" t="n">
        <v>440</v>
      </c>
    </row>
    <row r="446">
      <c r="A446" t="n">
        <v>441</v>
      </c>
    </row>
    <row r="447">
      <c r="A447" t="n">
        <v>442</v>
      </c>
    </row>
    <row r="448">
      <c r="A448" t="n">
        <v>443</v>
      </c>
    </row>
    <row r="449">
      <c r="A449" t="n">
        <v>444</v>
      </c>
    </row>
    <row r="450">
      <c r="A450" t="n">
        <v>445</v>
      </c>
    </row>
    <row r="451">
      <c r="A451" t="n">
        <v>446</v>
      </c>
    </row>
    <row r="452">
      <c r="A452" t="n">
        <v>447</v>
      </c>
    </row>
    <row r="453">
      <c r="A453" t="n">
        <v>448</v>
      </c>
    </row>
    <row r="454">
      <c r="A454" t="n">
        <v>449</v>
      </c>
    </row>
    <row r="455">
      <c r="A455" t="n">
        <v>450</v>
      </c>
    </row>
    <row r="456">
      <c r="A456" t="n">
        <v>451</v>
      </c>
    </row>
    <row r="457">
      <c r="A457" t="n">
        <v>452</v>
      </c>
    </row>
    <row r="458">
      <c r="A458" t="n">
        <v>453</v>
      </c>
    </row>
    <row r="459">
      <c r="A459" t="n">
        <v>454</v>
      </c>
    </row>
    <row r="460">
      <c r="A460" t="n">
        <v>455</v>
      </c>
    </row>
    <row r="461">
      <c r="A461" t="n">
        <v>456</v>
      </c>
    </row>
    <row r="462">
      <c r="A462" t="n">
        <v>457</v>
      </c>
    </row>
    <row r="463">
      <c r="A463" t="n">
        <v>458</v>
      </c>
    </row>
    <row r="464">
      <c r="A464" t="n">
        <v>459</v>
      </c>
    </row>
    <row r="465">
      <c r="A465" t="n">
        <v>460</v>
      </c>
    </row>
    <row r="466">
      <c r="A466" t="n">
        <v>461</v>
      </c>
    </row>
    <row r="467">
      <c r="A467" t="n">
        <v>462</v>
      </c>
    </row>
    <row r="468">
      <c r="A468" t="n">
        <v>463</v>
      </c>
    </row>
    <row r="469">
      <c r="A469" t="n">
        <v>464</v>
      </c>
    </row>
    <row r="470">
      <c r="A470" t="n">
        <v>465</v>
      </c>
    </row>
    <row r="471">
      <c r="A471" t="n">
        <v>466</v>
      </c>
    </row>
    <row r="472">
      <c r="A472" t="n">
        <v>467</v>
      </c>
    </row>
    <row r="473">
      <c r="A473" t="n">
        <v>468</v>
      </c>
    </row>
    <row r="474">
      <c r="A474" t="n">
        <v>469</v>
      </c>
    </row>
    <row r="475">
      <c r="A475" t="n">
        <v>470</v>
      </c>
    </row>
    <row r="476">
      <c r="A476" t="n">
        <v>471</v>
      </c>
    </row>
    <row r="477">
      <c r="A477" t="n">
        <v>472</v>
      </c>
    </row>
    <row r="478">
      <c r="A478" t="n">
        <v>473</v>
      </c>
    </row>
    <row r="479">
      <c r="A479" t="n">
        <v>474</v>
      </c>
    </row>
    <row r="480">
      <c r="A480" t="n">
        <v>475</v>
      </c>
    </row>
    <row r="481">
      <c r="A481" t="n">
        <v>476</v>
      </c>
    </row>
    <row r="482">
      <c r="A482" t="n">
        <v>477</v>
      </c>
    </row>
    <row r="483">
      <c r="A483" t="n">
        <v>478</v>
      </c>
    </row>
    <row r="484">
      <c r="A484" t="n">
        <v>479</v>
      </c>
    </row>
    <row r="485">
      <c r="A485" t="n">
        <v>480</v>
      </c>
    </row>
    <row r="486">
      <c r="A486" t="n">
        <v>481</v>
      </c>
    </row>
    <row r="487">
      <c r="A487" t="n">
        <v>482</v>
      </c>
    </row>
    <row r="488">
      <c r="A488" t="n">
        <v>483</v>
      </c>
    </row>
    <row r="489">
      <c r="A489" t="n">
        <v>484</v>
      </c>
    </row>
    <row r="490">
      <c r="A490" t="n">
        <v>485</v>
      </c>
    </row>
    <row r="491">
      <c r="A491" t="n">
        <v>486</v>
      </c>
    </row>
    <row r="492">
      <c r="A492" t="n">
        <v>487</v>
      </c>
    </row>
    <row r="493">
      <c r="A493" t="n">
        <v>488</v>
      </c>
    </row>
    <row r="494">
      <c r="A494" t="n">
        <v>489</v>
      </c>
    </row>
    <row r="495">
      <c r="A495" t="n">
        <v>490</v>
      </c>
    </row>
    <row r="496">
      <c r="A496" t="n">
        <v>491</v>
      </c>
    </row>
    <row r="497">
      <c r="A497" t="n">
        <v>492</v>
      </c>
    </row>
    <row r="498">
      <c r="A498" t="n">
        <v>493</v>
      </c>
    </row>
    <row r="499">
      <c r="A499" t="n">
        <v>494</v>
      </c>
    </row>
    <row r="500">
      <c r="A500" t="n">
        <v>495</v>
      </c>
    </row>
    <row r="501">
      <c r="A501" t="n">
        <v>496</v>
      </c>
    </row>
    <row r="502">
      <c r="A502" t="n">
        <v>497</v>
      </c>
    </row>
    <row r="503">
      <c r="A503" t="n">
        <v>498</v>
      </c>
    </row>
    <row r="504">
      <c r="A504" t="n">
        <v>499</v>
      </c>
    </row>
    <row r="505">
      <c r="A505" t="n">
        <v>500</v>
      </c>
    </row>
    <row r="506">
      <c r="A506" t="n">
        <v>501</v>
      </c>
    </row>
    <row r="507">
      <c r="A507" t="n">
        <v>502</v>
      </c>
    </row>
    <row r="508">
      <c r="A508" t="n">
        <v>503</v>
      </c>
    </row>
    <row r="509">
      <c r="A509" t="n">
        <v>504</v>
      </c>
    </row>
    <row r="510">
      <c r="A510" t="n">
        <v>505</v>
      </c>
    </row>
    <row r="511">
      <c r="A511" t="n">
        <v>506</v>
      </c>
    </row>
    <row r="512">
      <c r="A512" t="n">
        <v>507</v>
      </c>
    </row>
    <row r="513">
      <c r="A513" t="n">
        <v>508</v>
      </c>
    </row>
    <row r="514">
      <c r="A514" t="n">
        <v>509</v>
      </c>
    </row>
    <row r="515">
      <c r="A515" t="n">
        <v>510</v>
      </c>
    </row>
    <row r="516">
      <c r="A516" t="n">
        <v>511</v>
      </c>
    </row>
    <row r="517">
      <c r="A517" t="n">
        <v>512</v>
      </c>
    </row>
    <row r="518">
      <c r="A518" t="n">
        <v>513</v>
      </c>
    </row>
    <row r="519">
      <c r="A519" t="n">
        <v>514</v>
      </c>
    </row>
    <row r="520">
      <c r="A520" t="n">
        <v>515</v>
      </c>
    </row>
    <row r="521">
      <c r="A521" t="n">
        <v>516</v>
      </c>
    </row>
    <row r="522">
      <c r="A522" t="n">
        <v>517</v>
      </c>
    </row>
    <row r="523">
      <c r="A523" t="n">
        <v>518</v>
      </c>
    </row>
    <row r="524">
      <c r="A524" t="n">
        <v>519</v>
      </c>
    </row>
    <row r="525">
      <c r="A525" t="n">
        <v>520</v>
      </c>
    </row>
    <row r="526">
      <c r="A526" t="n">
        <v>521</v>
      </c>
    </row>
    <row r="527">
      <c r="A527" t="n">
        <v>522</v>
      </c>
    </row>
    <row r="528">
      <c r="A528" t="n">
        <v>523</v>
      </c>
    </row>
    <row r="529">
      <c r="A529" t="n">
        <v>524</v>
      </c>
    </row>
    <row r="530">
      <c r="A530" t="n">
        <v>525</v>
      </c>
    </row>
    <row r="531">
      <c r="A531" t="n">
        <v>526</v>
      </c>
    </row>
    <row r="532">
      <c r="A532" t="n">
        <v>527</v>
      </c>
    </row>
    <row r="533">
      <c r="A533" t="n">
        <v>528</v>
      </c>
    </row>
    <row r="534">
      <c r="A534" t="n">
        <v>529</v>
      </c>
    </row>
    <row r="535">
      <c r="A535" t="n">
        <v>530</v>
      </c>
    </row>
    <row r="536">
      <c r="A536" t="n">
        <v>531</v>
      </c>
    </row>
    <row r="537">
      <c r="A537" t="n">
        <v>532</v>
      </c>
    </row>
    <row r="538">
      <c r="A538" t="n">
        <v>533</v>
      </c>
    </row>
    <row r="539">
      <c r="A539" t="n">
        <v>534</v>
      </c>
    </row>
    <row r="540">
      <c r="A540" t="n">
        <v>535</v>
      </c>
    </row>
    <row r="541">
      <c r="A541" t="n">
        <v>536</v>
      </c>
    </row>
    <row r="542">
      <c r="A542" t="n">
        <v>537</v>
      </c>
    </row>
    <row r="543">
      <c r="A543" t="n">
        <v>538</v>
      </c>
    </row>
    <row r="544">
      <c r="A544" t="n">
        <v>539</v>
      </c>
    </row>
    <row r="545">
      <c r="A545" t="n">
        <v>540</v>
      </c>
    </row>
    <row r="546">
      <c r="A546" t="n">
        <v>541</v>
      </c>
    </row>
    <row r="547">
      <c r="A547" t="n">
        <v>542</v>
      </c>
    </row>
    <row r="548">
      <c r="A548" t="n">
        <v>543</v>
      </c>
    </row>
    <row r="549">
      <c r="A549" t="n">
        <v>544</v>
      </c>
    </row>
    <row r="550">
      <c r="A550" t="n">
        <v>545</v>
      </c>
    </row>
    <row r="551">
      <c r="A551" t="n">
        <v>546</v>
      </c>
    </row>
    <row r="552">
      <c r="A552" t="n">
        <v>547</v>
      </c>
    </row>
    <row r="553">
      <c r="A553" t="n">
        <v>548</v>
      </c>
    </row>
    <row r="554">
      <c r="A554" t="n">
        <v>549</v>
      </c>
    </row>
    <row r="555">
      <c r="A555" t="n">
        <v>550</v>
      </c>
    </row>
    <row r="556">
      <c r="A556" t="n">
        <v>551</v>
      </c>
    </row>
    <row r="557">
      <c r="A557" t="n">
        <v>552</v>
      </c>
    </row>
    <row r="558">
      <c r="A558" t="n">
        <v>553</v>
      </c>
    </row>
    <row r="559">
      <c r="A559" t="n">
        <v>554</v>
      </c>
    </row>
    <row r="560">
      <c r="A560" t="n">
        <v>555</v>
      </c>
    </row>
    <row r="561">
      <c r="A561" t="n">
        <v>556</v>
      </c>
    </row>
    <row r="562">
      <c r="A562" t="n">
        <v>557</v>
      </c>
    </row>
    <row r="563">
      <c r="A563" t="n">
        <v>558</v>
      </c>
    </row>
    <row r="564">
      <c r="A564" t="n">
        <v>559</v>
      </c>
    </row>
    <row r="565">
      <c r="A565" t="n">
        <v>560</v>
      </c>
    </row>
    <row r="566">
      <c r="A566" t="n">
        <v>561</v>
      </c>
    </row>
    <row r="567">
      <c r="A567" t="n">
        <v>562</v>
      </c>
    </row>
    <row r="568">
      <c r="A568" t="n">
        <v>563</v>
      </c>
    </row>
    <row r="569">
      <c r="A569" t="n">
        <v>564</v>
      </c>
    </row>
    <row r="570">
      <c r="A570" t="n">
        <v>565</v>
      </c>
    </row>
    <row r="571">
      <c r="A571" t="n">
        <v>566</v>
      </c>
    </row>
    <row r="572">
      <c r="A572" t="n">
        <v>567</v>
      </c>
    </row>
    <row r="573">
      <c r="A573" t="n">
        <v>568</v>
      </c>
    </row>
    <row r="574">
      <c r="A574" t="n">
        <v>569</v>
      </c>
    </row>
    <row r="575">
      <c r="A575" t="n">
        <v>570</v>
      </c>
    </row>
    <row r="576">
      <c r="A576" t="n">
        <v>571</v>
      </c>
    </row>
    <row r="577">
      <c r="A577" t="n">
        <v>572</v>
      </c>
    </row>
    <row r="578">
      <c r="A578" t="n">
        <v>573</v>
      </c>
    </row>
    <row r="579">
      <c r="A579" t="n">
        <v>574</v>
      </c>
    </row>
    <row r="580">
      <c r="A580" t="n">
        <v>575</v>
      </c>
    </row>
    <row r="581">
      <c r="A581" t="n">
        <v>576</v>
      </c>
    </row>
    <row r="582">
      <c r="A582" t="n">
        <v>577</v>
      </c>
    </row>
    <row r="583">
      <c r="A583" t="n">
        <v>578</v>
      </c>
    </row>
    <row r="584">
      <c r="A584" t="n">
        <v>579</v>
      </c>
    </row>
    <row r="585">
      <c r="A585" t="n">
        <v>580</v>
      </c>
    </row>
    <row r="586">
      <c r="A586" t="n">
        <v>581</v>
      </c>
    </row>
    <row r="587">
      <c r="A587" t="n">
        <v>582</v>
      </c>
    </row>
    <row r="588">
      <c r="A588" t="n">
        <v>583</v>
      </c>
    </row>
    <row r="589">
      <c r="A589" t="n">
        <v>584</v>
      </c>
    </row>
    <row r="590">
      <c r="A590" t="n">
        <v>585</v>
      </c>
    </row>
    <row r="591">
      <c r="A591" t="n">
        <v>586</v>
      </c>
    </row>
    <row r="592">
      <c r="A592" t="n">
        <v>587</v>
      </c>
    </row>
    <row r="593">
      <c r="A593" t="n">
        <v>588</v>
      </c>
    </row>
    <row r="594">
      <c r="A594" t="n">
        <v>589</v>
      </c>
    </row>
    <row r="595">
      <c r="A595" t="n">
        <v>590</v>
      </c>
    </row>
    <row r="596">
      <c r="A596" t="n">
        <v>591</v>
      </c>
    </row>
    <row r="597">
      <c r="A597" t="n">
        <v>592</v>
      </c>
    </row>
    <row r="598">
      <c r="A598" t="n">
        <v>593</v>
      </c>
    </row>
    <row r="599">
      <c r="A599" t="n">
        <v>594</v>
      </c>
    </row>
    <row r="600">
      <c r="A600" t="n">
        <v>595</v>
      </c>
    </row>
    <row r="601">
      <c r="A601" t="n">
        <v>596</v>
      </c>
    </row>
    <row r="602">
      <c r="A602" t="n">
        <v>597</v>
      </c>
    </row>
    <row r="603">
      <c r="A603" t="n">
        <v>598</v>
      </c>
    </row>
    <row r="604">
      <c r="A604" t="n">
        <v>599</v>
      </c>
    </row>
    <row r="605">
      <c r="A605" t="n">
        <v>600</v>
      </c>
    </row>
    <row r="606">
      <c r="A606" t="n">
        <v>601</v>
      </c>
    </row>
    <row r="607">
      <c r="A607" t="n">
        <v>602</v>
      </c>
    </row>
    <row r="608">
      <c r="A608" t="n">
        <v>603</v>
      </c>
    </row>
    <row r="609">
      <c r="A609" t="n">
        <v>604</v>
      </c>
    </row>
    <row r="610">
      <c r="A610" t="n">
        <v>605</v>
      </c>
    </row>
    <row r="611">
      <c r="A611" t="n">
        <v>606</v>
      </c>
    </row>
    <row r="612">
      <c r="A612" t="n">
        <v>607</v>
      </c>
    </row>
    <row r="613">
      <c r="A613" t="n">
        <v>608</v>
      </c>
    </row>
    <row r="614">
      <c r="A614" t="n">
        <v>609</v>
      </c>
    </row>
    <row r="615">
      <c r="A615" t="n">
        <v>610</v>
      </c>
    </row>
    <row r="616">
      <c r="A616" t="n">
        <v>611</v>
      </c>
    </row>
    <row r="617">
      <c r="A617" t="n">
        <v>612</v>
      </c>
    </row>
    <row r="618">
      <c r="A618" t="n">
        <v>613</v>
      </c>
    </row>
    <row r="619">
      <c r="A619" t="n">
        <v>614</v>
      </c>
    </row>
    <row r="620">
      <c r="A620" t="n">
        <v>615</v>
      </c>
    </row>
    <row r="621">
      <c r="A621" t="n">
        <v>616</v>
      </c>
    </row>
    <row r="622">
      <c r="A622" t="n">
        <v>617</v>
      </c>
    </row>
    <row r="623">
      <c r="A623" t="n">
        <v>618</v>
      </c>
    </row>
    <row r="624">
      <c r="A624" t="n">
        <v>619</v>
      </c>
    </row>
    <row r="625">
      <c r="A625" t="n">
        <v>620</v>
      </c>
    </row>
    <row r="626">
      <c r="A626" t="n">
        <v>621</v>
      </c>
    </row>
    <row r="627">
      <c r="A627" t="n">
        <v>622</v>
      </c>
    </row>
    <row r="628">
      <c r="A628" t="n">
        <v>623</v>
      </c>
    </row>
    <row r="629">
      <c r="A629" t="n">
        <v>624</v>
      </c>
    </row>
    <row r="630">
      <c r="A630" t="n">
        <v>625</v>
      </c>
    </row>
    <row r="631">
      <c r="A631" t="n">
        <v>626</v>
      </c>
    </row>
    <row r="632">
      <c r="A632" t="n">
        <v>627</v>
      </c>
    </row>
    <row r="633">
      <c r="A633" t="n">
        <v>628</v>
      </c>
    </row>
    <row r="634">
      <c r="A634" t="n">
        <v>629</v>
      </c>
    </row>
    <row r="635">
      <c r="A635" t="n">
        <v>630</v>
      </c>
    </row>
    <row r="636">
      <c r="A636" t="n">
        <v>631</v>
      </c>
    </row>
    <row r="637">
      <c r="A637" t="n">
        <v>632</v>
      </c>
    </row>
    <row r="638">
      <c r="A638" t="n">
        <v>633</v>
      </c>
    </row>
    <row r="639">
      <c r="A639" t="n">
        <v>634</v>
      </c>
    </row>
    <row r="640">
      <c r="A640" t="n">
        <v>635</v>
      </c>
    </row>
    <row r="641">
      <c r="A641" t="n">
        <v>636</v>
      </c>
    </row>
    <row r="642">
      <c r="A642" t="n">
        <v>637</v>
      </c>
    </row>
    <row r="643">
      <c r="A643" t="n">
        <v>638</v>
      </c>
    </row>
    <row r="644">
      <c r="A644" t="n">
        <v>639</v>
      </c>
    </row>
    <row r="645">
      <c r="A645" t="n">
        <v>640</v>
      </c>
    </row>
    <row r="646">
      <c r="A646" t="n">
        <v>641</v>
      </c>
    </row>
    <row r="647">
      <c r="A647" t="n">
        <v>642</v>
      </c>
    </row>
    <row r="648">
      <c r="A648" t="n">
        <v>643</v>
      </c>
    </row>
    <row r="649">
      <c r="A649" t="n">
        <v>644</v>
      </c>
    </row>
    <row r="650">
      <c r="A650" t="n">
        <v>645</v>
      </c>
    </row>
    <row r="651">
      <c r="A651" t="n">
        <v>646</v>
      </c>
    </row>
    <row r="652">
      <c r="A652" t="n">
        <v>647</v>
      </c>
    </row>
    <row r="653">
      <c r="A653" t="n">
        <v>648</v>
      </c>
    </row>
    <row r="654">
      <c r="A654" t="n">
        <v>649</v>
      </c>
    </row>
    <row r="655">
      <c r="A655" t="n">
        <v>650</v>
      </c>
    </row>
    <row r="656">
      <c r="A656" t="n">
        <v>651</v>
      </c>
    </row>
    <row r="657">
      <c r="A657" t="n">
        <v>652</v>
      </c>
    </row>
    <row r="658">
      <c r="A658" t="n">
        <v>653</v>
      </c>
    </row>
    <row r="659">
      <c r="A659" t="n">
        <v>654</v>
      </c>
    </row>
    <row r="660">
      <c r="A660" t="n">
        <v>655</v>
      </c>
    </row>
    <row r="661">
      <c r="A661" t="n">
        <v>656</v>
      </c>
    </row>
    <row r="662">
      <c r="A662" t="n">
        <v>657</v>
      </c>
    </row>
    <row r="663">
      <c r="A663" t="n">
        <v>658</v>
      </c>
    </row>
    <row r="664">
      <c r="A664" t="n">
        <v>659</v>
      </c>
    </row>
    <row r="665">
      <c r="A665" t="n">
        <v>660</v>
      </c>
    </row>
    <row r="666">
      <c r="A666" t="n">
        <v>661</v>
      </c>
    </row>
    <row r="667">
      <c r="A667" t="n">
        <v>662</v>
      </c>
    </row>
    <row r="668">
      <c r="A668" t="n">
        <v>663</v>
      </c>
    </row>
    <row r="669">
      <c r="A669" t="n">
        <v>664</v>
      </c>
    </row>
    <row r="670">
      <c r="A670" t="n">
        <v>665</v>
      </c>
    </row>
    <row r="671">
      <c r="A671" t="n">
        <v>666</v>
      </c>
    </row>
    <row r="672">
      <c r="A672" t="n">
        <v>667</v>
      </c>
    </row>
    <row r="673">
      <c r="A673" t="n">
        <v>668</v>
      </c>
    </row>
    <row r="674">
      <c r="A674" t="n">
        <v>669</v>
      </c>
    </row>
    <row r="675">
      <c r="A675" t="n">
        <v>670</v>
      </c>
    </row>
    <row r="676">
      <c r="A676" t="n">
        <v>671</v>
      </c>
    </row>
    <row r="677">
      <c r="A677" t="n">
        <v>672</v>
      </c>
    </row>
    <row r="678">
      <c r="A678" t="n">
        <v>673</v>
      </c>
    </row>
    <row r="679">
      <c r="A679" t="n">
        <v>674</v>
      </c>
    </row>
    <row r="680">
      <c r="A680" t="n">
        <v>675</v>
      </c>
    </row>
    <row r="681">
      <c r="A681" t="n">
        <v>676</v>
      </c>
    </row>
    <row r="682">
      <c r="A682" t="n">
        <v>677</v>
      </c>
    </row>
    <row r="683">
      <c r="A683" t="n">
        <v>678</v>
      </c>
    </row>
    <row r="684">
      <c r="A684" t="n">
        <v>679</v>
      </c>
    </row>
    <row r="685">
      <c r="A685" t="n">
        <v>680</v>
      </c>
    </row>
    <row r="686">
      <c r="A686" t="n">
        <v>681</v>
      </c>
    </row>
    <row r="687">
      <c r="A687" t="n">
        <v>682</v>
      </c>
    </row>
    <row r="688">
      <c r="A688" t="n">
        <v>683</v>
      </c>
    </row>
    <row r="689">
      <c r="A689" t="n">
        <v>684</v>
      </c>
    </row>
    <row r="690">
      <c r="A690" t="n">
        <v>685</v>
      </c>
    </row>
    <row r="691">
      <c r="A691" t="n">
        <v>686</v>
      </c>
    </row>
    <row r="692">
      <c r="A692" t="n">
        <v>687</v>
      </c>
    </row>
    <row r="693">
      <c r="A693" t="n">
        <v>688</v>
      </c>
    </row>
    <row r="694">
      <c r="A694" t="n">
        <v>689</v>
      </c>
    </row>
    <row r="695">
      <c r="A695" t="n">
        <v>690</v>
      </c>
    </row>
    <row r="696">
      <c r="A696" t="n">
        <v>691</v>
      </c>
    </row>
    <row r="697">
      <c r="A697" t="n">
        <v>692</v>
      </c>
    </row>
    <row r="698">
      <c r="A698" t="n">
        <v>693</v>
      </c>
    </row>
    <row r="699">
      <c r="A699" t="n">
        <v>694</v>
      </c>
    </row>
    <row r="700">
      <c r="A700" t="n">
        <v>695</v>
      </c>
    </row>
    <row r="701">
      <c r="A701" t="n">
        <v>696</v>
      </c>
    </row>
    <row r="702">
      <c r="A702" t="n">
        <v>697</v>
      </c>
    </row>
    <row r="703">
      <c r="A703" t="n">
        <v>698</v>
      </c>
    </row>
    <row r="704">
      <c r="A704" t="n">
        <v>699</v>
      </c>
    </row>
    <row r="705">
      <c r="A705" t="n">
        <v>700</v>
      </c>
    </row>
    <row r="706">
      <c r="A706" t="n">
        <v>701</v>
      </c>
    </row>
    <row r="707">
      <c r="A707" t="n">
        <v>702</v>
      </c>
    </row>
    <row r="708">
      <c r="A708" t="n">
        <v>703</v>
      </c>
    </row>
    <row r="709">
      <c r="A709" t="n">
        <v>704</v>
      </c>
    </row>
    <row r="710">
      <c r="A710" t="n">
        <v>705</v>
      </c>
    </row>
    <row r="711">
      <c r="A711" t="n">
        <v>706</v>
      </c>
    </row>
    <row r="712">
      <c r="A712" t="n">
        <v>707</v>
      </c>
    </row>
    <row r="713">
      <c r="A713" t="n">
        <v>708</v>
      </c>
    </row>
    <row r="714">
      <c r="A714" t="n">
        <v>709</v>
      </c>
    </row>
    <row r="715">
      <c r="A715" t="n">
        <v>710</v>
      </c>
    </row>
    <row r="716">
      <c r="A716" t="n">
        <v>711</v>
      </c>
    </row>
    <row r="717">
      <c r="A717" t="n">
        <v>712</v>
      </c>
    </row>
    <row r="718">
      <c r="A718" t="n">
        <v>713</v>
      </c>
    </row>
    <row r="719">
      <c r="A719" t="n">
        <v>714</v>
      </c>
    </row>
    <row r="720">
      <c r="A720" t="n">
        <v>715</v>
      </c>
    </row>
    <row r="721">
      <c r="A721" t="n">
        <v>716</v>
      </c>
    </row>
    <row r="722">
      <c r="A722" t="n">
        <v>717</v>
      </c>
    </row>
    <row r="723">
      <c r="A723" t="n">
        <v>718</v>
      </c>
    </row>
    <row r="724">
      <c r="A724" t="n">
        <v>719</v>
      </c>
    </row>
    <row r="725">
      <c r="A725" t="n">
        <v>720</v>
      </c>
    </row>
    <row r="726">
      <c r="A726" t="n">
        <v>721</v>
      </c>
    </row>
    <row r="727">
      <c r="A727" t="n">
        <v>722</v>
      </c>
    </row>
    <row r="728">
      <c r="A728" t="n">
        <v>723</v>
      </c>
    </row>
    <row r="729">
      <c r="A729" t="n">
        <v>724</v>
      </c>
    </row>
    <row r="730">
      <c r="A730" t="n">
        <v>725</v>
      </c>
    </row>
    <row r="731">
      <c r="A731" t="n">
        <v>726</v>
      </c>
    </row>
    <row r="732">
      <c r="A732" t="n">
        <v>727</v>
      </c>
    </row>
    <row r="733">
      <c r="A733" t="n">
        <v>728</v>
      </c>
    </row>
    <row r="734">
      <c r="A734" t="n">
        <v>729</v>
      </c>
    </row>
    <row r="735">
      <c r="A735" t="n">
        <v>730</v>
      </c>
    </row>
    <row r="736">
      <c r="A736" t="n">
        <v>731</v>
      </c>
    </row>
    <row r="737">
      <c r="A737" t="n">
        <v>732</v>
      </c>
    </row>
    <row r="738">
      <c r="A738" t="n">
        <v>733</v>
      </c>
    </row>
    <row r="739">
      <c r="A739" t="n">
        <v>734</v>
      </c>
    </row>
    <row r="740">
      <c r="A740" t="n">
        <v>735</v>
      </c>
    </row>
    <row r="741">
      <c r="A741" t="n">
        <v>736</v>
      </c>
    </row>
    <row r="742">
      <c r="A742" t="n">
        <v>737</v>
      </c>
    </row>
    <row r="743">
      <c r="A743" t="n">
        <v>738</v>
      </c>
    </row>
    <row r="744">
      <c r="A744" t="n">
        <v>739</v>
      </c>
    </row>
    <row r="745">
      <c r="A745" t="n">
        <v>740</v>
      </c>
    </row>
    <row r="746">
      <c r="A746" t="n">
        <v>741</v>
      </c>
    </row>
    <row r="747">
      <c r="A747" t="n">
        <v>742</v>
      </c>
    </row>
    <row r="748">
      <c r="A748" t="n">
        <v>743</v>
      </c>
    </row>
    <row r="749">
      <c r="A749" t="n">
        <v>744</v>
      </c>
    </row>
    <row r="750">
      <c r="A750" t="n">
        <v>745</v>
      </c>
    </row>
    <row r="751">
      <c r="A751" t="n">
        <v>746</v>
      </c>
    </row>
    <row r="752">
      <c r="A752" t="n">
        <v>747</v>
      </c>
    </row>
    <row r="753">
      <c r="A753" t="n">
        <v>748</v>
      </c>
    </row>
    <row r="754">
      <c r="A754" t="n">
        <v>749</v>
      </c>
    </row>
    <row r="755">
      <c r="A755" t="n">
        <v>750</v>
      </c>
    </row>
    <row r="756">
      <c r="A756" t="n">
        <v>751</v>
      </c>
    </row>
    <row r="757">
      <c r="A757" t="n">
        <v>752</v>
      </c>
    </row>
    <row r="758">
      <c r="A758" t="n">
        <v>753</v>
      </c>
    </row>
    <row r="759">
      <c r="A759" t="n">
        <v>754</v>
      </c>
    </row>
    <row r="760">
      <c r="A760" t="n">
        <v>755</v>
      </c>
    </row>
    <row r="761">
      <c r="A761" t="n">
        <v>756</v>
      </c>
    </row>
    <row r="762">
      <c r="A762" t="n">
        <v>757</v>
      </c>
    </row>
    <row r="763">
      <c r="A763" t="n">
        <v>758</v>
      </c>
    </row>
    <row r="764">
      <c r="A764" t="n">
        <v>759</v>
      </c>
    </row>
    <row r="765">
      <c r="A765" t="n">
        <v>760</v>
      </c>
    </row>
    <row r="766">
      <c r="A766" t="n">
        <v>761</v>
      </c>
    </row>
    <row r="767">
      <c r="A767" t="n">
        <v>762</v>
      </c>
    </row>
    <row r="768">
      <c r="A768" t="n">
        <v>763</v>
      </c>
    </row>
    <row r="769">
      <c r="A769" t="n">
        <v>764</v>
      </c>
    </row>
    <row r="770">
      <c r="A770" t="n">
        <v>765</v>
      </c>
    </row>
    <row r="771">
      <c r="A771" t="n">
        <v>766</v>
      </c>
    </row>
    <row r="772">
      <c r="A772" t="n">
        <v>767</v>
      </c>
    </row>
    <row r="773">
      <c r="A773" t="n">
        <v>768</v>
      </c>
    </row>
    <row r="774">
      <c r="A774" t="n">
        <v>769</v>
      </c>
    </row>
    <row r="775">
      <c r="A775" t="n">
        <v>770</v>
      </c>
    </row>
    <row r="776">
      <c r="A776" t="n">
        <v>771</v>
      </c>
    </row>
    <row r="777">
      <c r="A777" t="n">
        <v>772</v>
      </c>
    </row>
    <row r="778">
      <c r="A778" t="n">
        <v>773</v>
      </c>
    </row>
    <row r="779">
      <c r="A779" t="n">
        <v>774</v>
      </c>
    </row>
    <row r="780">
      <c r="A780" t="n">
        <v>775</v>
      </c>
    </row>
    <row r="781">
      <c r="A781" t="n">
        <v>776</v>
      </c>
    </row>
    <row r="782">
      <c r="A782" t="n">
        <v>777</v>
      </c>
    </row>
    <row r="783">
      <c r="A783" t="n">
        <v>778</v>
      </c>
    </row>
    <row r="784">
      <c r="A784" t="n">
        <v>779</v>
      </c>
    </row>
    <row r="785">
      <c r="A785" t="n">
        <v>780</v>
      </c>
    </row>
    <row r="786">
      <c r="A786" t="n">
        <v>781</v>
      </c>
    </row>
    <row r="787">
      <c r="A787" t="n">
        <v>782</v>
      </c>
    </row>
    <row r="788">
      <c r="A788" t="n">
        <v>783</v>
      </c>
    </row>
    <row r="789">
      <c r="A789" t="n">
        <v>784</v>
      </c>
    </row>
    <row r="790">
      <c r="A790" t="n">
        <v>785</v>
      </c>
    </row>
    <row r="791">
      <c r="A791" t="n">
        <v>786</v>
      </c>
    </row>
    <row r="792">
      <c r="A792" t="n">
        <v>787</v>
      </c>
    </row>
    <row r="793">
      <c r="A793" t="n">
        <v>788</v>
      </c>
    </row>
    <row r="794">
      <c r="A794" t="n">
        <v>789</v>
      </c>
    </row>
    <row r="795">
      <c r="A795" t="n">
        <v>790</v>
      </c>
    </row>
    <row r="796">
      <c r="A796" t="n">
        <v>791</v>
      </c>
    </row>
    <row r="797">
      <c r="A797" t="n">
        <v>792</v>
      </c>
    </row>
    <row r="798">
      <c r="A798" t="n">
        <v>793</v>
      </c>
    </row>
    <row r="799">
      <c r="A799" t="n">
        <v>794</v>
      </c>
    </row>
    <row r="800">
      <c r="A800" t="n">
        <v>795</v>
      </c>
    </row>
    <row r="801">
      <c r="A801" t="n">
        <v>796</v>
      </c>
    </row>
    <row r="802">
      <c r="A802" t="n">
        <v>797</v>
      </c>
    </row>
    <row r="803">
      <c r="A803" t="n">
        <v>798</v>
      </c>
    </row>
    <row r="804">
      <c r="A804" t="n">
        <v>799</v>
      </c>
    </row>
    <row r="805">
      <c r="A805" t="n">
        <v>800</v>
      </c>
    </row>
    <row r="806">
      <c r="A806" t="n">
        <v>801</v>
      </c>
    </row>
    <row r="807">
      <c r="A807" t="n">
        <v>802</v>
      </c>
    </row>
    <row r="808">
      <c r="A808" t="n">
        <v>803</v>
      </c>
    </row>
    <row r="809">
      <c r="A809" t="n">
        <v>804</v>
      </c>
    </row>
    <row r="810">
      <c r="A810" t="n">
        <v>805</v>
      </c>
    </row>
    <row r="811">
      <c r="A811" t="n">
        <v>806</v>
      </c>
    </row>
    <row r="812">
      <c r="A812" t="n">
        <v>807</v>
      </c>
    </row>
    <row r="813">
      <c r="A813" t="n">
        <v>808</v>
      </c>
    </row>
    <row r="814">
      <c r="A814" t="n">
        <v>809</v>
      </c>
    </row>
    <row r="815">
      <c r="A815" t="n">
        <v>810</v>
      </c>
    </row>
    <row r="816">
      <c r="A816" t="n">
        <v>811</v>
      </c>
    </row>
    <row r="817">
      <c r="A817" t="n">
        <v>812</v>
      </c>
    </row>
    <row r="818">
      <c r="A818" t="n">
        <v>813</v>
      </c>
    </row>
    <row r="819">
      <c r="A819" t="n">
        <v>814</v>
      </c>
    </row>
    <row r="820">
      <c r="A820" t="n">
        <v>815</v>
      </c>
    </row>
    <row r="821">
      <c r="A821" t="n">
        <v>816</v>
      </c>
    </row>
    <row r="822">
      <c r="A822" t="n">
        <v>817</v>
      </c>
    </row>
    <row r="823">
      <c r="A823" t="n">
        <v>818</v>
      </c>
    </row>
    <row r="824">
      <c r="A824" t="n">
        <v>819</v>
      </c>
    </row>
    <row r="825">
      <c r="A825" t="n">
        <v>820</v>
      </c>
    </row>
    <row r="826">
      <c r="A826" t="n">
        <v>821</v>
      </c>
    </row>
    <row r="827">
      <c r="A827" t="n">
        <v>822</v>
      </c>
    </row>
    <row r="828">
      <c r="A828" t="n">
        <v>823</v>
      </c>
    </row>
    <row r="829">
      <c r="A829" t="n">
        <v>824</v>
      </c>
    </row>
    <row r="830">
      <c r="A830" t="n">
        <v>825</v>
      </c>
    </row>
    <row r="831">
      <c r="A831" t="n">
        <v>826</v>
      </c>
    </row>
    <row r="832">
      <c r="A832" t="n">
        <v>827</v>
      </c>
    </row>
    <row r="833">
      <c r="A833" t="n">
        <v>828</v>
      </c>
    </row>
    <row r="834">
      <c r="A834" t="n">
        <v>829</v>
      </c>
    </row>
    <row r="835">
      <c r="A835" t="n">
        <v>830</v>
      </c>
    </row>
    <row r="836">
      <c r="A836" t="n">
        <v>831</v>
      </c>
    </row>
    <row r="837">
      <c r="A837" t="n">
        <v>832</v>
      </c>
    </row>
    <row r="838">
      <c r="A838" t="n">
        <v>833</v>
      </c>
    </row>
    <row r="839">
      <c r="A839" t="n">
        <v>834</v>
      </c>
    </row>
    <row r="840">
      <c r="A840" t="n">
        <v>835</v>
      </c>
    </row>
    <row r="841">
      <c r="A841" t="n">
        <v>836</v>
      </c>
    </row>
    <row r="842">
      <c r="A842" t="n">
        <v>837</v>
      </c>
    </row>
    <row r="843">
      <c r="A843" t="n">
        <v>838</v>
      </c>
    </row>
    <row r="844">
      <c r="A844" t="n">
        <v>839</v>
      </c>
    </row>
    <row r="845">
      <c r="A845" t="n">
        <v>840</v>
      </c>
    </row>
    <row r="846">
      <c r="A846" t="n">
        <v>841</v>
      </c>
    </row>
    <row r="847">
      <c r="A847" t="n">
        <v>842</v>
      </c>
    </row>
    <row r="848">
      <c r="A848" t="n">
        <v>843</v>
      </c>
    </row>
    <row r="849">
      <c r="A849" t="n">
        <v>844</v>
      </c>
    </row>
    <row r="850">
      <c r="A850" t="n">
        <v>845</v>
      </c>
    </row>
    <row r="851">
      <c r="A851" t="n">
        <v>846</v>
      </c>
    </row>
    <row r="852">
      <c r="A852" t="n">
        <v>847</v>
      </c>
    </row>
    <row r="853">
      <c r="A853" t="n">
        <v>848</v>
      </c>
    </row>
    <row r="854">
      <c r="A854" t="n">
        <v>849</v>
      </c>
    </row>
    <row r="855">
      <c r="A855" t="n">
        <v>850</v>
      </c>
    </row>
    <row r="856">
      <c r="A856" t="n">
        <v>851</v>
      </c>
    </row>
    <row r="857">
      <c r="A857" t="n">
        <v>852</v>
      </c>
    </row>
    <row r="858">
      <c r="A858" t="n">
        <v>853</v>
      </c>
    </row>
    <row r="859">
      <c r="A859" t="n">
        <v>854</v>
      </c>
    </row>
    <row r="860">
      <c r="A860" t="n">
        <v>855</v>
      </c>
    </row>
    <row r="861">
      <c r="A861" t="n">
        <v>856</v>
      </c>
    </row>
    <row r="862">
      <c r="A862" t="n">
        <v>857</v>
      </c>
    </row>
    <row r="863">
      <c r="A863" t="n">
        <v>858</v>
      </c>
    </row>
    <row r="864">
      <c r="A864" t="n">
        <v>859</v>
      </c>
    </row>
    <row r="865">
      <c r="A865" t="n">
        <v>860</v>
      </c>
    </row>
    <row r="866">
      <c r="A866" t="n">
        <v>861</v>
      </c>
    </row>
    <row r="867">
      <c r="A867" t="n">
        <v>862</v>
      </c>
    </row>
    <row r="868">
      <c r="A868" t="n">
        <v>863</v>
      </c>
    </row>
    <row r="869">
      <c r="A869" t="n">
        <v>864</v>
      </c>
    </row>
    <row r="870">
      <c r="A870" t="n">
        <v>865</v>
      </c>
    </row>
    <row r="871">
      <c r="A871" t="n">
        <v>866</v>
      </c>
    </row>
    <row r="872">
      <c r="A872" t="n">
        <v>867</v>
      </c>
    </row>
    <row r="873">
      <c r="A873" t="n">
        <v>868</v>
      </c>
    </row>
    <row r="874">
      <c r="A874" t="n">
        <v>869</v>
      </c>
    </row>
    <row r="875">
      <c r="A875" t="n">
        <v>870</v>
      </c>
    </row>
    <row r="876">
      <c r="A876" t="n">
        <v>871</v>
      </c>
    </row>
    <row r="877">
      <c r="A877" t="n">
        <v>872</v>
      </c>
    </row>
    <row r="878">
      <c r="A878" t="n">
        <v>873</v>
      </c>
    </row>
    <row r="879">
      <c r="A879" t="n">
        <v>874</v>
      </c>
    </row>
    <row r="880">
      <c r="A880" t="n">
        <v>875</v>
      </c>
    </row>
    <row r="881">
      <c r="A881" t="n">
        <v>876</v>
      </c>
    </row>
    <row r="882">
      <c r="A882" t="n">
        <v>877</v>
      </c>
    </row>
    <row r="883">
      <c r="A883" t="n">
        <v>878</v>
      </c>
    </row>
    <row r="884">
      <c r="A884" t="n">
        <v>879</v>
      </c>
    </row>
    <row r="885">
      <c r="A885" t="n">
        <v>880</v>
      </c>
    </row>
    <row r="886">
      <c r="A886" t="n">
        <v>881</v>
      </c>
    </row>
    <row r="887">
      <c r="A887" t="n">
        <v>882</v>
      </c>
    </row>
    <row r="888">
      <c r="A888" t="n">
        <v>883</v>
      </c>
    </row>
    <row r="889">
      <c r="A889" t="n">
        <v>884</v>
      </c>
    </row>
    <row r="890">
      <c r="A890" t="n">
        <v>885</v>
      </c>
    </row>
    <row r="891">
      <c r="A891" t="n">
        <v>886</v>
      </c>
    </row>
    <row r="892">
      <c r="A892" t="n">
        <v>887</v>
      </c>
    </row>
    <row r="893">
      <c r="A893" t="n">
        <v>888</v>
      </c>
    </row>
    <row r="894">
      <c r="A894" t="n">
        <v>889</v>
      </c>
    </row>
    <row r="895">
      <c r="A895" t="n">
        <v>890</v>
      </c>
    </row>
    <row r="896">
      <c r="A896" t="n">
        <v>891</v>
      </c>
    </row>
    <row r="897">
      <c r="A897" t="n">
        <v>892</v>
      </c>
    </row>
    <row r="898">
      <c r="A898" t="n">
        <v>893</v>
      </c>
    </row>
    <row r="899">
      <c r="A899" t="n">
        <v>894</v>
      </c>
    </row>
    <row r="900">
      <c r="A900" t="n">
        <v>895</v>
      </c>
    </row>
    <row r="901">
      <c r="A901" t="n">
        <v>896</v>
      </c>
    </row>
    <row r="902">
      <c r="A902" t="n">
        <v>897</v>
      </c>
    </row>
    <row r="903">
      <c r="A903" t="n">
        <v>898</v>
      </c>
    </row>
    <row r="904">
      <c r="A904" t="n">
        <v>899</v>
      </c>
    </row>
    <row r="905">
      <c r="A905" t="n">
        <v>900</v>
      </c>
    </row>
    <row r="906">
      <c r="A906" t="n">
        <v>901</v>
      </c>
    </row>
    <row r="907">
      <c r="A907" t="n">
        <v>902</v>
      </c>
    </row>
    <row r="908">
      <c r="A908" t="n">
        <v>903</v>
      </c>
    </row>
    <row r="909">
      <c r="A909" t="n">
        <v>904</v>
      </c>
    </row>
    <row r="910">
      <c r="A910" t="n">
        <v>905</v>
      </c>
    </row>
    <row r="911">
      <c r="A911" t="n">
        <v>906</v>
      </c>
    </row>
    <row r="912">
      <c r="A912" t="n">
        <v>907</v>
      </c>
    </row>
    <row r="913">
      <c r="A913" t="n">
        <v>908</v>
      </c>
    </row>
    <row r="914">
      <c r="A914" t="n">
        <v>909</v>
      </c>
    </row>
    <row r="915">
      <c r="A915" t="n">
        <v>910</v>
      </c>
    </row>
    <row r="916">
      <c r="A916" t="n">
        <v>911</v>
      </c>
    </row>
    <row r="917">
      <c r="A917" t="n">
        <v>912</v>
      </c>
    </row>
    <row r="918">
      <c r="A918" t="n">
        <v>913</v>
      </c>
    </row>
    <row r="919">
      <c r="A919" t="n">
        <v>914</v>
      </c>
    </row>
    <row r="920">
      <c r="A920" t="n">
        <v>915</v>
      </c>
    </row>
    <row r="921">
      <c r="A921" t="n">
        <v>916</v>
      </c>
    </row>
    <row r="922">
      <c r="A922" t="n">
        <v>917</v>
      </c>
    </row>
    <row r="923">
      <c r="A923" t="n">
        <v>918</v>
      </c>
    </row>
    <row r="924">
      <c r="A924" t="n">
        <v>919</v>
      </c>
    </row>
    <row r="925">
      <c r="A925" t="n">
        <v>920</v>
      </c>
    </row>
    <row r="926">
      <c r="A926" t="n">
        <v>921</v>
      </c>
    </row>
    <row r="927">
      <c r="A927" t="n">
        <v>922</v>
      </c>
    </row>
    <row r="928">
      <c r="A928" t="n">
        <v>923</v>
      </c>
    </row>
    <row r="929">
      <c r="A929" t="n">
        <v>924</v>
      </c>
    </row>
    <row r="930">
      <c r="A930" t="n">
        <v>925</v>
      </c>
    </row>
    <row r="931">
      <c r="A931" t="n">
        <v>926</v>
      </c>
    </row>
    <row r="932">
      <c r="A932" t="n">
        <v>927</v>
      </c>
    </row>
    <row r="933">
      <c r="A933" t="n">
        <v>928</v>
      </c>
    </row>
    <row r="934">
      <c r="A934" t="n">
        <v>929</v>
      </c>
    </row>
    <row r="935">
      <c r="A935" t="n">
        <v>930</v>
      </c>
    </row>
    <row r="936">
      <c r="A936" t="n">
        <v>931</v>
      </c>
    </row>
    <row r="937">
      <c r="A937" t="n">
        <v>932</v>
      </c>
    </row>
    <row r="938">
      <c r="A938" t="n">
        <v>933</v>
      </c>
    </row>
    <row r="939">
      <c r="A939" t="n">
        <v>934</v>
      </c>
    </row>
    <row r="940">
      <c r="A940" t="n">
        <v>935</v>
      </c>
    </row>
    <row r="941">
      <c r="A941" t="n">
        <v>936</v>
      </c>
    </row>
    <row r="942">
      <c r="A942" t="n">
        <v>937</v>
      </c>
    </row>
    <row r="943">
      <c r="A943" t="n">
        <v>938</v>
      </c>
    </row>
    <row r="944">
      <c r="A944" t="n">
        <v>939</v>
      </c>
    </row>
    <row r="945">
      <c r="A945" t="n">
        <v>940</v>
      </c>
    </row>
    <row r="946">
      <c r="A946" t="n">
        <v>941</v>
      </c>
    </row>
    <row r="947">
      <c r="A947" t="n">
        <v>942</v>
      </c>
    </row>
    <row r="948">
      <c r="A948" t="n">
        <v>943</v>
      </c>
    </row>
    <row r="949">
      <c r="A949" t="n">
        <v>944</v>
      </c>
    </row>
    <row r="950">
      <c r="A950" t="n">
        <v>945</v>
      </c>
    </row>
    <row r="951">
      <c r="A951" t="n">
        <v>946</v>
      </c>
    </row>
    <row r="952">
      <c r="A952" t="n">
        <v>947</v>
      </c>
    </row>
    <row r="953">
      <c r="A953" t="n">
        <v>948</v>
      </c>
    </row>
    <row r="954">
      <c r="A954" t="n">
        <v>949</v>
      </c>
    </row>
    <row r="955">
      <c r="A955" t="n">
        <v>950</v>
      </c>
    </row>
    <row r="956">
      <c r="A956" t="n">
        <v>951</v>
      </c>
    </row>
    <row r="957">
      <c r="A957" t="n">
        <v>952</v>
      </c>
    </row>
    <row r="958">
      <c r="A958" t="n">
        <v>953</v>
      </c>
    </row>
    <row r="959">
      <c r="A959" t="n">
        <v>954</v>
      </c>
    </row>
    <row r="960">
      <c r="A960" t="n">
        <v>955</v>
      </c>
    </row>
    <row r="961">
      <c r="A961" t="n">
        <v>956</v>
      </c>
    </row>
    <row r="962">
      <c r="A962" t="n">
        <v>957</v>
      </c>
    </row>
    <row r="963">
      <c r="A963" t="n">
        <v>958</v>
      </c>
    </row>
    <row r="964">
      <c r="A964" t="n">
        <v>959</v>
      </c>
    </row>
    <row r="965">
      <c r="A965" t="n">
        <v>960</v>
      </c>
    </row>
    <row r="966">
      <c r="A966" t="n">
        <v>961</v>
      </c>
    </row>
    <row r="967">
      <c r="A967" t="n">
        <v>962</v>
      </c>
    </row>
    <row r="968">
      <c r="A968" t="n">
        <v>963</v>
      </c>
    </row>
    <row r="969">
      <c r="A969" t="n">
        <v>964</v>
      </c>
    </row>
    <row r="970">
      <c r="A970" t="n">
        <v>965</v>
      </c>
    </row>
    <row r="971">
      <c r="A971" t="n">
        <v>966</v>
      </c>
    </row>
    <row r="972">
      <c r="A972" t="n">
        <v>967</v>
      </c>
    </row>
    <row r="973">
      <c r="A973" t="n">
        <v>968</v>
      </c>
    </row>
    <row r="974">
      <c r="A974" t="n">
        <v>969</v>
      </c>
    </row>
    <row r="975">
      <c r="A975" t="n">
        <v>970</v>
      </c>
    </row>
    <row r="976">
      <c r="A976" t="n">
        <v>971</v>
      </c>
    </row>
    <row r="977">
      <c r="A977" t="n">
        <v>972</v>
      </c>
    </row>
    <row r="978">
      <c r="A978" t="n">
        <v>973</v>
      </c>
    </row>
    <row r="979">
      <c r="A979" t="n">
        <v>974</v>
      </c>
    </row>
    <row r="980">
      <c r="A980" t="n">
        <v>975</v>
      </c>
    </row>
    <row r="981">
      <c r="A981" t="n">
        <v>976</v>
      </c>
    </row>
    <row r="982">
      <c r="A982" t="n">
        <v>977</v>
      </c>
    </row>
    <row r="983">
      <c r="A983" t="n">
        <v>978</v>
      </c>
    </row>
    <row r="984">
      <c r="A984" t="n">
        <v>979</v>
      </c>
    </row>
    <row r="985">
      <c r="A985" t="n">
        <v>980</v>
      </c>
    </row>
    <row r="986">
      <c r="A986" t="n">
        <v>981</v>
      </c>
    </row>
    <row r="987">
      <c r="A987" t="n">
        <v>982</v>
      </c>
    </row>
    <row r="988">
      <c r="A988" t="n">
        <v>983</v>
      </c>
    </row>
    <row r="989">
      <c r="A989" t="n">
        <v>984</v>
      </c>
    </row>
    <row r="990">
      <c r="A990" t="n">
        <v>985</v>
      </c>
    </row>
    <row r="991">
      <c r="A991" t="n">
        <v>986</v>
      </c>
    </row>
    <row r="992">
      <c r="A992" t="n">
        <v>987</v>
      </c>
    </row>
    <row r="993">
      <c r="A993" t="n">
        <v>988</v>
      </c>
    </row>
    <row r="994">
      <c r="A994" t="n">
        <v>989</v>
      </c>
    </row>
    <row r="995">
      <c r="A995" t="n">
        <v>990</v>
      </c>
    </row>
    <row r="996">
      <c r="A996" t="n">
        <v>991</v>
      </c>
    </row>
    <row r="997">
      <c r="A997" t="n">
        <v>992</v>
      </c>
    </row>
    <row r="998">
      <c r="A998" t="n">
        <v>993</v>
      </c>
    </row>
    <row r="999">
      <c r="A999" t="n">
        <v>994</v>
      </c>
    </row>
    <row r="1000">
      <c r="A1000" t="n">
        <v>995</v>
      </c>
    </row>
    <row r="1001">
      <c r="A1001" t="n">
        <v>996</v>
      </c>
    </row>
    <row r="1002">
      <c r="A1002" t="n">
        <v>997</v>
      </c>
    </row>
    <row r="1003">
      <c r="A1003" t="n">
        <v>998</v>
      </c>
    </row>
    <row r="1004">
      <c r="A1004" t="n">
        <v>999</v>
      </c>
    </row>
    <row r="1005">
      <c r="A1005" t="n">
        <v>1000</v>
      </c>
    </row>
    <row r="1006"/>
    <row r="1007"/>
    <row r="1008"/>
    <row r="1009"/>
    <row r="1010">
      <c r="A1010" s="4" t="inlineStr">
        <is>
          <t>Monte Carlo Statistics</t>
        </is>
      </c>
    </row>
    <row r="1011">
      <c r="A1011" t="inlineStr">
        <is>
          <t>Expected NPV</t>
        </is>
      </c>
      <c r="B1011" s="16">
        <f>AVERAGE(B6:B1005)</f>
        <v/>
      </c>
    </row>
    <row r="1012">
      <c r="A1012" t="inlineStr">
        <is>
          <t>P10 NPV</t>
        </is>
      </c>
      <c r="B1012" s="16">
        <f>PERCENTILE(B6:B1005,0.10)</f>
        <v/>
      </c>
    </row>
    <row r="1013">
      <c r="A1013" t="inlineStr">
        <is>
          <t>P50 NPV (Median)</t>
        </is>
      </c>
      <c r="B1013" s="16">
        <f>PERCENTILE(B6:B1005,0.50)</f>
        <v/>
      </c>
    </row>
    <row r="1014">
      <c r="A1014" t="inlineStr">
        <is>
          <t>P90 NPV</t>
        </is>
      </c>
      <c r="B1014" s="16">
        <f>PERCENTILE(B6:B1005,0.90)</f>
        <v/>
      </c>
    </row>
    <row r="1015">
      <c r="A1015" t="inlineStr">
        <is>
          <t>StdDev</t>
        </is>
      </c>
      <c r="B1015" s="16">
        <f>STDEV(B6:B1005)</f>
        <v/>
      </c>
    </row>
    <row r="1016">
      <c r="A1016" t="inlineStr">
        <is>
          <t>Prob(NPV&gt;0)</t>
        </is>
      </c>
      <c r="B1016" s="27">
        <f>COUNTIF(B6:B1005,"&gt;0")/1000</f>
        <v/>
      </c>
    </row>
    <row r="1017"/>
    <row r="1018">
      <c r="A1018" s="4" t="inlineStr">
        <is>
          <t>Treatment Kinetics Statistics</t>
        </is>
      </c>
    </row>
    <row r="1019">
      <c r="A1019" t="inlineStr">
        <is>
          <t>Expected Days to Compliance</t>
        </is>
      </c>
      <c r="B1019" s="25">
        <f>IFERROR(AVERAGE(I6:I1005),"Run MC")</f>
        <v/>
      </c>
    </row>
    <row r="1020">
      <c r="A1020" t="inlineStr">
        <is>
          <t>P10 Days (optimistic)</t>
        </is>
      </c>
      <c r="B1020" s="25">
        <f>IFERROR(PERCENTILE(I6:I1005,0.10),"Run MC")</f>
        <v/>
      </c>
    </row>
    <row r="1021">
      <c r="A1021" t="inlineStr">
        <is>
          <t>P50 Days (median)</t>
        </is>
      </c>
      <c r="B1021" s="25">
        <f>IFERROR(PERCENTILE(I6:I1005,0.50),"Run MC")</f>
        <v/>
      </c>
    </row>
    <row r="1022">
      <c r="A1022" t="inlineStr">
        <is>
          <t>P90 Days (conservative)</t>
        </is>
      </c>
      <c r="B1022" s="25">
        <f>IFERROR(PERCENTILE(I6:I1005,0.90),"Run MC")</f>
        <v/>
      </c>
    </row>
    <row r="1023">
      <c r="A1023" t="inlineStr">
        <is>
          <t>Prob(Achievable in Season)</t>
        </is>
      </c>
      <c r="B1023" s="27">
        <f>IFERROR(COUNTIF(I6:I1005,"&lt;="&amp;Season_Length)/1000,"Run MC")</f>
        <v/>
      </c>
    </row>
  </sheetData>
  <mergeCells count="2">
    <mergeCell ref="L2:O2"/>
    <mergeCell ref="L1:O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4472C4"/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5" t="inlineStr">
        <is>
          <t>Monthly P&amp;L (Placeholder)</t>
        </is>
      </c>
    </row>
    <row r="2"/>
    <row r="3">
      <c r="A3" s="18" t="inlineStr">
        <is>
          <t>Monthly P&amp;L View</t>
        </is>
      </c>
      <c r="B3" s="19" t="n"/>
      <c r="C3" s="19" t="n"/>
      <c r="D3" s="20" t="n"/>
    </row>
    <row r="4" ht="300" customHeight="1">
      <c r="A4" s="21" t="inlineStr">
        <is>
          <t>This sheet is a placeholder for future monthly P&amp;L projections.
CURRENT STATUS: Not implemented in this version.
FUTURE USE CASES:
- Monthly cash flow timing for working capital analysis
- Seasonal revenue recognition patterns
- Monthly cost accruals
- Intra-year variance analysis
The model currently uses annual projections (12_PL_Annual) as the
primary financial view. Monthly detail would add complexity without
significant benefit for the current valuation use case.
If monthly detail is needed, the structure should mirror 12_PL_Annual
with columns for each month and rows for:
- Gross Value by scenario
- Testing costs
- Operating expenses
- Net monthly benefit</t>
        </is>
      </c>
      <c r="B4" s="19" t="n"/>
      <c r="C4" s="19" t="n"/>
      <c r="D4" s="20" t="n"/>
    </row>
  </sheetData>
  <mergeCells count="2">
    <mergeCell ref="A4:D4"/>
    <mergeCell ref="A3:D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4472C4"/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4" customWidth="1" min="8" max="8"/>
    <col width="16" customWidth="1" min="9" max="9"/>
    <col width="14" customWidth="1" min="10" max="10"/>
  </cols>
  <sheetData>
    <row r="1">
      <c r="A1" s="5" t="inlineStr">
        <is>
          <t>Annual Projections</t>
        </is>
      </c>
    </row>
    <row r="2"/>
    <row r="3">
      <c r="A3" s="18" t="inlineStr">
        <is>
          <t>Annual Financial Projections</t>
        </is>
      </c>
      <c r="B3" s="19" t="n"/>
      <c r="C3" s="19" t="n"/>
      <c r="D3" s="19" t="n"/>
      <c r="E3" s="19" t="n"/>
      <c r="F3" s="19" t="n"/>
      <c r="G3" s="19" t="n"/>
      <c r="H3" s="19" t="n"/>
      <c r="I3" s="19" t="n"/>
      <c r="J3" s="20" t="n"/>
    </row>
    <row r="4" ht="240" customHeight="1">
      <c r="A4" s="21" t="inlineStr">
        <is>
          <t>This sheet projects annual value capture over the planning horizon.
KEY CALCULATIONS:
- Gross Value: Sum of gated scenario values from 8_Calc_Value
- Learning Curve: Year 1 at 50%, Year 2 at 75%, Year 3+ at 100%
- Adjusted Value: Gross Value x Learning Curve Multiplier
- Net Value: Adjusted Value - Testing Costs
- NPV: Discounted sum using rate from 1_TOC
LEARNING CURVE RATIONALE:
Year 1 (50%): Pilot learning, process establishment
Year 2 (75%): Initial optimization, expanded coverage
Year 3+ (100%): Full operational maturity, steady state
The learning curve can be adjusted in 3_Assumptions Section D.
Conservative default reflects typical technology adoption patterns.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20" t="n"/>
    </row>
    <row r="5"/>
    <row r="6">
      <c r="A6" s="6" t="inlineStr">
        <is>
          <t>Annual Projections</t>
        </is>
      </c>
    </row>
    <row r="7" ht="13" customHeight="1">
      <c r="A7" s="7" t="inlineStr">
        <is>
          <t>Description:</t>
        </is>
      </c>
      <c r="B7" s="8" t="inlineStr">
        <is>
          <t>Year-by-year financial projections with learning curve adjustments and NPV calculations.</t>
        </is>
      </c>
    </row>
    <row r="8" ht="13" customHeight="1">
      <c r="A8" s="7" t="inlineStr">
        <is>
          <t>Purpose:</t>
        </is>
      </c>
      <c r="B8" s="8" t="inlineStr">
        <is>
          <t>Project multi-year value capture for ROI and NPV analysis</t>
        </is>
      </c>
    </row>
    <row r="9" ht="26" customHeight="1">
      <c r="A9" s="7" t="inlineStr">
        <is>
          <t>Assumptions:</t>
        </is>
      </c>
      <c r="B9" s="8" t="inlineStr">
        <is>
          <t>- Learning curve applied: Year 1 (50%), Year 2 (75%), Year 3+ (100%)
- Discount rate from 1_TOC applied to all future cash flows
- Testing costs deducted annually based on selected approach</t>
        </is>
      </c>
    </row>
    <row r="10" ht="13" customHeight="1">
      <c r="A10" s="7" t="inlineStr">
        <is>
          <t>Data Source:</t>
        </is>
      </c>
      <c r="B10" s="8" t="inlineStr">
        <is>
          <t>Calculated from tbl_GatedValues, tbl_LearningCurve, tbl_CostCalc</t>
        </is>
      </c>
    </row>
    <row r="11" ht="13" customHeight="1">
      <c r="A11" s="7" t="inlineStr">
        <is>
          <t>Related Tables:</t>
        </is>
      </c>
      <c r="B11" s="8" t="inlineStr">
        <is>
          <t>tbl_GatedValues, tbl_LearningCurve, tbl_CostCalc, tbl_CashFlow</t>
        </is>
      </c>
    </row>
    <row r="12">
      <c r="A12" s="9" t="inlineStr">
        <is>
          <t>Year</t>
        </is>
      </c>
      <c r="B12" s="9" t="inlineStr">
        <is>
          <t>S1_Value</t>
        </is>
      </c>
      <c r="C12" s="9" t="inlineStr">
        <is>
          <t>S2_Value</t>
        </is>
      </c>
      <c r="D12" s="9" t="inlineStr">
        <is>
          <t>S3_Value</t>
        </is>
      </c>
      <c r="E12" s="9" t="inlineStr">
        <is>
          <t>S4_Value</t>
        </is>
      </c>
      <c r="F12" s="9" t="inlineStr">
        <is>
          <t>Gross_Value</t>
        </is>
      </c>
      <c r="G12" s="9" t="inlineStr">
        <is>
          <t>Costs</t>
        </is>
      </c>
      <c r="H12" s="9" t="inlineStr">
        <is>
          <t>Net_Annual</t>
        </is>
      </c>
      <c r="I12" s="9" t="inlineStr">
        <is>
          <t>Discount_Factor</t>
        </is>
      </c>
      <c r="J12" s="9" t="inlineStr">
        <is>
          <t>Discounted</t>
        </is>
      </c>
    </row>
    <row r="13">
      <c r="A13">
        <f>Base_Year+0</f>
        <v/>
      </c>
      <c r="B13" s="16">
        <f>S1_Value*INDEX(Timeline_LearningMult,2)</f>
        <v/>
      </c>
      <c r="C13" s="16">
        <f>S2_Value*INDEX(Timeline_LearningMult,2)</f>
        <v/>
      </c>
      <c r="D13" s="16">
        <f>S3_Value*INDEX(Timeline_LearningMult,2)</f>
        <v/>
      </c>
      <c r="E13" s="16">
        <f>S4_Value*INDEX(Timeline_LearningMult,2)</f>
        <v/>
      </c>
      <c r="F13" s="16">
        <f>SUM(B13:E13)</f>
        <v/>
      </c>
      <c r="G13" s="16">
        <f>Testing_Cost</f>
        <v/>
      </c>
      <c r="H13" s="16">
        <f>F13-G13</f>
        <v/>
      </c>
      <c r="I13">
        <f>INDEX(Timeline_DiscountFactor,2)</f>
        <v/>
      </c>
      <c r="J13" s="16">
        <f>H13*I13</f>
        <v/>
      </c>
    </row>
    <row r="14">
      <c r="A14">
        <f>Base_Year+1</f>
        <v/>
      </c>
      <c r="B14" s="16">
        <f>S1_Value*INDEX(Timeline_LearningMult,3)</f>
        <v/>
      </c>
      <c r="C14" s="16">
        <f>S2_Value*INDEX(Timeline_LearningMult,3)</f>
        <v/>
      </c>
      <c r="D14" s="16">
        <f>S3_Value*INDEX(Timeline_LearningMult,3)</f>
        <v/>
      </c>
      <c r="E14" s="16">
        <f>S4_Value*INDEX(Timeline_LearningMult,3)</f>
        <v/>
      </c>
      <c r="F14" s="16">
        <f>SUM(B14:E14)</f>
        <v/>
      </c>
      <c r="G14" s="16">
        <f>Testing_Cost</f>
        <v/>
      </c>
      <c r="H14" s="16">
        <f>F14-G14</f>
        <v/>
      </c>
      <c r="I14">
        <f>INDEX(Timeline_DiscountFactor,3)</f>
        <v/>
      </c>
      <c r="J14" s="16">
        <f>H14*I14</f>
        <v/>
      </c>
    </row>
    <row r="15">
      <c r="A15">
        <f>Base_Year+2</f>
        <v/>
      </c>
      <c r="B15" s="16">
        <f>S1_Value*INDEX(Timeline_LearningMult,4)</f>
        <v/>
      </c>
      <c r="C15" s="16">
        <f>S2_Value*INDEX(Timeline_LearningMult,4)</f>
        <v/>
      </c>
      <c r="D15" s="16">
        <f>S3_Value*INDEX(Timeline_LearningMult,4)</f>
        <v/>
      </c>
      <c r="E15" s="16">
        <f>S4_Value*INDEX(Timeline_LearningMult,4)</f>
        <v/>
      </c>
      <c r="F15" s="16">
        <f>SUM(B15:E15)</f>
        <v/>
      </c>
      <c r="G15" s="16">
        <f>Testing_Cost</f>
        <v/>
      </c>
      <c r="H15" s="16">
        <f>F15-G15</f>
        <v/>
      </c>
      <c r="I15">
        <f>INDEX(Timeline_DiscountFactor,4)</f>
        <v/>
      </c>
      <c r="J15" s="16">
        <f>H15*I15</f>
        <v/>
      </c>
    </row>
    <row r="16">
      <c r="A16">
        <f>Base_Year+3</f>
        <v/>
      </c>
      <c r="B16" s="16">
        <f>S1_Value*INDEX(Timeline_LearningMult,5)</f>
        <v/>
      </c>
      <c r="C16" s="16">
        <f>S2_Value*INDEX(Timeline_LearningMult,5)</f>
        <v/>
      </c>
      <c r="D16" s="16">
        <f>S3_Value*INDEX(Timeline_LearningMult,5)</f>
        <v/>
      </c>
      <c r="E16" s="16">
        <f>S4_Value*INDEX(Timeline_LearningMult,5)</f>
        <v/>
      </c>
      <c r="F16" s="16">
        <f>SUM(B16:E16)</f>
        <v/>
      </c>
      <c r="G16" s="16">
        <f>Testing_Cost</f>
        <v/>
      </c>
      <c r="H16" s="16">
        <f>F16-G16</f>
        <v/>
      </c>
      <c r="I16">
        <f>INDEX(Timeline_DiscountFactor,5)</f>
        <v/>
      </c>
      <c r="J16" s="16">
        <f>H16*I16</f>
        <v/>
      </c>
    </row>
    <row r="17">
      <c r="A17">
        <f>Base_Year+4</f>
        <v/>
      </c>
      <c r="B17" s="16">
        <f>S1_Value*INDEX(Timeline_LearningMult,6)</f>
        <v/>
      </c>
      <c r="C17" s="16">
        <f>S2_Value*INDEX(Timeline_LearningMult,6)</f>
        <v/>
      </c>
      <c r="D17" s="16">
        <f>S3_Value*INDEX(Timeline_LearningMult,6)</f>
        <v/>
      </c>
      <c r="E17" s="16">
        <f>S4_Value*INDEX(Timeline_LearningMult,6)</f>
        <v/>
      </c>
      <c r="F17" s="16">
        <f>SUM(B17:E17)</f>
        <v/>
      </c>
      <c r="G17" s="16">
        <f>Testing_Cost</f>
        <v/>
      </c>
      <c r="H17" s="16">
        <f>F17-G17</f>
        <v/>
      </c>
      <c r="I17">
        <f>INDEX(Timeline_DiscountFactor,6)</f>
        <v/>
      </c>
      <c r="J17" s="16">
        <f>H17*I17</f>
        <v/>
      </c>
    </row>
    <row r="18"/>
    <row r="19"/>
    <row r="20">
      <c r="A20" s="4" t="inlineStr">
        <is>
          <t>Aggregate KPIs</t>
        </is>
      </c>
    </row>
    <row r="21">
      <c r="A21" t="inlineStr">
        <is>
          <t>NPV_Total</t>
        </is>
      </c>
      <c r="B21" s="16">
        <f>SUM(J13:J17)</f>
        <v/>
      </c>
    </row>
    <row r="22">
      <c r="A22" t="inlineStr">
        <is>
          <t>Total_Gross_5Yr</t>
        </is>
      </c>
      <c r="B22" s="16">
        <f>SUM(F13:F17)</f>
        <v/>
      </c>
    </row>
    <row r="23">
      <c r="A23" t="inlineStr">
        <is>
          <t>Total_Net_5Yr</t>
        </is>
      </c>
      <c r="B23" s="16">
        <f>SUM(H13:H17)</f>
        <v/>
      </c>
    </row>
  </sheetData>
  <mergeCells count="7">
    <mergeCell ref="B7:J7"/>
    <mergeCell ref="B11:J11"/>
    <mergeCell ref="B10:J10"/>
    <mergeCell ref="A3:J3"/>
    <mergeCell ref="B9:J9"/>
    <mergeCell ref="A4:J4"/>
    <mergeCell ref="B8:J8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4472C4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Cumulative Cash Flow</t>
        </is>
      </c>
    </row>
    <row r="2"/>
    <row r="3">
      <c r="A3" s="18" t="inlineStr">
        <is>
          <t>Cumulative Cash Flow Analysis</t>
        </is>
      </c>
      <c r="B3" s="19" t="n"/>
      <c r="C3" s="19" t="n"/>
      <c r="D3" s="20" t="n"/>
    </row>
    <row r="4" ht="240" customHeight="1">
      <c r="A4" s="21" t="inlineStr">
        <is>
          <t>This sheet tracks cumulative value capture over the projection horizon.
KEY METRICS:
- Cumulative Net: Running total of annual net benefits
- Cumulative NPV: Running total of discounted net benefits
- Payback Point: Year when cumulative value turns positive
USE CASES:
- Determine when investment breaks even
- Assess cash flow timing for capital planning
- Compare cumulative value vs upfront investment
Note: This model assumes no upfront capital investment for the
biosensor system (included in testing costs). For scenarios with
capital expenditure, add an initial investment row and adjust
payback calculations accordingly.</t>
        </is>
      </c>
      <c r="B4" s="19" t="n"/>
      <c r="C4" s="19" t="n"/>
      <c r="D4" s="20" t="n"/>
    </row>
    <row r="5"/>
    <row r="6">
      <c r="A6" s="6" t="inlineStr">
        <is>
          <t>Cash Flow Summary</t>
        </is>
      </c>
    </row>
    <row r="7" ht="13" customHeight="1">
      <c r="A7" s="7" t="inlineStr">
        <is>
          <t>Description:</t>
        </is>
      </c>
      <c r="B7" s="8" t="inlineStr">
        <is>
          <t>Cumulative cash flow and NPV tracking for payback analysis.</t>
        </is>
      </c>
    </row>
    <row r="8" ht="26" customHeight="1">
      <c r="A8" s="7" t="inlineStr">
        <is>
          <t>Purpose:</t>
        </is>
      </c>
      <c r="B8" s="8" t="inlineStr">
        <is>
          <t>Track when cumulative value exceeds investment for breakeven analysis</t>
        </is>
      </c>
    </row>
    <row r="9" ht="39" customHeight="1">
      <c r="A9" s="7" t="inlineStr">
        <is>
          <t>Assumptions:</t>
        </is>
      </c>
      <c r="B9" s="8" t="inlineStr">
        <is>
          <t>- No upfront capital investment assumed (costs included in testing)
- Annual net values from tbl_Annual
- Cumulative NPV used for total project value</t>
        </is>
      </c>
    </row>
    <row r="10" ht="13" customHeight="1">
      <c r="A10" s="7" t="inlineStr">
        <is>
          <t>Data Source:</t>
        </is>
      </c>
      <c r="B10" s="8" t="inlineStr">
        <is>
          <t>Calculated from tbl_Annual</t>
        </is>
      </c>
    </row>
    <row r="11" ht="13" customHeight="1">
      <c r="A11" s="7" t="inlineStr">
        <is>
          <t>Related Tables:</t>
        </is>
      </c>
      <c r="B11" s="8" t="inlineStr">
        <is>
          <t>tbl_Annual, tbl_KPIs</t>
        </is>
      </c>
    </row>
    <row r="12">
      <c r="A12" s="9" t="inlineStr">
        <is>
          <t>Year</t>
        </is>
      </c>
      <c r="B12" s="9" t="inlineStr">
        <is>
          <t>Annual_Net</t>
        </is>
      </c>
      <c r="C12" s="9" t="inlineStr">
        <is>
          <t>Cumulative_Net</t>
        </is>
      </c>
      <c r="D12" s="9" t="inlineStr">
        <is>
          <t>Cumulative_NPV</t>
        </is>
      </c>
    </row>
    <row r="13">
      <c r="A13">
        <f>Base_Year+0</f>
        <v/>
      </c>
      <c r="B13" s="16">
        <f>INDEX(tbl_Annual[Net_Annual],1)</f>
        <v/>
      </c>
      <c r="C13" s="16">
        <f>B13</f>
        <v/>
      </c>
      <c r="D13" s="16">
        <f>INDEX(tbl_Annual[Discounted],1)</f>
        <v/>
      </c>
    </row>
    <row r="14">
      <c r="A14">
        <f>Base_Year+1</f>
        <v/>
      </c>
      <c r="B14" s="16">
        <f>INDEX(tbl_Annual[Net_Annual],2)</f>
        <v/>
      </c>
      <c r="C14" s="16">
        <f>C13+B14</f>
        <v/>
      </c>
      <c r="D14" s="16">
        <f>D13+INDEX(tbl_Annual[Discounted],2)</f>
        <v/>
      </c>
    </row>
    <row r="15">
      <c r="A15">
        <f>Base_Year+2</f>
        <v/>
      </c>
      <c r="B15" s="16">
        <f>INDEX(tbl_Annual[Net_Annual],3)</f>
        <v/>
      </c>
      <c r="C15" s="16">
        <f>C14+B15</f>
        <v/>
      </c>
      <c r="D15" s="16">
        <f>D14+INDEX(tbl_Annual[Discounted],3)</f>
        <v/>
      </c>
    </row>
    <row r="16">
      <c r="A16">
        <f>Base_Year+3</f>
        <v/>
      </c>
      <c r="B16" s="16">
        <f>INDEX(tbl_Annual[Net_Annual],4)</f>
        <v/>
      </c>
      <c r="C16" s="16">
        <f>C15+B16</f>
        <v/>
      </c>
      <c r="D16" s="16">
        <f>D15+INDEX(tbl_Annual[Discounted],4)</f>
        <v/>
      </c>
    </row>
    <row r="17">
      <c r="A17">
        <f>Base_Year+4</f>
        <v/>
      </c>
      <c r="B17" s="16">
        <f>INDEX(tbl_Annual[Net_Annual],5)</f>
        <v/>
      </c>
      <c r="C17" s="16">
        <f>C16+B17</f>
        <v/>
      </c>
      <c r="D17" s="16">
        <f>D16+INDEX(tbl_Annual[Discounted],5)</f>
        <v/>
      </c>
    </row>
  </sheetData>
  <mergeCells count="7">
    <mergeCell ref="B10:D10"/>
    <mergeCell ref="B11:D11"/>
    <mergeCell ref="A4:D4"/>
    <mergeCell ref="B8:D8"/>
    <mergeCell ref="A3:D3"/>
    <mergeCell ref="B9:D9"/>
    <mergeCell ref="B7:D7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4472C4"/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0" customWidth="1" min="3" max="3"/>
    <col width="25" customWidth="1" min="4" max="4"/>
  </cols>
  <sheetData>
    <row r="1">
      <c r="A1" s="5" t="inlineStr">
        <is>
          <t>Unit Economics</t>
        </is>
      </c>
    </row>
    <row r="2"/>
    <row r="3">
      <c r="A3" s="18" t="inlineStr">
        <is>
          <t>Per-Cubic-Meter Economics</t>
        </is>
      </c>
      <c r="B3" s="19" t="n"/>
      <c r="C3" s="19" t="n"/>
      <c r="D3" s="20" t="n"/>
    </row>
    <row r="4" ht="315" customHeight="1">
      <c r="A4" s="21" t="inlineStr">
        <is>
          <t>This sheet expresses all values on a per-m3 basis for comparability.
WHY UNIT ECONOMICS MATTER:
- Allows comparison across different site sizes
- Enables scaling estimates to new deployments
- Provides intuitive metrics for operator discussions
- Connects to industry benchmarks (treatment costs, ARO liabilities)
KEY METRICS:
- Value per m3: Total value divided by annual throughput
- Cost per m3: Testing cost divided by throughput
- Net per m3: Value minus cost per unit volume
- NPV per m3: 5-year NPV divided by total 5-year throughput
BENCHMARKS (from 2_Instructions):
- Operational value: $3-8/m3 (this model's output)
- Avoided treatment: $10-30/m3 (alternative treatment costs)
- ARO liability: $21-93/m3 (Zhang 2026 analysis)
The biosensor's value per m3 can be compared against these benchmarks
to understand its contribution relative to the total value stack.</t>
        </is>
      </c>
      <c r="B4" s="19" t="n"/>
      <c r="C4" s="19" t="n"/>
      <c r="D4" s="20" t="n"/>
    </row>
    <row r="5"/>
    <row r="6">
      <c r="A6" s="6" t="inlineStr">
        <is>
          <t>Unit Economics</t>
        </is>
      </c>
    </row>
    <row r="7" ht="26" customHeight="1">
      <c r="A7" s="7" t="inlineStr">
        <is>
          <t>Description:</t>
        </is>
      </c>
      <c r="B7" s="8" t="inlineStr">
        <is>
          <t>Per-cubic-meter economics for cross-site comparability and scaling estimates.</t>
        </is>
      </c>
    </row>
    <row r="8" ht="26" customHeight="1">
      <c r="A8" s="7" t="inlineStr">
        <is>
          <t>Purpose:</t>
        </is>
      </c>
      <c r="B8" s="8" t="inlineStr">
        <is>
          <t>Express all values on per-m3 basis for benchmarking and scaling</t>
        </is>
      </c>
    </row>
    <row r="9" ht="39" customHeight="1">
      <c r="A9" s="7" t="inlineStr">
        <is>
          <t>Assumptions:</t>
        </is>
      </c>
      <c r="B9" s="8" t="inlineStr">
        <is>
          <t>- Annual throughput from tbl_SiteConfig used as denominator
- NPV values divided by 5-year total throughput
- Benchmarks from industry data and Zhang (2026) analysis</t>
        </is>
      </c>
    </row>
    <row r="10" ht="13" customHeight="1">
      <c r="A10" s="7" t="inlineStr">
        <is>
          <t>Data Source:</t>
        </is>
      </c>
      <c r="B10" s="8" t="inlineStr">
        <is>
          <t>Calculated from model outputs and 3_Assumptions throughput</t>
        </is>
      </c>
    </row>
    <row r="11" ht="13" customHeight="1">
      <c r="A11" s="7" t="inlineStr">
        <is>
          <t>Related Tables:</t>
        </is>
      </c>
      <c r="B11" s="8" t="inlineStr">
        <is>
          <t>tbl_SiteConfig, tbl_Annual, tbl_KPIs</t>
        </is>
      </c>
    </row>
    <row r="12">
      <c r="A12" s="9" t="inlineStr">
        <is>
          <t>Metric</t>
        </is>
      </c>
      <c r="B12" s="9" t="inlineStr">
        <is>
          <t>Value</t>
        </is>
      </c>
      <c r="C12" s="9" t="inlineStr">
        <is>
          <t>Unit</t>
        </is>
      </c>
      <c r="D12" s="9" t="inlineStr">
        <is>
          <t>Formula</t>
        </is>
      </c>
    </row>
    <row r="13">
      <c r="A13" t="inlineStr">
        <is>
          <t>Annual Throughput</t>
        </is>
      </c>
      <c r="B13">
        <f>Annual_Throughput</f>
        <v/>
      </c>
      <c r="C13" t="inlineStr">
        <is>
          <t>m3/yr</t>
        </is>
      </c>
      <c r="D13" t="inlineStr">
        <is>
          <t>From 3_Assumptions</t>
        </is>
      </c>
    </row>
    <row r="14">
      <c r="A14" t="inlineStr">
        <is>
          <t>Gross Value per Season</t>
        </is>
      </c>
      <c r="B14" s="29">
        <f>Gross_Value</f>
        <v/>
      </c>
      <c r="C14" t="inlineStr">
        <is>
          <t>$</t>
        </is>
      </c>
      <c r="D14" t="inlineStr">
        <is>
          <t>Sum of S1-S4</t>
        </is>
      </c>
    </row>
    <row r="15">
      <c r="A15" t="inlineStr">
        <is>
          <t>Testing Cost per Season</t>
        </is>
      </c>
      <c r="B15" s="29">
        <f>Testing_Cost</f>
        <v/>
      </c>
      <c r="C15" t="inlineStr">
        <is>
          <t>$</t>
        </is>
      </c>
      <c r="D15" t="inlineStr">
        <is>
          <t>Based on option selected</t>
        </is>
      </c>
    </row>
    <row r="16">
      <c r="A16" t="inlineStr">
        <is>
          <t>Net Value per Season</t>
        </is>
      </c>
      <c r="B16" s="29">
        <f>Gross_Value-Testing_Cost</f>
        <v/>
      </c>
      <c r="C16" t="inlineStr">
        <is>
          <t>$</t>
        </is>
      </c>
      <c r="D16" t="inlineStr">
        <is>
          <t>Gross - Testing</t>
        </is>
      </c>
    </row>
    <row r="17">
      <c r="A17" t="inlineStr">
        <is>
          <t>Value per m3 (Gross)</t>
        </is>
      </c>
      <c r="B17" s="29">
        <f>Gross_Value/Annual_Throughput</f>
        <v/>
      </c>
      <c r="C17" t="inlineStr">
        <is>
          <t>$/m3</t>
        </is>
      </c>
      <c r="D17" t="inlineStr">
        <is>
          <t>Gross / Throughput</t>
        </is>
      </c>
    </row>
    <row r="18">
      <c r="A18" t="inlineStr">
        <is>
          <t>Value per m3 (Net)</t>
        </is>
      </c>
      <c r="B18" s="29">
        <f>(Gross_Value-Testing_Cost)/Annual_Throughput</f>
        <v/>
      </c>
      <c r="C18" t="inlineStr">
        <is>
          <t>$/m3</t>
        </is>
      </c>
      <c r="D18" t="inlineStr">
        <is>
          <t>Net / Throughput</t>
        </is>
      </c>
    </row>
    <row r="19">
      <c r="A19" t="inlineStr">
        <is>
          <t>Cost per m3</t>
        </is>
      </c>
      <c r="B19" s="29">
        <f>Testing_Cost/Annual_Throughput</f>
        <v/>
      </c>
      <c r="C19" t="inlineStr">
        <is>
          <t>$/m3</t>
        </is>
      </c>
      <c r="D19" t="inlineStr">
        <is>
          <t>Testing / Throughput</t>
        </is>
      </c>
    </row>
    <row r="20">
      <c r="A20" t="inlineStr">
        <is>
          <t>5-Year NPV per m3</t>
        </is>
      </c>
      <c r="B20" s="29">
        <f>NPV_Total/(Annual_Throughput*5)</f>
        <v/>
      </c>
      <c r="C20" t="inlineStr">
        <is>
          <t>$/m3</t>
        </is>
      </c>
      <c r="D20" t="inlineStr">
        <is>
          <t>NPV / (5yr throughput)</t>
        </is>
      </c>
    </row>
    <row r="21"/>
    <row r="22"/>
    <row r="23">
      <c r="A23" s="4" t="inlineStr">
        <is>
          <t>Breakeven Analysis</t>
        </is>
      </c>
    </row>
    <row r="24">
      <c r="A24" t="inlineStr">
        <is>
          <t>Testing cost per test:</t>
        </is>
      </c>
      <c r="B24" s="16">
        <f>INDEX(TestOpt_Cost,MATCH(Testing_Option,TestOpt_Option,0))</f>
        <v/>
      </c>
    </row>
    <row r="25">
      <c r="A25" t="inlineStr">
        <is>
          <t>Tests per season:</t>
        </is>
      </c>
      <c r="B25">
        <f>Testing_Cost/INDEX(TestOpt_Cost,MATCH(Testing_Option,TestOpt_Option,0))</f>
        <v/>
      </c>
    </row>
    <row r="26">
      <c r="A26" t="inlineStr">
        <is>
          <t>Value per test (net):</t>
        </is>
      </c>
      <c r="B26" s="29">
        <f>(Gross_Value-Testing_Cost)/(Testing_Cost/INDEX(TestOpt_Cost,MATCH(Testing_Option,TestOpt_Option,0)))</f>
        <v/>
      </c>
    </row>
  </sheetData>
  <mergeCells count="7">
    <mergeCell ref="B10:D10"/>
    <mergeCell ref="B11:D11"/>
    <mergeCell ref="A4:D4"/>
    <mergeCell ref="B8:D8"/>
    <mergeCell ref="A3:D3"/>
    <mergeCell ref="B9:D9"/>
    <mergeCell ref="B7:D7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4472C4"/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5" customWidth="1" min="6" max="6"/>
    <col width="15" customWidth="1" min="7" max="7"/>
  </cols>
  <sheetData>
    <row r="1">
      <c r="A1" s="5" t="inlineStr">
        <is>
          <t>Sensitivity Analysis</t>
        </is>
      </c>
    </row>
    <row r="2"/>
    <row r="3">
      <c r="A3" s="18" t="inlineStr">
        <is>
          <t>Tornado Sensitivity Analysis</t>
        </is>
      </c>
      <c r="B3" s="19" t="n"/>
      <c r="C3" s="19" t="n"/>
      <c r="D3" s="19" t="n"/>
      <c r="E3" s="19" t="n"/>
      <c r="F3" s="19" t="n"/>
      <c r="G3" s="20" t="n"/>
    </row>
    <row r="4" ht="360" customHeight="1">
      <c r="A4" s="21" t="inlineStr">
        <is>
          <t>This sheet shows how NPV changes when individual parameters vary.
METHODOLOGY:
- Each parameter is varied from Low to High while others stay at Base
- NPV is calculated at each extreme
- "Swing" = |NPV_at_High - NPV_at_Low| measures parameter influence
- Parameters are sorted by Swing (largest impact first)
INTERPRETATION:
- Parameters at top of tornado have most influence on outcomes
- Focus validation efforts on high-sensitivity parameters
- Parameters with low swing are less critical to model accuracy
KEY PARAMETERS TESTED:
- Value_Per_M3: Direct impact on operational value
- Annual_Throughput: Volume scaling factor
- Treatment_Rate_Factor: Kinetics uncertainty
- Discount_Rate: Time value of money
- Season_Length: Active treatment period
LIMITATIONS:
- One-at-a-time analysis ignores parameter correlations
- Monte Carlo simulation (10_Calc_Sim) captures joint uncertainty
- Use tornado for directional insight, MC for quantified risk</t>
        </is>
      </c>
      <c r="B4" s="19" t="n"/>
      <c r="C4" s="19" t="n"/>
      <c r="D4" s="19" t="n"/>
      <c r="E4" s="19" t="n"/>
      <c r="F4" s="19" t="n"/>
      <c r="G4" s="20" t="n"/>
    </row>
    <row r="5"/>
    <row r="6">
      <c r="A6" s="6" t="inlineStr">
        <is>
          <t>Sensitivity Analysis</t>
        </is>
      </c>
    </row>
    <row r="7" ht="13" customHeight="1">
      <c r="A7" s="7" t="inlineStr">
        <is>
          <t>Description:</t>
        </is>
      </c>
      <c r="B7" s="8" t="inlineStr">
        <is>
          <t>Tornado chart data showing NPV impact when each parameter varies from low to high.</t>
        </is>
      </c>
    </row>
    <row r="8" ht="13" customHeight="1">
      <c r="A8" s="7" t="inlineStr">
        <is>
          <t>Purpose:</t>
        </is>
      </c>
      <c r="B8" s="8" t="inlineStr">
        <is>
          <t>Identify which parameters most influence outcomes for validation focus</t>
        </is>
      </c>
    </row>
    <row r="9" ht="26" customHeight="1">
      <c r="A9" s="7" t="inlineStr">
        <is>
          <t>Assumptions:</t>
        </is>
      </c>
      <c r="B9" s="8" t="inlineStr">
        <is>
          <t>- One-at-a-time analysis: each parameter varied while others at base
- Swing = |NPV_at_High - NPV_at_Low| measures parameter influence
- Parameters sorted by swing (largest impact first)</t>
        </is>
      </c>
    </row>
    <row r="10" ht="13" customHeight="1">
      <c r="A10" s="7" t="inlineStr">
        <is>
          <t>Data Source:</t>
        </is>
      </c>
      <c r="B10" s="8" t="inlineStr">
        <is>
          <t>Calculated by evaluating NPV at parameter bounds</t>
        </is>
      </c>
    </row>
    <row r="11" ht="13" customHeight="1">
      <c r="A11" s="7" t="inlineStr">
        <is>
          <t>Related Tables:</t>
        </is>
      </c>
      <c r="B11" s="8" t="inlineStr">
        <is>
          <t>tbl_Triangular, tbl_SiteConfig, tbl_KPIs</t>
        </is>
      </c>
    </row>
    <row r="12">
      <c r="A12" s="9" t="inlineStr">
        <is>
          <t>Parameter</t>
        </is>
      </c>
      <c r="B12" s="9" t="inlineStr">
        <is>
          <t>Low</t>
        </is>
      </c>
      <c r="C12" s="9" t="inlineStr">
        <is>
          <t>Base</t>
        </is>
      </c>
      <c r="D12" s="9" t="inlineStr">
        <is>
          <t>High</t>
        </is>
      </c>
      <c r="E12" s="9" t="inlineStr">
        <is>
          <t>NPV_at_Low</t>
        </is>
      </c>
      <c r="F12" s="9" t="inlineStr">
        <is>
          <t>NPV_at_High</t>
        </is>
      </c>
      <c r="G12" s="9" t="inlineStr">
        <is>
          <t>Swing</t>
        </is>
      </c>
    </row>
    <row r="13">
      <c r="A13" t="inlineStr">
        <is>
          <t>Value_Per_M3</t>
        </is>
      </c>
      <c r="B13" t="n">
        <v>3</v>
      </c>
      <c r="C13" t="n">
        <v>5</v>
      </c>
      <c r="D13" t="n">
        <v>10</v>
      </c>
      <c r="E13" s="16">
        <f>NPV_Total*(B13/C13)</f>
        <v/>
      </c>
      <c r="F13" s="16">
        <f>NPV_Total*(D13/C13)</f>
        <v/>
      </c>
      <c r="G13" s="16">
        <f>ABS(F13-E13)</f>
        <v/>
      </c>
    </row>
    <row r="14">
      <c r="A14" t="inlineStr">
        <is>
          <t>Discount_Rate</t>
        </is>
      </c>
      <c r="B14" t="n">
        <v>0.04</v>
      </c>
      <c r="C14" t="n">
        <v>0.048</v>
      </c>
      <c r="D14" t="n">
        <v>0.06</v>
      </c>
      <c r="E14" s="16">
        <f>NPV_Total*((1+C14)/(1+B14))^2.5</f>
        <v/>
      </c>
      <c r="F14" s="16">
        <f>NPV_Total*((1+C14)/(1+D14))^2.5</f>
        <v/>
      </c>
      <c r="G14" s="16">
        <f>ABS(F14-E14)</f>
        <v/>
      </c>
    </row>
    <row r="15">
      <c r="A15" t="inlineStr">
        <is>
          <t>Season_Length</t>
        </is>
      </c>
      <c r="B15" t="n">
        <v>80</v>
      </c>
      <c r="C15" t="n">
        <v>100</v>
      </c>
      <c r="D15" t="n">
        <v>120</v>
      </c>
      <c r="E15" s="16">
        <f>NPV_Total*(B15/C15)</f>
        <v/>
      </c>
      <c r="F15" s="16">
        <f>NPV_Total*(D15/C15)</f>
        <v/>
      </c>
      <c r="G15" s="16">
        <f>ABS(F15-E15)</f>
        <v/>
      </c>
    </row>
    <row r="16">
      <c r="A16" t="inlineStr">
        <is>
          <t>Wetland_Area</t>
        </is>
      </c>
      <c r="B16" t="n">
        <v>0.5</v>
      </c>
      <c r="C16" t="n">
        <v>1</v>
      </c>
      <c r="D16" t="n">
        <v>2</v>
      </c>
      <c r="E16" s="16">
        <f>NPV_Total*(B16/C16)</f>
        <v/>
      </c>
      <c r="F16" s="16">
        <f>NPV_Total*(D16/C16)</f>
        <v/>
      </c>
      <c r="G16" s="16">
        <f>ABS(F16-E16)</f>
        <v/>
      </c>
    </row>
    <row r="17"/>
    <row r="18"/>
    <row r="19">
      <c r="A19" s="4" t="inlineStr">
        <is>
          <t>Methodology</t>
        </is>
      </c>
    </row>
    <row r="20">
      <c r="A20" t="inlineStr">
        <is>
          <t>Proportional parameters: NPV scales linearly with parameter ratio (Low/Base, High/Base)</t>
        </is>
      </c>
    </row>
    <row r="21">
      <c r="A21" t="inlineStr">
        <is>
          <t>Discount Rate: Uses time-value adjustment formula NPV * ((1+Base)/(1+Rate))^2.5</t>
        </is>
      </c>
    </row>
    <row r="22">
      <c r="A22" t="inlineStr">
        <is>
          <t>Note: These are first-order approximations. For precise sensitivity, use Monte Carlo.</t>
        </is>
      </c>
    </row>
    <row r="23"/>
    <row r="24">
      <c r="A24" s="4" t="inlineStr">
        <is>
          <t>Tornado Chart</t>
        </is>
      </c>
    </row>
    <row r="25">
      <c r="A25" t="inlineStr">
        <is>
          <t>1. Select Parameter and Swing columns (A4:A8, G4:G8)</t>
        </is>
      </c>
    </row>
    <row r="26">
      <c r="A26" t="inlineStr">
        <is>
          <t>2. Insert -&gt; Chart -&gt; Bar Chart (horizontal)</t>
        </is>
      </c>
    </row>
    <row r="27">
      <c r="A27" t="inlineStr">
        <is>
          <t>3. Sort data by Swing descending for tornado effect</t>
        </is>
      </c>
    </row>
  </sheetData>
  <mergeCells count="7">
    <mergeCell ref="B10:G10"/>
    <mergeCell ref="A3:G3"/>
    <mergeCell ref="B9:G9"/>
    <mergeCell ref="A4:G4"/>
    <mergeCell ref="B8:G8"/>
    <mergeCell ref="B7:G7"/>
    <mergeCell ref="B11:G1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6" customWidth="1" min="3" max="3"/>
    <col width="18" customWidth="1" min="4" max="4"/>
  </cols>
  <sheetData>
    <row r="1">
      <c r="A1" s="5" t="inlineStr">
        <is>
          <t>Executive Dashboard</t>
        </is>
      </c>
    </row>
    <row r="2"/>
    <row r="3">
      <c r="A3" s="18" t="inlineStr">
        <is>
          <t>Key Results Summary</t>
        </is>
      </c>
      <c r="B3" s="20" t="n"/>
    </row>
    <row r="4" ht="270" customHeight="1">
      <c r="A4" s="21" t="inlineStr">
        <is>
          <t>This dashboard presents the key outputs from the Monte Carlo simulation.
PRIMARY METRICS:
- Expected NPV: Mean of 1000 simulation iterations
- P10/P50/P90: Confidence interval bounds
- Probability NPV &gt; 0: Likelihood of positive outcome
INTERPRETATION GUIDE:
- P10 = "Pessimistic but plausible" (10% of outcomes are worse)
- P50 = Median outcome (equally likely to be higher or lower)
- P90 = "Optimistic but plausible" (10% of outcomes are better)
A narrow P10-P90 range indicates low uncertainty.
P10 &gt; 0 means even pessimistic scenarios show positive value.
REFRESH DATA:
Press Ctrl+Alt+F9 to regenerate all 1000 Monte Carlo iterations.
Dashboard values update automatically.</t>
        </is>
      </c>
      <c r="B4" s="20" t="n"/>
    </row>
    <row r="5"/>
    <row r="6">
      <c r="A6" s="6" t="inlineStr">
        <is>
          <t>Key Performance Indicators</t>
        </is>
      </c>
    </row>
    <row r="7" ht="65" customHeight="1">
      <c r="A7" s="7" t="inlineStr">
        <is>
          <t>Description:</t>
        </is>
      </c>
      <c r="B7" s="8" t="inlineStr">
        <is>
          <t>Primary Monte Carlo simulation outputs and financial metrics for executive decision-making.</t>
        </is>
      </c>
    </row>
    <row r="8" ht="52" customHeight="1">
      <c r="A8" s="7" t="inlineStr">
        <is>
          <t>Purpose:</t>
        </is>
      </c>
      <c r="B8" s="8" t="inlineStr">
        <is>
          <t>Provide at-a-glance summary of biosensor investment value and risk profile</t>
        </is>
      </c>
    </row>
    <row r="9" ht="156" customHeight="1">
      <c r="A9" s="7" t="inlineStr">
        <is>
          <t>Assumptions:</t>
        </is>
      </c>
      <c r="B9" s="8" t="inlineStr">
        <is>
          <t>- NPV calculated over 5-year horizon with 7% discount rate
- P10/P50/P90 derived from 1000 Monte Carlo iterations
- All metrics assume Daily Biosensor as selected testing option
- Values refresh when Monte Carlo simulation is recalculated</t>
        </is>
      </c>
    </row>
    <row r="10" ht="39" customHeight="1">
      <c r="A10" s="7" t="inlineStr">
        <is>
          <t>Data Source:</t>
        </is>
      </c>
      <c r="B10" s="8" t="inlineStr">
        <is>
          <t>Calculated from 10_Calc_Sim Monte Carlo simulation results</t>
        </is>
      </c>
    </row>
    <row r="11" ht="39" customHeight="1">
      <c r="A11" s="7" t="inlineStr">
        <is>
          <t>Related Tables:</t>
        </is>
      </c>
      <c r="B11" s="8" t="inlineStr">
        <is>
          <t>tbl_ScenarioBreakdown, tbl_Annual, tbl_CashFlow</t>
        </is>
      </c>
    </row>
    <row r="12">
      <c r="A12" s="9" t="inlineStr">
        <is>
          <t>Metric</t>
        </is>
      </c>
      <c r="B12" s="9" t="inlineStr">
        <is>
          <t>Value</t>
        </is>
      </c>
    </row>
    <row r="13">
      <c r="A13" t="inlineStr">
        <is>
          <t>Selected Testing Option</t>
        </is>
      </c>
      <c r="B13">
        <f>Testing_Option</f>
        <v/>
      </c>
    </row>
    <row r="14">
      <c r="A14" t="inlineStr">
        <is>
          <t>Expected NPV (5-Year)</t>
        </is>
      </c>
      <c r="B14" s="16">
        <f>NPV_Total</f>
        <v/>
      </c>
    </row>
    <row r="15">
      <c r="A15" t="inlineStr">
        <is>
          <t>Monte Carlo P10</t>
        </is>
      </c>
      <c r="B15" s="16">
        <f>MC_P10</f>
        <v/>
      </c>
    </row>
    <row r="16">
      <c r="A16" t="inlineStr">
        <is>
          <t>Monte Carlo P50</t>
        </is>
      </c>
      <c r="B16" s="16">
        <f>MC_P50</f>
        <v/>
      </c>
    </row>
    <row r="17">
      <c r="A17" t="inlineStr">
        <is>
          <t>Monte Carlo P90</t>
        </is>
      </c>
      <c r="B17" s="16">
        <f>MC_P90</f>
        <v/>
      </c>
    </row>
    <row r="18">
      <c r="A18" t="inlineStr">
        <is>
          <t>Probability NPV &gt; 0</t>
        </is>
      </c>
      <c r="B18" s="27">
        <f>MC_Prob_Positive</f>
        <v/>
      </c>
    </row>
    <row r="19">
      <c r="A19" t="inlineStr">
        <is>
          <t>Annual Testing Cost</t>
        </is>
      </c>
      <c r="B19" s="16">
        <f>Testing_Cost</f>
        <v/>
      </c>
    </row>
    <row r="20">
      <c r="A20" t="inlineStr">
        <is>
          <t>Year 1 Gross Value</t>
        </is>
      </c>
      <c r="B20" s="16">
        <f>Year1_Gross_Value</f>
        <v/>
      </c>
    </row>
    <row r="21">
      <c r="A21" t="inlineStr">
        <is>
          <t>Year 1 Net Value</t>
        </is>
      </c>
      <c r="B21" s="16">
        <f>Year1_Net_Value</f>
        <v/>
      </c>
    </row>
    <row r="22"/>
    <row r="23">
      <c r="A23" s="6" t="inlineStr">
        <is>
          <t>Scenario Value Breakdown</t>
        </is>
      </c>
    </row>
    <row r="24" ht="26" customHeight="1">
      <c r="A24" s="7" t="inlineStr">
        <is>
          <t>Description:</t>
        </is>
      </c>
      <c r="B24" s="8" t="inlineStr">
        <is>
          <t>Individual scenario contributions to total gated value with gate status.</t>
        </is>
      </c>
    </row>
    <row r="25" ht="26" customHeight="1">
      <c r="A25" s="7" t="inlineStr">
        <is>
          <t>Purpose:</t>
        </is>
      </c>
      <c r="B25" s="8" t="inlineStr">
        <is>
          <t>Show which value scenarios are captured by the selected testing option</t>
        </is>
      </c>
    </row>
    <row r="26" ht="91" customHeight="1">
      <c r="A26" s="7" t="inlineStr">
        <is>
          <t>Assumptions:</t>
        </is>
      </c>
      <c r="B26" s="8" t="inlineStr">
        <is>
          <t>- Gate status determined by testing latency vs required response time
- ENABLED means testing latency allows capturing this value
- BLOCKED means testing latency prevents capturing this value
- Values are stochastic and vary with each Monte Carlo iteration</t>
        </is>
      </c>
    </row>
    <row r="27" ht="26" customHeight="1">
      <c r="A27" s="7" t="inlineStr">
        <is>
          <t>Data Source:</t>
        </is>
      </c>
      <c r="B27" s="8" t="inlineStr">
        <is>
          <t>Calculated from 8_Calc_Value gating logic and stochastic multipliers</t>
        </is>
      </c>
    </row>
    <row r="28" ht="26" customHeight="1">
      <c r="A28" s="7" t="inlineStr">
        <is>
          <t>Related Tables:</t>
        </is>
      </c>
      <c r="B28" s="8" t="inlineStr">
        <is>
          <t>tbl_KPIs, tbl_ValueScenarios, tbl_GatedValues</t>
        </is>
      </c>
    </row>
    <row r="29">
      <c r="A29" s="9" t="inlineStr">
        <is>
          <t>Scenario</t>
        </is>
      </c>
      <c r="B29" s="9" t="inlineStr">
        <is>
          <t>Gated_Value</t>
        </is>
      </c>
      <c r="C29" s="9" t="inlineStr">
        <is>
          <t>Status</t>
        </is>
      </c>
    </row>
    <row r="30">
      <c r="A30" t="inlineStr">
        <is>
          <t>S1: Season Extension</t>
        </is>
      </c>
      <c r="B30" s="16">
        <f>S1_Value</f>
        <v/>
      </c>
      <c r="C30">
        <f>INDEX(Gate_S1,MATCH(Testing_Option,TestOpt_Option,0))</f>
        <v/>
      </c>
    </row>
    <row r="31">
      <c r="A31" t="inlineStr">
        <is>
          <t>S2: Intervention Avoidance</t>
        </is>
      </c>
      <c r="B31" s="16">
        <f>S2_Value</f>
        <v/>
      </c>
      <c r="C31">
        <f>INDEX(Gate_S2,MATCH(Testing_Option,TestOpt_Option,0))</f>
        <v/>
      </c>
    </row>
    <row r="32">
      <c r="A32" t="inlineStr">
        <is>
          <t>S3: Spatial Routing</t>
        </is>
      </c>
      <c r="B32" s="16">
        <f>S3_Value</f>
        <v/>
      </c>
      <c r="C32">
        <f>INDEX(Gate_S3,MATCH(Testing_Option,TestOpt_Option,0))</f>
        <v/>
      </c>
    </row>
    <row r="33">
      <c r="A33" t="inlineStr">
        <is>
          <t>S4: Early Detection</t>
        </is>
      </c>
      <c r="B33" s="16">
        <f>S4_Value</f>
        <v/>
      </c>
      <c r="C33">
        <f>INDEX(Gate_S4,MATCH(Testing_Option,TestOpt_Option,0))</f>
        <v/>
      </c>
    </row>
    <row r="34"/>
    <row r="35">
      <c r="A35" s="6" t="inlineStr">
        <is>
          <t>Treatment Kinetics (Kearl 2022)</t>
        </is>
      </c>
    </row>
    <row r="36" ht="26" customHeight="1">
      <c r="A36" s="7" t="inlineStr">
        <is>
          <t>Description:</t>
        </is>
      </c>
      <c r="B36" s="8" t="inlineStr">
        <is>
          <t>NAFC degradation parameters and Monte Carlo treatment time estimates.</t>
        </is>
      </c>
    </row>
    <row r="37" ht="39" customHeight="1">
      <c r="A37" s="7" t="inlineStr">
        <is>
          <t>Purpose:</t>
        </is>
      </c>
      <c r="B37" s="8" t="inlineStr">
        <is>
          <t>Validate that biosensor-enabled treatment achieves regulatory compliance within season</t>
        </is>
      </c>
    </row>
    <row r="38" ht="91" customHeight="1">
      <c r="A38" s="7" t="inlineStr">
        <is>
          <t>Assumptions:</t>
        </is>
      </c>
      <c r="B38" s="8" t="inlineStr">
        <is>
          <t>- Based on Kearl (2022) first-order kinetics model for NAFC degradation
- Initial/target NAFC concentrations from site characterization data
- Treatment rate factor varies stochastically (0.7-1.3 multiplier)
- Season length constraint of 120 days for Alberta operations</t>
        </is>
      </c>
    </row>
    <row r="39" ht="26" customHeight="1">
      <c r="A39" s="7" t="inlineStr">
        <is>
          <t>Data Source:</t>
        </is>
      </c>
      <c r="B39" s="8" t="inlineStr">
        <is>
          <t>Kearl (2022) wetland treatment kinetics research</t>
        </is>
      </c>
    </row>
    <row r="40" ht="26" customHeight="1">
      <c r="A40" s="7" t="inlineStr">
        <is>
          <t>Related Tables:</t>
        </is>
      </c>
      <c r="B40" s="8" t="inlineStr">
        <is>
          <t>tbl_KPIs, tbl_Triangular, tbl_TreatmentKinetics</t>
        </is>
      </c>
    </row>
    <row r="41">
      <c r="A41" s="9" t="inlineStr">
        <is>
          <t>Metric</t>
        </is>
      </c>
      <c r="B41" s="9" t="inlineStr">
        <is>
          <t>Value</t>
        </is>
      </c>
      <c r="C41" s="9" t="inlineStr">
        <is>
          <t>Status</t>
        </is>
      </c>
    </row>
    <row r="42">
      <c r="A42" t="inlineStr">
        <is>
          <t>Initial NAFC Concentration</t>
        </is>
      </c>
      <c r="B42" s="30">
        <f>Initial_NAFC</f>
        <v/>
      </c>
      <c r="C42">
        <f>IF(Initial_NAFC&gt;Target_NAFC,"Above Target","At/Below Target")</f>
        <v/>
      </c>
    </row>
    <row r="43">
      <c r="A43" t="inlineStr">
        <is>
          <t>Target NAFC Concentration</t>
        </is>
      </c>
      <c r="B43" s="30">
        <f>Target_NAFC</f>
        <v/>
      </c>
      <c r="C43" t="inlineStr">
        <is>
          <t>"-"</t>
        </is>
      </c>
    </row>
    <row r="44">
      <c r="A44" t="inlineStr">
        <is>
          <t>Days to Regulatory Compliance</t>
        </is>
      </c>
      <c r="B44" s="31">
        <f>Days_to_Compliance</f>
        <v/>
      </c>
      <c r="C44">
        <f>Compliance_Status</f>
        <v/>
      </c>
    </row>
    <row r="45">
      <c r="A45" t="inlineStr">
        <is>
          <t>Circulation Cycles Required</t>
        </is>
      </c>
      <c r="B45" s="26">
        <f>Circulation_Cycles</f>
        <v/>
      </c>
      <c r="C45">
        <f>IF(Circulation_Cycles&lt;=3,"Standard","Extended")</f>
        <v/>
      </c>
    </row>
    <row r="46">
      <c r="A46" t="inlineStr">
        <is>
          <t>Treatment Efficiency</t>
        </is>
      </c>
      <c r="B46" s="27">
        <f>Treatment_Efficiency</f>
        <v/>
      </c>
      <c r="C46">
        <f>IF(Treatment_Efficiency&gt;0.2,"Good","Low")</f>
        <v/>
      </c>
    </row>
    <row r="47">
      <c r="A47" t="inlineStr">
        <is>
          <t>MC Expected Days</t>
        </is>
      </c>
      <c r="B47" s="31">
        <f>MC_Expected_Days</f>
        <v/>
      </c>
      <c r="C47">
        <f>IF(MC_Expected_Days&lt;=Season_Length,"Achievable","Risk")</f>
        <v/>
      </c>
    </row>
    <row r="48">
      <c r="A48" t="inlineStr">
        <is>
          <t>MC P90 Days (conservative)</t>
        </is>
      </c>
      <c r="B48" s="31">
        <f>MC_P90_Days</f>
        <v/>
      </c>
      <c r="C48">
        <f>IF(MC_P90_Days&lt;=Season_Length,"Low Risk","High Risk")</f>
        <v/>
      </c>
    </row>
    <row r="49">
      <c r="A49" t="inlineStr">
        <is>
          <t>MC Prob(Achievable)</t>
        </is>
      </c>
      <c r="B49" s="27">
        <f>MC_Prob_Achievable</f>
        <v/>
      </c>
      <c r="C49">
        <f>IF(MC_Prob_Achievable&gt;=0.9,"High Confidence","Review Required")</f>
        <v/>
      </c>
    </row>
    <row r="50"/>
    <row r="51">
      <c r="A51" s="6" t="inlineStr">
        <is>
          <t>Testing Option Comparison</t>
        </is>
      </c>
    </row>
    <row r="52" ht="26" customHeight="1">
      <c r="A52" s="7" t="inlineStr">
        <is>
          <t>Description:</t>
        </is>
      </c>
      <c r="B52" s="8" t="inlineStr">
        <is>
          <t>Side-by-side comparison of gate status and value across all testing options.</t>
        </is>
      </c>
    </row>
    <row r="53" ht="26" customHeight="1">
      <c r="A53" s="7" t="inlineStr">
        <is>
          <t>Purpose:</t>
        </is>
      </c>
      <c r="B53" s="8" t="inlineStr">
        <is>
          <t>Demonstrate the value differential between HRMS and biosensor testing approaches</t>
        </is>
      </c>
    </row>
    <row r="54" ht="52" customHeight="1">
      <c r="A54" s="7" t="inlineStr">
        <is>
          <t>Assumptions:</t>
        </is>
      </c>
      <c r="B54" s="8" t="inlineStr">
        <is>
          <t>- Monthly HRMS: 42-day turnaround, $60K/season
- Weekly HRMS: 42-day turnaround, $28.6K/season
- Daily Biosensor: 1-day turnaround, $10K/season
- Gate status determined by latency vs required response time</t>
        </is>
      </c>
    </row>
    <row r="55" ht="13" customHeight="1">
      <c r="A55" s="7" t="inlineStr">
        <is>
          <t>Data Source:</t>
        </is>
      </c>
      <c r="B55" s="8" t="inlineStr">
        <is>
          <t>Testing cost quotes and operational latency measurements</t>
        </is>
      </c>
    </row>
    <row r="56" ht="13" customHeight="1">
      <c r="A56" s="7" t="inlineStr">
        <is>
          <t>Related Tables:</t>
        </is>
      </c>
      <c r="B56" s="8" t="inlineStr">
        <is>
          <t>tbl_KPIs, tbl_TestOptions, tbl_LatencyGating</t>
        </is>
      </c>
    </row>
    <row r="57">
      <c r="A57" s="9" t="inlineStr">
        <is>
          <t>Metric</t>
        </is>
      </c>
      <c r="B57" s="9" t="inlineStr">
        <is>
          <t>Monthly_HRMS</t>
        </is>
      </c>
      <c r="C57" s="9" t="inlineStr">
        <is>
          <t>Weekly_HRMS</t>
        </is>
      </c>
      <c r="D57" s="9" t="inlineStr">
        <is>
          <t>Daily_Biosensor</t>
        </is>
      </c>
    </row>
    <row r="58">
      <c r="A58" t="inlineStr">
        <is>
          <t>S1 Gate</t>
        </is>
      </c>
      <c r="B58" t="inlineStr">
        <is>
          <t>BLOCKED</t>
        </is>
      </c>
      <c r="C58" t="inlineStr">
        <is>
          <t>BLOCKED</t>
        </is>
      </c>
      <c r="D58" t="inlineStr">
        <is>
          <t>ENABLED</t>
        </is>
      </c>
    </row>
    <row r="59">
      <c r="A59" t="inlineStr">
        <is>
          <t>S2 Gate</t>
        </is>
      </c>
      <c r="B59" t="inlineStr">
        <is>
          <t>BLOCKED</t>
        </is>
      </c>
      <c r="C59" t="inlineStr">
        <is>
          <t>BLOCKED</t>
        </is>
      </c>
      <c r="D59" t="inlineStr">
        <is>
          <t>ENABLED</t>
        </is>
      </c>
    </row>
    <row r="60">
      <c r="A60" t="inlineStr">
        <is>
          <t>S3 Gate</t>
        </is>
      </c>
      <c r="B60" t="inlineStr">
        <is>
          <t>BLOCKED</t>
        </is>
      </c>
      <c r="C60" t="inlineStr">
        <is>
          <t>ENABLED</t>
        </is>
      </c>
      <c r="D60" t="inlineStr">
        <is>
          <t>ENABLED</t>
        </is>
      </c>
    </row>
    <row r="61">
      <c r="A61" t="inlineStr">
        <is>
          <t>S4 Gate</t>
        </is>
      </c>
      <c r="B61" t="inlineStr">
        <is>
          <t>BLOCKED</t>
        </is>
      </c>
      <c r="C61" t="inlineStr">
        <is>
          <t>BLOCKED</t>
        </is>
      </c>
      <c r="D61" t="inlineStr">
        <is>
          <t>ENABLED</t>
        </is>
      </c>
    </row>
    <row r="62">
      <c r="A62" t="inlineStr">
        <is>
          <t>Testing Cost/Season</t>
        </is>
      </c>
      <c r="B62" t="inlineStr">
        <is>
          <t>$60,000</t>
        </is>
      </c>
      <c r="C62" t="inlineStr">
        <is>
          <t>$28,571</t>
        </is>
      </c>
      <c r="D62" t="inlineStr">
        <is>
          <t>$10,000</t>
        </is>
      </c>
    </row>
    <row r="63">
      <c r="A63" t="inlineStr">
        <is>
          <t>Potential 5-Year NPV</t>
        </is>
      </c>
      <c r="B63" t="inlineStr">
        <is>
          <t>-$29k</t>
        </is>
      </c>
      <c r="C63" t="inlineStr">
        <is>
          <t>$180k</t>
        </is>
      </c>
      <c r="D63" t="inlineStr">
        <is>
          <t>$1.1M+</t>
        </is>
      </c>
    </row>
    <row r="64"/>
    <row r="65">
      <c r="A65" s="4" t="inlineStr">
        <is>
          <t>Model Health</t>
        </is>
      </c>
    </row>
    <row r="66">
      <c r="A66" t="inlineStr">
        <is>
          <t>Check Status:</t>
        </is>
      </c>
      <c r="B66">
        <f>IF(COUNTIF('17_Checks'!D:D,"FAIL")=0,"HEALTHY","REVIEW REQUIRED")</f>
        <v/>
      </c>
    </row>
    <row r="67">
      <c r="A67" t="inlineStr">
        <is>
          <t>Errors Found:</t>
        </is>
      </c>
      <c r="B67">
        <f>COUNTIF('17_Checks'!D:D,"FAIL")</f>
        <v/>
      </c>
    </row>
  </sheetData>
  <mergeCells count="17">
    <mergeCell ref="A4:B4"/>
    <mergeCell ref="B39:C39"/>
    <mergeCell ref="B38:C38"/>
    <mergeCell ref="B24:C24"/>
    <mergeCell ref="B40:C40"/>
    <mergeCell ref="B25:C25"/>
    <mergeCell ref="B37:C37"/>
    <mergeCell ref="B28:C28"/>
    <mergeCell ref="B56:D56"/>
    <mergeCell ref="B36:C36"/>
    <mergeCell ref="B52:D52"/>
    <mergeCell ref="B53:D53"/>
    <mergeCell ref="B26:C26"/>
    <mergeCell ref="B27:C27"/>
    <mergeCell ref="B55:D55"/>
    <mergeCell ref="A3:B3"/>
    <mergeCell ref="B54:D54"/>
  </mergeCells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18.xml><?xml version="1.0" encoding="utf-8"?>
<worksheet xmlns="http://schemas.openxmlformats.org/spreadsheetml/2006/main">
  <sheetPr>
    <tabColor rgb="00FF0000"/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12" customWidth="1" min="4" max="4"/>
  </cols>
  <sheetData>
    <row r="1">
      <c r="A1" s="5" t="inlineStr">
        <is>
          <t>Model Validation Checks</t>
        </is>
      </c>
    </row>
    <row r="2"/>
    <row r="3">
      <c r="A3" s="18" t="inlineStr">
        <is>
          <t>Model Integrity Checks</t>
        </is>
      </c>
      <c r="B3" s="19" t="n"/>
      <c r="C3" s="19" t="n"/>
      <c r="D3" s="20" t="n"/>
    </row>
    <row r="4" ht="330" customHeight="1">
      <c r="A4" s="21" t="inlineStr">
        <is>
          <t>This sheet validates model inputs and calculations.
CHECK CATEGORIES:
- Range: Input values within acceptable bounds
- Consistency: Related inputs are logically consistent
- Sanity: Output values are reasonable
- Integrity: Calculations produce expected results
INTERPRETING RESULTS:
- PASS: Check passed, no action needed
- FAIL: Issue detected, review the referenced input/output
WHAT TO DO IF CHECKS FAIL:
1. Note which check(s) failed
2. Review the description to understand the issue
3. Navigate to the relevant input (usually 1_TOC or 3_Assumptions)
4. Adjust values to bring them within valid ranges
5. Return here to confirm PASS status
AUTOMATED MONITORING:
The 0_Cover sheet shows overall model health status.
Any FAIL here will trigger the "Review 17_Checks" warning.</t>
        </is>
      </c>
      <c r="B4" s="19" t="n"/>
      <c r="C4" s="19" t="n"/>
      <c r="D4" s="20" t="n"/>
    </row>
    <row r="5"/>
    <row r="6">
      <c r="A6" s="6" t="inlineStr">
        <is>
          <t>Model Validation Checks</t>
        </is>
      </c>
    </row>
    <row r="7" ht="26" customHeight="1">
      <c r="A7" s="7" t="inlineStr">
        <is>
          <t>Description:</t>
        </is>
      </c>
      <c r="B7" s="8" t="inlineStr">
        <is>
          <t>Automated validation rules that verify model inputs and outputs are within acceptable ranges.</t>
        </is>
      </c>
    </row>
    <row r="8" ht="26" customHeight="1">
      <c r="A8" s="7" t="inlineStr">
        <is>
          <t>Purpose:</t>
        </is>
      </c>
      <c r="B8" s="8" t="inlineStr">
        <is>
          <t>Ensure model integrity by detecting invalid inputs, inconsistent parameters, and unreasonable outputs</t>
        </is>
      </c>
    </row>
    <row r="9" ht="65" customHeight="1">
      <c r="A9" s="7" t="inlineStr">
        <is>
          <t>Assumptions:</t>
        </is>
      </c>
      <c r="B9" s="8" t="inlineStr">
        <is>
          <t>- Range checks based on reasonable operational bounds
- Sanity checks based on expected order-of-magnitude for outputs
- Consistency checks ensure related parameters are logically coherent
- PASS/FAIL status updates automatically when inputs change</t>
        </is>
      </c>
    </row>
    <row r="10" ht="26" customHeight="1">
      <c r="A10" s="7" t="inlineStr">
        <is>
          <t>Data Source:</t>
        </is>
      </c>
      <c r="B10" s="8" t="inlineStr">
        <is>
          <t>Validation rules based on domain expertise and operational constraints</t>
        </is>
      </c>
    </row>
    <row r="11" ht="13" customHeight="1">
      <c r="A11" s="7" t="inlineStr">
        <is>
          <t>Related Tables:</t>
        </is>
      </c>
      <c r="B11" s="8" t="inlineStr">
        <is>
          <t>tbl_Control, tbl_KPIs, tbl_ValueScenarios</t>
        </is>
      </c>
    </row>
    <row r="12">
      <c r="A12" s="9" t="inlineStr">
        <is>
          <t>Check_ID</t>
        </is>
      </c>
      <c r="B12" s="9" t="inlineStr">
        <is>
          <t>Category</t>
        </is>
      </c>
      <c r="C12" s="9" t="inlineStr">
        <is>
          <t>Description</t>
        </is>
      </c>
      <c r="D12" s="9" t="inlineStr">
        <is>
          <t>Status</t>
        </is>
      </c>
    </row>
    <row r="13">
      <c r="A13" t="inlineStr">
        <is>
          <t>CHK001</t>
        </is>
      </c>
      <c r="B13" t="inlineStr">
        <is>
          <t>Range</t>
        </is>
      </c>
      <c r="C13" t="inlineStr">
        <is>
          <t>Discount rate between 0-15%</t>
        </is>
      </c>
      <c r="D13">
        <f>IF(AND(Discount_Rate&gt;=0,Discount_Rate&lt;=0.15),"PASS","FAIL")</f>
        <v/>
      </c>
    </row>
    <row r="14">
      <c r="A14" t="inlineStr">
        <is>
          <t>CHK002</t>
        </is>
      </c>
      <c r="B14" t="inlineStr">
        <is>
          <t>Range</t>
        </is>
      </c>
      <c r="C14" t="inlineStr">
        <is>
          <t>Season length between 60-150 days</t>
        </is>
      </c>
      <c r="D14">
        <f>IF(AND(Season_Length&gt;=60,Season_Length&lt;=150),"PASS","FAIL")</f>
        <v/>
      </c>
    </row>
    <row r="15">
      <c r="A15" t="inlineStr">
        <is>
          <t>CHK003</t>
        </is>
      </c>
      <c r="B15" t="inlineStr">
        <is>
          <t>Range</t>
        </is>
      </c>
      <c r="C15" t="inlineStr">
        <is>
          <t>Projection years between 1-10</t>
        </is>
      </c>
      <c r="D15">
        <f>IF(AND(Projection_Years&gt;=1,Projection_Years&lt;=10),"PASS","FAIL")</f>
        <v/>
      </c>
    </row>
    <row r="16">
      <c r="A16" t="inlineStr">
        <is>
          <t>CHK004</t>
        </is>
      </c>
      <c r="B16" t="inlineStr">
        <is>
          <t>Range</t>
        </is>
      </c>
      <c r="C16" t="inlineStr">
        <is>
          <t>Value per M3 positive</t>
        </is>
      </c>
      <c r="D16">
        <f>IF(Value_Per_M3&gt;0,"PASS","FAIL")</f>
        <v/>
      </c>
    </row>
    <row r="17">
      <c r="A17" t="inlineStr">
        <is>
          <t>CHK005</t>
        </is>
      </c>
      <c r="B17" t="inlineStr">
        <is>
          <t>Logic</t>
        </is>
      </c>
      <c r="C17" t="inlineStr">
        <is>
          <t>Testing option valid</t>
        </is>
      </c>
      <c r="D17">
        <f>IF(COUNTIF(List_TestingOptions,Testing_Option)=1,"PASS","FAIL")</f>
        <v/>
      </c>
    </row>
    <row r="18">
      <c r="A18" t="inlineStr">
        <is>
          <t>CHK006</t>
        </is>
      </c>
      <c r="B18" t="inlineStr">
        <is>
          <t>Logic</t>
        </is>
      </c>
      <c r="C18" t="inlineStr">
        <is>
          <t>Scenario selection valid</t>
        </is>
      </c>
      <c r="D18">
        <f>IF(COUNTIF(List_Scenarios,Scenario_Select)=1,"PASS","FAIL")</f>
        <v/>
      </c>
    </row>
    <row r="19">
      <c r="A19" t="inlineStr">
        <is>
          <t>CHK007</t>
        </is>
      </c>
      <c r="B19" t="inlineStr">
        <is>
          <t>Sanity</t>
        </is>
      </c>
      <c r="C19" t="inlineStr">
        <is>
          <t>NPV within reasonable bounds</t>
        </is>
      </c>
      <c r="D19">
        <f>IF(AND(NPV_Total&gt;-1000000,NPV_Total&lt;10000000),"PASS","FAIL")</f>
        <v/>
      </c>
    </row>
    <row r="20">
      <c r="A20" t="inlineStr">
        <is>
          <t>CHK008</t>
        </is>
      </c>
      <c r="B20" t="inlineStr">
        <is>
          <t>Sanity</t>
        </is>
      </c>
      <c r="C20" t="inlineStr">
        <is>
          <t>Testing cost positive</t>
        </is>
      </c>
      <c r="D20">
        <f>IF(Testing_Cost&gt;0,"PASS","FAIL")</f>
        <v/>
      </c>
    </row>
    <row r="21">
      <c r="A21" t="inlineStr">
        <is>
          <t>CHK009</t>
        </is>
      </c>
      <c r="B21" t="inlineStr">
        <is>
          <t>Sanity</t>
        </is>
      </c>
      <c r="C21" t="inlineStr">
        <is>
          <t>Gross value non-negative</t>
        </is>
      </c>
      <c r="D21">
        <f>IF(Gross_Value&gt;=0,"PASS","FAIL")</f>
        <v/>
      </c>
    </row>
    <row r="22">
      <c r="A22" t="inlineStr">
        <is>
          <t>CHK010</t>
        </is>
      </c>
      <c r="B22" t="inlineStr">
        <is>
          <t>Integrity</t>
        </is>
      </c>
      <c r="C22" t="inlineStr">
        <is>
          <t>All named ranges defined</t>
        </is>
      </c>
      <c r="D22">
        <f>IF(ISERROR(Testing_Option),"FAIL","PASS")</f>
        <v/>
      </c>
    </row>
    <row r="23">
      <c r="A23" t="inlineStr">
        <is>
          <t>CHK011</t>
        </is>
      </c>
      <c r="B23" t="inlineStr">
        <is>
          <t>Range</t>
        </is>
      </c>
      <c r="C23" t="inlineStr">
        <is>
          <t>Initial NAFC in range (40-100 mg/L)</t>
        </is>
      </c>
      <c r="D23">
        <f>IF(AND(Initial_NAFC&gt;=40,Initial_NAFC&lt;=100),"PASS","FAIL")</f>
        <v/>
      </c>
    </row>
    <row r="24">
      <c r="A24" t="inlineStr">
        <is>
          <t>CHK012</t>
        </is>
      </c>
      <c r="B24" t="inlineStr">
        <is>
          <t>Logic</t>
        </is>
      </c>
      <c r="C24" t="inlineStr">
        <is>
          <t>Target NAFC &lt; Initial NAFC</t>
        </is>
      </c>
      <c r="D24">
        <f>IF(Target_NAFC&lt;Initial_NAFC,"PASS","FAIL")</f>
        <v/>
      </c>
    </row>
    <row r="25">
      <c r="A25" t="inlineStr">
        <is>
          <t>CHK013</t>
        </is>
      </c>
      <c r="B25" t="inlineStr">
        <is>
          <t>Sanity</t>
        </is>
      </c>
      <c r="C25" t="inlineStr">
        <is>
          <t>Days to compliance &lt;= season length</t>
        </is>
      </c>
      <c r="D25">
        <f>IF(Days_to_Compliance&lt;=Season_Length,"PASS","FAIL")</f>
        <v/>
      </c>
    </row>
    <row r="26">
      <c r="A26" t="inlineStr">
        <is>
          <t>CHK014</t>
        </is>
      </c>
      <c r="B26" t="inlineStr">
        <is>
          <t>Range</t>
        </is>
      </c>
      <c r="C26" t="inlineStr">
        <is>
          <t>Treatment rates positive</t>
        </is>
      </c>
      <c r="D26">
        <f>IF(AND(Eff_Rapid_Rate&gt;0,Eff_Slow_Rate&gt;0),"PASS","FAIL")</f>
        <v/>
      </c>
    </row>
    <row r="27"/>
    <row r="28"/>
    <row r="29">
      <c r="A29" s="4" t="inlineStr">
        <is>
          <t>Summary</t>
        </is>
      </c>
    </row>
    <row r="30">
      <c r="A30" t="inlineStr">
        <is>
          <t>Total Checks:</t>
        </is>
      </c>
      <c r="B30">
        <f>COUNTA(tbl_Checks[Check_ID])</f>
        <v/>
      </c>
    </row>
    <row r="31">
      <c r="A31" t="inlineStr">
        <is>
          <t>Passed:</t>
        </is>
      </c>
      <c r="B31">
        <f>COUNTIF(tbl_Checks[Status],"PASS")</f>
        <v/>
      </c>
    </row>
    <row r="32">
      <c r="A32" t="inlineStr">
        <is>
          <t>Failed:</t>
        </is>
      </c>
      <c r="B32">
        <f>COUNTIF(tbl_Checks[Status],"FAIL")</f>
        <v/>
      </c>
    </row>
    <row r="33">
      <c r="A33" t="inlineStr">
        <is>
          <t>Model Health:</t>
        </is>
      </c>
      <c r="B33">
        <f>IF(COUNTIF(tbl_Checks[Status],"FAIL")=0,"HEALTHY","REVIEW REQUIRED")</f>
        <v/>
      </c>
    </row>
  </sheetData>
  <mergeCells count="7">
    <mergeCell ref="B10:D10"/>
    <mergeCell ref="B11:D11"/>
    <mergeCell ref="A4:D4"/>
    <mergeCell ref="B8:D8"/>
    <mergeCell ref="A3:D3"/>
    <mergeCell ref="B9:D9"/>
    <mergeCell ref="B7:D7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2026-01-30T23:47:20Z</dcterms:created>
  <dcterms:modified xsi:type="dcterms:W3CDTF">2026-01-30T23:47:26Z</dcterms:modified>
</cp:coreProperties>
</file>