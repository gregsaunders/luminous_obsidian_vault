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greg/Luminous Dropbox/Obsidian/utils/financial_modeling/"/>
    </mc:Choice>
  </mc:AlternateContent>
  <xr:revisionPtr revIDLastSave="0" documentId="13_ncr:1_{928A3004-CBD0-E846-9792-649EC54CC222}" xr6:coauthVersionLast="47" xr6:coauthVersionMax="47" xr10:uidLastSave="{00000000-0000-0000-0000-000000000000}"/>
  <bookViews>
    <workbookView xWindow="0" yWindow="680" windowWidth="30240" windowHeight="18960" firstSheet="11" activeTab="14" xr2:uid="{00000000-000D-0000-FFFF-FFFF00000000}"/>
  </bookViews>
  <sheets>
    <sheet name="0_Cover" sheetId="1" r:id="rId1"/>
    <sheet name="1_TOC" sheetId="2" r:id="rId2"/>
    <sheet name="3_Instructions" sheetId="3" r:id="rId3"/>
    <sheet name="2_InputMap" sheetId="4" r:id="rId4"/>
    <sheet name="4_Assumptions" sheetId="5" r:id="rId5"/>
    <sheet name="5_EnvironmentalDrivers" sheetId="6" r:id="rId6"/>
    <sheet name="6_Scenarios" sheetId="7" r:id="rId7"/>
    <sheet name="7_ServiceModels" sheetId="8" r:id="rId8"/>
    <sheet name="8_Calc_Timeline" sheetId="9" r:id="rId9"/>
    <sheet name="9_Calc_Kinetics" sheetId="10" r:id="rId10"/>
    <sheet name="10_Calc_Stochastic" sheetId="11" r:id="rId11"/>
    <sheet name="11_Calc_Compliance" sheetId="12" r:id="rId12"/>
    <sheet name="12_Calc_Value" sheetId="13" r:id="rId13"/>
    <sheet name="13_Calc_Costs" sheetId="14" r:id="rId14"/>
    <sheet name="14_Calc_Sim" sheetId="15" r:id="rId15"/>
    <sheet name="15_PL_Monthly" sheetId="16" r:id="rId16"/>
    <sheet name="16_PL_Annual" sheetId="17" r:id="rId17"/>
    <sheet name="17_CashFlow" sheetId="18" r:id="rId18"/>
    <sheet name="18_UnitEconomics" sheetId="19" r:id="rId19"/>
    <sheet name="19_Sensitivity" sheetId="20" r:id="rId20"/>
    <sheet name="20_Dashboard" sheetId="21" r:id="rId21"/>
    <sheet name="21_Checks" sheetId="22" r:id="rId22"/>
  </sheets>
  <definedNames>
    <definedName name="AdjustedValue">'12_Calc_Value'!$E$21</definedName>
    <definedName name="Annual_Throughput">'4_Assumptions'!$B$39</definedName>
    <definedName name="AnnualThroughput_M3">'4_Assumptions'!$B$39</definedName>
    <definedName name="Base_Year">'1_TOC'!$B$14</definedName>
    <definedName name="Beta_Efficiency_Gain_Alpha">'7_ServiceModels'!$B$23</definedName>
    <definedName name="Beta_Efficiency_Gain_Beta">'7_ServiceModels'!$C$23</definedName>
    <definedName name="Beta_Efficiency_Gain_Max">'7_ServiceModels'!$E$23</definedName>
    <definedName name="Beta_Efficiency_Gain_Min">'7_ServiceModels'!$D$23</definedName>
    <definedName name="Bioavail_Modifier">'9_Calc_Kinetics'!$C$12</definedName>
    <definedName name="Circulation_Cycles">'8_Calc_Timeline'!$C$28</definedName>
    <definedName name="Compliance_Status">'8_Calc_Timeline'!$C$30</definedName>
    <definedName name="ComplianceGate">'11_Calc_Compliance'!$C$24</definedName>
    <definedName name="Day_80_Survival">'4_Assumptions'!$B$125</definedName>
    <definedName name="Day_LC50">'4_Assumptions'!$B$124</definedName>
    <definedName name="Day_Nontoxic">'4_Assumptions'!$B$126</definedName>
    <definedName name="Days_to_Compliance">'8_Calc_Timeline'!$C$27</definedName>
    <definedName name="Discount_Rate">'1_TOC'!$B$12</definedName>
    <definedName name="DO_Modifier">'9_Calc_Kinetics'!$C$10</definedName>
    <definedName name="DowntimeCostPerDay">'4_Assumptions'!$B$52</definedName>
    <definedName name="Eff_Rapid_Rate">'8_Calc_Timeline'!$C$24</definedName>
    <definedName name="Eff_Slow_Rate">'8_Calc_Timeline'!$C$25</definedName>
    <definedName name="Effective_Rate">'9_Calc_Kinetics'!$C$16</definedName>
    <definedName name="Env_Bioavail_Index_Aug">'5_EnvironmentalDrivers'!$F$12</definedName>
    <definedName name="Env_Bioavail_Index_Jul">'5_EnvironmentalDrivers'!$E$12</definedName>
    <definedName name="Env_Bioavail_Index_Jun">'5_EnvironmentalDrivers'!$D$12</definedName>
    <definedName name="Env_Bioavail_Index_May">'5_EnvironmentalDrivers'!$C$12</definedName>
    <definedName name="Env_Bioavail_Index_Sep">'5_EnvironmentalDrivers'!$G$12</definedName>
    <definedName name="Env_DO_Typical_Aug">'5_EnvironmentalDrivers'!$F$10</definedName>
    <definedName name="Env_DO_Typical_Jul">'5_EnvironmentalDrivers'!$E$10</definedName>
    <definedName name="Env_DO_Typical_Jun">'5_EnvironmentalDrivers'!$D$10</definedName>
    <definedName name="Env_DO_Typical_May">'5_EnvironmentalDrivers'!$C$10</definedName>
    <definedName name="Env_DO_Typical_Sep">'5_EnvironmentalDrivers'!$G$10</definedName>
    <definedName name="Env_Nutrient_Index_Aug">'5_EnvironmentalDrivers'!$F$11</definedName>
    <definedName name="Env_Nutrient_Index_Jul">'5_EnvironmentalDrivers'!$E$11</definedName>
    <definedName name="Env_Nutrient_Index_Jun">'5_EnvironmentalDrivers'!$D$11</definedName>
    <definedName name="Env_Nutrient_Index_May">'5_EnvironmentalDrivers'!$C$11</definedName>
    <definedName name="Env_Nutrient_Index_Sep">'5_EnvironmentalDrivers'!$G$11</definedName>
    <definedName name="Env_Temp_Water_Aug">'5_EnvironmentalDrivers'!$F$8</definedName>
    <definedName name="Env_Temp_Water_Jul">'5_EnvironmentalDrivers'!$E$8</definedName>
    <definedName name="Env_Temp_Water_Jun">'5_EnvironmentalDrivers'!$D$8</definedName>
    <definedName name="Env_Temp_Water_May">'5_EnvironmentalDrivers'!$C$8</definedName>
    <definedName name="Env_Temp_Water_Sep">'5_EnvironmentalDrivers'!$G$8</definedName>
    <definedName name="Env_UV_Relative_Aug">'5_EnvironmentalDrivers'!$F$9</definedName>
    <definedName name="Env_UV_Relative_Jul">'5_EnvironmentalDrivers'!$E$9</definedName>
    <definedName name="Env_UV_Relative_Jun">'5_EnvironmentalDrivers'!$D$9</definedName>
    <definedName name="Env_UV_Relative_May">'5_EnvironmentalDrivers'!$C$9</definedName>
    <definedName name="Env_UV_Relative_Sep">'5_EnvironmentalDrivers'!$G$9</definedName>
    <definedName name="Gate_Chloride">'11_Calc_Compliance'!$D$9</definedName>
    <definedName name="Gate_DO">'11_Calc_Compliance'!$D$11</definedName>
    <definedName name="Gate_Foam">'11_Calc_Compliance'!$D$20</definedName>
    <definedName name="Gate_NAFC">'11_Calc_Compliance'!$D$16</definedName>
    <definedName name="Gate_Odor">'11_Calc_Compliance'!$D$19</definedName>
    <definedName name="Gate_Oil_Sheen">'11_Calc_Compliance'!$D$18</definedName>
    <definedName name="Gate_pH_High">'11_Calc_Compliance'!$D$13</definedName>
    <definedName name="Gate_pH_Low">'11_Calc_Compliance'!$D$12</definedName>
    <definedName name="Gate_S1">'4_Assumptions'!$B$87:$B$89</definedName>
    <definedName name="Gate_S2">'4_Assumptions'!$C$87:$C$89</definedName>
    <definedName name="Gate_S3">'4_Assumptions'!$D$87:$D$89</definedName>
    <definedName name="Gate_S4">'4_Assumptions'!$E$87:$E$89</definedName>
    <definedName name="Gate_SAR">'11_Calc_Compliance'!$D$10</definedName>
    <definedName name="Gate_Sulfate">'11_Calc_Compliance'!$D$14</definedName>
    <definedName name="Gate_Temperature">'11_Calc_Compliance'!$D$15</definedName>
    <definedName name="Gate_Toxicity">'11_Calc_Compliance'!$D$8</definedName>
    <definedName name="Gate_Turbidity">'11_Calc_Compliance'!$D$17</definedName>
    <definedName name="Gross_Value">'12_Calc_Value'!$E$18</definedName>
    <definedName name="Initial_NAFC">'4_Assumptions'!$B$108</definedName>
    <definedName name="Ionic_Chloride_Max">'5_EnvironmentalDrivers'!$E$17</definedName>
    <definedName name="Ionic_Chloride_Min">'5_EnvironmentalDrivers'!$C$17</definedName>
    <definedName name="Ionic_Chloride_Mode">'5_EnvironmentalDrivers'!$D$17</definedName>
    <definedName name="Ionic_Chloride_Threshold">'5_EnvironmentalDrivers'!$F$17</definedName>
    <definedName name="Ionic_DO_Compliance_Max">'5_EnvironmentalDrivers'!$E$20</definedName>
    <definedName name="Ionic_DO_Compliance_Min">'5_EnvironmentalDrivers'!$C$20</definedName>
    <definedName name="Ionic_DO_Compliance_Mode">'5_EnvironmentalDrivers'!$D$20</definedName>
    <definedName name="Ionic_DO_Compliance_Threshold">'5_EnvironmentalDrivers'!$F$20</definedName>
    <definedName name="Ionic_SAR_Max">'5_EnvironmentalDrivers'!$E$18</definedName>
    <definedName name="Ionic_SAR_Min">'5_EnvironmentalDrivers'!$C$18</definedName>
    <definedName name="Ionic_SAR_Mode">'5_EnvironmentalDrivers'!$D$18</definedName>
    <definedName name="Ionic_SAR_Threshold">'5_EnvironmentalDrivers'!$F$18</definedName>
    <definedName name="Ionic_Sulfate_Max">'5_EnvironmentalDrivers'!$E$19</definedName>
    <definedName name="Ionic_Sulfate_Min">'5_EnvironmentalDrivers'!$C$19</definedName>
    <definedName name="Ionic_Sulfate_Mode">'5_EnvironmentalDrivers'!$D$19</definedName>
    <definedName name="Ionic_Sulfate_Threshold">'5_EnvironmentalDrivers'!$F$19</definedName>
    <definedName name="LaborPerDay">'4_Assumptions'!$B$50</definedName>
    <definedName name="LearningCurve_Mult">'4_Assumptions'!$B$62:$B$66</definedName>
    <definedName name="List_Scenarios">'4_Assumptions'!$B$94:$B$96</definedName>
    <definedName name="List_TestingOptions">'4_Assumptions'!$A$94:$A$96</definedName>
    <definedName name="MC_Anchor">'4_Assumptions'!$B$99</definedName>
    <definedName name="MC_Expected_Days">'14_Calc_Sim'!$B$1024</definedName>
    <definedName name="MC_Expected_NPV">'14_Calc_Sim'!$B$1016</definedName>
    <definedName name="MC_P10">'14_Calc_Sim'!$B$1017</definedName>
    <definedName name="MC_P10_Days">'14_Calc_Sim'!$B$1025</definedName>
    <definedName name="MC_P50">'14_Calc_Sim'!$B$1018</definedName>
    <definedName name="MC_P50_Days">'14_Calc_Sim'!$B$1026</definedName>
    <definedName name="MC_P90">'14_Calc_Sim'!$B$1019</definedName>
    <definedName name="MC_P90_Days">'14_Calc_Sim'!$B$1027</definedName>
    <definedName name="MC_Prob_Achievable">'14_Calc_Sim'!$B$1028</definedName>
    <definedName name="MC_Prob_Positive">'14_Calc_Sim'!$B$1021</definedName>
    <definedName name="MC_StdDev">'14_Calc_Sim'!$B$1020</definedName>
    <definedName name="NAFC_After_Rapid">'8_Calc_Timeline'!$C$26</definedName>
    <definedName name="NPV_Total">'16_PL_Annual'!$B$21</definedName>
    <definedName name="Nutrient_Modifier">'9_Calc_Kinetics'!$C$11</definedName>
    <definedName name="Projection_Years">'1_TOC'!$B$13</definedName>
    <definedName name="Q10_Factor">'9_Calc_Kinetics'!$C$8</definedName>
    <definedName name="Rapid_Phase_Duration">'4_Assumptions'!$B$112</definedName>
    <definedName name="Rapid_Phase_Rate">'4_Assumptions'!$B$110</definedName>
    <definedName name="Recirculation_Cycle">'4_Assumptions'!$B$113</definedName>
    <definedName name="RegulatoryPenalty">'4_Assumptions'!$B$51</definedName>
    <definedName name="S1_Value">'12_Calc_Value'!$E$13</definedName>
    <definedName name="S2_Value">'12_Calc_Value'!$E$14</definedName>
    <definedName name="S3_Value">'12_Calc_Value'!$E$15</definedName>
    <definedName name="S4_Value">'12_Calc_Value'!$E$16</definedName>
    <definedName name="Scenario_BaseValues">'6_Scenarios'!$C$10:$C$13</definedName>
    <definedName name="Scenario_Select">'1_TOC'!$B$11</definedName>
    <definedName name="Season_End_Day">'4_Assumptions'!$B$13</definedName>
    <definedName name="Season_End_Month">'4_Assumptions'!$B$12</definedName>
    <definedName name="Season_Length">'4_Assumptions'!$B$14</definedName>
    <definedName name="Season_Start_Day">'4_Assumptions'!$B$11</definedName>
    <definedName name="Season_Start_Month">'4_Assumptions'!$B$10</definedName>
    <definedName name="Slow_Phase_Rate">'4_Assumptions'!$B$111</definedName>
    <definedName name="Stoch_Efficiency">'10_Calc_Stochastic'!$C$17</definedName>
    <definedName name="Stoch_ExtValue">'10_Calc_Stochastic'!$C$15</definedName>
    <definedName name="Stoch_Interventions">'10_Calc_Stochastic'!$C$16</definedName>
    <definedName name="Stoch_SeasonExt">'10_Calc_Stochastic'!$C$14</definedName>
    <definedName name="Stoch_TreatmentRate">'10_Calc_Stochastic'!$C$18</definedName>
    <definedName name="System_Capacity">'4_Assumptions'!$B$114</definedName>
    <definedName name="Target_NAFC">'4_Assumptions'!$B$109</definedName>
    <definedName name="Testing_Cost">'13_Calc_Costs'!$C$19</definedName>
    <definedName name="Testing_Option">'1_TOC'!$B$10</definedName>
    <definedName name="TestOpt_Cost">'4_Assumptions'!$E$76:$E$78</definedName>
    <definedName name="TestOpt_Interval">'4_Assumptions'!$C$76:$C$78</definedName>
    <definedName name="TestOpt_Latency">'4_Assumptions'!$F$76:$F$78</definedName>
    <definedName name="TestOpt_Method">'4_Assumptions'!$B$76:$B$78</definedName>
    <definedName name="TestOpt_Option">'4_Assumptions'!$A$76:$A$78</definedName>
    <definedName name="TestOpt_Points">'4_Assumptions'!$D$76:$D$78</definedName>
    <definedName name="Timeline_DiscountFactor">'8_Calc_Timeline'!$D$13:$D$18</definedName>
    <definedName name="Timeline_LearningMult">'8_Calc_Timeline'!$E$13:$E$18</definedName>
    <definedName name="Treatment_Cells">'4_Assumptions'!$B$38</definedName>
    <definedName name="Treatment_Days">'4_Assumptions'!$B$14</definedName>
    <definedName name="Treatment_Efficiency">'8_Calc_Timeline'!$C$29</definedName>
    <definedName name="TreatmentCells">'4_Assumptions'!$B$38</definedName>
    <definedName name="Tri_Extension_Value_Per_Day_Max">'7_ServiceModels'!$D$11</definedName>
    <definedName name="Tri_Extension_Value_Per_Day_Min">'7_ServiceModels'!$B$11</definedName>
    <definedName name="Tri_Extension_Value_Per_Day_Mode">'7_ServiceModels'!$C$11</definedName>
    <definedName name="Tri_Interventions_Avoided_Max">'7_ServiceModels'!$D$12</definedName>
    <definedName name="Tri_Interventions_Avoided_Min">'7_ServiceModels'!$B$12</definedName>
    <definedName name="Tri_Interventions_Avoided_Mode">'7_ServiceModels'!$C$12</definedName>
    <definedName name="Tri_Season_Extension_Days_Max">'7_ServiceModels'!$D$10</definedName>
    <definedName name="Tri_Season_Extension_Days_Min">'7_ServiceModels'!$B$10</definedName>
    <definedName name="Tri_Season_Extension_Days_Mode">'7_ServiceModels'!$C$10</definedName>
    <definedName name="Tri_Treatment_Rate_Factor_Max">'7_ServiceModels'!$D$13</definedName>
    <definedName name="Tri_Treatment_Rate_Factor_Min">'7_ServiceModels'!$B$13</definedName>
    <definedName name="Tri_Treatment_Rate_Factor_Mode">'7_ServiceModels'!$C$13</definedName>
    <definedName name="UV_Modifier">'9_Calc_Kinetics'!$C$9</definedName>
    <definedName name="Value_Per_M3">'4_Assumptions'!$B$40</definedName>
    <definedName name="ValuePer_M3">'4_Assumptions'!$B$40</definedName>
    <definedName name="Wetland_Area">'4_Assumptions'!$B$37</definedName>
    <definedName name="WetlandArea_Ha">'4_Assumptions'!$B$37</definedName>
    <definedName name="Year1_Gross_Value">'16_PL_Annual'!$F$13</definedName>
    <definedName name="Year1_Net_Value">'16_PL_Annual'!$H$13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22" l="1"/>
  <c r="D24" i="22"/>
  <c r="D23" i="22"/>
  <c r="D22" i="22"/>
  <c r="D18" i="22"/>
  <c r="D17" i="22"/>
  <c r="D16" i="22"/>
  <c r="D15" i="22"/>
  <c r="D14" i="22"/>
  <c r="D13" i="22"/>
  <c r="B43" i="21"/>
  <c r="C42" i="21"/>
  <c r="B42" i="21"/>
  <c r="B13" i="21"/>
  <c r="B25" i="19"/>
  <c r="B13" i="19"/>
  <c r="A17" i="18"/>
  <c r="A16" i="18"/>
  <c r="A15" i="18"/>
  <c r="A14" i="18"/>
  <c r="A13" i="18"/>
  <c r="A17" i="17"/>
  <c r="A16" i="17"/>
  <c r="A15" i="17"/>
  <c r="A14" i="17"/>
  <c r="A13" i="17"/>
  <c r="B1028" i="15"/>
  <c r="B1027" i="15"/>
  <c r="B1026" i="15"/>
  <c r="B1025" i="15"/>
  <c r="B1024" i="15"/>
  <c r="B1021" i="15"/>
  <c r="B18" i="21" s="1"/>
  <c r="B1020" i="15"/>
  <c r="B1019" i="15"/>
  <c r="B17" i="21" s="1"/>
  <c r="B1018" i="15"/>
  <c r="B16" i="21" s="1"/>
  <c r="B1017" i="15"/>
  <c r="B15" i="21" s="1"/>
  <c r="B1016" i="15"/>
  <c r="C16" i="14"/>
  <c r="C15" i="14"/>
  <c r="C14" i="14"/>
  <c r="C17" i="14" s="1"/>
  <c r="C18" i="14" s="1"/>
  <c r="C19" i="14" s="1"/>
  <c r="C13" i="14"/>
  <c r="B16" i="13"/>
  <c r="B15" i="13"/>
  <c r="B14" i="13"/>
  <c r="B13" i="13"/>
  <c r="B24" i="12"/>
  <c r="D20" i="12"/>
  <c r="E20" i="12" s="1"/>
  <c r="D19" i="12"/>
  <c r="E19" i="12" s="1"/>
  <c r="D18" i="12"/>
  <c r="E18" i="12" s="1"/>
  <c r="D17" i="12"/>
  <c r="E17" i="12" s="1"/>
  <c r="D15" i="12"/>
  <c r="E15" i="12" s="1"/>
  <c r="D14" i="12"/>
  <c r="E14" i="12" s="1"/>
  <c r="D13" i="12"/>
  <c r="E13" i="12" s="1"/>
  <c r="D12" i="12"/>
  <c r="E12" i="12" s="1"/>
  <c r="D11" i="12"/>
  <c r="E11" i="12" s="1"/>
  <c r="D10" i="12"/>
  <c r="E10" i="12" s="1"/>
  <c r="D9" i="12"/>
  <c r="E9" i="12" s="1"/>
  <c r="D8" i="12"/>
  <c r="B18" i="11"/>
  <c r="C18" i="11" s="1"/>
  <c r="B17" i="11"/>
  <c r="C17" i="11" s="1"/>
  <c r="B16" i="11"/>
  <c r="C16" i="11" s="1"/>
  <c r="D14" i="13" s="1"/>
  <c r="B15" i="11"/>
  <c r="C15" i="11" s="1"/>
  <c r="B14" i="11"/>
  <c r="C14" i="11" s="1"/>
  <c r="D13" i="13" s="1"/>
  <c r="B16" i="10"/>
  <c r="C12" i="10"/>
  <c r="B12" i="10"/>
  <c r="C11" i="10"/>
  <c r="B11" i="10"/>
  <c r="C10" i="10"/>
  <c r="B10" i="10"/>
  <c r="C9" i="10"/>
  <c r="B9" i="10"/>
  <c r="C8" i="10"/>
  <c r="B8" i="10"/>
  <c r="C29" i="9"/>
  <c r="E18" i="9"/>
  <c r="D18" i="9"/>
  <c r="I17" i="17" s="1"/>
  <c r="C18" i="9"/>
  <c r="B18" i="9"/>
  <c r="E17" i="9"/>
  <c r="D17" i="9"/>
  <c r="I16" i="17" s="1"/>
  <c r="C17" i="9"/>
  <c r="B17" i="9"/>
  <c r="E16" i="9"/>
  <c r="D16" i="9"/>
  <c r="I15" i="17" s="1"/>
  <c r="C16" i="9"/>
  <c r="B16" i="9"/>
  <c r="E15" i="9"/>
  <c r="D15" i="9"/>
  <c r="I14" i="17" s="1"/>
  <c r="C15" i="9"/>
  <c r="B15" i="9"/>
  <c r="E14" i="9"/>
  <c r="D14" i="9"/>
  <c r="I13" i="17" s="1"/>
  <c r="C14" i="9"/>
  <c r="B14" i="9"/>
  <c r="C13" i="9"/>
  <c r="B13" i="9"/>
  <c r="E89" i="5"/>
  <c r="D89" i="5"/>
  <c r="C89" i="5"/>
  <c r="B89" i="5"/>
  <c r="E88" i="5"/>
  <c r="D88" i="5"/>
  <c r="C88" i="5"/>
  <c r="B88" i="5"/>
  <c r="E87" i="5"/>
  <c r="D87" i="5"/>
  <c r="C87" i="5"/>
  <c r="B87" i="5"/>
  <c r="B28" i="4"/>
  <c r="B27" i="4"/>
  <c r="B26" i="4"/>
  <c r="B25" i="4"/>
  <c r="B24" i="4"/>
  <c r="B23" i="4"/>
  <c r="B22" i="4"/>
  <c r="B21" i="4"/>
  <c r="B20" i="4"/>
  <c r="B19" i="4"/>
  <c r="B18" i="4"/>
  <c r="B17" i="4"/>
  <c r="B16" i="4"/>
  <c r="B15" i="4"/>
  <c r="B14" i="4"/>
  <c r="B13" i="4"/>
  <c r="B11" i="4"/>
  <c r="B10" i="4"/>
  <c r="B9" i="4"/>
  <c r="B8" i="4"/>
  <c r="B7" i="4"/>
  <c r="B6" i="4"/>
  <c r="B5" i="4"/>
  <c r="B5" i="1"/>
  <c r="C16" i="10" l="1"/>
  <c r="B49" i="21"/>
  <c r="C49" i="21"/>
  <c r="B48" i="21"/>
  <c r="C48" i="21"/>
  <c r="C47" i="21"/>
  <c r="B47" i="21"/>
  <c r="G10" i="15"/>
  <c r="G13" i="17"/>
  <c r="G16" i="17"/>
  <c r="G14" i="17"/>
  <c r="G15" i="17"/>
  <c r="B16" i="19"/>
  <c r="B20" i="19"/>
  <c r="B26" i="19"/>
  <c r="B19" i="21"/>
  <c r="G17" i="17"/>
  <c r="D20" i="22"/>
  <c r="C24" i="12"/>
  <c r="E8" i="12"/>
  <c r="C24" i="9"/>
  <c r="C25" i="9"/>
  <c r="B30" i="4" s="1"/>
  <c r="D15" i="13"/>
  <c r="D16" i="13"/>
  <c r="B46" i="21"/>
  <c r="C46" i="21"/>
  <c r="C16" i="13"/>
  <c r="E16" i="13" s="1"/>
  <c r="C33" i="21"/>
  <c r="C15" i="13"/>
  <c r="E15" i="13" s="1"/>
  <c r="C32" i="21"/>
  <c r="C14" i="13"/>
  <c r="E14" i="13" s="1"/>
  <c r="C31" i="21"/>
  <c r="C30" i="21"/>
  <c r="C13" i="13"/>
  <c r="E13" i="13" s="1"/>
  <c r="B17" i="10" l="1"/>
  <c r="C17" i="10"/>
  <c r="B20" i="13"/>
  <c r="C20" i="13" s="1"/>
  <c r="D24" i="12"/>
  <c r="D27" i="22"/>
  <c r="B29" i="4"/>
  <c r="C26" i="9"/>
  <c r="D26" i="22"/>
  <c r="F10" i="15"/>
  <c r="E17" i="17"/>
  <c r="B33" i="21"/>
  <c r="E16" i="17"/>
  <c r="E13" i="17"/>
  <c r="E14" i="17"/>
  <c r="E15" i="17"/>
  <c r="E10" i="15"/>
  <c r="D16" i="17"/>
  <c r="D17" i="17"/>
  <c r="D13" i="17"/>
  <c r="D14" i="17"/>
  <c r="D15" i="17"/>
  <c r="B32" i="21"/>
  <c r="C13" i="17"/>
  <c r="C15" i="17"/>
  <c r="D10" i="15"/>
  <c r="C16" i="17"/>
  <c r="C17" i="17"/>
  <c r="B31" i="21"/>
  <c r="C14" i="17"/>
  <c r="E18" i="13"/>
  <c r="B13" i="17"/>
  <c r="B15" i="17"/>
  <c r="B30" i="21"/>
  <c r="B14" i="17"/>
  <c r="C10" i="15"/>
  <c r="B16" i="17"/>
  <c r="B17" i="17"/>
  <c r="C27" i="9" l="1"/>
  <c r="B31" i="4"/>
  <c r="E21" i="13"/>
  <c r="D21" i="22"/>
  <c r="H10" i="15"/>
  <c r="B14" i="19"/>
  <c r="B18" i="19"/>
  <c r="F13" i="17"/>
  <c r="F15" i="17"/>
  <c r="H15" i="17" s="1"/>
  <c r="F14" i="17"/>
  <c r="H14" i="17" s="1"/>
  <c r="F16" i="17"/>
  <c r="H16" i="17" s="1"/>
  <c r="F17" i="17"/>
  <c r="H17" i="17" s="1"/>
  <c r="D25" i="22" l="1"/>
  <c r="I10" i="15"/>
  <c r="C28" i="9"/>
  <c r="C30" i="9"/>
  <c r="C44" i="21" s="1"/>
  <c r="D16" i="12"/>
  <c r="B32" i="4"/>
  <c r="B44" i="21"/>
  <c r="D28" i="22"/>
  <c r="B15" i="19"/>
  <c r="B17" i="19"/>
  <c r="B19" i="19"/>
  <c r="B27" i="19"/>
  <c r="B22" i="17"/>
  <c r="H13" i="17"/>
  <c r="B20" i="21"/>
  <c r="B15" i="18"/>
  <c r="J15" i="17"/>
  <c r="B14" i="18"/>
  <c r="J14" i="17"/>
  <c r="J16" i="17"/>
  <c r="B16" i="18"/>
  <c r="J17" i="17"/>
  <c r="B17" i="18"/>
  <c r="B45" i="21" l="1"/>
  <c r="C45" i="21"/>
  <c r="C25" i="12"/>
  <c r="C26" i="12"/>
  <c r="E16" i="12"/>
  <c r="B21" i="21"/>
  <c r="J13" i="17"/>
  <c r="B23" i="17"/>
  <c r="B13" i="18"/>
  <c r="C13" i="18" s="1"/>
  <c r="C14" i="18" s="1"/>
  <c r="C15" i="18" s="1"/>
  <c r="C16" i="18" s="1"/>
  <c r="C17" i="18" s="1"/>
  <c r="B21" i="17" l="1"/>
  <c r="D13" i="18"/>
  <c r="D14" i="18" s="1"/>
  <c r="D15" i="18" s="1"/>
  <c r="D16" i="18" s="1"/>
  <c r="D17" i="18" s="1"/>
  <c r="B21" i="19" l="1"/>
  <c r="E13" i="20"/>
  <c r="F13" i="20"/>
  <c r="G13" i="20" s="1"/>
  <c r="E14" i="20"/>
  <c r="F14" i="20"/>
  <c r="E15" i="20"/>
  <c r="F15" i="20"/>
  <c r="G15" i="20" s="1"/>
  <c r="E16" i="20"/>
  <c r="F16" i="20"/>
  <c r="B14" i="21"/>
  <c r="B10" i="15"/>
  <c r="D19" i="22"/>
  <c r="G14" i="20" l="1"/>
  <c r="B34" i="22"/>
  <c r="B33" i="22"/>
  <c r="B35" i="22"/>
  <c r="B9" i="1"/>
  <c r="B10" i="1"/>
  <c r="B66" i="21"/>
  <c r="B67" i="21"/>
  <c r="G16" i="20"/>
</calcChain>
</file>

<file path=xl/sharedStrings.xml><?xml version="1.0" encoding="utf-8"?>
<sst xmlns="http://schemas.openxmlformats.org/spreadsheetml/2006/main" count="1278" uniqueCount="839">
  <si>
    <t>Luminous Wetland Monte Carlo Financial Model</t>
  </si>
  <si>
    <t>FAST Standard Compliant (18-Sheet Architecture)</t>
  </si>
  <si>
    <t>Version:</t>
  </si>
  <si>
    <t>3.0</t>
  </si>
  <si>
    <t>Date:</t>
  </si>
  <si>
    <t>Author:</t>
  </si>
  <si>
    <t>Luminous BioSolutions</t>
  </si>
  <si>
    <t>Model Status</t>
  </si>
  <si>
    <t>Health:</t>
  </si>
  <si>
    <t>Errors:</t>
  </si>
  <si>
    <t>Sheet Navigation</t>
  </si>
  <si>
    <t>1_TOC</t>
  </si>
  <si>
    <t>Table of Contents / Control panel</t>
  </si>
  <si>
    <t>3_Instructions</t>
  </si>
  <si>
    <t>Methodology and documentation</t>
  </si>
  <si>
    <t>4_Assumptions</t>
  </si>
  <si>
    <t>ALL inputs (timing, site, test options, validation)</t>
  </si>
  <si>
    <t>6_Scenarios</t>
  </si>
  <si>
    <t>Value scenario definitions</t>
  </si>
  <si>
    <t>7_ServiceModels</t>
  </si>
  <si>
    <t>Monte Carlo distributions</t>
  </si>
  <si>
    <t>8_Calc_Timeline</t>
  </si>
  <si>
    <t>Projection timeline</t>
  </si>
  <si>
    <t>10_Calc_Stochastic</t>
  </si>
  <si>
    <t>Random variable generation</t>
  </si>
  <si>
    <t>12_Calc_Value</t>
  </si>
  <si>
    <t>Gated value calculations</t>
  </si>
  <si>
    <t>13_Calc_Costs</t>
  </si>
  <si>
    <t>Cost calculations</t>
  </si>
  <si>
    <t>14_Calc_Sim</t>
  </si>
  <si>
    <t>1000-iteration Monte Carlo</t>
  </si>
  <si>
    <t>15_PL_Monthly</t>
  </si>
  <si>
    <t>Monthly P&amp;L (placeholder)</t>
  </si>
  <si>
    <t>16_PL_Annual</t>
  </si>
  <si>
    <t>Annual projections</t>
  </si>
  <si>
    <t>17_CashFlow</t>
  </si>
  <si>
    <t>Cumulative projections</t>
  </si>
  <si>
    <t>18_UnitEconomics</t>
  </si>
  <si>
    <t>Unit economics view</t>
  </si>
  <si>
    <t>19_Sensitivity</t>
  </si>
  <si>
    <t>Tornado analysis</t>
  </si>
  <si>
    <t>20_Dashboard</t>
  </si>
  <si>
    <t>Executive dashboard</t>
  </si>
  <si>
    <t>21_Checks</t>
  </si>
  <si>
    <t>Validation checks</t>
  </si>
  <si>
    <t>Control Panel</t>
  </si>
  <si>
    <t>Description:</t>
  </si>
  <si>
    <t>User-editable model parameters that drive all calculations. Change these values to explore different scenarios.</t>
  </si>
  <si>
    <t>Purpose:</t>
  </si>
  <si>
    <t>Provide a single location for users to modify key model inputs</t>
  </si>
  <si>
    <t>Assumptions:</t>
  </si>
  <si>
    <t>- Testing_Option selects between HRMS and biosensor approaches
- Scenario_Select chooses conservative, base, or optimistic parameters
- Discount_Rate applies to all NPV calculations
- Projection_Years determines the financial projection horizon</t>
  </si>
  <si>
    <t>Data Source:</t>
  </si>
  <si>
    <t>User input - default values from Financial Model Framework v2.1</t>
  </si>
  <si>
    <t>Related Tables:</t>
  </si>
  <si>
    <t>tbl_ModelScenarios, tbl_TestOptions</t>
  </si>
  <si>
    <t>Parameter</t>
  </si>
  <si>
    <t>Value</t>
  </si>
  <si>
    <t>Validation</t>
  </si>
  <si>
    <t>Description</t>
  </si>
  <si>
    <t>Testing_Option</t>
  </si>
  <si>
    <t>Daily_Biosensor</t>
  </si>
  <si>
    <t>Dropdown</t>
  </si>
  <si>
    <t>Selected testing method</t>
  </si>
  <si>
    <t>Scenario_Select</t>
  </si>
  <si>
    <t>Base</t>
  </si>
  <si>
    <t>Model scenario</t>
  </si>
  <si>
    <t>Discount_Rate</t>
  </si>
  <si>
    <t>0%-15%</t>
  </si>
  <si>
    <t>NPV discount rate</t>
  </si>
  <si>
    <t>Projection_Years</t>
  </si>
  <si>
    <t>1-10</t>
  </si>
  <si>
    <t>Projection horizon</t>
  </si>
  <si>
    <t>Base_Year</t>
  </si>
  <si>
    <t>2024-2030</t>
  </si>
  <si>
    <t>Model start year</t>
  </si>
  <si>
    <t>Model Instructions &amp; Documentation</t>
  </si>
  <si>
    <t>1. Model Purpose</t>
  </si>
  <si>
    <t xml:space="preserve">  - Quantify value of high-frequency biosensor monitoring vs HRMS for OSPW wetland treatment</t>
  </si>
  <si>
    <t xml:space="preserve">  - Monte Carlo simulation for uncertainty quantification (1000 iterations)</t>
  </si>
  <si>
    <t xml:space="preserve">  - FAST Standard compliance for transparency and auditability</t>
  </si>
  <si>
    <t xml:space="preserve">  - All calculations performed in Excel - Python only generates structure/formulas</t>
  </si>
  <si>
    <t>2. How to Use This Model</t>
  </si>
  <si>
    <t>1. Edit yellow-highlighted cells in 1_TOC and 4_Assumptions</t>
  </si>
  <si>
    <t>2. Go to 14_Calc_Sim and set up the Data Table:</t>
  </si>
  <si>
    <t xml:space="preserve">   - Select range shown in instructions (formula row through 1000 iterations)</t>
  </si>
  <si>
    <t xml:space="preserve">   - Data &gt; What-If Analysis &gt; Data Table</t>
  </si>
  <si>
    <t xml:space="preserve">   - Column Input Cell: $K$1 (blank cell on same sheet)</t>
  </si>
  <si>
    <t>3. Press Ctrl+Alt+F9 to run Monte Carlo simulation</t>
  </si>
  <si>
    <t>4. View results in 20_Dashboard</t>
  </si>
  <si>
    <t>5. Check 21_Checks for any validation errors</t>
  </si>
  <si>
    <t>3. Latency Gating Logic</t>
  </si>
  <si>
    <t>HRMS lab testing has 42-day turnaround, blocking time-sensitive decisions:</t>
  </si>
  <si>
    <t>Scenario</t>
  </si>
  <si>
    <t>Required_Response</t>
  </si>
  <si>
    <t>HRMS_42d</t>
  </si>
  <si>
    <t>Biosensor_1d</t>
  </si>
  <si>
    <t>S1: Season Extension</t>
  </si>
  <si>
    <t>7 days</t>
  </si>
  <si>
    <t>BLOCKED</t>
  </si>
  <si>
    <t>ENABLED</t>
  </si>
  <si>
    <t>S2: Intervention Avoidance</t>
  </si>
  <si>
    <t>S3: Spatial Routing</t>
  </si>
  <si>
    <t>14 days</t>
  </si>
  <si>
    <t>S4: Early Detection</t>
  </si>
  <si>
    <t>3 days</t>
  </si>
  <si>
    <t>4. Glossary</t>
  </si>
  <si>
    <t>HRMS</t>
  </si>
  <si>
    <t>High-Resolution Mass Spectrometry</t>
  </si>
  <si>
    <t>OSPW</t>
  </si>
  <si>
    <t>Oil Sands Process-affected Water</t>
  </si>
  <si>
    <t>ARO</t>
  </si>
  <si>
    <t>Asset Retirement Obligation</t>
  </si>
  <si>
    <t>NPV</t>
  </si>
  <si>
    <t>Net Present Value</t>
  </si>
  <si>
    <t>HLR</t>
  </si>
  <si>
    <t>Hydraulic Loading Rate</t>
  </si>
  <si>
    <t>FAST</t>
  </si>
  <si>
    <t>Flexible, Appropriate, Structured, Transparent</t>
  </si>
  <si>
    <t>NAFC</t>
  </si>
  <si>
    <t>Naphthenic Acid Fraction Compounds</t>
  </si>
  <si>
    <t>5. Data Sources</t>
  </si>
  <si>
    <t xml:space="preserve">  - Zhang (2026) Long-Dated Environmental Liabilities in Oil Sands</t>
  </si>
  <si>
    <t xml:space="preserve">  - Kadlec &amp; Wallace (2009) Treatment Wetlands, 2nd Ed.</t>
  </si>
  <si>
    <t xml:space="preserve">  - FAST Standard Organisation (fast-standard.org)</t>
  </si>
  <si>
    <t xml:space="preserve">  - Luminous BioSolutions Financial Model Framework</t>
  </si>
  <si>
    <t xml:space="preserve">  - Kearl Wetland Pilot Data (GROW Presentation, Dec 2025)</t>
  </si>
  <si>
    <t>6. Value Per Cubic Meter Derivation</t>
  </si>
  <si>
    <t>The $5/m3 operational value is derived from:</t>
  </si>
  <si>
    <t xml:space="preserve">  - Conservative annual value: $250,000/year (Financial Model Framework)</t>
  </si>
  <si>
    <t xml:space="preserve">  - Annual throughput: 50,000 m3/year (4_Assumptions default)</t>
  </si>
  <si>
    <t xml:space="preserve">  - Calculation: $250,000 / 50,000 m3 = $5/m3</t>
  </si>
  <si>
    <t xml:space="preserve">  - This is the OPERATIONAL benefit only - excludes avoided treatment and ARO impacts</t>
  </si>
  <si>
    <t>Value Sensitivity Analysis (19_Sensitivity):</t>
  </si>
  <si>
    <t xml:space="preserve">  - Operational: $3-8/m3 (base $5) - Direct wetland treatment value</t>
  </si>
  <si>
    <t xml:space="preserve">  - Avoided Treatment: $10-30/m3 (base $20) - Alternative treatment costs</t>
  </si>
  <si>
    <t xml:space="preserve">  - ARO Liability: $21-93/m3 (base $50) - Zhang (2026) liability analysis</t>
  </si>
  <si>
    <t>7. Treatment Kinetics (Kearl 2022 Field Data)</t>
  </si>
  <si>
    <t>Source: Vander Meulen &amp; Headley (2024) GROW Presentation</t>
  </si>
  <si>
    <t>Project: Genome Canada LSARP - GROW (Genomics Research for Optimization of Constructed Treatment Wetlands)</t>
  </si>
  <si>
    <t>Two-Phase Kinetics Model:</t>
  </si>
  <si>
    <t xml:space="preserve">  - Rapid Phase (Days 0-15): -0.532 mg/L/day (R^2=0.43)</t>
  </si>
  <si>
    <t xml:space="preserve">  - Slow Phase (Days 30-69): -0.248 mg/L/day (R^2=0.50)</t>
  </si>
  <si>
    <t xml:space="preserve">  - The slowdown reflects preferential removal of labile compounds</t>
  </si>
  <si>
    <t>Toxicity Endpoints (Fathead Minnow Embryo):</t>
  </si>
  <si>
    <t xml:space="preserve">  - Day 14: ~50% survival (1 recirculation cycle = LC50)</t>
  </si>
  <si>
    <t xml:space="preserve">  - Day 28: 80-90% survival (2 cycles)</t>
  </si>
  <si>
    <t xml:space="preserve">  - Day 42: &gt;90% survival (3 cycles = non-toxic, equivalent to controls)</t>
  </si>
  <si>
    <t>The Concentration Paradox:</t>
  </si>
  <si>
    <t xml:space="preserve">  - Water at Day 42 was non-toxic despite ~50 mg/L NAFC concentration</t>
  </si>
  <si>
    <t xml:space="preserve">  - Literature LC50 values for fathead minnow: 18-34 mg/L</t>
  </si>
  <si>
    <t xml:space="preserve">  - Explanation: Wetlands preferentially remove high-carbon, lipophilic (most toxic) compounds</t>
  </si>
  <si>
    <t xml:space="preserve">  - Remaining NAFCs are oxidized (O3, O4 classes) and less bioavailable</t>
  </si>
  <si>
    <t xml:space="preserve">  - Implication: Total NAFC concentration alone may be inadequate for assessing safety</t>
  </si>
  <si>
    <t>Adjusting Parameters:</t>
  </si>
  <si>
    <t xml:space="preserve">  - All kinetics parameters are in 4_Assumptions Section H (yellow cells)</t>
  </si>
  <si>
    <t xml:space="preserve">  - Treatment_Rate_Factor in 7_ServiceModels captures seasonal/vegetation variability</t>
  </si>
  <si>
    <t xml:space="preserve">  - Modify Initial_NAFC to match your source water concentration</t>
  </si>
  <si>
    <t xml:space="preserve">  - Adjust Target_NAFC for different regulatory thresholds</t>
  </si>
  <si>
    <t>8. Change Log</t>
  </si>
  <si>
    <t>Version</t>
  </si>
  <si>
    <t>Date</t>
  </si>
  <si>
    <t>Changes</t>
  </si>
  <si>
    <t>3.2</t>
  </si>
  <si>
    <t>2026-01-29</t>
  </si>
  <si>
    <t>Value/m3 derivation documentation (Section 6)</t>
  </si>
  <si>
    <t>3.1</t>
  </si>
  <si>
    <t>Kearl treatment kinetics integration, Days_to_Compliance MC</t>
  </si>
  <si>
    <t>FAST 18-sheet refactor with LOCATIONS registry</t>
  </si>
  <si>
    <t>2.0</t>
  </si>
  <si>
    <t>2026-01-28</t>
  </si>
  <si>
    <t>Excel-native Monte Carlo via Data Tables</t>
  </si>
  <si>
    <t>1.0</t>
  </si>
  <si>
    <t>2025-12-01</t>
  </si>
  <si>
    <t>Initial Python-based model</t>
  </si>
  <si>
    <t>Input Traceability Map</t>
  </si>
  <si>
    <t>Shows which calculation sheets directly reference each input</t>
  </si>
  <si>
    <t>Input Name</t>
  </si>
  <si>
    <t>Source Sheet</t>
  </si>
  <si>
    <t>Referenced By</t>
  </si>
  <si>
    <t>Initial_NAFC</t>
  </si>
  <si>
    <t>Target_NAFC</t>
  </si>
  <si>
    <t>Rapid_Phase_Rate</t>
  </si>
  <si>
    <t>Slow_Phase_Rate</t>
  </si>
  <si>
    <t>Rapid_Phase_Duration</t>
  </si>
  <si>
    <t>Recirculation_Cycle</t>
  </si>
  <si>
    <t>Season_Length</t>
  </si>
  <si>
    <t>8_Calc_Timeline, 13_Calc_Costs, 14_Calc_Sim</t>
  </si>
  <si>
    <t>LearningCurve_Mult</t>
  </si>
  <si>
    <t>(range - see source sheet)</t>
  </si>
  <si>
    <t>Tri_Season_Extension_Days_Min</t>
  </si>
  <si>
    <t>Tri_Season_Extension_Days_Mode</t>
  </si>
  <si>
    <t>Tri_Season_Extension_Days_Max</t>
  </si>
  <si>
    <t>Tri_Extension_Value_Per_Day_Min</t>
  </si>
  <si>
    <t>Tri_Extension_Value_Per_Day_Mode</t>
  </si>
  <si>
    <t>Tri_Extension_Value_Per_Day_Max</t>
  </si>
  <si>
    <t>Tri_Interventions_Avoided_Min</t>
  </si>
  <si>
    <t>Tri_Interventions_Avoided_Mode</t>
  </si>
  <si>
    <t>Tri_Interventions_Avoided_Max</t>
  </si>
  <si>
    <t>Tri_Treatment_Rate_Factor_Min</t>
  </si>
  <si>
    <t>Tri_Treatment_Rate_Factor_Mode</t>
  </si>
  <si>
    <t>Tri_Treatment_Rate_Factor_Max</t>
  </si>
  <si>
    <t>Beta_Efficiency_Gain_Alpha</t>
  </si>
  <si>
    <t>Beta_Efficiency_Gain_Beta</t>
  </si>
  <si>
    <t>Beta_Efficiency_Gain_Min</t>
  </si>
  <si>
    <t>Beta_Efficiency_Gain_Max</t>
  </si>
  <si>
    <t>Eff_Rapid_Rate</t>
  </si>
  <si>
    <t>Eff_Slow_Rate</t>
  </si>
  <si>
    <t>NAFC_After_Rapid</t>
  </si>
  <si>
    <t>Days_to_Compliance</t>
  </si>
  <si>
    <t>8_Calc_Timeline, 14_Calc_Sim</t>
  </si>
  <si>
    <t>Timeline_LearningMult</t>
  </si>
  <si>
    <t>Timeline_DiscountFactor</t>
  </si>
  <si>
    <t>Summary</t>
  </si>
  <si>
    <t>Total inputs tracked: 30</t>
  </si>
  <si>
    <t>Registry entries: 28</t>
  </si>
  <si>
    <t>Note:</t>
  </si>
  <si>
    <t>'Referenced By' shows direct formula references only,</t>
  </si>
  <si>
    <t>not downstream dependencies. The verify_traceability()</t>
  </si>
  <si>
    <t>function validates this registry against actual formulas.</t>
  </si>
  <si>
    <t>Model Assumptions (Single Source of Truth)</t>
  </si>
  <si>
    <t>A. Timing Parameters</t>
  </si>
  <si>
    <t>Treatment season timing that determines the operational window for wetland treatment.</t>
  </si>
  <si>
    <t>Define the active treatment period for financial projections</t>
  </si>
  <si>
    <t>- Treatment season aligned with Alberta weather patterns (May-September)
- Season length directly impacts annual value capture potential</t>
  </si>
  <si>
    <t>Standard Alberta treatment wetland operational calendar</t>
  </si>
  <si>
    <t>tbl_Seasonality, tbl_Timeline</t>
  </si>
  <si>
    <t>Unit</t>
  </si>
  <si>
    <t>Notes</t>
  </si>
  <si>
    <t>Season_Start_Month</t>
  </si>
  <si>
    <t>month</t>
  </si>
  <si>
    <t>May</t>
  </si>
  <si>
    <t>Season_Start_Day</t>
  </si>
  <si>
    <t>day</t>
  </si>
  <si>
    <t>Mid-May</t>
  </si>
  <si>
    <t>Season_End_Month</t>
  </si>
  <si>
    <t>September</t>
  </si>
  <si>
    <t>Season_End_Day</t>
  </si>
  <si>
    <t>Mid-September</t>
  </si>
  <si>
    <t>Treatment_Days</t>
  </si>
  <si>
    <t>days</t>
  </si>
  <si>
    <t>Active season length</t>
  </si>
  <si>
    <t>Seasonality Index</t>
  </si>
  <si>
    <t>Monthly activity multipliers reflecting natural treatment capacity variation across the season.</t>
  </si>
  <si>
    <t>Weight value calculations by month based on treatment capacity patterns</t>
  </si>
  <si>
    <t>- Peak activity in June-July matches optimal treatment temperatures
- Ramp-up in May and decline in September reflect shoulder seasons</t>
  </si>
  <si>
    <t>Kearl pilot operational data patterns</t>
  </si>
  <si>
    <t>tbl_Timing, tbl_Timeline</t>
  </si>
  <si>
    <t>Month</t>
  </si>
  <si>
    <t>Month_Num</t>
  </si>
  <si>
    <t>Multiplier</t>
  </si>
  <si>
    <t>Activity</t>
  </si>
  <si>
    <t>Ramp-up</t>
  </si>
  <si>
    <t>June</t>
  </si>
  <si>
    <t>Peak</t>
  </si>
  <si>
    <t>July</t>
  </si>
  <si>
    <t>August</t>
  </si>
  <si>
    <t>Slight decline</t>
  </si>
  <si>
    <t>Decline</t>
  </si>
  <si>
    <t>B. Site Configuration</t>
  </si>
  <si>
    <t>Physical wetland parameters that define treatment capacity and value per unit.</t>
  </si>
  <si>
    <t>Establish the operational scale for all calculations</t>
  </si>
  <si>
    <t>- Standard 1.0 ha design based on Kearl pilot scaling
- HLR of 0.05 m3/m2/day is conservative for constructed wetlands</t>
  </si>
  <si>
    <t>Kearl pilot scaling (0.76 ha) extrapolated to standard design</t>
  </si>
  <si>
    <t>tbl_TreatmentKinetics</t>
  </si>
  <si>
    <t>Source</t>
  </si>
  <si>
    <t>WetlandAreaHa</t>
  </si>
  <si>
    <t>ha</t>
  </si>
  <si>
    <t>Standard design (Kearl pilot = 0.76 ha)</t>
  </si>
  <si>
    <t>TreatmentCells</t>
  </si>
  <si>
    <t>count</t>
  </si>
  <si>
    <t>Multi-cell design</t>
  </si>
  <si>
    <t>AnnualThroughputM3</t>
  </si>
  <si>
    <t>m3/yr</t>
  </si>
  <si>
    <t>HLR = 0.05 m3/m2/day</t>
  </si>
  <si>
    <t>ValuePerM3</t>
  </si>
  <si>
    <t>$/m3</t>
  </si>
  <si>
    <t>$250K/yr / 50K m3/yr (Section 6)</t>
  </si>
  <si>
    <t>C. Cost Parameters</t>
  </si>
  <si>
    <t>Operational cost assumptions for labor, penalties, and downtime.</t>
  </si>
  <si>
    <t>Enable cost-benefit calculations for testing options</t>
  </si>
  <si>
    <t>- Labor costs include all direct operational expenses
- Regulatory penalty reflects typical EPEA violation costs</t>
  </si>
  <si>
    <t>Industry estimates from Financial Model Framework v2.1</t>
  </si>
  <si>
    <t>tbl_CostCalc</t>
  </si>
  <si>
    <t>LaborPerDay</t>
  </si>
  <si>
    <t>$/day</t>
  </si>
  <si>
    <t>RegulatoryPenalty</t>
  </si>
  <si>
    <t>$</t>
  </si>
  <si>
    <t>DowntimeCostPerDay</t>
  </si>
  <si>
    <t>D. Learning Curve</t>
  </si>
  <si>
    <t>Year-over-year efficiency multipliers reflecting operational maturity progression.</t>
  </si>
  <si>
    <t>Discount early-year value to account for pilot learning and optimization</t>
  </si>
  <si>
    <t>- Year 1 at 50% reflects pilot learning phase
- Full maturity (100%) achieved by Year 3</t>
  </si>
  <si>
    <t>Standard industrial learning curve for new process technology</t>
  </si>
  <si>
    <t>tbl_Timeline, tbl_GatedValues</t>
  </si>
  <si>
    <t>Year</t>
  </si>
  <si>
    <t>Pilot learning</t>
  </si>
  <si>
    <t>Initial optimization</t>
  </si>
  <si>
    <t>Full maturity</t>
  </si>
  <si>
    <t>Steady state</t>
  </si>
  <si>
    <t>E. Test Options</t>
  </si>
  <si>
    <t>Testing method specifications including frequency, cost, and result latency.</t>
  </si>
  <si>
    <t>Compare HRMS lab testing vs real-time biosensor monitoring approaches</t>
  </si>
  <si>
    <t>- HRMS costs include lab fees and sample logistics
- Biosensor costs assume deployed hardware and consumables
- Latency includes sample processing and reporting time</t>
  </si>
  <si>
    <t>HRMS: Commercial lab quotes; Biosensor: Luminous device specifications</t>
  </si>
  <si>
    <t>tbl_LatencyGating, tbl_CostCalc</t>
  </si>
  <si>
    <t>Option</t>
  </si>
  <si>
    <t>Method</t>
  </si>
  <si>
    <t>Interval</t>
  </si>
  <si>
    <t>Points</t>
  </si>
  <si>
    <t>Cost_Per_Test</t>
  </si>
  <si>
    <t>Latency_Days</t>
  </si>
  <si>
    <t>Monthly_HRMS</t>
  </si>
  <si>
    <t>Weekly_HRMS</t>
  </si>
  <si>
    <t>Biosensor</t>
  </si>
  <si>
    <t>Latency Gating (Calculated)</t>
  </si>
  <si>
    <t>Calculated gate status showing which testing options can capture each value scenario.</t>
  </si>
  <si>
    <t>Determine ENABLED/BLOCKED status based on latency vs required response time</t>
  </si>
  <si>
    <t>- ENABLED if testing latency &lt;= scenario required response days
- BLOCKED if testing latency &gt; scenario required response days
- Gates determine whether value can be captured</t>
  </si>
  <si>
    <t>Calculated from tbl_TestOptions latency vs tbl_ValueScenarios requirements</t>
  </si>
  <si>
    <t>tbl_TestOptions, tbl_ValueScenarios, tbl_GatedValues</t>
  </si>
  <si>
    <t>S1_Gate</t>
  </si>
  <si>
    <t>S2_Gate</t>
  </si>
  <si>
    <t>S3_Gate</t>
  </si>
  <si>
    <t>S4_Gate</t>
  </si>
  <si>
    <t>F. VALIDATION LISTS</t>
  </si>
  <si>
    <t>Testing_Options</t>
  </si>
  <si>
    <t>Scenarios</t>
  </si>
  <si>
    <t>Conservative</t>
  </si>
  <si>
    <t>Optimistic</t>
  </si>
  <si>
    <t>G. MC ANCHOR</t>
  </si>
  <si>
    <t>MC_Anchor --&gt;</t>
  </si>
  <si>
    <t>H. Treatment Kinetics</t>
  </si>
  <si>
    <t>NAFC removal rate parameters from Kearl 2022 pilot field data.</t>
  </si>
  <si>
    <t>Model treatment progression and time-to-compliance calculations</t>
  </si>
  <si>
    <t>- Biphasic removal: rapid initial phase (Days 0-15) then slower steady state
- Rates calibrated from Vander Meulen &amp; Headley (2024) GROW presentation</t>
  </si>
  <si>
    <t>Kearl 2022 pilot data - Vander Meulen &amp; Headley GROW presentation</t>
  </si>
  <si>
    <t>tbl_ToxicityMilestones, tbl_Stochastic</t>
  </si>
  <si>
    <t>mg/L</t>
  </si>
  <si>
    <t>Kearl 2022 Day 0 concentration</t>
  </si>
  <si>
    <t>Regulatory threshold for non-toxicity</t>
  </si>
  <si>
    <t>mg/L/day</t>
  </si>
  <si>
    <t>Kearl Days 0-15 (R^2=0.43)</t>
  </si>
  <si>
    <t>Kearl Days 30-69 (R^2=0.50)</t>
  </si>
  <si>
    <t>Duration of rapid removal phase</t>
  </si>
  <si>
    <t>Standard wetland recirculation</t>
  </si>
  <si>
    <t>System_Capacity</t>
  </si>
  <si>
    <t>m3</t>
  </si>
  <si>
    <t>Kearl 4-bay system volume</t>
  </si>
  <si>
    <t>I. Toxicity Milestones</t>
  </si>
  <si>
    <t>Fathead minnow embryo survival endpoints marking treatment progress toward non-toxicity.</t>
  </si>
  <si>
    <t>Define compliance milestones for treatment effectiveness tracking</t>
  </si>
  <si>
    <t>- LC50 at Day 14 marks start of toxicity reduction
- Non-toxic threshold (&gt;90% survival) typically achieved by Day 42</t>
  </si>
  <si>
    <t>Parrott Lab (Burlington) fathead minnow embryo bioassays</t>
  </si>
  <si>
    <t>Milestone</t>
  </si>
  <si>
    <t>Days</t>
  </si>
  <si>
    <t>Survival</t>
  </si>
  <si>
    <t>Day_LC50</t>
  </si>
  <si>
    <t>50%</t>
  </si>
  <si>
    <t>1 recirculation cycle - LC50 threshold</t>
  </si>
  <si>
    <t>Day_80_Survival</t>
  </si>
  <si>
    <t>80-90%</t>
  </si>
  <si>
    <t>2 recirculation cycles</t>
  </si>
  <si>
    <t>Day_Nontoxic</t>
  </si>
  <si>
    <t>&gt;90%</t>
  </si>
  <si>
    <t>3 cycles - equivalent to negative control</t>
  </si>
  <si>
    <t>Environmental Driver Profiles</t>
  </si>
  <si>
    <t>Environmental Drivers</t>
  </si>
  <si>
    <t>Monthly profiles for key environmental variables affecting treatment kinetics.
Temperature drives Q10 rate modifier (rates double per 10C above 20C).
UV intensity affects photodegradation rates.
Dissolved oxygen controls aerobic biodegradation.
Nutrient availability influences microbial activity.
Bioavailability accounts for sorption and binding effects.</t>
  </si>
  <si>
    <t>Variable</t>
  </si>
  <si>
    <t>Jun</t>
  </si>
  <si>
    <t>Jul</t>
  </si>
  <si>
    <t>Aug</t>
  </si>
  <si>
    <t>Sep</t>
  </si>
  <si>
    <t>Temp_Water</t>
  </si>
  <si>
    <t>C</t>
  </si>
  <si>
    <t>Water temperature - Q10 driver</t>
  </si>
  <si>
    <t>UV_Relative</t>
  </si>
  <si>
    <t>0-1</t>
  </si>
  <si>
    <t>Relative UV intensity</t>
  </si>
  <si>
    <t>DO_Typical</t>
  </si>
  <si>
    <t>Dissolved oxygen</t>
  </si>
  <si>
    <t>Nutrient_Index</t>
  </si>
  <si>
    <t>Nutrient availability</t>
  </si>
  <si>
    <t>Bioavail_Index</t>
  </si>
  <si>
    <t>Bioavailability factor</t>
  </si>
  <si>
    <t>Ionic Parameters (Compliance Gates)</t>
  </si>
  <si>
    <t>Min</t>
  </si>
  <si>
    <t>Mode</t>
  </si>
  <si>
    <t>Max</t>
  </si>
  <si>
    <t>Threshold</t>
  </si>
  <si>
    <t>Direction</t>
  </si>
  <si>
    <t>Chloride</t>
  </si>
  <si>
    <t>below</t>
  </si>
  <si>
    <t>Aquatic life threshold</t>
  </si>
  <si>
    <t>SAR</t>
  </si>
  <si>
    <t>ratio</t>
  </si>
  <si>
    <t>Land application limit</t>
  </si>
  <si>
    <t>Sulfate</t>
  </si>
  <si>
    <t>Process water indicator</t>
  </si>
  <si>
    <t>DO_Compliance</t>
  </si>
  <si>
    <t>above</t>
  </si>
  <si>
    <t>Minimum for discharge</t>
  </si>
  <si>
    <t>Current Site Profile:</t>
  </si>
  <si>
    <t>Kearl</t>
  </si>
  <si>
    <t>(from config/sites/kearl.yaml)</t>
  </si>
  <si>
    <t>Value Scenario Definitions</t>
  </si>
  <si>
    <t>Four value streams enabled by biosensor monitoring that HRMS testing cannot capture due to latency constraints.</t>
  </si>
  <si>
    <t>Quantify the annual financial benefit of each operational improvement enabled by real-time monitoring</t>
  </si>
  <si>
    <t>- Values are additive (a single biosensor deployment captures all four simultaneously)
- Base values calibrated from $250K/year total operational value allocation
- Required response days based on operational decision-making windows
- HRMS 42-day latency blocks all scenarios; biosensor 1-day latency enables all</t>
  </si>
  <si>
    <t>Financial Model Framework v2.1 - operational value allocation</t>
  </si>
  <si>
    <t>tbl_ModelScenarios, tbl_GatedValues, tbl_LatencyGating</t>
  </si>
  <si>
    <t>ID</t>
  </si>
  <si>
    <t>Name</t>
  </si>
  <si>
    <t>Base_Value</t>
  </si>
  <si>
    <t>Required_Response_Days</t>
  </si>
  <si>
    <t>S1</t>
  </si>
  <si>
    <t>Season Extension</t>
  </si>
  <si>
    <t>Temperature-based vs calendar shutdown</t>
  </si>
  <si>
    <t>S2</t>
  </si>
  <si>
    <t>Intervention Avoidance</t>
  </si>
  <si>
    <t>Prevented false-positive interventions</t>
  </si>
  <si>
    <t>S3</t>
  </si>
  <si>
    <t>Spatial Routing</t>
  </si>
  <si>
    <t>Route to high-performing cells</t>
  </si>
  <si>
    <t>S4</t>
  </si>
  <si>
    <t>Early Detection</t>
  </si>
  <si>
    <t>Reduced bio-assay costs</t>
  </si>
  <si>
    <t>Model Scenarios</t>
  </si>
  <si>
    <t>Parameter adjustments for conservative, base, and optimistic financial projections.</t>
  </si>
  <si>
    <t>Enable sensitivity analysis by adjusting discount rate, growth rate, and risk factors</t>
  </si>
  <si>
    <t>- Base scenario uses unadjusted parameters from model inputs
- Conservative adds higher discount (+0.4%), lower growth (-2%), higher risk (+10%)
- Optimistic uses lower discount (-0.3%), higher growth (+1%), lower risk (-10%)</t>
  </si>
  <si>
    <t>Standard financial modeling practice - scenario analysis parameters</t>
  </si>
  <si>
    <t>tbl_ValueScenarios, tbl_Sensitivity</t>
  </si>
  <si>
    <t>Discount_Adj</t>
  </si>
  <si>
    <t>Growth_Adj</t>
  </si>
  <si>
    <t>Risk_Adj</t>
  </si>
  <si>
    <t>Monte Carlo Distribution Parameters</t>
  </si>
  <si>
    <t>Triangular Distributions</t>
  </si>
  <si>
    <t>Monte Carlo input parameters using triangular probability distributions for key uncertain variables.</t>
  </si>
  <si>
    <t>Define the uncertainty ranges for stochastic variables that drive value scenario calculations</t>
  </si>
  <si>
    <t>- Triangular distribution selected for interpretability with stakeholders
- Min/Max represent 10th/90th percentile expert estimates, not absolute bounds
- Mode represents the most likely value (base case assumption)
- Variables are assumed independent (no correlation modeled)</t>
  </si>
  <si>
    <t>Expert judgment calibrated against Financial Model Framework v2.1</t>
  </si>
  <si>
    <t>tbl_Stochastic, tbl_GatedValues, tbl_ValueScenarios</t>
  </si>
  <si>
    <t>Units</t>
  </si>
  <si>
    <t>Season_Extension_Days</t>
  </si>
  <si>
    <t>Extension_Value_Per_Day</t>
  </si>
  <si>
    <t>Interventions_Avoided</t>
  </si>
  <si>
    <t>events</t>
  </si>
  <si>
    <t>Treatment_Rate_Factor</t>
  </si>
  <si>
    <t>multiplier</t>
  </si>
  <si>
    <t>Beta Distributions</t>
  </si>
  <si>
    <t>Monte Carlo input parameters using beta distributions for bounded percentage variables.</t>
  </si>
  <si>
    <t>Model uncertainty in efficiency and probability parameters that must stay within 0-100% bounds</t>
  </si>
  <si>
    <t>- Beta distribution ensures values stay within specified bounds
- Alpha/Beta parameters shape the distribution skewness
- Used for variables that represent percentages or bounded factors</t>
  </si>
  <si>
    <t>Expert judgment for efficiency and probability estimates</t>
  </si>
  <si>
    <t>tbl_Triangular, tbl_Stochastic</t>
  </si>
  <si>
    <t>Alpha</t>
  </si>
  <si>
    <t>Beta</t>
  </si>
  <si>
    <t>Efficiency_Gain</t>
  </si>
  <si>
    <t>%</t>
  </si>
  <si>
    <t>Value Per M3 Sensitivity Frames</t>
  </si>
  <si>
    <t>Alternative value framing approaches for sensitivity analysis and stakeholder communication.</t>
  </si>
  <si>
    <t>Provide multiple perspectives on value per cubic meter of treated water</t>
  </si>
  <si>
    <t>- Operational frame: Direct operational cost savings
- Avoided Treatment frame: Value of alternatives not needed
- ARO Liability frame: Asset retirement obligation cost reduction (Zhang 2026)
- Values are illustrative ranges for framing discussions</t>
  </si>
  <si>
    <t>Zhang (2026) analysis for ARO frame; operational estimates for others</t>
  </si>
  <si>
    <t>tbl_ValueScenarios, tbl_KPIs</t>
  </si>
  <si>
    <t>Frame</t>
  </si>
  <si>
    <t>Low</t>
  </si>
  <si>
    <t>High</t>
  </si>
  <si>
    <t>Context</t>
  </si>
  <si>
    <t>Operational</t>
  </si>
  <si>
    <t>Direct operational benefit</t>
  </si>
  <si>
    <t>Avoided Treatment</t>
  </si>
  <si>
    <t>Alternative treatment costs</t>
  </si>
  <si>
    <t>ARO Liability</t>
  </si>
  <si>
    <t>Zhang (2026) analysis</t>
  </si>
  <si>
    <t>Projection Timeline</t>
  </si>
  <si>
    <t>Understanding the Timeline</t>
  </si>
  <si>
    <t>This sheet generates the projection timeline used throughout the model.
Key outputs:
- Year numbers (1-5) based on Projection_Years setting
- Calendar years starting from Base_Year
- Month indices for seasonal calculations
The timeline drives all time-dependent calculations in sheets 8-15.
Changing Projection_Years or Base_Year in 1_TOC updates this timeline.</t>
  </si>
  <si>
    <t>Year-by-year projection timeline with seasonal month breakdown and learning curve factors.</t>
  </si>
  <si>
    <t>Generate the time dimension for all financial calculations</t>
  </si>
  <si>
    <t>- Projection starts at Base_Year and extends for Projection_Years
- Each year contains 12 months with season flags
- Learning curve multiplier applied from tbl_LearningCurve</t>
  </si>
  <si>
    <t>Generated from 1_TOC control parameters</t>
  </si>
  <si>
    <t>tbl_LearningCurve, tbl_Seasonality, tbl_Annual</t>
  </si>
  <si>
    <t>Year_Index</t>
  </si>
  <si>
    <t>Calendar_Year</t>
  </si>
  <si>
    <t>Discount_Factor</t>
  </si>
  <si>
    <t>Learning_Mult</t>
  </si>
  <si>
    <t>Treatment Kinetics (Kearl 2022)</t>
  </si>
  <si>
    <t>Source: Vander Meulen &amp; Headley (2024) GROW</t>
  </si>
  <si>
    <t>Metric</t>
  </si>
  <si>
    <t>Formula</t>
  </si>
  <si>
    <t>'=Rapid_Phase_Rate * Stoch_TreatmentRate</t>
  </si>
  <si>
    <t>'=Slow_Phase_Rate * Stoch_TreatmentRate</t>
  </si>
  <si>
    <t>'=MAX(0, Initial - Rate * Duration)</t>
  </si>
  <si>
    <t>Two-phase calculation</t>
  </si>
  <si>
    <t>Circulation_Cycles</t>
  </si>
  <si>
    <t>'=CEILING(Days / Cycle, 1)</t>
  </si>
  <si>
    <t>cycles</t>
  </si>
  <si>
    <t>Treatment_Efficiency</t>
  </si>
  <si>
    <t>'=(Initial - Target) / Initial</t>
  </si>
  <si>
    <t>Compliance_Status</t>
  </si>
  <si>
    <t>Achievable within season?</t>
  </si>
  <si>
    <t>status</t>
  </si>
  <si>
    <t>Treatment Kinetics Modifiers</t>
  </si>
  <si>
    <t>Kinetics Cascade</t>
  </si>
  <si>
    <t>Environmental rate modifiers cascade to produce Effective_Rate.
Q10: Temperature coefficient (rate doubles per 10C above reference).
UV: Photodegradation modifier (reduced by turbidity).
DO: Aerobic biodegradation modifier (full above 6.5 mg/L).
Nutrient/Bioavail: Substrate availability modifiers.</t>
  </si>
  <si>
    <t>Modifier</t>
  </si>
  <si>
    <t>Q10_Factor</t>
  </si>
  <si>
    <t>T=20C gives 1.0, T=30C gives 2.0</t>
  </si>
  <si>
    <t>UV_Modifier</t>
  </si>
  <si>
    <t>UV intensity adjusted for turbidity</t>
  </si>
  <si>
    <t>DO_Modifier</t>
  </si>
  <si>
    <t>Full rate above 6.5 mg/L</t>
  </si>
  <si>
    <t>Nutrient_Modifier</t>
  </si>
  <si>
    <t>Nutrient availability factor</t>
  </si>
  <si>
    <t>Bioavail_Modifier</t>
  </si>
  <si>
    <t>Adjusted for clay sorption</t>
  </si>
  <si>
    <t>Combined Rate Calculation</t>
  </si>
  <si>
    <t>Effective_Rate</t>
  </si>
  <si>
    <t>Combined effective treatment rate</t>
  </si>
  <si>
    <t>Rate_vs_Baseline</t>
  </si>
  <si>
    <t>Effective vs baseline rate</t>
  </si>
  <si>
    <t>Stochastic Variables</t>
  </si>
  <si>
    <t>(Press F9 to recalculate random draws)</t>
  </si>
  <si>
    <t>Monte Carlo Random Variables</t>
  </si>
  <si>
    <t>This sheet generates random variables for Monte Carlo simulation.
Each variable uses a triangular distribution defined in 5_ServiceModels:
- Min: Worst-case value
- Mode: Most likely value
- Max: Best-case value
The RAND() functions recalculate when you press F9 or Ctrl+Alt+F9.
Sheet 10_Calc_Sim captures 1000 iterations via Excel Data Tables.
Important: These values change on every recalculation. The simulation
statistics (P10, P50, P90) in the Dashboard are calculated from the
1000 captured iterations, not from individual cell values.</t>
  </si>
  <si>
    <t>Random variable generation using triangular distributions for Monte Carlo simulation.</t>
  </si>
  <si>
    <t>Generate stochastic multipliers that vary across simulation iterations</t>
  </si>
  <si>
    <t>- Uses triangular distribution parameters from 5_ServiceModels
- RAND() functions recalculate on spreadsheet refresh
- Values captured by Data Table in 10_Calc_Sim for 1000 iterations</t>
  </si>
  <si>
    <t>Distribution parameters from tbl_Triangular and tbl_Beta</t>
  </si>
  <si>
    <t>tbl_Triangular, tbl_Beta, tbl_GatedValues</t>
  </si>
  <si>
    <t>Random_U</t>
  </si>
  <si>
    <t>Realized_Value</t>
  </si>
  <si>
    <t>Season_Extension</t>
  </si>
  <si>
    <t>Extension_Value</t>
  </si>
  <si>
    <t>Compliance Gate Matrix</t>
  </si>
  <si>
    <t>Compliance Gates</t>
  </si>
  <si>
    <t>13-variable compliance gates for water release qualification.
Each gate returns 1 (PASS) or 0 (FAIL) as numeric value.
ComplianceGate = MIN(all gates) - 0 if ANY gate fails.
Numeric gates enable: value gating, fractional compliance (future).
Gate thresholds defined in 5_EnvironmentalDrivers.</t>
  </si>
  <si>
    <t>Gate</t>
  </si>
  <si>
    <t>Status</t>
  </si>
  <si>
    <t>Toxicity</t>
  </si>
  <si>
    <t>NAFC &lt;= Target</t>
  </si>
  <si>
    <t>NAFC toxicity target</t>
  </si>
  <si>
    <t>&lt; 230 mg/L</t>
  </si>
  <si>
    <t>Aquatic life protection</t>
  </si>
  <si>
    <t>&lt; 4.0</t>
  </si>
  <si>
    <t>Land application</t>
  </si>
  <si>
    <t>DO</t>
  </si>
  <si>
    <t>&gt;= 6.5 mg/L</t>
  </si>
  <si>
    <t>Minimum oxygen</t>
  </si>
  <si>
    <t>pH_Low</t>
  </si>
  <si>
    <t>&gt; 6.5</t>
  </si>
  <si>
    <t>pH lower limit</t>
  </si>
  <si>
    <t>pH_High</t>
  </si>
  <si>
    <t>&lt; 8.5</t>
  </si>
  <si>
    <t>pH upper limit</t>
  </si>
  <si>
    <t>&lt; 500 mg/L</t>
  </si>
  <si>
    <t>Temperature</t>
  </si>
  <si>
    <t>&lt; 25 C</t>
  </si>
  <si>
    <t>Thermal discharge</t>
  </si>
  <si>
    <t>&lt; Target</t>
  </si>
  <si>
    <t>Treatment complete</t>
  </si>
  <si>
    <t>Turbidity</t>
  </si>
  <si>
    <t>&lt; 100 NTU</t>
  </si>
  <si>
    <t>Sediment control</t>
  </si>
  <si>
    <t>Oil_Sheen</t>
  </si>
  <si>
    <t>None visible</t>
  </si>
  <si>
    <t>absent</t>
  </si>
  <si>
    <t>Visual inspection</t>
  </si>
  <si>
    <t>Odor</t>
  </si>
  <si>
    <t>None detected</t>
  </si>
  <si>
    <t>Sensory inspection</t>
  </si>
  <si>
    <t>Foam</t>
  </si>
  <si>
    <t>None persistent</t>
  </si>
  <si>
    <t>Surface condition</t>
  </si>
  <si>
    <t>Master Gate Status</t>
  </si>
  <si>
    <t>ComplianceGate</t>
  </si>
  <si>
    <t>Gates Passing</t>
  </si>
  <si>
    <t>of 13</t>
  </si>
  <si>
    <t>Gates Failing</t>
  </si>
  <si>
    <t>Gated Value Calculations</t>
  </si>
  <si>
    <t>Understanding Gated Value Calculations</t>
  </si>
  <si>
    <t>This sheet calculates value that HRMS testing CANNOT capture due to its
42-day latency. Each scenario requires a response faster than HRMS allows.
The "Gating" Logic:
- HRMS has 42-day turnaround from sample to results
- All four scenarios require decisions within 3-14 days
- Therefore, HRMS is always BLOCKED; Biosensor (1-day) is ENABLED
Value Calculation:
- Gated_Value = Base_Value x Stoch_Mult (if ENABLED)
- Gated_Value = $0 (if BLOCKED)
Since the selected Testing_Option is Biosensor (1-day latency), all
scenarios are ENABLED and contribute value. If HRMS were selected,
all would be BLOCKED and total value would be $0.</t>
  </si>
  <si>
    <t>Scenario values after applying latency gating logic and stochastic multipliers.</t>
  </si>
  <si>
    <t>Calculate the actual value captured based on testing option's ability to meet response time requirements</t>
  </si>
  <si>
    <t>- Gate status determined by comparing testing latency to required response time
- ENABLED scenarios: Gated_Value = Base_Value x Stoch_Mult
- BLOCKED scenarios: Gated_Value = $0 (value cannot be captured)
- Stochastic multipliers vary each Monte Carlo iteration</t>
  </si>
  <si>
    <t>Calculated from tbl_ValueScenarios, tbl_LatencyGating, and tbl_Stochastic</t>
  </si>
  <si>
    <t>tbl_ValueScenarios, tbl_LatencyGating, tbl_Stochastic, tbl_ScenarioBreakdown</t>
  </si>
  <si>
    <t>Gate_Status</t>
  </si>
  <si>
    <t>Stoch_Mult</t>
  </si>
  <si>
    <t>Gated_Value</t>
  </si>
  <si>
    <t>S1_Season_Extension</t>
  </si>
  <si>
    <t>S2_Intervention_Avoidance</t>
  </si>
  <si>
    <t>S3_Spatial_Routing</t>
  </si>
  <si>
    <t>S4_Early_Detection</t>
  </si>
  <si>
    <t>Total_Gross_Value</t>
  </si>
  <si>
    <t>Compliance Gate</t>
  </si>
  <si>
    <t>AdjustedValue</t>
  </si>
  <si>
    <t>Note: AdjustedValue = Gross_Value × ComplianceGate</t>
  </si>
  <si>
    <t>If ANY compliance gate fails (13 gates), value becomes $0</t>
  </si>
  <si>
    <t>Cost Calculations</t>
  </si>
  <si>
    <t>Understanding Cost Calculations</t>
  </si>
  <si>
    <t>This sheet calculates the annual cost of the selected testing approach.
Cost Components:
- Testing frequency: How often samples are taken (daily vs weekly vs monthly)
- Sample points: Number of locations monitored per test event
- Cost per test: Lab analysis cost for HRMS or sensor cost for Biosensor
- Season length: Number of active treatment days per year
Formula: Annual_Cost = (Season_Days / Test_Interval) x Sample_Points x Cost_Per_Test
The testing option parameters come from 3_Assumptions (Test Options table).
Biosensor has higher frequency but much lower cost per test, resulting
in comparable or lower total annual costs with far better data resolution.</t>
  </si>
  <si>
    <t>Cost Calculation</t>
  </si>
  <si>
    <t>Annual testing cost breakdown for the selected monitoring approach.</t>
  </si>
  <si>
    <t>Calculate total cost of testing to include in ROI and NPV calculations</t>
  </si>
  <si>
    <t>- Cost = (Season_Days / Test_Interval) x Sample_Points x Cost_Per_Test
- Parameters looked up from tbl_TestOptions based on selected option</t>
  </si>
  <si>
    <t>Calculated from tbl_TestOptions parameters</t>
  </si>
  <si>
    <t>tbl_TestOptions, tbl_CostParams, tbl_Annual</t>
  </si>
  <si>
    <t>Component</t>
  </si>
  <si>
    <t>Selected_Option</t>
  </si>
  <si>
    <t>Interval_Days</t>
  </si>
  <si>
    <t>INDEX/MATCH</t>
  </si>
  <si>
    <t>Monitoring_Points</t>
  </si>
  <si>
    <t>Events_Per_Season</t>
  </si>
  <si>
    <t>Season_Length / Interval</t>
  </si>
  <si>
    <t>Total_Tests</t>
  </si>
  <si>
    <t>Events * Points</t>
  </si>
  <si>
    <t>Season_Testing_Cost</t>
  </si>
  <si>
    <t>Total_Tests * Cost_Per_Test</t>
  </si>
  <si>
    <t>Monte Carlo Simulation (1000 iterations)</t>
  </si>
  <si>
    <t>Running the Monte Carlo Simulation</t>
  </si>
  <si>
    <t>This sheet captures 1000 iterations using Excel's Data Table feature.
SETUP INSTRUCTIONS:
1. Select the data range A5:I1005 (headers + 1000 rows)
2. Go to Data &gt; What-If Analysis &gt; Data Table
3. Leave "Row input cell" blank
4. For "Column input cell" enter: $K$1 (any blank cell on this sheet)
5. Click OK
HOW IT WORKS:
- Excel recalculates the model 1000 times
- Each row captures one iteration's outputs (NPV, scenario values, costs)
- The Data Table forces RAND() functions to regenerate each iteration
- Results are stored as values, not formulas
RECALCULATING:
- Press Ctrl+Alt+F9 to force full recalculation
- This regenerates all 1000 iterations (may take several seconds)
- Standard F9 only recalculates changed cells
OUTPUT STATISTICS:
- Expected NPV: Mean of 1000 iterations
- P10/P50/P90: Percentile values for confidence intervals
- Prob(NPV&gt;0): Percentage of iterations with positive NPV</t>
  </si>
  <si>
    <t>Select A8:I1008 &gt; Data &gt; What-If Analysis &gt; Data Table</t>
  </si>
  <si>
    <t>Column Input Cell: $K$1 (blank cell on this sheet)</t>
  </si>
  <si>
    <t>Iteration</t>
  </si>
  <si>
    <t>Cost</t>
  </si>
  <si>
    <t>Net</t>
  </si>
  <si>
    <t>Monte Carlo Statistics</t>
  </si>
  <si>
    <t>Expected NPV</t>
  </si>
  <si>
    <t>P10 NPV</t>
  </si>
  <si>
    <t>P50 NPV (Median)</t>
  </si>
  <si>
    <t>P90 NPV</t>
  </si>
  <si>
    <t>StdDev</t>
  </si>
  <si>
    <t>Prob(NPV&gt;0)</t>
  </si>
  <si>
    <t>Treatment Kinetics Statistics</t>
  </si>
  <si>
    <t>Expected Days to Compliance</t>
  </si>
  <si>
    <t>P10 Days (optimistic)</t>
  </si>
  <si>
    <t>P50 Days (median)</t>
  </si>
  <si>
    <t>P90 Days (conservative)</t>
  </si>
  <si>
    <t>Prob(Achievable in Season)</t>
  </si>
  <si>
    <t>Monthly P&amp;L (Placeholder)</t>
  </si>
  <si>
    <t>Monthly P&amp;L View</t>
  </si>
  <si>
    <t>This sheet is a placeholder for future monthly P&amp;L projections.
CURRENT STATUS: Not implemented in this version.
FUTURE USE CASES:
- Monthly cash flow timing for working capital analysis
- Seasonal revenue recognition patterns
- Monthly cost accruals
- Intra-year variance analysis
The model currently uses annual projections (12_PL_Annual) as the
primary financial view. Monthly detail would add complexity without
significant benefit for the current valuation use case.
If monthly detail is needed, the structure should mirror 12_PL_Annual
with columns for each month and rows for:
- Gross Value by scenario
- Testing costs
- Operating expenses
- Net monthly benefit</t>
  </si>
  <si>
    <t>Annual Projections</t>
  </si>
  <si>
    <t>Annual Financial Projections</t>
  </si>
  <si>
    <t>This sheet projects annual value capture over the planning horizon.
KEY CALCULATIONS:
- Gross Value: Sum of gated scenario values from 8_Calc_Value
- Learning Curve: Year 1 at 50%, Year 2 at 75%, Year 3+ at 100%
- Adjusted Value: Gross Value x Learning Curve Multiplier
- Net Value: Adjusted Value - Testing Costs
- NPV: Discounted sum using rate from 1_TOC
LEARNING CURVE RATIONALE:
Year 1 (50%): Pilot learning, process establishment
Year 2 (75%): Initial optimization, expanded coverage
Year 3+ (100%): Full operational maturity, steady state
The learning curve can be adjusted in 3_Assumptions Section D.
Conservative default reflects typical technology adoption patterns.</t>
  </si>
  <si>
    <t>Year-by-year financial projections with learning curve adjustments and NPV calculations.</t>
  </si>
  <si>
    <t>Project multi-year value capture for ROI and NPV analysis</t>
  </si>
  <si>
    <t>- Learning curve applied: Year 1 (50%), Year 2 (75%), Year 3+ (100%)
- Discount rate from 1_TOC applied to all future cash flows
- Testing costs deducted annually based on selected approach</t>
  </si>
  <si>
    <t>Calculated from tbl_GatedValues, tbl_LearningCurve, tbl_CostCalc</t>
  </si>
  <si>
    <t>tbl_GatedValues, tbl_LearningCurve, tbl_CostCalc, tbl_CashFlow</t>
  </si>
  <si>
    <t>S1_Value</t>
  </si>
  <si>
    <t>S2_Value</t>
  </si>
  <si>
    <t>S3_Value</t>
  </si>
  <si>
    <t>S4_Value</t>
  </si>
  <si>
    <t>Gross_Value</t>
  </si>
  <si>
    <t>Costs</t>
  </si>
  <si>
    <t>Net_Annual</t>
  </si>
  <si>
    <t>Discounted</t>
  </si>
  <si>
    <t>Aggregate KPIs</t>
  </si>
  <si>
    <t>NPV_Total</t>
  </si>
  <si>
    <t>Total_Gross_5Yr</t>
  </si>
  <si>
    <t>Total_Net_5Yr</t>
  </si>
  <si>
    <t>Cumulative Cash Flow</t>
  </si>
  <si>
    <t>Cumulative Cash Flow Analysis</t>
  </si>
  <si>
    <t>This sheet tracks cumulative value capture over the projection horizon.
KEY METRICS:
- Cumulative Net: Running total of annual net benefits
- Cumulative NPV: Running total of discounted net benefits
- Payback Point: Year when cumulative value turns positive
USE CASES:
- Determine when investment breaks even
- Assess cash flow timing for capital planning
- Compare cumulative value vs upfront investment
Note: This model assumes no upfront capital investment for the
biosensor system (included in testing costs). For scenarios with
capital expenditure, add an initial investment row and adjust
payback calculations accordingly.</t>
  </si>
  <si>
    <t>Cash Flow Summary</t>
  </si>
  <si>
    <t>Cumulative cash flow and NPV tracking for payback analysis.</t>
  </si>
  <si>
    <t>Track when cumulative value exceeds investment for breakeven analysis</t>
  </si>
  <si>
    <t>- No upfront capital investment assumed (costs included in testing)
- Annual net values from tbl_Annual
- Cumulative NPV used for total project value</t>
  </si>
  <si>
    <t>Calculated from tbl_Annual</t>
  </si>
  <si>
    <t>tbl_Annual, tbl_KPIs</t>
  </si>
  <si>
    <t>Annual_Net</t>
  </si>
  <si>
    <t>Cumulative_Net</t>
  </si>
  <si>
    <t>Cumulative_NPV</t>
  </si>
  <si>
    <t>Unit Economics</t>
  </si>
  <si>
    <t>Per-Cubic-Meter Economics</t>
  </si>
  <si>
    <t>This sheet expresses all values on a per-m3 basis for comparability.
WHY UNIT ECONOMICS MATTER:
- Allows comparison across different site sizes
- Enables scaling estimates to new deployments
- Provides intuitive metrics for operator discussions
- Connects to industry benchmarks (treatment costs, ARO liabilities)
KEY METRICS:
- Value per m3: Total value divided by annual throughput
- Cost per m3: Testing cost divided by throughput
- Net per m3: Value minus cost per unit volume
- NPV per m3: 5-year NPV divided by total 5-year throughput
BENCHMARKS (from 2_Instructions):
- Operational value: $3-8/m3 (this model's output)
- Avoided treatment: $10-30/m3 (alternative treatment costs)
- ARO liability: $21-93/m3 (Zhang 2026 analysis)
The biosensor's value per m3 can be compared against these benchmarks
to understand its contribution relative to the total value stack.</t>
  </si>
  <si>
    <t>Per-cubic-meter economics for cross-site comparability and scaling estimates.</t>
  </si>
  <si>
    <t>Express all values on per-m3 basis for benchmarking and scaling</t>
  </si>
  <si>
    <t>- Annual throughput from tbl_SiteConfig used as denominator
- NPV values divided by 5-year total throughput
- Benchmarks from industry data and Zhang (2026) analysis</t>
  </si>
  <si>
    <t>Calculated from model outputs and 3_Assumptions throughput</t>
  </si>
  <si>
    <t>tbl_SiteConfig, tbl_Annual, tbl_KPIs</t>
  </si>
  <si>
    <t>Annual Throughput</t>
  </si>
  <si>
    <t>From 4_Assumptions</t>
  </si>
  <si>
    <t>Gross Value per Season</t>
  </si>
  <si>
    <t>Sum of S1-S4 (pre-compliance)</t>
  </si>
  <si>
    <t>Compliance-Adjusted Value</t>
  </si>
  <si>
    <t>Gross × ComplianceGate</t>
  </si>
  <si>
    <t>Testing Cost per Season</t>
  </si>
  <si>
    <t>Based on option selected</t>
  </si>
  <si>
    <t>Net Value per Season</t>
  </si>
  <si>
    <t>Adjusted - Testing</t>
  </si>
  <si>
    <t>Value per m3 (Gross)</t>
  </si>
  <si>
    <t>Gross / Throughput</t>
  </si>
  <si>
    <t>Value per m3 (Net)</t>
  </si>
  <si>
    <t>Net / Throughput</t>
  </si>
  <si>
    <t>Cost per m3</t>
  </si>
  <si>
    <t>Testing / Throughput</t>
  </si>
  <si>
    <t>5-Year NPV per m3</t>
  </si>
  <si>
    <t>NPV / (5yr throughput)</t>
  </si>
  <si>
    <t>Breakeven Analysis</t>
  </si>
  <si>
    <t>Testing cost per test:</t>
  </si>
  <si>
    <t>Tests per season:</t>
  </si>
  <si>
    <t>Value per test (net):</t>
  </si>
  <si>
    <t>Sensitivity Analysis</t>
  </si>
  <si>
    <t>Tornado Sensitivity Analysis</t>
  </si>
  <si>
    <t>This sheet shows how NPV changes when individual parameters vary.
METHODOLOGY:
- Each parameter is varied from Low to High while others stay at Base
- NPV is calculated at each extreme
- "Swing" = |NPV_at_High - NPV_at_Low| measures parameter influence
- Parameters are sorted by Swing (largest impact first)
INTERPRETATION:
- Parameters at top of tornado have most influence on outcomes
- Focus validation efforts on high-sensitivity parameters
- Parameters with low swing are less critical to model accuracy
KEY PARAMETERS TESTED:
- Value_Per_M3: Direct impact on operational value
- Annual_Throughput: Volume scaling factor
- Treatment_Rate_Factor: Kinetics uncertainty
- Discount_Rate: Time value of money
- Season_Length: Active treatment period
LIMITATIONS:
- One-at-a-time analysis ignores parameter correlations
- Monte Carlo simulation (10_Calc_Sim) captures joint uncertainty
- Use tornado for directional insight, MC for quantified risk</t>
  </si>
  <si>
    <t>Tornado chart data showing NPV impact when each parameter varies from low to high.</t>
  </si>
  <si>
    <t>Identify which parameters most influence outcomes for validation focus</t>
  </si>
  <si>
    <t>- One-at-a-time analysis: each parameter varied while others at base
- Swing = |NPV_at_High - NPV_at_Low| measures parameter influence
- Parameters sorted by swing (largest impact first)</t>
  </si>
  <si>
    <t>Calculated by evaluating NPV at parameter bounds</t>
  </si>
  <si>
    <t>tbl_Triangular, tbl_SiteConfig, tbl_KPIs</t>
  </si>
  <si>
    <t>NPV_at_Low</t>
  </si>
  <si>
    <t>NPV_at_High</t>
  </si>
  <si>
    <t>Swing</t>
  </si>
  <si>
    <t>Value_Per_M3</t>
  </si>
  <si>
    <t>Wetland_Area</t>
  </si>
  <si>
    <t>Methodology</t>
  </si>
  <si>
    <t>Proportional parameters: NPV scales linearly with parameter ratio (Low/Base, High/Base)</t>
  </si>
  <si>
    <t>Discount Rate: Uses time-value adjustment formula NPV * ((1+Base)/(1+Rate))^2.5</t>
  </si>
  <si>
    <t>Note: These are first-order approximations. For precise sensitivity, use Monte Carlo.</t>
  </si>
  <si>
    <t>Tornado Chart</t>
  </si>
  <si>
    <t>1. Select Parameter and Swing columns (A4:A8, G4:G8)</t>
  </si>
  <si>
    <t>2. Insert -&gt; Chart -&gt; Bar Chart (horizontal)</t>
  </si>
  <si>
    <t>3. Sort data by Swing descending for tornado effect</t>
  </si>
  <si>
    <t>Executive Dashboard</t>
  </si>
  <si>
    <t>Key Results Summary</t>
  </si>
  <si>
    <t>This dashboard presents the key outputs from the Monte Carlo simulation.
PRIMARY METRICS:
- Expected NPV: Mean of 1000 simulation iterations
- P10/P50/P90: Confidence interval bounds
- Probability NPV &gt; 0: Likelihood of positive outcome
INTERPRETATION GUIDE:
- P10 = "Pessimistic but plausible" (10% of outcomes are worse)
- P50 = Median outcome (equally likely to be higher or lower)
- P90 = "Optimistic but plausible" (10% of outcomes are better)
A narrow P10-P90 range indicates low uncertainty.
P10 &gt; 0 means even pessimistic scenarios show positive value.
REFRESH DATA:
Press Ctrl+Alt+F9 to regenerate all 1000 Monte Carlo iterations.
Dashboard values update automatically.</t>
  </si>
  <si>
    <t>Key Performance Indicators</t>
  </si>
  <si>
    <t>Primary Monte Carlo simulation outputs and financial metrics for executive decision-making.</t>
  </si>
  <si>
    <t>Provide at-a-glance summary of biosensor investment value and risk profile</t>
  </si>
  <si>
    <t>- NPV calculated over 5-year horizon with 7% discount rate
- P10/P50/P90 derived from 1000 Monte Carlo iterations
- All metrics assume Daily Biosensor as selected testing option
- Values refresh when Monte Carlo simulation is recalculated</t>
  </si>
  <si>
    <t>Calculated from 10_Calc_Sim Monte Carlo simulation results</t>
  </si>
  <si>
    <t>tbl_ScenarioBreakdown, tbl_Annual, tbl_CashFlow</t>
  </si>
  <si>
    <t>Selected Testing Option</t>
  </si>
  <si>
    <t>Expected NPV (5-Year)</t>
  </si>
  <si>
    <t>Monte Carlo P10</t>
  </si>
  <si>
    <t>Monte Carlo P50</t>
  </si>
  <si>
    <t>Monte Carlo P90</t>
  </si>
  <si>
    <t>Probability NPV &gt; 0</t>
  </si>
  <si>
    <t>Annual Testing Cost</t>
  </si>
  <si>
    <t>Year 1 Gross Value</t>
  </si>
  <si>
    <t>Year 1 Net Value</t>
  </si>
  <si>
    <t>Scenario Value Breakdown</t>
  </si>
  <si>
    <t>Individual scenario contributions to total gated value with gate status.</t>
  </si>
  <si>
    <t>Show which value scenarios are captured by the selected testing option</t>
  </si>
  <si>
    <t>- Gate status determined by testing latency vs required response time
- ENABLED means testing latency allows capturing this value
- BLOCKED means testing latency prevents capturing this value
- Values are stochastic and vary with each Monte Carlo iteration</t>
  </si>
  <si>
    <t>Calculated from 8_Calc_Value gating logic and stochastic multipliers</t>
  </si>
  <si>
    <t>tbl_KPIs, tbl_ValueScenarios, tbl_GatedValues</t>
  </si>
  <si>
    <t>NAFC degradation parameters and Monte Carlo treatment time estimates.</t>
  </si>
  <si>
    <t>Validate that biosensor-enabled treatment achieves regulatory compliance within season</t>
  </si>
  <si>
    <t>- Based on Kearl (2022) first-order kinetics model for NAFC degradation
- Initial/target NAFC concentrations from site characterization data
- Treatment rate factor varies stochastically (0.7-1.3 multiplier)
- Season length constraint of 120 days for Alberta operations</t>
  </si>
  <si>
    <t>Kearl (2022) wetland treatment kinetics research</t>
  </si>
  <si>
    <t>tbl_KPIs, tbl_Triangular, tbl_TreatmentKinetics</t>
  </si>
  <si>
    <t>Initial NAFC Concentration</t>
  </si>
  <si>
    <t>Target NAFC Concentration</t>
  </si>
  <si>
    <t>"-"</t>
  </si>
  <si>
    <t>Days to Regulatory Compliance</t>
  </si>
  <si>
    <t>Circulation Cycles Required</t>
  </si>
  <si>
    <t>Treatment Efficiency</t>
  </si>
  <si>
    <t>MC Expected Days</t>
  </si>
  <si>
    <t>MC P90 Days (conservative)</t>
  </si>
  <si>
    <t>MC Prob(Achievable)</t>
  </si>
  <si>
    <t>Testing Option Comparison</t>
  </si>
  <si>
    <t>Side-by-side comparison of gate status and value across all testing options.</t>
  </si>
  <si>
    <t>Demonstrate the value differential between HRMS and biosensor testing approaches</t>
  </si>
  <si>
    <t>- Monthly HRMS: 42-day turnaround, $60K/season
- Weekly HRMS: 42-day turnaround, $28.6K/season
- Daily Biosensor: 1-day turnaround, $10K/season
- Gate status determined by latency vs required response time</t>
  </si>
  <si>
    <t>Testing cost quotes and operational latency measurements</t>
  </si>
  <si>
    <t>tbl_KPIs, tbl_TestOptions, tbl_LatencyGating</t>
  </si>
  <si>
    <t>S1 Gate</t>
  </si>
  <si>
    <t>S2 Gate</t>
  </si>
  <si>
    <t>S3 Gate</t>
  </si>
  <si>
    <t>S4 Gate</t>
  </si>
  <si>
    <t>Testing Cost/Season</t>
  </si>
  <si>
    <t>$60,000</t>
  </si>
  <si>
    <t>$28,571</t>
  </si>
  <si>
    <t>$10,000</t>
  </si>
  <si>
    <t>Potential 5-Year NPV</t>
  </si>
  <si>
    <t>-$29k</t>
  </si>
  <si>
    <t>$180k</t>
  </si>
  <si>
    <t>$1.1M+</t>
  </si>
  <si>
    <t>Model Health</t>
  </si>
  <si>
    <t>Check Status:</t>
  </si>
  <si>
    <t>Errors Found:</t>
  </si>
  <si>
    <t>Model Validation Checks</t>
  </si>
  <si>
    <t>Model Integrity Checks</t>
  </si>
  <si>
    <t>This sheet validates model inputs and calculations.
CHECK CATEGORIES:
- Range: Input values within acceptable bounds
- Consistency: Related inputs are logically consistent
- Sanity: Output values are reasonable
- Integrity: Calculations produce expected results
INTERPRETING RESULTS:
- PASS: Check passed, no action needed
- FAIL: Issue detected, review the referenced input/output
WHAT TO DO IF CHECKS FAIL:
1. Note which check(s) failed
2. Review the description to understand the issue
3. Navigate to the relevant input (usually 1_TOC or 3_Assumptions)
4. Adjust values to bring them within valid ranges
5. Return here to confirm PASS status
AUTOMATED MONITORING:
The 0_Cover sheet shows overall model health status.
Any FAIL here will trigger the "Review 17_Checks" warning.</t>
  </si>
  <si>
    <t>Automated validation rules that verify model inputs and outputs are within acceptable ranges.</t>
  </si>
  <si>
    <t>Ensure model integrity by detecting invalid inputs, inconsistent parameters, and unreasonable outputs</t>
  </si>
  <si>
    <t>- Range checks based on reasonable operational bounds
- Sanity checks based on expected order-of-magnitude for outputs
- Consistency checks ensure related parameters are logically coherent
- PASS/FAIL status updates automatically when inputs change</t>
  </si>
  <si>
    <t>Validation rules based on domain expertise and operational constraints</t>
  </si>
  <si>
    <t>tbl_Control, tbl_KPIs, tbl_ValueScenarios</t>
  </si>
  <si>
    <t>Check_ID</t>
  </si>
  <si>
    <t>Category</t>
  </si>
  <si>
    <t>CHK001</t>
  </si>
  <si>
    <t>Range</t>
  </si>
  <si>
    <t>Discount rate between 0-15%</t>
  </si>
  <si>
    <t>CHK002</t>
  </si>
  <si>
    <t>Season length between 60-150 days</t>
  </si>
  <si>
    <t>CHK003</t>
  </si>
  <si>
    <t>Projection years between 1-10</t>
  </si>
  <si>
    <t>CHK004</t>
  </si>
  <si>
    <t>Value per M3 positive</t>
  </si>
  <si>
    <t>CHK005</t>
  </si>
  <si>
    <t>Logic</t>
  </si>
  <si>
    <t>Testing option valid</t>
  </si>
  <si>
    <t>CHK006</t>
  </si>
  <si>
    <t>Scenario selection valid</t>
  </si>
  <si>
    <t>CHK007</t>
  </si>
  <si>
    <t>Sanity</t>
  </si>
  <si>
    <t>NPV within reasonable bounds</t>
  </si>
  <si>
    <t>CHK008</t>
  </si>
  <si>
    <t>Testing cost positive</t>
  </si>
  <si>
    <t>CHK009</t>
  </si>
  <si>
    <t>Gross value non-negative</t>
  </si>
  <si>
    <t>CHK010</t>
  </si>
  <si>
    <t>Integrity</t>
  </si>
  <si>
    <t>All named ranges defined</t>
  </si>
  <si>
    <t>CHK011</t>
  </si>
  <si>
    <t>Initial NAFC in range (40-100 mg/L)</t>
  </si>
  <si>
    <t>CHK012</t>
  </si>
  <si>
    <t>Target NAFC &lt; Initial NAFC</t>
  </si>
  <si>
    <t>CHK013</t>
  </si>
  <si>
    <t>Days to compliance &lt;= season length</t>
  </si>
  <si>
    <t>CHK014</t>
  </si>
  <si>
    <t>Treatment rates positive</t>
  </si>
  <si>
    <t>CHK015</t>
  </si>
  <si>
    <t>Compliance</t>
  </si>
  <si>
    <t>Master compliance gate status</t>
  </si>
  <si>
    <t>CHK016</t>
  </si>
  <si>
    <t>Compliance adjusted value non-negative</t>
  </si>
  <si>
    <t>Total Checks:</t>
  </si>
  <si>
    <t>Passed:</t>
  </si>
  <si>
    <t>Failed:</t>
  </si>
  <si>
    <t>Model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</si>
</sst>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0.0%"/>
    <numFmt numFmtId="166" formatCode="\$#,##0.00"/>
    <numFmt numFmtId="167" formatCode="\$#,##0"/>
    <numFmt numFmtId="168" formatCode="0.000"/>
    <numFmt numFmtId="169" formatCode="0.0"/>
    <numFmt numFmtId="170" formatCode="0.0\ &quot;mg/L&quot;"/>
    <numFmt numFmtId="171" formatCode="0.0\ &quot;days&quot;"/>
  </numFmts>
  <fonts count="14" x14ac:knownFonts="1">
    <font>
      <sz val="11"/>
      <color theme="1"/>
      <name val="Calibri"/>
      <family val="2"/>
      <scheme val="minor"/>
    </font>
    <font>
      <b/>
      <sz val="20"/>
      <name val="Calibri"/>
      <family val="2"/>
    </font>
    <font>
      <i/>
      <sz val="12"/>
      <name val="Calibri"/>
      <family val="2"/>
    </font>
    <font>
      <b/>
      <sz val="14"/>
      <name val="Calibri"/>
      <family val="2"/>
    </font>
    <font>
      <b/>
      <sz val="16"/>
      <name val="Calibri"/>
      <family val="2"/>
    </font>
    <font>
      <b/>
      <sz val="11"/>
      <name val="Calibri"/>
      <family val="2"/>
    </font>
    <font>
      <b/>
      <sz val="10"/>
      <color rgb="FF666666"/>
      <name val="Calibri"/>
      <family val="2"/>
    </font>
    <font>
      <sz val="10"/>
      <color rgb="FF666666"/>
      <name val="Calibri"/>
      <family val="2"/>
    </font>
    <font>
      <b/>
      <sz val="11"/>
      <color rgb="FFFFFFFF"/>
      <name val="Calibri"/>
      <family val="2"/>
    </font>
    <font>
      <b/>
      <sz val="11"/>
      <name val="Calibri"/>
      <family val="2"/>
    </font>
    <font>
      <i/>
      <sz val="11"/>
      <name val="Calibri"/>
      <family val="2"/>
    </font>
    <font>
      <b/>
      <sz val="11"/>
      <color rgb="FF1F4E79"/>
      <name val="Calibri"/>
      <family val="2"/>
    </font>
    <font>
      <i/>
      <sz val="9"/>
      <name val="Calibri"/>
      <family val="2"/>
    </font>
    <font>
      <i/>
      <sz val="9"/>
      <color rgb="FF666666"/>
      <name val="Calibri"/>
      <family val="2"/>
    </font>
  </fonts>
  <fills count="6">
    <fill>
      <patternFill patternType="none"/>
    </fill>
    <fill>
      <patternFill patternType="gray125"/>
    </fill>
    <fill>
      <patternFill patternType="solid">
        <fgColor rgb="FFF2F2F2"/>
        <bgColor rgb="FFF2F2F2"/>
      </patternFill>
    </fill>
    <fill>
      <patternFill patternType="solid">
        <fgColor rgb="FF4472C4"/>
        <bgColor rgb="FF4472C4"/>
      </patternFill>
    </fill>
    <fill>
      <patternFill patternType="solid">
        <fgColor rgb="FFFFFF99"/>
        <bgColor rgb="FFFFFF99"/>
      </patternFill>
    </fill>
    <fill>
      <patternFill patternType="solid">
        <fgColor rgb="FFDEEAF6"/>
        <bgColor rgb="FFDEEAF6"/>
      </patternFill>
    </fill>
  </fills>
  <borders count="4">
    <border>
      <left/>
      <right/>
      <top/>
      <bottom/>
      <diagonal/>
    </border>
    <border>
      <left style="medium">
        <color rgb="FF4472C4"/>
      </left>
      <right style="medium">
        <color rgb="FF4472C4"/>
      </right>
      <top style="medium">
        <color rgb="FF4472C4"/>
      </top>
      <bottom style="medium">
        <color rgb="FF4472C4"/>
      </bottom>
      <diagonal/>
    </border>
    <border>
      <left/>
      <right/>
      <top style="medium">
        <color rgb="FF4472C4"/>
      </top>
      <bottom style="medium">
        <color rgb="FF4472C4"/>
      </bottom>
      <diagonal/>
    </border>
    <border>
      <left/>
      <right style="medium">
        <color rgb="FF4472C4"/>
      </right>
      <top style="medium">
        <color rgb="FF4472C4"/>
      </top>
      <bottom style="medium">
        <color rgb="FF4472C4"/>
      </bottom>
      <diagonal/>
    </border>
  </borders>
  <cellStyleXfs count="1">
    <xf numFmtId="0" fontId="0" fillId="0" borderId="0"/>
  </cellStyleXfs>
  <cellXfs count="37">
    <xf numFmtId="0" fontId="0" fillId="0" borderId="0" xfId="0"/>
    <xf numFmtId="0" fontId="1" fillId="0" borderId="0" xfId="0" applyFont="1"/>
    <xf numFmtId="0" fontId="2" fillId="0" borderId="0" xfId="0" applyFont="1"/>
    <xf numFmtId="164" fontId="0" fillId="0" borderId="0" xfId="0" applyNumberFormat="1"/>
    <xf numFmtId="0" fontId="3" fillId="0" borderId="0" xfId="0" applyFont="1"/>
    <xf numFmtId="0" fontId="4" fillId="0" borderId="0" xfId="0" applyFont="1"/>
    <xf numFmtId="0" fontId="5" fillId="0" borderId="0" xfId="0" applyFont="1"/>
    <xf numFmtId="0" fontId="6" fillId="2" borderId="0" xfId="0" applyFont="1" applyFill="1" applyAlignment="1">
      <alignment vertical="top"/>
    </xf>
    <xf numFmtId="0" fontId="8" fillId="3" borderId="0" xfId="0" applyFont="1" applyFill="1"/>
    <xf numFmtId="0" fontId="0" fillId="4" borderId="0" xfId="0" applyFill="1"/>
    <xf numFmtId="165" fontId="0" fillId="4" borderId="0" xfId="0" applyNumberFormat="1" applyFill="1"/>
    <xf numFmtId="0" fontId="9" fillId="0" borderId="0" xfId="0" applyFont="1"/>
    <xf numFmtId="0" fontId="10" fillId="0" borderId="0" xfId="0" applyFont="1"/>
    <xf numFmtId="166" fontId="0" fillId="4" borderId="0" xfId="0" applyNumberFormat="1" applyFill="1"/>
    <xf numFmtId="167" fontId="0" fillId="4" borderId="0" xfId="0" applyNumberFormat="1" applyFill="1"/>
    <xf numFmtId="167" fontId="0" fillId="0" borderId="0" xfId="0" applyNumberFormat="1"/>
    <xf numFmtId="168" fontId="0" fillId="4" borderId="0" xfId="0" applyNumberFormat="1" applyFill="1"/>
    <xf numFmtId="169" fontId="0" fillId="4" borderId="0" xfId="0" applyNumberFormat="1" applyFill="1"/>
    <xf numFmtId="2" fontId="0" fillId="4" borderId="0" xfId="0" applyNumberFormat="1" applyFill="1"/>
    <xf numFmtId="1" fontId="0" fillId="4" borderId="0" xfId="0" applyNumberFormat="1" applyFill="1"/>
    <xf numFmtId="0" fontId="12" fillId="0" borderId="0" xfId="0" applyFont="1"/>
    <xf numFmtId="168" fontId="0" fillId="0" borderId="0" xfId="0" applyNumberFormat="1"/>
    <xf numFmtId="2" fontId="0" fillId="0" borderId="0" xfId="0" applyNumberFormat="1"/>
    <xf numFmtId="169" fontId="0" fillId="0" borderId="0" xfId="0" applyNumberFormat="1"/>
    <xf numFmtId="1" fontId="0" fillId="0" borderId="0" xfId="0" applyNumberFormat="1"/>
    <xf numFmtId="165" fontId="0" fillId="0" borderId="0" xfId="0" applyNumberFormat="1"/>
    <xf numFmtId="0" fontId="13" fillId="0" borderId="0" xfId="0" applyFont="1"/>
    <xf numFmtId="167" fontId="9" fillId="0" borderId="0" xfId="0" applyNumberFormat="1" applyFont="1"/>
    <xf numFmtId="166" fontId="0" fillId="0" borderId="0" xfId="0" applyNumberFormat="1"/>
    <xf numFmtId="170" fontId="0" fillId="0" borderId="0" xfId="0" applyNumberFormat="1"/>
    <xf numFmtId="171" fontId="0" fillId="0" borderId="0" xfId="0" applyNumberFormat="1"/>
    <xf numFmtId="0" fontId="7" fillId="2" borderId="0" xfId="0" applyFont="1" applyFill="1" applyAlignment="1">
      <alignment vertical="top" wrapText="1"/>
    </xf>
    <xf numFmtId="0" fontId="0" fillId="0" borderId="0" xfId="0"/>
    <xf numFmtId="0" fontId="0" fillId="5" borderId="1" xfId="0" applyFill="1" applyBorder="1" applyAlignment="1">
      <alignment horizontal="left" vertical="top" wrapText="1"/>
    </xf>
    <xf numFmtId="0" fontId="0" fillId="0" borderId="2" xfId="0" applyBorder="1"/>
    <xf numFmtId="0" fontId="0" fillId="0" borderId="3" xfId="0" applyBorder="1"/>
    <xf numFmtId="0" fontId="11" fillId="5" borderId="1" xfId="0" applyFont="1" applyFill="1" applyBorder="1" applyAlignment="1">
      <alignment horizontal="lef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Control" displayName="tbl_Control" ref="A9:D14">
  <autoFilter ref="A9:D14" xr:uid="{00000000-0009-0000-0100-000001000000}"/>
  <tableColumns count="4">
    <tableColumn id="1" xr3:uid="{00000000-0010-0000-0000-000001000000}" name="Parameter"/>
    <tableColumn id="2" xr3:uid="{00000000-0010-0000-0000-000002000000}" name="Value"/>
    <tableColumn id="3" xr3:uid="{00000000-0010-0000-0000-000003000000}" name="Validation"/>
    <tableColumn id="4" xr3:uid="{00000000-0010-0000-0000-000004000000}" name="Descriptio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InputMap" displayName="tbl_InputMap" ref="A4:D34">
  <autoFilter ref="A4:D34" xr:uid="{00000000-0009-0000-0100-000002000000}"/>
  <tableColumns count="4">
    <tableColumn id="1" xr3:uid="{00000000-0010-0000-0100-000001000000}" name="Input Name"/>
    <tableColumn id="2" xr3:uid="{00000000-0010-0000-0100-000002000000}" name="Value"/>
    <tableColumn id="3" xr3:uid="{00000000-0010-0000-0100-000003000000}" name="Source Sheet"/>
    <tableColumn id="4" xr3:uid="{00000000-0010-0000-0100-000004000000}" name="Referenced By"/>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Timing" displayName="tbl_Timing" ref="A9:E14">
  <autoFilter ref="A9:E14" xr:uid="{00000000-0009-0000-0100-000003000000}"/>
  <tableColumns count="5">
    <tableColumn id="1" xr3:uid="{00000000-0010-0000-0200-000001000000}" name="Parameter"/>
    <tableColumn id="2" xr3:uid="{00000000-0010-0000-0200-000002000000}" name="Value"/>
    <tableColumn id="3" xr3:uid="{00000000-0010-0000-0200-000003000000}" name="Unit"/>
    <tableColumn id="4" xr3:uid="{00000000-0010-0000-0200-000004000000}" name="Notes"/>
    <tableColumn id="5" xr3:uid="{00000000-0010-0000-0200-000005000000}" name="Referenced By"/>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Seasonality" displayName="tbl_Seasonality" ref="A22:D27">
  <autoFilter ref="A22:D27" xr:uid="{00000000-0009-0000-0100-000004000000}"/>
  <tableColumns count="4">
    <tableColumn id="1" xr3:uid="{00000000-0010-0000-0300-000001000000}" name="Month"/>
    <tableColumn id="2" xr3:uid="{00000000-0010-0000-0300-000002000000}" name="Month_Num"/>
    <tableColumn id="3" xr3:uid="{00000000-0010-0000-0300-000003000000}" name="Multiplier"/>
    <tableColumn id="4" xr3:uid="{00000000-0010-0000-0300-000004000000}" name="Activity"/>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iteConfig" displayName="tbl_SiteConfig" ref="A36:E40">
  <autoFilter ref="A36:E40" xr:uid="{00000000-0009-0000-0100-000005000000}"/>
  <tableColumns count="5">
    <tableColumn id="1" xr3:uid="{00000000-0010-0000-0400-000001000000}" name="Parameter"/>
    <tableColumn id="2" xr3:uid="{00000000-0010-0000-0400-000002000000}" name="Value"/>
    <tableColumn id="3" xr3:uid="{00000000-0010-0000-0400-000003000000}" name="Unit"/>
    <tableColumn id="4" xr3:uid="{00000000-0010-0000-0400-000004000000}" name="Source"/>
    <tableColumn id="5" xr3:uid="{00000000-0010-0000-0400-000005000000}" name="Referenced By"/>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CostParams" displayName="tbl_CostParams" ref="A49:D52">
  <autoFilter ref="A49:D52" xr:uid="{00000000-0009-0000-0100-000006000000}"/>
  <tableColumns count="4">
    <tableColumn id="1" xr3:uid="{00000000-0010-0000-0500-000001000000}" name="Parameter"/>
    <tableColumn id="2" xr3:uid="{00000000-0010-0000-0500-000002000000}" name="Value"/>
    <tableColumn id="3" xr3:uid="{00000000-0010-0000-0500-000003000000}" name="Unit"/>
    <tableColumn id="4" xr3:uid="{00000000-0010-0000-0500-000004000000}" name="Referenced By"/>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LearningCurve" displayName="tbl_LearningCurve" ref="A61:D66">
  <autoFilter ref="A61:D66" xr:uid="{00000000-0009-0000-0100-000007000000}"/>
  <tableColumns count="4">
    <tableColumn id="1" xr3:uid="{00000000-0010-0000-0600-000001000000}" name="Year"/>
    <tableColumn id="2" xr3:uid="{00000000-0010-0000-0600-000002000000}" name="Multiplier"/>
    <tableColumn id="3" xr3:uid="{00000000-0010-0000-0600-000003000000}" name="Notes"/>
    <tableColumn id="4" xr3:uid="{00000000-0010-0000-0600-000004000000}" name="Referenced By"/>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TestOptions" displayName="tbl_TestOptions" ref="A75:G78">
  <autoFilter ref="A75:G78" xr:uid="{00000000-0009-0000-0100-000008000000}"/>
  <tableColumns count="7">
    <tableColumn id="1" xr3:uid="{00000000-0010-0000-0700-000001000000}" name="Option"/>
    <tableColumn id="2" xr3:uid="{00000000-0010-0000-0700-000002000000}" name="Method"/>
    <tableColumn id="3" xr3:uid="{00000000-0010-0000-0700-000003000000}" name="Interval"/>
    <tableColumn id="4" xr3:uid="{00000000-0010-0000-0700-000004000000}" name="Points"/>
    <tableColumn id="5" xr3:uid="{00000000-0010-0000-0700-000005000000}" name="Cost_Per_Test"/>
    <tableColumn id="6" xr3:uid="{00000000-0010-0000-0700-000006000000}" name="Latency_Days"/>
    <tableColumn id="7" xr3:uid="{00000000-0010-0000-0700-000007000000}" name="Referenced By"/>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LatencyGating" displayName="tbl_LatencyGating" ref="A86:E89">
  <autoFilter ref="A86:E89" xr:uid="{00000000-0009-0000-0100-000009000000}"/>
  <tableColumns count="5">
    <tableColumn id="1" xr3:uid="{00000000-0010-0000-0800-000001000000}" name="Option"/>
    <tableColumn id="2" xr3:uid="{00000000-0010-0000-0800-000002000000}" name="S1_Gate"/>
    <tableColumn id="3" xr3:uid="{00000000-0010-0000-0800-000003000000}" name="S2_Gate"/>
    <tableColumn id="4" xr3:uid="{00000000-0010-0000-0800-000004000000}" name="S3_Gate"/>
    <tableColumn id="5" xr3:uid="{00000000-0010-0000-0800-000005000000}" name="S4_Gate"/>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TreatmentKinetics" displayName="tbl_TreatmentKinetics" ref="A107:E114">
  <autoFilter ref="A107:E114" xr:uid="{00000000-0009-0000-0100-00000A000000}"/>
  <tableColumns count="5">
    <tableColumn id="1" xr3:uid="{00000000-0010-0000-0900-000001000000}" name="Parameter"/>
    <tableColumn id="2" xr3:uid="{00000000-0010-0000-0900-000002000000}" name="Value"/>
    <tableColumn id="3" xr3:uid="{00000000-0010-0000-0900-000003000000}" name="Unit"/>
    <tableColumn id="4" xr3:uid="{00000000-0010-0000-0900-000004000000}" name="Notes"/>
    <tableColumn id="5" xr3:uid="{00000000-0010-0000-0900-000005000000}" name="Referenced By"/>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ToxicityMilestones" displayName="tbl_ToxicityMilestones" ref="A123:D126">
  <autoFilter ref="A123:D126" xr:uid="{00000000-0009-0000-0100-00000B000000}"/>
  <tableColumns count="4">
    <tableColumn id="1" xr3:uid="{00000000-0010-0000-0A00-000001000000}" name="Milestone"/>
    <tableColumn id="2" xr3:uid="{00000000-0010-0000-0A00-000002000000}" name="Days"/>
    <tableColumn id="3" xr3:uid="{00000000-0010-0000-0A00-000003000000}" name="Survival"/>
    <tableColumn id="4" xr3:uid="{00000000-0010-0000-0A00-000004000000}" name="Notes"/>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_Env_Profiles" displayName="tbl_Env_Profiles" ref="A7:H12">
  <autoFilter ref="A7:H12" xr:uid="{00000000-0009-0000-0100-00000C000000}"/>
  <tableColumns count="8">
    <tableColumn id="1" xr3:uid="{00000000-0010-0000-0B00-000001000000}" name="Variable"/>
    <tableColumn id="2" xr3:uid="{00000000-0010-0000-0B00-000002000000}" name="Unit"/>
    <tableColumn id="3" xr3:uid="{00000000-0010-0000-0B00-000003000000}" name="May"/>
    <tableColumn id="4" xr3:uid="{00000000-0010-0000-0B00-000004000000}" name="Jun"/>
    <tableColumn id="5" xr3:uid="{00000000-0010-0000-0B00-000005000000}" name="Jul"/>
    <tableColumn id="6" xr3:uid="{00000000-0010-0000-0B00-000006000000}" name="Aug"/>
    <tableColumn id="7" xr3:uid="{00000000-0010-0000-0B00-000007000000}" name="Sep"/>
    <tableColumn id="8" xr3:uid="{00000000-0010-0000-0B00-000008000000}" name="Notes"/>
  </tableColumns>
  <tableStyleInfo name="TableStyleMedium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_Ionic_Params" displayName="tbl_Ionic_Params" ref="A16:H20">
  <autoFilter ref="A16:H20" xr:uid="{00000000-0009-0000-0100-00000D000000}"/>
  <tableColumns count="8">
    <tableColumn id="1" xr3:uid="{00000000-0010-0000-0C00-000001000000}" name="Parameter"/>
    <tableColumn id="2" xr3:uid="{00000000-0010-0000-0C00-000002000000}" name="Unit"/>
    <tableColumn id="3" xr3:uid="{00000000-0010-0000-0C00-000003000000}" name="Min"/>
    <tableColumn id="4" xr3:uid="{00000000-0010-0000-0C00-000004000000}" name="Mode"/>
    <tableColumn id="5" xr3:uid="{00000000-0010-0000-0C00-000005000000}" name="Max"/>
    <tableColumn id="6" xr3:uid="{00000000-0010-0000-0C00-000006000000}" name="Threshold"/>
    <tableColumn id="7" xr3:uid="{00000000-0010-0000-0C00-000007000000}" name="Direction"/>
    <tableColumn id="8" xr3:uid="{00000000-0010-0000-0C00-000008000000}" name="Notes"/>
  </tableColumns>
  <tableStyleInfo name="TableStyleMedium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_ValueScenarios" displayName="tbl_ValueScenarios" ref="A9:E13">
  <autoFilter ref="A9:E13" xr:uid="{00000000-0009-0000-0100-00000E000000}"/>
  <tableColumns count="5">
    <tableColumn id="1" xr3:uid="{00000000-0010-0000-0D00-000001000000}" name="ID"/>
    <tableColumn id="2" xr3:uid="{00000000-0010-0000-0D00-000002000000}" name="Name"/>
    <tableColumn id="3" xr3:uid="{00000000-0010-0000-0D00-000003000000}" name="Base_Value"/>
    <tableColumn id="4" xr3:uid="{00000000-0010-0000-0D00-000004000000}" name="Required_Response_Days"/>
    <tableColumn id="5" xr3:uid="{00000000-0010-0000-0D00-000005000000}" name="Description"/>
  </tableColumns>
  <tableStyleInfo name="TableStyleMedium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bl_ModelScenarios" displayName="tbl_ModelScenarios" ref="A22:D25">
  <autoFilter ref="A22:D25" xr:uid="{00000000-0009-0000-0100-00000F000000}"/>
  <tableColumns count="4">
    <tableColumn id="1" xr3:uid="{00000000-0010-0000-0E00-000001000000}" name="Scenario"/>
    <tableColumn id="2" xr3:uid="{00000000-0010-0000-0E00-000002000000}" name="Discount_Adj"/>
    <tableColumn id="3" xr3:uid="{00000000-0010-0000-0E00-000003000000}" name="Growth_Adj"/>
    <tableColumn id="4" xr3:uid="{00000000-0010-0000-0E00-000004000000}" name="Risk_Adj"/>
  </tableColumns>
  <tableStyleInfo name="TableStyleMedium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bl_Triangular" displayName="tbl_Triangular" ref="A9:F13">
  <autoFilter ref="A9:F13" xr:uid="{00000000-0009-0000-0100-000010000000}"/>
  <tableColumns count="6">
    <tableColumn id="1" xr3:uid="{00000000-0010-0000-0F00-000001000000}" name="Variable"/>
    <tableColumn id="2" xr3:uid="{00000000-0010-0000-0F00-000002000000}" name="Min"/>
    <tableColumn id="3" xr3:uid="{00000000-0010-0000-0F00-000003000000}" name="Mode"/>
    <tableColumn id="4" xr3:uid="{00000000-0010-0000-0F00-000004000000}" name="Max"/>
    <tableColumn id="5" xr3:uid="{00000000-0010-0000-0F00-000005000000}" name="Units"/>
    <tableColumn id="6" xr3:uid="{00000000-0010-0000-0F00-000006000000}" name="Referenced By"/>
  </tableColumns>
  <tableStyleInfo name="TableStyleMedium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bl_Beta" displayName="tbl_Beta" ref="A22:G23">
  <autoFilter ref="A22:G23" xr:uid="{00000000-0009-0000-0100-000011000000}"/>
  <tableColumns count="7">
    <tableColumn id="1" xr3:uid="{00000000-0010-0000-1000-000001000000}" name="Variable"/>
    <tableColumn id="2" xr3:uid="{00000000-0010-0000-1000-000002000000}" name="Alpha"/>
    <tableColumn id="3" xr3:uid="{00000000-0010-0000-1000-000003000000}" name="Beta"/>
    <tableColumn id="4" xr3:uid="{00000000-0010-0000-1000-000004000000}" name="Min"/>
    <tableColumn id="5" xr3:uid="{00000000-0010-0000-1000-000005000000}" name="Max"/>
    <tableColumn id="6" xr3:uid="{00000000-0010-0000-1000-000006000000}" name="Units"/>
    <tableColumn id="7" xr3:uid="{00000000-0010-0000-1000-000007000000}" name="Referenced By"/>
  </tableColumns>
  <tableStyleInfo name="TableStyleMedium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bl_ValueSensitivity" displayName="tbl_ValueSensitivity" ref="A32:E35">
  <autoFilter ref="A32:E35" xr:uid="{00000000-0009-0000-0100-000012000000}"/>
  <tableColumns count="5">
    <tableColumn id="1" xr3:uid="{00000000-0010-0000-1100-000001000000}" name="Frame"/>
    <tableColumn id="2" xr3:uid="{00000000-0010-0000-1100-000002000000}" name="Low"/>
    <tableColumn id="3" xr3:uid="{00000000-0010-0000-1100-000003000000}" name="Base"/>
    <tableColumn id="4" xr3:uid="{00000000-0010-0000-1100-000004000000}" name="High"/>
    <tableColumn id="5" xr3:uid="{00000000-0010-0000-1100-000005000000}" name="Context"/>
  </tableColumns>
  <tableStyleInfo name="TableStyleMedium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bl_Timeline" displayName="tbl_Timeline" ref="A12:E18">
  <autoFilter ref="A12:E18" xr:uid="{00000000-0009-0000-0100-000013000000}"/>
  <tableColumns count="5">
    <tableColumn id="1" xr3:uid="{00000000-0010-0000-1200-000001000000}" name="Year_Index"/>
    <tableColumn id="2" xr3:uid="{00000000-0010-0000-1200-000002000000}" name="Calendar_Year"/>
    <tableColumn id="3" xr3:uid="{00000000-0010-0000-1200-000003000000}" name="Treatment_Days"/>
    <tableColumn id="4" xr3:uid="{00000000-0010-0000-1200-000004000000}" name="Discount_Factor"/>
    <tableColumn id="5" xr3:uid="{00000000-0010-0000-1200-000005000000}" name="Learning_Mult"/>
  </tableColumns>
  <tableStyleInfo name="TableStyleMedium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bl_Rate_Modifiers" displayName="tbl_Rate_Modifiers" ref="A7:E12">
  <autoFilter ref="A7:E12" xr:uid="{00000000-0009-0000-0100-000014000000}"/>
  <tableColumns count="5">
    <tableColumn id="1" xr3:uid="{00000000-0010-0000-1300-000001000000}" name="Modifier"/>
    <tableColumn id="2" xr3:uid="{00000000-0010-0000-1300-000002000000}" name="Formula"/>
    <tableColumn id="3" xr3:uid="{00000000-0010-0000-1300-000003000000}" name="Value"/>
    <tableColumn id="4" xr3:uid="{00000000-0010-0000-1300-000004000000}" name="Unit"/>
    <tableColumn id="5" xr3:uid="{00000000-0010-0000-1300-000005000000}" name="Notes"/>
  </tableColumns>
  <tableStyleInfo name="TableStyleMedium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bl_Stochastic" displayName="tbl_Stochastic" ref="A13:C18">
  <autoFilter ref="A13:C18" xr:uid="{00000000-0009-0000-0100-000015000000}"/>
  <tableColumns count="3">
    <tableColumn id="1" xr3:uid="{00000000-0010-0000-1400-000001000000}" name="Variable"/>
    <tableColumn id="2" xr3:uid="{00000000-0010-0000-1400-000002000000}" name="Random_U"/>
    <tableColumn id="3" xr3:uid="{00000000-0010-0000-1400-000003000000}" name="Realized_Value"/>
  </tableColumns>
  <tableStyleInfo name="TableStyleMedium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bl_Compliance_Gates" displayName="tbl_Compliance_Gates" ref="A7:F20">
  <autoFilter ref="A7:F20" xr:uid="{00000000-0009-0000-0100-000016000000}"/>
  <tableColumns count="6">
    <tableColumn id="1" xr3:uid="{00000000-0010-0000-1500-000001000000}" name="Gate"/>
    <tableColumn id="2" xr3:uid="{00000000-0010-0000-1500-000002000000}" name="Threshold"/>
    <tableColumn id="3" xr3:uid="{00000000-0010-0000-1500-000003000000}" name="Direction"/>
    <tableColumn id="4" xr3:uid="{00000000-0010-0000-1500-000004000000}" name="Value"/>
    <tableColumn id="5" xr3:uid="{00000000-0010-0000-1500-000005000000}" name="Status"/>
    <tableColumn id="6" xr3:uid="{00000000-0010-0000-1500-000006000000}" name="Notes"/>
  </tableColumns>
  <tableStyleInfo name="TableStyleMedium9"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bl_GatedValues" displayName="tbl_GatedValues" ref="A12:E16">
  <autoFilter ref="A12:E16" xr:uid="{00000000-0009-0000-0100-000017000000}"/>
  <tableColumns count="5">
    <tableColumn id="1" xr3:uid="{00000000-0010-0000-1600-000001000000}" name="Scenario"/>
    <tableColumn id="2" xr3:uid="{00000000-0010-0000-1600-000002000000}" name="Base_Value"/>
    <tableColumn id="3" xr3:uid="{00000000-0010-0000-1600-000003000000}" name="Gate_Status"/>
    <tableColumn id="4" xr3:uid="{00000000-0010-0000-1600-000004000000}" name="Stoch_Mult"/>
    <tableColumn id="5" xr3:uid="{00000000-0010-0000-1600-000005000000}" name="Gated_Value"/>
  </tableColumns>
  <tableStyleInfo name="TableStyleMedium9"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bl_CostCalc" displayName="tbl_CostCalc" ref="A12:C19">
  <autoFilter ref="A12:C19" xr:uid="{00000000-0009-0000-0100-000018000000}"/>
  <tableColumns count="3">
    <tableColumn id="1" xr3:uid="{00000000-0010-0000-1700-000001000000}" name="Component"/>
    <tableColumn id="2" xr3:uid="{00000000-0010-0000-1700-000002000000}" name="Formula"/>
    <tableColumn id="3" xr3:uid="{00000000-0010-0000-1700-000003000000}" name="Value"/>
  </tableColumns>
  <tableStyleInfo name="TableStyleMedium9"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bl_Annual" displayName="tbl_Annual" ref="A12:J17">
  <autoFilter ref="A12:J17" xr:uid="{00000000-0009-0000-0100-000019000000}"/>
  <tableColumns count="10">
    <tableColumn id="1" xr3:uid="{00000000-0010-0000-1800-000001000000}" name="Year"/>
    <tableColumn id="2" xr3:uid="{00000000-0010-0000-1800-000002000000}" name="S1_Value"/>
    <tableColumn id="3" xr3:uid="{00000000-0010-0000-1800-000003000000}" name="S2_Value"/>
    <tableColumn id="4" xr3:uid="{00000000-0010-0000-1800-000004000000}" name="S3_Value"/>
    <tableColumn id="5" xr3:uid="{00000000-0010-0000-1800-000005000000}" name="S4_Value"/>
    <tableColumn id="6" xr3:uid="{00000000-0010-0000-1800-000006000000}" name="Gross_Value"/>
    <tableColumn id="7" xr3:uid="{00000000-0010-0000-1800-000007000000}" name="Costs"/>
    <tableColumn id="8" xr3:uid="{00000000-0010-0000-1800-000008000000}" name="Net_Annual"/>
    <tableColumn id="9" xr3:uid="{00000000-0010-0000-1800-000009000000}" name="Discount_Factor"/>
    <tableColumn id="10" xr3:uid="{00000000-0010-0000-1800-00000A000000}" name="Discounted"/>
  </tableColumns>
  <tableStyleInfo name="TableStyleMedium9"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bl_CashFlow" displayName="tbl_CashFlow" ref="A12:D17">
  <autoFilter ref="A12:D17" xr:uid="{00000000-0009-0000-0100-00001A000000}"/>
  <tableColumns count="4">
    <tableColumn id="1" xr3:uid="{00000000-0010-0000-1900-000001000000}" name="Year"/>
    <tableColumn id="2" xr3:uid="{00000000-0010-0000-1900-000002000000}" name="Annual_Net"/>
    <tableColumn id="3" xr3:uid="{00000000-0010-0000-1900-000003000000}" name="Cumulative_Net"/>
    <tableColumn id="4" xr3:uid="{00000000-0010-0000-1900-000004000000}" name="Cumulative_NPV"/>
  </tableColumns>
  <tableStyleInfo name="TableStyleMedium9"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bl_UnitEconomics" displayName="tbl_UnitEconomics" ref="A12:D21">
  <autoFilter ref="A12:D21" xr:uid="{00000000-0009-0000-0100-00001B000000}"/>
  <tableColumns count="4">
    <tableColumn id="1" xr3:uid="{00000000-0010-0000-1A00-000001000000}" name="Metric"/>
    <tableColumn id="2" xr3:uid="{00000000-0010-0000-1A00-000002000000}" name="Value"/>
    <tableColumn id="3" xr3:uid="{00000000-0010-0000-1A00-000003000000}" name="Unit"/>
    <tableColumn id="4" xr3:uid="{00000000-0010-0000-1A00-000004000000}" name="Formula"/>
  </tableColumns>
  <tableStyleInfo name="TableStyleMedium9"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bl_Sensitivity" displayName="tbl_Sensitivity" ref="A12:G16">
  <autoFilter ref="A12:G16" xr:uid="{00000000-0009-0000-0100-00001C000000}"/>
  <tableColumns count="7">
    <tableColumn id="1" xr3:uid="{00000000-0010-0000-1B00-000001000000}" name="Parameter"/>
    <tableColumn id="2" xr3:uid="{00000000-0010-0000-1B00-000002000000}" name="Low"/>
    <tableColumn id="3" xr3:uid="{00000000-0010-0000-1B00-000003000000}" name="Base"/>
    <tableColumn id="4" xr3:uid="{00000000-0010-0000-1B00-000004000000}" name="High"/>
    <tableColumn id="5" xr3:uid="{00000000-0010-0000-1B00-000005000000}" name="NPV_at_Low"/>
    <tableColumn id="6" xr3:uid="{00000000-0010-0000-1B00-000006000000}" name="NPV_at_High"/>
    <tableColumn id="7" xr3:uid="{00000000-0010-0000-1B00-000007000000}" name="Swing"/>
  </tableColumns>
  <tableStyleInfo name="TableStyleMedium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bl_KPIs" displayName="tbl_KPIs" ref="A12:B21">
  <autoFilter ref="A12:B21" xr:uid="{00000000-0009-0000-0100-00001D000000}"/>
  <tableColumns count="2">
    <tableColumn id="1" xr3:uid="{00000000-0010-0000-1C00-000001000000}" name="Metric"/>
    <tableColumn id="2" xr3:uid="{00000000-0010-0000-1C00-000002000000}" name="Value"/>
  </tableColumns>
  <tableStyleInfo name="TableStyleMedium9"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bl_ScenarioBreakdown" displayName="tbl_ScenarioBreakdown" ref="A29:C33">
  <autoFilter ref="A29:C33" xr:uid="{00000000-0009-0000-0100-00001E000000}"/>
  <tableColumns count="3">
    <tableColumn id="1" xr3:uid="{00000000-0010-0000-1D00-000001000000}" name="Scenario"/>
    <tableColumn id="2" xr3:uid="{00000000-0010-0000-1D00-000002000000}" name="Gated_Value"/>
    <tableColumn id="3" xr3:uid="{00000000-0010-0000-1D00-000003000000}" name="Status"/>
  </tableColumns>
  <tableStyleInfo name="TableStyleMedium9"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bl_TreatmentKPIs" displayName="tbl_TreatmentKPIs" ref="A41:C49">
  <autoFilter ref="A41:C49" xr:uid="{00000000-0009-0000-0100-00001F000000}"/>
  <tableColumns count="3">
    <tableColumn id="1" xr3:uid="{00000000-0010-0000-1E00-000001000000}" name="Metric"/>
    <tableColumn id="2" xr3:uid="{00000000-0010-0000-1E00-000002000000}" name="Value"/>
    <tableColumn id="3" xr3:uid="{00000000-0010-0000-1E00-000003000000}" name="Status"/>
  </tableColumns>
  <tableStyleInfo name="TableStyleMedium9"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bl_OptionComparison" displayName="tbl_OptionComparison" ref="A57:D63">
  <autoFilter ref="A57:D63" xr:uid="{00000000-0009-0000-0100-000020000000}"/>
  <tableColumns count="4">
    <tableColumn id="1" xr3:uid="{00000000-0010-0000-1F00-000001000000}" name="Metric"/>
    <tableColumn id="2" xr3:uid="{00000000-0010-0000-1F00-000002000000}" name="Monthly_HRMS"/>
    <tableColumn id="3" xr3:uid="{00000000-0010-0000-1F00-000003000000}" name="Weekly_HRMS"/>
    <tableColumn id="4" xr3:uid="{00000000-0010-0000-1F00-000004000000}" name="Daily_Biosensor"/>
  </tableColumns>
  <tableStyleInfo name="TableStyleMedium9"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bl_Checks" displayName="tbl_Checks" ref="A12:D28">
  <autoFilter ref="A12:D28" xr:uid="{00000000-0009-0000-0100-000021000000}"/>
  <tableColumns count="4">
    <tableColumn id="1" xr3:uid="{00000000-0010-0000-2000-000001000000}" name="Check_ID"/>
    <tableColumn id="2" xr3:uid="{00000000-0010-0000-2000-000002000000}" name="Category"/>
    <tableColumn id="3" xr3:uid="{00000000-0010-0000-2000-000003000000}" name="Description"/>
    <tableColumn id="4" xr3:uid="{00000000-0010-0000-2000-000004000000}" name="Statu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4" Type="http://schemas.openxmlformats.org/officeDocument/2006/relationships/table" Target="../tables/table3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29"/>
  <sheetViews>
    <sheetView workbookViewId="0"/>
  </sheetViews>
  <sheetFormatPr baseColWidth="10" defaultColWidth="8.83203125" defaultRowHeight="15" x14ac:dyDescent="0.2"/>
  <cols>
    <col min="1" max="1" width="20" customWidth="1"/>
    <col min="2" max="2" width="45" customWidth="1"/>
  </cols>
  <sheetData>
    <row r="1" spans="1:2" ht="26" x14ac:dyDescent="0.3">
      <c r="A1" s="1" t="s">
        <v>0</v>
      </c>
    </row>
    <row r="2" spans="1:2" ht="16" x14ac:dyDescent="0.2">
      <c r="A2" s="2" t="s">
        <v>1</v>
      </c>
    </row>
    <row r="4" spans="1:2" x14ac:dyDescent="0.2">
      <c r="A4" t="s">
        <v>2</v>
      </c>
      <c r="B4" t="s">
        <v>3</v>
      </c>
    </row>
    <row r="5" spans="1:2" x14ac:dyDescent="0.2">
      <c r="A5" t="s">
        <v>4</v>
      </c>
      <c r="B5" s="3">
        <f ca="1">TODAY()</f>
        <v>46053</v>
      </c>
    </row>
    <row r="6" spans="1:2" x14ac:dyDescent="0.2">
      <c r="A6" t="s">
        <v>5</v>
      </c>
      <c r="B6" t="s">
        <v>6</v>
      </c>
    </row>
    <row r="8" spans="1:2" ht="19" x14ac:dyDescent="0.25">
      <c r="A8" s="4" t="s">
        <v>7</v>
      </c>
    </row>
    <row r="9" spans="1:2" x14ac:dyDescent="0.2">
      <c r="A9" t="s">
        <v>8</v>
      </c>
      <c r="B9" t="str">
        <f ca="1">IF(COUNTIF('21_Checks'!D:D,"FAIL")=0, "All Checks Pass", "Review 21_Checks")</f>
        <v>All Checks Pass</v>
      </c>
    </row>
    <row r="10" spans="1:2" x14ac:dyDescent="0.2">
      <c r="A10" t="s">
        <v>9</v>
      </c>
      <c r="B10">
        <f ca="1">COUNTIF('21_Checks'!D:D,"FAIL")</f>
        <v>0</v>
      </c>
    </row>
    <row r="12" spans="1:2" ht="19" x14ac:dyDescent="0.25">
      <c r="A12" s="4" t="s">
        <v>10</v>
      </c>
    </row>
    <row r="13" spans="1:2" x14ac:dyDescent="0.2">
      <c r="A13" t="s">
        <v>11</v>
      </c>
      <c r="B13" t="s">
        <v>12</v>
      </c>
    </row>
    <row r="14" spans="1:2" x14ac:dyDescent="0.2">
      <c r="A14" t="s">
        <v>13</v>
      </c>
      <c r="B14" t="s">
        <v>14</v>
      </c>
    </row>
    <row r="15" spans="1:2" x14ac:dyDescent="0.2">
      <c r="A15" t="s">
        <v>15</v>
      </c>
      <c r="B15" t="s">
        <v>16</v>
      </c>
    </row>
    <row r="16" spans="1:2" x14ac:dyDescent="0.2">
      <c r="A16" t="s">
        <v>17</v>
      </c>
      <c r="B16" t="s">
        <v>18</v>
      </c>
    </row>
    <row r="17" spans="1:2" x14ac:dyDescent="0.2">
      <c r="A17" t="s">
        <v>19</v>
      </c>
      <c r="B17" t="s">
        <v>20</v>
      </c>
    </row>
    <row r="18" spans="1:2" x14ac:dyDescent="0.2">
      <c r="A18" t="s">
        <v>21</v>
      </c>
      <c r="B18" t="s">
        <v>22</v>
      </c>
    </row>
    <row r="19" spans="1:2" x14ac:dyDescent="0.2">
      <c r="A19" t="s">
        <v>23</v>
      </c>
      <c r="B19" t="s">
        <v>24</v>
      </c>
    </row>
    <row r="20" spans="1:2" x14ac:dyDescent="0.2">
      <c r="A20" t="s">
        <v>25</v>
      </c>
      <c r="B20" t="s">
        <v>26</v>
      </c>
    </row>
    <row r="21" spans="1:2" x14ac:dyDescent="0.2">
      <c r="A21" t="s">
        <v>27</v>
      </c>
      <c r="B21" t="s">
        <v>28</v>
      </c>
    </row>
    <row r="22" spans="1:2" x14ac:dyDescent="0.2">
      <c r="A22" t="s">
        <v>29</v>
      </c>
      <c r="B22" t="s">
        <v>30</v>
      </c>
    </row>
    <row r="23" spans="1:2" x14ac:dyDescent="0.2">
      <c r="A23" t="s">
        <v>31</v>
      </c>
      <c r="B23" t="s">
        <v>32</v>
      </c>
    </row>
    <row r="24" spans="1:2" x14ac:dyDescent="0.2">
      <c r="A24" t="s">
        <v>33</v>
      </c>
      <c r="B24" t="s">
        <v>34</v>
      </c>
    </row>
    <row r="25" spans="1:2" x14ac:dyDescent="0.2">
      <c r="A25" t="s">
        <v>35</v>
      </c>
      <c r="B25" t="s">
        <v>36</v>
      </c>
    </row>
    <row r="26" spans="1:2" x14ac:dyDescent="0.2">
      <c r="A26" t="s">
        <v>37</v>
      </c>
      <c r="B26" t="s">
        <v>38</v>
      </c>
    </row>
    <row r="27" spans="1:2" x14ac:dyDescent="0.2">
      <c r="A27" t="s">
        <v>39</v>
      </c>
      <c r="B27" t="s">
        <v>40</v>
      </c>
    </row>
    <row r="28" spans="1:2" x14ac:dyDescent="0.2">
      <c r="A28" t="s">
        <v>41</v>
      </c>
      <c r="B28" t="s">
        <v>42</v>
      </c>
    </row>
    <row r="29" spans="1:2" x14ac:dyDescent="0.2">
      <c r="A29" t="s">
        <v>43</v>
      </c>
      <c r="B29" t="s">
        <v>44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D14"/>
  <sheetViews>
    <sheetView workbookViewId="0"/>
  </sheetViews>
  <sheetFormatPr baseColWidth="10" defaultColWidth="8.83203125" defaultRowHeight="15" x14ac:dyDescent="0.2"/>
  <cols>
    <col min="1" max="1" width="20" customWidth="1"/>
    <col min="2" max="2" width="18" customWidth="1"/>
    <col min="3" max="3" width="12" customWidth="1"/>
    <col min="4" max="4" width="35" customWidth="1"/>
  </cols>
  <sheetData>
    <row r="1" spans="1:4" ht="21" x14ac:dyDescent="0.25">
      <c r="A1" s="5" t="s">
        <v>45</v>
      </c>
    </row>
    <row r="3" spans="1:4" x14ac:dyDescent="0.2">
      <c r="A3" s="6" t="s">
        <v>45</v>
      </c>
    </row>
    <row r="4" spans="1:4" ht="31.25" customHeight="1" x14ac:dyDescent="0.2">
      <c r="A4" s="7" t="s">
        <v>46</v>
      </c>
      <c r="B4" s="31" t="s">
        <v>47</v>
      </c>
      <c r="C4" s="32"/>
      <c r="D4" s="32"/>
    </row>
    <row r="5" spans="1:4" ht="15.5" customHeight="1" x14ac:dyDescent="0.2">
      <c r="A5" s="7" t="s">
        <v>48</v>
      </c>
      <c r="B5" s="31" t="s">
        <v>49</v>
      </c>
      <c r="C5" s="32"/>
      <c r="D5" s="32"/>
    </row>
    <row r="6" spans="1:4" ht="78" customHeight="1" x14ac:dyDescent="0.2">
      <c r="A6" s="7" t="s">
        <v>50</v>
      </c>
      <c r="B6" s="31" t="s">
        <v>51</v>
      </c>
      <c r="C6" s="32"/>
      <c r="D6" s="32"/>
    </row>
    <row r="7" spans="1:4" ht="15.5" customHeight="1" x14ac:dyDescent="0.2">
      <c r="A7" s="7" t="s">
        <v>52</v>
      </c>
      <c r="B7" s="31" t="s">
        <v>53</v>
      </c>
      <c r="C7" s="32"/>
      <c r="D7" s="32"/>
    </row>
    <row r="8" spans="1:4" ht="15.5" customHeight="1" x14ac:dyDescent="0.2">
      <c r="A8" s="7" t="s">
        <v>54</v>
      </c>
      <c r="B8" s="31" t="s">
        <v>55</v>
      </c>
      <c r="C8" s="32"/>
      <c r="D8" s="32"/>
    </row>
    <row r="9" spans="1:4" x14ac:dyDescent="0.2">
      <c r="A9" s="8" t="s">
        <v>56</v>
      </c>
      <c r="B9" s="8" t="s">
        <v>57</v>
      </c>
      <c r="C9" s="8" t="s">
        <v>58</v>
      </c>
      <c r="D9" s="8" t="s">
        <v>59</v>
      </c>
    </row>
    <row r="10" spans="1:4" x14ac:dyDescent="0.2">
      <c r="A10" t="s">
        <v>60</v>
      </c>
      <c r="B10" s="9" t="s">
        <v>61</v>
      </c>
      <c r="C10" t="s">
        <v>62</v>
      </c>
      <c r="D10" t="s">
        <v>63</v>
      </c>
    </row>
    <row r="11" spans="1:4" x14ac:dyDescent="0.2">
      <c r="A11" t="s">
        <v>64</v>
      </c>
      <c r="B11" s="9" t="s">
        <v>65</v>
      </c>
      <c r="C11" t="s">
        <v>62</v>
      </c>
      <c r="D11" t="s">
        <v>66</v>
      </c>
    </row>
    <row r="12" spans="1:4" x14ac:dyDescent="0.2">
      <c r="A12" t="s">
        <v>67</v>
      </c>
      <c r="B12" s="10">
        <v>4.8000000000000001E-2</v>
      </c>
      <c r="C12" t="s">
        <v>68</v>
      </c>
      <c r="D12" t="s">
        <v>69</v>
      </c>
    </row>
    <row r="13" spans="1:4" x14ac:dyDescent="0.2">
      <c r="A13" t="s">
        <v>70</v>
      </c>
      <c r="B13" s="9">
        <v>5</v>
      </c>
      <c r="C13" t="s">
        <v>71</v>
      </c>
      <c r="D13" t="s">
        <v>72</v>
      </c>
    </row>
    <row r="14" spans="1:4" x14ac:dyDescent="0.2">
      <c r="A14" t="s">
        <v>73</v>
      </c>
      <c r="B14" s="9">
        <v>2026</v>
      </c>
      <c r="C14" t="s">
        <v>74</v>
      </c>
      <c r="D14" t="s">
        <v>75</v>
      </c>
    </row>
  </sheetData>
  <mergeCells count="5">
    <mergeCell ref="B5:D5"/>
    <mergeCell ref="B8:D8"/>
    <mergeCell ref="B4:D4"/>
    <mergeCell ref="B7:D7"/>
    <mergeCell ref="B6:D6"/>
  </mergeCells>
  <dataValidations count="2">
    <dataValidation type="list" errorTitle="Invalid Input" error="Select from dropdown" sqref="B5" xr:uid="{00000000-0002-0000-0100-000000000000}">
      <formula1>List_TestingOptions</formula1>
    </dataValidation>
    <dataValidation type="list" sqref="B6" xr:uid="{00000000-0002-0000-0100-000001000000}">
      <formula1>List_Scenarios</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08080"/>
  </sheetPr>
  <dimension ref="A1:D88"/>
  <sheetViews>
    <sheetView workbookViewId="0"/>
  </sheetViews>
  <sheetFormatPr baseColWidth="10" defaultColWidth="8.83203125" defaultRowHeight="15" x14ac:dyDescent="0.2"/>
  <cols>
    <col min="1" max="1" width="35" customWidth="1"/>
    <col min="2" max="2" width="30" customWidth="1"/>
    <col min="3" max="3" width="50" customWidth="1"/>
    <col min="4" max="4" width="15" customWidth="1"/>
  </cols>
  <sheetData>
    <row r="1" spans="1:1" ht="21" x14ac:dyDescent="0.25">
      <c r="A1" s="5" t="s">
        <v>76</v>
      </c>
    </row>
    <row r="3" spans="1:1" ht="19" x14ac:dyDescent="0.25">
      <c r="A3" s="4" t="s">
        <v>77</v>
      </c>
    </row>
    <row r="4" spans="1:1" x14ac:dyDescent="0.2">
      <c r="A4" t="s">
        <v>78</v>
      </c>
    </row>
    <row r="5" spans="1:1" x14ac:dyDescent="0.2">
      <c r="A5" t="s">
        <v>79</v>
      </c>
    </row>
    <row r="6" spans="1:1" x14ac:dyDescent="0.2">
      <c r="A6" t="s">
        <v>80</v>
      </c>
    </row>
    <row r="7" spans="1:1" x14ac:dyDescent="0.2">
      <c r="A7" t="s">
        <v>81</v>
      </c>
    </row>
    <row r="9" spans="1:1" ht="19" x14ac:dyDescent="0.25">
      <c r="A9" s="4" t="s">
        <v>82</v>
      </c>
    </row>
    <row r="10" spans="1:1" x14ac:dyDescent="0.2">
      <c r="A10" t="s">
        <v>83</v>
      </c>
    </row>
    <row r="11" spans="1:1" x14ac:dyDescent="0.2">
      <c r="A11" t="s">
        <v>84</v>
      </c>
    </row>
    <row r="12" spans="1:1" x14ac:dyDescent="0.2">
      <c r="A12" t="s">
        <v>85</v>
      </c>
    </row>
    <row r="13" spans="1:1" x14ac:dyDescent="0.2">
      <c r="A13" t="s">
        <v>86</v>
      </c>
    </row>
    <row r="14" spans="1:1" x14ac:dyDescent="0.2">
      <c r="A14" t="s">
        <v>87</v>
      </c>
    </row>
    <row r="15" spans="1:1" x14ac:dyDescent="0.2">
      <c r="A15" t="s">
        <v>88</v>
      </c>
    </row>
    <row r="16" spans="1:1" x14ac:dyDescent="0.2">
      <c r="A16" t="s">
        <v>89</v>
      </c>
    </row>
    <row r="17" spans="1:4" x14ac:dyDescent="0.2">
      <c r="A17" t="s">
        <v>90</v>
      </c>
    </row>
    <row r="19" spans="1:4" ht="19" x14ac:dyDescent="0.25">
      <c r="A19" s="4" t="s">
        <v>91</v>
      </c>
    </row>
    <row r="20" spans="1:4" x14ac:dyDescent="0.2">
      <c r="A20" t="s">
        <v>92</v>
      </c>
    </row>
    <row r="21" spans="1:4" x14ac:dyDescent="0.2">
      <c r="A21" s="8" t="s">
        <v>93</v>
      </c>
      <c r="B21" s="8" t="s">
        <v>94</v>
      </c>
      <c r="C21" s="8" t="s">
        <v>95</v>
      </c>
      <c r="D21" s="8" t="s">
        <v>96</v>
      </c>
    </row>
    <row r="22" spans="1:4" x14ac:dyDescent="0.2">
      <c r="A22" t="s">
        <v>97</v>
      </c>
      <c r="B22" t="s">
        <v>98</v>
      </c>
      <c r="C22" t="s">
        <v>99</v>
      </c>
      <c r="D22" t="s">
        <v>100</v>
      </c>
    </row>
    <row r="23" spans="1:4" x14ac:dyDescent="0.2">
      <c r="A23" t="s">
        <v>101</v>
      </c>
      <c r="B23" t="s">
        <v>98</v>
      </c>
      <c r="C23" t="s">
        <v>99</v>
      </c>
      <c r="D23" t="s">
        <v>100</v>
      </c>
    </row>
    <row r="24" spans="1:4" x14ac:dyDescent="0.2">
      <c r="A24" t="s">
        <v>102</v>
      </c>
      <c r="B24" t="s">
        <v>103</v>
      </c>
      <c r="C24" t="s">
        <v>99</v>
      </c>
      <c r="D24" t="s">
        <v>100</v>
      </c>
    </row>
    <row r="25" spans="1:4" x14ac:dyDescent="0.2">
      <c r="A25" t="s">
        <v>104</v>
      </c>
      <c r="B25" t="s">
        <v>105</v>
      </c>
      <c r="C25" t="s">
        <v>99</v>
      </c>
      <c r="D25" t="s">
        <v>100</v>
      </c>
    </row>
    <row r="27" spans="1:4" ht="19" x14ac:dyDescent="0.25">
      <c r="A27" s="4" t="s">
        <v>106</v>
      </c>
    </row>
    <row r="28" spans="1:4" x14ac:dyDescent="0.2">
      <c r="A28" s="11" t="s">
        <v>107</v>
      </c>
      <c r="B28" t="s">
        <v>108</v>
      </c>
    </row>
    <row r="29" spans="1:4" x14ac:dyDescent="0.2">
      <c r="A29" s="11" t="s">
        <v>109</v>
      </c>
      <c r="B29" t="s">
        <v>110</v>
      </c>
    </row>
    <row r="30" spans="1:4" x14ac:dyDescent="0.2">
      <c r="A30" s="11" t="s">
        <v>111</v>
      </c>
      <c r="B30" t="s">
        <v>112</v>
      </c>
    </row>
    <row r="31" spans="1:4" x14ac:dyDescent="0.2">
      <c r="A31" s="11" t="s">
        <v>113</v>
      </c>
      <c r="B31" t="s">
        <v>114</v>
      </c>
    </row>
    <row r="32" spans="1:4" x14ac:dyDescent="0.2">
      <c r="A32" s="11" t="s">
        <v>115</v>
      </c>
      <c r="B32" t="s">
        <v>116</v>
      </c>
    </row>
    <row r="33" spans="1:2" x14ac:dyDescent="0.2">
      <c r="A33" s="11" t="s">
        <v>117</v>
      </c>
      <c r="B33" t="s">
        <v>118</v>
      </c>
    </row>
    <row r="34" spans="1:2" x14ac:dyDescent="0.2">
      <c r="A34" s="11" t="s">
        <v>119</v>
      </c>
      <c r="B34" t="s">
        <v>120</v>
      </c>
    </row>
    <row r="36" spans="1:2" ht="19" x14ac:dyDescent="0.25">
      <c r="A36" s="4" t="s">
        <v>121</v>
      </c>
    </row>
    <row r="37" spans="1:2" x14ac:dyDescent="0.2">
      <c r="A37" t="s">
        <v>122</v>
      </c>
    </row>
    <row r="38" spans="1:2" x14ac:dyDescent="0.2">
      <c r="A38" t="s">
        <v>123</v>
      </c>
    </row>
    <row r="39" spans="1:2" x14ac:dyDescent="0.2">
      <c r="A39" t="s">
        <v>124</v>
      </c>
    </row>
    <row r="40" spans="1:2" x14ac:dyDescent="0.2">
      <c r="A40" t="s">
        <v>125</v>
      </c>
    </row>
    <row r="41" spans="1:2" x14ac:dyDescent="0.2">
      <c r="A41" t="s">
        <v>126</v>
      </c>
    </row>
    <row r="43" spans="1:2" ht="19" x14ac:dyDescent="0.25">
      <c r="A43" s="4" t="s">
        <v>127</v>
      </c>
    </row>
    <row r="44" spans="1:2" x14ac:dyDescent="0.2">
      <c r="A44" s="12" t="s">
        <v>128</v>
      </c>
    </row>
    <row r="45" spans="1:2" x14ac:dyDescent="0.2">
      <c r="A45" t="s">
        <v>129</v>
      </c>
    </row>
    <row r="46" spans="1:2" x14ac:dyDescent="0.2">
      <c r="A46" t="s">
        <v>130</v>
      </c>
    </row>
    <row r="47" spans="1:2" x14ac:dyDescent="0.2">
      <c r="A47" t="s">
        <v>131</v>
      </c>
    </row>
    <row r="48" spans="1:2" x14ac:dyDescent="0.2">
      <c r="A48" t="s">
        <v>132</v>
      </c>
    </row>
    <row r="50" spans="1:1" x14ac:dyDescent="0.2">
      <c r="A50" s="11" t="s">
        <v>133</v>
      </c>
    </row>
    <row r="51" spans="1:1" x14ac:dyDescent="0.2">
      <c r="A51" t="s">
        <v>134</v>
      </c>
    </row>
    <row r="52" spans="1:1" x14ac:dyDescent="0.2">
      <c r="A52" t="s">
        <v>135</v>
      </c>
    </row>
    <row r="53" spans="1:1" x14ac:dyDescent="0.2">
      <c r="A53" t="s">
        <v>136</v>
      </c>
    </row>
    <row r="55" spans="1:1" ht="19" x14ac:dyDescent="0.25">
      <c r="A55" s="4" t="s">
        <v>137</v>
      </c>
    </row>
    <row r="56" spans="1:1" x14ac:dyDescent="0.2">
      <c r="A56" s="12" t="s">
        <v>138</v>
      </c>
    </row>
    <row r="57" spans="1:1" x14ac:dyDescent="0.2">
      <c r="A57" t="s">
        <v>139</v>
      </c>
    </row>
    <row r="59" spans="1:1" x14ac:dyDescent="0.2">
      <c r="A59" s="11" t="s">
        <v>140</v>
      </c>
    </row>
    <row r="60" spans="1:1" x14ac:dyDescent="0.2">
      <c r="A60" t="s">
        <v>141</v>
      </c>
    </row>
    <row r="61" spans="1:1" x14ac:dyDescent="0.2">
      <c r="A61" t="s">
        <v>142</v>
      </c>
    </row>
    <row r="62" spans="1:1" x14ac:dyDescent="0.2">
      <c r="A62" t="s">
        <v>143</v>
      </c>
    </row>
    <row r="64" spans="1:1" x14ac:dyDescent="0.2">
      <c r="A64" s="11" t="s">
        <v>144</v>
      </c>
    </row>
    <row r="65" spans="1:1" x14ac:dyDescent="0.2">
      <c r="A65" t="s">
        <v>145</v>
      </c>
    </row>
    <row r="66" spans="1:1" x14ac:dyDescent="0.2">
      <c r="A66" t="s">
        <v>146</v>
      </c>
    </row>
    <row r="67" spans="1:1" x14ac:dyDescent="0.2">
      <c r="A67" t="s">
        <v>147</v>
      </c>
    </row>
    <row r="69" spans="1:1" x14ac:dyDescent="0.2">
      <c r="A69" s="11" t="s">
        <v>148</v>
      </c>
    </row>
    <row r="70" spans="1:1" x14ac:dyDescent="0.2">
      <c r="A70" t="s">
        <v>149</v>
      </c>
    </row>
    <row r="71" spans="1:1" x14ac:dyDescent="0.2">
      <c r="A71" t="s">
        <v>150</v>
      </c>
    </row>
    <row r="72" spans="1:1" x14ac:dyDescent="0.2">
      <c r="A72" t="s">
        <v>151</v>
      </c>
    </row>
    <row r="73" spans="1:1" x14ac:dyDescent="0.2">
      <c r="A73" t="s">
        <v>152</v>
      </c>
    </row>
    <row r="74" spans="1:1" x14ac:dyDescent="0.2">
      <c r="A74" t="s">
        <v>153</v>
      </c>
    </row>
    <row r="76" spans="1:1" x14ac:dyDescent="0.2">
      <c r="A76" s="11" t="s">
        <v>154</v>
      </c>
    </row>
    <row r="77" spans="1:1" x14ac:dyDescent="0.2">
      <c r="A77" t="s">
        <v>155</v>
      </c>
    </row>
    <row r="78" spans="1:1" x14ac:dyDescent="0.2">
      <c r="A78" t="s">
        <v>156</v>
      </c>
    </row>
    <row r="79" spans="1:1" x14ac:dyDescent="0.2">
      <c r="A79" t="s">
        <v>157</v>
      </c>
    </row>
    <row r="80" spans="1:1" x14ac:dyDescent="0.2">
      <c r="A80" t="s">
        <v>158</v>
      </c>
    </row>
    <row r="82" spans="1:3" ht="19" x14ac:dyDescent="0.25">
      <c r="A82" s="4" t="s">
        <v>159</v>
      </c>
    </row>
    <row r="83" spans="1:3" x14ac:dyDescent="0.2">
      <c r="A83" s="8" t="s">
        <v>160</v>
      </c>
      <c r="B83" s="8" t="s">
        <v>161</v>
      </c>
      <c r="C83" s="8" t="s">
        <v>162</v>
      </c>
    </row>
    <row r="84" spans="1:3" x14ac:dyDescent="0.2">
      <c r="A84" t="s">
        <v>163</v>
      </c>
      <c r="B84" t="s">
        <v>164</v>
      </c>
      <c r="C84" t="s">
        <v>165</v>
      </c>
    </row>
    <row r="85" spans="1:3" x14ac:dyDescent="0.2">
      <c r="A85" t="s">
        <v>166</v>
      </c>
      <c r="B85" t="s">
        <v>164</v>
      </c>
      <c r="C85" t="s">
        <v>167</v>
      </c>
    </row>
    <row r="86" spans="1:3" x14ac:dyDescent="0.2">
      <c r="A86" t="s">
        <v>3</v>
      </c>
      <c r="B86" t="s">
        <v>164</v>
      </c>
      <c r="C86" t="s">
        <v>168</v>
      </c>
    </row>
    <row r="87" spans="1:3" x14ac:dyDescent="0.2">
      <c r="A87" t="s">
        <v>169</v>
      </c>
      <c r="B87" t="s">
        <v>170</v>
      </c>
      <c r="C87" t="s">
        <v>171</v>
      </c>
    </row>
    <row r="88" spans="1:3" x14ac:dyDescent="0.2">
      <c r="A88" t="s">
        <v>172</v>
      </c>
      <c r="B88" t="s">
        <v>173</v>
      </c>
      <c r="C88" t="s">
        <v>174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08080"/>
  </sheetPr>
  <dimension ref="A1:D44"/>
  <sheetViews>
    <sheetView workbookViewId="0"/>
  </sheetViews>
  <sheetFormatPr baseColWidth="10" defaultColWidth="8.83203125" defaultRowHeight="15" x14ac:dyDescent="0.2"/>
  <cols>
    <col min="1" max="1" width="32" customWidth="1"/>
    <col min="2" max="3" width="18" customWidth="1"/>
    <col min="4" max="4" width="28" customWidth="1"/>
  </cols>
  <sheetData>
    <row r="1" spans="1:4" ht="21" x14ac:dyDescent="0.25">
      <c r="A1" s="5" t="s">
        <v>175</v>
      </c>
    </row>
    <row r="2" spans="1:4" x14ac:dyDescent="0.2">
      <c r="A2" s="12" t="s">
        <v>176</v>
      </c>
    </row>
    <row r="4" spans="1:4" x14ac:dyDescent="0.2">
      <c r="A4" s="8" t="s">
        <v>177</v>
      </c>
      <c r="B4" s="8" t="s">
        <v>57</v>
      </c>
      <c r="C4" s="8" t="s">
        <v>178</v>
      </c>
      <c r="D4" s="8" t="s">
        <v>179</v>
      </c>
    </row>
    <row r="5" spans="1:4" x14ac:dyDescent="0.2">
      <c r="A5" t="s">
        <v>180</v>
      </c>
      <c r="B5">
        <f>Initial_NAFC</f>
        <v>63.1</v>
      </c>
      <c r="C5" t="s">
        <v>15</v>
      </c>
      <c r="D5" t="s">
        <v>21</v>
      </c>
    </row>
    <row r="6" spans="1:4" x14ac:dyDescent="0.2">
      <c r="A6" t="s">
        <v>181</v>
      </c>
      <c r="B6">
        <f>Target_NAFC</f>
        <v>50</v>
      </c>
      <c r="C6" t="s">
        <v>15</v>
      </c>
      <c r="D6" t="s">
        <v>21</v>
      </c>
    </row>
    <row r="7" spans="1:4" x14ac:dyDescent="0.2">
      <c r="A7" t="s">
        <v>182</v>
      </c>
      <c r="B7">
        <f>Rapid_Phase_Rate</f>
        <v>0.53200000000000003</v>
      </c>
      <c r="C7" t="s">
        <v>15</v>
      </c>
      <c r="D7" t="s">
        <v>21</v>
      </c>
    </row>
    <row r="8" spans="1:4" x14ac:dyDescent="0.2">
      <c r="A8" t="s">
        <v>183</v>
      </c>
      <c r="B8">
        <f>Slow_Phase_Rate</f>
        <v>0.248</v>
      </c>
      <c r="C8" t="s">
        <v>15</v>
      </c>
      <c r="D8" t="s">
        <v>21</v>
      </c>
    </row>
    <row r="9" spans="1:4" x14ac:dyDescent="0.2">
      <c r="A9" t="s">
        <v>184</v>
      </c>
      <c r="B9">
        <f>Rapid_Phase_Duration</f>
        <v>15</v>
      </c>
      <c r="C9" t="s">
        <v>15</v>
      </c>
      <c r="D9" t="s">
        <v>21</v>
      </c>
    </row>
    <row r="10" spans="1:4" x14ac:dyDescent="0.2">
      <c r="A10" t="s">
        <v>185</v>
      </c>
      <c r="B10">
        <f>Recirculation_Cycle</f>
        <v>14</v>
      </c>
      <c r="C10" t="s">
        <v>15</v>
      </c>
      <c r="D10" t="s">
        <v>21</v>
      </c>
    </row>
    <row r="11" spans="1:4" x14ac:dyDescent="0.2">
      <c r="A11" t="s">
        <v>186</v>
      </c>
      <c r="B11">
        <f>Season_Length</f>
        <v>100</v>
      </c>
      <c r="C11" t="s">
        <v>15</v>
      </c>
      <c r="D11" t="s">
        <v>187</v>
      </c>
    </row>
    <row r="12" spans="1:4" x14ac:dyDescent="0.2">
      <c r="A12" t="s">
        <v>188</v>
      </c>
      <c r="B12" t="s">
        <v>189</v>
      </c>
      <c r="C12" t="s">
        <v>15</v>
      </c>
      <c r="D12" t="s">
        <v>21</v>
      </c>
    </row>
    <row r="13" spans="1:4" x14ac:dyDescent="0.2">
      <c r="A13" t="s">
        <v>190</v>
      </c>
      <c r="B13">
        <f>Tri_Season_Extension_Days_Min</f>
        <v>14</v>
      </c>
      <c r="C13" t="s">
        <v>19</v>
      </c>
      <c r="D13" t="s">
        <v>23</v>
      </c>
    </row>
    <row r="14" spans="1:4" x14ac:dyDescent="0.2">
      <c r="A14" t="s">
        <v>191</v>
      </c>
      <c r="B14">
        <f>Tri_Season_Extension_Days_Mode</f>
        <v>21</v>
      </c>
      <c r="C14" t="s">
        <v>19</v>
      </c>
      <c r="D14" t="s">
        <v>23</v>
      </c>
    </row>
    <row r="15" spans="1:4" x14ac:dyDescent="0.2">
      <c r="A15" t="s">
        <v>192</v>
      </c>
      <c r="B15">
        <f>Tri_Season_Extension_Days_Max</f>
        <v>35</v>
      </c>
      <c r="C15" t="s">
        <v>19</v>
      </c>
      <c r="D15" t="s">
        <v>23</v>
      </c>
    </row>
    <row r="16" spans="1:4" x14ac:dyDescent="0.2">
      <c r="A16" t="s">
        <v>193</v>
      </c>
      <c r="B16">
        <f>Tri_Extension_Value_Per_Day_Min</f>
        <v>3000</v>
      </c>
      <c r="C16" t="s">
        <v>19</v>
      </c>
      <c r="D16" t="s">
        <v>23</v>
      </c>
    </row>
    <row r="17" spans="1:4" x14ac:dyDescent="0.2">
      <c r="A17" t="s">
        <v>194</v>
      </c>
      <c r="B17">
        <f>Tri_Extension_Value_Per_Day_Mode</f>
        <v>7500</v>
      </c>
      <c r="C17" t="s">
        <v>19</v>
      </c>
      <c r="D17" t="s">
        <v>23</v>
      </c>
    </row>
    <row r="18" spans="1:4" x14ac:dyDescent="0.2">
      <c r="A18" t="s">
        <v>195</v>
      </c>
      <c r="B18">
        <f>Tri_Extension_Value_Per_Day_Max</f>
        <v>15000</v>
      </c>
      <c r="C18" t="s">
        <v>19</v>
      </c>
      <c r="D18" t="s">
        <v>23</v>
      </c>
    </row>
    <row r="19" spans="1:4" x14ac:dyDescent="0.2">
      <c r="A19" t="s">
        <v>196</v>
      </c>
      <c r="B19">
        <f>Tri_Interventions_Avoided_Min</f>
        <v>1</v>
      </c>
      <c r="C19" t="s">
        <v>19</v>
      </c>
      <c r="D19" t="s">
        <v>23</v>
      </c>
    </row>
    <row r="20" spans="1:4" x14ac:dyDescent="0.2">
      <c r="A20" t="s">
        <v>197</v>
      </c>
      <c r="B20">
        <f>Tri_Interventions_Avoided_Mode</f>
        <v>3</v>
      </c>
      <c r="C20" t="s">
        <v>19</v>
      </c>
      <c r="D20" t="s">
        <v>23</v>
      </c>
    </row>
    <row r="21" spans="1:4" x14ac:dyDescent="0.2">
      <c r="A21" t="s">
        <v>198</v>
      </c>
      <c r="B21">
        <f>Tri_Interventions_Avoided_Max</f>
        <v>8</v>
      </c>
      <c r="C21" t="s">
        <v>19</v>
      </c>
      <c r="D21" t="s">
        <v>23</v>
      </c>
    </row>
    <row r="22" spans="1:4" x14ac:dyDescent="0.2">
      <c r="A22" t="s">
        <v>199</v>
      </c>
      <c r="B22">
        <f>Tri_Treatment_Rate_Factor_Min</f>
        <v>0.7</v>
      </c>
      <c r="C22" t="s">
        <v>19</v>
      </c>
      <c r="D22" t="s">
        <v>23</v>
      </c>
    </row>
    <row r="23" spans="1:4" x14ac:dyDescent="0.2">
      <c r="A23" t="s">
        <v>200</v>
      </c>
      <c r="B23">
        <f>Tri_Treatment_Rate_Factor_Mode</f>
        <v>1</v>
      </c>
      <c r="C23" t="s">
        <v>19</v>
      </c>
      <c r="D23" t="s">
        <v>23</v>
      </c>
    </row>
    <row r="24" spans="1:4" x14ac:dyDescent="0.2">
      <c r="A24" t="s">
        <v>201</v>
      </c>
      <c r="B24">
        <f>Tri_Treatment_Rate_Factor_Max</f>
        <v>1.3</v>
      </c>
      <c r="C24" t="s">
        <v>19</v>
      </c>
      <c r="D24" t="s">
        <v>23</v>
      </c>
    </row>
    <row r="25" spans="1:4" x14ac:dyDescent="0.2">
      <c r="A25" t="s">
        <v>202</v>
      </c>
      <c r="B25">
        <f>Beta_Efficiency_Gain_Alpha</f>
        <v>2</v>
      </c>
      <c r="C25" t="s">
        <v>19</v>
      </c>
    </row>
    <row r="26" spans="1:4" x14ac:dyDescent="0.2">
      <c r="A26" t="s">
        <v>203</v>
      </c>
      <c r="B26">
        <f>Beta_Efficiency_Gain_Beta</f>
        <v>5</v>
      </c>
      <c r="C26" t="s">
        <v>19</v>
      </c>
    </row>
    <row r="27" spans="1:4" x14ac:dyDescent="0.2">
      <c r="A27" t="s">
        <v>204</v>
      </c>
      <c r="B27">
        <f>Beta_Efficiency_Gain_Min</f>
        <v>0.05</v>
      </c>
      <c r="C27" t="s">
        <v>19</v>
      </c>
      <c r="D27" t="s">
        <v>23</v>
      </c>
    </row>
    <row r="28" spans="1:4" x14ac:dyDescent="0.2">
      <c r="A28" t="s">
        <v>205</v>
      </c>
      <c r="B28">
        <f>Beta_Efficiency_Gain_Max</f>
        <v>0.4</v>
      </c>
      <c r="C28" t="s">
        <v>19</v>
      </c>
      <c r="D28" t="s">
        <v>23</v>
      </c>
    </row>
    <row r="29" spans="1:4" x14ac:dyDescent="0.2">
      <c r="A29" t="s">
        <v>206</v>
      </c>
      <c r="B29">
        <f ca="1">Eff_Rapid_Rate</f>
        <v>0.55703949536405672</v>
      </c>
      <c r="C29" t="s">
        <v>21</v>
      </c>
      <c r="D29" t="s">
        <v>21</v>
      </c>
    </row>
    <row r="30" spans="1:4" x14ac:dyDescent="0.2">
      <c r="A30" t="s">
        <v>207</v>
      </c>
      <c r="B30">
        <f ca="1">Eff_Slow_Rate</f>
        <v>0.25967254671106399</v>
      </c>
      <c r="C30" t="s">
        <v>21</v>
      </c>
      <c r="D30" t="s">
        <v>21</v>
      </c>
    </row>
    <row r="31" spans="1:4" x14ac:dyDescent="0.2">
      <c r="A31" t="s">
        <v>208</v>
      </c>
      <c r="B31">
        <f ca="1">NAFC_After_Rapid</f>
        <v>54.744407569539149</v>
      </c>
      <c r="C31" t="s">
        <v>21</v>
      </c>
      <c r="D31" t="s">
        <v>21</v>
      </c>
    </row>
    <row r="32" spans="1:4" x14ac:dyDescent="0.2">
      <c r="A32" t="s">
        <v>209</v>
      </c>
      <c r="B32">
        <f ca="1">Days_to_Compliance</f>
        <v>33.27073223423276</v>
      </c>
      <c r="C32" t="s">
        <v>21</v>
      </c>
      <c r="D32" t="s">
        <v>210</v>
      </c>
    </row>
    <row r="33" spans="1:4" x14ac:dyDescent="0.2">
      <c r="A33" t="s">
        <v>211</v>
      </c>
      <c r="B33" t="s">
        <v>189</v>
      </c>
      <c r="C33" t="s">
        <v>21</v>
      </c>
      <c r="D33" t="s">
        <v>33</v>
      </c>
    </row>
    <row r="34" spans="1:4" x14ac:dyDescent="0.2">
      <c r="A34" t="s">
        <v>212</v>
      </c>
      <c r="B34" t="s">
        <v>189</v>
      </c>
      <c r="C34" t="s">
        <v>21</v>
      </c>
      <c r="D34" t="s">
        <v>33</v>
      </c>
    </row>
    <row r="37" spans="1:4" ht="19" x14ac:dyDescent="0.25">
      <c r="A37" s="4" t="s">
        <v>213</v>
      </c>
    </row>
    <row r="38" spans="1:4" x14ac:dyDescent="0.2">
      <c r="A38" t="s">
        <v>214</v>
      </c>
    </row>
    <row r="39" spans="1:4" x14ac:dyDescent="0.2">
      <c r="A39" t="s">
        <v>215</v>
      </c>
    </row>
    <row r="41" spans="1:4" x14ac:dyDescent="0.2">
      <c r="A41" s="11" t="s">
        <v>216</v>
      </c>
    </row>
    <row r="42" spans="1:4" x14ac:dyDescent="0.2">
      <c r="A42" t="s">
        <v>217</v>
      </c>
    </row>
    <row r="43" spans="1:4" x14ac:dyDescent="0.2">
      <c r="A43" t="s">
        <v>218</v>
      </c>
    </row>
    <row r="44" spans="1:4" x14ac:dyDescent="0.2">
      <c r="A44" t="s">
        <v>219</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G126"/>
  <sheetViews>
    <sheetView workbookViewId="0"/>
  </sheetViews>
  <sheetFormatPr baseColWidth="10" defaultColWidth="8.83203125" defaultRowHeight="15" x14ac:dyDescent="0.2"/>
  <cols>
    <col min="1" max="1" width="24" customWidth="1"/>
    <col min="2" max="2" width="14" customWidth="1"/>
    <col min="3" max="3" width="12" customWidth="1"/>
    <col min="4" max="4" width="42" customWidth="1"/>
    <col min="5" max="5" width="30" customWidth="1"/>
    <col min="6" max="6" width="16" customWidth="1"/>
    <col min="7" max="7" width="14" customWidth="1"/>
  </cols>
  <sheetData>
    <row r="1" spans="1:5" ht="21" x14ac:dyDescent="0.25">
      <c r="A1" s="5" t="s">
        <v>220</v>
      </c>
    </row>
    <row r="3" spans="1:5" x14ac:dyDescent="0.2">
      <c r="A3" s="6" t="s">
        <v>221</v>
      </c>
    </row>
    <row r="4" spans="1:5" ht="15.5" customHeight="1" x14ac:dyDescent="0.2">
      <c r="A4" s="7" t="s">
        <v>46</v>
      </c>
      <c r="B4" s="31" t="s">
        <v>222</v>
      </c>
      <c r="C4" s="32"/>
      <c r="D4" s="32"/>
      <c r="E4" s="32"/>
    </row>
    <row r="5" spans="1:5" ht="15.5" customHeight="1" x14ac:dyDescent="0.2">
      <c r="A5" s="7" t="s">
        <v>48</v>
      </c>
      <c r="B5" s="31" t="s">
        <v>223</v>
      </c>
      <c r="C5" s="32"/>
      <c r="D5" s="32"/>
      <c r="E5" s="32"/>
    </row>
    <row r="6" spans="1:5" ht="31.25" customHeight="1" x14ac:dyDescent="0.2">
      <c r="A6" s="7" t="s">
        <v>50</v>
      </c>
      <c r="B6" s="31" t="s">
        <v>224</v>
      </c>
      <c r="C6" s="32"/>
      <c r="D6" s="32"/>
      <c r="E6" s="32"/>
    </row>
    <row r="7" spans="1:5" ht="15.5" customHeight="1" x14ac:dyDescent="0.2">
      <c r="A7" s="7" t="s">
        <v>52</v>
      </c>
      <c r="B7" s="31" t="s">
        <v>225</v>
      </c>
      <c r="C7" s="32"/>
      <c r="D7" s="32"/>
      <c r="E7" s="32"/>
    </row>
    <row r="8" spans="1:5" ht="15.5" customHeight="1" x14ac:dyDescent="0.2">
      <c r="A8" s="7" t="s">
        <v>54</v>
      </c>
      <c r="B8" s="31" t="s">
        <v>226</v>
      </c>
      <c r="C8" s="32"/>
      <c r="D8" s="32"/>
      <c r="E8" s="32"/>
    </row>
    <row r="9" spans="1:5" x14ac:dyDescent="0.2">
      <c r="A9" s="8" t="s">
        <v>56</v>
      </c>
      <c r="B9" s="8" t="s">
        <v>57</v>
      </c>
      <c r="C9" s="8" t="s">
        <v>227</v>
      </c>
      <c r="D9" s="8" t="s">
        <v>228</v>
      </c>
      <c r="E9" s="8" t="s">
        <v>179</v>
      </c>
    </row>
    <row r="10" spans="1:5" x14ac:dyDescent="0.2">
      <c r="A10" t="s">
        <v>229</v>
      </c>
      <c r="B10" s="9">
        <v>5</v>
      </c>
      <c r="C10" t="s">
        <v>230</v>
      </c>
      <c r="D10" t="s">
        <v>231</v>
      </c>
    </row>
    <row r="11" spans="1:5" x14ac:dyDescent="0.2">
      <c r="A11" t="s">
        <v>232</v>
      </c>
      <c r="B11" s="9">
        <v>15</v>
      </c>
      <c r="C11" t="s">
        <v>233</v>
      </c>
      <c r="D11" t="s">
        <v>234</v>
      </c>
    </row>
    <row r="12" spans="1:5" x14ac:dyDescent="0.2">
      <c r="A12" t="s">
        <v>235</v>
      </c>
      <c r="B12" s="9">
        <v>9</v>
      </c>
      <c r="C12" t="s">
        <v>230</v>
      </c>
      <c r="D12" t="s">
        <v>236</v>
      </c>
    </row>
    <row r="13" spans="1:5" x14ac:dyDescent="0.2">
      <c r="A13" t="s">
        <v>237</v>
      </c>
      <c r="B13" s="9">
        <v>15</v>
      </c>
      <c r="C13" t="s">
        <v>233</v>
      </c>
      <c r="D13" t="s">
        <v>238</v>
      </c>
    </row>
    <row r="14" spans="1:5" x14ac:dyDescent="0.2">
      <c r="A14" t="s">
        <v>239</v>
      </c>
      <c r="B14" s="9">
        <v>100</v>
      </c>
      <c r="C14" t="s">
        <v>240</v>
      </c>
      <c r="D14" t="s">
        <v>241</v>
      </c>
      <c r="E14" t="s">
        <v>187</v>
      </c>
    </row>
    <row r="16" spans="1:5" x14ac:dyDescent="0.2">
      <c r="A16" s="6" t="s">
        <v>242</v>
      </c>
    </row>
    <row r="17" spans="1:5" ht="31.25" customHeight="1" x14ac:dyDescent="0.2">
      <c r="A17" s="7" t="s">
        <v>46</v>
      </c>
      <c r="B17" s="31" t="s">
        <v>243</v>
      </c>
      <c r="C17" s="32"/>
      <c r="D17" s="32"/>
    </row>
    <row r="18" spans="1:5" ht="31.25" customHeight="1" x14ac:dyDescent="0.2">
      <c r="A18" s="7" t="s">
        <v>48</v>
      </c>
      <c r="B18" s="31" t="s">
        <v>244</v>
      </c>
      <c r="C18" s="32"/>
      <c r="D18" s="32"/>
    </row>
    <row r="19" spans="1:5" ht="31.25" customHeight="1" x14ac:dyDescent="0.2">
      <c r="A19" s="7" t="s">
        <v>50</v>
      </c>
      <c r="B19" s="31" t="s">
        <v>245</v>
      </c>
      <c r="C19" s="32"/>
      <c r="D19" s="32"/>
    </row>
    <row r="20" spans="1:5" ht="15.5" customHeight="1" x14ac:dyDescent="0.2">
      <c r="A20" s="7" t="s">
        <v>52</v>
      </c>
      <c r="B20" s="31" t="s">
        <v>246</v>
      </c>
      <c r="C20" s="32"/>
      <c r="D20" s="32"/>
    </row>
    <row r="21" spans="1:5" ht="15.5" customHeight="1" x14ac:dyDescent="0.2">
      <c r="A21" s="7" t="s">
        <v>54</v>
      </c>
      <c r="B21" s="31" t="s">
        <v>247</v>
      </c>
      <c r="C21" s="32"/>
      <c r="D21" s="32"/>
    </row>
    <row r="22" spans="1:5" x14ac:dyDescent="0.2">
      <c r="A22" s="8" t="s">
        <v>248</v>
      </c>
      <c r="B22" s="8" t="s">
        <v>249</v>
      </c>
      <c r="C22" s="8" t="s">
        <v>250</v>
      </c>
      <c r="D22" s="8" t="s">
        <v>251</v>
      </c>
    </row>
    <row r="23" spans="1:5" x14ac:dyDescent="0.2">
      <c r="A23" t="s">
        <v>231</v>
      </c>
      <c r="B23">
        <v>5</v>
      </c>
      <c r="C23" s="9">
        <v>0.85</v>
      </c>
      <c r="D23" t="s">
        <v>252</v>
      </c>
    </row>
    <row r="24" spans="1:5" x14ac:dyDescent="0.2">
      <c r="A24" t="s">
        <v>253</v>
      </c>
      <c r="B24">
        <v>6</v>
      </c>
      <c r="C24" s="9">
        <v>1</v>
      </c>
      <c r="D24" t="s">
        <v>254</v>
      </c>
    </row>
    <row r="25" spans="1:5" x14ac:dyDescent="0.2">
      <c r="A25" t="s">
        <v>255</v>
      </c>
      <c r="B25">
        <v>7</v>
      </c>
      <c r="C25" s="9">
        <v>1</v>
      </c>
      <c r="D25" t="s">
        <v>254</v>
      </c>
    </row>
    <row r="26" spans="1:5" x14ac:dyDescent="0.2">
      <c r="A26" t="s">
        <v>256</v>
      </c>
      <c r="B26">
        <v>8</v>
      </c>
      <c r="C26" s="9">
        <v>0.95</v>
      </c>
      <c r="D26" t="s">
        <v>257</v>
      </c>
    </row>
    <row r="27" spans="1:5" x14ac:dyDescent="0.2">
      <c r="A27" t="s">
        <v>236</v>
      </c>
      <c r="B27">
        <v>9</v>
      </c>
      <c r="C27" s="9">
        <v>0.75</v>
      </c>
      <c r="D27" t="s">
        <v>258</v>
      </c>
    </row>
    <row r="30" spans="1:5" x14ac:dyDescent="0.2">
      <c r="A30" s="6" t="s">
        <v>259</v>
      </c>
    </row>
    <row r="31" spans="1:5" ht="15.5" customHeight="1" x14ac:dyDescent="0.2">
      <c r="A31" s="7" t="s">
        <v>46</v>
      </c>
      <c r="B31" s="31" t="s">
        <v>260</v>
      </c>
      <c r="C31" s="32"/>
      <c r="D31" s="32"/>
      <c r="E31" s="32"/>
    </row>
    <row r="32" spans="1:5" ht="15.5" customHeight="1" x14ac:dyDescent="0.2">
      <c r="A32" s="7" t="s">
        <v>48</v>
      </c>
      <c r="B32" s="31" t="s">
        <v>261</v>
      </c>
      <c r="C32" s="32"/>
      <c r="D32" s="32"/>
      <c r="E32" s="32"/>
    </row>
    <row r="33" spans="1:5" ht="31.25" customHeight="1" x14ac:dyDescent="0.2">
      <c r="A33" s="7" t="s">
        <v>50</v>
      </c>
      <c r="B33" s="31" t="s">
        <v>262</v>
      </c>
      <c r="C33" s="32"/>
      <c r="D33" s="32"/>
      <c r="E33" s="32"/>
    </row>
    <row r="34" spans="1:5" ht="15.5" customHeight="1" x14ac:dyDescent="0.2">
      <c r="A34" s="7" t="s">
        <v>52</v>
      </c>
      <c r="B34" s="31" t="s">
        <v>263</v>
      </c>
      <c r="C34" s="32"/>
      <c r="D34" s="32"/>
      <c r="E34" s="32"/>
    </row>
    <row r="35" spans="1:5" ht="15.5" customHeight="1" x14ac:dyDescent="0.2">
      <c r="A35" s="7" t="s">
        <v>54</v>
      </c>
      <c r="B35" s="31" t="s">
        <v>264</v>
      </c>
      <c r="C35" s="32"/>
      <c r="D35" s="32"/>
      <c r="E35" s="32"/>
    </row>
    <row r="36" spans="1:5" x14ac:dyDescent="0.2">
      <c r="A36" s="8" t="s">
        <v>56</v>
      </c>
      <c r="B36" s="8" t="s">
        <v>57</v>
      </c>
      <c r="C36" s="8" t="s">
        <v>227</v>
      </c>
      <c r="D36" s="8" t="s">
        <v>265</v>
      </c>
      <c r="E36" s="8" t="s">
        <v>179</v>
      </c>
    </row>
    <row r="37" spans="1:5" x14ac:dyDescent="0.2">
      <c r="A37" t="s">
        <v>266</v>
      </c>
      <c r="B37" s="9">
        <v>1</v>
      </c>
      <c r="C37" t="s">
        <v>267</v>
      </c>
      <c r="D37" t="s">
        <v>268</v>
      </c>
    </row>
    <row r="38" spans="1:5" x14ac:dyDescent="0.2">
      <c r="A38" t="s">
        <v>269</v>
      </c>
      <c r="B38" s="9">
        <v>5</v>
      </c>
      <c r="C38" t="s">
        <v>270</v>
      </c>
      <c r="D38" t="s">
        <v>271</v>
      </c>
    </row>
    <row r="39" spans="1:5" x14ac:dyDescent="0.2">
      <c r="A39" t="s">
        <v>272</v>
      </c>
      <c r="B39" s="9">
        <v>50000</v>
      </c>
      <c r="C39" t="s">
        <v>273</v>
      </c>
      <c r="D39" t="s">
        <v>274</v>
      </c>
    </row>
    <row r="40" spans="1:5" x14ac:dyDescent="0.2">
      <c r="A40" t="s">
        <v>275</v>
      </c>
      <c r="B40" s="13">
        <v>5</v>
      </c>
      <c r="C40" t="s">
        <v>276</v>
      </c>
      <c r="D40" t="s">
        <v>277</v>
      </c>
    </row>
    <row r="43" spans="1:5" x14ac:dyDescent="0.2">
      <c r="A43" s="6" t="s">
        <v>278</v>
      </c>
    </row>
    <row r="44" spans="1:5" ht="15.5" customHeight="1" x14ac:dyDescent="0.2">
      <c r="A44" s="7" t="s">
        <v>46</v>
      </c>
      <c r="B44" s="31" t="s">
        <v>279</v>
      </c>
      <c r="C44" s="32"/>
      <c r="D44" s="32"/>
    </row>
    <row r="45" spans="1:5" ht="15.5" customHeight="1" x14ac:dyDescent="0.2">
      <c r="A45" s="7" t="s">
        <v>48</v>
      </c>
      <c r="B45" s="31" t="s">
        <v>280</v>
      </c>
      <c r="C45" s="32"/>
      <c r="D45" s="32"/>
    </row>
    <row r="46" spans="1:5" ht="31.25" customHeight="1" x14ac:dyDescent="0.2">
      <c r="A46" s="7" t="s">
        <v>50</v>
      </c>
      <c r="B46" s="31" t="s">
        <v>281</v>
      </c>
      <c r="C46" s="32"/>
      <c r="D46" s="32"/>
    </row>
    <row r="47" spans="1:5" ht="15.5" customHeight="1" x14ac:dyDescent="0.2">
      <c r="A47" s="7" t="s">
        <v>52</v>
      </c>
      <c r="B47" s="31" t="s">
        <v>282</v>
      </c>
      <c r="C47" s="32"/>
      <c r="D47" s="32"/>
    </row>
    <row r="48" spans="1:5" ht="15.5" customHeight="1" x14ac:dyDescent="0.2">
      <c r="A48" s="7" t="s">
        <v>54</v>
      </c>
      <c r="B48" s="31" t="s">
        <v>283</v>
      </c>
      <c r="C48" s="32"/>
      <c r="D48" s="32"/>
    </row>
    <row r="49" spans="1:4" x14ac:dyDescent="0.2">
      <c r="A49" s="8" t="s">
        <v>56</v>
      </c>
      <c r="B49" s="8" t="s">
        <v>57</v>
      </c>
      <c r="C49" s="8" t="s">
        <v>227</v>
      </c>
      <c r="D49" s="8" t="s">
        <v>179</v>
      </c>
    </row>
    <row r="50" spans="1:4" x14ac:dyDescent="0.2">
      <c r="A50" t="s">
        <v>284</v>
      </c>
      <c r="B50" s="14">
        <v>1500</v>
      </c>
      <c r="C50" t="s">
        <v>285</v>
      </c>
    </row>
    <row r="51" spans="1:4" x14ac:dyDescent="0.2">
      <c r="A51" t="s">
        <v>286</v>
      </c>
      <c r="B51" s="14">
        <v>50000</v>
      </c>
      <c r="C51" t="s">
        <v>287</v>
      </c>
    </row>
    <row r="52" spans="1:4" x14ac:dyDescent="0.2">
      <c r="A52" t="s">
        <v>288</v>
      </c>
      <c r="B52" s="14">
        <v>15000</v>
      </c>
      <c r="C52" t="s">
        <v>285</v>
      </c>
    </row>
    <row r="55" spans="1:4" x14ac:dyDescent="0.2">
      <c r="A55" s="6" t="s">
        <v>289</v>
      </c>
    </row>
    <row r="56" spans="1:4" ht="31.25" customHeight="1" x14ac:dyDescent="0.2">
      <c r="A56" s="7" t="s">
        <v>46</v>
      </c>
      <c r="B56" s="31" t="s">
        <v>290</v>
      </c>
      <c r="C56" s="32"/>
      <c r="D56" s="32"/>
    </row>
    <row r="57" spans="1:4" ht="31.25" customHeight="1" x14ac:dyDescent="0.2">
      <c r="A57" s="7" t="s">
        <v>48</v>
      </c>
      <c r="B57" s="31" t="s">
        <v>291</v>
      </c>
      <c r="C57" s="32"/>
      <c r="D57" s="32"/>
    </row>
    <row r="58" spans="1:4" ht="31.25" customHeight="1" x14ac:dyDescent="0.2">
      <c r="A58" s="7" t="s">
        <v>50</v>
      </c>
      <c r="B58" s="31" t="s">
        <v>292</v>
      </c>
      <c r="C58" s="32"/>
      <c r="D58" s="32"/>
    </row>
    <row r="59" spans="1:4" ht="15.5" customHeight="1" x14ac:dyDescent="0.2">
      <c r="A59" s="7" t="s">
        <v>52</v>
      </c>
      <c r="B59" s="31" t="s">
        <v>293</v>
      </c>
      <c r="C59" s="32"/>
      <c r="D59" s="32"/>
    </row>
    <row r="60" spans="1:4" ht="15.5" customHeight="1" x14ac:dyDescent="0.2">
      <c r="A60" s="7" t="s">
        <v>54</v>
      </c>
      <c r="B60" s="31" t="s">
        <v>294</v>
      </c>
      <c r="C60" s="32"/>
      <c r="D60" s="32"/>
    </row>
    <row r="61" spans="1:4" x14ac:dyDescent="0.2">
      <c r="A61" s="8" t="s">
        <v>295</v>
      </c>
      <c r="B61" s="8" t="s">
        <v>250</v>
      </c>
      <c r="C61" s="8" t="s">
        <v>228</v>
      </c>
      <c r="D61" s="8" t="s">
        <v>179</v>
      </c>
    </row>
    <row r="62" spans="1:4" x14ac:dyDescent="0.2">
      <c r="A62">
        <v>1</v>
      </c>
      <c r="B62" s="9">
        <v>0.5</v>
      </c>
      <c r="C62" t="s">
        <v>296</v>
      </c>
      <c r="D62" t="s">
        <v>21</v>
      </c>
    </row>
    <row r="63" spans="1:4" x14ac:dyDescent="0.2">
      <c r="A63">
        <v>2</v>
      </c>
      <c r="B63" s="9">
        <v>0.75</v>
      </c>
      <c r="C63" t="s">
        <v>297</v>
      </c>
      <c r="D63" t="s">
        <v>21</v>
      </c>
    </row>
    <row r="64" spans="1:4" x14ac:dyDescent="0.2">
      <c r="A64">
        <v>3</v>
      </c>
      <c r="B64" s="9">
        <v>1</v>
      </c>
      <c r="C64" t="s">
        <v>298</v>
      </c>
      <c r="D64" t="s">
        <v>21</v>
      </c>
    </row>
    <row r="65" spans="1:7" x14ac:dyDescent="0.2">
      <c r="A65">
        <v>4</v>
      </c>
      <c r="B65" s="9">
        <v>1</v>
      </c>
      <c r="C65" t="s">
        <v>299</v>
      </c>
      <c r="D65" t="s">
        <v>21</v>
      </c>
    </row>
    <row r="66" spans="1:7" x14ac:dyDescent="0.2">
      <c r="A66">
        <v>5</v>
      </c>
      <c r="B66" s="9">
        <v>1</v>
      </c>
      <c r="C66" t="s">
        <v>299</v>
      </c>
      <c r="D66" t="s">
        <v>21</v>
      </c>
    </row>
    <row r="69" spans="1:7" x14ac:dyDescent="0.2">
      <c r="A69" s="6" t="s">
        <v>300</v>
      </c>
    </row>
    <row r="70" spans="1:7" ht="15.5" customHeight="1" x14ac:dyDescent="0.2">
      <c r="A70" s="7" t="s">
        <v>46</v>
      </c>
      <c r="B70" s="31" t="s">
        <v>301</v>
      </c>
      <c r="C70" s="32"/>
      <c r="D70" s="32"/>
      <c r="E70" s="32"/>
      <c r="F70" s="32"/>
      <c r="G70" s="32"/>
    </row>
    <row r="71" spans="1:7" ht="15.5" customHeight="1" x14ac:dyDescent="0.2">
      <c r="A71" s="7" t="s">
        <v>48</v>
      </c>
      <c r="B71" s="31" t="s">
        <v>302</v>
      </c>
      <c r="C71" s="32"/>
      <c r="D71" s="32"/>
      <c r="E71" s="32"/>
      <c r="F71" s="32"/>
      <c r="G71" s="32"/>
    </row>
    <row r="72" spans="1:7" ht="46.75" customHeight="1" x14ac:dyDescent="0.2">
      <c r="A72" s="7" t="s">
        <v>50</v>
      </c>
      <c r="B72" s="31" t="s">
        <v>303</v>
      </c>
      <c r="C72" s="32"/>
      <c r="D72" s="32"/>
      <c r="E72" s="32"/>
      <c r="F72" s="32"/>
      <c r="G72" s="32"/>
    </row>
    <row r="73" spans="1:7" ht="15.5" customHeight="1" x14ac:dyDescent="0.2">
      <c r="A73" s="7" t="s">
        <v>52</v>
      </c>
      <c r="B73" s="31" t="s">
        <v>304</v>
      </c>
      <c r="C73" s="32"/>
      <c r="D73" s="32"/>
      <c r="E73" s="32"/>
      <c r="F73" s="32"/>
      <c r="G73" s="32"/>
    </row>
    <row r="74" spans="1:7" ht="15.5" customHeight="1" x14ac:dyDescent="0.2">
      <c r="A74" s="7" t="s">
        <v>54</v>
      </c>
      <c r="B74" s="31" t="s">
        <v>305</v>
      </c>
      <c r="C74" s="32"/>
      <c r="D74" s="32"/>
      <c r="E74" s="32"/>
      <c r="F74" s="32"/>
      <c r="G74" s="32"/>
    </row>
    <row r="75" spans="1:7" x14ac:dyDescent="0.2">
      <c r="A75" s="8" t="s">
        <v>306</v>
      </c>
      <c r="B75" s="8" t="s">
        <v>307</v>
      </c>
      <c r="C75" s="8" t="s">
        <v>308</v>
      </c>
      <c r="D75" s="8" t="s">
        <v>309</v>
      </c>
      <c r="E75" s="8" t="s">
        <v>310</v>
      </c>
      <c r="F75" s="8" t="s">
        <v>311</v>
      </c>
      <c r="G75" s="8" t="s">
        <v>179</v>
      </c>
    </row>
    <row r="76" spans="1:7" x14ac:dyDescent="0.2">
      <c r="A76" t="s">
        <v>312</v>
      </c>
      <c r="B76" t="s">
        <v>107</v>
      </c>
      <c r="C76">
        <v>30</v>
      </c>
      <c r="D76">
        <v>2</v>
      </c>
      <c r="E76" s="15">
        <v>1000</v>
      </c>
      <c r="F76">
        <v>42</v>
      </c>
    </row>
    <row r="77" spans="1:7" x14ac:dyDescent="0.2">
      <c r="A77" t="s">
        <v>313</v>
      </c>
      <c r="B77" t="s">
        <v>107</v>
      </c>
      <c r="C77">
        <v>7</v>
      </c>
      <c r="D77">
        <v>2</v>
      </c>
      <c r="E77" s="15">
        <v>1000</v>
      </c>
      <c r="F77">
        <v>42</v>
      </c>
    </row>
    <row r="78" spans="1:7" x14ac:dyDescent="0.2">
      <c r="A78" t="s">
        <v>61</v>
      </c>
      <c r="B78" t="s">
        <v>314</v>
      </c>
      <c r="C78">
        <v>1</v>
      </c>
      <c r="D78">
        <v>10</v>
      </c>
      <c r="E78" s="15">
        <v>10</v>
      </c>
      <c r="F78">
        <v>1</v>
      </c>
    </row>
    <row r="80" spans="1:7" x14ac:dyDescent="0.2">
      <c r="A80" s="6" t="s">
        <v>315</v>
      </c>
    </row>
    <row r="81" spans="1:5" ht="15.5" customHeight="1" x14ac:dyDescent="0.2">
      <c r="A81" s="7" t="s">
        <v>46</v>
      </c>
      <c r="B81" s="31" t="s">
        <v>316</v>
      </c>
      <c r="C81" s="32"/>
      <c r="D81" s="32"/>
      <c r="E81" s="32"/>
    </row>
    <row r="82" spans="1:5" ht="15.5" customHeight="1" x14ac:dyDescent="0.2">
      <c r="A82" s="7" t="s">
        <v>48</v>
      </c>
      <c r="B82" s="31" t="s">
        <v>317</v>
      </c>
      <c r="C82" s="32"/>
      <c r="D82" s="32"/>
      <c r="E82" s="32"/>
    </row>
    <row r="83" spans="1:5" ht="46.75" customHeight="1" x14ac:dyDescent="0.2">
      <c r="A83" s="7" t="s">
        <v>50</v>
      </c>
      <c r="B83" s="31" t="s">
        <v>318</v>
      </c>
      <c r="C83" s="32"/>
      <c r="D83" s="32"/>
      <c r="E83" s="32"/>
    </row>
    <row r="84" spans="1:5" ht="15.5" customHeight="1" x14ac:dyDescent="0.2">
      <c r="A84" s="7" t="s">
        <v>52</v>
      </c>
      <c r="B84" s="31" t="s">
        <v>319</v>
      </c>
      <c r="C84" s="32"/>
      <c r="D84" s="32"/>
      <c r="E84" s="32"/>
    </row>
    <row r="85" spans="1:5" ht="15.5" customHeight="1" x14ac:dyDescent="0.2">
      <c r="A85" s="7" t="s">
        <v>54</v>
      </c>
      <c r="B85" s="31" t="s">
        <v>320</v>
      </c>
      <c r="C85" s="32"/>
      <c r="D85" s="32"/>
      <c r="E85" s="32"/>
    </row>
    <row r="86" spans="1:5" x14ac:dyDescent="0.2">
      <c r="A86" s="8" t="s">
        <v>306</v>
      </c>
      <c r="B86" s="8" t="s">
        <v>321</v>
      </c>
      <c r="C86" s="8" t="s">
        <v>322</v>
      </c>
      <c r="D86" s="8" t="s">
        <v>323</v>
      </c>
      <c r="E86" s="8" t="s">
        <v>324</v>
      </c>
    </row>
    <row r="87" spans="1:5" x14ac:dyDescent="0.2">
      <c r="A87" t="s">
        <v>312</v>
      </c>
      <c r="B87" t="str">
        <f>IF(INDEX(TestOpt_Latency,1)&lt;=7,"ENABLED","BLOCKED")</f>
        <v>BLOCKED</v>
      </c>
      <c r="C87" t="str">
        <f>IF(INDEX(TestOpt_Latency,1)&lt;=7,"ENABLED","BLOCKED")</f>
        <v>BLOCKED</v>
      </c>
      <c r="D87" t="str">
        <f>IF(INDEX(TestOpt_Latency,1)&lt;=14,"ENABLED","BLOCKED")</f>
        <v>BLOCKED</v>
      </c>
      <c r="E87" t="str">
        <f>IF(INDEX(TestOpt_Latency,1)&lt;=3,"ENABLED","BLOCKED")</f>
        <v>BLOCKED</v>
      </c>
    </row>
    <row r="88" spans="1:5" x14ac:dyDescent="0.2">
      <c r="A88" t="s">
        <v>313</v>
      </c>
      <c r="B88" t="str">
        <f>IF(INDEX(TestOpt_Latency,2)&lt;=7,"ENABLED","BLOCKED")</f>
        <v>BLOCKED</v>
      </c>
      <c r="C88" t="str">
        <f>IF(INDEX(TestOpt_Latency,2)&lt;=7,"ENABLED","BLOCKED")</f>
        <v>BLOCKED</v>
      </c>
      <c r="D88" t="str">
        <f>IF(INDEX(TestOpt_Latency,2)&lt;=14,"ENABLED","BLOCKED")</f>
        <v>BLOCKED</v>
      </c>
      <c r="E88" t="str">
        <f>IF(INDEX(TestOpt_Latency,2)&lt;=3,"ENABLED","BLOCKED")</f>
        <v>BLOCKED</v>
      </c>
    </row>
    <row r="89" spans="1:5" x14ac:dyDescent="0.2">
      <c r="A89" t="s">
        <v>61</v>
      </c>
      <c r="B89" t="str">
        <f>IF(INDEX(TestOpt_Latency,3)&lt;=7,"ENABLED","BLOCKED")</f>
        <v>ENABLED</v>
      </c>
      <c r="C89" t="str">
        <f>IF(INDEX(TestOpt_Latency,3)&lt;=7,"ENABLED","BLOCKED")</f>
        <v>ENABLED</v>
      </c>
      <c r="D89" t="str">
        <f>IF(INDEX(TestOpt_Latency,3)&lt;=14,"ENABLED","BLOCKED")</f>
        <v>ENABLED</v>
      </c>
      <c r="E89" t="str">
        <f>IF(INDEX(TestOpt_Latency,3)&lt;=3,"ENABLED","BLOCKED")</f>
        <v>ENABLED</v>
      </c>
    </row>
    <row r="92" spans="1:5" ht="19" x14ac:dyDescent="0.25">
      <c r="A92" s="4" t="s">
        <v>325</v>
      </c>
    </row>
    <row r="93" spans="1:5" x14ac:dyDescent="0.2">
      <c r="A93" t="s">
        <v>326</v>
      </c>
      <c r="B93" t="s">
        <v>327</v>
      </c>
    </row>
    <row r="94" spans="1:5" x14ac:dyDescent="0.2">
      <c r="A94" t="s">
        <v>312</v>
      </c>
      <c r="B94" t="s">
        <v>65</v>
      </c>
    </row>
    <row r="95" spans="1:5" x14ac:dyDescent="0.2">
      <c r="A95" t="s">
        <v>313</v>
      </c>
      <c r="B95" t="s">
        <v>328</v>
      </c>
    </row>
    <row r="96" spans="1:5" x14ac:dyDescent="0.2">
      <c r="A96" t="s">
        <v>61</v>
      </c>
      <c r="B96" t="s">
        <v>329</v>
      </c>
    </row>
    <row r="98" spans="1:5" ht="19" x14ac:dyDescent="0.25">
      <c r="A98" s="4" t="s">
        <v>330</v>
      </c>
    </row>
    <row r="99" spans="1:5" x14ac:dyDescent="0.2">
      <c r="A99" t="s">
        <v>331</v>
      </c>
    </row>
    <row r="101" spans="1:5" x14ac:dyDescent="0.2">
      <c r="A101" s="6" t="s">
        <v>332</v>
      </c>
    </row>
    <row r="102" spans="1:5" ht="15.5" customHeight="1" x14ac:dyDescent="0.2">
      <c r="A102" s="7" t="s">
        <v>46</v>
      </c>
      <c r="B102" s="31" t="s">
        <v>333</v>
      </c>
      <c r="C102" s="32"/>
      <c r="D102" s="32"/>
      <c r="E102" s="32"/>
    </row>
    <row r="103" spans="1:5" ht="15.5" customHeight="1" x14ac:dyDescent="0.2">
      <c r="A103" s="7" t="s">
        <v>48</v>
      </c>
      <c r="B103" s="31" t="s">
        <v>334</v>
      </c>
      <c r="C103" s="32"/>
      <c r="D103" s="32"/>
      <c r="E103" s="32"/>
    </row>
    <row r="104" spans="1:5" ht="31.25" customHeight="1" x14ac:dyDescent="0.2">
      <c r="A104" s="7" t="s">
        <v>50</v>
      </c>
      <c r="B104" s="31" t="s">
        <v>335</v>
      </c>
      <c r="C104" s="32"/>
      <c r="D104" s="32"/>
      <c r="E104" s="32"/>
    </row>
    <row r="105" spans="1:5" ht="15.5" customHeight="1" x14ac:dyDescent="0.2">
      <c r="A105" s="7" t="s">
        <v>52</v>
      </c>
      <c r="B105" s="31" t="s">
        <v>336</v>
      </c>
      <c r="C105" s="32"/>
      <c r="D105" s="32"/>
      <c r="E105" s="32"/>
    </row>
    <row r="106" spans="1:5" ht="15.5" customHeight="1" x14ac:dyDescent="0.2">
      <c r="A106" s="7" t="s">
        <v>54</v>
      </c>
      <c r="B106" s="31" t="s">
        <v>337</v>
      </c>
      <c r="C106" s="32"/>
      <c r="D106" s="32"/>
      <c r="E106" s="32"/>
    </row>
    <row r="107" spans="1:5" x14ac:dyDescent="0.2">
      <c r="A107" s="8" t="s">
        <v>56</v>
      </c>
      <c r="B107" s="8" t="s">
        <v>57</v>
      </c>
      <c r="C107" s="8" t="s">
        <v>227</v>
      </c>
      <c r="D107" s="8" t="s">
        <v>228</v>
      </c>
      <c r="E107" s="8" t="s">
        <v>179</v>
      </c>
    </row>
    <row r="108" spans="1:5" x14ac:dyDescent="0.2">
      <c r="A108" t="s">
        <v>180</v>
      </c>
      <c r="B108" s="16">
        <v>63.1</v>
      </c>
      <c r="C108" t="s">
        <v>338</v>
      </c>
      <c r="D108" t="s">
        <v>339</v>
      </c>
      <c r="E108" t="s">
        <v>21</v>
      </c>
    </row>
    <row r="109" spans="1:5" x14ac:dyDescent="0.2">
      <c r="A109" t="s">
        <v>181</v>
      </c>
      <c r="B109" s="16">
        <v>50</v>
      </c>
      <c r="C109" t="s">
        <v>338</v>
      </c>
      <c r="D109" t="s">
        <v>340</v>
      </c>
      <c r="E109" t="s">
        <v>21</v>
      </c>
    </row>
    <row r="110" spans="1:5" x14ac:dyDescent="0.2">
      <c r="A110" t="s">
        <v>182</v>
      </c>
      <c r="B110" s="16">
        <v>0.53200000000000003</v>
      </c>
      <c r="C110" t="s">
        <v>341</v>
      </c>
      <c r="D110" t="s">
        <v>342</v>
      </c>
      <c r="E110" t="s">
        <v>21</v>
      </c>
    </row>
    <row r="111" spans="1:5" x14ac:dyDescent="0.2">
      <c r="A111" t="s">
        <v>183</v>
      </c>
      <c r="B111" s="16">
        <v>0.248</v>
      </c>
      <c r="C111" t="s">
        <v>341</v>
      </c>
      <c r="D111" t="s">
        <v>343</v>
      </c>
      <c r="E111" t="s">
        <v>21</v>
      </c>
    </row>
    <row r="112" spans="1:5" x14ac:dyDescent="0.2">
      <c r="A112" t="s">
        <v>184</v>
      </c>
      <c r="B112" s="9">
        <v>15</v>
      </c>
      <c r="C112" t="s">
        <v>240</v>
      </c>
      <c r="D112" t="s">
        <v>344</v>
      </c>
      <c r="E112" t="s">
        <v>21</v>
      </c>
    </row>
    <row r="113" spans="1:5" x14ac:dyDescent="0.2">
      <c r="A113" t="s">
        <v>185</v>
      </c>
      <c r="B113" s="9">
        <v>14</v>
      </c>
      <c r="C113" t="s">
        <v>240</v>
      </c>
      <c r="D113" t="s">
        <v>345</v>
      </c>
      <c r="E113" t="s">
        <v>21</v>
      </c>
    </row>
    <row r="114" spans="1:5" x14ac:dyDescent="0.2">
      <c r="A114" t="s">
        <v>346</v>
      </c>
      <c r="B114" s="9">
        <v>8772</v>
      </c>
      <c r="C114" t="s">
        <v>347</v>
      </c>
      <c r="D114" t="s">
        <v>348</v>
      </c>
    </row>
    <row r="117" spans="1:5" x14ac:dyDescent="0.2">
      <c r="A117" s="6" t="s">
        <v>349</v>
      </c>
    </row>
    <row r="118" spans="1:5" ht="31.25" customHeight="1" x14ac:dyDescent="0.2">
      <c r="A118" s="7" t="s">
        <v>46</v>
      </c>
      <c r="B118" s="31" t="s">
        <v>350</v>
      </c>
      <c r="C118" s="32"/>
      <c r="D118" s="32"/>
    </row>
    <row r="119" spans="1:5" ht="15.5" customHeight="1" x14ac:dyDescent="0.2">
      <c r="A119" s="7" t="s">
        <v>48</v>
      </c>
      <c r="B119" s="31" t="s">
        <v>351</v>
      </c>
      <c r="C119" s="32"/>
      <c r="D119" s="32"/>
    </row>
    <row r="120" spans="1:5" ht="31.25" customHeight="1" x14ac:dyDescent="0.2">
      <c r="A120" s="7" t="s">
        <v>50</v>
      </c>
      <c r="B120" s="31" t="s">
        <v>352</v>
      </c>
      <c r="C120" s="32"/>
      <c r="D120" s="32"/>
    </row>
    <row r="121" spans="1:5" ht="15.5" customHeight="1" x14ac:dyDescent="0.2">
      <c r="A121" s="7" t="s">
        <v>52</v>
      </c>
      <c r="B121" s="31" t="s">
        <v>353</v>
      </c>
      <c r="C121" s="32"/>
      <c r="D121" s="32"/>
    </row>
    <row r="122" spans="1:5" ht="15.5" customHeight="1" x14ac:dyDescent="0.2">
      <c r="A122" s="7" t="s">
        <v>54</v>
      </c>
      <c r="B122" s="31" t="s">
        <v>264</v>
      </c>
      <c r="C122" s="32"/>
      <c r="D122" s="32"/>
    </row>
    <row r="123" spans="1:5" x14ac:dyDescent="0.2">
      <c r="A123" s="8" t="s">
        <v>354</v>
      </c>
      <c r="B123" s="8" t="s">
        <v>355</v>
      </c>
      <c r="C123" s="8" t="s">
        <v>356</v>
      </c>
      <c r="D123" s="8" t="s">
        <v>228</v>
      </c>
    </row>
    <row r="124" spans="1:5" x14ac:dyDescent="0.2">
      <c r="A124" t="s">
        <v>357</v>
      </c>
      <c r="B124" s="9">
        <v>14</v>
      </c>
      <c r="C124" t="s">
        <v>358</v>
      </c>
      <c r="D124" t="s">
        <v>359</v>
      </c>
    </row>
    <row r="125" spans="1:5" x14ac:dyDescent="0.2">
      <c r="A125" t="s">
        <v>360</v>
      </c>
      <c r="B125" s="9">
        <v>28</v>
      </c>
      <c r="C125" t="s">
        <v>361</v>
      </c>
      <c r="D125" t="s">
        <v>362</v>
      </c>
    </row>
    <row r="126" spans="1:5" x14ac:dyDescent="0.2">
      <c r="A126" t="s">
        <v>363</v>
      </c>
      <c r="B126" s="9">
        <v>42</v>
      </c>
      <c r="C126" t="s">
        <v>364</v>
      </c>
      <c r="D126" t="s">
        <v>365</v>
      </c>
    </row>
  </sheetData>
  <mergeCells count="45">
    <mergeCell ref="B121:D121"/>
    <mergeCell ref="B59:D59"/>
    <mergeCell ref="B8:E8"/>
    <mergeCell ref="B46:D46"/>
    <mergeCell ref="B122:D122"/>
    <mergeCell ref="B82:E82"/>
    <mergeCell ref="B71:G71"/>
    <mergeCell ref="B18:D18"/>
    <mergeCell ref="B56:D56"/>
    <mergeCell ref="B58:D58"/>
    <mergeCell ref="B21:D21"/>
    <mergeCell ref="B103:E103"/>
    <mergeCell ref="B34:E34"/>
    <mergeCell ref="B70:G70"/>
    <mergeCell ref="B48:D48"/>
    <mergeCell ref="B84:E84"/>
    <mergeCell ref="B4:E4"/>
    <mergeCell ref="B106:E106"/>
    <mergeCell ref="B118:D118"/>
    <mergeCell ref="B7:E7"/>
    <mergeCell ref="B74:G74"/>
    <mergeCell ref="B81:E81"/>
    <mergeCell ref="B20:D20"/>
    <mergeCell ref="B31:E31"/>
    <mergeCell ref="B102:E102"/>
    <mergeCell ref="B105:E105"/>
    <mergeCell ref="B45:D45"/>
    <mergeCell ref="B47:D47"/>
    <mergeCell ref="B72:G72"/>
    <mergeCell ref="B5:E5"/>
    <mergeCell ref="B73:G73"/>
    <mergeCell ref="B85:E85"/>
    <mergeCell ref="B32:E32"/>
    <mergeCell ref="B19:D19"/>
    <mergeCell ref="B35:E35"/>
    <mergeCell ref="B120:D120"/>
    <mergeCell ref="B60:D60"/>
    <mergeCell ref="B83:E83"/>
    <mergeCell ref="B57:D57"/>
    <mergeCell ref="B6:E6"/>
    <mergeCell ref="B17:D17"/>
    <mergeCell ref="B119:D119"/>
    <mergeCell ref="B33:E33"/>
    <mergeCell ref="B104:E104"/>
    <mergeCell ref="B44:D44"/>
  </mergeCells>
  <pageMargins left="0.75" right="0.75" top="1" bottom="1" header="0.5" footer="0.5"/>
  <tableParts count="9">
    <tablePart r:id="rId1"/>
    <tablePart r:id="rId2"/>
    <tablePart r:id="rId3"/>
    <tablePart r:id="rId4"/>
    <tablePart r:id="rId5"/>
    <tablePart r:id="rId6"/>
    <tablePart r:id="rId7"/>
    <tablePart r:id="rId8"/>
    <tablePart r:id="rId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H23"/>
  <sheetViews>
    <sheetView workbookViewId="0"/>
  </sheetViews>
  <sheetFormatPr baseColWidth="10" defaultColWidth="8.83203125" defaultRowHeight="15" x14ac:dyDescent="0.2"/>
  <cols>
    <col min="1" max="1" width="22" customWidth="1"/>
    <col min="2" max="7" width="10" customWidth="1"/>
    <col min="8" max="8" width="30" customWidth="1"/>
  </cols>
  <sheetData>
    <row r="1" spans="1:8" ht="21" x14ac:dyDescent="0.25">
      <c r="A1" s="5" t="s">
        <v>366</v>
      </c>
    </row>
    <row r="3" spans="1:8" x14ac:dyDescent="0.2">
      <c r="A3" s="36" t="s">
        <v>367</v>
      </c>
      <c r="B3" s="34"/>
      <c r="C3" s="34"/>
      <c r="D3" s="34"/>
      <c r="E3" s="34"/>
      <c r="F3" s="34"/>
      <c r="G3" s="34"/>
      <c r="H3" s="35"/>
    </row>
    <row r="4" spans="1:8" ht="93.5" customHeight="1" x14ac:dyDescent="0.2">
      <c r="A4" s="33" t="s">
        <v>368</v>
      </c>
      <c r="B4" s="34"/>
      <c r="C4" s="34"/>
      <c r="D4" s="34"/>
      <c r="E4" s="34"/>
      <c r="F4" s="34"/>
      <c r="G4" s="34"/>
      <c r="H4" s="35"/>
    </row>
    <row r="7" spans="1:8" x14ac:dyDescent="0.2">
      <c r="A7" s="8" t="s">
        <v>369</v>
      </c>
      <c r="B7" s="8" t="s">
        <v>227</v>
      </c>
      <c r="C7" s="8" t="s">
        <v>231</v>
      </c>
      <c r="D7" s="8" t="s">
        <v>370</v>
      </c>
      <c r="E7" s="8" t="s">
        <v>371</v>
      </c>
      <c r="F7" s="8" t="s">
        <v>372</v>
      </c>
      <c r="G7" s="8" t="s">
        <v>373</v>
      </c>
      <c r="H7" s="8" t="s">
        <v>228</v>
      </c>
    </row>
    <row r="8" spans="1:8" x14ac:dyDescent="0.2">
      <c r="A8" t="s">
        <v>374</v>
      </c>
      <c r="B8" t="s">
        <v>375</v>
      </c>
      <c r="C8" s="17">
        <v>10</v>
      </c>
      <c r="D8" s="17">
        <v>16</v>
      </c>
      <c r="E8" s="17">
        <v>20</v>
      </c>
      <c r="F8" s="17">
        <v>18</v>
      </c>
      <c r="G8" s="17">
        <v>12</v>
      </c>
      <c r="H8" t="s">
        <v>376</v>
      </c>
    </row>
    <row r="9" spans="1:8" x14ac:dyDescent="0.2">
      <c r="A9" t="s">
        <v>377</v>
      </c>
      <c r="B9" t="s">
        <v>378</v>
      </c>
      <c r="C9" s="18">
        <v>0.75</v>
      </c>
      <c r="D9" s="18">
        <v>1</v>
      </c>
      <c r="E9" s="18">
        <v>1</v>
      </c>
      <c r="F9" s="18">
        <v>0.85</v>
      </c>
      <c r="G9" s="18">
        <v>0.55000000000000004</v>
      </c>
      <c r="H9" t="s">
        <v>379</v>
      </c>
    </row>
    <row r="10" spans="1:8" x14ac:dyDescent="0.2">
      <c r="A10" t="s">
        <v>380</v>
      </c>
      <c r="B10" t="s">
        <v>338</v>
      </c>
      <c r="C10" s="18">
        <v>8.5</v>
      </c>
      <c r="D10" s="18">
        <v>7.5</v>
      </c>
      <c r="E10" s="18">
        <v>6.5</v>
      </c>
      <c r="F10" s="18">
        <v>7</v>
      </c>
      <c r="G10" s="18">
        <v>8</v>
      </c>
      <c r="H10" t="s">
        <v>381</v>
      </c>
    </row>
    <row r="11" spans="1:8" x14ac:dyDescent="0.2">
      <c r="A11" t="s">
        <v>382</v>
      </c>
      <c r="B11" t="s">
        <v>378</v>
      </c>
      <c r="C11" s="18">
        <v>1</v>
      </c>
      <c r="D11" s="18">
        <v>0.7</v>
      </c>
      <c r="E11" s="18">
        <v>0.4</v>
      </c>
      <c r="F11" s="18">
        <v>0.3</v>
      </c>
      <c r="G11" s="18">
        <v>0.2</v>
      </c>
      <c r="H11" t="s">
        <v>383</v>
      </c>
    </row>
    <row r="12" spans="1:8" x14ac:dyDescent="0.2">
      <c r="A12" t="s">
        <v>384</v>
      </c>
      <c r="B12" t="s">
        <v>378</v>
      </c>
      <c r="C12" s="18">
        <v>0.7</v>
      </c>
      <c r="D12" s="18">
        <v>0.9</v>
      </c>
      <c r="E12" s="18">
        <v>1</v>
      </c>
      <c r="F12" s="18">
        <v>0.95</v>
      </c>
      <c r="G12" s="18">
        <v>0.8</v>
      </c>
      <c r="H12" t="s">
        <v>385</v>
      </c>
    </row>
    <row r="15" spans="1:8" x14ac:dyDescent="0.2">
      <c r="A15" s="11" t="s">
        <v>386</v>
      </c>
    </row>
    <row r="16" spans="1:8" x14ac:dyDescent="0.2">
      <c r="A16" s="8" t="s">
        <v>56</v>
      </c>
      <c r="B16" s="8" t="s">
        <v>227</v>
      </c>
      <c r="C16" s="8" t="s">
        <v>387</v>
      </c>
      <c r="D16" s="8" t="s">
        <v>388</v>
      </c>
      <c r="E16" s="8" t="s">
        <v>389</v>
      </c>
      <c r="F16" s="8" t="s">
        <v>390</v>
      </c>
      <c r="G16" s="8" t="s">
        <v>391</v>
      </c>
      <c r="H16" s="8" t="s">
        <v>228</v>
      </c>
    </row>
    <row r="17" spans="1:8" x14ac:dyDescent="0.2">
      <c r="A17" t="s">
        <v>392</v>
      </c>
      <c r="B17" t="s">
        <v>338</v>
      </c>
      <c r="C17" s="19">
        <v>50</v>
      </c>
      <c r="D17" s="19">
        <v>150</v>
      </c>
      <c r="E17" s="19">
        <v>300</v>
      </c>
      <c r="F17">
        <v>230</v>
      </c>
      <c r="G17" t="s">
        <v>393</v>
      </c>
      <c r="H17" t="s">
        <v>394</v>
      </c>
    </row>
    <row r="18" spans="1:8" x14ac:dyDescent="0.2">
      <c r="A18" t="s">
        <v>395</v>
      </c>
      <c r="B18" t="s">
        <v>396</v>
      </c>
      <c r="C18" s="17">
        <v>1</v>
      </c>
      <c r="D18" s="17">
        <v>2.5</v>
      </c>
      <c r="E18" s="17">
        <v>6</v>
      </c>
      <c r="F18">
        <v>4</v>
      </c>
      <c r="G18" t="s">
        <v>393</v>
      </c>
      <c r="H18" t="s">
        <v>397</v>
      </c>
    </row>
    <row r="19" spans="1:8" x14ac:dyDescent="0.2">
      <c r="A19" t="s">
        <v>398</v>
      </c>
      <c r="B19" t="s">
        <v>338</v>
      </c>
      <c r="C19" s="19">
        <v>100</v>
      </c>
      <c r="D19" s="19">
        <v>300</v>
      </c>
      <c r="E19" s="19">
        <v>600</v>
      </c>
      <c r="F19">
        <v>500</v>
      </c>
      <c r="G19" t="s">
        <v>393</v>
      </c>
      <c r="H19" t="s">
        <v>399</v>
      </c>
    </row>
    <row r="20" spans="1:8" x14ac:dyDescent="0.2">
      <c r="A20" t="s">
        <v>400</v>
      </c>
      <c r="B20" t="s">
        <v>338</v>
      </c>
      <c r="C20" s="17">
        <v>5</v>
      </c>
      <c r="D20" s="17">
        <v>7</v>
      </c>
      <c r="E20" s="17">
        <v>9</v>
      </c>
      <c r="F20">
        <v>6.5</v>
      </c>
      <c r="G20" t="s">
        <v>401</v>
      </c>
      <c r="H20" t="s">
        <v>402</v>
      </c>
    </row>
    <row r="23" spans="1:8" x14ac:dyDescent="0.2">
      <c r="A23" s="11" t="s">
        <v>403</v>
      </c>
      <c r="B23" t="s">
        <v>404</v>
      </c>
      <c r="C23" t="s">
        <v>405</v>
      </c>
    </row>
  </sheetData>
  <mergeCells count="2">
    <mergeCell ref="A4:H4"/>
    <mergeCell ref="A3:H3"/>
  </mergeCells>
  <pageMargins left="0.75" right="0.75" top="1" bottom="1" header="0.5" footer="0.5"/>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E25"/>
  <sheetViews>
    <sheetView workbookViewId="0"/>
  </sheetViews>
  <sheetFormatPr baseColWidth="10" defaultColWidth="8.83203125" defaultRowHeight="15" x14ac:dyDescent="0.2"/>
  <cols>
    <col min="1" max="1" width="12" customWidth="1"/>
    <col min="2" max="2" width="22" customWidth="1"/>
    <col min="3" max="3" width="14" customWidth="1"/>
    <col min="4" max="4" width="24" customWidth="1"/>
    <col min="5" max="5" width="40" customWidth="1"/>
  </cols>
  <sheetData>
    <row r="1" spans="1:5" ht="21" x14ac:dyDescent="0.25">
      <c r="A1" s="5" t="s">
        <v>406</v>
      </c>
    </row>
    <row r="3" spans="1:5" x14ac:dyDescent="0.2">
      <c r="A3" s="6" t="s">
        <v>406</v>
      </c>
    </row>
    <row r="4" spans="1:5" ht="31.25" customHeight="1" x14ac:dyDescent="0.2">
      <c r="A4" s="7" t="s">
        <v>46</v>
      </c>
      <c r="B4" s="31" t="s">
        <v>407</v>
      </c>
      <c r="C4" s="32"/>
      <c r="D4" s="32"/>
      <c r="E4" s="32"/>
    </row>
    <row r="5" spans="1:5" ht="31.25" customHeight="1" x14ac:dyDescent="0.2">
      <c r="A5" s="7" t="s">
        <v>48</v>
      </c>
      <c r="B5" s="31" t="s">
        <v>408</v>
      </c>
      <c r="C5" s="32"/>
      <c r="D5" s="32"/>
      <c r="E5" s="32"/>
    </row>
    <row r="6" spans="1:5" ht="62.5" customHeight="1" x14ac:dyDescent="0.2">
      <c r="A6" s="7" t="s">
        <v>50</v>
      </c>
      <c r="B6" s="31" t="s">
        <v>409</v>
      </c>
      <c r="C6" s="32"/>
      <c r="D6" s="32"/>
      <c r="E6" s="32"/>
    </row>
    <row r="7" spans="1:5" ht="15.5" customHeight="1" x14ac:dyDescent="0.2">
      <c r="A7" s="7" t="s">
        <v>52</v>
      </c>
      <c r="B7" s="31" t="s">
        <v>410</v>
      </c>
      <c r="C7" s="32"/>
      <c r="D7" s="32"/>
      <c r="E7" s="32"/>
    </row>
    <row r="8" spans="1:5" ht="15.5" customHeight="1" x14ac:dyDescent="0.2">
      <c r="A8" s="7" t="s">
        <v>54</v>
      </c>
      <c r="B8" s="31" t="s">
        <v>411</v>
      </c>
      <c r="C8" s="32"/>
      <c r="D8" s="32"/>
      <c r="E8" s="32"/>
    </row>
    <row r="9" spans="1:5" x14ac:dyDescent="0.2">
      <c r="A9" s="8" t="s">
        <v>412</v>
      </c>
      <c r="B9" s="8" t="s">
        <v>413</v>
      </c>
      <c r="C9" s="8" t="s">
        <v>414</v>
      </c>
      <c r="D9" s="8" t="s">
        <v>415</v>
      </c>
      <c r="E9" s="8" t="s">
        <v>59</v>
      </c>
    </row>
    <row r="10" spans="1:5" x14ac:dyDescent="0.2">
      <c r="A10" t="s">
        <v>416</v>
      </c>
      <c r="B10" t="s">
        <v>417</v>
      </c>
      <c r="C10" s="14">
        <v>104000</v>
      </c>
      <c r="D10">
        <v>7</v>
      </c>
      <c r="E10" t="s">
        <v>418</v>
      </c>
    </row>
    <row r="11" spans="1:5" x14ac:dyDescent="0.2">
      <c r="A11" t="s">
        <v>419</v>
      </c>
      <c r="B11" t="s">
        <v>420</v>
      </c>
      <c r="C11" s="14">
        <v>67500</v>
      </c>
      <c r="D11">
        <v>7</v>
      </c>
      <c r="E11" t="s">
        <v>421</v>
      </c>
    </row>
    <row r="12" spans="1:5" x14ac:dyDescent="0.2">
      <c r="A12" t="s">
        <v>422</v>
      </c>
      <c r="B12" t="s">
        <v>423</v>
      </c>
      <c r="C12" s="14">
        <v>78000</v>
      </c>
      <c r="D12">
        <v>14</v>
      </c>
      <c r="E12" t="s">
        <v>424</v>
      </c>
    </row>
    <row r="13" spans="1:5" x14ac:dyDescent="0.2">
      <c r="A13" t="s">
        <v>425</v>
      </c>
      <c r="B13" t="s">
        <v>426</v>
      </c>
      <c r="C13" s="14">
        <v>36000</v>
      </c>
      <c r="D13">
        <v>3</v>
      </c>
      <c r="E13" t="s">
        <v>427</v>
      </c>
    </row>
    <row r="16" spans="1:5" x14ac:dyDescent="0.2">
      <c r="A16" s="6" t="s">
        <v>428</v>
      </c>
    </row>
    <row r="17" spans="1:4" ht="31.25" customHeight="1" x14ac:dyDescent="0.2">
      <c r="A17" s="7" t="s">
        <v>46</v>
      </c>
      <c r="B17" s="31" t="s">
        <v>429</v>
      </c>
      <c r="C17" s="32"/>
      <c r="D17" s="32"/>
    </row>
    <row r="18" spans="1:4" ht="31.25" customHeight="1" x14ac:dyDescent="0.2">
      <c r="A18" s="7" t="s">
        <v>48</v>
      </c>
      <c r="B18" s="31" t="s">
        <v>430</v>
      </c>
      <c r="C18" s="32"/>
      <c r="D18" s="32"/>
    </row>
    <row r="19" spans="1:4" ht="78" customHeight="1" x14ac:dyDescent="0.2">
      <c r="A19" s="7" t="s">
        <v>50</v>
      </c>
      <c r="B19" s="31" t="s">
        <v>431</v>
      </c>
      <c r="C19" s="32"/>
      <c r="D19" s="32"/>
    </row>
    <row r="20" spans="1:4" ht="31.25" customHeight="1" x14ac:dyDescent="0.2">
      <c r="A20" s="7" t="s">
        <v>52</v>
      </c>
      <c r="B20" s="31" t="s">
        <v>432</v>
      </c>
      <c r="C20" s="32"/>
      <c r="D20" s="32"/>
    </row>
    <row r="21" spans="1:4" ht="15.5" customHeight="1" x14ac:dyDescent="0.2">
      <c r="A21" s="7" t="s">
        <v>54</v>
      </c>
      <c r="B21" s="31" t="s">
        <v>433</v>
      </c>
      <c r="C21" s="32"/>
      <c r="D21" s="32"/>
    </row>
    <row r="22" spans="1:4" x14ac:dyDescent="0.2">
      <c r="A22" s="8" t="s">
        <v>93</v>
      </c>
      <c r="B22" s="8" t="s">
        <v>434</v>
      </c>
      <c r="C22" s="8" t="s">
        <v>435</v>
      </c>
      <c r="D22" s="8" t="s">
        <v>436</v>
      </c>
    </row>
    <row r="23" spans="1:4" x14ac:dyDescent="0.2">
      <c r="A23" t="s">
        <v>65</v>
      </c>
      <c r="B23" s="10">
        <v>0</v>
      </c>
      <c r="C23" s="10">
        <v>0</v>
      </c>
      <c r="D23" s="10">
        <v>0</v>
      </c>
    </row>
    <row r="24" spans="1:4" x14ac:dyDescent="0.2">
      <c r="A24" t="s">
        <v>328</v>
      </c>
      <c r="B24" s="10">
        <v>4.0000000000000001E-3</v>
      </c>
      <c r="C24" s="10">
        <v>-0.02</v>
      </c>
      <c r="D24" s="10">
        <v>0.1</v>
      </c>
    </row>
    <row r="25" spans="1:4" x14ac:dyDescent="0.2">
      <c r="A25" t="s">
        <v>329</v>
      </c>
      <c r="B25" s="10">
        <v>-3.0000000000000001E-3</v>
      </c>
      <c r="C25" s="10">
        <v>0.01</v>
      </c>
      <c r="D25" s="10">
        <v>-0.1</v>
      </c>
    </row>
  </sheetData>
  <mergeCells count="10">
    <mergeCell ref="B21:D21"/>
    <mergeCell ref="B5:E5"/>
    <mergeCell ref="B20:D20"/>
    <mergeCell ref="B19:D19"/>
    <mergeCell ref="B8:E8"/>
    <mergeCell ref="B4:E4"/>
    <mergeCell ref="B6:E6"/>
    <mergeCell ref="B17:D17"/>
    <mergeCell ref="B18:D18"/>
    <mergeCell ref="B7:E7"/>
  </mergeCells>
  <pageMargins left="0.75" right="0.75" top="1" bottom="1" header="0.5" footer="0.5"/>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G35"/>
  <sheetViews>
    <sheetView workbookViewId="0"/>
  </sheetViews>
  <sheetFormatPr baseColWidth="10" defaultColWidth="8.83203125" defaultRowHeight="15" x14ac:dyDescent="0.2"/>
  <cols>
    <col min="1" max="1" width="28" customWidth="1"/>
    <col min="2" max="5" width="12" customWidth="1"/>
    <col min="6" max="6" width="30" customWidth="1"/>
    <col min="7" max="7" width="35" customWidth="1"/>
  </cols>
  <sheetData>
    <row r="1" spans="1:6" ht="21" x14ac:dyDescent="0.25">
      <c r="A1" s="5" t="s">
        <v>437</v>
      </c>
    </row>
    <row r="3" spans="1:6" x14ac:dyDescent="0.2">
      <c r="A3" s="6" t="s">
        <v>438</v>
      </c>
    </row>
    <row r="4" spans="1:6" ht="31.25" customHeight="1" x14ac:dyDescent="0.2">
      <c r="A4" s="7" t="s">
        <v>46</v>
      </c>
      <c r="B4" s="31" t="s">
        <v>439</v>
      </c>
      <c r="C4" s="32"/>
      <c r="D4" s="32"/>
      <c r="E4" s="32"/>
      <c r="F4" s="32"/>
    </row>
    <row r="5" spans="1:6" ht="31.25" customHeight="1" x14ac:dyDescent="0.2">
      <c r="A5" s="7" t="s">
        <v>48</v>
      </c>
      <c r="B5" s="31" t="s">
        <v>440</v>
      </c>
      <c r="C5" s="32"/>
      <c r="D5" s="32"/>
      <c r="E5" s="32"/>
      <c r="F5" s="32"/>
    </row>
    <row r="6" spans="1:6" ht="62.5" customHeight="1" x14ac:dyDescent="0.2">
      <c r="A6" s="7" t="s">
        <v>50</v>
      </c>
      <c r="B6" s="31" t="s">
        <v>441</v>
      </c>
      <c r="C6" s="32"/>
      <c r="D6" s="32"/>
      <c r="E6" s="32"/>
      <c r="F6" s="32"/>
    </row>
    <row r="7" spans="1:6" ht="15.5" customHeight="1" x14ac:dyDescent="0.2">
      <c r="A7" s="7" t="s">
        <v>52</v>
      </c>
      <c r="B7" s="31" t="s">
        <v>442</v>
      </c>
      <c r="C7" s="32"/>
      <c r="D7" s="32"/>
      <c r="E7" s="32"/>
      <c r="F7" s="32"/>
    </row>
    <row r="8" spans="1:6" ht="15.5" customHeight="1" x14ac:dyDescent="0.2">
      <c r="A8" s="7" t="s">
        <v>54</v>
      </c>
      <c r="B8" s="31" t="s">
        <v>443</v>
      </c>
      <c r="C8" s="32"/>
      <c r="D8" s="32"/>
      <c r="E8" s="32"/>
      <c r="F8" s="32"/>
    </row>
    <row r="9" spans="1:6" x14ac:dyDescent="0.2">
      <c r="A9" s="8" t="s">
        <v>369</v>
      </c>
      <c r="B9" s="8" t="s">
        <v>387</v>
      </c>
      <c r="C9" s="8" t="s">
        <v>388</v>
      </c>
      <c r="D9" s="8" t="s">
        <v>389</v>
      </c>
      <c r="E9" s="8" t="s">
        <v>444</v>
      </c>
      <c r="F9" s="8" t="s">
        <v>179</v>
      </c>
    </row>
    <row r="10" spans="1:6" x14ac:dyDescent="0.2">
      <c r="A10" t="s">
        <v>445</v>
      </c>
      <c r="B10" s="9">
        <v>14</v>
      </c>
      <c r="C10" s="9">
        <v>21</v>
      </c>
      <c r="D10" s="9">
        <v>35</v>
      </c>
      <c r="E10" t="s">
        <v>240</v>
      </c>
      <c r="F10" t="s">
        <v>23</v>
      </c>
    </row>
    <row r="11" spans="1:6" x14ac:dyDescent="0.2">
      <c r="A11" t="s">
        <v>446</v>
      </c>
      <c r="B11" s="14">
        <v>3000</v>
      </c>
      <c r="C11" s="14">
        <v>7500</v>
      </c>
      <c r="D11" s="14">
        <v>15000</v>
      </c>
      <c r="E11" t="s">
        <v>285</v>
      </c>
      <c r="F11" t="s">
        <v>23</v>
      </c>
    </row>
    <row r="12" spans="1:6" x14ac:dyDescent="0.2">
      <c r="A12" t="s">
        <v>447</v>
      </c>
      <c r="B12" s="9">
        <v>1</v>
      </c>
      <c r="C12" s="9">
        <v>3</v>
      </c>
      <c r="D12" s="9">
        <v>8</v>
      </c>
      <c r="E12" t="s">
        <v>448</v>
      </c>
      <c r="F12" t="s">
        <v>23</v>
      </c>
    </row>
    <row r="13" spans="1:6" x14ac:dyDescent="0.2">
      <c r="A13" t="s">
        <v>449</v>
      </c>
      <c r="B13" s="9">
        <v>0.7</v>
      </c>
      <c r="C13" s="9">
        <v>1</v>
      </c>
      <c r="D13" s="9">
        <v>1.3</v>
      </c>
      <c r="E13" t="s">
        <v>450</v>
      </c>
      <c r="F13" t="s">
        <v>23</v>
      </c>
    </row>
    <row r="16" spans="1:6" x14ac:dyDescent="0.2">
      <c r="A16" s="6" t="s">
        <v>451</v>
      </c>
    </row>
    <row r="17" spans="1:7" ht="15.5" customHeight="1" x14ac:dyDescent="0.2">
      <c r="A17" s="7" t="s">
        <v>46</v>
      </c>
      <c r="B17" s="31" t="s">
        <v>452</v>
      </c>
      <c r="C17" s="32"/>
      <c r="D17" s="32"/>
      <c r="E17" s="32"/>
      <c r="F17" s="32"/>
      <c r="G17" s="32"/>
    </row>
    <row r="18" spans="1:7" ht="15.5" customHeight="1" x14ac:dyDescent="0.2">
      <c r="A18" s="7" t="s">
        <v>48</v>
      </c>
      <c r="B18" s="31" t="s">
        <v>453</v>
      </c>
      <c r="C18" s="32"/>
      <c r="D18" s="32"/>
      <c r="E18" s="32"/>
      <c r="F18" s="32"/>
      <c r="G18" s="32"/>
    </row>
    <row r="19" spans="1:7" ht="46.75" customHeight="1" x14ac:dyDescent="0.2">
      <c r="A19" s="7" t="s">
        <v>50</v>
      </c>
      <c r="B19" s="31" t="s">
        <v>454</v>
      </c>
      <c r="C19" s="32"/>
      <c r="D19" s="32"/>
      <c r="E19" s="32"/>
      <c r="F19" s="32"/>
      <c r="G19" s="32"/>
    </row>
    <row r="20" spans="1:7" ht="15.5" customHeight="1" x14ac:dyDescent="0.2">
      <c r="A20" s="7" t="s">
        <v>52</v>
      </c>
      <c r="B20" s="31" t="s">
        <v>455</v>
      </c>
      <c r="C20" s="32"/>
      <c r="D20" s="32"/>
      <c r="E20" s="32"/>
      <c r="F20" s="32"/>
      <c r="G20" s="32"/>
    </row>
    <row r="21" spans="1:7" ht="15.5" customHeight="1" x14ac:dyDescent="0.2">
      <c r="A21" s="7" t="s">
        <v>54</v>
      </c>
      <c r="B21" s="31" t="s">
        <v>456</v>
      </c>
      <c r="C21" s="32"/>
      <c r="D21" s="32"/>
      <c r="E21" s="32"/>
      <c r="F21" s="32"/>
      <c r="G21" s="32"/>
    </row>
    <row r="22" spans="1:7" x14ac:dyDescent="0.2">
      <c r="A22" s="8" t="s">
        <v>369</v>
      </c>
      <c r="B22" s="8" t="s">
        <v>457</v>
      </c>
      <c r="C22" s="8" t="s">
        <v>458</v>
      </c>
      <c r="D22" s="8" t="s">
        <v>387</v>
      </c>
      <c r="E22" s="8" t="s">
        <v>389</v>
      </c>
      <c r="F22" s="8" t="s">
        <v>444</v>
      </c>
      <c r="G22" s="8" t="s">
        <v>179</v>
      </c>
    </row>
    <row r="23" spans="1:7" x14ac:dyDescent="0.2">
      <c r="A23" t="s">
        <v>459</v>
      </c>
      <c r="B23" s="9">
        <v>2</v>
      </c>
      <c r="C23" s="9">
        <v>5</v>
      </c>
      <c r="D23" s="9">
        <v>0.05</v>
      </c>
      <c r="E23" s="9">
        <v>0.4</v>
      </c>
      <c r="F23" t="s">
        <v>460</v>
      </c>
    </row>
    <row r="26" spans="1:7" x14ac:dyDescent="0.2">
      <c r="A26" s="6" t="s">
        <v>461</v>
      </c>
    </row>
    <row r="27" spans="1:7" ht="31.25" customHeight="1" x14ac:dyDescent="0.2">
      <c r="A27" s="7" t="s">
        <v>46</v>
      </c>
      <c r="B27" s="31" t="s">
        <v>462</v>
      </c>
      <c r="C27" s="32"/>
      <c r="D27" s="32"/>
      <c r="E27" s="32"/>
    </row>
    <row r="28" spans="1:7" ht="31.25" customHeight="1" x14ac:dyDescent="0.2">
      <c r="A28" s="7" t="s">
        <v>48</v>
      </c>
      <c r="B28" s="31" t="s">
        <v>463</v>
      </c>
      <c r="C28" s="32"/>
      <c r="D28" s="32"/>
      <c r="E28" s="32"/>
    </row>
    <row r="29" spans="1:7" ht="124.75" customHeight="1" x14ac:dyDescent="0.2">
      <c r="A29" s="7" t="s">
        <v>50</v>
      </c>
      <c r="B29" s="31" t="s">
        <v>464</v>
      </c>
      <c r="C29" s="32"/>
      <c r="D29" s="32"/>
      <c r="E29" s="32"/>
    </row>
    <row r="30" spans="1:7" ht="31.25" customHeight="1" x14ac:dyDescent="0.2">
      <c r="A30" s="7" t="s">
        <v>52</v>
      </c>
      <c r="B30" s="31" t="s">
        <v>465</v>
      </c>
      <c r="C30" s="32"/>
      <c r="D30" s="32"/>
      <c r="E30" s="32"/>
    </row>
    <row r="31" spans="1:7" ht="15.5" customHeight="1" x14ac:dyDescent="0.2">
      <c r="A31" s="7" t="s">
        <v>54</v>
      </c>
      <c r="B31" s="31" t="s">
        <v>466</v>
      </c>
      <c r="C31" s="32"/>
      <c r="D31" s="32"/>
      <c r="E31" s="32"/>
    </row>
    <row r="32" spans="1:7" x14ac:dyDescent="0.2">
      <c r="A32" s="8" t="s">
        <v>467</v>
      </c>
      <c r="B32" s="8" t="s">
        <v>468</v>
      </c>
      <c r="C32" s="8" t="s">
        <v>65</v>
      </c>
      <c r="D32" s="8" t="s">
        <v>469</v>
      </c>
      <c r="E32" s="8" t="s">
        <v>470</v>
      </c>
    </row>
    <row r="33" spans="1:5" x14ac:dyDescent="0.2">
      <c r="A33" t="s">
        <v>471</v>
      </c>
      <c r="B33" s="14">
        <v>3</v>
      </c>
      <c r="C33" s="14">
        <v>5</v>
      </c>
      <c r="D33" s="14">
        <v>8</v>
      </c>
      <c r="E33" t="s">
        <v>472</v>
      </c>
    </row>
    <row r="34" spans="1:5" x14ac:dyDescent="0.2">
      <c r="A34" t="s">
        <v>473</v>
      </c>
      <c r="B34" s="14">
        <v>10</v>
      </c>
      <c r="C34" s="14">
        <v>20</v>
      </c>
      <c r="D34" s="14">
        <v>30</v>
      </c>
      <c r="E34" t="s">
        <v>474</v>
      </c>
    </row>
    <row r="35" spans="1:5" x14ac:dyDescent="0.2">
      <c r="A35" t="s">
        <v>475</v>
      </c>
      <c r="B35" s="14">
        <v>21</v>
      </c>
      <c r="C35" s="14">
        <v>50</v>
      </c>
      <c r="D35" s="14">
        <v>93</v>
      </c>
      <c r="E35" t="s">
        <v>476</v>
      </c>
    </row>
  </sheetData>
  <mergeCells count="15">
    <mergeCell ref="B31:E31"/>
    <mergeCell ref="B6:F6"/>
    <mergeCell ref="B17:G17"/>
    <mergeCell ref="B30:E30"/>
    <mergeCell ref="B5:F5"/>
    <mergeCell ref="B29:E29"/>
    <mergeCell ref="B18:G18"/>
    <mergeCell ref="B8:F8"/>
    <mergeCell ref="B21:G21"/>
    <mergeCell ref="B28:E28"/>
    <mergeCell ref="B4:F4"/>
    <mergeCell ref="B19:G19"/>
    <mergeCell ref="B20:G20"/>
    <mergeCell ref="B27:E27"/>
    <mergeCell ref="B7:F7"/>
  </mergeCells>
  <pageMargins left="0.75" right="0.75" top="1" bottom="1" header="0.5" footer="0.5"/>
  <tableParts count="3">
    <tablePart r:id="rId1"/>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E30"/>
  <sheetViews>
    <sheetView workbookViewId="0"/>
  </sheetViews>
  <sheetFormatPr baseColWidth="10" defaultColWidth="8.83203125" defaultRowHeight="15" x14ac:dyDescent="0.2"/>
  <cols>
    <col min="1" max="1" width="20" customWidth="1"/>
    <col min="2" max="2" width="36" customWidth="1"/>
    <col min="3" max="3" width="16" customWidth="1"/>
    <col min="4" max="4" width="12" customWidth="1"/>
    <col min="5" max="5" width="14" customWidth="1"/>
  </cols>
  <sheetData>
    <row r="1" spans="1:5" ht="21" x14ac:dyDescent="0.25">
      <c r="A1" s="5" t="s">
        <v>477</v>
      </c>
    </row>
    <row r="3" spans="1:5" x14ac:dyDescent="0.2">
      <c r="A3" s="36" t="s">
        <v>478</v>
      </c>
      <c r="B3" s="34"/>
      <c r="C3" s="34"/>
      <c r="D3" s="34"/>
      <c r="E3" s="35"/>
    </row>
    <row r="4" spans="1:5" ht="140.5" customHeight="1" x14ac:dyDescent="0.2">
      <c r="A4" s="33" t="s">
        <v>479</v>
      </c>
      <c r="B4" s="34"/>
      <c r="C4" s="34"/>
      <c r="D4" s="34"/>
      <c r="E4" s="35"/>
    </row>
    <row r="6" spans="1:5" x14ac:dyDescent="0.2">
      <c r="A6" s="6" t="s">
        <v>477</v>
      </c>
    </row>
    <row r="7" spans="1:5" ht="31.25" customHeight="1" x14ac:dyDescent="0.2">
      <c r="A7" s="7" t="s">
        <v>46</v>
      </c>
      <c r="B7" s="31" t="s">
        <v>480</v>
      </c>
      <c r="C7" s="32"/>
      <c r="D7" s="32"/>
      <c r="E7" s="32"/>
    </row>
    <row r="8" spans="1:5" ht="15.5" customHeight="1" x14ac:dyDescent="0.2">
      <c r="A8" s="7" t="s">
        <v>48</v>
      </c>
      <c r="B8" s="31" t="s">
        <v>481</v>
      </c>
      <c r="C8" s="32"/>
      <c r="D8" s="32"/>
      <c r="E8" s="32"/>
    </row>
    <row r="9" spans="1:5" ht="46.75" customHeight="1" x14ac:dyDescent="0.2">
      <c r="A9" s="7" t="s">
        <v>50</v>
      </c>
      <c r="B9" s="31" t="s">
        <v>482</v>
      </c>
      <c r="C9" s="32"/>
      <c r="D9" s="32"/>
      <c r="E9" s="32"/>
    </row>
    <row r="10" spans="1:5" ht="15.5" customHeight="1" x14ac:dyDescent="0.2">
      <c r="A10" s="7" t="s">
        <v>52</v>
      </c>
      <c r="B10" s="31" t="s">
        <v>483</v>
      </c>
      <c r="C10" s="32"/>
      <c r="D10" s="32"/>
      <c r="E10" s="32"/>
    </row>
    <row r="11" spans="1:5" ht="15.5" customHeight="1" x14ac:dyDescent="0.2">
      <c r="A11" s="7" t="s">
        <v>54</v>
      </c>
      <c r="B11" s="31" t="s">
        <v>484</v>
      </c>
      <c r="C11" s="32"/>
      <c r="D11" s="32"/>
      <c r="E11" s="32"/>
    </row>
    <row r="12" spans="1:5" x14ac:dyDescent="0.2">
      <c r="A12" s="8" t="s">
        <v>485</v>
      </c>
      <c r="B12" s="8" t="s">
        <v>486</v>
      </c>
      <c r="C12" s="8" t="s">
        <v>239</v>
      </c>
      <c r="D12" s="8" t="s">
        <v>487</v>
      </c>
      <c r="E12" s="8" t="s">
        <v>488</v>
      </c>
    </row>
    <row r="13" spans="1:5" x14ac:dyDescent="0.2">
      <c r="A13">
        <v>0</v>
      </c>
      <c r="B13">
        <f>Base_Year+0</f>
        <v>2026</v>
      </c>
      <c r="C13">
        <f t="shared" ref="C13:C18" si="0">Season_Length</f>
        <v>100</v>
      </c>
      <c r="D13">
        <v>1</v>
      </c>
      <c r="E13">
        <v>1</v>
      </c>
    </row>
    <row r="14" spans="1:5" x14ac:dyDescent="0.2">
      <c r="A14">
        <v>1</v>
      </c>
      <c r="B14">
        <f>Base_Year+1</f>
        <v>2027</v>
      </c>
      <c r="C14">
        <f t="shared" si="0"/>
        <v>100</v>
      </c>
      <c r="D14">
        <f>1/(1+Discount_Rate)^1</f>
        <v>0.95419847328244267</v>
      </c>
      <c r="E14">
        <f>INDEX(LearningCurve_Mult,1)</f>
        <v>0.5</v>
      </c>
    </row>
    <row r="15" spans="1:5" x14ac:dyDescent="0.2">
      <c r="A15">
        <v>2</v>
      </c>
      <c r="B15">
        <f>Base_Year+2</f>
        <v>2028</v>
      </c>
      <c r="C15">
        <f t="shared" si="0"/>
        <v>100</v>
      </c>
      <c r="D15">
        <f>1/(1+Discount_Rate)^2</f>
        <v>0.91049472641454443</v>
      </c>
      <c r="E15">
        <f>INDEX(LearningCurve_Mult,2)</f>
        <v>0.75</v>
      </c>
    </row>
    <row r="16" spans="1:5" x14ac:dyDescent="0.2">
      <c r="A16">
        <v>3</v>
      </c>
      <c r="B16">
        <f>Base_Year+3</f>
        <v>2029</v>
      </c>
      <c r="C16">
        <f t="shared" si="0"/>
        <v>100</v>
      </c>
      <c r="D16">
        <f>1/(1+Discount_Rate)^3</f>
        <v>0.86879267787647374</v>
      </c>
      <c r="E16">
        <f>INDEX(LearningCurve_Mult,3)</f>
        <v>1</v>
      </c>
    </row>
    <row r="17" spans="1:5" x14ac:dyDescent="0.2">
      <c r="A17">
        <v>4</v>
      </c>
      <c r="B17">
        <f>Base_Year+4</f>
        <v>2030</v>
      </c>
      <c r="C17">
        <f t="shared" si="0"/>
        <v>100</v>
      </c>
      <c r="D17">
        <f>1/(1+Discount_Rate)^4</f>
        <v>0.82900064682869612</v>
      </c>
      <c r="E17">
        <f>INDEX(LearningCurve_Mult,4)</f>
        <v>1</v>
      </c>
    </row>
    <row r="18" spans="1:5" x14ac:dyDescent="0.2">
      <c r="A18">
        <v>5</v>
      </c>
      <c r="B18">
        <f>Base_Year+5</f>
        <v>2031</v>
      </c>
      <c r="C18">
        <f t="shared" si="0"/>
        <v>100</v>
      </c>
      <c r="D18">
        <f>1/(1+Discount_Rate)^5</f>
        <v>0.79103115155409931</v>
      </c>
      <c r="E18">
        <f>INDEX(LearningCurve_Mult,5)</f>
        <v>1</v>
      </c>
    </row>
    <row r="21" spans="1:5" ht="19" x14ac:dyDescent="0.25">
      <c r="A21" s="4" t="s">
        <v>489</v>
      </c>
    </row>
    <row r="22" spans="1:5" x14ac:dyDescent="0.2">
      <c r="A22" s="20" t="s">
        <v>490</v>
      </c>
    </row>
    <row r="23" spans="1:5" x14ac:dyDescent="0.2">
      <c r="A23" s="8" t="s">
        <v>491</v>
      </c>
      <c r="B23" s="8" t="s">
        <v>492</v>
      </c>
      <c r="C23" s="8" t="s">
        <v>57</v>
      </c>
      <c r="D23" s="8" t="s">
        <v>227</v>
      </c>
    </row>
    <row r="24" spans="1:5" x14ac:dyDescent="0.2">
      <c r="A24" t="s">
        <v>206</v>
      </c>
      <c r="B24" t="s">
        <v>493</v>
      </c>
      <c r="C24" s="21">
        <f ca="1">Rapid_Phase_Rate*Stoch_TreatmentRate</f>
        <v>0.55703949536405672</v>
      </c>
      <c r="D24" t="s">
        <v>341</v>
      </c>
    </row>
    <row r="25" spans="1:5" x14ac:dyDescent="0.2">
      <c r="A25" t="s">
        <v>207</v>
      </c>
      <c r="B25" t="s">
        <v>494</v>
      </c>
      <c r="C25" s="21">
        <f ca="1">Slow_Phase_Rate*Stoch_TreatmentRate</f>
        <v>0.25967254671106399</v>
      </c>
      <c r="D25" t="s">
        <v>341</v>
      </c>
    </row>
    <row r="26" spans="1:5" x14ac:dyDescent="0.2">
      <c r="A26" t="s">
        <v>208</v>
      </c>
      <c r="B26" t="s">
        <v>495</v>
      </c>
      <c r="C26" s="22">
        <f ca="1">MAX(0,Initial_NAFC-Eff_Rapid_Rate*Rapid_Phase_Duration)</f>
        <v>54.744407569539149</v>
      </c>
      <c r="D26" t="s">
        <v>338</v>
      </c>
    </row>
    <row r="27" spans="1:5" x14ac:dyDescent="0.2">
      <c r="A27" t="s">
        <v>209</v>
      </c>
      <c r="B27" t="s">
        <v>496</v>
      </c>
      <c r="C27" s="23">
        <f ca="1">IF(Initial_NAFC&lt;=Target_NAFC,0,IF(NAFC_After_Rapid&lt;=Target_NAFC,(Initial_NAFC-Target_NAFC)/Eff_Rapid_Rate,Rapid_Phase_Duration+(NAFC_After_Rapid-Target_NAFC)/Eff_Slow_Rate))</f>
        <v>33.27073223423276</v>
      </c>
      <c r="D27" t="s">
        <v>240</v>
      </c>
    </row>
    <row r="28" spans="1:5" x14ac:dyDescent="0.2">
      <c r="A28" t="s">
        <v>497</v>
      </c>
      <c r="B28" t="s">
        <v>498</v>
      </c>
      <c r="C28" s="24">
        <f ca="1">CEILING(Days_to_Compliance/Recirculation_Cycle,1)</f>
        <v>3</v>
      </c>
      <c r="D28" t="s">
        <v>499</v>
      </c>
    </row>
    <row r="29" spans="1:5" x14ac:dyDescent="0.2">
      <c r="A29" t="s">
        <v>500</v>
      </c>
      <c r="B29" t="s">
        <v>501</v>
      </c>
      <c r="C29" s="25">
        <f>(Initial_NAFC-Target_NAFC)/Initial_NAFC</f>
        <v>0.2076069730586371</v>
      </c>
      <c r="D29" t="s">
        <v>460</v>
      </c>
    </row>
    <row r="30" spans="1:5" x14ac:dyDescent="0.2">
      <c r="A30" t="s">
        <v>502</v>
      </c>
      <c r="B30" t="s">
        <v>503</v>
      </c>
      <c r="C30" t="str">
        <f ca="1">IF(Days_to_Compliance&lt;=Season_Length,"ACHIEVABLE","EXCEEDS SEASON")</f>
        <v>ACHIEVABLE</v>
      </c>
      <c r="D30" t="s">
        <v>504</v>
      </c>
    </row>
  </sheetData>
  <mergeCells count="7">
    <mergeCell ref="A3:E3"/>
    <mergeCell ref="B9:E9"/>
    <mergeCell ref="A4:E4"/>
    <mergeCell ref="B8:E8"/>
    <mergeCell ref="B7:E7"/>
    <mergeCell ref="B11:E11"/>
    <mergeCell ref="B10:E10"/>
  </mergeCells>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E17"/>
  <sheetViews>
    <sheetView workbookViewId="0"/>
  </sheetViews>
  <sheetFormatPr baseColWidth="10" defaultColWidth="8.83203125" defaultRowHeight="15" x14ac:dyDescent="0.2"/>
  <cols>
    <col min="1" max="1" width="24" customWidth="1"/>
    <col min="2" max="2" width="55" customWidth="1"/>
    <col min="3" max="3" width="14" customWidth="1"/>
    <col min="4" max="4" width="12" customWidth="1"/>
    <col min="5" max="5" width="35" customWidth="1"/>
  </cols>
  <sheetData>
    <row r="1" spans="1:5" ht="21" x14ac:dyDescent="0.25">
      <c r="A1" s="5" t="s">
        <v>505</v>
      </c>
    </row>
    <row r="3" spans="1:5" x14ac:dyDescent="0.2">
      <c r="A3" s="36" t="s">
        <v>506</v>
      </c>
      <c r="B3" s="34"/>
      <c r="C3" s="34"/>
      <c r="D3" s="34"/>
      <c r="E3" s="35"/>
    </row>
    <row r="4" spans="1:5" ht="78" customHeight="1" x14ac:dyDescent="0.2">
      <c r="A4" s="33" t="s">
        <v>507</v>
      </c>
      <c r="B4" s="34"/>
      <c r="C4" s="34"/>
      <c r="D4" s="34"/>
      <c r="E4" s="35"/>
    </row>
    <row r="7" spans="1:5" x14ac:dyDescent="0.2">
      <c r="A7" s="8" t="s">
        <v>508</v>
      </c>
      <c r="B7" s="8" t="s">
        <v>492</v>
      </c>
      <c r="C7" s="8" t="s">
        <v>57</v>
      </c>
      <c r="D7" s="8" t="s">
        <v>227</v>
      </c>
      <c r="E7" s="8" t="s">
        <v>228</v>
      </c>
    </row>
    <row r="8" spans="1:5" x14ac:dyDescent="0.2">
      <c r="A8" t="s">
        <v>509</v>
      </c>
      <c r="B8" t="e">
        <f>2^((Stoch_Temp-20)/10)</f>
        <v>#NAME?</v>
      </c>
      <c r="C8" s="21">
        <f>2^((Env_Temp_Water_Jul-20)/10)</f>
        <v>1</v>
      </c>
      <c r="D8" t="s">
        <v>450</v>
      </c>
      <c r="E8" t="s">
        <v>510</v>
      </c>
    </row>
    <row r="9" spans="1:5" x14ac:dyDescent="0.2">
      <c r="A9" t="s">
        <v>511</v>
      </c>
      <c r="B9" t="e">
        <f>UV_Relative*(1-MIN(1,Turbidity/100))</f>
        <v>#NAME?</v>
      </c>
      <c r="C9" s="21">
        <f>Env_UV_Relative_Jul*(1-MIN(1,Ionic_Chloride_Mode/1000))</f>
        <v>0.85</v>
      </c>
      <c r="D9" t="s">
        <v>450</v>
      </c>
      <c r="E9" t="s">
        <v>512</v>
      </c>
    </row>
    <row r="10" spans="1:5" x14ac:dyDescent="0.2">
      <c r="A10" t="s">
        <v>513</v>
      </c>
      <c r="B10" t="e">
        <f>IF(DO&gt;=6.5,1,DO/6.5)</f>
        <v>#NAME?</v>
      </c>
      <c r="C10" s="21">
        <f>IF(Env_DO_Typical_Jul&gt;=6.5,1,Env_DO_Typical_Jul/6.5)</f>
        <v>1</v>
      </c>
      <c r="D10" t="s">
        <v>450</v>
      </c>
      <c r="E10" t="s">
        <v>514</v>
      </c>
    </row>
    <row r="11" spans="1:5" x14ac:dyDescent="0.2">
      <c r="A11" t="s">
        <v>515</v>
      </c>
      <c r="B11" t="e">
        <f>Nutrient_Index</f>
        <v>#NAME?</v>
      </c>
      <c r="C11" s="21">
        <f>Env_Nutrient_Index_Jul</f>
        <v>0.4</v>
      </c>
      <c r="D11" t="s">
        <v>450</v>
      </c>
      <c r="E11" t="s">
        <v>516</v>
      </c>
    </row>
    <row r="12" spans="1:5" x14ac:dyDescent="0.2">
      <c r="A12" t="s">
        <v>517</v>
      </c>
      <c r="B12" t="e">
        <f>Bioavail*(1-Clay*0.5)</f>
        <v>#NAME?</v>
      </c>
      <c r="C12" s="21">
        <f>Env_Bioavail_Index_Jul*(1-0.15*0.5)</f>
        <v>0.92500000000000004</v>
      </c>
      <c r="D12" t="s">
        <v>450</v>
      </c>
      <c r="E12" t="s">
        <v>518</v>
      </c>
    </row>
    <row r="15" spans="1:5" x14ac:dyDescent="0.2">
      <c r="A15" s="11" t="s">
        <v>519</v>
      </c>
    </row>
    <row r="16" spans="1:5" x14ac:dyDescent="0.2">
      <c r="A16" t="s">
        <v>520</v>
      </c>
      <c r="B16" t="e">
        <f>Base_Rate * Q10 * UV * DO * Nutrient * Bioavail * Stoch_Treatment</f>
        <v>#NAME?</v>
      </c>
      <c r="C16" s="21">
        <f ca="1">Rapid_Phase_Rate*Q10_Factor*UV_Modifier*DO_Modifier*Nutrient_Modifier*Bioavail_Modifier*Stoch_TreatmentRate</f>
        <v>0.17518892129199584</v>
      </c>
      <c r="D16" t="s">
        <v>341</v>
      </c>
      <c r="E16" t="s">
        <v>521</v>
      </c>
    </row>
    <row r="17" spans="1:5" x14ac:dyDescent="0.2">
      <c r="A17" t="s">
        <v>522</v>
      </c>
      <c r="B17">
        <f ca="1">Effective_Rate / Rapid_Phase_Rate</f>
        <v>0.32930248363157111</v>
      </c>
      <c r="C17" s="25">
        <f ca="1">Effective_Rate/Rapid_Phase_Rate</f>
        <v>0.32930248363157111</v>
      </c>
      <c r="D17" t="s">
        <v>460</v>
      </c>
      <c r="E17" t="s">
        <v>523</v>
      </c>
    </row>
  </sheetData>
  <mergeCells count="2">
    <mergeCell ref="A4:E4"/>
    <mergeCell ref="A3:E3"/>
  </mergeCells>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18"/>
  <sheetViews>
    <sheetView workbookViewId="0"/>
  </sheetViews>
  <sheetFormatPr baseColWidth="10" defaultColWidth="8.83203125" defaultRowHeight="15" x14ac:dyDescent="0.2"/>
  <cols>
    <col min="1" max="1" width="22" customWidth="1"/>
    <col min="2" max="2" width="12" customWidth="1"/>
    <col min="3" max="3" width="70" customWidth="1"/>
  </cols>
  <sheetData>
    <row r="1" spans="1:3" ht="21" x14ac:dyDescent="0.25">
      <c r="A1" s="5" t="s">
        <v>524</v>
      </c>
    </row>
    <row r="2" spans="1:3" x14ac:dyDescent="0.2">
      <c r="A2" s="12" t="s">
        <v>525</v>
      </c>
    </row>
    <row r="4" spans="1:3" x14ac:dyDescent="0.2">
      <c r="A4" s="36" t="s">
        <v>526</v>
      </c>
      <c r="B4" s="34"/>
      <c r="C4" s="35"/>
    </row>
    <row r="5" spans="1:3" ht="202.75" customHeight="1" x14ac:dyDescent="0.2">
      <c r="A5" s="33" t="s">
        <v>527</v>
      </c>
      <c r="B5" s="34"/>
      <c r="C5" s="35"/>
    </row>
    <row r="7" spans="1:3" x14ac:dyDescent="0.2">
      <c r="A7" s="6" t="s">
        <v>524</v>
      </c>
    </row>
    <row r="8" spans="1:3" ht="31.25" customHeight="1" x14ac:dyDescent="0.2">
      <c r="A8" s="7" t="s">
        <v>46</v>
      </c>
      <c r="B8" s="31" t="s">
        <v>528</v>
      </c>
      <c r="C8" s="32"/>
    </row>
    <row r="9" spans="1:3" ht="15.5" customHeight="1" x14ac:dyDescent="0.2">
      <c r="A9" s="7" t="s">
        <v>48</v>
      </c>
      <c r="B9" s="31" t="s">
        <v>529</v>
      </c>
      <c r="C9" s="32"/>
    </row>
    <row r="10" spans="1:3" ht="46.75" customHeight="1" x14ac:dyDescent="0.2">
      <c r="A10" s="7" t="s">
        <v>50</v>
      </c>
      <c r="B10" s="31" t="s">
        <v>530</v>
      </c>
      <c r="C10" s="32"/>
    </row>
    <row r="11" spans="1:3" ht="15.5" customHeight="1" x14ac:dyDescent="0.2">
      <c r="A11" s="7" t="s">
        <v>52</v>
      </c>
      <c r="B11" s="31" t="s">
        <v>531</v>
      </c>
      <c r="C11" s="32"/>
    </row>
    <row r="12" spans="1:3" ht="15.5" customHeight="1" x14ac:dyDescent="0.2">
      <c r="A12" s="7" t="s">
        <v>54</v>
      </c>
      <c r="B12" s="31" t="s">
        <v>532</v>
      </c>
      <c r="C12" s="32"/>
    </row>
    <row r="13" spans="1:3" x14ac:dyDescent="0.2">
      <c r="A13" s="8" t="s">
        <v>369</v>
      </c>
      <c r="B13" s="8" t="s">
        <v>533</v>
      </c>
      <c r="C13" s="8" t="s">
        <v>534</v>
      </c>
    </row>
    <row r="14" spans="1:3" x14ac:dyDescent="0.2">
      <c r="A14" t="s">
        <v>535</v>
      </c>
      <c r="B14">
        <f ca="1">RAND()</f>
        <v>0.57901312439264663</v>
      </c>
      <c r="C14">
        <f ca="1">IF(B14&lt;(Tri_Season_Extension_Days_Mode-Tri_Season_Extension_Days_Min)/(Tri_Season_Extension_Days_Max-Tri_Season_Extension_Days_Min),Tri_Season_Extension_Days_Min+SQRT(B14*(Tri_Season_Extension_Days_Max-Tri_Season_Extension_Days_Min)*(Tri_Season_Extension_Days_Mode-Tri_Season_Extension_Days_Min)),Tri_Season_Extension_Days_Max-SQRT((1-B14)*(Tri_Season_Extension_Days_Max-Tri_Season_Extension_Days_Min)*(Tri_Season_Extension_Days_Max-Tri_Season_Extension_Days_Mode)))</f>
        <v>23.874797016298452</v>
      </c>
    </row>
    <row r="15" spans="1:3" x14ac:dyDescent="0.2">
      <c r="A15" t="s">
        <v>536</v>
      </c>
      <c r="B15">
        <f ca="1">RAND()</f>
        <v>7.9385179051426613E-3</v>
      </c>
      <c r="C15">
        <f ca="1">IF(B15&lt;(Tri_Extension_Value_Per_Day_Mode-Tri_Extension_Value_Per_Day_Min)/(Tri_Extension_Value_Per_Day_Max-Tri_Extension_Value_Per_Day_Min),Tri_Extension_Value_Per_Day_Min+SQRT(B15*(Tri_Extension_Value_Per_Day_Max-Tri_Extension_Value_Per_Day_Min)*(Tri_Extension_Value_Per_Day_Mode-Tri_Extension_Value_Per_Day_Min)),Tri_Extension_Value_Per_Day_Max-SQRT((1-B15)*(Tri_Extension_Value_Per_Day_Max-Tri_Extension_Value_Per_Day_Min)*(Tri_Extension_Value_Per_Day_Max-Tri_Extension_Value_Per_Day_Mode)))</f>
        <v>3654.7365629607866</v>
      </c>
    </row>
    <row r="16" spans="1:3" x14ac:dyDescent="0.2">
      <c r="A16" t="s">
        <v>447</v>
      </c>
      <c r="B16">
        <f ca="1">RAND()</f>
        <v>0.99735129781384968</v>
      </c>
      <c r="C16">
        <f ca="1">IF(B16&lt;(Tri_Interventions_Avoided_Mode-Tri_Interventions_Avoided_Min)/(Tri_Interventions_Avoided_Max-Tri_Interventions_Avoided_Min),Tri_Interventions_Avoided_Min+SQRT(B16*(Tri_Interventions_Avoided_Max-Tri_Interventions_Avoided_Min)*(Tri_Interventions_Avoided_Mode-Tri_Interventions_Avoided_Min)),Tri_Interventions_Avoided_Max-SQRT((1-B16)*(Tri_Interventions_Avoided_Max-Tri_Interventions_Avoided_Min)*(Tri_Interventions_Avoided_Max-Tri_Interventions_Avoided_Mode)))</f>
        <v>7.6955257375158599</v>
      </c>
    </row>
    <row r="17" spans="1:3" x14ac:dyDescent="0.2">
      <c r="A17" t="s">
        <v>459</v>
      </c>
      <c r="B17">
        <f ca="1">RAND()</f>
        <v>0.50749861874422297</v>
      </c>
      <c r="C17">
        <f ca="1">Beta_Efficiency_Gain_Min+(Beta_Efficiency_Gain_Max-Beta_Efficiency_Gain_Min)*B17</f>
        <v>0.22762451656047805</v>
      </c>
    </row>
    <row r="18" spans="1:3" x14ac:dyDescent="0.2">
      <c r="A18" t="s">
        <v>449</v>
      </c>
      <c r="B18">
        <f ca="1">RAND()</f>
        <v>0.64458197875877588</v>
      </c>
      <c r="C18">
        <f ca="1">IF(B18&lt;(Tri_Treatment_Rate_Factor_Mode-Tri_Treatment_Rate_Factor_Min)/(Tri_Treatment_Rate_Factor_Max-Tri_Treatment_Rate_Factor_Min),Tri_Treatment_Rate_Factor_Min+SQRT(B18*(Tri_Treatment_Rate_Factor_Max-Tri_Treatment_Rate_Factor_Min)*(Tri_Treatment_Rate_Factor_Mode-Tri_Treatment_Rate_Factor_Min)),Tri_Treatment_Rate_Factor_Max-SQRT((1-B18)*(Tri_Treatment_Rate_Factor_Max-Tri_Treatment_Rate_Factor_Min)*(Tri_Treatment_Rate_Factor_Max-Tri_Treatment_Rate_Factor_Mode)))</f>
        <v>1.0470667206091291</v>
      </c>
    </row>
  </sheetData>
  <mergeCells count="7">
    <mergeCell ref="B12:C12"/>
    <mergeCell ref="A5:C5"/>
    <mergeCell ref="B11:C11"/>
    <mergeCell ref="B10:C10"/>
    <mergeCell ref="B9:C9"/>
    <mergeCell ref="A4:C4"/>
    <mergeCell ref="B8:C8"/>
  </mergeCells>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F26"/>
  <sheetViews>
    <sheetView workbookViewId="0"/>
  </sheetViews>
  <sheetFormatPr baseColWidth="10" defaultColWidth="8.83203125" defaultRowHeight="15" x14ac:dyDescent="0.2"/>
  <cols>
    <col min="1" max="1" width="20" customWidth="1"/>
    <col min="2" max="2" width="14" customWidth="1"/>
    <col min="3" max="5" width="10" customWidth="1"/>
    <col min="6" max="6" width="35" customWidth="1"/>
  </cols>
  <sheetData>
    <row r="1" spans="1:6" ht="21" x14ac:dyDescent="0.25">
      <c r="A1" s="5" t="s">
        <v>537</v>
      </c>
    </row>
    <row r="3" spans="1:6" x14ac:dyDescent="0.2">
      <c r="A3" s="36" t="s">
        <v>538</v>
      </c>
      <c r="B3" s="34"/>
      <c r="C3" s="34"/>
      <c r="D3" s="34"/>
      <c r="E3" s="34"/>
      <c r="F3" s="35"/>
    </row>
    <row r="4" spans="1:6" ht="78" customHeight="1" x14ac:dyDescent="0.2">
      <c r="A4" s="33" t="s">
        <v>539</v>
      </c>
      <c r="B4" s="34"/>
      <c r="C4" s="34"/>
      <c r="D4" s="34"/>
      <c r="E4" s="34"/>
      <c r="F4" s="35"/>
    </row>
    <row r="7" spans="1:6" x14ac:dyDescent="0.2">
      <c r="A7" s="8" t="s">
        <v>540</v>
      </c>
      <c r="B7" s="8" t="s">
        <v>390</v>
      </c>
      <c r="C7" s="8" t="s">
        <v>391</v>
      </c>
      <c r="D7" s="8" t="s">
        <v>57</v>
      </c>
      <c r="E7" s="8" t="s">
        <v>541</v>
      </c>
      <c r="F7" s="8" t="s">
        <v>228</v>
      </c>
    </row>
    <row r="8" spans="1:6" x14ac:dyDescent="0.2">
      <c r="A8" t="s">
        <v>542</v>
      </c>
      <c r="B8" t="s">
        <v>543</v>
      </c>
      <c r="C8" t="s">
        <v>393</v>
      </c>
      <c r="D8" s="24" t="e">
        <f>IF(Final_NAFC&lt;=Target_NAFC,1,0)</f>
        <v>#NAME?</v>
      </c>
      <c r="E8" t="e">
        <f t="shared" ref="E8:E20" si="0">IF(D8=1,"PASS","FAIL")</f>
        <v>#NAME?</v>
      </c>
      <c r="F8" t="s">
        <v>544</v>
      </c>
    </row>
    <row r="9" spans="1:6" x14ac:dyDescent="0.2">
      <c r="A9" t="s">
        <v>392</v>
      </c>
      <c r="B9" t="s">
        <v>545</v>
      </c>
      <c r="C9" t="s">
        <v>393</v>
      </c>
      <c r="D9" s="24">
        <f>IF(Ionic_Chloride_Mode&lt;230,1,0)</f>
        <v>1</v>
      </c>
      <c r="E9" t="str">
        <f t="shared" si="0"/>
        <v>PASS</v>
      </c>
      <c r="F9" t="s">
        <v>546</v>
      </c>
    </row>
    <row r="10" spans="1:6" x14ac:dyDescent="0.2">
      <c r="A10" t="s">
        <v>395</v>
      </c>
      <c r="B10" t="s">
        <v>547</v>
      </c>
      <c r="C10" t="s">
        <v>393</v>
      </c>
      <c r="D10" s="24">
        <f>IF(Ionic_SAR_Mode&lt;4,1,0)</f>
        <v>1</v>
      </c>
      <c r="E10" t="str">
        <f t="shared" si="0"/>
        <v>PASS</v>
      </c>
      <c r="F10" t="s">
        <v>548</v>
      </c>
    </row>
    <row r="11" spans="1:6" x14ac:dyDescent="0.2">
      <c r="A11" t="s">
        <v>549</v>
      </c>
      <c r="B11" t="s">
        <v>550</v>
      </c>
      <c r="C11" t="s">
        <v>401</v>
      </c>
      <c r="D11" s="24">
        <f>IF(Env_DO_Typical_Jul&gt;=6.5,1,0)</f>
        <v>1</v>
      </c>
      <c r="E11" t="str">
        <f t="shared" si="0"/>
        <v>PASS</v>
      </c>
      <c r="F11" t="s">
        <v>551</v>
      </c>
    </row>
    <row r="12" spans="1:6" x14ac:dyDescent="0.2">
      <c r="A12" t="s">
        <v>552</v>
      </c>
      <c r="B12" t="s">
        <v>553</v>
      </c>
      <c r="C12" t="s">
        <v>401</v>
      </c>
      <c r="D12" s="24">
        <f>IF(7.5&gt;6.5,1,0)</f>
        <v>1</v>
      </c>
      <c r="E12" t="str">
        <f t="shared" si="0"/>
        <v>PASS</v>
      </c>
      <c r="F12" t="s">
        <v>554</v>
      </c>
    </row>
    <row r="13" spans="1:6" x14ac:dyDescent="0.2">
      <c r="A13" t="s">
        <v>555</v>
      </c>
      <c r="B13" t="s">
        <v>556</v>
      </c>
      <c r="C13" t="s">
        <v>393</v>
      </c>
      <c r="D13" s="24">
        <f>IF(7.5&lt;8.5,1,0)</f>
        <v>1</v>
      </c>
      <c r="E13" t="str">
        <f t="shared" si="0"/>
        <v>PASS</v>
      </c>
      <c r="F13" t="s">
        <v>557</v>
      </c>
    </row>
    <row r="14" spans="1:6" x14ac:dyDescent="0.2">
      <c r="A14" t="s">
        <v>398</v>
      </c>
      <c r="B14" t="s">
        <v>558</v>
      </c>
      <c r="C14" t="s">
        <v>393</v>
      </c>
      <c r="D14" s="24">
        <f>IF(Ionic_Sulfate_Mode&lt;500,1,0)</f>
        <v>1</v>
      </c>
      <c r="E14" t="str">
        <f t="shared" si="0"/>
        <v>PASS</v>
      </c>
      <c r="F14" t="s">
        <v>399</v>
      </c>
    </row>
    <row r="15" spans="1:6" x14ac:dyDescent="0.2">
      <c r="A15" t="s">
        <v>559</v>
      </c>
      <c r="B15" t="s">
        <v>560</v>
      </c>
      <c r="C15" t="s">
        <v>393</v>
      </c>
      <c r="D15" s="24">
        <f>IF(Env_Temp_Water_Jul&lt;25,1,0)</f>
        <v>1</v>
      </c>
      <c r="E15" t="str">
        <f t="shared" si="0"/>
        <v>PASS</v>
      </c>
      <c r="F15" t="s">
        <v>561</v>
      </c>
    </row>
    <row r="16" spans="1:6" x14ac:dyDescent="0.2">
      <c r="A16" t="s">
        <v>119</v>
      </c>
      <c r="B16" t="s">
        <v>562</v>
      </c>
      <c r="C16" t="s">
        <v>393</v>
      </c>
      <c r="D16" s="24">
        <f ca="1">IF(Days_to_Compliance&lt;Season_Length,1,0)</f>
        <v>1</v>
      </c>
      <c r="E16" t="str">
        <f t="shared" ca="1" si="0"/>
        <v>PASS</v>
      </c>
      <c r="F16" t="s">
        <v>563</v>
      </c>
    </row>
    <row r="17" spans="1:6" x14ac:dyDescent="0.2">
      <c r="A17" t="s">
        <v>564</v>
      </c>
      <c r="B17" t="s">
        <v>565</v>
      </c>
      <c r="C17" t="s">
        <v>393</v>
      </c>
      <c r="D17" s="24">
        <f>1</f>
        <v>1</v>
      </c>
      <c r="E17" t="str">
        <f t="shared" si="0"/>
        <v>PASS</v>
      </c>
      <c r="F17" t="s">
        <v>566</v>
      </c>
    </row>
    <row r="18" spans="1:6" x14ac:dyDescent="0.2">
      <c r="A18" t="s">
        <v>567</v>
      </c>
      <c r="B18" t="s">
        <v>568</v>
      </c>
      <c r="C18" t="s">
        <v>569</v>
      </c>
      <c r="D18" s="24">
        <f>1</f>
        <v>1</v>
      </c>
      <c r="E18" t="str">
        <f t="shared" si="0"/>
        <v>PASS</v>
      </c>
      <c r="F18" t="s">
        <v>570</v>
      </c>
    </row>
    <row r="19" spans="1:6" x14ac:dyDescent="0.2">
      <c r="A19" t="s">
        <v>571</v>
      </c>
      <c r="B19" t="s">
        <v>572</v>
      </c>
      <c r="C19" t="s">
        <v>569</v>
      </c>
      <c r="D19" s="24">
        <f>1</f>
        <v>1</v>
      </c>
      <c r="E19" t="str">
        <f t="shared" si="0"/>
        <v>PASS</v>
      </c>
      <c r="F19" t="s">
        <v>573</v>
      </c>
    </row>
    <row r="20" spans="1:6" x14ac:dyDescent="0.2">
      <c r="A20" t="s">
        <v>574</v>
      </c>
      <c r="B20" t="s">
        <v>575</v>
      </c>
      <c r="C20" t="s">
        <v>569</v>
      </c>
      <c r="D20" s="24">
        <f>1</f>
        <v>1</v>
      </c>
      <c r="E20" t="str">
        <f t="shared" si="0"/>
        <v>PASS</v>
      </c>
      <c r="F20" t="s">
        <v>576</v>
      </c>
    </row>
    <row r="23" spans="1:6" x14ac:dyDescent="0.2">
      <c r="A23" s="11" t="s">
        <v>577</v>
      </c>
    </row>
    <row r="24" spans="1:6" x14ac:dyDescent="0.2">
      <c r="A24" t="s">
        <v>578</v>
      </c>
      <c r="B24" t="e">
        <f>MIN(all gates)</f>
        <v>#NAME?</v>
      </c>
      <c r="C24" s="24" t="e">
        <f>MIN(D8:D20)</f>
        <v>#NAME?</v>
      </c>
      <c r="D24" t="e">
        <f>IF(C24=1,"ALL PASS","BLOCKED")</f>
        <v>#NAME?</v>
      </c>
    </row>
    <row r="25" spans="1:6" x14ac:dyDescent="0.2">
      <c r="A25" t="s">
        <v>579</v>
      </c>
      <c r="C25">
        <f ca="1">COUNTIF(D8:D20,1)</f>
        <v>12</v>
      </c>
      <c r="D25" t="s">
        <v>580</v>
      </c>
    </row>
    <row r="26" spans="1:6" x14ac:dyDescent="0.2">
      <c r="A26" t="s">
        <v>581</v>
      </c>
      <c r="C26">
        <f ca="1">COUNTIF(D8:D20,0)</f>
        <v>0</v>
      </c>
    </row>
  </sheetData>
  <mergeCells count="2">
    <mergeCell ref="A3:F3"/>
    <mergeCell ref="A4:F4"/>
  </mergeCells>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72C4"/>
  </sheetPr>
  <dimension ref="A1:E24"/>
  <sheetViews>
    <sheetView workbookViewId="0"/>
  </sheetViews>
  <sheetFormatPr baseColWidth="10" defaultColWidth="8.83203125" defaultRowHeight="15" x14ac:dyDescent="0.2"/>
  <cols>
    <col min="1" max="1" width="28" customWidth="1"/>
    <col min="2" max="5" width="14" customWidth="1"/>
  </cols>
  <sheetData>
    <row r="1" spans="1:5" ht="21" x14ac:dyDescent="0.25">
      <c r="A1" s="5" t="s">
        <v>582</v>
      </c>
    </row>
    <row r="3" spans="1:5" x14ac:dyDescent="0.2">
      <c r="A3" s="36" t="s">
        <v>583</v>
      </c>
      <c r="B3" s="34"/>
      <c r="C3" s="34"/>
      <c r="D3" s="34"/>
      <c r="E3" s="35"/>
    </row>
    <row r="4" spans="1:5" ht="234" customHeight="1" x14ac:dyDescent="0.2">
      <c r="A4" s="33" t="s">
        <v>584</v>
      </c>
      <c r="B4" s="34"/>
      <c r="C4" s="34"/>
      <c r="D4" s="34"/>
      <c r="E4" s="35"/>
    </row>
    <row r="6" spans="1:5" x14ac:dyDescent="0.2">
      <c r="A6" s="6" t="s">
        <v>582</v>
      </c>
    </row>
    <row r="7" spans="1:5" ht="31.25" customHeight="1" x14ac:dyDescent="0.2">
      <c r="A7" s="7" t="s">
        <v>46</v>
      </c>
      <c r="B7" s="31" t="s">
        <v>585</v>
      </c>
      <c r="C7" s="32"/>
      <c r="D7" s="32"/>
      <c r="E7" s="32"/>
    </row>
    <row r="8" spans="1:5" ht="31.25" customHeight="1" x14ac:dyDescent="0.2">
      <c r="A8" s="7" t="s">
        <v>48</v>
      </c>
      <c r="B8" s="31" t="s">
        <v>586</v>
      </c>
      <c r="C8" s="32"/>
      <c r="D8" s="32"/>
      <c r="E8" s="32"/>
    </row>
    <row r="9" spans="1:5" ht="109.25" customHeight="1" x14ac:dyDescent="0.2">
      <c r="A9" s="7" t="s">
        <v>50</v>
      </c>
      <c r="B9" s="31" t="s">
        <v>587</v>
      </c>
      <c r="C9" s="32"/>
      <c r="D9" s="32"/>
      <c r="E9" s="32"/>
    </row>
    <row r="10" spans="1:5" ht="31.25" customHeight="1" x14ac:dyDescent="0.2">
      <c r="A10" s="7" t="s">
        <v>52</v>
      </c>
      <c r="B10" s="31" t="s">
        <v>588</v>
      </c>
      <c r="C10" s="32"/>
      <c r="D10" s="32"/>
      <c r="E10" s="32"/>
    </row>
    <row r="11" spans="1:5" ht="31.25" customHeight="1" x14ac:dyDescent="0.2">
      <c r="A11" s="7" t="s">
        <v>54</v>
      </c>
      <c r="B11" s="31" t="s">
        <v>589</v>
      </c>
      <c r="C11" s="32"/>
      <c r="D11" s="32"/>
      <c r="E11" s="32"/>
    </row>
    <row r="12" spans="1:5" x14ac:dyDescent="0.2">
      <c r="A12" s="8" t="s">
        <v>93</v>
      </c>
      <c r="B12" s="8" t="s">
        <v>414</v>
      </c>
      <c r="C12" s="8" t="s">
        <v>590</v>
      </c>
      <c r="D12" s="8" t="s">
        <v>591</v>
      </c>
      <c r="E12" s="8" t="s">
        <v>592</v>
      </c>
    </row>
    <row r="13" spans="1:5" x14ac:dyDescent="0.2">
      <c r="A13" t="s">
        <v>593</v>
      </c>
      <c r="B13">
        <f>INDEX(Scenario_BaseValues,1)</f>
        <v>104000</v>
      </c>
      <c r="C13" t="str">
        <f>INDEX(Gate_S1,MATCH(Testing_Option,TestOpt_Option,0))</f>
        <v>ENABLED</v>
      </c>
      <c r="D13">
        <f ca="1">Stoch_SeasonExt/21</f>
        <v>1.1368950960142119</v>
      </c>
      <c r="E13">
        <f ca="1">IF(C13="ENABLED",B13*D13,0)</f>
        <v>118237.08998547804</v>
      </c>
    </row>
    <row r="14" spans="1:5" x14ac:dyDescent="0.2">
      <c r="A14" t="s">
        <v>594</v>
      </c>
      <c r="B14">
        <f>INDEX(Scenario_BaseValues,2)</f>
        <v>67500</v>
      </c>
      <c r="C14" t="str">
        <f>INDEX(Gate_S2,MATCH(Testing_Option,TestOpt_Option,0))</f>
        <v>ENABLED</v>
      </c>
      <c r="D14">
        <f ca="1">Stoch_Interventions/3</f>
        <v>2.5651752458386201</v>
      </c>
      <c r="E14">
        <f ca="1">IF(C14="ENABLED",B14*D14,0)</f>
        <v>173149.32909410686</v>
      </c>
    </row>
    <row r="15" spans="1:5" x14ac:dyDescent="0.2">
      <c r="A15" t="s">
        <v>595</v>
      </c>
      <c r="B15">
        <f>INDEX(Scenario_BaseValues,3)</f>
        <v>78000</v>
      </c>
      <c r="C15" t="str">
        <f>INDEX(Gate_S3,MATCH(Testing_Option,TestOpt_Option,0))</f>
        <v>ENABLED</v>
      </c>
      <c r="D15">
        <f ca="1">Stoch_Efficiency/0.15</f>
        <v>1.5174967770698538</v>
      </c>
      <c r="E15">
        <f ca="1">IF(C15="ENABLED",B15*D15,0)</f>
        <v>118364.74861144859</v>
      </c>
    </row>
    <row r="16" spans="1:5" x14ac:dyDescent="0.2">
      <c r="A16" t="s">
        <v>596</v>
      </c>
      <c r="B16">
        <f>INDEX(Scenario_BaseValues,4)</f>
        <v>36000</v>
      </c>
      <c r="C16" t="str">
        <f>INDEX(Gate_S4,MATCH(Testing_Option,TestOpt_Option,0))</f>
        <v>ENABLED</v>
      </c>
      <c r="D16">
        <f ca="1">1+Stoch_Efficiency</f>
        <v>1.227624516560478</v>
      </c>
      <c r="E16">
        <f ca="1">IF(C16="ENABLED",B16*D16,0)</f>
        <v>44194.482596177208</v>
      </c>
    </row>
    <row r="18" spans="1:5" x14ac:dyDescent="0.2">
      <c r="A18" s="11" t="s">
        <v>597</v>
      </c>
      <c r="E18" s="15">
        <f ca="1">SUM(E13:E16)</f>
        <v>453945.65028721065</v>
      </c>
    </row>
    <row r="20" spans="1:5" x14ac:dyDescent="0.2">
      <c r="A20" s="11" t="s">
        <v>598</v>
      </c>
      <c r="B20" s="24" t="e">
        <f>ComplianceGate</f>
        <v>#NAME?</v>
      </c>
      <c r="C20" t="e">
        <f>IF(B20=1,"PASS","FAIL")</f>
        <v>#NAME?</v>
      </c>
    </row>
    <row r="21" spans="1:5" x14ac:dyDescent="0.2">
      <c r="A21" s="11" t="s">
        <v>599</v>
      </c>
      <c r="E21" s="15" t="e">
        <f ca="1">Gross_Value*ComplianceGate</f>
        <v>#NAME?</v>
      </c>
    </row>
    <row r="23" spans="1:5" x14ac:dyDescent="0.2">
      <c r="A23" s="26" t="s">
        <v>600</v>
      </c>
    </row>
    <row r="24" spans="1:5" x14ac:dyDescent="0.2">
      <c r="A24" s="26" t="s">
        <v>601</v>
      </c>
    </row>
  </sheetData>
  <mergeCells count="7">
    <mergeCell ref="A3:E3"/>
    <mergeCell ref="B9:E9"/>
    <mergeCell ref="A4:E4"/>
    <mergeCell ref="B8:E8"/>
    <mergeCell ref="B7:E7"/>
    <mergeCell ref="B11:E11"/>
    <mergeCell ref="B10:E10"/>
  </mergeCells>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4472C4"/>
  </sheetPr>
  <dimension ref="A1:C19"/>
  <sheetViews>
    <sheetView workbookViewId="0"/>
  </sheetViews>
  <sheetFormatPr baseColWidth="10" defaultColWidth="8.83203125" defaultRowHeight="15" x14ac:dyDescent="0.2"/>
  <cols>
    <col min="1" max="1" width="22" customWidth="1"/>
    <col min="2" max="2" width="25" customWidth="1"/>
    <col min="3" max="3" width="18" customWidth="1"/>
  </cols>
  <sheetData>
    <row r="1" spans="1:3" ht="21" x14ac:dyDescent="0.25">
      <c r="A1" s="5" t="s">
        <v>602</v>
      </c>
    </row>
    <row r="3" spans="1:3" x14ac:dyDescent="0.2">
      <c r="A3" s="36" t="s">
        <v>603</v>
      </c>
      <c r="B3" s="34"/>
      <c r="C3" s="35"/>
    </row>
    <row r="4" spans="1:3" ht="312" customHeight="1" x14ac:dyDescent="0.2">
      <c r="A4" s="33" t="s">
        <v>604</v>
      </c>
      <c r="B4" s="34"/>
      <c r="C4" s="35"/>
    </row>
    <row r="6" spans="1:3" x14ac:dyDescent="0.2">
      <c r="A6" s="6" t="s">
        <v>605</v>
      </c>
    </row>
    <row r="7" spans="1:3" ht="31.25" customHeight="1" x14ac:dyDescent="0.2">
      <c r="A7" s="7" t="s">
        <v>46</v>
      </c>
      <c r="B7" s="31" t="s">
        <v>606</v>
      </c>
      <c r="C7" s="32"/>
    </row>
    <row r="8" spans="1:3" ht="31.25" customHeight="1" x14ac:dyDescent="0.2">
      <c r="A8" s="7" t="s">
        <v>48</v>
      </c>
      <c r="B8" s="31" t="s">
        <v>607</v>
      </c>
      <c r="C8" s="32"/>
    </row>
    <row r="9" spans="1:3" ht="62.5" customHeight="1" x14ac:dyDescent="0.2">
      <c r="A9" s="7" t="s">
        <v>50</v>
      </c>
      <c r="B9" s="31" t="s">
        <v>608</v>
      </c>
      <c r="C9" s="32"/>
    </row>
    <row r="10" spans="1:3" ht="15.5" customHeight="1" x14ac:dyDescent="0.2">
      <c r="A10" s="7" t="s">
        <v>52</v>
      </c>
      <c r="B10" s="31" t="s">
        <v>609</v>
      </c>
      <c r="C10" s="32"/>
    </row>
    <row r="11" spans="1:3" ht="15.5" customHeight="1" x14ac:dyDescent="0.2">
      <c r="A11" s="7" t="s">
        <v>54</v>
      </c>
      <c r="B11" s="31" t="s">
        <v>610</v>
      </c>
      <c r="C11" s="32"/>
    </row>
    <row r="12" spans="1:3" x14ac:dyDescent="0.2">
      <c r="A12" s="8" t="s">
        <v>611</v>
      </c>
      <c r="B12" s="8" t="s">
        <v>492</v>
      </c>
      <c r="C12" s="8" t="s">
        <v>57</v>
      </c>
    </row>
    <row r="13" spans="1:3" x14ac:dyDescent="0.2">
      <c r="A13" t="s">
        <v>612</v>
      </c>
      <c r="B13" t="s">
        <v>60</v>
      </c>
      <c r="C13" t="str">
        <f>Testing_Option</f>
        <v>Daily_Biosensor</v>
      </c>
    </row>
    <row r="14" spans="1:3" x14ac:dyDescent="0.2">
      <c r="A14" t="s">
        <v>613</v>
      </c>
      <c r="B14" t="s">
        <v>614</v>
      </c>
      <c r="C14">
        <f>INDEX(TestOpt_Interval,MATCH(Testing_Option,TestOpt_Option,0))</f>
        <v>1</v>
      </c>
    </row>
    <row r="15" spans="1:3" x14ac:dyDescent="0.2">
      <c r="A15" t="s">
        <v>615</v>
      </c>
      <c r="B15" t="s">
        <v>614</v>
      </c>
      <c r="C15">
        <f>INDEX(TestOpt_Points,MATCH(Testing_Option,TestOpt_Option,0))</f>
        <v>10</v>
      </c>
    </row>
    <row r="16" spans="1:3" x14ac:dyDescent="0.2">
      <c r="A16" t="s">
        <v>310</v>
      </c>
      <c r="B16" t="s">
        <v>614</v>
      </c>
      <c r="C16" s="15">
        <f>INDEX(TestOpt_Cost,MATCH(Testing_Option,TestOpt_Option,0))</f>
        <v>10</v>
      </c>
    </row>
    <row r="17" spans="1:3" x14ac:dyDescent="0.2">
      <c r="A17" t="s">
        <v>616</v>
      </c>
      <c r="B17" t="s">
        <v>617</v>
      </c>
      <c r="C17">
        <f>Season_Length/C14</f>
        <v>100</v>
      </c>
    </row>
    <row r="18" spans="1:3" x14ac:dyDescent="0.2">
      <c r="A18" t="s">
        <v>618</v>
      </c>
      <c r="B18" t="s">
        <v>619</v>
      </c>
      <c r="C18">
        <f>C17*C15</f>
        <v>1000</v>
      </c>
    </row>
    <row r="19" spans="1:3" x14ac:dyDescent="0.2">
      <c r="A19" t="s">
        <v>620</v>
      </c>
      <c r="B19" t="s">
        <v>621</v>
      </c>
      <c r="C19" s="27">
        <f>C18*C16</f>
        <v>10000</v>
      </c>
    </row>
  </sheetData>
  <mergeCells count="7">
    <mergeCell ref="B7:C7"/>
    <mergeCell ref="B11:C11"/>
    <mergeCell ref="B10:C10"/>
    <mergeCell ref="A3:C3"/>
    <mergeCell ref="B9:C9"/>
    <mergeCell ref="A4:C4"/>
    <mergeCell ref="B8:C8"/>
  </mergeCells>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472C4"/>
  </sheetPr>
  <dimension ref="A1:I1028"/>
  <sheetViews>
    <sheetView tabSelected="1" topLeftCell="A5" workbookViewId="0">
      <selection activeCell="A10" sqref="A10:I1010"/>
    </sheetView>
  </sheetViews>
  <sheetFormatPr baseColWidth="10" defaultColWidth="8.83203125" defaultRowHeight="15" x14ac:dyDescent="0.2"/>
  <cols>
    <col min="1" max="1" width="26" customWidth="1"/>
    <col min="2" max="8" width="14" customWidth="1"/>
    <col min="9" max="9" width="18" customWidth="1"/>
    <col min="11" max="11" width="8" customWidth="1"/>
  </cols>
  <sheetData>
    <row r="1" spans="1:9" ht="21" x14ac:dyDescent="0.25">
      <c r="A1" s="5" t="s">
        <v>622</v>
      </c>
    </row>
    <row r="3" spans="1:9" x14ac:dyDescent="0.2">
      <c r="A3" s="36" t="s">
        <v>623</v>
      </c>
      <c r="B3" s="34"/>
      <c r="C3" s="34"/>
      <c r="D3" s="34"/>
      <c r="E3" s="35"/>
    </row>
    <row r="4" spans="1:9" ht="374.5" customHeight="1" x14ac:dyDescent="0.2">
      <c r="A4" s="33" t="s">
        <v>624</v>
      </c>
      <c r="B4" s="34"/>
      <c r="C4" s="34"/>
      <c r="D4" s="34"/>
      <c r="E4" s="35"/>
    </row>
    <row r="7" spans="1:9" x14ac:dyDescent="0.2">
      <c r="A7" s="12" t="s">
        <v>625</v>
      </c>
    </row>
    <row r="8" spans="1:9" x14ac:dyDescent="0.2">
      <c r="A8" s="12" t="s">
        <v>626</v>
      </c>
    </row>
    <row r="9" spans="1:9" x14ac:dyDescent="0.2">
      <c r="A9" s="11" t="s">
        <v>627</v>
      </c>
      <c r="B9" s="11" t="s">
        <v>113</v>
      </c>
      <c r="C9" s="11" t="s">
        <v>416</v>
      </c>
      <c r="D9" s="11" t="s">
        <v>419</v>
      </c>
      <c r="E9" s="11" t="s">
        <v>422</v>
      </c>
      <c r="F9" s="11" t="s">
        <v>425</v>
      </c>
      <c r="G9" s="11" t="s">
        <v>628</v>
      </c>
      <c r="H9" s="11" t="s">
        <v>629</v>
      </c>
      <c r="I9" s="11" t="s">
        <v>209</v>
      </c>
    </row>
    <row r="10" spans="1:9" x14ac:dyDescent="0.2">
      <c r="B10" s="15">
        <f ca="1">NPV_Total</f>
        <v>1612819.3322943037</v>
      </c>
      <c r="C10" s="15">
        <f ca="1">S1_Value</f>
        <v>118237.08998547804</v>
      </c>
      <c r="D10" s="15">
        <f ca="1">S2_Value</f>
        <v>173149.32909410686</v>
      </c>
      <c r="E10" s="15">
        <f ca="1">S3_Value</f>
        <v>118364.74861144859</v>
      </c>
      <c r="F10" s="15">
        <f ca="1">S4_Value</f>
        <v>44194.482596177208</v>
      </c>
      <c r="G10" s="15">
        <f>Testing_Cost</f>
        <v>10000</v>
      </c>
      <c r="H10" s="15">
        <f ca="1">Gross_Value-Testing_Cost</f>
        <v>443945.65028721065</v>
      </c>
      <c r="I10" s="23">
        <f ca="1">Days_to_Compliance</f>
        <v>33.27073223423276</v>
      </c>
    </row>
    <row r="11" spans="1:9" x14ac:dyDescent="0.2">
      <c r="A11">
        <v>1</v>
      </c>
      <c r="B11">
        <f t="dataTable" ref="B11:I1010" dt2D="0" dtr="0" r1="R24" ca="1"/>
        <v>1399185.3800093983</v>
      </c>
      <c r="C11">
        <v>113384.3489540436</v>
      </c>
      <c r="D11">
        <v>75297.584901186783</v>
      </c>
      <c r="E11">
        <v>159661.074359424</v>
      </c>
      <c r="F11">
        <v>47053.458994113971</v>
      </c>
      <c r="G11">
        <v>10000</v>
      </c>
      <c r="H11">
        <v>385396.46720876836</v>
      </c>
      <c r="I11">
        <v>41.282382772861268</v>
      </c>
    </row>
    <row r="12" spans="1:9" x14ac:dyDescent="0.2">
      <c r="A12">
        <v>2</v>
      </c>
      <c r="B12">
        <v>1408678.8370003169</v>
      </c>
      <c r="C12">
        <v>135933.92053804192</v>
      </c>
      <c r="D12">
        <v>120720.53304393255</v>
      </c>
      <c r="E12">
        <v>98522.997003315264</v>
      </c>
      <c r="F12">
        <v>42820.822869460288</v>
      </c>
      <c r="G12">
        <v>10000</v>
      </c>
      <c r="H12">
        <v>387998.27345475001</v>
      </c>
      <c r="I12">
        <v>25.728803523568207</v>
      </c>
    </row>
    <row r="13" spans="1:9" x14ac:dyDescent="0.2">
      <c r="A13">
        <v>3</v>
      </c>
      <c r="B13">
        <v>1365739.4893240773</v>
      </c>
      <c r="C13">
        <v>146094.28214098807</v>
      </c>
      <c r="D13">
        <v>144292.44940730504</v>
      </c>
      <c r="E13">
        <v>55968.695367355598</v>
      </c>
      <c r="F13">
        <v>39874.755833124618</v>
      </c>
      <c r="G13">
        <v>10000</v>
      </c>
      <c r="H13">
        <v>376230.18274877337</v>
      </c>
      <c r="I13">
        <v>41.144783284035171</v>
      </c>
    </row>
    <row r="14" spans="1:9" x14ac:dyDescent="0.2">
      <c r="A14">
        <v>4</v>
      </c>
      <c r="B14">
        <v>1364647.4110642681</v>
      </c>
      <c r="C14">
        <v>103472.59640336805</v>
      </c>
      <c r="D14">
        <v>68091.619571883173</v>
      </c>
      <c r="E14">
        <v>166817.74744406616</v>
      </c>
      <c r="F14">
        <v>47548.920976896894</v>
      </c>
      <c r="G14">
        <v>10000</v>
      </c>
      <c r="H14">
        <v>375930.88439621427</v>
      </c>
      <c r="I14">
        <v>35.850008885219708</v>
      </c>
    </row>
    <row r="15" spans="1:9" x14ac:dyDescent="0.2">
      <c r="A15">
        <v>5</v>
      </c>
      <c r="B15">
        <v>1204639.8799344013</v>
      </c>
      <c r="C15">
        <v>109047.48189281204</v>
      </c>
      <c r="D15">
        <v>96559.538580986657</v>
      </c>
      <c r="E15">
        <v>93966.341898535873</v>
      </c>
      <c r="F15">
        <v>42505.362131437105</v>
      </c>
      <c r="G15">
        <v>10000</v>
      </c>
      <c r="H15">
        <v>332078.72450377169</v>
      </c>
      <c r="I15">
        <v>45.277761379220266</v>
      </c>
    </row>
    <row r="16" spans="1:9" x14ac:dyDescent="0.2">
      <c r="A16">
        <v>6</v>
      </c>
      <c r="B16">
        <v>907413.70176268136</v>
      </c>
      <c r="C16">
        <v>120088.67605844264</v>
      </c>
      <c r="D16">
        <v>72542.804296054906</v>
      </c>
      <c r="E16">
        <v>29917.317652672627</v>
      </c>
      <c r="F16">
        <v>38071.1989144158</v>
      </c>
      <c r="G16">
        <v>10000</v>
      </c>
      <c r="H16">
        <v>250619.99692158599</v>
      </c>
      <c r="I16">
        <v>47.290458129419825</v>
      </c>
    </row>
    <row r="17" spans="1:9" x14ac:dyDescent="0.2">
      <c r="A17">
        <v>7</v>
      </c>
      <c r="B17">
        <v>1658070.4607347378</v>
      </c>
      <c r="C17">
        <v>100289.15709980218</v>
      </c>
      <c r="D17">
        <v>167395.02086851548</v>
      </c>
      <c r="E17">
        <v>152130.99127611681</v>
      </c>
      <c r="F17">
        <v>46532.145549885005</v>
      </c>
      <c r="G17">
        <v>10000</v>
      </c>
      <c r="H17">
        <v>456347.31479431945</v>
      </c>
      <c r="I17">
        <v>36.852300945159904</v>
      </c>
    </row>
    <row r="18" spans="1:9" x14ac:dyDescent="0.2">
      <c r="A18">
        <v>8</v>
      </c>
      <c r="B18">
        <v>1151045.2355778511</v>
      </c>
      <c r="C18">
        <v>136780.02897750022</v>
      </c>
      <c r="D18">
        <v>61764.238440883193</v>
      </c>
      <c r="E18">
        <v>86834.521993847768</v>
      </c>
      <c r="F18">
        <v>42011.620753420226</v>
      </c>
      <c r="G18">
        <v>10000</v>
      </c>
      <c r="H18">
        <v>317390.41016565141</v>
      </c>
      <c r="I18">
        <v>31.629415107358511</v>
      </c>
    </row>
    <row r="19" spans="1:9" x14ac:dyDescent="0.2">
      <c r="A19">
        <v>9</v>
      </c>
      <c r="B19">
        <v>1460764.8115055077</v>
      </c>
      <c r="C19">
        <v>109536.17593845946</v>
      </c>
      <c r="D19">
        <v>50212.477416759721</v>
      </c>
      <c r="E19">
        <v>202504.89411013044</v>
      </c>
      <c r="F19">
        <v>50019.569592239801</v>
      </c>
      <c r="G19">
        <v>10000</v>
      </c>
      <c r="H19">
        <v>402273.11705758941</v>
      </c>
      <c r="I19">
        <v>25.631212007966163</v>
      </c>
    </row>
    <row r="20" spans="1:9" x14ac:dyDescent="0.2">
      <c r="A20">
        <v>10</v>
      </c>
      <c r="B20">
        <v>1480950.4723142276</v>
      </c>
      <c r="C20">
        <v>158065.40098932153</v>
      </c>
      <c r="D20">
        <v>66738.196667802767</v>
      </c>
      <c r="E20">
        <v>146836.08878561191</v>
      </c>
      <c r="F20">
        <v>46165.575377465437</v>
      </c>
      <c r="G20">
        <v>10000</v>
      </c>
      <c r="H20">
        <v>407805.26182020165</v>
      </c>
      <c r="I20">
        <v>43.241142544473433</v>
      </c>
    </row>
    <row r="21" spans="1:9" x14ac:dyDescent="0.2">
      <c r="A21">
        <v>11</v>
      </c>
      <c r="B21">
        <v>1359524.823823259</v>
      </c>
      <c r="C21">
        <v>123595.51032529016</v>
      </c>
      <c r="D21">
        <v>93252.900957483464</v>
      </c>
      <c r="E21">
        <v>123152.61098638139</v>
      </c>
      <c r="F21">
        <v>44525.949991364869</v>
      </c>
      <c r="G21">
        <v>10000</v>
      </c>
      <c r="H21">
        <v>374526.97226051986</v>
      </c>
      <c r="I21">
        <v>45.861878169282811</v>
      </c>
    </row>
    <row r="22" spans="1:9" x14ac:dyDescent="0.2">
      <c r="A22">
        <v>12</v>
      </c>
      <c r="B22">
        <v>1158812.6923641744</v>
      </c>
      <c r="C22">
        <v>125322.33787546663</v>
      </c>
      <c r="D22">
        <v>83373.896375015334</v>
      </c>
      <c r="E22">
        <v>79330.815794531241</v>
      </c>
      <c r="F22">
        <v>41492.133401159852</v>
      </c>
      <c r="G22">
        <v>10000</v>
      </c>
      <c r="H22">
        <v>319519.18344617303</v>
      </c>
      <c r="I22">
        <v>25.792310065107355</v>
      </c>
    </row>
    <row r="23" spans="1:9" x14ac:dyDescent="0.2">
      <c r="A23">
        <v>13</v>
      </c>
      <c r="B23">
        <v>1045932.5304158862</v>
      </c>
      <c r="C23">
        <v>125220.19267782397</v>
      </c>
      <c r="D23">
        <v>86931.64024588601</v>
      </c>
      <c r="E23">
        <v>47165.742832071133</v>
      </c>
      <c r="F23">
        <v>39265.320657604927</v>
      </c>
      <c r="G23">
        <v>10000</v>
      </c>
      <c r="H23">
        <v>288582.8964133861</v>
      </c>
      <c r="I23">
        <v>54.692273592666083</v>
      </c>
    </row>
    <row r="24" spans="1:9" x14ac:dyDescent="0.2">
      <c r="A24">
        <v>14</v>
      </c>
      <c r="B24">
        <v>1610430.4307764964</v>
      </c>
      <c r="C24">
        <v>133198.20491225395</v>
      </c>
      <c r="D24">
        <v>122079.40157505042</v>
      </c>
      <c r="E24">
        <v>151523.26205742764</v>
      </c>
      <c r="F24">
        <v>46490.071988591146</v>
      </c>
      <c r="G24">
        <v>10000</v>
      </c>
      <c r="H24">
        <v>443290.94053332316</v>
      </c>
      <c r="I24">
        <v>33.259870582450731</v>
      </c>
    </row>
    <row r="25" spans="1:9" x14ac:dyDescent="0.2">
      <c r="A25">
        <v>15</v>
      </c>
      <c r="B25">
        <v>1285094.1733247114</v>
      </c>
      <c r="C25">
        <v>124701.77157868871</v>
      </c>
      <c r="D25">
        <v>102491.5108519247</v>
      </c>
      <c r="E25">
        <v>94399.635678402032</v>
      </c>
      <c r="F25">
        <v>42535.359393120139</v>
      </c>
      <c r="G25">
        <v>10000</v>
      </c>
      <c r="H25">
        <v>354128.27750213561</v>
      </c>
      <c r="I25">
        <v>56.002457461120947</v>
      </c>
    </row>
    <row r="26" spans="1:9" x14ac:dyDescent="0.2">
      <c r="A26">
        <v>16</v>
      </c>
      <c r="B26">
        <v>1187890.4435738111</v>
      </c>
      <c r="C26">
        <v>120044.77333862967</v>
      </c>
      <c r="D26">
        <v>102188.18850181588</v>
      </c>
      <c r="E26">
        <v>74123.718194033499</v>
      </c>
      <c r="F26">
        <v>41131.642028817703</v>
      </c>
      <c r="G26">
        <v>10000</v>
      </c>
      <c r="H26">
        <v>327488.3220632968</v>
      </c>
      <c r="I26">
        <v>38.206114325418952</v>
      </c>
    </row>
    <row r="27" spans="1:9" x14ac:dyDescent="0.2">
      <c r="A27">
        <v>17</v>
      </c>
      <c r="B27">
        <v>1184888.7781980338</v>
      </c>
      <c r="C27">
        <v>105100.64443319281</v>
      </c>
      <c r="D27">
        <v>129491.82889423645</v>
      </c>
      <c r="E27">
        <v>61795.081961082891</v>
      </c>
      <c r="F27">
        <v>40278.121058844197</v>
      </c>
      <c r="G27">
        <v>10000</v>
      </c>
      <c r="H27">
        <v>326665.67634735635</v>
      </c>
      <c r="I27">
        <v>32.045518406808128</v>
      </c>
    </row>
    <row r="28" spans="1:9" x14ac:dyDescent="0.2">
      <c r="A28">
        <v>18</v>
      </c>
      <c r="B28">
        <v>1490553.2465564157</v>
      </c>
      <c r="C28">
        <v>98882.19683773219</v>
      </c>
      <c r="D28">
        <v>154973.63049155875</v>
      </c>
      <c r="E28">
        <v>122126.30268349397</v>
      </c>
      <c r="F28">
        <v>44454.897878088042</v>
      </c>
      <c r="G28">
        <v>10000</v>
      </c>
      <c r="H28">
        <v>410437.02789087297</v>
      </c>
      <c r="I28">
        <v>27.902518115826339</v>
      </c>
    </row>
    <row r="29" spans="1:9" x14ac:dyDescent="0.2">
      <c r="A29">
        <v>19</v>
      </c>
      <c r="B29">
        <v>937560.34546555113</v>
      </c>
      <c r="C29">
        <v>104108.62234166944</v>
      </c>
      <c r="D29">
        <v>46840.762292590276</v>
      </c>
      <c r="E29">
        <v>76627.700260539685</v>
      </c>
      <c r="F29">
        <v>41304.994633421979</v>
      </c>
      <c r="G29">
        <v>10000</v>
      </c>
      <c r="H29">
        <v>258882.07952822139</v>
      </c>
      <c r="I29">
        <v>32.152291810354086</v>
      </c>
    </row>
    <row r="30" spans="1:9" x14ac:dyDescent="0.2">
      <c r="A30">
        <v>20</v>
      </c>
      <c r="B30">
        <v>960562.24414269731</v>
      </c>
      <c r="C30">
        <v>89327.676811029844</v>
      </c>
      <c r="D30">
        <v>107748.75052812381</v>
      </c>
      <c r="E30">
        <v>39383.101423984823</v>
      </c>
      <c r="F30">
        <v>38726.522406275872</v>
      </c>
      <c r="G30">
        <v>10000</v>
      </c>
      <c r="H30">
        <v>265186.05116941436</v>
      </c>
      <c r="I30">
        <v>31.027608694309105</v>
      </c>
    </row>
    <row r="31" spans="1:9" x14ac:dyDescent="0.2">
      <c r="A31">
        <v>21</v>
      </c>
      <c r="B31">
        <v>1074407.9230889915</v>
      </c>
      <c r="C31">
        <v>114233.32472648952</v>
      </c>
      <c r="D31">
        <v>61219.291185061666</v>
      </c>
      <c r="E31">
        <v>88787.507433822233</v>
      </c>
      <c r="F31">
        <v>42146.827437726155</v>
      </c>
      <c r="G31">
        <v>10000</v>
      </c>
      <c r="H31">
        <v>296386.95078309957</v>
      </c>
      <c r="I31">
        <v>25.786648906784052</v>
      </c>
    </row>
    <row r="32" spans="1:9" x14ac:dyDescent="0.2">
      <c r="A32">
        <v>22</v>
      </c>
      <c r="B32">
        <v>1452583.8658843094</v>
      </c>
      <c r="C32">
        <v>112171.52923825153</v>
      </c>
      <c r="D32">
        <v>102742.76333427581</v>
      </c>
      <c r="E32">
        <v>148814.20714015001</v>
      </c>
      <c r="F32">
        <v>46302.52203277962</v>
      </c>
      <c r="G32">
        <v>10000</v>
      </c>
      <c r="H32">
        <v>400031.02174545696</v>
      </c>
      <c r="I32">
        <v>30.656996937087669</v>
      </c>
    </row>
    <row r="33" spans="1:9" x14ac:dyDescent="0.2">
      <c r="A33">
        <v>23</v>
      </c>
      <c r="B33">
        <v>1360169.1467053532</v>
      </c>
      <c r="C33">
        <v>86093.926865061003</v>
      </c>
      <c r="D33">
        <v>91928.250520023401</v>
      </c>
      <c r="E33">
        <v>159630.06762725612</v>
      </c>
      <c r="F33">
        <v>47051.312374194655</v>
      </c>
      <c r="G33">
        <v>10000</v>
      </c>
      <c r="H33">
        <v>374703.55738653516</v>
      </c>
      <c r="I33">
        <v>50.890718869266763</v>
      </c>
    </row>
    <row r="34" spans="1:9" x14ac:dyDescent="0.2">
      <c r="A34">
        <v>24</v>
      </c>
      <c r="B34">
        <v>1326795.0141237986</v>
      </c>
      <c r="C34">
        <v>106219.98707600877</v>
      </c>
      <c r="D34">
        <v>64530.393779056401</v>
      </c>
      <c r="E34">
        <v>157876.63727750428</v>
      </c>
      <c r="F34">
        <v>46929.921042288755</v>
      </c>
      <c r="G34">
        <v>10000</v>
      </c>
      <c r="H34">
        <v>365556.93917485821</v>
      </c>
      <c r="I34">
        <v>31.917408985941808</v>
      </c>
    </row>
    <row r="35" spans="1:9" x14ac:dyDescent="0.2">
      <c r="A35">
        <v>25</v>
      </c>
      <c r="B35">
        <v>1214014.1522833118</v>
      </c>
      <c r="C35">
        <v>155695.68699932151</v>
      </c>
      <c r="D35">
        <v>105908.2906061734</v>
      </c>
      <c r="E35">
        <v>43997.881828377889</v>
      </c>
      <c r="F35">
        <v>39046.007203503083</v>
      </c>
      <c r="G35">
        <v>10000</v>
      </c>
      <c r="H35">
        <v>334647.8666373759</v>
      </c>
      <c r="I35">
        <v>47.77317795771738</v>
      </c>
    </row>
    <row r="36" spans="1:9" x14ac:dyDescent="0.2">
      <c r="A36">
        <v>26</v>
      </c>
      <c r="B36">
        <v>1263787.6086692961</v>
      </c>
      <c r="C36">
        <v>107490.17325824675</v>
      </c>
      <c r="D36">
        <v>144942.58208628499</v>
      </c>
      <c r="E36">
        <v>65333.117062285586</v>
      </c>
      <c r="F36">
        <v>40523.061950465926</v>
      </c>
      <c r="G36">
        <v>10000</v>
      </c>
      <c r="H36">
        <v>348288.93435728329</v>
      </c>
      <c r="I36">
        <v>37.45117705276796</v>
      </c>
    </row>
    <row r="37" spans="1:9" x14ac:dyDescent="0.2">
      <c r="A37">
        <v>27</v>
      </c>
      <c r="B37">
        <v>1113895.7150347002</v>
      </c>
      <c r="C37">
        <v>80028.48383634731</v>
      </c>
      <c r="D37">
        <v>124768.11589285878</v>
      </c>
      <c r="E37">
        <v>71464.925905503624</v>
      </c>
      <c r="F37">
        <v>40947.571793457944</v>
      </c>
      <c r="G37">
        <v>10000</v>
      </c>
      <c r="H37">
        <v>307209.0974281677</v>
      </c>
      <c r="I37">
        <v>47.05966811151135</v>
      </c>
    </row>
    <row r="38" spans="1:9" x14ac:dyDescent="0.2">
      <c r="A38">
        <v>28</v>
      </c>
      <c r="B38">
        <v>1281442.9672458351</v>
      </c>
      <c r="C38">
        <v>108065.45671456993</v>
      </c>
      <c r="D38">
        <v>126187.0962065302</v>
      </c>
      <c r="E38">
        <v>86861.570392049514</v>
      </c>
      <c r="F38">
        <v>42013.493334834202</v>
      </c>
      <c r="G38">
        <v>10000</v>
      </c>
      <c r="H38">
        <v>353127.61664798378</v>
      </c>
      <c r="I38">
        <v>43.06509964959001</v>
      </c>
    </row>
    <row r="39" spans="1:9" x14ac:dyDescent="0.2">
      <c r="A39">
        <v>29</v>
      </c>
      <c r="B39">
        <v>1195636.1579178651</v>
      </c>
      <c r="C39">
        <v>101590.90432455821</v>
      </c>
      <c r="D39">
        <v>97778.073038786693</v>
      </c>
      <c r="E39">
        <v>97492.66685839319</v>
      </c>
      <c r="F39">
        <v>42749.492320965684</v>
      </c>
      <c r="G39">
        <v>10000</v>
      </c>
      <c r="H39">
        <v>329611.13654270378</v>
      </c>
      <c r="I39">
        <v>28.561811042124461</v>
      </c>
    </row>
    <row r="40" spans="1:9" x14ac:dyDescent="0.2">
      <c r="A40">
        <v>30</v>
      </c>
      <c r="B40">
        <v>806964.8942143562</v>
      </c>
      <c r="C40">
        <v>103473.04996731681</v>
      </c>
      <c r="D40">
        <v>41542.922003248692</v>
      </c>
      <c r="E40">
        <v>48702.969398290646</v>
      </c>
      <c r="F40">
        <v>39371.744035266274</v>
      </c>
      <c r="G40">
        <v>10000</v>
      </c>
      <c r="H40">
        <v>223090.68540412243</v>
      </c>
      <c r="I40">
        <v>31.585761749517903</v>
      </c>
    </row>
    <row r="41" spans="1:9" x14ac:dyDescent="0.2">
      <c r="A41">
        <v>31</v>
      </c>
      <c r="B41">
        <v>1540190.5915352176</v>
      </c>
      <c r="C41">
        <v>122572.05339177015</v>
      </c>
      <c r="D41">
        <v>92153.806915287991</v>
      </c>
      <c r="E41">
        <v>171445.62003345744</v>
      </c>
      <c r="F41">
        <v>47869.312156162436</v>
      </c>
      <c r="G41">
        <v>10000</v>
      </c>
      <c r="H41">
        <v>424040.79249667807</v>
      </c>
      <c r="I41">
        <v>40.338769619888666</v>
      </c>
    </row>
    <row r="42" spans="1:9" x14ac:dyDescent="0.2">
      <c r="A42">
        <v>32</v>
      </c>
      <c r="B42">
        <v>1206612.5867940115</v>
      </c>
      <c r="C42">
        <v>118158.61021820495</v>
      </c>
      <c r="D42">
        <v>52277.166066500278</v>
      </c>
      <c r="E42">
        <v>127365.95157375715</v>
      </c>
      <c r="F42">
        <v>44817.64280126011</v>
      </c>
      <c r="G42">
        <v>10000</v>
      </c>
      <c r="H42">
        <v>332619.37065972248</v>
      </c>
      <c r="I42">
        <v>44.132386447051132</v>
      </c>
    </row>
    <row r="43" spans="1:9" x14ac:dyDescent="0.2">
      <c r="A43">
        <v>33</v>
      </c>
      <c r="B43">
        <v>1026800.0251406129</v>
      </c>
      <c r="C43">
        <v>75908.933747210482</v>
      </c>
      <c r="D43">
        <v>96728.744819782645</v>
      </c>
      <c r="E43">
        <v>79217.421150586815</v>
      </c>
      <c r="F43">
        <v>41484.283002732933</v>
      </c>
      <c r="G43">
        <v>10000</v>
      </c>
      <c r="H43">
        <v>283339.38272031292</v>
      </c>
      <c r="I43">
        <v>37.788364582664151</v>
      </c>
    </row>
    <row r="44" spans="1:9" x14ac:dyDescent="0.2">
      <c r="A44">
        <v>34</v>
      </c>
      <c r="B44">
        <v>1104492.581949858</v>
      </c>
      <c r="C44">
        <v>134952.26557131854</v>
      </c>
      <c r="D44">
        <v>69069.966885825823</v>
      </c>
      <c r="E44">
        <v>69778.961961932524</v>
      </c>
      <c r="F44">
        <v>40830.85121274917</v>
      </c>
      <c r="G44">
        <v>10000</v>
      </c>
      <c r="H44">
        <v>304632.04563182604</v>
      </c>
      <c r="I44">
        <v>33.803208000996463</v>
      </c>
    </row>
    <row r="45" spans="1:9" x14ac:dyDescent="0.2">
      <c r="A45">
        <v>35</v>
      </c>
      <c r="B45">
        <v>1256681.0394656882</v>
      </c>
      <c r="C45">
        <v>133352.46998721431</v>
      </c>
      <c r="D45">
        <v>156316.34462789402</v>
      </c>
      <c r="E45">
        <v>28686.484006559527</v>
      </c>
      <c r="F45">
        <v>37985.987354300276</v>
      </c>
      <c r="G45">
        <v>10000</v>
      </c>
      <c r="H45">
        <v>346341.28597596812</v>
      </c>
      <c r="I45">
        <v>34.873251185042633</v>
      </c>
    </row>
    <row r="46" spans="1:9" x14ac:dyDescent="0.2">
      <c r="A46">
        <v>36</v>
      </c>
      <c r="B46">
        <v>1068876.7915029291</v>
      </c>
      <c r="C46">
        <v>149027.11329668461</v>
      </c>
      <c r="D46">
        <v>66942.194434084755</v>
      </c>
      <c r="E46">
        <v>49476.469916114307</v>
      </c>
      <c r="F46">
        <v>39425.294071115604</v>
      </c>
      <c r="G46">
        <v>10000</v>
      </c>
      <c r="H46">
        <v>294871.07171799929</v>
      </c>
      <c r="I46">
        <v>34.220361209746642</v>
      </c>
    </row>
    <row r="47" spans="1:9" x14ac:dyDescent="0.2">
      <c r="A47">
        <v>37</v>
      </c>
      <c r="B47">
        <v>1727527.1948474348</v>
      </c>
      <c r="C47">
        <v>161177.03978019609</v>
      </c>
      <c r="D47">
        <v>112015.77728113477</v>
      </c>
      <c r="E47">
        <v>164782.03828512522</v>
      </c>
      <c r="F47">
        <v>47407.98726589328</v>
      </c>
      <c r="G47">
        <v>10000</v>
      </c>
      <c r="H47">
        <v>475382.84261234937</v>
      </c>
      <c r="I47">
        <v>28.340615373985806</v>
      </c>
    </row>
    <row r="48" spans="1:9" x14ac:dyDescent="0.2">
      <c r="A48">
        <v>38</v>
      </c>
      <c r="B48">
        <v>962564.32083566359</v>
      </c>
      <c r="C48">
        <v>138521.13623622639</v>
      </c>
      <c r="D48">
        <v>53209.864408514608</v>
      </c>
      <c r="E48">
        <v>44895.58966088741</v>
      </c>
      <c r="F48">
        <v>39108.15620729221</v>
      </c>
      <c r="G48">
        <v>10000</v>
      </c>
      <c r="H48">
        <v>265734.7465129206</v>
      </c>
      <c r="I48">
        <v>45.5519885915797</v>
      </c>
    </row>
    <row r="49" spans="1:9" x14ac:dyDescent="0.2">
      <c r="A49">
        <v>39</v>
      </c>
      <c r="B49">
        <v>1389100.8314362902</v>
      </c>
      <c r="C49">
        <v>124004.33019585657</v>
      </c>
      <c r="D49">
        <v>42971.947663418861</v>
      </c>
      <c r="E49">
        <v>177376.47678150053</v>
      </c>
      <c r="F49">
        <v>48279.909931026959</v>
      </c>
      <c r="G49">
        <v>10000</v>
      </c>
      <c r="H49">
        <v>382632.66457180295</v>
      </c>
      <c r="I49">
        <v>32.16705717419746</v>
      </c>
    </row>
    <row r="50" spans="1:9" x14ac:dyDescent="0.2">
      <c r="A50">
        <v>40</v>
      </c>
      <c r="B50">
        <v>1321063.4220685982</v>
      </c>
      <c r="C50">
        <v>146355.16225718643</v>
      </c>
      <c r="D50">
        <v>42525.144318553212</v>
      </c>
      <c r="E50">
        <v>139451.48138958809</v>
      </c>
      <c r="F50">
        <v>45654.333326971479</v>
      </c>
      <c r="G50">
        <v>10000</v>
      </c>
      <c r="H50">
        <v>363986.12129229924</v>
      </c>
      <c r="I50">
        <v>34.615474809325562</v>
      </c>
    </row>
    <row r="51" spans="1:9" x14ac:dyDescent="0.2">
      <c r="A51">
        <v>41</v>
      </c>
      <c r="B51">
        <v>863005.08660079422</v>
      </c>
      <c r="C51">
        <v>98272.966316344304</v>
      </c>
      <c r="D51">
        <v>61549.570860556771</v>
      </c>
      <c r="E51">
        <v>49219.2130570234</v>
      </c>
      <c r="F51">
        <v>39407.483980870857</v>
      </c>
      <c r="G51">
        <v>10000</v>
      </c>
      <c r="H51">
        <v>238449.23421479535</v>
      </c>
      <c r="I51">
        <v>43.808974665751379</v>
      </c>
    </row>
    <row r="52" spans="1:9" x14ac:dyDescent="0.2">
      <c r="A52">
        <v>42</v>
      </c>
      <c r="B52">
        <v>1613661.5062842111</v>
      </c>
      <c r="C52">
        <v>108891.81718691731</v>
      </c>
      <c r="D52">
        <v>121779.9217212634</v>
      </c>
      <c r="E52">
        <v>175364.12679907019</v>
      </c>
      <c r="F52">
        <v>48140.59339378179</v>
      </c>
      <c r="G52">
        <v>10000</v>
      </c>
      <c r="H52">
        <v>444176.4591010327</v>
      </c>
      <c r="I52">
        <v>52.156402195399728</v>
      </c>
    </row>
    <row r="53" spans="1:9" x14ac:dyDescent="0.2">
      <c r="A53">
        <v>43</v>
      </c>
      <c r="B53">
        <v>1258153.3865653265</v>
      </c>
      <c r="C53">
        <v>84536.2182330012</v>
      </c>
      <c r="D53">
        <v>112680.71420915781</v>
      </c>
      <c r="E53">
        <v>115529.66216268456</v>
      </c>
      <c r="F53">
        <v>43998.207380493543</v>
      </c>
      <c r="G53">
        <v>10000</v>
      </c>
      <c r="H53">
        <v>346744.80198533711</v>
      </c>
      <c r="I53">
        <v>33.476639787907516</v>
      </c>
    </row>
    <row r="54" spans="1:9" x14ac:dyDescent="0.2">
      <c r="A54">
        <v>44</v>
      </c>
      <c r="B54">
        <v>1581352.8237976532</v>
      </c>
      <c r="C54">
        <v>108661.9360545286</v>
      </c>
      <c r="D54">
        <v>123792.74175826482</v>
      </c>
      <c r="E54">
        <v>165415.33289299821</v>
      </c>
      <c r="F54">
        <v>47451.830738746023</v>
      </c>
      <c r="G54">
        <v>10000</v>
      </c>
      <c r="H54">
        <v>435321.84144453768</v>
      </c>
      <c r="I54">
        <v>51.279610966816222</v>
      </c>
    </row>
    <row r="55" spans="1:9" x14ac:dyDescent="0.2">
      <c r="A55">
        <v>45</v>
      </c>
      <c r="B55">
        <v>1236090.9559980186</v>
      </c>
      <c r="C55">
        <v>104970.22028586302</v>
      </c>
      <c r="D55">
        <v>92047.056998805172</v>
      </c>
      <c r="E55">
        <v>110061.39178543497</v>
      </c>
      <c r="F55">
        <v>43619.634815914731</v>
      </c>
      <c r="G55">
        <v>10000</v>
      </c>
      <c r="H55">
        <v>340698.30388601788</v>
      </c>
      <c r="I55">
        <v>37.902030076157395</v>
      </c>
    </row>
    <row r="56" spans="1:9" x14ac:dyDescent="0.2">
      <c r="A56">
        <v>46</v>
      </c>
      <c r="B56">
        <v>1222462.9657308282</v>
      </c>
      <c r="C56">
        <v>89225.552501025537</v>
      </c>
      <c r="D56">
        <v>125722.8659242475</v>
      </c>
      <c r="E56">
        <v>89798.160485031432</v>
      </c>
      <c r="F56">
        <v>42216.79572588679</v>
      </c>
      <c r="G56">
        <v>10000</v>
      </c>
      <c r="H56">
        <v>336963.37463619123</v>
      </c>
      <c r="I56">
        <v>35.722863380325364</v>
      </c>
    </row>
    <row r="57" spans="1:9" x14ac:dyDescent="0.2">
      <c r="A57">
        <v>47</v>
      </c>
      <c r="B57">
        <v>1464525.5695499952</v>
      </c>
      <c r="C57">
        <v>119202.76542028913</v>
      </c>
      <c r="D57">
        <v>118527.6215905428</v>
      </c>
      <c r="E57">
        <v>130536.28745883501</v>
      </c>
      <c r="F57">
        <v>45037.127593303958</v>
      </c>
      <c r="G57">
        <v>10000</v>
      </c>
      <c r="H57">
        <v>403303.80206297088</v>
      </c>
      <c r="I57">
        <v>34.672521757622604</v>
      </c>
    </row>
    <row r="58" spans="1:9" x14ac:dyDescent="0.2">
      <c r="A58">
        <v>48</v>
      </c>
      <c r="B58">
        <v>1673236.1318155322</v>
      </c>
      <c r="C58">
        <v>123398.70440420105</v>
      </c>
      <c r="D58">
        <v>145724.38001326754</v>
      </c>
      <c r="E58">
        <v>154672.48601082017</v>
      </c>
      <c r="F58">
        <v>46708.095185364466</v>
      </c>
      <c r="G58">
        <v>10000</v>
      </c>
      <c r="H58">
        <v>460503.66561365325</v>
      </c>
      <c r="I58">
        <v>39.872405781737285</v>
      </c>
    </row>
    <row r="59" spans="1:9" x14ac:dyDescent="0.2">
      <c r="A59">
        <v>49</v>
      </c>
      <c r="B59">
        <v>1724218.6345150892</v>
      </c>
      <c r="C59">
        <v>166924.99134528142</v>
      </c>
      <c r="D59">
        <v>83782.461878150221</v>
      </c>
      <c r="E59">
        <v>184963.47166692631</v>
      </c>
      <c r="F59">
        <v>48805.163423094898</v>
      </c>
      <c r="G59">
        <v>10000</v>
      </c>
      <c r="H59">
        <v>474476.0883134529</v>
      </c>
      <c r="I59">
        <v>36.005251247515737</v>
      </c>
    </row>
    <row r="60" spans="1:9" x14ac:dyDescent="0.2">
      <c r="A60">
        <v>50</v>
      </c>
      <c r="B60">
        <v>1116596.809121357</v>
      </c>
      <c r="C60">
        <v>165579.35277677805</v>
      </c>
      <c r="D60">
        <v>74956.602308504807</v>
      </c>
      <c r="E60">
        <v>38731.968581079011</v>
      </c>
      <c r="F60">
        <v>38681.443978690084</v>
      </c>
      <c r="G60">
        <v>10000</v>
      </c>
      <c r="H60">
        <v>307949.36764505191</v>
      </c>
      <c r="I60">
        <v>31.136241028439947</v>
      </c>
    </row>
    <row r="61" spans="1:9" x14ac:dyDescent="0.2">
      <c r="A61">
        <v>51</v>
      </c>
      <c r="B61">
        <v>1276043.6084259548</v>
      </c>
      <c r="C61">
        <v>89073.123688295615</v>
      </c>
      <c r="D61">
        <v>103813.07153729185</v>
      </c>
      <c r="E61">
        <v>124165.57793740905</v>
      </c>
      <c r="F61">
        <v>44596.078472589856</v>
      </c>
      <c r="G61">
        <v>10000</v>
      </c>
      <c r="H61">
        <v>351647.85163558635</v>
      </c>
      <c r="I61">
        <v>37.579765011910794</v>
      </c>
    </row>
    <row r="62" spans="1:9" x14ac:dyDescent="0.2">
      <c r="A62">
        <v>52</v>
      </c>
      <c r="B62">
        <v>1248796.2552853811</v>
      </c>
      <c r="C62">
        <v>155098.21243016823</v>
      </c>
      <c r="D62">
        <v>98430.123971192093</v>
      </c>
      <c r="E62">
        <v>60465.919093752455</v>
      </c>
      <c r="F62">
        <v>40186.102091105946</v>
      </c>
      <c r="G62">
        <v>10000</v>
      </c>
      <c r="H62">
        <v>344180.35758621874</v>
      </c>
      <c r="I62">
        <v>26.972797929078848</v>
      </c>
    </row>
    <row r="63" spans="1:9" x14ac:dyDescent="0.2">
      <c r="A63">
        <v>53</v>
      </c>
      <c r="B63">
        <v>1289951.8338543321</v>
      </c>
      <c r="C63">
        <v>145973.96261255193</v>
      </c>
      <c r="D63">
        <v>139288.90784120269</v>
      </c>
      <c r="E63">
        <v>41335.054901442607</v>
      </c>
      <c r="F63">
        <v>38861.657647022948</v>
      </c>
      <c r="G63">
        <v>10000</v>
      </c>
      <c r="H63">
        <v>355459.58300222014</v>
      </c>
      <c r="I63">
        <v>31.374830092065629</v>
      </c>
    </row>
    <row r="64" spans="1:9" x14ac:dyDescent="0.2">
      <c r="A64">
        <v>54</v>
      </c>
      <c r="B64">
        <v>994714.19513713417</v>
      </c>
      <c r="C64">
        <v>97439.585198452187</v>
      </c>
      <c r="D64">
        <v>102400.28092058277</v>
      </c>
      <c r="E64">
        <v>45552.350333148468</v>
      </c>
      <c r="F64">
        <v>39153.624253833354</v>
      </c>
      <c r="G64">
        <v>10000</v>
      </c>
      <c r="H64">
        <v>274545.84070601675</v>
      </c>
      <c r="I64">
        <v>51.742215685275141</v>
      </c>
    </row>
    <row r="65" spans="1:9" x14ac:dyDescent="0.2">
      <c r="A65">
        <v>55</v>
      </c>
      <c r="B65">
        <v>1668683.3859955117</v>
      </c>
      <c r="C65">
        <v>113359.06868211691</v>
      </c>
      <c r="D65">
        <v>159780.03441514375</v>
      </c>
      <c r="E65">
        <v>149749.54658462977</v>
      </c>
      <c r="F65">
        <v>46367.276302012833</v>
      </c>
      <c r="G65">
        <v>10000</v>
      </c>
      <c r="H65">
        <v>459255.92598390323</v>
      </c>
      <c r="I65">
        <v>39.239813950003757</v>
      </c>
    </row>
    <row r="66" spans="1:9" x14ac:dyDescent="0.2">
      <c r="A66">
        <v>56</v>
      </c>
      <c r="B66">
        <v>1280078.303282181</v>
      </c>
      <c r="C66">
        <v>97840.684011761172</v>
      </c>
      <c r="D66">
        <v>47464.325672522085</v>
      </c>
      <c r="E66">
        <v>169700.13223512075</v>
      </c>
      <c r="F66">
        <v>47748.470693200667</v>
      </c>
      <c r="G66">
        <v>10000</v>
      </c>
      <c r="H66">
        <v>352753.61261260469</v>
      </c>
      <c r="I66">
        <v>40.513555552791402</v>
      </c>
    </row>
    <row r="67" spans="1:9" x14ac:dyDescent="0.2">
      <c r="A67">
        <v>57</v>
      </c>
      <c r="B67">
        <v>1378493.5471749883</v>
      </c>
      <c r="C67">
        <v>101858.43122151107</v>
      </c>
      <c r="D67">
        <v>91290.307455019371</v>
      </c>
      <c r="E67">
        <v>150179.79777275788</v>
      </c>
      <c r="F67">
        <v>46397.062922729383</v>
      </c>
      <c r="G67">
        <v>10000</v>
      </c>
      <c r="H67">
        <v>379725.59937201766</v>
      </c>
      <c r="I67">
        <v>49.938905262506985</v>
      </c>
    </row>
    <row r="68" spans="1:9" x14ac:dyDescent="0.2">
      <c r="A68">
        <v>58</v>
      </c>
      <c r="B68">
        <v>1363602.2256674303</v>
      </c>
      <c r="C68">
        <v>87976.252916140962</v>
      </c>
      <c r="D68">
        <v>84249.008773052847</v>
      </c>
      <c r="E68">
        <v>165931.60341379064</v>
      </c>
      <c r="F68">
        <v>47487.57254403166</v>
      </c>
      <c r="G68">
        <v>10000</v>
      </c>
      <c r="H68">
        <v>375644.43764701614</v>
      </c>
      <c r="I68">
        <v>51.822009481511245</v>
      </c>
    </row>
    <row r="69" spans="1:9" x14ac:dyDescent="0.2">
      <c r="A69">
        <v>59</v>
      </c>
      <c r="B69">
        <v>1563598.0485366087</v>
      </c>
      <c r="C69">
        <v>112297.82516353931</v>
      </c>
      <c r="D69">
        <v>84525.020876170573</v>
      </c>
      <c r="E69">
        <v>194189.19904337032</v>
      </c>
      <c r="F69">
        <v>49443.867626079489</v>
      </c>
      <c r="G69">
        <v>10000</v>
      </c>
      <c r="H69">
        <v>430455.91270915966</v>
      </c>
      <c r="I69">
        <v>27.877854622324296</v>
      </c>
    </row>
    <row r="70" spans="1:9" x14ac:dyDescent="0.2">
      <c r="A70">
        <v>60</v>
      </c>
      <c r="B70">
        <v>1077952.4695627838</v>
      </c>
      <c r="C70">
        <v>104561.21106813401</v>
      </c>
      <c r="D70">
        <v>37614.247646613963</v>
      </c>
      <c r="E70">
        <v>120818.55963937662</v>
      </c>
      <c r="F70">
        <v>44364.361821187609</v>
      </c>
      <c r="G70">
        <v>10000</v>
      </c>
      <c r="H70">
        <v>297358.38017531222</v>
      </c>
      <c r="I70">
        <v>25.562203314892976</v>
      </c>
    </row>
    <row r="71" spans="1:9" x14ac:dyDescent="0.2">
      <c r="A71">
        <v>61</v>
      </c>
      <c r="B71">
        <v>1510806.0728293571</v>
      </c>
      <c r="C71">
        <v>84551.346162191898</v>
      </c>
      <c r="D71">
        <v>107997.80219894499</v>
      </c>
      <c r="E71">
        <v>184654.64850930215</v>
      </c>
      <c r="F71">
        <v>48783.783358336303</v>
      </c>
      <c r="G71">
        <v>10000</v>
      </c>
      <c r="H71">
        <v>415987.58022877539</v>
      </c>
      <c r="I71">
        <v>31.409464603859618</v>
      </c>
    </row>
    <row r="72" spans="1:9" x14ac:dyDescent="0.2">
      <c r="A72">
        <v>62</v>
      </c>
      <c r="B72">
        <v>983194.98411872773</v>
      </c>
      <c r="C72">
        <v>98730.210663159014</v>
      </c>
      <c r="D72">
        <v>67717.480741153078</v>
      </c>
      <c r="E72">
        <v>73829.860587838208</v>
      </c>
      <c r="F72">
        <v>41111.298040696485</v>
      </c>
      <c r="G72">
        <v>10000</v>
      </c>
      <c r="H72">
        <v>271388.85003284679</v>
      </c>
      <c r="I72">
        <v>46.315595603289424</v>
      </c>
    </row>
    <row r="73" spans="1:9" x14ac:dyDescent="0.2">
      <c r="A73">
        <v>63</v>
      </c>
      <c r="B73">
        <v>1166809.8720517305</v>
      </c>
      <c r="C73">
        <v>108111.82225713864</v>
      </c>
      <c r="D73">
        <v>71808.145850772227</v>
      </c>
      <c r="E73">
        <v>108293.69161568195</v>
      </c>
      <c r="F73">
        <v>43497.255573393362</v>
      </c>
      <c r="G73">
        <v>10000</v>
      </c>
      <c r="H73">
        <v>321710.91529698618</v>
      </c>
      <c r="I73">
        <v>37.204922537850138</v>
      </c>
    </row>
    <row r="74" spans="1:9" x14ac:dyDescent="0.2">
      <c r="A74">
        <v>64</v>
      </c>
      <c r="B74">
        <v>1461034.1604486764</v>
      </c>
      <c r="C74">
        <v>155234.76192441734</v>
      </c>
      <c r="D74">
        <v>132439.58635814607</v>
      </c>
      <c r="E74">
        <v>82931.196831322653</v>
      </c>
      <c r="F74">
        <v>41741.390549860793</v>
      </c>
      <c r="G74">
        <v>10000</v>
      </c>
      <c r="H74">
        <v>402346.93566374679</v>
      </c>
      <c r="I74">
        <v>42.209080383757495</v>
      </c>
    </row>
    <row r="75" spans="1:9" x14ac:dyDescent="0.2">
      <c r="A75">
        <v>65</v>
      </c>
      <c r="B75">
        <v>1354938.8750986431</v>
      </c>
      <c r="C75">
        <v>103040.22119938364</v>
      </c>
      <c r="D75">
        <v>109585.93776815885</v>
      </c>
      <c r="E75">
        <v>125926.01882300343</v>
      </c>
      <c r="F75">
        <v>44717.955149284848</v>
      </c>
      <c r="G75">
        <v>10000</v>
      </c>
      <c r="H75">
        <v>373270.13293983077</v>
      </c>
      <c r="I75">
        <v>34.146186811526952</v>
      </c>
    </row>
    <row r="76" spans="1:9" x14ac:dyDescent="0.2">
      <c r="A76">
        <v>66</v>
      </c>
      <c r="B76">
        <v>1205515.1591631416</v>
      </c>
      <c r="C76">
        <v>95587.952618993615</v>
      </c>
      <c r="D76">
        <v>118787.50395402485</v>
      </c>
      <c r="E76">
        <v>85989.996093246431</v>
      </c>
      <c r="F76">
        <v>41953.153575686287</v>
      </c>
      <c r="G76">
        <v>10000</v>
      </c>
      <c r="H76">
        <v>332318.60624195117</v>
      </c>
      <c r="I76">
        <v>36.39497169986754</v>
      </c>
    </row>
    <row r="77" spans="1:9" x14ac:dyDescent="0.2">
      <c r="A77">
        <v>67</v>
      </c>
      <c r="B77">
        <v>1432262.3396408171</v>
      </c>
      <c r="C77">
        <v>102202.18674140237</v>
      </c>
      <c r="D77">
        <v>129910.06946827828</v>
      </c>
      <c r="E77">
        <v>127521.00762038122</v>
      </c>
      <c r="F77">
        <v>44828.377450641776</v>
      </c>
      <c r="G77">
        <v>10000</v>
      </c>
      <c r="H77">
        <v>394461.64128070365</v>
      </c>
      <c r="I77">
        <v>35.015045984654002</v>
      </c>
    </row>
    <row r="78" spans="1:9" x14ac:dyDescent="0.2">
      <c r="A78">
        <v>68</v>
      </c>
      <c r="B78">
        <v>896971.57426977775</v>
      </c>
      <c r="C78">
        <v>126004.32384981486</v>
      </c>
      <c r="D78">
        <v>47062.529320237205</v>
      </c>
      <c r="E78">
        <v>45538.665112111958</v>
      </c>
      <c r="F78">
        <v>39152.67681545391</v>
      </c>
      <c r="G78">
        <v>10000</v>
      </c>
      <c r="H78">
        <v>247758.19509761792</v>
      </c>
      <c r="I78">
        <v>42.472682593627916</v>
      </c>
    </row>
    <row r="79" spans="1:9" x14ac:dyDescent="0.2">
      <c r="A79">
        <v>69</v>
      </c>
      <c r="B79">
        <v>1289392.4348113209</v>
      </c>
      <c r="C79">
        <v>146945.51266295978</v>
      </c>
      <c r="D79">
        <v>51288.497171279232</v>
      </c>
      <c r="E79">
        <v>122585.56927500863</v>
      </c>
      <c r="F79">
        <v>44486.693257500592</v>
      </c>
      <c r="G79">
        <v>10000</v>
      </c>
      <c r="H79">
        <v>355306.27236674825</v>
      </c>
      <c r="I79">
        <v>31.403868607489613</v>
      </c>
    </row>
    <row r="80" spans="1:9" x14ac:dyDescent="0.2">
      <c r="A80">
        <v>70</v>
      </c>
      <c r="B80">
        <v>1709905.1131149186</v>
      </c>
      <c r="C80">
        <v>163485.44449251686</v>
      </c>
      <c r="D80">
        <v>67992.068073426839</v>
      </c>
      <c r="E80">
        <v>199279.49498124229</v>
      </c>
      <c r="F80">
        <v>49796.27272947062</v>
      </c>
      <c r="G80">
        <v>10000</v>
      </c>
      <c r="H80">
        <v>470553.28027665662</v>
      </c>
      <c r="I80">
        <v>32.983432230032349</v>
      </c>
    </row>
    <row r="81" spans="1:9" x14ac:dyDescent="0.2">
      <c r="A81">
        <v>71</v>
      </c>
      <c r="B81">
        <v>928920.53574536112</v>
      </c>
      <c r="C81">
        <v>117597.39637259988</v>
      </c>
      <c r="D81">
        <v>72103.87767834845</v>
      </c>
      <c r="E81">
        <v>38170.387181596227</v>
      </c>
      <c r="F81">
        <v>38642.565266418205</v>
      </c>
      <c r="G81">
        <v>10000</v>
      </c>
      <c r="H81">
        <v>256514.22649896273</v>
      </c>
      <c r="I81">
        <v>37.698679320256829</v>
      </c>
    </row>
    <row r="82" spans="1:9" x14ac:dyDescent="0.2">
      <c r="A82">
        <v>72</v>
      </c>
      <c r="B82">
        <v>1496592.770262063</v>
      </c>
      <c r="C82">
        <v>148773.67806058747</v>
      </c>
      <c r="D82">
        <v>150773.72743854232</v>
      </c>
      <c r="E82">
        <v>80941.210697722403</v>
      </c>
      <c r="F82">
        <v>41603.622279073083</v>
      </c>
      <c r="G82">
        <v>10000</v>
      </c>
      <c r="H82">
        <v>412092.23847592529</v>
      </c>
      <c r="I82">
        <v>45.473624427750806</v>
      </c>
    </row>
    <row r="83" spans="1:9" x14ac:dyDescent="0.2">
      <c r="A83">
        <v>73</v>
      </c>
      <c r="B83">
        <v>1502116.9991993438</v>
      </c>
      <c r="C83">
        <v>105353.25255750433</v>
      </c>
      <c r="D83">
        <v>92918.14062644745</v>
      </c>
      <c r="E83">
        <v>177075.74271545466</v>
      </c>
      <c r="F83">
        <v>48259.089880300708</v>
      </c>
      <c r="G83">
        <v>10000</v>
      </c>
      <c r="H83">
        <v>413606.22577970714</v>
      </c>
      <c r="I83">
        <v>38.508802840185808</v>
      </c>
    </row>
    <row r="84" spans="1:9" x14ac:dyDescent="0.2">
      <c r="A84">
        <v>74</v>
      </c>
      <c r="B84">
        <v>1524648.9230676182</v>
      </c>
      <c r="C84">
        <v>123902.05583254337</v>
      </c>
      <c r="D84">
        <v>147238.18826067785</v>
      </c>
      <c r="E84">
        <v>114700.35665284736</v>
      </c>
      <c r="F84">
        <v>43940.793922120203</v>
      </c>
      <c r="G84">
        <v>10000</v>
      </c>
      <c r="H84">
        <v>419781.39466818876</v>
      </c>
      <c r="I84">
        <v>34.288921689343425</v>
      </c>
    </row>
    <row r="85" spans="1:9" x14ac:dyDescent="0.2">
      <c r="A85">
        <v>75</v>
      </c>
      <c r="B85">
        <v>927434.67595842737</v>
      </c>
      <c r="C85">
        <v>98001.972606199939</v>
      </c>
      <c r="D85">
        <v>87368.626346650868</v>
      </c>
      <c r="E85">
        <v>41839.806237494813</v>
      </c>
      <c r="F85">
        <v>38896.601970288102</v>
      </c>
      <c r="G85">
        <v>10000</v>
      </c>
      <c r="H85">
        <v>256107.00716063369</v>
      </c>
      <c r="I85">
        <v>27.727711801718158</v>
      </c>
    </row>
    <row r="86" spans="1:9" x14ac:dyDescent="0.2">
      <c r="A86">
        <v>76</v>
      </c>
      <c r="B86">
        <v>1249675.2133686221</v>
      </c>
      <c r="C86">
        <v>108901.84296066733</v>
      </c>
      <c r="D86">
        <v>133667.78714170036</v>
      </c>
      <c r="E86">
        <v>70940.361653515138</v>
      </c>
      <c r="F86">
        <v>40911.255806781817</v>
      </c>
      <c r="G86">
        <v>10000</v>
      </c>
      <c r="H86">
        <v>344421.24756266468</v>
      </c>
      <c r="I86">
        <v>27.109613217569436</v>
      </c>
    </row>
    <row r="87" spans="1:9" x14ac:dyDescent="0.2">
      <c r="A87">
        <v>77</v>
      </c>
      <c r="B87">
        <v>1543984.9620857937</v>
      </c>
      <c r="C87">
        <v>122893.89111760787</v>
      </c>
      <c r="D87">
        <v>97828.690531039698</v>
      </c>
      <c r="E87">
        <v>166809.7411088543</v>
      </c>
      <c r="F87">
        <v>47548.366692151452</v>
      </c>
      <c r="G87">
        <v>10000</v>
      </c>
      <c r="H87">
        <v>425080.68944965332</v>
      </c>
      <c r="I87">
        <v>32.599250643255246</v>
      </c>
    </row>
    <row r="88" spans="1:9" x14ac:dyDescent="0.2">
      <c r="A88">
        <v>78</v>
      </c>
      <c r="B88">
        <v>857482.55864082545</v>
      </c>
      <c r="C88">
        <v>110433.67766525729</v>
      </c>
      <c r="D88">
        <v>36099.500604053035</v>
      </c>
      <c r="E88">
        <v>60232.58651932537</v>
      </c>
      <c r="F88">
        <v>40169.948297491756</v>
      </c>
      <c r="G88">
        <v>10000</v>
      </c>
      <c r="H88">
        <v>236935.71308612748</v>
      </c>
      <c r="I88">
        <v>35.517886106395039</v>
      </c>
    </row>
    <row r="89" spans="1:9" x14ac:dyDescent="0.2">
      <c r="A89">
        <v>79</v>
      </c>
      <c r="B89">
        <v>985059.25289843569</v>
      </c>
      <c r="C89">
        <v>92466.882134301632</v>
      </c>
      <c r="D89">
        <v>54042.281920561923</v>
      </c>
      <c r="E89">
        <v>92955.249809335539</v>
      </c>
      <c r="F89">
        <v>42435.363448338612</v>
      </c>
      <c r="G89">
        <v>10000</v>
      </c>
      <c r="H89">
        <v>271899.77731253771</v>
      </c>
      <c r="I89">
        <v>32.014501723729971</v>
      </c>
    </row>
    <row r="90" spans="1:9" x14ac:dyDescent="0.2">
      <c r="A90">
        <v>80</v>
      </c>
      <c r="B90">
        <v>1456728.0079188864</v>
      </c>
      <c r="C90">
        <v>104067.17654315861</v>
      </c>
      <c r="D90">
        <v>96424.601381707573</v>
      </c>
      <c r="E90">
        <v>163365.10812926086</v>
      </c>
      <c r="F90">
        <v>47309.892101256519</v>
      </c>
      <c r="G90">
        <v>10000</v>
      </c>
      <c r="H90">
        <v>401166.77815538354</v>
      </c>
      <c r="I90">
        <v>36.368862695848293</v>
      </c>
    </row>
    <row r="91" spans="1:9" x14ac:dyDescent="0.2">
      <c r="A91">
        <v>81</v>
      </c>
      <c r="B91">
        <v>1218131.4889170085</v>
      </c>
      <c r="C91">
        <v>95404.351111811207</v>
      </c>
      <c r="D91">
        <v>62112.265130376662</v>
      </c>
      <c r="E91">
        <v>142401.12126908833</v>
      </c>
      <c r="F91">
        <v>45858.53916478304</v>
      </c>
      <c r="G91">
        <v>10000</v>
      </c>
      <c r="H91">
        <v>335776.27667605918</v>
      </c>
      <c r="I91">
        <v>28.315151044414407</v>
      </c>
    </row>
    <row r="92" spans="1:9" x14ac:dyDescent="0.2">
      <c r="A92">
        <v>82</v>
      </c>
      <c r="B92">
        <v>1076840.3267388658</v>
      </c>
      <c r="C92">
        <v>134597.39550246031</v>
      </c>
      <c r="D92">
        <v>41809.677696227242</v>
      </c>
      <c r="E92">
        <v>88518.3183940085</v>
      </c>
      <c r="F92">
        <v>42128.191273431359</v>
      </c>
      <c r="G92">
        <v>10000</v>
      </c>
      <c r="H92">
        <v>297053.58286612743</v>
      </c>
      <c r="I92">
        <v>35.356837667967568</v>
      </c>
    </row>
    <row r="93" spans="1:9" x14ac:dyDescent="0.2">
      <c r="A93">
        <v>83</v>
      </c>
      <c r="B93">
        <v>856051.76334071346</v>
      </c>
      <c r="C93">
        <v>77291.101820216645</v>
      </c>
      <c r="D93">
        <v>99868.009417690526</v>
      </c>
      <c r="E93">
        <v>31222.88902874399</v>
      </c>
      <c r="F93">
        <v>38161.584625066891</v>
      </c>
      <c r="G93">
        <v>10000</v>
      </c>
      <c r="H93">
        <v>236543.58489171806</v>
      </c>
      <c r="I93">
        <v>48.60396010163776</v>
      </c>
    </row>
    <row r="94" spans="1:9" x14ac:dyDescent="0.2">
      <c r="A94">
        <v>84</v>
      </c>
      <c r="B94">
        <v>1526891.9297550914</v>
      </c>
      <c r="C94">
        <v>94186.153264504319</v>
      </c>
      <c r="D94">
        <v>127894.54682450423</v>
      </c>
      <c r="E94">
        <v>161158.30642216065</v>
      </c>
      <c r="F94">
        <v>47157.1135215342</v>
      </c>
      <c r="G94">
        <v>10000</v>
      </c>
      <c r="H94">
        <v>420396.12003270339</v>
      </c>
      <c r="I94">
        <v>43.542589743302358</v>
      </c>
    </row>
    <row r="95" spans="1:9" x14ac:dyDescent="0.2">
      <c r="A95">
        <v>85</v>
      </c>
      <c r="B95">
        <v>1009086.7548573498</v>
      </c>
      <c r="C95">
        <v>79862.519573653408</v>
      </c>
      <c r="D95">
        <v>85336.008165672756</v>
      </c>
      <c r="E95">
        <v>81634.670213663732</v>
      </c>
      <c r="F95">
        <v>41651.631014792103</v>
      </c>
      <c r="G95">
        <v>10000</v>
      </c>
      <c r="H95">
        <v>278484.82896778197</v>
      </c>
      <c r="I95">
        <v>30.514621542914384</v>
      </c>
    </row>
    <row r="96" spans="1:9" x14ac:dyDescent="0.2">
      <c r="A96">
        <v>86</v>
      </c>
      <c r="B96">
        <v>1097675.0763404353</v>
      </c>
      <c r="C96">
        <v>123116.2536915977</v>
      </c>
      <c r="D96">
        <v>102424.39928143713</v>
      </c>
      <c r="E96">
        <v>47906.371024885237</v>
      </c>
      <c r="F96">
        <v>39316.594917107439</v>
      </c>
      <c r="G96">
        <v>10000</v>
      </c>
      <c r="H96">
        <v>302763.61891502747</v>
      </c>
      <c r="I96">
        <v>37.851109747987365</v>
      </c>
    </row>
    <row r="97" spans="1:9" x14ac:dyDescent="0.2">
      <c r="A97">
        <v>87</v>
      </c>
      <c r="B97">
        <v>893660.87440447719</v>
      </c>
      <c r="C97">
        <v>82414.445836906641</v>
      </c>
      <c r="D97">
        <v>86791.880336573318</v>
      </c>
      <c r="E97">
        <v>48300.637939332017</v>
      </c>
      <c r="F97">
        <v>39343.890318876831</v>
      </c>
      <c r="G97">
        <v>10000</v>
      </c>
      <c r="H97">
        <v>246850.85443168881</v>
      </c>
      <c r="I97">
        <v>49.048566238851876</v>
      </c>
    </row>
    <row r="98" spans="1:9" x14ac:dyDescent="0.2">
      <c r="A98">
        <v>88</v>
      </c>
      <c r="B98">
        <v>905139.1275925485</v>
      </c>
      <c r="C98">
        <v>79130.260087869363</v>
      </c>
      <c r="D98">
        <v>98498.024265141052</v>
      </c>
      <c r="E98">
        <v>43366.069380218789</v>
      </c>
      <c r="F98">
        <v>39002.266341707451</v>
      </c>
      <c r="G98">
        <v>10000</v>
      </c>
      <c r="H98">
        <v>249996.62007493665</v>
      </c>
      <c r="I98">
        <v>39.346198356684155</v>
      </c>
    </row>
    <row r="99" spans="1:9" x14ac:dyDescent="0.2">
      <c r="A99">
        <v>89</v>
      </c>
      <c r="B99">
        <v>1446269.2946185791</v>
      </c>
      <c r="C99">
        <v>105199.69707689363</v>
      </c>
      <c r="D99">
        <v>93323.458822899876</v>
      </c>
      <c r="E99">
        <v>162525.50887481487</v>
      </c>
      <c r="F99">
        <v>47251.765999025643</v>
      </c>
      <c r="G99">
        <v>10000</v>
      </c>
      <c r="H99">
        <v>398300.430773634</v>
      </c>
      <c r="I99">
        <v>34.639784628894333</v>
      </c>
    </row>
    <row r="100" spans="1:9" x14ac:dyDescent="0.2">
      <c r="A100">
        <v>90</v>
      </c>
      <c r="B100">
        <v>1705431.0729349197</v>
      </c>
      <c r="C100">
        <v>107547.450016185</v>
      </c>
      <c r="D100">
        <v>113599.5042698601</v>
      </c>
      <c r="E100">
        <v>207794.39113255218</v>
      </c>
      <c r="F100">
        <v>50385.765539945918</v>
      </c>
      <c r="G100">
        <v>10000</v>
      </c>
      <c r="H100">
        <v>469327.1109585432</v>
      </c>
      <c r="I100">
        <v>30.65609258897085</v>
      </c>
    </row>
    <row r="101" spans="1:9" x14ac:dyDescent="0.2">
      <c r="A101">
        <v>91</v>
      </c>
      <c r="B101">
        <v>912537.63502625073</v>
      </c>
      <c r="C101">
        <v>91489.210481722737</v>
      </c>
      <c r="D101">
        <v>49330.492219197251</v>
      </c>
      <c r="E101">
        <v>79687.732249580891</v>
      </c>
      <c r="F101">
        <v>41516.843001894063</v>
      </c>
      <c r="G101">
        <v>10000</v>
      </c>
      <c r="H101">
        <v>252024.27795239497</v>
      </c>
      <c r="I101">
        <v>34.189028103308786</v>
      </c>
    </row>
    <row r="102" spans="1:9" x14ac:dyDescent="0.2">
      <c r="A102">
        <v>92</v>
      </c>
      <c r="B102">
        <v>1664417.2486143219</v>
      </c>
      <c r="C102">
        <v>138766.17627877562</v>
      </c>
      <c r="D102">
        <v>113188.4026096092</v>
      </c>
      <c r="E102">
        <v>168468.92312348131</v>
      </c>
      <c r="F102">
        <v>47663.233139317934</v>
      </c>
      <c r="G102">
        <v>10000</v>
      </c>
      <c r="H102">
        <v>458086.73515118402</v>
      </c>
      <c r="I102">
        <v>47.171484925096344</v>
      </c>
    </row>
    <row r="103" spans="1:9" x14ac:dyDescent="0.2">
      <c r="A103">
        <v>93</v>
      </c>
      <c r="B103">
        <v>942057.0841918214</v>
      </c>
      <c r="C103">
        <v>137076.4689891366</v>
      </c>
      <c r="D103">
        <v>52455.450161966713</v>
      </c>
      <c r="E103">
        <v>41695.910566851715</v>
      </c>
      <c r="F103">
        <v>38886.639962320507</v>
      </c>
      <c r="G103">
        <v>10000</v>
      </c>
      <c r="H103">
        <v>260114.46968027554</v>
      </c>
      <c r="I103">
        <v>35.807868428910126</v>
      </c>
    </row>
    <row r="104" spans="1:9" x14ac:dyDescent="0.2">
      <c r="A104">
        <v>94</v>
      </c>
      <c r="B104">
        <v>997637.79936489102</v>
      </c>
      <c r="C104">
        <v>133112.76737662507</v>
      </c>
      <c r="D104">
        <v>58539.636563362823</v>
      </c>
      <c r="E104">
        <v>53959.061469316926</v>
      </c>
      <c r="F104">
        <v>39735.627332491167</v>
      </c>
      <c r="G104">
        <v>10000</v>
      </c>
      <c r="H104">
        <v>275347.09274179599</v>
      </c>
      <c r="I104">
        <v>41.820986712622073</v>
      </c>
    </row>
    <row r="105" spans="1:9" x14ac:dyDescent="0.2">
      <c r="A105">
        <v>95</v>
      </c>
      <c r="B105">
        <v>1453546.0701501702</v>
      </c>
      <c r="C105">
        <v>102018.06243996664</v>
      </c>
      <c r="D105">
        <v>118945.65566945134</v>
      </c>
      <c r="E105">
        <v>143403.10130581859</v>
      </c>
      <c r="F105">
        <v>45927.907013479744</v>
      </c>
      <c r="G105">
        <v>10000</v>
      </c>
      <c r="H105">
        <v>400294.72642871633</v>
      </c>
      <c r="I105">
        <v>40.242816700066065</v>
      </c>
    </row>
    <row r="106" spans="1:9" x14ac:dyDescent="0.2">
      <c r="A106">
        <v>96</v>
      </c>
      <c r="B106">
        <v>1291358.3725916438</v>
      </c>
      <c r="C106">
        <v>112924.98632341484</v>
      </c>
      <c r="D106">
        <v>57094.919192126108</v>
      </c>
      <c r="E106">
        <v>149476.76633669212</v>
      </c>
      <c r="F106">
        <v>46348.39151561715</v>
      </c>
      <c r="G106">
        <v>10000</v>
      </c>
      <c r="H106">
        <v>355845.06336785021</v>
      </c>
      <c r="I106">
        <v>34.057874781977908</v>
      </c>
    </row>
    <row r="107" spans="1:9" x14ac:dyDescent="0.2">
      <c r="A107">
        <v>97</v>
      </c>
      <c r="B107">
        <v>1369299.9656960263</v>
      </c>
      <c r="C107">
        <v>90424.656936438696</v>
      </c>
      <c r="D107">
        <v>151755.9387268305</v>
      </c>
      <c r="E107">
        <v>101966.1848614894</v>
      </c>
      <c r="F107">
        <v>43059.197413487724</v>
      </c>
      <c r="G107">
        <v>10000</v>
      </c>
      <c r="H107">
        <v>377205.97793824633</v>
      </c>
      <c r="I107">
        <v>35.346365183760724</v>
      </c>
    </row>
    <row r="108" spans="1:9" x14ac:dyDescent="0.2">
      <c r="A108">
        <v>98</v>
      </c>
      <c r="B108">
        <v>1403344.7917627711</v>
      </c>
      <c r="C108">
        <v>107742.90684385385</v>
      </c>
      <c r="D108">
        <v>121122.56285153399</v>
      </c>
      <c r="E108">
        <v>123145.48232136348</v>
      </c>
      <c r="F108">
        <v>44525.456468402088</v>
      </c>
      <c r="G108">
        <v>10000</v>
      </c>
      <c r="H108">
        <v>386536.40848515346</v>
      </c>
      <c r="I108">
        <v>42.556685922682647</v>
      </c>
    </row>
    <row r="109" spans="1:9" x14ac:dyDescent="0.2">
      <c r="A109">
        <v>99</v>
      </c>
      <c r="B109">
        <v>1660211.4941424513</v>
      </c>
      <c r="C109">
        <v>117728.46354404821</v>
      </c>
      <c r="D109">
        <v>145154.3739311503</v>
      </c>
      <c r="E109">
        <v>157170.23902280637</v>
      </c>
      <c r="F109">
        <v>46881.016547732746</v>
      </c>
      <c r="G109">
        <v>10000</v>
      </c>
      <c r="H109">
        <v>456934.09304573759</v>
      </c>
      <c r="I109">
        <v>33.03428780141374</v>
      </c>
    </row>
    <row r="110" spans="1:9" x14ac:dyDescent="0.2">
      <c r="A110">
        <v>100</v>
      </c>
      <c r="B110">
        <v>1122943.1071627927</v>
      </c>
      <c r="C110">
        <v>152903.9934560176</v>
      </c>
      <c r="D110">
        <v>76341.972316256171</v>
      </c>
      <c r="E110">
        <v>50917.621854680649</v>
      </c>
      <c r="F110">
        <v>39525.066128400969</v>
      </c>
      <c r="G110">
        <v>10000</v>
      </c>
      <c r="H110">
        <v>309688.65375535539</v>
      </c>
      <c r="I110">
        <v>25.920088339645474</v>
      </c>
    </row>
    <row r="111" spans="1:9" x14ac:dyDescent="0.2">
      <c r="A111">
        <v>101</v>
      </c>
      <c r="B111">
        <v>1298287.901877583</v>
      </c>
      <c r="C111">
        <v>143355.94937707749</v>
      </c>
      <c r="D111">
        <v>69346.878521351944</v>
      </c>
      <c r="E111">
        <v>111333.649543065</v>
      </c>
      <c r="F111">
        <v>43707.714199135269</v>
      </c>
      <c r="G111">
        <v>10000</v>
      </c>
      <c r="H111">
        <v>357744.19164062967</v>
      </c>
      <c r="I111">
        <v>31.735172284341413</v>
      </c>
    </row>
    <row r="112" spans="1:9" x14ac:dyDescent="0.2">
      <c r="A112">
        <v>102</v>
      </c>
      <c r="B112">
        <v>1580998.9873844613</v>
      </c>
      <c r="C112">
        <v>133582.43552606239</v>
      </c>
      <c r="D112">
        <v>144642.12218977715</v>
      </c>
      <c r="E112">
        <v>122518.27574967669</v>
      </c>
      <c r="F112">
        <v>44482.03447497762</v>
      </c>
      <c r="G112">
        <v>10000</v>
      </c>
      <c r="H112">
        <v>435224.86794049386</v>
      </c>
      <c r="I112">
        <v>52.474535761450973</v>
      </c>
    </row>
    <row r="113" spans="1:9" x14ac:dyDescent="0.2">
      <c r="A113">
        <v>103</v>
      </c>
      <c r="B113">
        <v>1218284.0273492637</v>
      </c>
      <c r="C113">
        <v>105974.11878875605</v>
      </c>
      <c r="D113">
        <v>64405.544128123431</v>
      </c>
      <c r="E113">
        <v>130410.03207848298</v>
      </c>
      <c r="F113">
        <v>45028.38683620267</v>
      </c>
      <c r="G113">
        <v>10000</v>
      </c>
      <c r="H113">
        <v>335818.08183156513</v>
      </c>
      <c r="I113">
        <v>30.109537868752376</v>
      </c>
    </row>
    <row r="114" spans="1:9" x14ac:dyDescent="0.2">
      <c r="A114">
        <v>104</v>
      </c>
      <c r="B114">
        <v>1189359.0894529328</v>
      </c>
      <c r="C114">
        <v>104362.25278391046</v>
      </c>
      <c r="D114">
        <v>73048.23774085789</v>
      </c>
      <c r="E114">
        <v>116420.45549202227</v>
      </c>
      <c r="F114">
        <v>44059.87768790924</v>
      </c>
      <c r="G114">
        <v>10000</v>
      </c>
      <c r="H114">
        <v>327890.82370469987</v>
      </c>
      <c r="I114">
        <v>26.992193123996415</v>
      </c>
    </row>
    <row r="115" spans="1:9" x14ac:dyDescent="0.2">
      <c r="A115">
        <v>105</v>
      </c>
      <c r="B115">
        <v>1327603.9190077884</v>
      </c>
      <c r="C115">
        <v>124613.09089382477</v>
      </c>
      <c r="D115">
        <v>159375.57432792638</v>
      </c>
      <c r="E115">
        <v>52177.665044924848</v>
      </c>
      <c r="F115">
        <v>39612.299887725567</v>
      </c>
      <c r="G115">
        <v>10000</v>
      </c>
      <c r="H115">
        <v>365778.63015440153</v>
      </c>
      <c r="I115">
        <v>36.548422709681923</v>
      </c>
    </row>
    <row r="116" spans="1:9" x14ac:dyDescent="0.2">
      <c r="A116">
        <v>106</v>
      </c>
      <c r="B116">
        <v>1567599.2572945631</v>
      </c>
      <c r="C116">
        <v>91000.192937890271</v>
      </c>
      <c r="D116">
        <v>116107.3894530344</v>
      </c>
      <c r="E116">
        <v>185595.9627257488</v>
      </c>
      <c r="F116">
        <v>48848.951265628762</v>
      </c>
      <c r="G116">
        <v>10000</v>
      </c>
      <c r="H116">
        <v>431552.4963823022</v>
      </c>
      <c r="I116">
        <v>48.675358409062575</v>
      </c>
    </row>
    <row r="117" spans="1:9" x14ac:dyDescent="0.2">
      <c r="A117">
        <v>107</v>
      </c>
      <c r="B117">
        <v>862117.86413652601</v>
      </c>
      <c r="C117">
        <v>102020.65877243</v>
      </c>
      <c r="D117">
        <v>56288.38345233447</v>
      </c>
      <c r="E117">
        <v>50407.300839725875</v>
      </c>
      <c r="F117">
        <v>39489.73621198102</v>
      </c>
      <c r="G117">
        <v>10000</v>
      </c>
      <c r="H117">
        <v>238206.07927647137</v>
      </c>
      <c r="I117">
        <v>26.264945208413753</v>
      </c>
    </row>
    <row r="118" spans="1:9" x14ac:dyDescent="0.2">
      <c r="A118">
        <v>108</v>
      </c>
      <c r="B118">
        <v>982231.10299166141</v>
      </c>
      <c r="C118">
        <v>103209.44283164961</v>
      </c>
      <c r="D118">
        <v>54596.223470579476</v>
      </c>
      <c r="E118">
        <v>81665.270018743162</v>
      </c>
      <c r="F118">
        <v>41653.749462836066</v>
      </c>
      <c r="G118">
        <v>10000</v>
      </c>
      <c r="H118">
        <v>271124.68578380829</v>
      </c>
      <c r="I118">
        <v>43.853468657712114</v>
      </c>
    </row>
    <row r="119" spans="1:9" x14ac:dyDescent="0.2">
      <c r="A119">
        <v>109</v>
      </c>
      <c r="B119">
        <v>882832.64284875407</v>
      </c>
      <c r="C119">
        <v>98839.540996284763</v>
      </c>
      <c r="D119">
        <v>45006.030792248326</v>
      </c>
      <c r="E119">
        <v>69243.85836403149</v>
      </c>
      <c r="F119">
        <v>40793.805579048334</v>
      </c>
      <c r="G119">
        <v>10000</v>
      </c>
      <c r="H119">
        <v>243883.23573161295</v>
      </c>
      <c r="I119">
        <v>34.565115968048389</v>
      </c>
    </row>
    <row r="120" spans="1:9" x14ac:dyDescent="0.2">
      <c r="A120">
        <v>110</v>
      </c>
      <c r="B120">
        <v>1736663.0471922345</v>
      </c>
      <c r="C120">
        <v>99932.490618395648</v>
      </c>
      <c r="D120">
        <v>159208.55161412855</v>
      </c>
      <c r="E120">
        <v>180265.66942778314</v>
      </c>
      <c r="F120">
        <v>48479.930960384983</v>
      </c>
      <c r="G120">
        <v>10000</v>
      </c>
      <c r="H120">
        <v>477886.64262069238</v>
      </c>
      <c r="I120">
        <v>32.603123227678815</v>
      </c>
    </row>
    <row r="121" spans="1:9" x14ac:dyDescent="0.2">
      <c r="A121">
        <v>111</v>
      </c>
      <c r="B121">
        <v>1723162.4005615546</v>
      </c>
      <c r="C121">
        <v>112515.37670797152</v>
      </c>
      <c r="D121">
        <v>119139.09831363498</v>
      </c>
      <c r="E121">
        <v>202512.07201672258</v>
      </c>
      <c r="F121">
        <v>50020.066524234644</v>
      </c>
      <c r="G121">
        <v>10000</v>
      </c>
      <c r="H121">
        <v>474186.61356256373</v>
      </c>
      <c r="I121">
        <v>36.658573790466036</v>
      </c>
    </row>
    <row r="122" spans="1:9" x14ac:dyDescent="0.2">
      <c r="A122">
        <v>112</v>
      </c>
      <c r="B122">
        <v>1546124.8244233553</v>
      </c>
      <c r="C122">
        <v>150524.05720214042</v>
      </c>
      <c r="D122">
        <v>32462.515554228252</v>
      </c>
      <c r="E122">
        <v>202650.89654450631</v>
      </c>
      <c r="F122">
        <v>50029.677453081204</v>
      </c>
      <c r="G122">
        <v>10000</v>
      </c>
      <c r="H122">
        <v>425667.14675395616</v>
      </c>
      <c r="I122">
        <v>45.386603951540891</v>
      </c>
    </row>
    <row r="123" spans="1:9" x14ac:dyDescent="0.2">
      <c r="A123">
        <v>113</v>
      </c>
      <c r="B123">
        <v>1449320.3361504273</v>
      </c>
      <c r="C123">
        <v>127776.37203076434</v>
      </c>
      <c r="D123">
        <v>95579.718750991306</v>
      </c>
      <c r="E123">
        <v>140082.49874621438</v>
      </c>
      <c r="F123">
        <v>45698.019143968682</v>
      </c>
      <c r="G123">
        <v>10000</v>
      </c>
      <c r="H123">
        <v>399136.60867193871</v>
      </c>
      <c r="I123">
        <v>32.440895675562629</v>
      </c>
    </row>
    <row r="124" spans="1:9" x14ac:dyDescent="0.2">
      <c r="A124">
        <v>114</v>
      </c>
      <c r="B124">
        <v>1140073.9768390222</v>
      </c>
      <c r="C124">
        <v>103235.38538955443</v>
      </c>
      <c r="D124">
        <v>140475.35552776544</v>
      </c>
      <c r="E124">
        <v>41780.365250158909</v>
      </c>
      <c r="F124">
        <v>38892.486825011001</v>
      </c>
      <c r="G124">
        <v>10000</v>
      </c>
      <c r="H124">
        <v>314383.59299248981</v>
      </c>
      <c r="I124">
        <v>25.317380788522122</v>
      </c>
    </row>
    <row r="125" spans="1:9" x14ac:dyDescent="0.2">
      <c r="A125">
        <v>115</v>
      </c>
      <c r="B125">
        <v>1364786.6092444167</v>
      </c>
      <c r="C125">
        <v>111606.83870880348</v>
      </c>
      <c r="D125">
        <v>136975.36665198085</v>
      </c>
      <c r="E125">
        <v>94822.213349732046</v>
      </c>
      <c r="F125">
        <v>42564.614770366068</v>
      </c>
      <c r="G125">
        <v>10000</v>
      </c>
      <c r="H125">
        <v>375969.03348088241</v>
      </c>
      <c r="I125">
        <v>53.256550182786704</v>
      </c>
    </row>
    <row r="126" spans="1:9" x14ac:dyDescent="0.2">
      <c r="A126">
        <v>116</v>
      </c>
      <c r="B126">
        <v>1155461.8315959889</v>
      </c>
      <c r="C126">
        <v>101527.95491720276</v>
      </c>
      <c r="D126">
        <v>110843.1330330952</v>
      </c>
      <c r="E126">
        <v>75035.016310043065</v>
      </c>
      <c r="F126">
        <v>41194.731898387596</v>
      </c>
      <c r="G126">
        <v>10000</v>
      </c>
      <c r="H126">
        <v>318600.83615872863</v>
      </c>
      <c r="I126">
        <v>36.602250255966595</v>
      </c>
    </row>
    <row r="127" spans="1:9" x14ac:dyDescent="0.2">
      <c r="A127">
        <v>117</v>
      </c>
      <c r="B127">
        <v>1154340.7511555471</v>
      </c>
      <c r="C127">
        <v>122739.92930816098</v>
      </c>
      <c r="D127">
        <v>63733.092341288866</v>
      </c>
      <c r="E127">
        <v>98968.876293505004</v>
      </c>
      <c r="F127">
        <v>42851.691435704197</v>
      </c>
      <c r="G127">
        <v>10000</v>
      </c>
      <c r="H127">
        <v>318293.58937865903</v>
      </c>
      <c r="I127">
        <v>41.959128432125006</v>
      </c>
    </row>
    <row r="128" spans="1:9" x14ac:dyDescent="0.2">
      <c r="A128">
        <v>118</v>
      </c>
      <c r="B128">
        <v>1441552.4847497428</v>
      </c>
      <c r="C128">
        <v>127766.89538620914</v>
      </c>
      <c r="D128">
        <v>112637.14793372909</v>
      </c>
      <c r="E128">
        <v>122147.33028699079</v>
      </c>
      <c r="F128">
        <v>44456.35363525321</v>
      </c>
      <c r="G128">
        <v>10000</v>
      </c>
      <c r="H128">
        <v>397007.72724218224</v>
      </c>
      <c r="I128">
        <v>54.253639854695351</v>
      </c>
    </row>
    <row r="129" spans="1:9" x14ac:dyDescent="0.2">
      <c r="A129">
        <v>119</v>
      </c>
      <c r="B129">
        <v>1294546.6432883476</v>
      </c>
      <c r="C129">
        <v>135649.17735307381</v>
      </c>
      <c r="D129">
        <v>65897.447514708037</v>
      </c>
      <c r="E129">
        <v>120808.55654905726</v>
      </c>
      <c r="F129">
        <v>44363.669299550114</v>
      </c>
      <c r="G129">
        <v>10000</v>
      </c>
      <c r="H129">
        <v>356718.85071638925</v>
      </c>
      <c r="I129">
        <v>25.06304919617893</v>
      </c>
    </row>
    <row r="130" spans="1:9" x14ac:dyDescent="0.2">
      <c r="A130">
        <v>120</v>
      </c>
      <c r="B130">
        <v>1629367.5226426322</v>
      </c>
      <c r="C130">
        <v>89081.82487496805</v>
      </c>
      <c r="D130">
        <v>143076.57917095433</v>
      </c>
      <c r="E130">
        <v>177999.45535877542</v>
      </c>
      <c r="F130">
        <v>48323.03921714599</v>
      </c>
      <c r="G130">
        <v>10000</v>
      </c>
      <c r="H130">
        <v>448480.89862184378</v>
      </c>
      <c r="I130">
        <v>29.720997164074589</v>
      </c>
    </row>
    <row r="131" spans="1:9" x14ac:dyDescent="0.2">
      <c r="A131">
        <v>121</v>
      </c>
      <c r="B131">
        <v>1039444.3178985582</v>
      </c>
      <c r="C131">
        <v>131005.09154255922</v>
      </c>
      <c r="D131">
        <v>46142.778740643618</v>
      </c>
      <c r="E131">
        <v>78240.21614993953</v>
      </c>
      <c r="F131">
        <v>41416.630348841973</v>
      </c>
      <c r="G131">
        <v>10000</v>
      </c>
      <c r="H131">
        <v>286804.71678198432</v>
      </c>
      <c r="I131">
        <v>38.002063219844715</v>
      </c>
    </row>
    <row r="132" spans="1:9" x14ac:dyDescent="0.2">
      <c r="A132">
        <v>122</v>
      </c>
      <c r="B132">
        <v>1177381.3246339317</v>
      </c>
      <c r="C132">
        <v>105348.7442455183</v>
      </c>
      <c r="D132">
        <v>77135.608572718746</v>
      </c>
      <c r="E132">
        <v>108604.99985522249</v>
      </c>
      <c r="F132">
        <v>43518.807682284634</v>
      </c>
      <c r="G132">
        <v>10000</v>
      </c>
      <c r="H132">
        <v>324608.16035574413</v>
      </c>
      <c r="I132">
        <v>49.857054076952423</v>
      </c>
    </row>
    <row r="133" spans="1:9" x14ac:dyDescent="0.2">
      <c r="A133">
        <v>123</v>
      </c>
      <c r="B133">
        <v>1370172.1391712681</v>
      </c>
      <c r="C133">
        <v>113900.35835773364</v>
      </c>
      <c r="D133">
        <v>71937.314635381597</v>
      </c>
      <c r="E133">
        <v>154884.55839147166</v>
      </c>
      <c r="F133">
        <v>46722.777119409577</v>
      </c>
      <c r="G133">
        <v>10000</v>
      </c>
      <c r="H133">
        <v>377445.00850399648</v>
      </c>
      <c r="I133">
        <v>37.563678004193186</v>
      </c>
    </row>
    <row r="134" spans="1:9" x14ac:dyDescent="0.2">
      <c r="A134">
        <v>124</v>
      </c>
      <c r="B134">
        <v>1417572.8845508466</v>
      </c>
      <c r="C134">
        <v>122628.06732669644</v>
      </c>
      <c r="D134">
        <v>108245.31269880687</v>
      </c>
      <c r="E134">
        <v>124914.49695404393</v>
      </c>
      <c r="F134">
        <v>44647.926712203043</v>
      </c>
      <c r="G134">
        <v>10000</v>
      </c>
      <c r="H134">
        <v>390435.80369175028</v>
      </c>
      <c r="I134">
        <v>32.021573010448066</v>
      </c>
    </row>
    <row r="135" spans="1:9" x14ac:dyDescent="0.2">
      <c r="A135">
        <v>125</v>
      </c>
      <c r="B135">
        <v>1219746.6311263347</v>
      </c>
      <c r="C135">
        <v>106534.97052950789</v>
      </c>
      <c r="D135">
        <v>58600.617760433975</v>
      </c>
      <c r="E135">
        <v>135689.45398960836</v>
      </c>
      <c r="F135">
        <v>45393.885276203655</v>
      </c>
      <c r="G135">
        <v>10000</v>
      </c>
      <c r="H135">
        <v>336218.92755575385</v>
      </c>
      <c r="I135">
        <v>47.544942577195151</v>
      </c>
    </row>
    <row r="136" spans="1:9" x14ac:dyDescent="0.2">
      <c r="A136">
        <v>126</v>
      </c>
      <c r="B136">
        <v>1178515.5216828389</v>
      </c>
      <c r="C136">
        <v>171006.77009734305</v>
      </c>
      <c r="D136">
        <v>61666.577170378303</v>
      </c>
      <c r="E136">
        <v>61956.367654963229</v>
      </c>
      <c r="F136">
        <v>40289.286991497458</v>
      </c>
      <c r="G136">
        <v>10000</v>
      </c>
      <c r="H136">
        <v>324919.00191418204</v>
      </c>
      <c r="I136">
        <v>28.501177405114582</v>
      </c>
    </row>
    <row r="137" spans="1:9" x14ac:dyDescent="0.2">
      <c r="A137">
        <v>127</v>
      </c>
      <c r="B137">
        <v>1319324.0526107419</v>
      </c>
      <c r="C137">
        <v>126117.73160488797</v>
      </c>
      <c r="D137">
        <v>64926.327571051108</v>
      </c>
      <c r="E137">
        <v>136981.99616654019</v>
      </c>
      <c r="F137">
        <v>45483.368965375856</v>
      </c>
      <c r="G137">
        <v>10000</v>
      </c>
      <c r="H137">
        <v>363509.42430785514</v>
      </c>
      <c r="I137">
        <v>27.8275555143722</v>
      </c>
    </row>
    <row r="138" spans="1:9" x14ac:dyDescent="0.2">
      <c r="A138">
        <v>128</v>
      </c>
      <c r="B138">
        <v>893908.24359023082</v>
      </c>
      <c r="C138">
        <v>86535.501390295976</v>
      </c>
      <c r="D138">
        <v>72130.615481985689</v>
      </c>
      <c r="E138">
        <v>58221.79282205987</v>
      </c>
      <c r="F138">
        <v>40030.739503065684</v>
      </c>
      <c r="G138">
        <v>10000</v>
      </c>
      <c r="H138">
        <v>246918.64919740721</v>
      </c>
      <c r="I138">
        <v>31.024609444332356</v>
      </c>
    </row>
    <row r="139" spans="1:9" x14ac:dyDescent="0.2">
      <c r="A139">
        <v>129</v>
      </c>
      <c r="B139">
        <v>1746794.6607512948</v>
      </c>
      <c r="C139">
        <v>164951.58964032418</v>
      </c>
      <c r="D139">
        <v>85267.54448953399</v>
      </c>
      <c r="E139">
        <v>191206.81501786577</v>
      </c>
      <c r="F139">
        <v>49237.394885852242</v>
      </c>
      <c r="G139">
        <v>10000</v>
      </c>
      <c r="H139">
        <v>480663.3440335762</v>
      </c>
      <c r="I139">
        <v>26.424338463778678</v>
      </c>
    </row>
    <row r="140" spans="1:9" x14ac:dyDescent="0.2">
      <c r="A140">
        <v>130</v>
      </c>
      <c r="B140">
        <v>1425569.0368490578</v>
      </c>
      <c r="C140">
        <v>85081.282323170919</v>
      </c>
      <c r="D140">
        <v>85403.154272118729</v>
      </c>
      <c r="E140">
        <v>183442.92272740681</v>
      </c>
      <c r="F140">
        <v>48699.894650358925</v>
      </c>
      <c r="G140">
        <v>10000</v>
      </c>
      <c r="H140">
        <v>392627.2539730554</v>
      </c>
      <c r="I140">
        <v>50.509086115818157</v>
      </c>
    </row>
    <row r="141" spans="1:9" x14ac:dyDescent="0.2">
      <c r="A141">
        <v>131</v>
      </c>
      <c r="B141">
        <v>1275227.8899446626</v>
      </c>
      <c r="C141">
        <v>157555.20645365625</v>
      </c>
      <c r="D141">
        <v>134280.0582601763</v>
      </c>
      <c r="E141">
        <v>31414.199397554898</v>
      </c>
      <c r="F141">
        <v>38174.829189061493</v>
      </c>
      <c r="G141">
        <v>10000</v>
      </c>
      <c r="H141">
        <v>351424.29330044892</v>
      </c>
      <c r="I141">
        <v>32.207796065387214</v>
      </c>
    </row>
    <row r="142" spans="1:9" x14ac:dyDescent="0.2">
      <c r="A142">
        <v>132</v>
      </c>
      <c r="B142">
        <v>1447766.8929405122</v>
      </c>
      <c r="C142">
        <v>134824.16916002202</v>
      </c>
      <c r="D142">
        <v>82751.978092990394</v>
      </c>
      <c r="E142">
        <v>145090.02586021862</v>
      </c>
      <c r="F142">
        <v>46044.694098015134</v>
      </c>
      <c r="G142">
        <v>10000</v>
      </c>
      <c r="H142">
        <v>398710.86721124616</v>
      </c>
      <c r="I142">
        <v>35.365180778781848</v>
      </c>
    </row>
    <row r="143" spans="1:9" x14ac:dyDescent="0.2">
      <c r="A143">
        <v>133</v>
      </c>
      <c r="B143">
        <v>970416.67278321367</v>
      </c>
      <c r="C143">
        <v>115760.54403134181</v>
      </c>
      <c r="D143">
        <v>48112.739679583246</v>
      </c>
      <c r="E143">
        <v>72962.268724873298</v>
      </c>
      <c r="F143">
        <v>41051.233988645072</v>
      </c>
      <c r="G143">
        <v>10000</v>
      </c>
      <c r="H143">
        <v>267886.78642444342</v>
      </c>
      <c r="I143">
        <v>33.185924677282216</v>
      </c>
    </row>
    <row r="144" spans="1:9" x14ac:dyDescent="0.2">
      <c r="A144">
        <v>134</v>
      </c>
      <c r="B144">
        <v>761449.63384184043</v>
      </c>
      <c r="C144">
        <v>77317.321066754113</v>
      </c>
      <c r="D144">
        <v>69766.049981407952</v>
      </c>
      <c r="E144">
        <v>35103.04988690521</v>
      </c>
      <c r="F144">
        <v>38430.211146016518</v>
      </c>
      <c r="G144">
        <v>10000</v>
      </c>
      <c r="H144">
        <v>210616.63208108378</v>
      </c>
      <c r="I144">
        <v>27.472382124294725</v>
      </c>
    </row>
    <row r="145" spans="1:9" x14ac:dyDescent="0.2">
      <c r="A145">
        <v>135</v>
      </c>
      <c r="B145">
        <v>1620191.1347370413</v>
      </c>
      <c r="C145">
        <v>115683.03431430797</v>
      </c>
      <c r="D145">
        <v>150514.96269010304</v>
      </c>
      <c r="E145">
        <v>143811.79136688326</v>
      </c>
      <c r="F145">
        <v>45956.200940784227</v>
      </c>
      <c r="G145">
        <v>10000</v>
      </c>
      <c r="H145">
        <v>445965.98931207851</v>
      </c>
      <c r="I145">
        <v>27.403675712422707</v>
      </c>
    </row>
    <row r="146" spans="1:9" x14ac:dyDescent="0.2">
      <c r="A146">
        <v>136</v>
      </c>
      <c r="B146">
        <v>1071484.0348301418</v>
      </c>
      <c r="C146">
        <v>135766.25171737708</v>
      </c>
      <c r="D146">
        <v>101676.97126684996</v>
      </c>
      <c r="E146">
        <v>30061.235465357695</v>
      </c>
      <c r="F146">
        <v>38081.162455293997</v>
      </c>
      <c r="G146">
        <v>10000</v>
      </c>
      <c r="H146">
        <v>295585.62090487871</v>
      </c>
      <c r="I146">
        <v>36.234903146409707</v>
      </c>
    </row>
    <row r="147" spans="1:9" x14ac:dyDescent="0.2">
      <c r="A147">
        <v>137</v>
      </c>
      <c r="B147">
        <v>1485840.9693726054</v>
      </c>
      <c r="C147">
        <v>131650.441246467</v>
      </c>
      <c r="D147">
        <v>36670.628471849988</v>
      </c>
      <c r="E147">
        <v>200914.99708464294</v>
      </c>
      <c r="F147">
        <v>49909.499798167584</v>
      </c>
      <c r="G147">
        <v>10000</v>
      </c>
      <c r="H147">
        <v>409145.5666011275</v>
      </c>
      <c r="I147">
        <v>43.369356682820005</v>
      </c>
    </row>
    <row r="148" spans="1:9" x14ac:dyDescent="0.2">
      <c r="A148">
        <v>138</v>
      </c>
      <c r="B148">
        <v>1508843.7090994513</v>
      </c>
      <c r="C148">
        <v>122781.56070773299</v>
      </c>
      <c r="D148">
        <v>59191.370222322985</v>
      </c>
      <c r="E148">
        <v>194043.08572434343</v>
      </c>
      <c r="F148">
        <v>49433.752088608395</v>
      </c>
      <c r="G148">
        <v>10000</v>
      </c>
      <c r="H148">
        <v>415449.76874300779</v>
      </c>
      <c r="I148">
        <v>46.409559415061679</v>
      </c>
    </row>
    <row r="149" spans="1:9" x14ac:dyDescent="0.2">
      <c r="A149">
        <v>139</v>
      </c>
      <c r="B149">
        <v>1446346.2647001597</v>
      </c>
      <c r="C149">
        <v>90448.102004301807</v>
      </c>
      <c r="D149">
        <v>112497.02013169117</v>
      </c>
      <c r="E149">
        <v>158409.58581710636</v>
      </c>
      <c r="F149">
        <v>46966.817479645826</v>
      </c>
      <c r="G149">
        <v>10000</v>
      </c>
      <c r="H149">
        <v>398321.52543274517</v>
      </c>
      <c r="I149">
        <v>49.551569299658503</v>
      </c>
    </row>
    <row r="150" spans="1:9" x14ac:dyDescent="0.2">
      <c r="A150">
        <v>140</v>
      </c>
      <c r="B150">
        <v>1379465.2500196656</v>
      </c>
      <c r="C150">
        <v>121956.89991530539</v>
      </c>
      <c r="D150">
        <v>131942.08878592358</v>
      </c>
      <c r="E150">
        <v>93612.082110213436</v>
      </c>
      <c r="F150">
        <v>42480.836453784003</v>
      </c>
      <c r="G150">
        <v>10000</v>
      </c>
      <c r="H150">
        <v>379991.90726522647</v>
      </c>
      <c r="I150">
        <v>38.503696826500281</v>
      </c>
    </row>
    <row r="151" spans="1:9" x14ac:dyDescent="0.2">
      <c r="A151">
        <v>141</v>
      </c>
      <c r="B151">
        <v>1319076.4630174639</v>
      </c>
      <c r="C151">
        <v>145055.32098081149</v>
      </c>
      <c r="D151">
        <v>26009.180815077674</v>
      </c>
      <c r="E151">
        <v>155604.45146969918</v>
      </c>
      <c r="F151">
        <v>46772.615870979178</v>
      </c>
      <c r="G151">
        <v>10000</v>
      </c>
      <c r="H151">
        <v>363441.56913656753</v>
      </c>
      <c r="I151">
        <v>34.083199733535707</v>
      </c>
    </row>
    <row r="152" spans="1:9" x14ac:dyDescent="0.2">
      <c r="A152">
        <v>142</v>
      </c>
      <c r="B152">
        <v>906256.60995829001</v>
      </c>
      <c r="C152">
        <v>83615.699231542429</v>
      </c>
      <c r="D152">
        <v>78656.416918345582</v>
      </c>
      <c r="E152">
        <v>58014.384163524286</v>
      </c>
      <c r="F152">
        <v>40016.380442090143</v>
      </c>
      <c r="G152">
        <v>10000</v>
      </c>
      <c r="H152">
        <v>250302.88075550244</v>
      </c>
      <c r="I152">
        <v>35.833506298857529</v>
      </c>
    </row>
    <row r="153" spans="1:9" x14ac:dyDescent="0.2">
      <c r="A153">
        <v>143</v>
      </c>
      <c r="B153">
        <v>1053811.2454825924</v>
      </c>
      <c r="C153">
        <v>111366.13586371655</v>
      </c>
      <c r="D153">
        <v>64209.945721106895</v>
      </c>
      <c r="E153">
        <v>83392.736595465467</v>
      </c>
      <c r="F153">
        <v>41773.343302762994</v>
      </c>
      <c r="G153">
        <v>10000</v>
      </c>
      <c r="H153">
        <v>290742.1614830519</v>
      </c>
      <c r="I153">
        <v>27.982688938867071</v>
      </c>
    </row>
    <row r="154" spans="1:9" x14ac:dyDescent="0.2">
      <c r="A154">
        <v>144</v>
      </c>
      <c r="B154">
        <v>890974.84510548785</v>
      </c>
      <c r="C154">
        <v>122747.96173984281</v>
      </c>
      <c r="D154">
        <v>55624.256005458948</v>
      </c>
      <c r="E154">
        <v>39039.743685950918</v>
      </c>
      <c r="F154">
        <v>38702.751485950444</v>
      </c>
      <c r="G154">
        <v>10000</v>
      </c>
      <c r="H154">
        <v>246114.71291720308</v>
      </c>
      <c r="I154">
        <v>33.043699348108333</v>
      </c>
    </row>
    <row r="155" spans="1:9" x14ac:dyDescent="0.2">
      <c r="A155">
        <v>145</v>
      </c>
      <c r="B155">
        <v>1072789.5331408104</v>
      </c>
      <c r="C155">
        <v>126572.1935220709</v>
      </c>
      <c r="D155">
        <v>57379.315852606975</v>
      </c>
      <c r="E155">
        <v>80424.079551335206</v>
      </c>
      <c r="F155">
        <v>41567.820892015508</v>
      </c>
      <c r="G155">
        <v>10000</v>
      </c>
      <c r="H155">
        <v>295943.40981802862</v>
      </c>
      <c r="I155">
        <v>39.743223687983736</v>
      </c>
    </row>
    <row r="156" spans="1:9" x14ac:dyDescent="0.2">
      <c r="A156">
        <v>146</v>
      </c>
      <c r="B156">
        <v>1058919.4599916672</v>
      </c>
      <c r="C156">
        <v>96759.339632735428</v>
      </c>
      <c r="D156">
        <v>79774.869565452478</v>
      </c>
      <c r="E156">
        <v>83805.973381747375</v>
      </c>
      <c r="F156">
        <v>41801.95200335174</v>
      </c>
      <c r="G156">
        <v>10000</v>
      </c>
      <c r="H156">
        <v>292142.13458328706</v>
      </c>
      <c r="I156">
        <v>51.724136209276736</v>
      </c>
    </row>
    <row r="157" spans="1:9" x14ac:dyDescent="0.2">
      <c r="A157">
        <v>147</v>
      </c>
      <c r="B157">
        <v>1621302.5950360205</v>
      </c>
      <c r="C157">
        <v>117117.04158498866</v>
      </c>
      <c r="D157">
        <v>147436.51293509398</v>
      </c>
      <c r="E157">
        <v>145634.64644616173</v>
      </c>
      <c r="F157">
        <v>46082.398600118882</v>
      </c>
      <c r="G157">
        <v>10000</v>
      </c>
      <c r="H157">
        <v>446270.59956636326</v>
      </c>
      <c r="I157">
        <v>48.668276268500236</v>
      </c>
    </row>
    <row r="158" spans="1:9" x14ac:dyDescent="0.2">
      <c r="A158">
        <v>148</v>
      </c>
      <c r="B158">
        <v>1321442.9755960735</v>
      </c>
      <c r="C158">
        <v>117730.452884553</v>
      </c>
      <c r="D158">
        <v>111626.39539059992</v>
      </c>
      <c r="E158">
        <v>101693.00936921313</v>
      </c>
      <c r="F158">
        <v>43040.285264022452</v>
      </c>
      <c r="G158">
        <v>10000</v>
      </c>
      <c r="H158">
        <v>364090.14290838852</v>
      </c>
      <c r="I158">
        <v>37.959818778811794</v>
      </c>
    </row>
    <row r="159" spans="1:9" x14ac:dyDescent="0.2">
      <c r="A159">
        <v>149</v>
      </c>
      <c r="B159">
        <v>1419125.1674208541</v>
      </c>
      <c r="C159">
        <v>103745.51169243049</v>
      </c>
      <c r="D159">
        <v>51757.667298842629</v>
      </c>
      <c r="E159">
        <v>195802.49108004587</v>
      </c>
      <c r="F159">
        <v>49555.557074772405</v>
      </c>
      <c r="G159">
        <v>10000</v>
      </c>
      <c r="H159">
        <v>390861.22714609141</v>
      </c>
      <c r="I159">
        <v>33.394533550806841</v>
      </c>
    </row>
    <row r="160" spans="1:9" x14ac:dyDescent="0.2">
      <c r="A160">
        <v>150</v>
      </c>
      <c r="B160">
        <v>1391175.4812206044</v>
      </c>
      <c r="C160">
        <v>156764.55695478237</v>
      </c>
      <c r="D160">
        <v>52035.538706834959</v>
      </c>
      <c r="E160">
        <v>138792.44605614542</v>
      </c>
      <c r="F160">
        <v>45608.707803886995</v>
      </c>
      <c r="G160">
        <v>10000</v>
      </c>
      <c r="H160">
        <v>383201.24952164968</v>
      </c>
      <c r="I160">
        <v>46.883396507945719</v>
      </c>
    </row>
    <row r="161" spans="1:9" x14ac:dyDescent="0.2">
      <c r="A161">
        <v>151</v>
      </c>
      <c r="B161">
        <v>1286748.7478136537</v>
      </c>
      <c r="C161">
        <v>94748.332094916244</v>
      </c>
      <c r="D161">
        <v>119764.98114302555</v>
      </c>
      <c r="E161">
        <v>106682.69690622171</v>
      </c>
      <c r="F161">
        <v>43385.725170430735</v>
      </c>
      <c r="G161">
        <v>10000</v>
      </c>
      <c r="H161">
        <v>354581.73531459423</v>
      </c>
      <c r="I161">
        <v>39.930678237865386</v>
      </c>
    </row>
    <row r="162" spans="1:9" x14ac:dyDescent="0.2">
      <c r="A162">
        <v>152</v>
      </c>
      <c r="B162">
        <v>1316279.2225786331</v>
      </c>
      <c r="C162">
        <v>127269.94377427976</v>
      </c>
      <c r="D162">
        <v>74935.211911288803</v>
      </c>
      <c r="E162">
        <v>125763.11581791891</v>
      </c>
      <c r="F162">
        <v>44706.677248932843</v>
      </c>
      <c r="G162">
        <v>10000</v>
      </c>
      <c r="H162">
        <v>362674.94875242031</v>
      </c>
      <c r="I162">
        <v>39.843665037507819</v>
      </c>
    </row>
    <row r="163" spans="1:9" x14ac:dyDescent="0.2">
      <c r="A163">
        <v>153</v>
      </c>
      <c r="B163">
        <v>1376655.7851231634</v>
      </c>
      <c r="C163">
        <v>150961.89651147445</v>
      </c>
      <c r="D163">
        <v>124349.19678743917</v>
      </c>
      <c r="E163">
        <v>72866.256332540812</v>
      </c>
      <c r="F163">
        <v>41044.586976868217</v>
      </c>
      <c r="G163">
        <v>10000</v>
      </c>
      <c r="H163">
        <v>379221.93660832266</v>
      </c>
      <c r="I163">
        <v>37.503060297272285</v>
      </c>
    </row>
    <row r="164" spans="1:9" x14ac:dyDescent="0.2">
      <c r="A164">
        <v>154</v>
      </c>
      <c r="B164">
        <v>1100340.3376257312</v>
      </c>
      <c r="C164">
        <v>83157.673755593263</v>
      </c>
      <c r="D164">
        <v>55028.633156171883</v>
      </c>
      <c r="E164">
        <v>130287.83475036953</v>
      </c>
      <c r="F164">
        <v>45019.927021179436</v>
      </c>
      <c r="G164">
        <v>10000</v>
      </c>
      <c r="H164">
        <v>303494.06868331414</v>
      </c>
      <c r="I164">
        <v>31.14971522840867</v>
      </c>
    </row>
    <row r="165" spans="1:9" x14ac:dyDescent="0.2">
      <c r="A165">
        <v>155</v>
      </c>
      <c r="B165">
        <v>1025281.7313680558</v>
      </c>
      <c r="C165">
        <v>124787.64082401423</v>
      </c>
      <c r="D165">
        <v>70452.838188911992</v>
      </c>
      <c r="E165">
        <v>57688.945347888977</v>
      </c>
      <c r="F165">
        <v>39993.85006254616</v>
      </c>
      <c r="G165">
        <v>10000</v>
      </c>
      <c r="H165">
        <v>282923.27442336135</v>
      </c>
      <c r="I165">
        <v>52.463508958184768</v>
      </c>
    </row>
    <row r="166" spans="1:9" x14ac:dyDescent="0.2">
      <c r="A166">
        <v>156</v>
      </c>
      <c r="B166">
        <v>1506029.7533335774</v>
      </c>
      <c r="C166">
        <v>139362.37622631431</v>
      </c>
      <c r="D166">
        <v>97473.7315794608</v>
      </c>
      <c r="E166">
        <v>142010.93334415503</v>
      </c>
      <c r="F166">
        <v>45831.526154595347</v>
      </c>
      <c r="G166">
        <v>10000</v>
      </c>
      <c r="H166">
        <v>414678.56730452552</v>
      </c>
      <c r="I166">
        <v>37.109238574926984</v>
      </c>
    </row>
    <row r="167" spans="1:9" x14ac:dyDescent="0.2">
      <c r="A167">
        <v>157</v>
      </c>
      <c r="B167">
        <v>1040979.3499225175</v>
      </c>
      <c r="C167">
        <v>103430.4050379043</v>
      </c>
      <c r="D167">
        <v>66721.80141413516</v>
      </c>
      <c r="E167">
        <v>85176.379678516736</v>
      </c>
      <c r="F167">
        <v>41896.826285435767</v>
      </c>
      <c r="G167">
        <v>10000</v>
      </c>
      <c r="H167">
        <v>287225.412415992</v>
      </c>
      <c r="I167">
        <v>40.981249824133158</v>
      </c>
    </row>
    <row r="168" spans="1:9" x14ac:dyDescent="0.2">
      <c r="A168">
        <v>158</v>
      </c>
      <c r="B168">
        <v>1006647.8470410301</v>
      </c>
      <c r="C168">
        <v>100246.15176071058</v>
      </c>
      <c r="D168">
        <v>29747.643866877967</v>
      </c>
      <c r="E168">
        <v>113934.82324942198</v>
      </c>
      <c r="F168">
        <v>43887.795455729211</v>
      </c>
      <c r="G168">
        <v>10000</v>
      </c>
      <c r="H168">
        <v>277816.41433273978</v>
      </c>
      <c r="I168">
        <v>36.982841526102789</v>
      </c>
    </row>
    <row r="169" spans="1:9" x14ac:dyDescent="0.2">
      <c r="A169">
        <v>159</v>
      </c>
      <c r="B169">
        <v>1693553.9638219604</v>
      </c>
      <c r="C169">
        <v>137347.96700687174</v>
      </c>
      <c r="D169">
        <v>98985.928538917025</v>
      </c>
      <c r="E169">
        <v>190546.46007347191</v>
      </c>
      <c r="F169">
        <v>49191.67800508652</v>
      </c>
      <c r="G169">
        <v>10000</v>
      </c>
      <c r="H169">
        <v>466072.03362434718</v>
      </c>
      <c r="I169">
        <v>48.885851497143861</v>
      </c>
    </row>
    <row r="170" spans="1:9" x14ac:dyDescent="0.2">
      <c r="A170">
        <v>160</v>
      </c>
      <c r="B170">
        <v>1531616.2291740335</v>
      </c>
      <c r="C170">
        <v>124984.20671061394</v>
      </c>
      <c r="D170">
        <v>64358.115568415276</v>
      </c>
      <c r="E170">
        <v>192987.85616026784</v>
      </c>
      <c r="F170">
        <v>49360.697734172383</v>
      </c>
      <c r="G170">
        <v>10000</v>
      </c>
      <c r="H170">
        <v>421690.87617346947</v>
      </c>
      <c r="I170">
        <v>32.460829520630455</v>
      </c>
    </row>
    <row r="171" spans="1:9" x14ac:dyDescent="0.2">
      <c r="A171">
        <v>161</v>
      </c>
      <c r="B171">
        <v>1380736.9650604986</v>
      </c>
      <c r="C171">
        <v>107701.46531948574</v>
      </c>
      <c r="D171">
        <v>103896.12247425552</v>
      </c>
      <c r="E171">
        <v>133500.5068547478</v>
      </c>
      <c r="F171">
        <v>45242.34278225177</v>
      </c>
      <c r="G171">
        <v>10000</v>
      </c>
      <c r="H171">
        <v>380340.4374307408</v>
      </c>
      <c r="I171">
        <v>34.557169706329546</v>
      </c>
    </row>
    <row r="172" spans="1:9" x14ac:dyDescent="0.2">
      <c r="A172">
        <v>162</v>
      </c>
      <c r="B172">
        <v>1098633.9912244377</v>
      </c>
      <c r="C172">
        <v>160635.02051945362</v>
      </c>
      <c r="D172">
        <v>50396.332991133524</v>
      </c>
      <c r="E172">
        <v>61722.006594508413</v>
      </c>
      <c r="F172">
        <v>40273.061995004427</v>
      </c>
      <c r="G172">
        <v>10000</v>
      </c>
      <c r="H172">
        <v>303026.42210009997</v>
      </c>
      <c r="I172">
        <v>25.644235896389976</v>
      </c>
    </row>
    <row r="173" spans="1:9" x14ac:dyDescent="0.2">
      <c r="A173">
        <v>163</v>
      </c>
      <c r="B173">
        <v>1485370.043124916</v>
      </c>
      <c r="C173">
        <v>110866.73658400615</v>
      </c>
      <c r="D173">
        <v>105452.48291583337</v>
      </c>
      <c r="E173">
        <v>155903.93429683248</v>
      </c>
      <c r="F173">
        <v>46793.349297473018</v>
      </c>
      <c r="G173">
        <v>10000</v>
      </c>
      <c r="H173">
        <v>409016.50309414504</v>
      </c>
      <c r="I173">
        <v>42.934027252109672</v>
      </c>
    </row>
    <row r="174" spans="1:9" x14ac:dyDescent="0.2">
      <c r="A174">
        <v>164</v>
      </c>
      <c r="B174">
        <v>1257073.658133009</v>
      </c>
      <c r="C174">
        <v>89420.657862198379</v>
      </c>
      <c r="D174">
        <v>117111.36359953314</v>
      </c>
      <c r="E174">
        <v>106540.95456399865</v>
      </c>
      <c r="F174">
        <v>43375.912239046062</v>
      </c>
      <c r="G174">
        <v>10000</v>
      </c>
      <c r="H174">
        <v>346448.88826477621</v>
      </c>
      <c r="I174">
        <v>35.783791611373303</v>
      </c>
    </row>
    <row r="175" spans="1:9" x14ac:dyDescent="0.2">
      <c r="A175">
        <v>165</v>
      </c>
      <c r="B175">
        <v>988220.56917153776</v>
      </c>
      <c r="C175">
        <v>125718.11160128517</v>
      </c>
      <c r="D175">
        <v>58948.090791742172</v>
      </c>
      <c r="E175">
        <v>58079.113360957228</v>
      </c>
      <c r="F175">
        <v>40020.861694220119</v>
      </c>
      <c r="G175">
        <v>10000</v>
      </c>
      <c r="H175">
        <v>272766.17744820466</v>
      </c>
      <c r="I175">
        <v>42.769961458933253</v>
      </c>
    </row>
    <row r="176" spans="1:9" x14ac:dyDescent="0.2">
      <c r="A176">
        <v>166</v>
      </c>
      <c r="B176">
        <v>1299608.9413232128</v>
      </c>
      <c r="C176">
        <v>96765.594806540059</v>
      </c>
      <c r="D176">
        <v>65902.655973491623</v>
      </c>
      <c r="E176">
        <v>158467.18398055434</v>
      </c>
      <c r="F176">
        <v>46970.805044807603</v>
      </c>
      <c r="G176">
        <v>10000</v>
      </c>
      <c r="H176">
        <v>358106.23980539362</v>
      </c>
      <c r="I176">
        <v>56.158510003818748</v>
      </c>
    </row>
    <row r="177" spans="1:9" x14ac:dyDescent="0.2">
      <c r="A177">
        <v>167</v>
      </c>
      <c r="B177">
        <v>1816567.5373535876</v>
      </c>
      <c r="C177">
        <v>150321.32513408357</v>
      </c>
      <c r="D177">
        <v>120500.09412450404</v>
      </c>
      <c r="E177">
        <v>189822.53543784018</v>
      </c>
      <c r="F177">
        <v>49141.560145696625</v>
      </c>
      <c r="G177">
        <v>10000</v>
      </c>
      <c r="H177">
        <v>499785.51484212442</v>
      </c>
      <c r="I177">
        <v>35.081171521996552</v>
      </c>
    </row>
    <row r="178" spans="1:9" x14ac:dyDescent="0.2">
      <c r="A178">
        <v>168</v>
      </c>
      <c r="B178">
        <v>1504536.6418687233</v>
      </c>
      <c r="C178">
        <v>153194.99119193389</v>
      </c>
      <c r="D178">
        <v>112072.94909050822</v>
      </c>
      <c r="E178">
        <v>115037.2995297531</v>
      </c>
      <c r="F178">
        <v>43964.120736675221</v>
      </c>
      <c r="G178">
        <v>10000</v>
      </c>
      <c r="H178">
        <v>414269.36054887046</v>
      </c>
      <c r="I178">
        <v>43.229111367876158</v>
      </c>
    </row>
    <row r="179" spans="1:9" x14ac:dyDescent="0.2">
      <c r="A179">
        <v>169</v>
      </c>
      <c r="B179">
        <v>1056303.4548477114</v>
      </c>
      <c r="C179">
        <v>87800.808056847934</v>
      </c>
      <c r="D179">
        <v>82413.40756571891</v>
      </c>
      <c r="E179">
        <v>89046.229516651205</v>
      </c>
      <c r="F179">
        <v>42164.738966537392</v>
      </c>
      <c r="G179">
        <v>10000</v>
      </c>
      <c r="H179">
        <v>291425.18410575547</v>
      </c>
      <c r="I179">
        <v>32.462013084993373</v>
      </c>
    </row>
    <row r="180" spans="1:9" x14ac:dyDescent="0.2">
      <c r="A180">
        <v>170</v>
      </c>
      <c r="B180">
        <v>911752.45161211619</v>
      </c>
      <c r="C180">
        <v>119816.76403900965</v>
      </c>
      <c r="D180">
        <v>65071.629821801987</v>
      </c>
      <c r="E180">
        <v>38271.152934579055</v>
      </c>
      <c r="F180">
        <v>38649.541357009315</v>
      </c>
      <c r="G180">
        <v>10000</v>
      </c>
      <c r="H180">
        <v>251809.08815240001</v>
      </c>
      <c r="I180">
        <v>39.684116378736128</v>
      </c>
    </row>
    <row r="181" spans="1:9" x14ac:dyDescent="0.2">
      <c r="A181">
        <v>171</v>
      </c>
      <c r="B181">
        <v>1623016.5514592063</v>
      </c>
      <c r="C181">
        <v>129029.76804347924</v>
      </c>
      <c r="D181">
        <v>87954.499121446031</v>
      </c>
      <c r="E181">
        <v>190563.22589502801</v>
      </c>
      <c r="F181">
        <v>49192.83871580963</v>
      </c>
      <c r="G181">
        <v>10000</v>
      </c>
      <c r="H181">
        <v>446740.33177576296</v>
      </c>
      <c r="I181">
        <v>43.103270126894309</v>
      </c>
    </row>
    <row r="182" spans="1:9" x14ac:dyDescent="0.2">
      <c r="A182">
        <v>172</v>
      </c>
      <c r="B182">
        <v>836972.73968754313</v>
      </c>
      <c r="C182">
        <v>106069.03033345606</v>
      </c>
      <c r="D182">
        <v>67115.833676101305</v>
      </c>
      <c r="E182">
        <v>30049.513587521935</v>
      </c>
      <c r="F182">
        <v>38080.350940674594</v>
      </c>
      <c r="G182">
        <v>10000</v>
      </c>
      <c r="H182">
        <v>231314.72853775389</v>
      </c>
      <c r="I182">
        <v>40.104397621172623</v>
      </c>
    </row>
    <row r="183" spans="1:9" x14ac:dyDescent="0.2">
      <c r="A183">
        <v>173</v>
      </c>
      <c r="B183">
        <v>1178398.9845537934</v>
      </c>
      <c r="C183">
        <v>74944.624125299364</v>
      </c>
      <c r="D183">
        <v>98130.47601823986</v>
      </c>
      <c r="E183">
        <v>117665.864904342</v>
      </c>
      <c r="F183">
        <v>44146.098339531367</v>
      </c>
      <c r="G183">
        <v>10000</v>
      </c>
      <c r="H183">
        <v>324887.06338741258</v>
      </c>
      <c r="I183">
        <v>30.173870296636252</v>
      </c>
    </row>
    <row r="184" spans="1:9" x14ac:dyDescent="0.2">
      <c r="A184">
        <v>174</v>
      </c>
      <c r="B184">
        <v>1145157.2448859573</v>
      </c>
      <c r="C184">
        <v>110523.86163792123</v>
      </c>
      <c r="D184">
        <v>74754.901940483775</v>
      </c>
      <c r="E184">
        <v>97731.910282349738</v>
      </c>
      <c r="F184">
        <v>42766.055327239599</v>
      </c>
      <c r="G184">
        <v>10000</v>
      </c>
      <c r="H184">
        <v>315776.72918799438</v>
      </c>
      <c r="I184">
        <v>42.607223653143144</v>
      </c>
    </row>
    <row r="185" spans="1:9" x14ac:dyDescent="0.2">
      <c r="A185">
        <v>175</v>
      </c>
      <c r="B185">
        <v>1246831.2085727646</v>
      </c>
      <c r="C185">
        <v>88903.502516279288</v>
      </c>
      <c r="D185">
        <v>77293.436124545973</v>
      </c>
      <c r="E185">
        <v>141639.08906402122</v>
      </c>
      <c r="F185">
        <v>45805.783089047618</v>
      </c>
      <c r="G185">
        <v>10000</v>
      </c>
      <c r="H185">
        <v>343641.81079389411</v>
      </c>
      <c r="I185">
        <v>36.7963459637716</v>
      </c>
    </row>
    <row r="186" spans="1:9" x14ac:dyDescent="0.2">
      <c r="A186">
        <v>176</v>
      </c>
      <c r="B186">
        <v>1003047.0526479497</v>
      </c>
      <c r="C186">
        <v>95516.45313942591</v>
      </c>
      <c r="D186">
        <v>103555.45184712989</v>
      </c>
      <c r="E186">
        <v>48406.448789458096</v>
      </c>
      <c r="F186">
        <v>39351.215685424017</v>
      </c>
      <c r="G186">
        <v>10000</v>
      </c>
      <c r="H186">
        <v>276829.56946143787</v>
      </c>
      <c r="I186">
        <v>38.014877370005294</v>
      </c>
    </row>
    <row r="187" spans="1:9" x14ac:dyDescent="0.2">
      <c r="A187">
        <v>177</v>
      </c>
      <c r="B187">
        <v>979080.31501626968</v>
      </c>
      <c r="C187">
        <v>98353.480438778948</v>
      </c>
      <c r="D187">
        <v>97726.390926007865</v>
      </c>
      <c r="E187">
        <v>45061.647202612905</v>
      </c>
      <c r="F187">
        <v>39119.652498642434</v>
      </c>
      <c r="G187">
        <v>10000</v>
      </c>
      <c r="H187">
        <v>270261.17106604215</v>
      </c>
      <c r="I187">
        <v>34.421726088860204</v>
      </c>
    </row>
    <row r="188" spans="1:9" x14ac:dyDescent="0.2">
      <c r="A188">
        <v>178</v>
      </c>
      <c r="B188">
        <v>1071111.7520246943</v>
      </c>
      <c r="C188">
        <v>89286.572673316332</v>
      </c>
      <c r="D188">
        <v>100897.7598226547</v>
      </c>
      <c r="E188">
        <v>74164.775005943098</v>
      </c>
      <c r="F188">
        <v>41134.484423488364</v>
      </c>
      <c r="G188">
        <v>10000</v>
      </c>
      <c r="H188">
        <v>295483.59192540252</v>
      </c>
      <c r="I188">
        <v>46.162692744025676</v>
      </c>
    </row>
    <row r="189" spans="1:9" x14ac:dyDescent="0.2">
      <c r="A189">
        <v>179</v>
      </c>
      <c r="B189">
        <v>1088779.4396041173</v>
      </c>
      <c r="C189">
        <v>87442.165221605959</v>
      </c>
      <c r="D189">
        <v>98212.282828550422</v>
      </c>
      <c r="E189">
        <v>82929.904041650938</v>
      </c>
      <c r="F189">
        <v>41741.301049037371</v>
      </c>
      <c r="G189">
        <v>10000</v>
      </c>
      <c r="H189">
        <v>300325.65314084466</v>
      </c>
      <c r="I189">
        <v>31.228728448055239</v>
      </c>
    </row>
    <row r="190" spans="1:9" x14ac:dyDescent="0.2">
      <c r="A190">
        <v>180</v>
      </c>
      <c r="B190">
        <v>1599521.0912954607</v>
      </c>
      <c r="C190">
        <v>120922.55543816216</v>
      </c>
      <c r="D190">
        <v>82045.03328255027</v>
      </c>
      <c r="E190">
        <v>197650.0401079783</v>
      </c>
      <c r="F190">
        <v>49683.46431516773</v>
      </c>
      <c r="G190">
        <v>10000</v>
      </c>
      <c r="H190">
        <v>440301.09314385848</v>
      </c>
      <c r="I190">
        <v>31.893638105712956</v>
      </c>
    </row>
    <row r="191" spans="1:9" x14ac:dyDescent="0.2">
      <c r="A191">
        <v>181</v>
      </c>
      <c r="B191">
        <v>1276738.6408438706</v>
      </c>
      <c r="C191">
        <v>112358.19807392226</v>
      </c>
      <c r="D191">
        <v>72707.120307297708</v>
      </c>
      <c r="E191">
        <v>131658.21639626814</v>
      </c>
      <c r="F191">
        <v>45114.799596664714</v>
      </c>
      <c r="G191">
        <v>10000</v>
      </c>
      <c r="H191">
        <v>351838.33437415282</v>
      </c>
      <c r="I191">
        <v>51.719757031277453</v>
      </c>
    </row>
    <row r="192" spans="1:9" x14ac:dyDescent="0.2">
      <c r="A192">
        <v>182</v>
      </c>
      <c r="B192">
        <v>1268498.8548821667</v>
      </c>
      <c r="C192">
        <v>116376.97142172347</v>
      </c>
      <c r="D192">
        <v>147963.20961553798</v>
      </c>
      <c r="E192">
        <v>55404.253004517341</v>
      </c>
      <c r="F192">
        <v>39835.679054158893</v>
      </c>
      <c r="G192">
        <v>10000</v>
      </c>
      <c r="H192">
        <v>349580.1130959377</v>
      </c>
      <c r="I192">
        <v>41.322445518425077</v>
      </c>
    </row>
    <row r="193" spans="1:9" x14ac:dyDescent="0.2">
      <c r="A193">
        <v>183</v>
      </c>
      <c r="B193">
        <v>1465256.1279774851</v>
      </c>
      <c r="C193">
        <v>119768.0587631333</v>
      </c>
      <c r="D193">
        <v>136086.13933040068</v>
      </c>
      <c r="E193">
        <v>113773.21582674881</v>
      </c>
      <c r="F193">
        <v>43876.60724954414</v>
      </c>
      <c r="G193">
        <v>10000</v>
      </c>
      <c r="H193">
        <v>403504.02116982691</v>
      </c>
      <c r="I193">
        <v>31.624199690740621</v>
      </c>
    </row>
    <row r="194" spans="1:9" x14ac:dyDescent="0.2">
      <c r="A194">
        <v>184</v>
      </c>
      <c r="B194">
        <v>1423367.1208699238</v>
      </c>
      <c r="C194">
        <v>87325.180601090848</v>
      </c>
      <c r="D194">
        <v>108391.6028295483</v>
      </c>
      <c r="E194">
        <v>159279.93425339268</v>
      </c>
      <c r="F194">
        <v>47027.072371388727</v>
      </c>
      <c r="G194">
        <v>10000</v>
      </c>
      <c r="H194">
        <v>392023.79005542054</v>
      </c>
      <c r="I194">
        <v>52.841805243899806</v>
      </c>
    </row>
    <row r="195" spans="1:9" x14ac:dyDescent="0.2">
      <c r="A195">
        <v>185</v>
      </c>
      <c r="B195">
        <v>1466850.3134665787</v>
      </c>
      <c r="C195">
        <v>133381.59946091392</v>
      </c>
      <c r="D195">
        <v>108197.09367659059</v>
      </c>
      <c r="E195">
        <v>127533.02595885948</v>
      </c>
      <c r="F195">
        <v>44829.209489459507</v>
      </c>
      <c r="G195">
        <v>10000</v>
      </c>
      <c r="H195">
        <v>403940.92858582351</v>
      </c>
      <c r="I195">
        <v>27.472659571620895</v>
      </c>
    </row>
    <row r="196" spans="1:9" x14ac:dyDescent="0.2">
      <c r="A196">
        <v>186</v>
      </c>
      <c r="B196">
        <v>1511226.5613088352</v>
      </c>
      <c r="C196">
        <v>149656.55888789037</v>
      </c>
      <c r="D196">
        <v>66363.754631912365</v>
      </c>
      <c r="E196">
        <v>162810.97784916591</v>
      </c>
      <c r="F196">
        <v>47271.529235711489</v>
      </c>
      <c r="G196">
        <v>10000</v>
      </c>
      <c r="H196">
        <v>416102.82060468016</v>
      </c>
      <c r="I196">
        <v>37.027859658546035</v>
      </c>
    </row>
    <row r="197" spans="1:9" x14ac:dyDescent="0.2">
      <c r="A197">
        <v>187</v>
      </c>
      <c r="B197">
        <v>1039661.359376464</v>
      </c>
      <c r="C197">
        <v>108472.5758057417</v>
      </c>
      <c r="D197">
        <v>111135.81121155173</v>
      </c>
      <c r="E197">
        <v>38584.573145498223</v>
      </c>
      <c r="F197">
        <v>38671.239679303726</v>
      </c>
      <c r="G197">
        <v>10000</v>
      </c>
      <c r="H197">
        <v>286864.19984209538</v>
      </c>
      <c r="I197">
        <v>45.027614289216771</v>
      </c>
    </row>
    <row r="198" spans="1:9" x14ac:dyDescent="0.2">
      <c r="A198">
        <v>188</v>
      </c>
      <c r="B198">
        <v>1190042.7638212466</v>
      </c>
      <c r="C198">
        <v>107079.76756489425</v>
      </c>
      <c r="D198">
        <v>90069.963357904737</v>
      </c>
      <c r="E198">
        <v>98134.533458740189</v>
      </c>
      <c r="F198">
        <v>42793.929239451245</v>
      </c>
      <c r="G198">
        <v>10000</v>
      </c>
      <c r="H198">
        <v>328078.19362099044</v>
      </c>
      <c r="I198">
        <v>43.156071731072885</v>
      </c>
    </row>
    <row r="199" spans="1:9" x14ac:dyDescent="0.2">
      <c r="A199">
        <v>189</v>
      </c>
      <c r="B199">
        <v>1067779.1380305646</v>
      </c>
      <c r="C199">
        <v>134745.62766004808</v>
      </c>
      <c r="D199">
        <v>77820.168741099056</v>
      </c>
      <c r="E199">
        <v>52378.2616586613</v>
      </c>
      <c r="F199">
        <v>39626.187345599632</v>
      </c>
      <c r="G199">
        <v>10000</v>
      </c>
      <c r="H199">
        <v>294570.24540540809</v>
      </c>
      <c r="I199">
        <v>37.415071022781547</v>
      </c>
    </row>
    <row r="200" spans="1:9" x14ac:dyDescent="0.2">
      <c r="A200">
        <v>190</v>
      </c>
      <c r="B200">
        <v>1309024.7326149992</v>
      </c>
      <c r="C200">
        <v>88834.592819483223</v>
      </c>
      <c r="D200">
        <v>104698.96672607651</v>
      </c>
      <c r="E200">
        <v>132013.78529833298</v>
      </c>
      <c r="F200">
        <v>45139.415905269205</v>
      </c>
      <c r="G200">
        <v>10000</v>
      </c>
      <c r="H200">
        <v>360686.76074916194</v>
      </c>
      <c r="I200">
        <v>36.600245222506757</v>
      </c>
    </row>
    <row r="201" spans="1:9" x14ac:dyDescent="0.2">
      <c r="A201">
        <v>191</v>
      </c>
      <c r="B201">
        <v>1649723.8087833505</v>
      </c>
      <c r="C201">
        <v>167553.04646075639</v>
      </c>
      <c r="D201">
        <v>140498.43759830692</v>
      </c>
      <c r="E201">
        <v>112237.99846223631</v>
      </c>
      <c r="F201">
        <v>43770.322970462519</v>
      </c>
      <c r="G201">
        <v>10000</v>
      </c>
      <c r="H201">
        <v>454059.80549176212</v>
      </c>
      <c r="I201">
        <v>40.754160591474253</v>
      </c>
    </row>
    <row r="202" spans="1:9" x14ac:dyDescent="0.2">
      <c r="A202">
        <v>192</v>
      </c>
      <c r="B202">
        <v>959230.1902491136</v>
      </c>
      <c r="C202">
        <v>91856.532739244067</v>
      </c>
      <c r="D202">
        <v>106977.27693486732</v>
      </c>
      <c r="E202">
        <v>37398.077035852104</v>
      </c>
      <c r="F202">
        <v>38589.097640943612</v>
      </c>
      <c r="G202">
        <v>10000</v>
      </c>
      <c r="H202">
        <v>264820.98435090709</v>
      </c>
      <c r="I202">
        <v>30.92167104676161</v>
      </c>
    </row>
    <row r="203" spans="1:9" x14ac:dyDescent="0.2">
      <c r="A203">
        <v>193</v>
      </c>
      <c r="B203">
        <v>1441186.1368994059</v>
      </c>
      <c r="C203">
        <v>125084.874268315</v>
      </c>
      <c r="D203">
        <v>81018.117124795564</v>
      </c>
      <c r="E203">
        <v>154133.5492433981</v>
      </c>
      <c r="F203">
        <v>46670.784178389098</v>
      </c>
      <c r="G203">
        <v>10000</v>
      </c>
      <c r="H203">
        <v>396907.32481489779</v>
      </c>
      <c r="I203">
        <v>37.092499551570285</v>
      </c>
    </row>
    <row r="204" spans="1:9" x14ac:dyDescent="0.2">
      <c r="A204">
        <v>194</v>
      </c>
      <c r="B204">
        <v>1508025.3742451305</v>
      </c>
      <c r="C204">
        <v>95490.138635106297</v>
      </c>
      <c r="D204">
        <v>157654.83588100746</v>
      </c>
      <c r="E204">
        <v>127269.54999467057</v>
      </c>
      <c r="F204">
        <v>44810.968845784882</v>
      </c>
      <c r="G204">
        <v>10000</v>
      </c>
      <c r="H204">
        <v>415225.4933565692</v>
      </c>
      <c r="I204">
        <v>34.800849853891776</v>
      </c>
    </row>
    <row r="205" spans="1:9" x14ac:dyDescent="0.2">
      <c r="A205">
        <v>195</v>
      </c>
      <c r="B205">
        <v>894802.50386438635</v>
      </c>
      <c r="C205">
        <v>115555.98103624531</v>
      </c>
      <c r="D205">
        <v>76338.232960361245</v>
      </c>
      <c r="E205">
        <v>27374.37023456765</v>
      </c>
      <c r="F205">
        <v>37895.148708546985</v>
      </c>
      <c r="G205">
        <v>10000</v>
      </c>
      <c r="H205">
        <v>247163.7329397212</v>
      </c>
      <c r="I205">
        <v>37.240827156317927</v>
      </c>
    </row>
    <row r="206" spans="1:9" x14ac:dyDescent="0.2">
      <c r="A206">
        <v>196</v>
      </c>
      <c r="B206">
        <v>1300235.4680981515</v>
      </c>
      <c r="C206">
        <v>138945.69704531075</v>
      </c>
      <c r="D206">
        <v>48486.327096766385</v>
      </c>
      <c r="E206">
        <v>135467.41049853535</v>
      </c>
      <c r="F206">
        <v>45378.513034513991</v>
      </c>
      <c r="G206">
        <v>10000</v>
      </c>
      <c r="H206">
        <v>358277.94767512643</v>
      </c>
      <c r="I206">
        <v>24.80323122531194</v>
      </c>
    </row>
    <row r="207" spans="1:9" x14ac:dyDescent="0.2">
      <c r="A207">
        <v>197</v>
      </c>
      <c r="B207">
        <v>945939.99534811953</v>
      </c>
      <c r="C207">
        <v>140249.77921444844</v>
      </c>
      <c r="D207">
        <v>57796.657951922163</v>
      </c>
      <c r="E207">
        <v>34727.952326336279</v>
      </c>
      <c r="F207">
        <v>38404.242853361742</v>
      </c>
      <c r="G207">
        <v>10000</v>
      </c>
      <c r="H207">
        <v>261178.63234606863</v>
      </c>
      <c r="I207">
        <v>37.034062567435157</v>
      </c>
    </row>
    <row r="208" spans="1:9" x14ac:dyDescent="0.2">
      <c r="A208">
        <v>198</v>
      </c>
      <c r="B208">
        <v>1101355.2815767638</v>
      </c>
      <c r="C208">
        <v>122859.63461959545</v>
      </c>
      <c r="D208">
        <v>38650.004928998933</v>
      </c>
      <c r="E208">
        <v>108734.794363611</v>
      </c>
      <c r="F208">
        <v>43527.793455942301</v>
      </c>
      <c r="G208">
        <v>10000</v>
      </c>
      <c r="H208">
        <v>303772.22736814769</v>
      </c>
      <c r="I208">
        <v>34.769981329294183</v>
      </c>
    </row>
    <row r="209" spans="1:9" x14ac:dyDescent="0.2">
      <c r="A209">
        <v>199</v>
      </c>
      <c r="B209">
        <v>1187455.9205765398</v>
      </c>
      <c r="C209">
        <v>105627.66741239587</v>
      </c>
      <c r="D209">
        <v>129442.99967327388</v>
      </c>
      <c r="E209">
        <v>62005.855205584441</v>
      </c>
      <c r="F209">
        <v>40292.713052694307</v>
      </c>
      <c r="G209">
        <v>10000</v>
      </c>
      <c r="H209">
        <v>327369.23534394847</v>
      </c>
      <c r="I209">
        <v>32.943495605904872</v>
      </c>
    </row>
    <row r="210" spans="1:9" x14ac:dyDescent="0.2">
      <c r="A210">
        <v>200</v>
      </c>
      <c r="B210">
        <v>1784719.813167138</v>
      </c>
      <c r="C210">
        <v>137329.38930942595</v>
      </c>
      <c r="D210">
        <v>129757.02072352506</v>
      </c>
      <c r="E210">
        <v>185152.56435753172</v>
      </c>
      <c r="F210">
        <v>48818.254455521434</v>
      </c>
      <c r="G210">
        <v>10000</v>
      </c>
      <c r="H210">
        <v>491057.22884600417</v>
      </c>
      <c r="I210">
        <v>34.937538457015975</v>
      </c>
    </row>
    <row r="211" spans="1:9" x14ac:dyDescent="0.2">
      <c r="A211">
        <v>201</v>
      </c>
      <c r="B211">
        <v>1493880.8424149202</v>
      </c>
      <c r="C211">
        <v>118490.34294937033</v>
      </c>
      <c r="D211">
        <v>65613.580559110735</v>
      </c>
      <c r="E211">
        <v>188214.81892198516</v>
      </c>
      <c r="F211">
        <v>49030.256694598975</v>
      </c>
      <c r="G211">
        <v>10000</v>
      </c>
      <c r="H211">
        <v>411348.99912506522</v>
      </c>
      <c r="I211">
        <v>40.410750092551368</v>
      </c>
    </row>
    <row r="212" spans="1:9" x14ac:dyDescent="0.2">
      <c r="A212">
        <v>202</v>
      </c>
      <c r="B212">
        <v>1332896.6997379477</v>
      </c>
      <c r="C212">
        <v>88150.066706869169</v>
      </c>
      <c r="D212">
        <v>70303.35474956721</v>
      </c>
      <c r="E212">
        <v>170941.36256504263</v>
      </c>
      <c r="F212">
        <v>47834.402023733717</v>
      </c>
      <c r="G212">
        <v>10000</v>
      </c>
      <c r="H212">
        <v>367229.18604521273</v>
      </c>
      <c r="I212">
        <v>28.590098905868974</v>
      </c>
    </row>
    <row r="213" spans="1:9" x14ac:dyDescent="0.2">
      <c r="A213">
        <v>203</v>
      </c>
      <c r="B213">
        <v>1216233.0105620762</v>
      </c>
      <c r="C213">
        <v>100039.75454329957</v>
      </c>
      <c r="D213">
        <v>62202.701198876508</v>
      </c>
      <c r="E213">
        <v>137494.65718962211</v>
      </c>
      <c r="F213">
        <v>45518.860882358451</v>
      </c>
      <c r="G213">
        <v>10000</v>
      </c>
      <c r="H213">
        <v>335255.97381415666</v>
      </c>
      <c r="I213">
        <v>45.729814946493818</v>
      </c>
    </row>
    <row r="214" spans="1:9" x14ac:dyDescent="0.2">
      <c r="A214">
        <v>204</v>
      </c>
      <c r="B214">
        <v>936723.99596244318</v>
      </c>
      <c r="C214">
        <v>114435.85339629903</v>
      </c>
      <c r="D214">
        <v>76791.510986313559</v>
      </c>
      <c r="E214">
        <v>38743.275821077797</v>
      </c>
      <c r="F214">
        <v>38682.226787613079</v>
      </c>
      <c r="G214">
        <v>10000</v>
      </c>
      <c r="H214">
        <v>258652.86699130345</v>
      </c>
      <c r="I214">
        <v>32.319310758367706</v>
      </c>
    </row>
    <row r="215" spans="1:9" x14ac:dyDescent="0.2">
      <c r="A215">
        <v>205</v>
      </c>
      <c r="B215">
        <v>867003.12630157883</v>
      </c>
      <c r="C215">
        <v>108658.99625481876</v>
      </c>
      <c r="D215">
        <v>33728.242089447296</v>
      </c>
      <c r="E215">
        <v>66550.377214859458</v>
      </c>
      <c r="F215">
        <v>40607.333807182578</v>
      </c>
      <c r="G215">
        <v>10000</v>
      </c>
      <c r="H215">
        <v>239544.94936630808</v>
      </c>
      <c r="I215">
        <v>45.656908191544815</v>
      </c>
    </row>
    <row r="216" spans="1:9" x14ac:dyDescent="0.2">
      <c r="A216">
        <v>206</v>
      </c>
      <c r="B216">
        <v>1474078.3096653852</v>
      </c>
      <c r="C216">
        <v>83124.235687889784</v>
      </c>
      <c r="D216">
        <v>167143.5248800792</v>
      </c>
      <c r="E216">
        <v>121259.22559363728</v>
      </c>
      <c r="F216">
        <v>44394.869464174895</v>
      </c>
      <c r="G216">
        <v>10000</v>
      </c>
      <c r="H216">
        <v>405921.85562578117</v>
      </c>
      <c r="I216">
        <v>36.071317277352961</v>
      </c>
    </row>
    <row r="217" spans="1:9" x14ac:dyDescent="0.2">
      <c r="A217">
        <v>207</v>
      </c>
      <c r="B217">
        <v>1907138.5119886135</v>
      </c>
      <c r="C217">
        <v>149717.72587479404</v>
      </c>
      <c r="D217">
        <v>150510.45634629144</v>
      </c>
      <c r="E217">
        <v>185534.77915591313</v>
      </c>
      <c r="F217">
        <v>48844.715480024752</v>
      </c>
      <c r="G217">
        <v>10000</v>
      </c>
      <c r="H217">
        <v>524607.67685702327</v>
      </c>
      <c r="I217">
        <v>32.717711007571438</v>
      </c>
    </row>
    <row r="218" spans="1:9" x14ac:dyDescent="0.2">
      <c r="A218">
        <v>208</v>
      </c>
      <c r="B218">
        <v>1063576.2368203753</v>
      </c>
      <c r="C218">
        <v>70822.473827709779</v>
      </c>
      <c r="D218">
        <v>87327.713401706729</v>
      </c>
      <c r="E218">
        <v>102193.27874645317</v>
      </c>
      <c r="F218">
        <v>43074.919297831373</v>
      </c>
      <c r="G218">
        <v>10000</v>
      </c>
      <c r="H218">
        <v>293418.38527370105</v>
      </c>
      <c r="I218">
        <v>29.59981186186085</v>
      </c>
    </row>
    <row r="219" spans="1:9" x14ac:dyDescent="0.2">
      <c r="A219">
        <v>209</v>
      </c>
      <c r="B219">
        <v>1566461.4213781531</v>
      </c>
      <c r="C219">
        <v>82092.633371504024</v>
      </c>
      <c r="D219">
        <v>107275.0438742025</v>
      </c>
      <c r="E219">
        <v>201895.59308525722</v>
      </c>
      <c r="F219">
        <v>49977.387213594731</v>
      </c>
      <c r="G219">
        <v>10000</v>
      </c>
      <c r="H219">
        <v>431240.65754455852</v>
      </c>
      <c r="I219">
        <v>38.962507999374282</v>
      </c>
    </row>
    <row r="220" spans="1:9" x14ac:dyDescent="0.2">
      <c r="A220">
        <v>210</v>
      </c>
      <c r="B220">
        <v>1453404.1606373838</v>
      </c>
      <c r="C220">
        <v>80964.952780581094</v>
      </c>
      <c r="D220">
        <v>92001.685018422068</v>
      </c>
      <c r="E220">
        <v>188256.08302839202</v>
      </c>
      <c r="F220">
        <v>49033.113440427143</v>
      </c>
      <c r="G220">
        <v>10000</v>
      </c>
      <c r="H220">
        <v>400255.83426782233</v>
      </c>
      <c r="I220">
        <v>36.774063463463833</v>
      </c>
    </row>
    <row r="221" spans="1:9" x14ac:dyDescent="0.2">
      <c r="A221">
        <v>211</v>
      </c>
      <c r="B221">
        <v>914659.8789497409</v>
      </c>
      <c r="C221">
        <v>97591.639784021565</v>
      </c>
      <c r="D221">
        <v>76550.658635494896</v>
      </c>
      <c r="E221">
        <v>49066.684002892842</v>
      </c>
      <c r="F221">
        <v>39396.924277123355</v>
      </c>
      <c r="G221">
        <v>10000</v>
      </c>
      <c r="H221">
        <v>252605.90669953264</v>
      </c>
      <c r="I221">
        <v>27.149183022135958</v>
      </c>
    </row>
    <row r="222" spans="1:9" x14ac:dyDescent="0.2">
      <c r="A222">
        <v>212</v>
      </c>
      <c r="B222">
        <v>946620.89765574504</v>
      </c>
      <c r="C222">
        <v>132456.60921151107</v>
      </c>
      <c r="D222">
        <v>51201.91771988968</v>
      </c>
      <c r="E222">
        <v>48358.79877326564</v>
      </c>
      <c r="F222">
        <v>39347.916838149162</v>
      </c>
      <c r="G222">
        <v>10000</v>
      </c>
      <c r="H222">
        <v>261365.24254281557</v>
      </c>
      <c r="I222">
        <v>30.649184005225827</v>
      </c>
    </row>
    <row r="223" spans="1:9" x14ac:dyDescent="0.2">
      <c r="A223">
        <v>213</v>
      </c>
      <c r="B223">
        <v>1558726.1220568747</v>
      </c>
      <c r="C223">
        <v>148454.78152069825</v>
      </c>
      <c r="D223">
        <v>95126.671575056767</v>
      </c>
      <c r="E223">
        <v>149209.36521270711</v>
      </c>
      <c r="F223">
        <v>46329.879130110494</v>
      </c>
      <c r="G223">
        <v>10000</v>
      </c>
      <c r="H223">
        <v>429120.69743857265</v>
      </c>
      <c r="I223">
        <v>27.970873454534296</v>
      </c>
    </row>
    <row r="224" spans="1:9" x14ac:dyDescent="0.2">
      <c r="A224">
        <v>214</v>
      </c>
      <c r="B224">
        <v>1612490.2282789156</v>
      </c>
      <c r="C224">
        <v>159817.33953883644</v>
      </c>
      <c r="D224">
        <v>71702.757018304546</v>
      </c>
      <c r="E224">
        <v>174270.47913863845</v>
      </c>
      <c r="F224">
        <v>48064.879324982663</v>
      </c>
      <c r="G224">
        <v>10000</v>
      </c>
      <c r="H224">
        <v>443855.45502076205</v>
      </c>
      <c r="I224">
        <v>31.527823420664731</v>
      </c>
    </row>
    <row r="225" spans="1:9" x14ac:dyDescent="0.2">
      <c r="A225">
        <v>215</v>
      </c>
      <c r="B225">
        <v>1527475.8907385729</v>
      </c>
      <c r="C225">
        <v>161157.81176798727</v>
      </c>
      <c r="D225">
        <v>106129.42871217143</v>
      </c>
      <c r="E225">
        <v>119028.48792979178</v>
      </c>
      <c r="F225">
        <v>44240.433779754814</v>
      </c>
      <c r="G225">
        <v>10000</v>
      </c>
      <c r="H225">
        <v>420556.1621897053</v>
      </c>
      <c r="I225">
        <v>26.451312749309139</v>
      </c>
    </row>
    <row r="226" spans="1:9" x14ac:dyDescent="0.2">
      <c r="A226">
        <v>216</v>
      </c>
      <c r="B226">
        <v>1002491.2486299153</v>
      </c>
      <c r="C226">
        <v>106307.95669805165</v>
      </c>
      <c r="D226">
        <v>109613.16520412601</v>
      </c>
      <c r="E226">
        <v>32505.725786847699</v>
      </c>
      <c r="F226">
        <v>38250.396400627913</v>
      </c>
      <c r="G226">
        <v>10000</v>
      </c>
      <c r="H226">
        <v>276677.24408965325</v>
      </c>
      <c r="I226">
        <v>36.064065226608228</v>
      </c>
    </row>
    <row r="227" spans="1:9" x14ac:dyDescent="0.2">
      <c r="A227">
        <v>217</v>
      </c>
      <c r="B227">
        <v>1198793.2678714367</v>
      </c>
      <c r="C227">
        <v>100964.26566002378</v>
      </c>
      <c r="D227">
        <v>151009.34062248457</v>
      </c>
      <c r="E227">
        <v>49103.317178822901</v>
      </c>
      <c r="F227">
        <v>39399.460420072355</v>
      </c>
      <c r="G227">
        <v>10000</v>
      </c>
      <c r="H227">
        <v>330476.3838814036</v>
      </c>
      <c r="I227">
        <v>39.917172049057008</v>
      </c>
    </row>
    <row r="228" spans="1:9" x14ac:dyDescent="0.2">
      <c r="A228">
        <v>218</v>
      </c>
      <c r="B228">
        <v>1316167.0140353143</v>
      </c>
      <c r="C228">
        <v>121688.46741726562</v>
      </c>
      <c r="D228">
        <v>128173.00883244128</v>
      </c>
      <c r="E228">
        <v>81163.695227361866</v>
      </c>
      <c r="F228">
        <v>41619.025054201978</v>
      </c>
      <c r="G228">
        <v>10000</v>
      </c>
      <c r="H228">
        <v>362644.19653127075</v>
      </c>
      <c r="I228">
        <v>32.304965271998967</v>
      </c>
    </row>
    <row r="229" spans="1:9" x14ac:dyDescent="0.2">
      <c r="A229">
        <v>219</v>
      </c>
      <c r="B229">
        <v>1046698.0326341763</v>
      </c>
      <c r="C229">
        <v>118075.03165215626</v>
      </c>
      <c r="D229">
        <v>100089.19562608875</v>
      </c>
      <c r="E229">
        <v>41738.852200925518</v>
      </c>
      <c r="F229">
        <v>38889.612844679461</v>
      </c>
      <c r="G229">
        <v>10000</v>
      </c>
      <c r="H229">
        <v>288792.69232385</v>
      </c>
      <c r="I229">
        <v>25.367129137912777</v>
      </c>
    </row>
    <row r="230" spans="1:9" x14ac:dyDescent="0.2">
      <c r="A230">
        <v>220</v>
      </c>
      <c r="B230">
        <v>1258345.9054153594</v>
      </c>
      <c r="C230">
        <v>138951.93336634923</v>
      </c>
      <c r="D230">
        <v>78964.314057000331</v>
      </c>
      <c r="E230">
        <v>96219.936645403679</v>
      </c>
      <c r="F230">
        <v>42661.380229297174</v>
      </c>
      <c r="G230">
        <v>10000</v>
      </c>
      <c r="H230">
        <v>346797.56429805042</v>
      </c>
      <c r="I230">
        <v>37.794365364564655</v>
      </c>
    </row>
    <row r="231" spans="1:9" x14ac:dyDescent="0.2">
      <c r="A231">
        <v>221</v>
      </c>
      <c r="B231">
        <v>1687234.8660658021</v>
      </c>
      <c r="C231">
        <v>127611.83183084757</v>
      </c>
      <c r="D231">
        <v>106006.85300009641</v>
      </c>
      <c r="E231">
        <v>191466.16723802878</v>
      </c>
      <c r="F231">
        <v>49255.350039555837</v>
      </c>
      <c r="G231">
        <v>10000</v>
      </c>
      <c r="H231">
        <v>464340.20210852858</v>
      </c>
      <c r="I231">
        <v>30.000896309242165</v>
      </c>
    </row>
    <row r="232" spans="1:9" x14ac:dyDescent="0.2">
      <c r="A232">
        <v>222</v>
      </c>
      <c r="B232">
        <v>1613952.8343808211</v>
      </c>
      <c r="C232">
        <v>101631.94324542084</v>
      </c>
      <c r="D232">
        <v>119085.42945113863</v>
      </c>
      <c r="E232">
        <v>184748.63833899674</v>
      </c>
      <c r="F232">
        <v>48790.290346545924</v>
      </c>
      <c r="G232">
        <v>10000</v>
      </c>
      <c r="H232">
        <v>444256.30138210213</v>
      </c>
      <c r="I232">
        <v>26.68291862007036</v>
      </c>
    </row>
    <row r="233" spans="1:9" x14ac:dyDescent="0.2">
      <c r="A233">
        <v>223</v>
      </c>
      <c r="B233">
        <v>1689469.7766091095</v>
      </c>
      <c r="C233">
        <v>116563.79168994057</v>
      </c>
      <c r="D233">
        <v>128805.94280081615</v>
      </c>
      <c r="E233">
        <v>181048.82472395778</v>
      </c>
      <c r="F233">
        <v>48534.149403966308</v>
      </c>
      <c r="G233">
        <v>10000</v>
      </c>
      <c r="H233">
        <v>464952.70861868077</v>
      </c>
      <c r="I233">
        <v>31.77785010673761</v>
      </c>
    </row>
    <row r="234" spans="1:9" x14ac:dyDescent="0.2">
      <c r="A234">
        <v>224</v>
      </c>
      <c r="B234">
        <v>1153543.3715103348</v>
      </c>
      <c r="C234">
        <v>113506.71801613508</v>
      </c>
      <c r="D234">
        <v>117150.59964586141</v>
      </c>
      <c r="E234">
        <v>57441.051218498054</v>
      </c>
      <c r="F234">
        <v>39976.688161280639</v>
      </c>
      <c r="G234">
        <v>10000</v>
      </c>
      <c r="H234">
        <v>318075.0570417752</v>
      </c>
      <c r="I234">
        <v>31.728807148335889</v>
      </c>
    </row>
    <row r="235" spans="1:9" x14ac:dyDescent="0.2">
      <c r="A235">
        <v>225</v>
      </c>
      <c r="B235">
        <v>1631479.31464017</v>
      </c>
      <c r="C235">
        <v>142121.53610166925</v>
      </c>
      <c r="D235">
        <v>79736.342328698855</v>
      </c>
      <c r="E235">
        <v>188174.33078187847</v>
      </c>
      <c r="F235">
        <v>49027.45366951466</v>
      </c>
      <c r="G235">
        <v>10000</v>
      </c>
      <c r="H235">
        <v>449059.66288176127</v>
      </c>
      <c r="I235">
        <v>43.325554158176075</v>
      </c>
    </row>
    <row r="236" spans="1:9" x14ac:dyDescent="0.2">
      <c r="A236">
        <v>226</v>
      </c>
      <c r="B236">
        <v>1215881.1742445598</v>
      </c>
      <c r="C236">
        <v>101290.9912267012</v>
      </c>
      <c r="D236">
        <v>62620.645267895619</v>
      </c>
      <c r="E236">
        <v>135843.37090526376</v>
      </c>
      <c r="F236">
        <v>45404.541062672106</v>
      </c>
      <c r="G236">
        <v>10000</v>
      </c>
      <c r="H236">
        <v>335159.54846253264</v>
      </c>
      <c r="I236">
        <v>26.87719739120125</v>
      </c>
    </row>
    <row r="237" spans="1:9" x14ac:dyDescent="0.2">
      <c r="A237">
        <v>227</v>
      </c>
      <c r="B237">
        <v>1347811.0909862372</v>
      </c>
      <c r="C237">
        <v>100326.87465965464</v>
      </c>
      <c r="D237">
        <v>113927.59433524629</v>
      </c>
      <c r="E237">
        <v>122576.15952657963</v>
      </c>
      <c r="F237">
        <v>44486.041813378586</v>
      </c>
      <c r="G237">
        <v>10000</v>
      </c>
      <c r="H237">
        <v>371316.67033485917</v>
      </c>
      <c r="I237">
        <v>41.900366835655291</v>
      </c>
    </row>
    <row r="238" spans="1:9" x14ac:dyDescent="0.2">
      <c r="A238">
        <v>228</v>
      </c>
      <c r="B238">
        <v>1564315.2673883766</v>
      </c>
      <c r="C238">
        <v>112108.63500833492</v>
      </c>
      <c r="D238">
        <v>146795.73854900149</v>
      </c>
      <c r="E238">
        <v>136311.17488142275</v>
      </c>
      <c r="F238">
        <v>45436.927491790804</v>
      </c>
      <c r="G238">
        <v>10000</v>
      </c>
      <c r="H238">
        <v>430652.47593054996</v>
      </c>
      <c r="I238">
        <v>28.566998584278053</v>
      </c>
    </row>
    <row r="239" spans="1:9" x14ac:dyDescent="0.2">
      <c r="A239">
        <v>229</v>
      </c>
      <c r="B239">
        <v>1287196.5947219974</v>
      </c>
      <c r="C239">
        <v>150504.27680155181</v>
      </c>
      <c r="D239">
        <v>59528.699881001405</v>
      </c>
      <c r="E239">
        <v>110987.73095458883</v>
      </c>
      <c r="F239">
        <v>43683.76598916384</v>
      </c>
      <c r="G239">
        <v>10000</v>
      </c>
      <c r="H239">
        <v>354704.47362630587</v>
      </c>
      <c r="I239">
        <v>52.245274106994323</v>
      </c>
    </row>
    <row r="240" spans="1:9" x14ac:dyDescent="0.2">
      <c r="A240">
        <v>230</v>
      </c>
      <c r="B240">
        <v>1021777.4675546166</v>
      </c>
      <c r="C240">
        <v>82922.71643333562</v>
      </c>
      <c r="D240">
        <v>103876.06002462799</v>
      </c>
      <c r="E240">
        <v>64685.856930293725</v>
      </c>
      <c r="F240">
        <v>40478.251633635722</v>
      </c>
      <c r="G240">
        <v>10000</v>
      </c>
      <c r="H240">
        <v>281962.88502189307</v>
      </c>
      <c r="I240">
        <v>34.006028633174161</v>
      </c>
    </row>
    <row r="241" spans="1:9" x14ac:dyDescent="0.2">
      <c r="A241">
        <v>231</v>
      </c>
      <c r="B241">
        <v>1609258.2654203952</v>
      </c>
      <c r="C241">
        <v>154007.14327702363</v>
      </c>
      <c r="D241">
        <v>59579.603301365685</v>
      </c>
      <c r="E241">
        <v>190214.26668339327</v>
      </c>
      <c r="F241">
        <v>49168.680001157998</v>
      </c>
      <c r="G241">
        <v>10000</v>
      </c>
      <c r="H241">
        <v>442969.69326294056</v>
      </c>
      <c r="I241">
        <v>31.759761917167864</v>
      </c>
    </row>
    <row r="242" spans="1:9" x14ac:dyDescent="0.2">
      <c r="A242">
        <v>232</v>
      </c>
      <c r="B242">
        <v>1445940.7469775137</v>
      </c>
      <c r="C242">
        <v>139239.69759031097</v>
      </c>
      <c r="D242">
        <v>77854.512073394173</v>
      </c>
      <c r="E242">
        <v>145072.68476453025</v>
      </c>
      <c r="F242">
        <v>46043.493560621326</v>
      </c>
      <c r="G242">
        <v>10000</v>
      </c>
      <c r="H242">
        <v>398210.3879888567</v>
      </c>
      <c r="I242">
        <v>35.290573504661843</v>
      </c>
    </row>
    <row r="243" spans="1:9" x14ac:dyDescent="0.2">
      <c r="A243">
        <v>233</v>
      </c>
      <c r="B243">
        <v>1365555.5034762002</v>
      </c>
      <c r="C243">
        <v>103118.75012168917</v>
      </c>
      <c r="D243">
        <v>101616.30171357465</v>
      </c>
      <c r="E243">
        <v>136027.42398299099</v>
      </c>
      <c r="F243">
        <v>45417.283198822457</v>
      </c>
      <c r="G243">
        <v>10000</v>
      </c>
      <c r="H243">
        <v>376179.75901707727</v>
      </c>
      <c r="I243">
        <v>28.044702238577671</v>
      </c>
    </row>
    <row r="244" spans="1:9" x14ac:dyDescent="0.2">
      <c r="A244">
        <v>234</v>
      </c>
      <c r="B244">
        <v>1304142.917652169</v>
      </c>
      <c r="C244">
        <v>96629.765935048868</v>
      </c>
      <c r="D244">
        <v>160519.21943130437</v>
      </c>
      <c r="E244">
        <v>71266.046803644756</v>
      </c>
      <c r="F244">
        <v>40933.803240252324</v>
      </c>
      <c r="G244">
        <v>10000</v>
      </c>
      <c r="H244">
        <v>359348.83541025029</v>
      </c>
      <c r="I244">
        <v>42.547961844910176</v>
      </c>
    </row>
    <row r="245" spans="1:9" x14ac:dyDescent="0.2">
      <c r="A245">
        <v>235</v>
      </c>
      <c r="B245">
        <v>811620.57064554165</v>
      </c>
      <c r="C245">
        <v>81519.356399599259</v>
      </c>
      <c r="D245">
        <v>44784.411114787967</v>
      </c>
      <c r="E245">
        <v>67396.925972900543</v>
      </c>
      <c r="F245">
        <v>40665.941028893118</v>
      </c>
      <c r="G245">
        <v>10000</v>
      </c>
      <c r="H245">
        <v>224366.6345161809</v>
      </c>
      <c r="I245">
        <v>24.242166266104377</v>
      </c>
    </row>
    <row r="246" spans="1:9" x14ac:dyDescent="0.2">
      <c r="A246">
        <v>236</v>
      </c>
      <c r="B246">
        <v>1493375.6704728915</v>
      </c>
      <c r="C246">
        <v>141118.53005255395</v>
      </c>
      <c r="D246">
        <v>83163.419690718074</v>
      </c>
      <c r="E246">
        <v>150508.76295812038</v>
      </c>
      <c r="F246">
        <v>46419.837435562185</v>
      </c>
      <c r="G246">
        <v>10000</v>
      </c>
      <c r="H246">
        <v>411210.55013695458</v>
      </c>
      <c r="I246">
        <v>39.928511751112111</v>
      </c>
    </row>
    <row r="247" spans="1:9" x14ac:dyDescent="0.2">
      <c r="A247">
        <v>237</v>
      </c>
      <c r="B247">
        <v>1267679.4234161286</v>
      </c>
      <c r="C247">
        <v>126203.85660088537</v>
      </c>
      <c r="D247">
        <v>46989.797609549678</v>
      </c>
      <c r="E247">
        <v>140439.17111203994</v>
      </c>
      <c r="F247">
        <v>45722.711846218146</v>
      </c>
      <c r="G247">
        <v>10000</v>
      </c>
      <c r="H247">
        <v>349355.53716869315</v>
      </c>
      <c r="I247">
        <v>44.654187203194894</v>
      </c>
    </row>
    <row r="248" spans="1:9" x14ac:dyDescent="0.2">
      <c r="A248">
        <v>238</v>
      </c>
      <c r="B248">
        <v>1793062.2932363241</v>
      </c>
      <c r="C248">
        <v>136641.12968706811</v>
      </c>
      <c r="D248">
        <v>150714.66744478673</v>
      </c>
      <c r="E248">
        <v>168333.91147846245</v>
      </c>
      <c r="F248">
        <v>47653.886179278168</v>
      </c>
      <c r="G248">
        <v>10000</v>
      </c>
      <c r="H248">
        <v>493343.59478959546</v>
      </c>
      <c r="I248">
        <v>49.719377479679352</v>
      </c>
    </row>
    <row r="249" spans="1:9" x14ac:dyDescent="0.2">
      <c r="A249">
        <v>239</v>
      </c>
      <c r="B249">
        <v>1861114.2278525392</v>
      </c>
      <c r="C249">
        <v>126230.42190517127</v>
      </c>
      <c r="D249">
        <v>139455.90205165694</v>
      </c>
      <c r="E249">
        <v>206043.26146112889</v>
      </c>
      <c r="F249">
        <v>50264.533485770466</v>
      </c>
      <c r="G249">
        <v>10000</v>
      </c>
      <c r="H249">
        <v>511994.11890372756</v>
      </c>
      <c r="I249">
        <v>44.97853195504166</v>
      </c>
    </row>
    <row r="250" spans="1:9" x14ac:dyDescent="0.2">
      <c r="A250">
        <v>240</v>
      </c>
      <c r="B250">
        <v>961584.1120287024</v>
      </c>
      <c r="C250">
        <v>118234.55334960856</v>
      </c>
      <c r="D250">
        <v>66042.68893141739</v>
      </c>
      <c r="E250">
        <v>51615.485409201305</v>
      </c>
      <c r="F250">
        <v>39573.379759098556</v>
      </c>
      <c r="G250">
        <v>10000</v>
      </c>
      <c r="H250">
        <v>265466.10744932579</v>
      </c>
      <c r="I250">
        <v>30.926573592893408</v>
      </c>
    </row>
    <row r="251" spans="1:9" x14ac:dyDescent="0.2">
      <c r="A251">
        <v>241</v>
      </c>
      <c r="B251">
        <v>992731.07654458669</v>
      </c>
      <c r="C251">
        <v>111291.6883118421</v>
      </c>
      <c r="D251">
        <v>72113.894766132595</v>
      </c>
      <c r="E251">
        <v>60414.23410099381</v>
      </c>
      <c r="F251">
        <v>40182.523899299573</v>
      </c>
      <c r="G251">
        <v>10000</v>
      </c>
      <c r="H251">
        <v>274002.34107826807</v>
      </c>
      <c r="I251">
        <v>33.400822854730066</v>
      </c>
    </row>
    <row r="252" spans="1:9" x14ac:dyDescent="0.2">
      <c r="A252">
        <v>242</v>
      </c>
      <c r="B252">
        <v>1353932.7039046704</v>
      </c>
      <c r="C252">
        <v>127327.08659259618</v>
      </c>
      <c r="D252">
        <v>118912.9083722574</v>
      </c>
      <c r="E252">
        <v>94230.718455304232</v>
      </c>
      <c r="F252">
        <v>42523.665123828752</v>
      </c>
      <c r="G252">
        <v>10000</v>
      </c>
      <c r="H252">
        <v>372994.37854398653</v>
      </c>
      <c r="I252">
        <v>43.034179527468552</v>
      </c>
    </row>
    <row r="253" spans="1:9" x14ac:dyDescent="0.2">
      <c r="A253">
        <v>243</v>
      </c>
      <c r="B253">
        <v>1269240.8367527681</v>
      </c>
      <c r="C253">
        <v>89680.403267492307</v>
      </c>
      <c r="D253">
        <v>55569.135378708459</v>
      </c>
      <c r="E253">
        <v>166974.17380651928</v>
      </c>
      <c r="F253">
        <v>47559.750494297485</v>
      </c>
      <c r="G253">
        <v>10000</v>
      </c>
      <c r="H253">
        <v>349783.46294701751</v>
      </c>
      <c r="I253">
        <v>29.373491075068898</v>
      </c>
    </row>
    <row r="254" spans="1:9" x14ac:dyDescent="0.2">
      <c r="A254">
        <v>244</v>
      </c>
      <c r="B254">
        <v>1015912.5055611792</v>
      </c>
      <c r="C254">
        <v>139660.29980804774</v>
      </c>
      <c r="D254">
        <v>70936.801434615438</v>
      </c>
      <c r="E254">
        <v>40925.135506084844</v>
      </c>
      <c r="F254">
        <v>38833.278611959715</v>
      </c>
      <c r="G254">
        <v>10000</v>
      </c>
      <c r="H254">
        <v>280355.51536070771</v>
      </c>
      <c r="I254">
        <v>36.048200018676027</v>
      </c>
    </row>
    <row r="255" spans="1:9" x14ac:dyDescent="0.2">
      <c r="A255">
        <v>245</v>
      </c>
      <c r="B255">
        <v>1487147.4760476002</v>
      </c>
      <c r="C255">
        <v>118672.29022466995</v>
      </c>
      <c r="D255">
        <v>117199.94912943109</v>
      </c>
      <c r="E255">
        <v>138072.52537432901</v>
      </c>
      <c r="F255">
        <v>45558.867141299706</v>
      </c>
      <c r="G255">
        <v>10000</v>
      </c>
      <c r="H255">
        <v>409503.63186972978</v>
      </c>
      <c r="I255">
        <v>32.530193864267275</v>
      </c>
    </row>
    <row r="256" spans="1:9" x14ac:dyDescent="0.2">
      <c r="A256">
        <v>246</v>
      </c>
      <c r="B256">
        <v>1124226.8183216236</v>
      </c>
      <c r="C256">
        <v>92680.305122314603</v>
      </c>
      <c r="D256">
        <v>79221.639319699781</v>
      </c>
      <c r="E256">
        <v>104877.75922573626</v>
      </c>
      <c r="F256">
        <v>43260.767946397129</v>
      </c>
      <c r="G256">
        <v>10000</v>
      </c>
      <c r="H256">
        <v>310040.47161414777</v>
      </c>
      <c r="I256">
        <v>29.030085443327849</v>
      </c>
    </row>
    <row r="257" spans="1:9" x14ac:dyDescent="0.2">
      <c r="A257">
        <v>247</v>
      </c>
      <c r="B257">
        <v>1606877.8797961767</v>
      </c>
      <c r="C257">
        <v>147780.3639973877</v>
      </c>
      <c r="D257">
        <v>64783.60081956764</v>
      </c>
      <c r="E257">
        <v>190560.68946731958</v>
      </c>
      <c r="F257">
        <v>49192.663116968273</v>
      </c>
      <c r="G257">
        <v>10000</v>
      </c>
      <c r="H257">
        <v>442317.3174012432</v>
      </c>
      <c r="I257">
        <v>36.897926440795153</v>
      </c>
    </row>
    <row r="258" spans="1:9" x14ac:dyDescent="0.2">
      <c r="A258">
        <v>248</v>
      </c>
      <c r="B258">
        <v>1408437.8919974226</v>
      </c>
      <c r="C258">
        <v>119701.50766619178</v>
      </c>
      <c r="D258">
        <v>72781.707130145209</v>
      </c>
      <c r="E258">
        <v>158477.50495065268</v>
      </c>
      <c r="F258">
        <v>46971.519573506725</v>
      </c>
      <c r="G258">
        <v>10000</v>
      </c>
      <c r="H258">
        <v>387932.23932049639</v>
      </c>
      <c r="I258">
        <v>34.272172284300311</v>
      </c>
    </row>
    <row r="259" spans="1:9" x14ac:dyDescent="0.2">
      <c r="A259">
        <v>249</v>
      </c>
      <c r="B259">
        <v>1269606.5364264676</v>
      </c>
      <c r="C259">
        <v>138176.92539891592</v>
      </c>
      <c r="D259">
        <v>91798.649303304584</v>
      </c>
      <c r="E259">
        <v>87827.731611523923</v>
      </c>
      <c r="F259">
        <v>42080.381419259349</v>
      </c>
      <c r="G259">
        <v>10000</v>
      </c>
      <c r="H259">
        <v>349883.68773300375</v>
      </c>
      <c r="I259">
        <v>38.555825432766085</v>
      </c>
    </row>
    <row r="260" spans="1:9" x14ac:dyDescent="0.2">
      <c r="A260">
        <v>250</v>
      </c>
      <c r="B260">
        <v>796598.47374663001</v>
      </c>
      <c r="C260">
        <v>102000.50456161945</v>
      </c>
      <c r="D260">
        <v>60211.05132691675</v>
      </c>
      <c r="E260">
        <v>29963.668382481999</v>
      </c>
      <c r="F260">
        <v>38074.407811094905</v>
      </c>
      <c r="G260">
        <v>10000</v>
      </c>
      <c r="H260">
        <v>220249.63208211312</v>
      </c>
      <c r="I260">
        <v>36.813112613127842</v>
      </c>
    </row>
    <row r="261" spans="1:9" x14ac:dyDescent="0.2">
      <c r="A261">
        <v>251</v>
      </c>
      <c r="B261">
        <v>1507562.2466614798</v>
      </c>
      <c r="C261">
        <v>146691.30567013059</v>
      </c>
      <c r="D261">
        <v>131116.22804141094</v>
      </c>
      <c r="E261">
        <v>104085.13921101201</v>
      </c>
      <c r="F261">
        <v>43205.894253070066</v>
      </c>
      <c r="G261">
        <v>10000</v>
      </c>
      <c r="H261">
        <v>415098.56717562361</v>
      </c>
      <c r="I261">
        <v>26.323566077788414</v>
      </c>
    </row>
    <row r="262" spans="1:9" x14ac:dyDescent="0.2">
      <c r="A262">
        <v>252</v>
      </c>
      <c r="B262">
        <v>1086816.5569238712</v>
      </c>
      <c r="C262">
        <v>83255.295734809144</v>
      </c>
      <c r="D262">
        <v>110375.81069596096</v>
      </c>
      <c r="E262">
        <v>74966.597769006286</v>
      </c>
      <c r="F262">
        <v>41189.995230161978</v>
      </c>
      <c r="G262">
        <v>10000</v>
      </c>
      <c r="H262">
        <v>299787.6994299384</v>
      </c>
      <c r="I262">
        <v>29.345892032458593</v>
      </c>
    </row>
    <row r="263" spans="1:9" x14ac:dyDescent="0.2">
      <c r="A263">
        <v>253</v>
      </c>
      <c r="B263">
        <v>1269795.3368844553</v>
      </c>
      <c r="C263">
        <v>106078.21225706185</v>
      </c>
      <c r="D263">
        <v>129021.3793614118</v>
      </c>
      <c r="E263">
        <v>83083.878531765178</v>
      </c>
      <c r="F263">
        <v>41751.960821429901</v>
      </c>
      <c r="G263">
        <v>10000</v>
      </c>
      <c r="H263">
        <v>349935.43097166874</v>
      </c>
      <c r="I263">
        <v>42.910049925441072</v>
      </c>
    </row>
    <row r="264" spans="1:9" x14ac:dyDescent="0.2">
      <c r="A264">
        <v>254</v>
      </c>
      <c r="B264">
        <v>1245708.7545645819</v>
      </c>
      <c r="C264">
        <v>115940.29029318721</v>
      </c>
      <c r="D264">
        <v>74743.371252762387</v>
      </c>
      <c r="E264">
        <v>118450.13225232768</v>
      </c>
      <c r="F264">
        <v>44200.393771314986</v>
      </c>
      <c r="G264">
        <v>10000</v>
      </c>
      <c r="H264">
        <v>343334.18756959226</v>
      </c>
      <c r="I264">
        <v>35.488437465526964</v>
      </c>
    </row>
    <row r="265" spans="1:9" x14ac:dyDescent="0.2">
      <c r="A265">
        <v>255</v>
      </c>
      <c r="B265">
        <v>1229162.3133770053</v>
      </c>
      <c r="C265">
        <v>78078.600612858485</v>
      </c>
      <c r="D265">
        <v>99350.334028061654</v>
      </c>
      <c r="E265">
        <v>126605.48860920337</v>
      </c>
      <c r="F265">
        <v>44764.995365252544</v>
      </c>
      <c r="G265">
        <v>10000</v>
      </c>
      <c r="H265">
        <v>338799.41861537605</v>
      </c>
      <c r="I265">
        <v>36.488037935767338</v>
      </c>
    </row>
    <row r="266" spans="1:9" x14ac:dyDescent="0.2">
      <c r="A266">
        <v>256</v>
      </c>
      <c r="B266">
        <v>1730654.0394993508</v>
      </c>
      <c r="C266">
        <v>142897.05485911929</v>
      </c>
      <c r="D266">
        <v>112132.2283360123</v>
      </c>
      <c r="E266">
        <v>182570.98258964607</v>
      </c>
      <c r="F266">
        <v>48639.529563898577</v>
      </c>
      <c r="G266">
        <v>10000</v>
      </c>
      <c r="H266">
        <v>476239.79534867621</v>
      </c>
      <c r="I266">
        <v>51.003389882898922</v>
      </c>
    </row>
    <row r="267" spans="1:9" x14ac:dyDescent="0.2">
      <c r="A267">
        <v>257</v>
      </c>
      <c r="B267">
        <v>1156538.3365848376</v>
      </c>
      <c r="C267">
        <v>132680.26649201411</v>
      </c>
      <c r="D267">
        <v>77187.641043929762</v>
      </c>
      <c r="E267">
        <v>77652.047907460219</v>
      </c>
      <c r="F267">
        <v>41375.911008978015</v>
      </c>
      <c r="G267">
        <v>10000</v>
      </c>
      <c r="H267">
        <v>318895.86645238212</v>
      </c>
      <c r="I267">
        <v>36.899321590444465</v>
      </c>
    </row>
    <row r="268" spans="1:9" x14ac:dyDescent="0.2">
      <c r="A268">
        <v>258</v>
      </c>
      <c r="B268">
        <v>1341853.9818831317</v>
      </c>
      <c r="C268">
        <v>121569.89334509347</v>
      </c>
      <c r="D268">
        <v>101293.28445337438</v>
      </c>
      <c r="E268">
        <v>112997.93480471995</v>
      </c>
      <c r="F268">
        <v>43822.933948019068</v>
      </c>
      <c r="G268">
        <v>10000</v>
      </c>
      <c r="H268">
        <v>369684.04655120685</v>
      </c>
      <c r="I268">
        <v>44.458679171419988</v>
      </c>
    </row>
    <row r="269" spans="1:9" x14ac:dyDescent="0.2">
      <c r="A269">
        <v>259</v>
      </c>
      <c r="B269">
        <v>1616589.7179169673</v>
      </c>
      <c r="C269">
        <v>95907.328375644545</v>
      </c>
      <c r="D269">
        <v>109368.62828526967</v>
      </c>
      <c r="E269">
        <v>199866.13119012161</v>
      </c>
      <c r="F269">
        <v>49836.886005469962</v>
      </c>
      <c r="G269">
        <v>10000</v>
      </c>
      <c r="H269">
        <v>444978.97385650582</v>
      </c>
      <c r="I269">
        <v>30.798951876322853</v>
      </c>
    </row>
    <row r="270" spans="1:9" x14ac:dyDescent="0.2">
      <c r="A270">
        <v>260</v>
      </c>
      <c r="B270">
        <v>1509083.2320685713</v>
      </c>
      <c r="C270">
        <v>147888.95315103274</v>
      </c>
      <c r="D270">
        <v>130751.96506939514</v>
      </c>
      <c r="E270">
        <v>103695.57079770141</v>
      </c>
      <c r="F270">
        <v>43178.924132148553</v>
      </c>
      <c r="G270">
        <v>10000</v>
      </c>
      <c r="H270">
        <v>415515.41315027786</v>
      </c>
      <c r="I270">
        <v>29.503705222617263</v>
      </c>
    </row>
    <row r="271" spans="1:9" x14ac:dyDescent="0.2">
      <c r="A271">
        <v>261</v>
      </c>
      <c r="B271">
        <v>1695805.306587955</v>
      </c>
      <c r="C271">
        <v>147878.97214503295</v>
      </c>
      <c r="D271">
        <v>83654.80423676825</v>
      </c>
      <c r="E271">
        <v>195612.83984471156</v>
      </c>
      <c r="F271">
        <v>49542.427373864644</v>
      </c>
      <c r="G271">
        <v>10000</v>
      </c>
      <c r="H271">
        <v>466689.04360037739</v>
      </c>
      <c r="I271">
        <v>36.127713506884739</v>
      </c>
    </row>
    <row r="272" spans="1:9" x14ac:dyDescent="0.2">
      <c r="A272">
        <v>262</v>
      </c>
      <c r="B272">
        <v>1719943.3820263206</v>
      </c>
      <c r="C272">
        <v>163999.15706498432</v>
      </c>
      <c r="D272">
        <v>80573.145771004958</v>
      </c>
      <c r="E272">
        <v>189605.55790585926</v>
      </c>
      <c r="F272">
        <v>49126.538624251792</v>
      </c>
      <c r="G272">
        <v>10000</v>
      </c>
      <c r="H272">
        <v>473304.39936610032</v>
      </c>
      <c r="I272">
        <v>30.126651174630027</v>
      </c>
    </row>
    <row r="273" spans="1:9" x14ac:dyDescent="0.2">
      <c r="A273">
        <v>263</v>
      </c>
      <c r="B273">
        <v>1475166.808343132</v>
      </c>
      <c r="C273">
        <v>139531.92625307982</v>
      </c>
      <c r="D273">
        <v>97774.381460341596</v>
      </c>
      <c r="E273">
        <v>133660.4494990173</v>
      </c>
      <c r="F273">
        <v>45253.41573454735</v>
      </c>
      <c r="G273">
        <v>10000</v>
      </c>
      <c r="H273">
        <v>406220.1729469861</v>
      </c>
      <c r="I273">
        <v>37.067870120034485</v>
      </c>
    </row>
    <row r="274" spans="1:9" x14ac:dyDescent="0.2">
      <c r="A274">
        <v>264</v>
      </c>
      <c r="B274">
        <v>1279980.8487018424</v>
      </c>
      <c r="C274">
        <v>139433.96192048606</v>
      </c>
      <c r="D274">
        <v>62794.358245394833</v>
      </c>
      <c r="E274">
        <v>116437.52436339139</v>
      </c>
      <c r="F274">
        <v>44061.059379004022</v>
      </c>
      <c r="G274">
        <v>10000</v>
      </c>
      <c r="H274">
        <v>352726.90390827629</v>
      </c>
      <c r="I274">
        <v>32.562526949038428</v>
      </c>
    </row>
    <row r="275" spans="1:9" x14ac:dyDescent="0.2">
      <c r="A275">
        <v>265</v>
      </c>
      <c r="B275">
        <v>1585215.4398058455</v>
      </c>
      <c r="C275">
        <v>121347.83158514452</v>
      </c>
      <c r="D275">
        <v>100958.94098513926</v>
      </c>
      <c r="E275">
        <v>175896.23755792328</v>
      </c>
      <c r="F275">
        <v>48177.431830933143</v>
      </c>
      <c r="G275">
        <v>10000</v>
      </c>
      <c r="H275">
        <v>436380.44195914018</v>
      </c>
      <c r="I275">
        <v>39.359446502684165</v>
      </c>
    </row>
    <row r="276" spans="1:9" x14ac:dyDescent="0.2">
      <c r="A276">
        <v>266</v>
      </c>
      <c r="B276">
        <v>1385144.8986808881</v>
      </c>
      <c r="C276">
        <v>75268.166797154656</v>
      </c>
      <c r="D276">
        <v>62531.325085141973</v>
      </c>
      <c r="E276">
        <v>203650.14154484266</v>
      </c>
      <c r="F276">
        <v>50098.855953104488</v>
      </c>
      <c r="G276">
        <v>10000</v>
      </c>
      <c r="H276">
        <v>381548.48938024376</v>
      </c>
      <c r="I276">
        <v>30.143932181132655</v>
      </c>
    </row>
    <row r="277" spans="1:9" x14ac:dyDescent="0.2">
      <c r="A277">
        <v>267</v>
      </c>
      <c r="B277">
        <v>1416771.2360823136</v>
      </c>
      <c r="C277">
        <v>131101.22262437918</v>
      </c>
      <c r="D277">
        <v>93518.373386885985</v>
      </c>
      <c r="E277">
        <v>130557.88276377488</v>
      </c>
      <c r="F277">
        <v>45038.622652876722</v>
      </c>
      <c r="G277">
        <v>10000</v>
      </c>
      <c r="H277">
        <v>390216.10142791679</v>
      </c>
      <c r="I277">
        <v>26.262611923254813</v>
      </c>
    </row>
    <row r="278" spans="1:9" x14ac:dyDescent="0.2">
      <c r="A278">
        <v>268</v>
      </c>
      <c r="B278">
        <v>1186304.9115597007</v>
      </c>
      <c r="C278">
        <v>82948.283641857226</v>
      </c>
      <c r="D278">
        <v>68197.870284687495</v>
      </c>
      <c r="E278">
        <v>140201.38274432218</v>
      </c>
      <c r="F278">
        <v>45706.249574606925</v>
      </c>
      <c r="G278">
        <v>10000</v>
      </c>
      <c r="H278">
        <v>327053.78624547384</v>
      </c>
      <c r="I278">
        <v>31.775630780669381</v>
      </c>
    </row>
    <row r="279" spans="1:9" x14ac:dyDescent="0.2">
      <c r="A279">
        <v>269</v>
      </c>
      <c r="B279">
        <v>913880.34672950057</v>
      </c>
      <c r="C279">
        <v>88523.858296509046</v>
      </c>
      <c r="D279">
        <v>86271.758214899732</v>
      </c>
      <c r="E279">
        <v>48255.858937694255</v>
      </c>
      <c r="F279">
        <v>39340.790234148066</v>
      </c>
      <c r="G279">
        <v>10000</v>
      </c>
      <c r="H279">
        <v>252392.26568325108</v>
      </c>
      <c r="I279">
        <v>49.733903304306033</v>
      </c>
    </row>
    <row r="280" spans="1:9" x14ac:dyDescent="0.2">
      <c r="A280">
        <v>270</v>
      </c>
      <c r="B280">
        <v>866339.74698939617</v>
      </c>
      <c r="C280">
        <v>102077.52456856458</v>
      </c>
      <c r="D280">
        <v>54953.442082798865</v>
      </c>
      <c r="E280">
        <v>52684.767915128883</v>
      </c>
      <c r="F280">
        <v>39647.407009508919</v>
      </c>
      <c r="G280">
        <v>10000</v>
      </c>
      <c r="H280">
        <v>239363.14157600125</v>
      </c>
      <c r="I280">
        <v>44.82300910236647</v>
      </c>
    </row>
    <row r="281" spans="1:9" x14ac:dyDescent="0.2">
      <c r="A281">
        <v>271</v>
      </c>
      <c r="B281">
        <v>1627713.6667592023</v>
      </c>
      <c r="C281">
        <v>136881.36741605747</v>
      </c>
      <c r="D281">
        <v>88491.640328353868</v>
      </c>
      <c r="E281">
        <v>183921.59641057267</v>
      </c>
      <c r="F281">
        <v>48733.033597655027</v>
      </c>
      <c r="G281">
        <v>10000</v>
      </c>
      <c r="H281">
        <v>448027.63775263901</v>
      </c>
      <c r="I281">
        <v>39.478448071786886</v>
      </c>
    </row>
    <row r="282" spans="1:9" x14ac:dyDescent="0.2">
      <c r="A282">
        <v>272</v>
      </c>
      <c r="B282">
        <v>1278275.1102142828</v>
      </c>
      <c r="C282">
        <v>90890.657354550291</v>
      </c>
      <c r="D282">
        <v>42556.780808333453</v>
      </c>
      <c r="E282">
        <v>180327.75647451117</v>
      </c>
      <c r="F282">
        <v>48484.229294389232</v>
      </c>
      <c r="G282">
        <v>10000</v>
      </c>
      <c r="H282">
        <v>352259.42393178417</v>
      </c>
      <c r="I282">
        <v>39.984500121705437</v>
      </c>
    </row>
    <row r="283" spans="1:9" x14ac:dyDescent="0.2">
      <c r="A283">
        <v>273</v>
      </c>
      <c r="B283">
        <v>1382946.2905675112</v>
      </c>
      <c r="C283">
        <v>121400.48473622375</v>
      </c>
      <c r="D283">
        <v>86143.031936336236</v>
      </c>
      <c r="E283">
        <v>137858.37407207731</v>
      </c>
      <c r="F283">
        <v>45544.041281913043</v>
      </c>
      <c r="G283">
        <v>10000</v>
      </c>
      <c r="H283">
        <v>380945.93202655035</v>
      </c>
      <c r="I283">
        <v>41.68698982269072</v>
      </c>
    </row>
    <row r="284" spans="1:9" x14ac:dyDescent="0.2">
      <c r="A284">
        <v>274</v>
      </c>
      <c r="B284">
        <v>1644378.778890277</v>
      </c>
      <c r="C284">
        <v>154007.02409476921</v>
      </c>
      <c r="D284">
        <v>120542.75408633817</v>
      </c>
      <c r="E284">
        <v>142200.50173238528</v>
      </c>
      <c r="F284">
        <v>45844.650119934362</v>
      </c>
      <c r="G284">
        <v>10000</v>
      </c>
      <c r="H284">
        <v>452594.93003342696</v>
      </c>
      <c r="I284">
        <v>31.041751798317286</v>
      </c>
    </row>
    <row r="285" spans="1:9" x14ac:dyDescent="0.2">
      <c r="A285">
        <v>275</v>
      </c>
      <c r="B285">
        <v>1481244.7025386312</v>
      </c>
      <c r="C285">
        <v>112065.60705207994</v>
      </c>
      <c r="D285">
        <v>61959.859712609272</v>
      </c>
      <c r="E285">
        <v>194401.84353491751</v>
      </c>
      <c r="F285">
        <v>49458.589167801983</v>
      </c>
      <c r="G285">
        <v>10000</v>
      </c>
      <c r="H285">
        <v>407885.89946740877</v>
      </c>
      <c r="I285">
        <v>37.462347686449085</v>
      </c>
    </row>
    <row r="286" spans="1:9" x14ac:dyDescent="0.2">
      <c r="A286">
        <v>276</v>
      </c>
      <c r="B286">
        <v>1455036.1662400775</v>
      </c>
      <c r="C286">
        <v>104879.87564647563</v>
      </c>
      <c r="D286">
        <v>105188.77212941494</v>
      </c>
      <c r="E286">
        <v>153974.67389001476</v>
      </c>
      <c r="F286">
        <v>46659.78511546256</v>
      </c>
      <c r="G286">
        <v>10000</v>
      </c>
      <c r="H286">
        <v>400703.10678136785</v>
      </c>
      <c r="I286">
        <v>37.577655169327883</v>
      </c>
    </row>
    <row r="287" spans="1:9" x14ac:dyDescent="0.2">
      <c r="A287">
        <v>277</v>
      </c>
      <c r="B287">
        <v>1418628.9940742229</v>
      </c>
      <c r="C287">
        <v>98920.824992874594</v>
      </c>
      <c r="D287">
        <v>65367.495996620928</v>
      </c>
      <c r="E287">
        <v>187458.99306248772</v>
      </c>
      <c r="F287">
        <v>48977.930288941461</v>
      </c>
      <c r="G287">
        <v>10000</v>
      </c>
      <c r="H287">
        <v>390725.24434092472</v>
      </c>
      <c r="I287">
        <v>38.254863773346415</v>
      </c>
    </row>
    <row r="288" spans="1:9" x14ac:dyDescent="0.2">
      <c r="A288">
        <v>278</v>
      </c>
      <c r="B288">
        <v>991803.65300257353</v>
      </c>
      <c r="C288">
        <v>86536.947316435442</v>
      </c>
      <c r="D288">
        <v>75945.339238603134</v>
      </c>
      <c r="E288">
        <v>79745.069452393334</v>
      </c>
      <c r="F288">
        <v>41520.81250055031</v>
      </c>
      <c r="G288">
        <v>10000</v>
      </c>
      <c r="H288">
        <v>273748.16850798222</v>
      </c>
      <c r="I288">
        <v>40.96694587678607</v>
      </c>
    </row>
    <row r="289" spans="1:9" x14ac:dyDescent="0.2">
      <c r="A289">
        <v>279</v>
      </c>
      <c r="B289">
        <v>1375098.9159125891</v>
      </c>
      <c r="C289">
        <v>107456.54455971971</v>
      </c>
      <c r="D289">
        <v>43536.142072803901</v>
      </c>
      <c r="E289">
        <v>188736.21614904457</v>
      </c>
      <c r="F289">
        <v>49066.353425703084</v>
      </c>
      <c r="G289">
        <v>10000</v>
      </c>
      <c r="H289">
        <v>378795.25620727125</v>
      </c>
      <c r="I289">
        <v>34.06842614941975</v>
      </c>
    </row>
    <row r="290" spans="1:9" x14ac:dyDescent="0.2">
      <c r="A290">
        <v>280</v>
      </c>
      <c r="B290">
        <v>1552025.2511211948</v>
      </c>
      <c r="C290">
        <v>132359.20753658004</v>
      </c>
      <c r="D290">
        <v>77787.375250810001</v>
      </c>
      <c r="E290">
        <v>178761.83392296568</v>
      </c>
      <c r="F290">
        <v>48375.819271589928</v>
      </c>
      <c r="G290">
        <v>10000</v>
      </c>
      <c r="H290">
        <v>427284.23598194565</v>
      </c>
      <c r="I290">
        <v>35.732164003456433</v>
      </c>
    </row>
    <row r="291" spans="1:9" x14ac:dyDescent="0.2">
      <c r="A291">
        <v>281</v>
      </c>
      <c r="B291">
        <v>1074533.2253034296</v>
      </c>
      <c r="C291">
        <v>84407.100240425891</v>
      </c>
      <c r="D291">
        <v>106995.14977024971</v>
      </c>
      <c r="E291">
        <v>73902.700670043385</v>
      </c>
      <c r="F291">
        <v>41116.340815618387</v>
      </c>
      <c r="G291">
        <v>10000</v>
      </c>
      <c r="H291">
        <v>296421.29149633739</v>
      </c>
      <c r="I291">
        <v>25.803717257865657</v>
      </c>
    </row>
    <row r="292" spans="1:9" x14ac:dyDescent="0.2">
      <c r="A292">
        <v>282</v>
      </c>
      <c r="B292">
        <v>1683538.1682282458</v>
      </c>
      <c r="C292">
        <v>140467.0282827038</v>
      </c>
      <c r="D292">
        <v>118460.57825008113</v>
      </c>
      <c r="E292">
        <v>166848.42247624474</v>
      </c>
      <c r="F292">
        <v>47551.044632970792</v>
      </c>
      <c r="G292">
        <v>10000</v>
      </c>
      <c r="H292">
        <v>463327.07364200044</v>
      </c>
      <c r="I292">
        <v>37.951009749099214</v>
      </c>
    </row>
    <row r="293" spans="1:9" x14ac:dyDescent="0.2">
      <c r="A293">
        <v>283</v>
      </c>
      <c r="B293">
        <v>1685180.8689321934</v>
      </c>
      <c r="C293">
        <v>118125.41273448394</v>
      </c>
      <c r="D293">
        <v>108975.51371158515</v>
      </c>
      <c r="E293">
        <v>197035.43603934968</v>
      </c>
      <c r="F293">
        <v>49640.914802724212</v>
      </c>
      <c r="G293">
        <v>10000</v>
      </c>
      <c r="H293">
        <v>463777.277288143</v>
      </c>
      <c r="I293">
        <v>38.901284979035417</v>
      </c>
    </row>
    <row r="294" spans="1:9" x14ac:dyDescent="0.2">
      <c r="A294">
        <v>284</v>
      </c>
      <c r="B294">
        <v>1187906.412773218</v>
      </c>
      <c r="C294">
        <v>155477.38111653269</v>
      </c>
      <c r="D294">
        <v>113605.68814371603</v>
      </c>
      <c r="E294">
        <v>30311.164160237498</v>
      </c>
      <c r="F294">
        <v>38098.46521109336</v>
      </c>
      <c r="G294">
        <v>10000</v>
      </c>
      <c r="H294">
        <v>327492.69863157958</v>
      </c>
      <c r="I294">
        <v>30.09112180889106</v>
      </c>
    </row>
    <row r="295" spans="1:9" x14ac:dyDescent="0.2">
      <c r="A295">
        <v>285</v>
      </c>
      <c r="B295">
        <v>813321.5924251898</v>
      </c>
      <c r="C295">
        <v>107773.3769824351</v>
      </c>
      <c r="D295">
        <v>52206.282114022157</v>
      </c>
      <c r="E295">
        <v>36337.490314255527</v>
      </c>
      <c r="F295">
        <v>38515.672406371537</v>
      </c>
      <c r="G295">
        <v>10000</v>
      </c>
      <c r="H295">
        <v>224832.82181708433</v>
      </c>
      <c r="I295">
        <v>38.211983190231692</v>
      </c>
    </row>
    <row r="296" spans="1:9" x14ac:dyDescent="0.2">
      <c r="A296">
        <v>286</v>
      </c>
      <c r="B296">
        <v>1252557.7650676873</v>
      </c>
      <c r="C296">
        <v>88343.552509731046</v>
      </c>
      <c r="D296">
        <v>162828.79086218518</v>
      </c>
      <c r="E296">
        <v>63633.508500909782</v>
      </c>
      <c r="F296">
        <v>40405.396742370678</v>
      </c>
      <c r="G296">
        <v>10000</v>
      </c>
      <c r="H296">
        <v>345211.24861519667</v>
      </c>
      <c r="I296">
        <v>26.134306816463507</v>
      </c>
    </row>
    <row r="297" spans="1:9" x14ac:dyDescent="0.2">
      <c r="A297">
        <v>287</v>
      </c>
      <c r="B297">
        <v>1229572.5751124506</v>
      </c>
      <c r="C297">
        <v>110565.63879213772</v>
      </c>
      <c r="D297">
        <v>93227.363895763163</v>
      </c>
      <c r="E297">
        <v>102053.60402106405</v>
      </c>
      <c r="F297">
        <v>43065.249509150592</v>
      </c>
      <c r="G297">
        <v>10000</v>
      </c>
      <c r="H297">
        <v>338911.85621811548</v>
      </c>
      <c r="I297">
        <v>34.749839776212355</v>
      </c>
    </row>
    <row r="298" spans="1:9" x14ac:dyDescent="0.2">
      <c r="A298">
        <v>288</v>
      </c>
      <c r="B298">
        <v>1308932.650206177</v>
      </c>
      <c r="C298">
        <v>95900.837494230844</v>
      </c>
      <c r="D298">
        <v>169666.21912235432</v>
      </c>
      <c r="E298">
        <v>64620.725226540613</v>
      </c>
      <c r="F298">
        <v>40473.742515683574</v>
      </c>
      <c r="G298">
        <v>10000</v>
      </c>
      <c r="H298">
        <v>360661.5243588094</v>
      </c>
      <c r="I298">
        <v>39.483251518976083</v>
      </c>
    </row>
    <row r="299" spans="1:9" x14ac:dyDescent="0.2">
      <c r="A299">
        <v>289</v>
      </c>
      <c r="B299">
        <v>727123.47929750511</v>
      </c>
      <c r="C299">
        <v>88512.186575224332</v>
      </c>
      <c r="D299">
        <v>37002.14099881814</v>
      </c>
      <c r="E299">
        <v>46477.12508441625</v>
      </c>
      <c r="F299">
        <v>39217.647121228816</v>
      </c>
      <c r="G299">
        <v>10000</v>
      </c>
      <c r="H299">
        <v>201209.09977968753</v>
      </c>
      <c r="I299">
        <v>51.284069553131452</v>
      </c>
    </row>
    <row r="300" spans="1:9" x14ac:dyDescent="0.2">
      <c r="A300">
        <v>290</v>
      </c>
      <c r="B300">
        <v>1314484.1984512161</v>
      </c>
      <c r="C300">
        <v>130940.65877009493</v>
      </c>
      <c r="D300">
        <v>55620.230969488664</v>
      </c>
      <c r="E300">
        <v>139934.34667504407</v>
      </c>
      <c r="F300">
        <v>45687.762462118437</v>
      </c>
      <c r="G300">
        <v>10000</v>
      </c>
      <c r="H300">
        <v>362182.99887674605</v>
      </c>
      <c r="I300">
        <v>34.693291548526318</v>
      </c>
    </row>
    <row r="301" spans="1:9" x14ac:dyDescent="0.2">
      <c r="A301">
        <v>291</v>
      </c>
      <c r="B301">
        <v>1484582.4569427217</v>
      </c>
      <c r="C301">
        <v>138966.83445826315</v>
      </c>
      <c r="D301">
        <v>54863.400166423067</v>
      </c>
      <c r="E301">
        <v>176734.92532893762</v>
      </c>
      <c r="F301">
        <v>48235.494830464908</v>
      </c>
      <c r="G301">
        <v>10000</v>
      </c>
      <c r="H301">
        <v>408800.65478408872</v>
      </c>
      <c r="I301">
        <v>48.425662436591196</v>
      </c>
    </row>
    <row r="302" spans="1:9" x14ac:dyDescent="0.2">
      <c r="A302">
        <v>292</v>
      </c>
      <c r="B302">
        <v>1285073.9209344687</v>
      </c>
      <c r="C302">
        <v>86647.535949979792</v>
      </c>
      <c r="D302">
        <v>63460.324985711457</v>
      </c>
      <c r="E302">
        <v>166488.72372207779</v>
      </c>
      <c r="F302">
        <v>47526.142411528461</v>
      </c>
      <c r="G302">
        <v>10000</v>
      </c>
      <c r="H302">
        <v>354122.72706929751</v>
      </c>
      <c r="I302">
        <v>37.934753971566735</v>
      </c>
    </row>
    <row r="303" spans="1:9" x14ac:dyDescent="0.2">
      <c r="A303">
        <v>293</v>
      </c>
      <c r="B303">
        <v>1145481.4839557984</v>
      </c>
      <c r="C303">
        <v>92303.449733062385</v>
      </c>
      <c r="D303">
        <v>129350.89310709431</v>
      </c>
      <c r="E303">
        <v>63794.692666116076</v>
      </c>
      <c r="F303">
        <v>40416.555646115725</v>
      </c>
      <c r="G303">
        <v>10000</v>
      </c>
      <c r="H303">
        <v>315865.59115238849</v>
      </c>
      <c r="I303">
        <v>31.246349844009675</v>
      </c>
    </row>
    <row r="304" spans="1:9" x14ac:dyDescent="0.2">
      <c r="A304">
        <v>294</v>
      </c>
      <c r="B304">
        <v>1405556.7441623781</v>
      </c>
      <c r="C304">
        <v>119018.9355853934</v>
      </c>
      <c r="D304">
        <v>76082.964967032458</v>
      </c>
      <c r="E304">
        <v>155289.88431778565</v>
      </c>
      <c r="F304">
        <v>46750.838145077469</v>
      </c>
      <c r="G304">
        <v>10000</v>
      </c>
      <c r="H304">
        <v>387142.62301528896</v>
      </c>
      <c r="I304">
        <v>37.632308441010622</v>
      </c>
    </row>
    <row r="305" spans="1:9" x14ac:dyDescent="0.2">
      <c r="A305">
        <v>295</v>
      </c>
      <c r="B305">
        <v>1081366.0134472153</v>
      </c>
      <c r="C305">
        <v>81651.515934276613</v>
      </c>
      <c r="D305">
        <v>80035.301491518941</v>
      </c>
      <c r="E305">
        <v>103445.47907618347</v>
      </c>
      <c r="F305">
        <v>43161.610089889626</v>
      </c>
      <c r="G305">
        <v>10000</v>
      </c>
      <c r="H305">
        <v>298293.90659186861</v>
      </c>
      <c r="I305">
        <v>31.777208915966238</v>
      </c>
    </row>
    <row r="306" spans="1:9" x14ac:dyDescent="0.2">
      <c r="A306">
        <v>296</v>
      </c>
      <c r="B306">
        <v>1323715.5809573948</v>
      </c>
      <c r="C306">
        <v>76622.849863993091</v>
      </c>
      <c r="D306">
        <v>154473.26323622325</v>
      </c>
      <c r="E306">
        <v>100648.86848925879</v>
      </c>
      <c r="F306">
        <v>42967.998587717913</v>
      </c>
      <c r="G306">
        <v>10000</v>
      </c>
      <c r="H306">
        <v>364712.98017719307</v>
      </c>
      <c r="I306">
        <v>37.255360529396093</v>
      </c>
    </row>
    <row r="307" spans="1:9" x14ac:dyDescent="0.2">
      <c r="A307">
        <v>297</v>
      </c>
      <c r="B307">
        <v>1408694.707326157</v>
      </c>
      <c r="C307">
        <v>133566.36162493151</v>
      </c>
      <c r="D307">
        <v>94589.084471152368</v>
      </c>
      <c r="E307">
        <v>125180.81286198449</v>
      </c>
      <c r="F307">
        <v>44666.363967368161</v>
      </c>
      <c r="G307">
        <v>10000</v>
      </c>
      <c r="H307">
        <v>388002.62292543653</v>
      </c>
      <c r="I307">
        <v>26.802398475452296</v>
      </c>
    </row>
    <row r="308" spans="1:9" x14ac:dyDescent="0.2">
      <c r="A308">
        <v>298</v>
      </c>
      <c r="B308">
        <v>1552067.8455503702</v>
      </c>
      <c r="C308">
        <v>115349.32592680948</v>
      </c>
      <c r="D308">
        <v>133672.12608777208</v>
      </c>
      <c r="E308">
        <v>142414.96027858113</v>
      </c>
      <c r="F308">
        <v>45859.49725005561</v>
      </c>
      <c r="G308">
        <v>10000</v>
      </c>
      <c r="H308">
        <v>427295.90954321827</v>
      </c>
      <c r="I308">
        <v>35.475011246692127</v>
      </c>
    </row>
    <row r="309" spans="1:9" x14ac:dyDescent="0.2">
      <c r="A309">
        <v>299</v>
      </c>
      <c r="B309">
        <v>1585334.5923744834</v>
      </c>
      <c r="C309">
        <v>118292.19751411228</v>
      </c>
      <c r="D309">
        <v>124443.46348207741</v>
      </c>
      <c r="E309">
        <v>156820.6238638568</v>
      </c>
      <c r="F309">
        <v>46856.812421343937</v>
      </c>
      <c r="G309">
        <v>10000</v>
      </c>
      <c r="H309">
        <v>436413.09728139039</v>
      </c>
      <c r="I309">
        <v>32.048552103247125</v>
      </c>
    </row>
    <row r="310" spans="1:9" x14ac:dyDescent="0.2">
      <c r="A310">
        <v>300</v>
      </c>
      <c r="B310">
        <v>1073722.0109629715</v>
      </c>
      <c r="C310">
        <v>153196.31102840783</v>
      </c>
      <c r="D310">
        <v>67333.012836592898</v>
      </c>
      <c r="E310">
        <v>46453.62361834148</v>
      </c>
      <c r="F310">
        <v>39216.020096654407</v>
      </c>
      <c r="G310">
        <v>10000</v>
      </c>
      <c r="H310">
        <v>296198.96757999662</v>
      </c>
      <c r="I310">
        <v>45.936290516535337</v>
      </c>
    </row>
    <row r="311" spans="1:9" x14ac:dyDescent="0.2">
      <c r="A311">
        <v>301</v>
      </c>
      <c r="B311">
        <v>1641957.920029843</v>
      </c>
      <c r="C311">
        <v>94972.120182016733</v>
      </c>
      <c r="D311">
        <v>160479.74968003208</v>
      </c>
      <c r="E311">
        <v>159441.34511932556</v>
      </c>
      <c r="F311">
        <v>47038.24696979946</v>
      </c>
      <c r="G311">
        <v>10000</v>
      </c>
      <c r="H311">
        <v>451931.46195117384</v>
      </c>
      <c r="I311">
        <v>25.556493489666366</v>
      </c>
    </row>
    <row r="312" spans="1:9" x14ac:dyDescent="0.2">
      <c r="A312">
        <v>302</v>
      </c>
      <c r="B312">
        <v>1315866.8441934842</v>
      </c>
      <c r="C312">
        <v>135951.88588391442</v>
      </c>
      <c r="D312">
        <v>102906.07448151067</v>
      </c>
      <c r="E312">
        <v>91377.81431315199</v>
      </c>
      <c r="F312">
        <v>42326.156375525905</v>
      </c>
      <c r="G312">
        <v>10000</v>
      </c>
      <c r="H312">
        <v>362561.93105410301</v>
      </c>
      <c r="I312">
        <v>40.183278841218097</v>
      </c>
    </row>
    <row r="313" spans="1:9" x14ac:dyDescent="0.2">
      <c r="A313">
        <v>303</v>
      </c>
      <c r="B313">
        <v>1389136.943189315</v>
      </c>
      <c r="C313">
        <v>121912.56814052934</v>
      </c>
      <c r="D313">
        <v>71703.506493522</v>
      </c>
      <c r="E313">
        <v>152470.81502713569</v>
      </c>
      <c r="F313">
        <v>46555.671809570929</v>
      </c>
      <c r="G313">
        <v>10000</v>
      </c>
      <c r="H313">
        <v>382642.561470758</v>
      </c>
      <c r="I313">
        <v>40.910150289537278</v>
      </c>
    </row>
    <row r="314" spans="1:9" x14ac:dyDescent="0.2">
      <c r="A314">
        <v>304</v>
      </c>
      <c r="B314">
        <v>1257170.0992098162</v>
      </c>
      <c r="C314">
        <v>148077.86276897741</v>
      </c>
      <c r="D314">
        <v>35274.413132654758</v>
      </c>
      <c r="E314">
        <v>128244.572873827</v>
      </c>
      <c r="F314">
        <v>44878.470429726483</v>
      </c>
      <c r="G314">
        <v>10000</v>
      </c>
      <c r="H314">
        <v>346475.31920518563</v>
      </c>
      <c r="I314">
        <v>38.337071415453167</v>
      </c>
    </row>
    <row r="315" spans="1:9" x14ac:dyDescent="0.2">
      <c r="A315">
        <v>305</v>
      </c>
      <c r="B315">
        <v>1248253.7765645944</v>
      </c>
      <c r="C315">
        <v>96663.211155710756</v>
      </c>
      <c r="D315">
        <v>42040.469171060751</v>
      </c>
      <c r="E315">
        <v>167716.83814237622</v>
      </c>
      <c r="F315">
        <v>47611.16571754912</v>
      </c>
      <c r="G315">
        <v>10000</v>
      </c>
      <c r="H315">
        <v>344031.68418669683</v>
      </c>
      <c r="I315">
        <v>37.563945923215883</v>
      </c>
    </row>
    <row r="316" spans="1:9" x14ac:dyDescent="0.2">
      <c r="A316">
        <v>306</v>
      </c>
      <c r="B316">
        <v>1172950.2869528341</v>
      </c>
      <c r="C316">
        <v>126664.41012856143</v>
      </c>
      <c r="D316">
        <v>78377.301006383583</v>
      </c>
      <c r="E316">
        <v>86372.435173421356</v>
      </c>
      <c r="F316">
        <v>41979.630127390708</v>
      </c>
      <c r="G316">
        <v>10000</v>
      </c>
      <c r="H316">
        <v>323393.77643575711</v>
      </c>
      <c r="I316">
        <v>38.971407440028557</v>
      </c>
    </row>
    <row r="317" spans="1:9" x14ac:dyDescent="0.2">
      <c r="A317">
        <v>307</v>
      </c>
      <c r="B317">
        <v>1163445.7678244261</v>
      </c>
      <c r="C317">
        <v>80057.013653037793</v>
      </c>
      <c r="D317">
        <v>132899.12909289633</v>
      </c>
      <c r="E317">
        <v>76534.269378563258</v>
      </c>
      <c r="F317">
        <v>41298.526341592835</v>
      </c>
      <c r="G317">
        <v>10000</v>
      </c>
      <c r="H317">
        <v>320788.93846609024</v>
      </c>
      <c r="I317">
        <v>52.874629438208906</v>
      </c>
    </row>
    <row r="318" spans="1:9" x14ac:dyDescent="0.2">
      <c r="A318">
        <v>308</v>
      </c>
      <c r="B318">
        <v>1473737.2784545566</v>
      </c>
      <c r="C318">
        <v>89068.952636028058</v>
      </c>
      <c r="D318">
        <v>103047.12704248054</v>
      </c>
      <c r="E318">
        <v>175558.27729473263</v>
      </c>
      <c r="F318">
        <v>48154.034581943029</v>
      </c>
      <c r="G318">
        <v>10000</v>
      </c>
      <c r="H318">
        <v>405828.39155518421</v>
      </c>
      <c r="I318">
        <v>31.958764167562858</v>
      </c>
    </row>
    <row r="319" spans="1:9" x14ac:dyDescent="0.2">
      <c r="A319">
        <v>309</v>
      </c>
      <c r="B319">
        <v>1785469.3773338487</v>
      </c>
      <c r="C319">
        <v>161626.64819668964</v>
      </c>
      <c r="D319">
        <v>88782.09298540905</v>
      </c>
      <c r="E319">
        <v>200942.51093908187</v>
      </c>
      <c r="F319">
        <v>49911.404603474897</v>
      </c>
      <c r="G319">
        <v>10000</v>
      </c>
      <c r="H319">
        <v>491262.65672465542</v>
      </c>
      <c r="I319">
        <v>37.922757080813192</v>
      </c>
    </row>
    <row r="320" spans="1:9" x14ac:dyDescent="0.2">
      <c r="A320">
        <v>310</v>
      </c>
      <c r="B320">
        <v>1301435.4097904363</v>
      </c>
      <c r="C320">
        <v>77756.039182500535</v>
      </c>
      <c r="D320">
        <v>95785.757779303472</v>
      </c>
      <c r="E320">
        <v>148765.83711383643</v>
      </c>
      <c r="F320">
        <v>46299.173338650216</v>
      </c>
      <c r="G320">
        <v>10000</v>
      </c>
      <c r="H320">
        <v>358606.80741429067</v>
      </c>
      <c r="I320">
        <v>43.541178376830629</v>
      </c>
    </row>
    <row r="321" spans="1:9" x14ac:dyDescent="0.2">
      <c r="A321">
        <v>311</v>
      </c>
      <c r="B321">
        <v>1315572.2965560486</v>
      </c>
      <c r="C321">
        <v>106395.28022806946</v>
      </c>
      <c r="D321">
        <v>55532.69840922131</v>
      </c>
      <c r="E321">
        <v>163251.22022440826</v>
      </c>
      <c r="F321">
        <v>47302.007553997493</v>
      </c>
      <c r="G321">
        <v>10000</v>
      </c>
      <c r="H321">
        <v>362481.20641569654</v>
      </c>
      <c r="I321">
        <v>42.239891210874347</v>
      </c>
    </row>
    <row r="322" spans="1:9" x14ac:dyDescent="0.2">
      <c r="A322">
        <v>312</v>
      </c>
      <c r="B322">
        <v>1434911.9445594968</v>
      </c>
      <c r="C322">
        <v>121609.4476042367</v>
      </c>
      <c r="D322">
        <v>115826.32297437881</v>
      </c>
      <c r="E322">
        <v>123221.32268303672</v>
      </c>
      <c r="F322">
        <v>44530.706954979469</v>
      </c>
      <c r="G322">
        <v>10000</v>
      </c>
      <c r="H322">
        <v>395187.80021663167</v>
      </c>
      <c r="I322">
        <v>36.45872763480974</v>
      </c>
    </row>
    <row r="323" spans="1:9" x14ac:dyDescent="0.2">
      <c r="A323">
        <v>313</v>
      </c>
      <c r="B323">
        <v>1100946.4018192573</v>
      </c>
      <c r="C323">
        <v>104346.96537421359</v>
      </c>
      <c r="D323">
        <v>120095.54286962295</v>
      </c>
      <c r="E323">
        <v>49771.912483415435</v>
      </c>
      <c r="F323">
        <v>39445.747787313376</v>
      </c>
      <c r="G323">
        <v>10000</v>
      </c>
      <c r="H323">
        <v>303660.16851456533</v>
      </c>
      <c r="I323">
        <v>47.662040933681816</v>
      </c>
    </row>
    <row r="324" spans="1:9" x14ac:dyDescent="0.2">
      <c r="A324">
        <v>314</v>
      </c>
      <c r="B324">
        <v>1763135.0816527859</v>
      </c>
      <c r="C324">
        <v>138820.66224434107</v>
      </c>
      <c r="D324">
        <v>163637.51399411057</v>
      </c>
      <c r="E324">
        <v>146538.50104214638</v>
      </c>
      <c r="F324">
        <v>46144.973149071673</v>
      </c>
      <c r="G324">
        <v>10000</v>
      </c>
      <c r="H324">
        <v>485141.65042966965</v>
      </c>
      <c r="I324">
        <v>49.640795792263148</v>
      </c>
    </row>
    <row r="325" spans="1:9" x14ac:dyDescent="0.2">
      <c r="A325">
        <v>315</v>
      </c>
      <c r="B325">
        <v>1490997.3471934495</v>
      </c>
      <c r="C325">
        <v>131568.6747553554</v>
      </c>
      <c r="D325">
        <v>84661.465556249692</v>
      </c>
      <c r="E325">
        <v>157429.62512887013</v>
      </c>
      <c r="F325">
        <v>46898.974047383315</v>
      </c>
      <c r="G325">
        <v>10000</v>
      </c>
      <c r="H325">
        <v>410558.73948785849</v>
      </c>
      <c r="I325">
        <v>35.490910497321167</v>
      </c>
    </row>
    <row r="326" spans="1:9" x14ac:dyDescent="0.2">
      <c r="A326">
        <v>316</v>
      </c>
      <c r="B326">
        <v>1723073.9372581146</v>
      </c>
      <c r="C326">
        <v>144809.22654119792</v>
      </c>
      <c r="D326">
        <v>100390.84996027207</v>
      </c>
      <c r="E326">
        <v>189820.84913249814</v>
      </c>
      <c r="F326">
        <v>49141.443401480639</v>
      </c>
      <c r="G326">
        <v>10000</v>
      </c>
      <c r="H326">
        <v>474162.36903544876</v>
      </c>
      <c r="I326">
        <v>28.649432629933557</v>
      </c>
    </row>
    <row r="327" spans="1:9" x14ac:dyDescent="0.2">
      <c r="A327">
        <v>317</v>
      </c>
      <c r="B327">
        <v>804507.77971517458</v>
      </c>
      <c r="C327">
        <v>83383.235037416787</v>
      </c>
      <c r="D327">
        <v>69715.201791859028</v>
      </c>
      <c r="E327">
        <v>40514.026912109875</v>
      </c>
      <c r="F327">
        <v>38804.81724776145</v>
      </c>
      <c r="G327">
        <v>10000</v>
      </c>
      <c r="H327">
        <v>222417.28098914711</v>
      </c>
      <c r="I327">
        <v>26.710487212868472</v>
      </c>
    </row>
    <row r="328" spans="1:9" x14ac:dyDescent="0.2">
      <c r="A328">
        <v>318</v>
      </c>
      <c r="B328">
        <v>1566890.3183405723</v>
      </c>
      <c r="C328">
        <v>108401.41891982546</v>
      </c>
      <c r="D328">
        <v>98808.113806122754</v>
      </c>
      <c r="E328">
        <v>185318.89967211036</v>
      </c>
      <c r="F328">
        <v>48829.769977299955</v>
      </c>
      <c r="G328">
        <v>10000</v>
      </c>
      <c r="H328">
        <v>431358.20237535855</v>
      </c>
      <c r="I328">
        <v>32.924103710823175</v>
      </c>
    </row>
    <row r="329" spans="1:9" x14ac:dyDescent="0.2">
      <c r="A329">
        <v>319</v>
      </c>
      <c r="B329">
        <v>1641725.1436360085</v>
      </c>
      <c r="C329">
        <v>123677.7584624561</v>
      </c>
      <c r="D329">
        <v>87177.036031232317</v>
      </c>
      <c r="E329">
        <v>201091.17528691512</v>
      </c>
      <c r="F329">
        <v>49921.696750632582</v>
      </c>
      <c r="G329">
        <v>10000</v>
      </c>
      <c r="H329">
        <v>451867.66653123614</v>
      </c>
      <c r="I329">
        <v>32.352543060859688</v>
      </c>
    </row>
    <row r="330" spans="1:9" x14ac:dyDescent="0.2">
      <c r="A330">
        <v>320</v>
      </c>
      <c r="B330">
        <v>1768894.5615982874</v>
      </c>
      <c r="C330">
        <v>111858.04192627207</v>
      </c>
      <c r="D330">
        <v>151790.45368252881</v>
      </c>
      <c r="E330">
        <v>184311.58307093484</v>
      </c>
      <c r="F330">
        <v>48760.032674141643</v>
      </c>
      <c r="G330">
        <v>10000</v>
      </c>
      <c r="H330">
        <v>486720.11135387741</v>
      </c>
      <c r="I330">
        <v>34.906555129089966</v>
      </c>
    </row>
    <row r="331" spans="1:9" x14ac:dyDescent="0.2">
      <c r="A331">
        <v>321</v>
      </c>
      <c r="B331">
        <v>1973256.3550949332</v>
      </c>
      <c r="C331">
        <v>132483.38530694859</v>
      </c>
      <c r="D331">
        <v>168347.06942148309</v>
      </c>
      <c r="E331">
        <v>201918.69645176618</v>
      </c>
      <c r="F331">
        <v>49978.986677429966</v>
      </c>
      <c r="G331">
        <v>10000</v>
      </c>
      <c r="H331">
        <v>542728.13785762782</v>
      </c>
      <c r="I331">
        <v>31.257665659169074</v>
      </c>
    </row>
    <row r="332" spans="1:9" x14ac:dyDescent="0.2">
      <c r="A332">
        <v>322</v>
      </c>
      <c r="B332">
        <v>1020858.38700569</v>
      </c>
      <c r="C332">
        <v>124730.49151076082</v>
      </c>
      <c r="D332">
        <v>83654.782114451053</v>
      </c>
      <c r="E332">
        <v>44261.469735841281</v>
      </c>
      <c r="F332">
        <v>39064.255597096708</v>
      </c>
      <c r="G332">
        <v>10000</v>
      </c>
      <c r="H332">
        <v>281710.99895814987</v>
      </c>
      <c r="I332">
        <v>38.508586518306572</v>
      </c>
    </row>
    <row r="333" spans="1:9" x14ac:dyDescent="0.2">
      <c r="A333">
        <v>323</v>
      </c>
      <c r="B333">
        <v>1365446.2488336391</v>
      </c>
      <c r="C333">
        <v>119945.79267163611</v>
      </c>
      <c r="D333">
        <v>98900.583288632755</v>
      </c>
      <c r="E333">
        <v>122801.77878281438</v>
      </c>
      <c r="F333">
        <v>44501.661608040995</v>
      </c>
      <c r="G333">
        <v>10000</v>
      </c>
      <c r="H333">
        <v>376149.8163511242</v>
      </c>
      <c r="I333">
        <v>46.223504734415116</v>
      </c>
    </row>
    <row r="334" spans="1:9" x14ac:dyDescent="0.2">
      <c r="A334">
        <v>324</v>
      </c>
      <c r="B334">
        <v>1170190.7077412126</v>
      </c>
      <c r="C334">
        <v>77899.911374964984</v>
      </c>
      <c r="D334">
        <v>84289.210556412843</v>
      </c>
      <c r="E334">
        <v>125743.06645665453</v>
      </c>
      <c r="F334">
        <v>44705.289216229925</v>
      </c>
      <c r="G334">
        <v>10000</v>
      </c>
      <c r="H334">
        <v>322637.4776042623</v>
      </c>
      <c r="I334">
        <v>34.967741862340816</v>
      </c>
    </row>
    <row r="335" spans="1:9" x14ac:dyDescent="0.2">
      <c r="A335">
        <v>325</v>
      </c>
      <c r="B335">
        <v>1763021.7077741376</v>
      </c>
      <c r="C335">
        <v>127837.39798224463</v>
      </c>
      <c r="D335">
        <v>135065.29176031402</v>
      </c>
      <c r="E335">
        <v>183503.78116382298</v>
      </c>
      <c r="F335">
        <v>48704.10792672621</v>
      </c>
      <c r="G335">
        <v>10000</v>
      </c>
      <c r="H335">
        <v>485110.57883310784</v>
      </c>
      <c r="I335">
        <v>50.267923164552435</v>
      </c>
    </row>
    <row r="336" spans="1:9" x14ac:dyDescent="0.2">
      <c r="A336">
        <v>326</v>
      </c>
      <c r="B336">
        <v>1349290.9916317386</v>
      </c>
      <c r="C336">
        <v>117518.01924307193</v>
      </c>
      <c r="D336">
        <v>84001.101442500236</v>
      </c>
      <c r="E336">
        <v>134866.24212151056</v>
      </c>
      <c r="F336">
        <v>45336.893685335344</v>
      </c>
      <c r="G336">
        <v>10000</v>
      </c>
      <c r="H336">
        <v>371722.25649241806</v>
      </c>
      <c r="I336">
        <v>33.475416920777789</v>
      </c>
    </row>
    <row r="337" spans="1:9" x14ac:dyDescent="0.2">
      <c r="A337">
        <v>327</v>
      </c>
      <c r="B337">
        <v>1499902.7584591969</v>
      </c>
      <c r="C337">
        <v>112306.77118149915</v>
      </c>
      <c r="D337">
        <v>99370.022239208716</v>
      </c>
      <c r="E337">
        <v>163970.76826108774</v>
      </c>
      <c r="F337">
        <v>47351.822418075302</v>
      </c>
      <c r="G337">
        <v>10000</v>
      </c>
      <c r="H337">
        <v>412999.38409987092</v>
      </c>
      <c r="I337">
        <v>36.829529378799791</v>
      </c>
    </row>
    <row r="338" spans="1:9" x14ac:dyDescent="0.2">
      <c r="A338">
        <v>328</v>
      </c>
      <c r="B338">
        <v>1887997.0343299818</v>
      </c>
      <c r="C338">
        <v>117680.90624531789</v>
      </c>
      <c r="D338">
        <v>170015.56563991777</v>
      </c>
      <c r="E338">
        <v>192348.77839092098</v>
      </c>
      <c r="F338">
        <v>49316.453888602227</v>
      </c>
      <c r="G338">
        <v>10000</v>
      </c>
      <c r="H338">
        <v>519361.70416475879</v>
      </c>
      <c r="I338">
        <v>37.5850951597332</v>
      </c>
    </row>
    <row r="339" spans="1:9" x14ac:dyDescent="0.2">
      <c r="A339">
        <v>329</v>
      </c>
      <c r="B339">
        <v>1451629.8617262933</v>
      </c>
      <c r="C339">
        <v>163824.32972840298</v>
      </c>
      <c r="D339">
        <v>103487.25705471818</v>
      </c>
      <c r="E339">
        <v>99565.015045943204</v>
      </c>
      <c r="F339">
        <v>42892.962580103755</v>
      </c>
      <c r="G339">
        <v>10000</v>
      </c>
      <c r="H339">
        <v>399769.56440916815</v>
      </c>
      <c r="I339">
        <v>40.864142670251141</v>
      </c>
    </row>
    <row r="340" spans="1:9" x14ac:dyDescent="0.2">
      <c r="A340">
        <v>330</v>
      </c>
      <c r="B340">
        <v>1418943.5166041795</v>
      </c>
      <c r="C340">
        <v>128743.20216952841</v>
      </c>
      <c r="D340">
        <v>48403.888273850527</v>
      </c>
      <c r="E340">
        <v>175513.42359134965</v>
      </c>
      <c r="F340">
        <v>48150.929325554971</v>
      </c>
      <c r="G340">
        <v>10000</v>
      </c>
      <c r="H340">
        <v>390811.44336028356</v>
      </c>
      <c r="I340">
        <v>26.818582043336214</v>
      </c>
    </row>
    <row r="341" spans="1:9" x14ac:dyDescent="0.2">
      <c r="A341">
        <v>331</v>
      </c>
      <c r="B341">
        <v>961686.99490923923</v>
      </c>
      <c r="C341">
        <v>77940.740881061851</v>
      </c>
      <c r="D341">
        <v>104553.90885600867</v>
      </c>
      <c r="E341">
        <v>53309.029026883392</v>
      </c>
      <c r="F341">
        <v>39690.625086476539</v>
      </c>
      <c r="G341">
        <v>10000</v>
      </c>
      <c r="H341">
        <v>265494.30385043047</v>
      </c>
      <c r="I341">
        <v>41.399128225096256</v>
      </c>
    </row>
    <row r="342" spans="1:9" x14ac:dyDescent="0.2">
      <c r="A342">
        <v>332</v>
      </c>
      <c r="B342">
        <v>1409416.1972748521</v>
      </c>
      <c r="C342">
        <v>83961.848580254635</v>
      </c>
      <c r="D342">
        <v>73306.195570615964</v>
      </c>
      <c r="E342">
        <v>191663.31389195894</v>
      </c>
      <c r="F342">
        <v>49268.998654058698</v>
      </c>
      <c r="G342">
        <v>10000</v>
      </c>
      <c r="H342">
        <v>388200.35669688822</v>
      </c>
      <c r="I342">
        <v>44.331982300112003</v>
      </c>
    </row>
    <row r="343" spans="1:9" x14ac:dyDescent="0.2">
      <c r="A343">
        <v>333</v>
      </c>
      <c r="B343">
        <v>1466244.7049190751</v>
      </c>
      <c r="C343">
        <v>116442.56905617677</v>
      </c>
      <c r="D343">
        <v>107538.3355505895</v>
      </c>
      <c r="E343">
        <v>143836.160957293</v>
      </c>
      <c r="F343">
        <v>45957.888066274129</v>
      </c>
      <c r="G343">
        <v>10000</v>
      </c>
      <c r="H343">
        <v>403774.95363033342</v>
      </c>
      <c r="I343">
        <v>36.762524921491021</v>
      </c>
    </row>
    <row r="344" spans="1:9" x14ac:dyDescent="0.2">
      <c r="A344">
        <v>334</v>
      </c>
      <c r="B344">
        <v>1165614.5739534416</v>
      </c>
      <c r="C344">
        <v>101634.02808209472</v>
      </c>
      <c r="D344">
        <v>115535.46843472503</v>
      </c>
      <c r="E344">
        <v>73149.626749923715</v>
      </c>
      <c r="F344">
        <v>41064.204928840874</v>
      </c>
      <c r="G344">
        <v>10000</v>
      </c>
      <c r="H344">
        <v>321383.32819558436</v>
      </c>
      <c r="I344">
        <v>28.383265127410318</v>
      </c>
    </row>
    <row r="345" spans="1:9" x14ac:dyDescent="0.2">
      <c r="A345">
        <v>335</v>
      </c>
      <c r="B345">
        <v>1346605.5439584637</v>
      </c>
      <c r="C345">
        <v>142288.88391279729</v>
      </c>
      <c r="D345">
        <v>37240.370469560949</v>
      </c>
      <c r="E345">
        <v>154743.97553743605</v>
      </c>
      <c r="F345">
        <v>46713.044460284029</v>
      </c>
      <c r="G345">
        <v>10000</v>
      </c>
      <c r="H345">
        <v>370986.27438007831</v>
      </c>
      <c r="I345">
        <v>34.329988603981661</v>
      </c>
    </row>
    <row r="346" spans="1:9" x14ac:dyDescent="0.2">
      <c r="A346">
        <v>336</v>
      </c>
      <c r="B346">
        <v>902671.90663599817</v>
      </c>
      <c r="C346">
        <v>128384.29243060647</v>
      </c>
      <c r="D346">
        <v>22968.092217993151</v>
      </c>
      <c r="E346">
        <v>67308.258680310828</v>
      </c>
      <c r="F346">
        <v>40659.802524021521</v>
      </c>
      <c r="G346">
        <v>10000</v>
      </c>
      <c r="H346">
        <v>249320.44585293194</v>
      </c>
      <c r="I346">
        <v>28.029160183141592</v>
      </c>
    </row>
    <row r="347" spans="1:9" x14ac:dyDescent="0.2">
      <c r="A347">
        <v>337</v>
      </c>
      <c r="B347">
        <v>1150757.9097679672</v>
      </c>
      <c r="C347">
        <v>88312.262785496001</v>
      </c>
      <c r="D347">
        <v>99737.570841826571</v>
      </c>
      <c r="E347">
        <v>96575.813293002095</v>
      </c>
      <c r="F347">
        <v>42686.017843361682</v>
      </c>
      <c r="G347">
        <v>10000</v>
      </c>
      <c r="H347">
        <v>317311.66476368636</v>
      </c>
      <c r="I347">
        <v>39.502226662364471</v>
      </c>
    </row>
    <row r="348" spans="1:9" x14ac:dyDescent="0.2">
      <c r="A348">
        <v>338</v>
      </c>
      <c r="B348">
        <v>1532381.8730191265</v>
      </c>
      <c r="C348">
        <v>100140.95614935167</v>
      </c>
      <c r="D348">
        <v>106239.75009460998</v>
      </c>
      <c r="E348">
        <v>177248.92521658132</v>
      </c>
      <c r="F348">
        <v>48271.079438071014</v>
      </c>
      <c r="G348">
        <v>10000</v>
      </c>
      <c r="H348">
        <v>421900.71089861396</v>
      </c>
      <c r="I348">
        <v>46.093156324950556</v>
      </c>
    </row>
    <row r="349" spans="1:9" x14ac:dyDescent="0.2">
      <c r="A349">
        <v>339</v>
      </c>
      <c r="B349">
        <v>1718397.6222198997</v>
      </c>
      <c r="C349">
        <v>78254.931650314553</v>
      </c>
      <c r="D349">
        <v>172370.64173761205</v>
      </c>
      <c r="E349">
        <v>183548.01966281497</v>
      </c>
      <c r="F349">
        <v>48707.170592041039</v>
      </c>
      <c r="G349">
        <v>10000</v>
      </c>
      <c r="H349">
        <v>472880.76364278264</v>
      </c>
      <c r="I349">
        <v>40.995674303759301</v>
      </c>
    </row>
    <row r="350" spans="1:9" x14ac:dyDescent="0.2">
      <c r="A350">
        <v>340</v>
      </c>
      <c r="B350">
        <v>1633782.6150322424</v>
      </c>
      <c r="C350">
        <v>125651.49489779653</v>
      </c>
      <c r="D350">
        <v>106211.63449679979</v>
      </c>
      <c r="E350">
        <v>179407.27918748147</v>
      </c>
      <c r="F350">
        <v>48420.503943748714</v>
      </c>
      <c r="G350">
        <v>10000</v>
      </c>
      <c r="H350">
        <v>449690.91252582654</v>
      </c>
      <c r="I350">
        <v>35.256454822595387</v>
      </c>
    </row>
    <row r="351" spans="1:9" x14ac:dyDescent="0.2">
      <c r="A351">
        <v>341</v>
      </c>
      <c r="B351">
        <v>1455902.2767897088</v>
      </c>
      <c r="C351">
        <v>96053.978383608628</v>
      </c>
      <c r="D351">
        <v>57970.816769376761</v>
      </c>
      <c r="E351">
        <v>206611.78758340553</v>
      </c>
      <c r="F351">
        <v>50303.892986543462</v>
      </c>
      <c r="G351">
        <v>10000</v>
      </c>
      <c r="H351">
        <v>400940.47572293435</v>
      </c>
      <c r="I351">
        <v>36.318974411713796</v>
      </c>
    </row>
    <row r="352" spans="1:9" x14ac:dyDescent="0.2">
      <c r="A352">
        <v>342</v>
      </c>
      <c r="B352">
        <v>916888.3164165417</v>
      </c>
      <c r="C352">
        <v>109541.49410500407</v>
      </c>
      <c r="D352">
        <v>59937.743603585695</v>
      </c>
      <c r="E352">
        <v>53999.008568770805</v>
      </c>
      <c r="F352">
        <v>39738.3929009149</v>
      </c>
      <c r="G352">
        <v>10000</v>
      </c>
      <c r="H352">
        <v>253216.63917827548</v>
      </c>
      <c r="I352">
        <v>49.35624373751584</v>
      </c>
    </row>
    <row r="353" spans="1:9" x14ac:dyDescent="0.2">
      <c r="A353">
        <v>343</v>
      </c>
      <c r="B353">
        <v>1154862.4636798529</v>
      </c>
      <c r="C353">
        <v>163211.69818157493</v>
      </c>
      <c r="D353">
        <v>67223.323599607116</v>
      </c>
      <c r="E353">
        <v>57987.060916172602</v>
      </c>
      <c r="F353">
        <v>40014.488832658099</v>
      </c>
      <c r="G353">
        <v>10000</v>
      </c>
      <c r="H353">
        <v>318436.5715300127</v>
      </c>
      <c r="I353">
        <v>39.328890728039887</v>
      </c>
    </row>
    <row r="354" spans="1:9" x14ac:dyDescent="0.2">
      <c r="A354">
        <v>344</v>
      </c>
      <c r="B354">
        <v>1344059.706939091</v>
      </c>
      <c r="C354">
        <v>130784.55503441203</v>
      </c>
      <c r="D354">
        <v>85378.080787047307</v>
      </c>
      <c r="E354">
        <v>119829.99578936498</v>
      </c>
      <c r="F354">
        <v>44295.922785417577</v>
      </c>
      <c r="G354">
        <v>10000</v>
      </c>
      <c r="H354">
        <v>370288.5543962419</v>
      </c>
      <c r="I354">
        <v>26.795325406607951</v>
      </c>
    </row>
    <row r="355" spans="1:9" x14ac:dyDescent="0.2">
      <c r="A355">
        <v>345</v>
      </c>
      <c r="B355">
        <v>1469127.0956433641</v>
      </c>
      <c r="C355">
        <v>159189.03585378741</v>
      </c>
      <c r="D355">
        <v>66840.421507513398</v>
      </c>
      <c r="E355">
        <v>142659.05695367916</v>
      </c>
      <c r="F355">
        <v>45876.396250639322</v>
      </c>
      <c r="G355">
        <v>10000</v>
      </c>
      <c r="H355">
        <v>404564.91056561936</v>
      </c>
      <c r="I355">
        <v>41.446262124190433</v>
      </c>
    </row>
    <row r="356" spans="1:9" x14ac:dyDescent="0.2">
      <c r="A356">
        <v>346</v>
      </c>
      <c r="B356">
        <v>1126457.1489542532</v>
      </c>
      <c r="C356">
        <v>113065.71474747382</v>
      </c>
      <c r="D356">
        <v>33746.634161324902</v>
      </c>
      <c r="E356">
        <v>128914.52247502323</v>
      </c>
      <c r="F356">
        <v>44924.851555963149</v>
      </c>
      <c r="G356">
        <v>10000</v>
      </c>
      <c r="H356">
        <v>310651.7229397851</v>
      </c>
      <c r="I356">
        <v>34.15608211705306</v>
      </c>
    </row>
    <row r="357" spans="1:9" x14ac:dyDescent="0.2">
      <c r="A357">
        <v>347</v>
      </c>
      <c r="B357">
        <v>1147271.8182234201</v>
      </c>
      <c r="C357">
        <v>117882.35126262926</v>
      </c>
      <c r="D357">
        <v>81855.205330723489</v>
      </c>
      <c r="E357">
        <v>84751.301332632298</v>
      </c>
      <c r="F357">
        <v>41867.397784566849</v>
      </c>
      <c r="G357">
        <v>10000</v>
      </c>
      <c r="H357">
        <v>316356.25571055192</v>
      </c>
      <c r="I357">
        <v>35.387650700338114</v>
      </c>
    </row>
    <row r="358" spans="1:9" x14ac:dyDescent="0.2">
      <c r="A358">
        <v>348</v>
      </c>
      <c r="B358">
        <v>1559147.8283830071</v>
      </c>
      <c r="C358">
        <v>106430.33638871947</v>
      </c>
      <c r="D358">
        <v>96797.877726799808</v>
      </c>
      <c r="E358">
        <v>187057.89547159907</v>
      </c>
      <c r="F358">
        <v>48950.161994187627</v>
      </c>
      <c r="G358">
        <v>10000</v>
      </c>
      <c r="H358">
        <v>429236.27158130601</v>
      </c>
      <c r="I358">
        <v>30.009572906781926</v>
      </c>
    </row>
    <row r="359" spans="1:9" x14ac:dyDescent="0.2">
      <c r="A359">
        <v>349</v>
      </c>
      <c r="B359">
        <v>1421777.770261887</v>
      </c>
      <c r="C359">
        <v>114933.55995987264</v>
      </c>
      <c r="D359">
        <v>43264.439644093123</v>
      </c>
      <c r="E359">
        <v>193962.06512757481</v>
      </c>
      <c r="F359">
        <v>49428.142970370565</v>
      </c>
      <c r="G359">
        <v>10000</v>
      </c>
      <c r="H359">
        <v>391588.2077019111</v>
      </c>
      <c r="I359">
        <v>34.503962570646962</v>
      </c>
    </row>
    <row r="360" spans="1:9" x14ac:dyDescent="0.2">
      <c r="A360">
        <v>350</v>
      </c>
      <c r="B360">
        <v>1128721.3777083738</v>
      </c>
      <c r="C360">
        <v>83820.183759385574</v>
      </c>
      <c r="D360">
        <v>75959.972020753703</v>
      </c>
      <c r="E360">
        <v>117366.72037580945</v>
      </c>
      <c r="F360">
        <v>44125.388333709881</v>
      </c>
      <c r="G360">
        <v>10000</v>
      </c>
      <c r="H360">
        <v>311272.26448965864</v>
      </c>
      <c r="I360">
        <v>38.618343029568209</v>
      </c>
    </row>
    <row r="361" spans="1:9" x14ac:dyDescent="0.2">
      <c r="A361">
        <v>351</v>
      </c>
      <c r="B361">
        <v>1446567.8802753577</v>
      </c>
      <c r="C361">
        <v>109431.35304422895</v>
      </c>
      <c r="D361">
        <v>43853.823199998449</v>
      </c>
      <c r="E361">
        <v>204910.94359128206</v>
      </c>
      <c r="F361">
        <v>50186.14224862722</v>
      </c>
      <c r="G361">
        <v>10000</v>
      </c>
      <c r="H361">
        <v>398382.26208413666</v>
      </c>
      <c r="I361">
        <v>29.149415775115795</v>
      </c>
    </row>
    <row r="362" spans="1:9" x14ac:dyDescent="0.2">
      <c r="A362">
        <v>352</v>
      </c>
      <c r="B362">
        <v>1435002.2108371328</v>
      </c>
      <c r="C362">
        <v>146550.3535175173</v>
      </c>
      <c r="D362">
        <v>54762.54075391723</v>
      </c>
      <c r="E362">
        <v>157028.44459087102</v>
      </c>
      <c r="F362">
        <v>46871.200010137225</v>
      </c>
      <c r="G362">
        <v>10000</v>
      </c>
      <c r="H362">
        <v>395212.53887244273</v>
      </c>
      <c r="I362">
        <v>25.714022153552804</v>
      </c>
    </row>
    <row r="363" spans="1:9" x14ac:dyDescent="0.2">
      <c r="A363">
        <v>353</v>
      </c>
      <c r="B363">
        <v>1484060.9947860162</v>
      </c>
      <c r="C363">
        <v>119979.24348062754</v>
      </c>
      <c r="D363">
        <v>83320.806128926633</v>
      </c>
      <c r="E363">
        <v>167744.60369180696</v>
      </c>
      <c r="F363">
        <v>47613.087947894324</v>
      </c>
      <c r="G363">
        <v>10000</v>
      </c>
      <c r="H363">
        <v>408657.74124925549</v>
      </c>
      <c r="I363">
        <v>31.317957443453579</v>
      </c>
    </row>
    <row r="364" spans="1:9" x14ac:dyDescent="0.2">
      <c r="A364">
        <v>354</v>
      </c>
      <c r="B364">
        <v>1234291.0410589986</v>
      </c>
      <c r="C364">
        <v>120911.02154902072</v>
      </c>
      <c r="D364">
        <v>115030.6816872866</v>
      </c>
      <c r="E364">
        <v>73195.901797097453</v>
      </c>
      <c r="F364">
        <v>41067.4085859529</v>
      </c>
      <c r="G364">
        <v>10000</v>
      </c>
      <c r="H364">
        <v>340205.01361935766</v>
      </c>
      <c r="I364">
        <v>29.604513321161349</v>
      </c>
    </row>
    <row r="365" spans="1:9" x14ac:dyDescent="0.2">
      <c r="A365">
        <v>355</v>
      </c>
      <c r="B365">
        <v>1600555.3947621523</v>
      </c>
      <c r="C365">
        <v>108501.11532669154</v>
      </c>
      <c r="D365">
        <v>85871.202597540774</v>
      </c>
      <c r="E365">
        <v>205953.89318224377</v>
      </c>
      <c r="F365">
        <v>50258.346451078411</v>
      </c>
      <c r="G365">
        <v>10000</v>
      </c>
      <c r="H365">
        <v>440584.55755755451</v>
      </c>
      <c r="I365">
        <v>30.74225273993661</v>
      </c>
    </row>
    <row r="366" spans="1:9" x14ac:dyDescent="0.2">
      <c r="A366">
        <v>356</v>
      </c>
      <c r="B366">
        <v>976284.3138580505</v>
      </c>
      <c r="C366">
        <v>95518.049981011209</v>
      </c>
      <c r="D366">
        <v>95817.920893716422</v>
      </c>
      <c r="E366">
        <v>48781.72322498454</v>
      </c>
      <c r="F366">
        <v>39377.196223268162</v>
      </c>
      <c r="G366">
        <v>10000</v>
      </c>
      <c r="H366">
        <v>269494.89032298035</v>
      </c>
      <c r="I366">
        <v>29.925550998740867</v>
      </c>
    </row>
    <row r="367" spans="1:9" x14ac:dyDescent="0.2">
      <c r="A367">
        <v>357</v>
      </c>
      <c r="B367">
        <v>1100705.1600220883</v>
      </c>
      <c r="C367">
        <v>100438.88230860086</v>
      </c>
      <c r="D367">
        <v>127016.18688126781</v>
      </c>
      <c r="E367">
        <v>46892.574823819865</v>
      </c>
      <c r="F367">
        <v>39246.409026264453</v>
      </c>
      <c r="G367">
        <v>10000</v>
      </c>
      <c r="H367">
        <v>303594.053039953</v>
      </c>
      <c r="I367">
        <v>32.738375065601232</v>
      </c>
    </row>
    <row r="368" spans="1:9" x14ac:dyDescent="0.2">
      <c r="A368">
        <v>358</v>
      </c>
      <c r="B368">
        <v>1117425.0444054187</v>
      </c>
      <c r="C368">
        <v>100228.23791411921</v>
      </c>
      <c r="D368">
        <v>52907.326517353686</v>
      </c>
      <c r="E368">
        <v>120685.63275195667</v>
      </c>
      <c r="F368">
        <v>44355.159190520077</v>
      </c>
      <c r="G368">
        <v>10000</v>
      </c>
      <c r="H368">
        <v>308176.35637394962</v>
      </c>
      <c r="I368">
        <v>39.09074307361017</v>
      </c>
    </row>
    <row r="369" spans="1:9" x14ac:dyDescent="0.2">
      <c r="A369">
        <v>359</v>
      </c>
      <c r="B369">
        <v>1307923.2129187554</v>
      </c>
      <c r="C369">
        <v>102364.99968470809</v>
      </c>
      <c r="D369">
        <v>143521.6008760322</v>
      </c>
      <c r="E369">
        <v>82768.170196036706</v>
      </c>
      <c r="F369">
        <v>41730.104090494846</v>
      </c>
      <c r="G369">
        <v>10000</v>
      </c>
      <c r="H369">
        <v>360384.87484727183</v>
      </c>
      <c r="I369">
        <v>31.70068146880741</v>
      </c>
    </row>
    <row r="370" spans="1:9" x14ac:dyDescent="0.2">
      <c r="A370">
        <v>360</v>
      </c>
      <c r="B370">
        <v>1015499.3344190447</v>
      </c>
      <c r="C370">
        <v>102361.53794384014</v>
      </c>
      <c r="D370">
        <v>106447.4037119258</v>
      </c>
      <c r="E370">
        <v>42491.611772334014</v>
      </c>
      <c r="F370">
        <v>38941.726968853895</v>
      </c>
      <c r="G370">
        <v>10000</v>
      </c>
      <c r="H370">
        <v>280242.28039695387</v>
      </c>
      <c r="I370">
        <v>35.076448149975448</v>
      </c>
    </row>
    <row r="371" spans="1:9" x14ac:dyDescent="0.2">
      <c r="A371">
        <v>361</v>
      </c>
      <c r="B371">
        <v>1300441.9650618476</v>
      </c>
      <c r="C371">
        <v>83711.000290487136</v>
      </c>
      <c r="D371">
        <v>70620.477462019757</v>
      </c>
      <c r="E371">
        <v>166477.6849328283</v>
      </c>
      <c r="F371">
        <v>47525.378187657348</v>
      </c>
      <c r="G371">
        <v>10000</v>
      </c>
      <c r="H371">
        <v>358334.54087299254</v>
      </c>
      <c r="I371">
        <v>41.101414131504832</v>
      </c>
    </row>
    <row r="372" spans="1:9" x14ac:dyDescent="0.2">
      <c r="A372">
        <v>362</v>
      </c>
      <c r="B372">
        <v>1272414.6010396201</v>
      </c>
      <c r="C372">
        <v>94421.106090413698</v>
      </c>
      <c r="D372">
        <v>112227.01087943146</v>
      </c>
      <c r="E372">
        <v>110364.53593545902</v>
      </c>
      <c r="F372">
        <v>43640.621718608701</v>
      </c>
      <c r="G372">
        <v>10000</v>
      </c>
      <c r="H372">
        <v>350653.27462391288</v>
      </c>
      <c r="I372">
        <v>37.589170829907978</v>
      </c>
    </row>
    <row r="373" spans="1:9" x14ac:dyDescent="0.2">
      <c r="A373">
        <v>363</v>
      </c>
      <c r="B373">
        <v>1284108.1333473122</v>
      </c>
      <c r="C373">
        <v>102313.82943294269</v>
      </c>
      <c r="D373">
        <v>48514.091991596208</v>
      </c>
      <c r="E373">
        <v>165567.73710573159</v>
      </c>
      <c r="F373">
        <v>47462.381799627576</v>
      </c>
      <c r="G373">
        <v>10000</v>
      </c>
      <c r="H373">
        <v>353858.04032989801</v>
      </c>
      <c r="I373">
        <v>34.758763380677024</v>
      </c>
    </row>
    <row r="374" spans="1:9" x14ac:dyDescent="0.2">
      <c r="A374">
        <v>364</v>
      </c>
      <c r="B374">
        <v>1435993.6812388164</v>
      </c>
      <c r="C374">
        <v>101023.04257075085</v>
      </c>
      <c r="D374">
        <v>102467.38147544618</v>
      </c>
      <c r="E374">
        <v>155246.03766950438</v>
      </c>
      <c r="F374">
        <v>46747.802607888763</v>
      </c>
      <c r="G374">
        <v>10000</v>
      </c>
      <c r="H374">
        <v>395484.26432359015</v>
      </c>
      <c r="I374">
        <v>34.687697907279215</v>
      </c>
    </row>
    <row r="375" spans="1:9" x14ac:dyDescent="0.2">
      <c r="A375">
        <v>365</v>
      </c>
      <c r="B375">
        <v>1443183.8366757776</v>
      </c>
      <c r="C375">
        <v>109166.30095188161</v>
      </c>
      <c r="D375">
        <v>85967.190703900953</v>
      </c>
      <c r="E375">
        <v>164904.8400263903</v>
      </c>
      <c r="F375">
        <v>47416.488924903941</v>
      </c>
      <c r="G375">
        <v>10000</v>
      </c>
      <c r="H375">
        <v>397454.82060707675</v>
      </c>
      <c r="I375">
        <v>36.4694155672465</v>
      </c>
    </row>
    <row r="376" spans="1:9" x14ac:dyDescent="0.2">
      <c r="A376">
        <v>366</v>
      </c>
      <c r="B376">
        <v>1742195.8791428821</v>
      </c>
      <c r="C376">
        <v>90187.051664436847</v>
      </c>
      <c r="D376">
        <v>146036.57902109588</v>
      </c>
      <c r="E376">
        <v>203117.38425157013</v>
      </c>
      <c r="F376">
        <v>50061.972755877927</v>
      </c>
      <c r="G376">
        <v>10000</v>
      </c>
      <c r="H376">
        <v>479402.98769298079</v>
      </c>
      <c r="I376">
        <v>45.609672021272885</v>
      </c>
    </row>
    <row r="377" spans="1:9" x14ac:dyDescent="0.2">
      <c r="A377">
        <v>367</v>
      </c>
      <c r="B377">
        <v>1345988.5263181699</v>
      </c>
      <c r="C377">
        <v>145866.66199787945</v>
      </c>
      <c r="D377">
        <v>57610.315959427498</v>
      </c>
      <c r="E377">
        <v>132188.67126096139</v>
      </c>
      <c r="F377">
        <v>45151.523394989636</v>
      </c>
      <c r="G377">
        <v>10000</v>
      </c>
      <c r="H377">
        <v>370817.17261325801</v>
      </c>
      <c r="I377">
        <v>35.110276535925422</v>
      </c>
    </row>
    <row r="378" spans="1:9" x14ac:dyDescent="0.2">
      <c r="A378">
        <v>368</v>
      </c>
      <c r="B378">
        <v>1686036.8387452585</v>
      </c>
      <c r="C378">
        <v>116057.72231659007</v>
      </c>
      <c r="D378">
        <v>110835.53727537417</v>
      </c>
      <c r="E378">
        <v>197449.05731429401</v>
      </c>
      <c r="F378">
        <v>49669.550121758817</v>
      </c>
      <c r="G378">
        <v>10000</v>
      </c>
      <c r="H378">
        <v>464011.86702801706</v>
      </c>
      <c r="I378">
        <v>32.097464241013768</v>
      </c>
    </row>
    <row r="379" spans="1:9" x14ac:dyDescent="0.2">
      <c r="A379">
        <v>369</v>
      </c>
      <c r="B379">
        <v>1474339.0280059811</v>
      </c>
      <c r="C379">
        <v>96034.444899399328</v>
      </c>
      <c r="D379">
        <v>67486.658420585227</v>
      </c>
      <c r="E379">
        <v>202456.0196093118</v>
      </c>
      <c r="F379">
        <v>50016.185972952357</v>
      </c>
      <c r="G379">
        <v>10000</v>
      </c>
      <c r="H379">
        <v>405993.30890224868</v>
      </c>
      <c r="I379">
        <v>30.16205423902732</v>
      </c>
    </row>
    <row r="380" spans="1:9" x14ac:dyDescent="0.2">
      <c r="A380">
        <v>370</v>
      </c>
      <c r="B380">
        <v>1763800.229389569</v>
      </c>
      <c r="C380">
        <v>146725.40500738428</v>
      </c>
      <c r="D380">
        <v>99464.997166637826</v>
      </c>
      <c r="E380">
        <v>199333.52727888167</v>
      </c>
      <c r="F380">
        <v>49800.013426999503</v>
      </c>
      <c r="G380">
        <v>10000</v>
      </c>
      <c r="H380">
        <v>485323.9428799033</v>
      </c>
      <c r="I380">
        <v>34.734923125576103</v>
      </c>
    </row>
    <row r="381" spans="1:9" x14ac:dyDescent="0.2">
      <c r="A381">
        <v>371</v>
      </c>
      <c r="B381">
        <v>1273592.7297754083</v>
      </c>
      <c r="C381">
        <v>107669.26985887461</v>
      </c>
      <c r="D381">
        <v>69305.743692600678</v>
      </c>
      <c r="E381">
        <v>138418.33488538224</v>
      </c>
      <c r="F381">
        <v>45582.807799757233</v>
      </c>
      <c r="G381">
        <v>10000</v>
      </c>
      <c r="H381">
        <v>350976.1562366148</v>
      </c>
      <c r="I381">
        <v>33.250057166653683</v>
      </c>
    </row>
    <row r="382" spans="1:9" x14ac:dyDescent="0.2">
      <c r="A382">
        <v>372</v>
      </c>
      <c r="B382">
        <v>1263600.3651136807</v>
      </c>
      <c r="C382">
        <v>152590.12999300158</v>
      </c>
      <c r="D382">
        <v>96501.662374313499</v>
      </c>
      <c r="E382">
        <v>68409.764800741381</v>
      </c>
      <c r="F382">
        <v>40736.060640051328</v>
      </c>
      <c r="G382">
        <v>10000</v>
      </c>
      <c r="H382">
        <v>348237.61780810781</v>
      </c>
      <c r="I382">
        <v>32.356100160119929</v>
      </c>
    </row>
    <row r="383" spans="1:9" x14ac:dyDescent="0.2">
      <c r="A383">
        <v>373</v>
      </c>
      <c r="B383">
        <v>1111003.0259619697</v>
      </c>
      <c r="C383">
        <v>142403.50173702455</v>
      </c>
      <c r="D383">
        <v>65125.284943858846</v>
      </c>
      <c r="E383">
        <v>68168.194848287007</v>
      </c>
      <c r="F383">
        <v>40719.336566419865</v>
      </c>
      <c r="G383">
        <v>10000</v>
      </c>
      <c r="H383">
        <v>306416.31809559028</v>
      </c>
      <c r="I383">
        <v>31.901655184766259</v>
      </c>
    </row>
    <row r="384" spans="1:9" x14ac:dyDescent="0.2">
      <c r="A384">
        <v>374</v>
      </c>
      <c r="B384">
        <v>1291667.1610250217</v>
      </c>
      <c r="C384">
        <v>121039.13670950731</v>
      </c>
      <c r="D384">
        <v>67439.717785084809</v>
      </c>
      <c r="E384">
        <v>132292.14914017124</v>
      </c>
      <c r="F384">
        <v>45158.687248165697</v>
      </c>
      <c r="G384">
        <v>10000</v>
      </c>
      <c r="H384">
        <v>355929.69088292908</v>
      </c>
      <c r="I384">
        <v>33.544496282061985</v>
      </c>
    </row>
    <row r="385" spans="1:9" x14ac:dyDescent="0.2">
      <c r="A385">
        <v>375</v>
      </c>
      <c r="B385">
        <v>1139545.1818299806</v>
      </c>
      <c r="C385">
        <v>149036.06878890027</v>
      </c>
      <c r="D385">
        <v>41925.019704077946</v>
      </c>
      <c r="E385">
        <v>90979.032870915442</v>
      </c>
      <c r="F385">
        <v>42298.548429524912</v>
      </c>
      <c r="G385">
        <v>10000</v>
      </c>
      <c r="H385">
        <v>314238.66979341861</v>
      </c>
      <c r="I385">
        <v>35.743886087679883</v>
      </c>
    </row>
    <row r="386" spans="1:9" x14ac:dyDescent="0.2">
      <c r="A386">
        <v>376</v>
      </c>
      <c r="B386">
        <v>1390207.9665170964</v>
      </c>
      <c r="C386">
        <v>155937.41352692584</v>
      </c>
      <c r="D386">
        <v>67455.899833154137</v>
      </c>
      <c r="E386">
        <v>124896.12151676478</v>
      </c>
      <c r="F386">
        <v>44646.65456654525</v>
      </c>
      <c r="G386">
        <v>10000</v>
      </c>
      <c r="H386">
        <v>382936.08944339002</v>
      </c>
      <c r="I386">
        <v>28.977742641912158</v>
      </c>
    </row>
    <row r="387" spans="1:9" x14ac:dyDescent="0.2">
      <c r="A387">
        <v>377</v>
      </c>
      <c r="B387">
        <v>1308743.5871708365</v>
      </c>
      <c r="C387">
        <v>144032.96871780316</v>
      </c>
      <c r="D387">
        <v>55325.822328414295</v>
      </c>
      <c r="E387">
        <v>126493.66442051291</v>
      </c>
      <c r="F387">
        <v>44757.25369065089</v>
      </c>
      <c r="G387">
        <v>10000</v>
      </c>
      <c r="H387">
        <v>360609.70915738132</v>
      </c>
      <c r="I387">
        <v>27.118620226970712</v>
      </c>
    </row>
    <row r="388" spans="1:9" x14ac:dyDescent="0.2">
      <c r="A388">
        <v>378</v>
      </c>
      <c r="B388">
        <v>1690898.599941897</v>
      </c>
      <c r="C388">
        <v>110843.9782426602</v>
      </c>
      <c r="D388">
        <v>141844.95374649848</v>
      </c>
      <c r="E388">
        <v>174569.76524790746</v>
      </c>
      <c r="F388">
        <v>48085.599132547439</v>
      </c>
      <c r="G388">
        <v>10000</v>
      </c>
      <c r="H388">
        <v>465344.29636961356</v>
      </c>
      <c r="I388">
        <v>48.109919966215131</v>
      </c>
    </row>
    <row r="389" spans="1:9" x14ac:dyDescent="0.2">
      <c r="A389">
        <v>379</v>
      </c>
      <c r="B389">
        <v>1320115.9454300096</v>
      </c>
      <c r="C389">
        <v>143602.90988814278</v>
      </c>
      <c r="D389">
        <v>140747.96852785457</v>
      </c>
      <c r="E389">
        <v>49919.602043081548</v>
      </c>
      <c r="F389">
        <v>39455.97244913641</v>
      </c>
      <c r="G389">
        <v>10000</v>
      </c>
      <c r="H389">
        <v>363726.45290821535</v>
      </c>
      <c r="I389">
        <v>39.871651015395017</v>
      </c>
    </row>
    <row r="390" spans="1:9" x14ac:dyDescent="0.2">
      <c r="A390">
        <v>380</v>
      </c>
      <c r="B390">
        <v>1277084.939044737</v>
      </c>
      <c r="C390">
        <v>91900.906939707114</v>
      </c>
      <c r="D390">
        <v>49050.281128174414</v>
      </c>
      <c r="E390">
        <v>173004.79857829251</v>
      </c>
      <c r="F390">
        <v>47977.25528618948</v>
      </c>
      <c r="G390">
        <v>10000</v>
      </c>
      <c r="H390">
        <v>351933.24193236354</v>
      </c>
      <c r="I390">
        <v>37.584210254124685</v>
      </c>
    </row>
    <row r="391" spans="1:9" x14ac:dyDescent="0.2">
      <c r="A391">
        <v>381</v>
      </c>
      <c r="B391">
        <v>1034510.4387545267</v>
      </c>
      <c r="C391">
        <v>95772.147324606151</v>
      </c>
      <c r="D391">
        <v>67829.857732152319</v>
      </c>
      <c r="E391">
        <v>89644.368899343317</v>
      </c>
      <c r="F391">
        <v>42206.148616108381</v>
      </c>
      <c r="G391">
        <v>10000</v>
      </c>
      <c r="H391">
        <v>285452.52257221017</v>
      </c>
      <c r="I391">
        <v>37.809872305746566</v>
      </c>
    </row>
    <row r="392" spans="1:9" x14ac:dyDescent="0.2">
      <c r="A392">
        <v>382</v>
      </c>
      <c r="B392">
        <v>1073132.6514832978</v>
      </c>
      <c r="C392">
        <v>152319.24234482116</v>
      </c>
      <c r="D392">
        <v>82016.105357687731</v>
      </c>
      <c r="E392">
        <v>33390.451546369797</v>
      </c>
      <c r="F392">
        <v>38311.646645517911</v>
      </c>
      <c r="G392">
        <v>10000</v>
      </c>
      <c r="H392">
        <v>296037.44589439663</v>
      </c>
      <c r="I392">
        <v>28.262793592808187</v>
      </c>
    </row>
    <row r="393" spans="1:9" x14ac:dyDescent="0.2">
      <c r="A393">
        <v>383</v>
      </c>
      <c r="B393">
        <v>1348103.2091046988</v>
      </c>
      <c r="C393">
        <v>91409.865617331627</v>
      </c>
      <c r="D393">
        <v>102138.47941823762</v>
      </c>
      <c r="E393">
        <v>142016.47433457233</v>
      </c>
      <c r="F393">
        <v>45831.909761624236</v>
      </c>
      <c r="G393">
        <v>10000</v>
      </c>
      <c r="H393">
        <v>371396.72913176584</v>
      </c>
      <c r="I393">
        <v>38.056984536264864</v>
      </c>
    </row>
    <row r="394" spans="1:9" x14ac:dyDescent="0.2">
      <c r="A394">
        <v>384</v>
      </c>
      <c r="B394">
        <v>1536612.7461433187</v>
      </c>
      <c r="C394">
        <v>129449.02281344977</v>
      </c>
      <c r="D394">
        <v>111387.31217089553</v>
      </c>
      <c r="E394">
        <v>146108.68543168833</v>
      </c>
      <c r="F394">
        <v>46115.216683732266</v>
      </c>
      <c r="G394">
        <v>10000</v>
      </c>
      <c r="H394">
        <v>423060.23709976592</v>
      </c>
      <c r="I394">
        <v>36.493214484001932</v>
      </c>
    </row>
    <row r="395" spans="1:9" x14ac:dyDescent="0.2">
      <c r="A395">
        <v>385</v>
      </c>
      <c r="B395">
        <v>1760120.8937001941</v>
      </c>
      <c r="C395">
        <v>113430.5385381253</v>
      </c>
      <c r="D395">
        <v>124335.95199244456</v>
      </c>
      <c r="E395">
        <v>206268.92580505772</v>
      </c>
      <c r="F395">
        <v>50280.156401888613</v>
      </c>
      <c r="G395">
        <v>10000</v>
      </c>
      <c r="H395">
        <v>484315.57273751614</v>
      </c>
      <c r="I395">
        <v>26.768753826598193</v>
      </c>
    </row>
    <row r="396" spans="1:9" x14ac:dyDescent="0.2">
      <c r="A396">
        <v>386</v>
      </c>
      <c r="B396">
        <v>919196.53579500178</v>
      </c>
      <c r="C396">
        <v>98253.875475502457</v>
      </c>
      <c r="D396">
        <v>51577.1159345548</v>
      </c>
      <c r="E396">
        <v>72966.704447783995</v>
      </c>
      <c r="F396">
        <v>41051.541077154281</v>
      </c>
      <c r="G396">
        <v>10000</v>
      </c>
      <c r="H396">
        <v>253849.23693499551</v>
      </c>
      <c r="I396">
        <v>31.897731356898156</v>
      </c>
    </row>
    <row r="397" spans="1:9" x14ac:dyDescent="0.2">
      <c r="A397">
        <v>387</v>
      </c>
      <c r="B397">
        <v>1170126.4530962042</v>
      </c>
      <c r="C397">
        <v>96996.952448531185</v>
      </c>
      <c r="D397">
        <v>141084.08287569531</v>
      </c>
      <c r="E397">
        <v>54748.548337226399</v>
      </c>
      <c r="F397">
        <v>39790.284115654133</v>
      </c>
      <c r="G397">
        <v>10000</v>
      </c>
      <c r="H397">
        <v>322619.86777710699</v>
      </c>
      <c r="I397">
        <v>45.448140315478781</v>
      </c>
    </row>
    <row r="398" spans="1:9" x14ac:dyDescent="0.2">
      <c r="A398">
        <v>388</v>
      </c>
      <c r="B398">
        <v>1489163.8825707377</v>
      </c>
      <c r="C398">
        <v>99584.046760064768</v>
      </c>
      <c r="D398">
        <v>85629.073601453798</v>
      </c>
      <c r="E398">
        <v>185968.3988260451</v>
      </c>
      <c r="F398">
        <v>48874.735303341586</v>
      </c>
      <c r="G398">
        <v>10000</v>
      </c>
      <c r="H398">
        <v>410056.25449090527</v>
      </c>
      <c r="I398">
        <v>35.428500749670235</v>
      </c>
    </row>
    <row r="399" spans="1:9" x14ac:dyDescent="0.2">
      <c r="A399">
        <v>389</v>
      </c>
      <c r="B399">
        <v>1478890.0146482296</v>
      </c>
      <c r="C399">
        <v>100603.48843060026</v>
      </c>
      <c r="D399">
        <v>85182.675086967633</v>
      </c>
      <c r="E399">
        <v>182799.08183836966</v>
      </c>
      <c r="F399">
        <v>48655.32105034867</v>
      </c>
      <c r="G399">
        <v>10000</v>
      </c>
      <c r="H399">
        <v>407240.56640628626</v>
      </c>
      <c r="I399">
        <v>34.055279926701452</v>
      </c>
    </row>
    <row r="400" spans="1:9" x14ac:dyDescent="0.2">
      <c r="A400">
        <v>390</v>
      </c>
      <c r="B400">
        <v>1487678.3920536942</v>
      </c>
      <c r="C400">
        <v>159409.32587436255</v>
      </c>
      <c r="D400">
        <v>40037.358285149661</v>
      </c>
      <c r="E400">
        <v>172275.67471597772</v>
      </c>
      <c r="F400">
        <v>47926.777480336918</v>
      </c>
      <c r="G400">
        <v>10000</v>
      </c>
      <c r="H400">
        <v>409649.13635582681</v>
      </c>
      <c r="I400">
        <v>49.17477548238633</v>
      </c>
    </row>
    <row r="401" spans="1:9" x14ac:dyDescent="0.2">
      <c r="A401">
        <v>391</v>
      </c>
      <c r="B401">
        <v>948383.91930086468</v>
      </c>
      <c r="C401">
        <v>94684.540788329716</v>
      </c>
      <c r="D401">
        <v>83126.881903420683</v>
      </c>
      <c r="E401">
        <v>54279.207723332678</v>
      </c>
      <c r="F401">
        <v>39757.791303923033</v>
      </c>
      <c r="G401">
        <v>10000</v>
      </c>
      <c r="H401">
        <v>261848.42171900615</v>
      </c>
      <c r="I401">
        <v>34.51347453598504</v>
      </c>
    </row>
    <row r="402" spans="1:9" x14ac:dyDescent="0.2">
      <c r="A402">
        <v>392</v>
      </c>
      <c r="B402">
        <v>1543447.1446190048</v>
      </c>
      <c r="C402">
        <v>133292.57100163831</v>
      </c>
      <c r="D402">
        <v>82971.312698647191</v>
      </c>
      <c r="E402">
        <v>170841.89408333242</v>
      </c>
      <c r="F402">
        <v>47827.515744230703</v>
      </c>
      <c r="G402">
        <v>10000</v>
      </c>
      <c r="H402">
        <v>424933.29352784867</v>
      </c>
      <c r="I402">
        <v>38.250656475345352</v>
      </c>
    </row>
    <row r="403" spans="1:9" x14ac:dyDescent="0.2">
      <c r="A403">
        <v>393</v>
      </c>
      <c r="B403">
        <v>1223433.3821108942</v>
      </c>
      <c r="C403">
        <v>106110.2150194265</v>
      </c>
      <c r="D403">
        <v>53437.785605526085</v>
      </c>
      <c r="E403">
        <v>141860.23606587018</v>
      </c>
      <c r="F403">
        <v>45821.093266098709</v>
      </c>
      <c r="G403">
        <v>10000</v>
      </c>
      <c r="H403">
        <v>337229.32995692146</v>
      </c>
      <c r="I403">
        <v>36.295078953028018</v>
      </c>
    </row>
    <row r="404" spans="1:9" x14ac:dyDescent="0.2">
      <c r="A404">
        <v>394</v>
      </c>
      <c r="B404">
        <v>1693911.3498391064</v>
      </c>
      <c r="C404">
        <v>148935.21975077325</v>
      </c>
      <c r="D404">
        <v>87092.426930113128</v>
      </c>
      <c r="E404">
        <v>190924.48434665846</v>
      </c>
      <c r="F404">
        <v>49217.848916307121</v>
      </c>
      <c r="G404">
        <v>10000</v>
      </c>
      <c r="H404">
        <v>466169.97994385194</v>
      </c>
      <c r="I404">
        <v>29.117029545747386</v>
      </c>
    </row>
    <row r="405" spans="1:9" x14ac:dyDescent="0.2">
      <c r="A405">
        <v>395</v>
      </c>
      <c r="B405">
        <v>1330201.8886170264</v>
      </c>
      <c r="C405">
        <v>80744.103200973303</v>
      </c>
      <c r="D405">
        <v>58202.323817453798</v>
      </c>
      <c r="E405">
        <v>188494.58558320353</v>
      </c>
      <c r="F405">
        <v>49049.625155760245</v>
      </c>
      <c r="G405">
        <v>10000</v>
      </c>
      <c r="H405">
        <v>366490.63775739091</v>
      </c>
      <c r="I405">
        <v>39.410311830347553</v>
      </c>
    </row>
    <row r="406" spans="1:9" x14ac:dyDescent="0.2">
      <c r="A406">
        <v>396</v>
      </c>
      <c r="B406">
        <v>1208353.2174015467</v>
      </c>
      <c r="C406">
        <v>81976.823968657714</v>
      </c>
      <c r="D406">
        <v>108810.870737973</v>
      </c>
      <c r="E406">
        <v>108777.93823292309</v>
      </c>
      <c r="F406">
        <v>43530.780339202371</v>
      </c>
      <c r="G406">
        <v>10000</v>
      </c>
      <c r="H406">
        <v>333096.4132787562</v>
      </c>
      <c r="I406">
        <v>30.027658476698981</v>
      </c>
    </row>
    <row r="407" spans="1:9" x14ac:dyDescent="0.2">
      <c r="A407">
        <v>397</v>
      </c>
      <c r="B407">
        <v>1464621.9569618725</v>
      </c>
      <c r="C407">
        <v>150936.11751135479</v>
      </c>
      <c r="D407">
        <v>113107.29146853315</v>
      </c>
      <c r="E407">
        <v>105951.69216596402</v>
      </c>
      <c r="F407">
        <v>43335.117149951351</v>
      </c>
      <c r="G407">
        <v>10000</v>
      </c>
      <c r="H407">
        <v>403330.21829580335</v>
      </c>
      <c r="I407">
        <v>29.036567401427245</v>
      </c>
    </row>
    <row r="408" spans="1:9" x14ac:dyDescent="0.2">
      <c r="A408">
        <v>398</v>
      </c>
      <c r="B408">
        <v>1114272.1519626495</v>
      </c>
      <c r="C408">
        <v>100374.2205104625</v>
      </c>
      <c r="D408">
        <v>72005.042886269672</v>
      </c>
      <c r="E408">
        <v>101879.78557797075</v>
      </c>
      <c r="F408">
        <v>43053.215924628741</v>
      </c>
      <c r="G408">
        <v>10000</v>
      </c>
      <c r="H408">
        <v>307312.26489933161</v>
      </c>
      <c r="I408">
        <v>37.432854551310804</v>
      </c>
    </row>
    <row r="409" spans="1:9" x14ac:dyDescent="0.2">
      <c r="A409">
        <v>399</v>
      </c>
      <c r="B409">
        <v>1410556.562698808</v>
      </c>
      <c r="C409">
        <v>100840.42234169987</v>
      </c>
      <c r="D409">
        <v>171838.89595900261</v>
      </c>
      <c r="E409">
        <v>84017.008361287211</v>
      </c>
      <c r="F409">
        <v>41816.562117319882</v>
      </c>
      <c r="G409">
        <v>10000</v>
      </c>
      <c r="H409">
        <v>388512.88877930958</v>
      </c>
      <c r="I409">
        <v>27.166585705101113</v>
      </c>
    </row>
    <row r="410" spans="1:9" x14ac:dyDescent="0.2">
      <c r="A410">
        <v>400</v>
      </c>
      <c r="B410">
        <v>1515953.9312387826</v>
      </c>
      <c r="C410">
        <v>141426.11454867391</v>
      </c>
      <c r="D410">
        <v>91895.032296992824</v>
      </c>
      <c r="E410">
        <v>147842.05240115445</v>
      </c>
      <c r="F410">
        <v>46235.219012387621</v>
      </c>
      <c r="G410">
        <v>10000</v>
      </c>
      <c r="H410">
        <v>417398.41825920885</v>
      </c>
      <c r="I410">
        <v>35.174335118981148</v>
      </c>
    </row>
    <row r="411" spans="1:9" x14ac:dyDescent="0.2">
      <c r="A411">
        <v>401</v>
      </c>
      <c r="B411">
        <v>1569979.65344851</v>
      </c>
      <c r="C411">
        <v>107366.96379404368</v>
      </c>
      <c r="D411">
        <v>83301.170171544014</v>
      </c>
      <c r="E411">
        <v>201581.12482984769</v>
      </c>
      <c r="F411">
        <v>49955.61633437407</v>
      </c>
      <c r="G411">
        <v>10000</v>
      </c>
      <c r="H411">
        <v>432204.87512980949</v>
      </c>
      <c r="I411">
        <v>41.049160004148703</v>
      </c>
    </row>
    <row r="412" spans="1:9" x14ac:dyDescent="0.2">
      <c r="A412">
        <v>402</v>
      </c>
      <c r="B412">
        <v>1065174.1223802723</v>
      </c>
      <c r="C412">
        <v>100523.53054167847</v>
      </c>
      <c r="D412">
        <v>72975.049468886384</v>
      </c>
      <c r="E412">
        <v>88248.233634249074</v>
      </c>
      <c r="F412">
        <v>42109.493097755701</v>
      </c>
      <c r="G412">
        <v>10000</v>
      </c>
      <c r="H412">
        <v>293856.30674256961</v>
      </c>
      <c r="I412">
        <v>37.954334800685643</v>
      </c>
    </row>
    <row r="413" spans="1:9" x14ac:dyDescent="0.2">
      <c r="A413">
        <v>403</v>
      </c>
      <c r="B413">
        <v>1410136.0768334353</v>
      </c>
      <c r="C413">
        <v>106939.10838364635</v>
      </c>
      <c r="D413">
        <v>102020.84627642915</v>
      </c>
      <c r="E413">
        <v>143502.87971056605</v>
      </c>
      <c r="F413">
        <v>45934.814749193036</v>
      </c>
      <c r="G413">
        <v>10000</v>
      </c>
      <c r="H413">
        <v>388397.64911983453</v>
      </c>
      <c r="I413">
        <v>32.485492638647216</v>
      </c>
    </row>
    <row r="414" spans="1:9" x14ac:dyDescent="0.2">
      <c r="A414">
        <v>404</v>
      </c>
      <c r="B414">
        <v>1081916.8497938337</v>
      </c>
      <c r="C414">
        <v>111966.00029353231</v>
      </c>
      <c r="D414">
        <v>131153.76149042157</v>
      </c>
      <c r="E414">
        <v>27426.360677379442</v>
      </c>
      <c r="F414">
        <v>37898.748046895504</v>
      </c>
      <c r="G414">
        <v>10000</v>
      </c>
      <c r="H414">
        <v>298444.87050822878</v>
      </c>
      <c r="I414">
        <v>40.857689837193199</v>
      </c>
    </row>
    <row r="415" spans="1:9" x14ac:dyDescent="0.2">
      <c r="A415">
        <v>405</v>
      </c>
      <c r="B415">
        <v>1349510.198491829</v>
      </c>
      <c r="C415">
        <v>131713.29324656157</v>
      </c>
      <c r="D415">
        <v>50483.604254125741</v>
      </c>
      <c r="E415">
        <v>152993.57277277176</v>
      </c>
      <c r="F415">
        <v>46591.862730422661</v>
      </c>
      <c r="G415">
        <v>10000</v>
      </c>
      <c r="H415">
        <v>371782.33300388174</v>
      </c>
      <c r="I415">
        <v>42.500781277190939</v>
      </c>
    </row>
    <row r="416" spans="1:9" x14ac:dyDescent="0.2">
      <c r="A416">
        <v>406</v>
      </c>
      <c r="B416">
        <v>1335517.3833651028</v>
      </c>
      <c r="C416">
        <v>144495.06506362429</v>
      </c>
      <c r="D416">
        <v>108820.20224679008</v>
      </c>
      <c r="E416">
        <v>82893.37901835698</v>
      </c>
      <c r="F416">
        <v>41738.772393578554</v>
      </c>
      <c r="G416">
        <v>10000</v>
      </c>
      <c r="H416">
        <v>367947.41872234992</v>
      </c>
      <c r="I416">
        <v>39.495498769920218</v>
      </c>
    </row>
    <row r="417" spans="1:9" x14ac:dyDescent="0.2">
      <c r="A417">
        <v>407</v>
      </c>
      <c r="B417">
        <v>1591453.0464360688</v>
      </c>
      <c r="C417">
        <v>125793.51216826418</v>
      </c>
      <c r="D417">
        <v>75689.646997145537</v>
      </c>
      <c r="E417">
        <v>196970.3703443979</v>
      </c>
      <c r="F417">
        <v>49636.410254612165</v>
      </c>
      <c r="G417">
        <v>10000</v>
      </c>
      <c r="H417">
        <v>438089.93976441975</v>
      </c>
      <c r="I417">
        <v>29.146654340178891</v>
      </c>
    </row>
    <row r="418" spans="1:9" x14ac:dyDescent="0.2">
      <c r="A418">
        <v>408</v>
      </c>
      <c r="B418">
        <v>1407337.7974571334</v>
      </c>
      <c r="C418">
        <v>106559.25981018493</v>
      </c>
      <c r="D418">
        <v>53045.811129272864</v>
      </c>
      <c r="E418">
        <v>188944.87408658149</v>
      </c>
      <c r="F418">
        <v>49080.798975224876</v>
      </c>
      <c r="G418">
        <v>10000</v>
      </c>
      <c r="H418">
        <v>387630.74400126416</v>
      </c>
      <c r="I418">
        <v>35.463448135326779</v>
      </c>
    </row>
    <row r="419" spans="1:9" x14ac:dyDescent="0.2">
      <c r="A419">
        <v>409</v>
      </c>
      <c r="B419">
        <v>1189996.4510992775</v>
      </c>
      <c r="C419">
        <v>86460.993439523154</v>
      </c>
      <c r="D419">
        <v>131306.0884969687</v>
      </c>
      <c r="E419">
        <v>78840.248057044984</v>
      </c>
      <c r="F419">
        <v>41458.171019333888</v>
      </c>
      <c r="G419">
        <v>10000</v>
      </c>
      <c r="H419">
        <v>328065.50101287069</v>
      </c>
      <c r="I419">
        <v>44.602583646911185</v>
      </c>
    </row>
    <row r="420" spans="1:9" x14ac:dyDescent="0.2">
      <c r="A420">
        <v>410</v>
      </c>
      <c r="B420">
        <v>1393790.0113737388</v>
      </c>
      <c r="C420">
        <v>144468.48360176262</v>
      </c>
      <c r="D420">
        <v>84326.297491374658</v>
      </c>
      <c r="E420">
        <v>120762.53170153551</v>
      </c>
      <c r="F420">
        <v>44360.482963952461</v>
      </c>
      <c r="G420">
        <v>10000</v>
      </c>
      <c r="H420">
        <v>383917.79575862526</v>
      </c>
      <c r="I420">
        <v>32.581071496756245</v>
      </c>
    </row>
    <row r="421" spans="1:9" x14ac:dyDescent="0.2">
      <c r="A421">
        <v>411</v>
      </c>
      <c r="B421">
        <v>1612937.0880574693</v>
      </c>
      <c r="C421">
        <v>112041.63270966129</v>
      </c>
      <c r="D421">
        <v>88647.074466866878</v>
      </c>
      <c r="E421">
        <v>203220.12971663635</v>
      </c>
      <c r="F421">
        <v>50069.08590345944</v>
      </c>
      <c r="G421">
        <v>10000</v>
      </c>
      <c r="H421">
        <v>443977.92279662401</v>
      </c>
      <c r="I421">
        <v>35.206561516217619</v>
      </c>
    </row>
    <row r="422" spans="1:9" x14ac:dyDescent="0.2">
      <c r="A422">
        <v>412</v>
      </c>
      <c r="B422">
        <v>1011215.3502665705</v>
      </c>
      <c r="C422">
        <v>131673.51595472562</v>
      </c>
      <c r="D422">
        <v>47178.187478302127</v>
      </c>
      <c r="E422">
        <v>69411.110422074271</v>
      </c>
      <c r="F422">
        <v>40805.384567682064</v>
      </c>
      <c r="G422">
        <v>10000</v>
      </c>
      <c r="H422">
        <v>279068.1984227841</v>
      </c>
      <c r="I422">
        <v>34.358729859062279</v>
      </c>
    </row>
    <row r="423" spans="1:9" x14ac:dyDescent="0.2">
      <c r="A423">
        <v>413</v>
      </c>
      <c r="B423">
        <v>1171884.4091742432</v>
      </c>
      <c r="C423">
        <v>126761.26403662337</v>
      </c>
      <c r="D423">
        <v>104866.38626559466</v>
      </c>
      <c r="E423">
        <v>61234.684083370877</v>
      </c>
      <c r="F423">
        <v>40239.324282694906</v>
      </c>
      <c r="G423">
        <v>10000</v>
      </c>
      <c r="H423">
        <v>323101.65866828384</v>
      </c>
      <c r="I423">
        <v>40.415705458170194</v>
      </c>
    </row>
    <row r="424" spans="1:9" x14ac:dyDescent="0.2">
      <c r="A424">
        <v>414</v>
      </c>
      <c r="B424">
        <v>1221063.0200506505</v>
      </c>
      <c r="C424">
        <v>127450.36139398209</v>
      </c>
      <c r="D424">
        <v>99514.388769953148</v>
      </c>
      <c r="E424">
        <v>78201.033328336154</v>
      </c>
      <c r="F424">
        <v>41413.917691961738</v>
      </c>
      <c r="G424">
        <v>10000</v>
      </c>
      <c r="H424">
        <v>336579.70118423313</v>
      </c>
      <c r="I424">
        <v>28.948453584989355</v>
      </c>
    </row>
    <row r="425" spans="1:9" x14ac:dyDescent="0.2">
      <c r="A425">
        <v>415</v>
      </c>
      <c r="B425">
        <v>1300384.9265030653</v>
      </c>
      <c r="C425">
        <v>142835.03807610783</v>
      </c>
      <c r="D425">
        <v>111425.16242417981</v>
      </c>
      <c r="E425">
        <v>73004.547245364884</v>
      </c>
      <c r="F425">
        <v>41054.160963140646</v>
      </c>
      <c r="G425">
        <v>10000</v>
      </c>
      <c r="H425">
        <v>358318.90870879317</v>
      </c>
      <c r="I425">
        <v>30.966229989671167</v>
      </c>
    </row>
    <row r="426" spans="1:9" x14ac:dyDescent="0.2">
      <c r="A426">
        <v>416</v>
      </c>
      <c r="B426">
        <v>1374442.7844409207</v>
      </c>
      <c r="C426">
        <v>94424.319339351074</v>
      </c>
      <c r="D426">
        <v>64237.779168245201</v>
      </c>
      <c r="E426">
        <v>181395.2065881321</v>
      </c>
      <c r="F426">
        <v>48558.129686870685</v>
      </c>
      <c r="G426">
        <v>10000</v>
      </c>
      <c r="H426">
        <v>378615.43478259904</v>
      </c>
      <c r="I426">
        <v>38.071885379952008</v>
      </c>
    </row>
    <row r="427" spans="1:9" x14ac:dyDescent="0.2">
      <c r="A427">
        <v>417</v>
      </c>
      <c r="B427">
        <v>1565982.8695750555</v>
      </c>
      <c r="C427">
        <v>108392.16572123533</v>
      </c>
      <c r="D427">
        <v>91227.051257200859</v>
      </c>
      <c r="E427">
        <v>192185.16066800582</v>
      </c>
      <c r="F427">
        <v>49305.126507785018</v>
      </c>
      <c r="G427">
        <v>10000</v>
      </c>
      <c r="H427">
        <v>431109.50415422703</v>
      </c>
      <c r="I427">
        <v>30.348427482091775</v>
      </c>
    </row>
    <row r="428" spans="1:9" x14ac:dyDescent="0.2">
      <c r="A428">
        <v>418</v>
      </c>
      <c r="B428">
        <v>1301587.4283784358</v>
      </c>
      <c r="C428">
        <v>112874.79973974399</v>
      </c>
      <c r="D428">
        <v>44376.604249498152</v>
      </c>
      <c r="E428">
        <v>164040.42154212549</v>
      </c>
      <c r="F428">
        <v>47356.644568300995</v>
      </c>
      <c r="G428">
        <v>10000</v>
      </c>
      <c r="H428">
        <v>358648.47009966866</v>
      </c>
      <c r="I428">
        <v>30.720446922304607</v>
      </c>
    </row>
    <row r="429" spans="1:9" x14ac:dyDescent="0.2">
      <c r="A429">
        <v>419</v>
      </c>
      <c r="B429">
        <v>1655756.518384154</v>
      </c>
      <c r="C429">
        <v>111789.63445717325</v>
      </c>
      <c r="D429">
        <v>104509.60418916929</v>
      </c>
      <c r="E429">
        <v>199595.74310540524</v>
      </c>
      <c r="F429">
        <v>49818.166830374212</v>
      </c>
      <c r="G429">
        <v>10000</v>
      </c>
      <c r="H429">
        <v>455713.148582122</v>
      </c>
      <c r="I429">
        <v>40.761479185855379</v>
      </c>
    </row>
    <row r="430" spans="1:9" x14ac:dyDescent="0.2">
      <c r="A430">
        <v>420</v>
      </c>
      <c r="B430">
        <v>1525818.6212221729</v>
      </c>
      <c r="C430">
        <v>133623.03144932076</v>
      </c>
      <c r="D430">
        <v>68457.751140269305</v>
      </c>
      <c r="E430">
        <v>179588.15693100903</v>
      </c>
      <c r="F430">
        <v>48433.026249069859</v>
      </c>
      <c r="G430">
        <v>10000</v>
      </c>
      <c r="H430">
        <v>420101.96576966892</v>
      </c>
      <c r="I430">
        <v>30.443238385186138</v>
      </c>
    </row>
    <row r="431" spans="1:9" x14ac:dyDescent="0.2">
      <c r="A431">
        <v>421</v>
      </c>
      <c r="B431">
        <v>1661123.9816827248</v>
      </c>
      <c r="C431">
        <v>124043.78537718192</v>
      </c>
      <c r="D431">
        <v>92825.415458713833</v>
      </c>
      <c r="E431">
        <v>200438.46243536676</v>
      </c>
      <c r="F431">
        <v>49876.508937833089</v>
      </c>
      <c r="G431">
        <v>10000</v>
      </c>
      <c r="H431">
        <v>457184.17220909562</v>
      </c>
      <c r="I431">
        <v>30.022561332348822</v>
      </c>
    </row>
    <row r="432" spans="1:9" x14ac:dyDescent="0.2">
      <c r="A432">
        <v>422</v>
      </c>
      <c r="B432">
        <v>1015704.4671861331</v>
      </c>
      <c r="C432">
        <v>116455.62013506169</v>
      </c>
      <c r="D432">
        <v>71653.456086297301</v>
      </c>
      <c r="E432">
        <v>61903.777371772579</v>
      </c>
      <c r="F432">
        <v>40285.646125738102</v>
      </c>
      <c r="G432">
        <v>10000</v>
      </c>
      <c r="H432">
        <v>280298.49971886969</v>
      </c>
      <c r="I432">
        <v>38.344276165219668</v>
      </c>
    </row>
    <row r="433" spans="1:9" x14ac:dyDescent="0.2">
      <c r="A433">
        <v>423</v>
      </c>
      <c r="B433">
        <v>1192138.7855896151</v>
      </c>
      <c r="C433">
        <v>106448.81652550367</v>
      </c>
      <c r="D433">
        <v>75917.146531746985</v>
      </c>
      <c r="E433">
        <v>112498.3270658323</v>
      </c>
      <c r="F433">
        <v>43788.345719942234</v>
      </c>
      <c r="G433">
        <v>10000</v>
      </c>
      <c r="H433">
        <v>328652.63584302517</v>
      </c>
      <c r="I433">
        <v>28.874031441672159</v>
      </c>
    </row>
    <row r="434" spans="1:9" x14ac:dyDescent="0.2">
      <c r="A434">
        <v>424</v>
      </c>
      <c r="B434">
        <v>1423133.2849605728</v>
      </c>
      <c r="C434">
        <v>129971.91226012183</v>
      </c>
      <c r="D434">
        <v>68897.882803354558</v>
      </c>
      <c r="E434">
        <v>156271.13809875568</v>
      </c>
      <c r="F434">
        <v>46818.771099144622</v>
      </c>
      <c r="G434">
        <v>10000</v>
      </c>
      <c r="H434">
        <v>391959.70426137664</v>
      </c>
      <c r="I434">
        <v>38.498808356499922</v>
      </c>
    </row>
    <row r="435" spans="1:9" x14ac:dyDescent="0.2">
      <c r="A435">
        <v>425</v>
      </c>
      <c r="B435">
        <v>1515203.6128990815</v>
      </c>
      <c r="C435">
        <v>100302.6096452654</v>
      </c>
      <c r="D435">
        <v>145213.21834433815</v>
      </c>
      <c r="E435">
        <v>136244.63482730716</v>
      </c>
      <c r="F435">
        <v>45432.320872659722</v>
      </c>
      <c r="G435">
        <v>10000</v>
      </c>
      <c r="H435">
        <v>417192.78368957044</v>
      </c>
      <c r="I435">
        <v>31.931936153595402</v>
      </c>
    </row>
    <row r="436" spans="1:9" x14ac:dyDescent="0.2">
      <c r="A436">
        <v>426</v>
      </c>
      <c r="B436">
        <v>1414486.9476807597</v>
      </c>
      <c r="C436">
        <v>144139.35224350184</v>
      </c>
      <c r="D436">
        <v>50366.35995367053</v>
      </c>
      <c r="E436">
        <v>158136.44251312356</v>
      </c>
      <c r="F436">
        <v>46947.907558600862</v>
      </c>
      <c r="G436">
        <v>10000</v>
      </c>
      <c r="H436">
        <v>389590.06226889684</v>
      </c>
      <c r="I436">
        <v>51.040371908508995</v>
      </c>
    </row>
    <row r="437" spans="1:9" x14ac:dyDescent="0.2">
      <c r="A437">
        <v>427</v>
      </c>
      <c r="B437">
        <v>1394893.0039249193</v>
      </c>
      <c r="C437">
        <v>94120.623057418255</v>
      </c>
      <c r="D437">
        <v>81720.418535062636</v>
      </c>
      <c r="E437">
        <v>170570.32866200738</v>
      </c>
      <c r="F437">
        <v>47808.715061215895</v>
      </c>
      <c r="G437">
        <v>10000</v>
      </c>
      <c r="H437">
        <v>384220.08531570423</v>
      </c>
      <c r="I437">
        <v>35.447995762157035</v>
      </c>
    </row>
    <row r="438" spans="1:9" x14ac:dyDescent="0.2">
      <c r="A438">
        <v>428</v>
      </c>
      <c r="B438">
        <v>1106015.28429267</v>
      </c>
      <c r="C438">
        <v>109378.70866796807</v>
      </c>
      <c r="D438">
        <v>60824.131537437948</v>
      </c>
      <c r="E438">
        <v>101798.9054206755</v>
      </c>
      <c r="F438">
        <v>43047.616529123683</v>
      </c>
      <c r="G438">
        <v>10000</v>
      </c>
      <c r="H438">
        <v>305049.36215520516</v>
      </c>
      <c r="I438">
        <v>33.532397555096274</v>
      </c>
    </row>
    <row r="439" spans="1:9" x14ac:dyDescent="0.2">
      <c r="A439">
        <v>429</v>
      </c>
      <c r="B439">
        <v>1336858.2883949364</v>
      </c>
      <c r="C439">
        <v>162034.89772422798</v>
      </c>
      <c r="D439">
        <v>32182.031084697246</v>
      </c>
      <c r="E439">
        <v>138508.90449805345</v>
      </c>
      <c r="F439">
        <v>45589.078003711395</v>
      </c>
      <c r="G439">
        <v>10000</v>
      </c>
      <c r="H439">
        <v>368314.91131069011</v>
      </c>
      <c r="I439">
        <v>28.879588018038099</v>
      </c>
    </row>
    <row r="440" spans="1:9" x14ac:dyDescent="0.2">
      <c r="A440">
        <v>430</v>
      </c>
      <c r="B440">
        <v>1846802.0329326992</v>
      </c>
      <c r="C440">
        <v>157961.42154929432</v>
      </c>
      <c r="D440">
        <v>133073.0116188541</v>
      </c>
      <c r="E440">
        <v>178667.92346008742</v>
      </c>
      <c r="F440">
        <v>48369.317778006043</v>
      </c>
      <c r="G440">
        <v>10000</v>
      </c>
      <c r="H440">
        <v>508071.6744062418</v>
      </c>
      <c r="I440">
        <v>36.839715847530151</v>
      </c>
    </row>
    <row r="441" spans="1:9" x14ac:dyDescent="0.2">
      <c r="A441">
        <v>431</v>
      </c>
      <c r="B441">
        <v>1523298.0958743207</v>
      </c>
      <c r="C441">
        <v>127880.6904017779</v>
      </c>
      <c r="D441">
        <v>127050.74086818655</v>
      </c>
      <c r="E441">
        <v>129513.4366649766</v>
      </c>
      <c r="F441">
        <v>44966.314846036839</v>
      </c>
      <c r="G441">
        <v>10000</v>
      </c>
      <c r="H441">
        <v>419411.18278097786</v>
      </c>
      <c r="I441">
        <v>34.812674651396819</v>
      </c>
    </row>
    <row r="442" spans="1:9" x14ac:dyDescent="0.2">
      <c r="A442">
        <v>432</v>
      </c>
      <c r="B442">
        <v>820454.97692091484</v>
      </c>
      <c r="C442">
        <v>97154.534056060496</v>
      </c>
      <c r="D442">
        <v>49985.900989292917</v>
      </c>
      <c r="E442">
        <v>50173.812593989882</v>
      </c>
      <c r="F442">
        <v>39473.571641122377</v>
      </c>
      <c r="G442">
        <v>10000</v>
      </c>
      <c r="H442">
        <v>226787.81928046569</v>
      </c>
      <c r="I442">
        <v>33.040735224233195</v>
      </c>
    </row>
    <row r="443" spans="1:9" x14ac:dyDescent="0.2">
      <c r="A443">
        <v>433</v>
      </c>
      <c r="B443">
        <v>1256598.0984220449</v>
      </c>
      <c r="C443">
        <v>97787.523514754634</v>
      </c>
      <c r="D443">
        <v>71402.745317483335</v>
      </c>
      <c r="E443">
        <v>141343.00135505412</v>
      </c>
      <c r="F443">
        <v>45785.28470919605</v>
      </c>
      <c r="G443">
        <v>10000</v>
      </c>
      <c r="H443">
        <v>346318.5548964882</v>
      </c>
      <c r="I443">
        <v>40.513938285991713</v>
      </c>
    </row>
    <row r="444" spans="1:9" x14ac:dyDescent="0.2">
      <c r="A444">
        <v>434</v>
      </c>
      <c r="B444">
        <v>1761558.3499570792</v>
      </c>
      <c r="C444">
        <v>170516.44199973147</v>
      </c>
      <c r="D444">
        <v>154151.86571614695</v>
      </c>
      <c r="E444">
        <v>125362.29090651521</v>
      </c>
      <c r="F444">
        <v>44678.927831989509</v>
      </c>
      <c r="G444">
        <v>10000</v>
      </c>
      <c r="H444">
        <v>484709.52645438316</v>
      </c>
      <c r="I444">
        <v>29.550193367553025</v>
      </c>
    </row>
    <row r="445" spans="1:9" x14ac:dyDescent="0.2">
      <c r="A445">
        <v>435</v>
      </c>
      <c r="B445">
        <v>1485244.6184402844</v>
      </c>
      <c r="C445">
        <v>101713.32863882024</v>
      </c>
      <c r="D445">
        <v>71170.501232489667</v>
      </c>
      <c r="E445">
        <v>196494.81196298377</v>
      </c>
      <c r="F445">
        <v>49603.486982052716</v>
      </c>
      <c r="G445">
        <v>10000</v>
      </c>
      <c r="H445">
        <v>408982.12881634646</v>
      </c>
      <c r="I445">
        <v>50.555595737782554</v>
      </c>
    </row>
    <row r="446" spans="1:9" x14ac:dyDescent="0.2">
      <c r="A446">
        <v>436</v>
      </c>
      <c r="B446">
        <v>1205109.3201732968</v>
      </c>
      <c r="C446">
        <v>91432.495669063195</v>
      </c>
      <c r="D446">
        <v>85166.955210652377</v>
      </c>
      <c r="E446">
        <v>121216.04951951212</v>
      </c>
      <c r="F446">
        <v>44391.880351350839</v>
      </c>
      <c r="G446">
        <v>10000</v>
      </c>
      <c r="H446">
        <v>332207.38075057848</v>
      </c>
      <c r="I446">
        <v>24.204119487747754</v>
      </c>
    </row>
    <row r="447" spans="1:9" x14ac:dyDescent="0.2">
      <c r="A447">
        <v>437</v>
      </c>
      <c r="B447">
        <v>1091518.0495221813</v>
      </c>
      <c r="C447">
        <v>88949.356508204801</v>
      </c>
      <c r="D447">
        <v>82359.764577584603</v>
      </c>
      <c r="E447">
        <v>97048.351920904912</v>
      </c>
      <c r="F447">
        <v>42718.732056062647</v>
      </c>
      <c r="G447">
        <v>10000</v>
      </c>
      <c r="H447">
        <v>301076.20506275701</v>
      </c>
      <c r="I447">
        <v>44.228150680396084</v>
      </c>
    </row>
    <row r="448" spans="1:9" x14ac:dyDescent="0.2">
      <c r="A448">
        <v>438</v>
      </c>
      <c r="B448">
        <v>1073905.5438879416</v>
      </c>
      <c r="C448">
        <v>171556.14985263051</v>
      </c>
      <c r="D448">
        <v>42674.915189658415</v>
      </c>
      <c r="E448">
        <v>52391.12430354867</v>
      </c>
      <c r="F448">
        <v>39627.07783639952</v>
      </c>
      <c r="G448">
        <v>10000</v>
      </c>
      <c r="H448">
        <v>296249.26718223712</v>
      </c>
      <c r="I448">
        <v>28.396769539781857</v>
      </c>
    </row>
    <row r="449" spans="1:9" x14ac:dyDescent="0.2">
      <c r="A449">
        <v>439</v>
      </c>
      <c r="B449">
        <v>1467218.5836055393</v>
      </c>
      <c r="C449">
        <v>115337.57889879112</v>
      </c>
      <c r="D449">
        <v>98461.832266512938</v>
      </c>
      <c r="E449">
        <v>153608.04365398298</v>
      </c>
      <c r="F449">
        <v>46634.403022198821</v>
      </c>
      <c r="G449">
        <v>10000</v>
      </c>
      <c r="H449">
        <v>404041.85784148588</v>
      </c>
      <c r="I449">
        <v>34.716650327357058</v>
      </c>
    </row>
    <row r="450" spans="1:9" x14ac:dyDescent="0.2">
      <c r="A450">
        <v>440</v>
      </c>
      <c r="B450">
        <v>1252320.2591334779</v>
      </c>
      <c r="C450">
        <v>105384.11854925356</v>
      </c>
      <c r="D450">
        <v>59714.129148624466</v>
      </c>
      <c r="E450">
        <v>144073.58424198121</v>
      </c>
      <c r="F450">
        <v>45974.325062906391</v>
      </c>
      <c r="G450">
        <v>10000</v>
      </c>
      <c r="H450">
        <v>345146.15700276557</v>
      </c>
      <c r="I450">
        <v>34.683506839662542</v>
      </c>
    </row>
    <row r="451" spans="1:9" x14ac:dyDescent="0.2">
      <c r="A451">
        <v>441</v>
      </c>
      <c r="B451">
        <v>1384094.2060759552</v>
      </c>
      <c r="C451">
        <v>167793.62135888162</v>
      </c>
      <c r="D451">
        <v>91611.046768092114</v>
      </c>
      <c r="E451">
        <v>89649.370313682462</v>
      </c>
      <c r="F451">
        <v>42206.494867870322</v>
      </c>
      <c r="G451">
        <v>10000</v>
      </c>
      <c r="H451">
        <v>381260.5333085265</v>
      </c>
      <c r="I451">
        <v>39.980715901161105</v>
      </c>
    </row>
    <row r="452" spans="1:9" x14ac:dyDescent="0.2">
      <c r="A452">
        <v>442</v>
      </c>
      <c r="B452">
        <v>1161348.5115925604</v>
      </c>
      <c r="C452">
        <v>111218.59737997661</v>
      </c>
      <c r="D452">
        <v>115007.25513333311</v>
      </c>
      <c r="E452">
        <v>63586.184915690668</v>
      </c>
      <c r="F452">
        <v>40402.120494163195</v>
      </c>
      <c r="G452">
        <v>10000</v>
      </c>
      <c r="H452">
        <v>320214.15792316356</v>
      </c>
      <c r="I452">
        <v>46.596554787836332</v>
      </c>
    </row>
    <row r="453" spans="1:9" x14ac:dyDescent="0.2">
      <c r="A453">
        <v>443</v>
      </c>
      <c r="B453">
        <v>1586419.265516683</v>
      </c>
      <c r="C453">
        <v>125235.91072492943</v>
      </c>
      <c r="D453">
        <v>128093.86975640961</v>
      </c>
      <c r="E453">
        <v>147190.47581875249</v>
      </c>
      <c r="F453">
        <v>46190.109864375176</v>
      </c>
      <c r="G453">
        <v>10000</v>
      </c>
      <c r="H453">
        <v>436710.36616446672</v>
      </c>
      <c r="I453">
        <v>31.084602341866731</v>
      </c>
    </row>
    <row r="454" spans="1:9" x14ac:dyDescent="0.2">
      <c r="A454">
        <v>444</v>
      </c>
      <c r="B454">
        <v>1475484.8719646712</v>
      </c>
      <c r="C454">
        <v>135694.69567413788</v>
      </c>
      <c r="D454">
        <v>127800.04261252788</v>
      </c>
      <c r="E454">
        <v>109249.19813732177</v>
      </c>
      <c r="F454">
        <v>43563.406024891505</v>
      </c>
      <c r="G454">
        <v>10000</v>
      </c>
      <c r="H454">
        <v>406307.34244887903</v>
      </c>
      <c r="I454">
        <v>35.712229803476291</v>
      </c>
    </row>
    <row r="455" spans="1:9" x14ac:dyDescent="0.2">
      <c r="A455">
        <v>445</v>
      </c>
      <c r="B455">
        <v>1003535.0007164353</v>
      </c>
      <c r="C455">
        <v>98205.880288939996</v>
      </c>
      <c r="D455">
        <v>101075.27194270836</v>
      </c>
      <c r="E455">
        <v>48335.819803349412</v>
      </c>
      <c r="F455">
        <v>39346.325986385724</v>
      </c>
      <c r="G455">
        <v>10000</v>
      </c>
      <c r="H455">
        <v>276963.29802138347</v>
      </c>
      <c r="I455">
        <v>45.184701497941589</v>
      </c>
    </row>
    <row r="456" spans="1:9" x14ac:dyDescent="0.2">
      <c r="A456">
        <v>446</v>
      </c>
      <c r="B456">
        <v>1610283.0990419022</v>
      </c>
      <c r="C456">
        <v>102491.75317699378</v>
      </c>
      <c r="D456">
        <v>99387.966364831722</v>
      </c>
      <c r="E456">
        <v>201425.96808604084</v>
      </c>
      <c r="F456">
        <v>49944.874713648984</v>
      </c>
      <c r="G456">
        <v>10000</v>
      </c>
      <c r="H456">
        <v>443250.56234151532</v>
      </c>
      <c r="I456">
        <v>50.145851418337045</v>
      </c>
    </row>
    <row r="457" spans="1:9" x14ac:dyDescent="0.2">
      <c r="A457">
        <v>447</v>
      </c>
      <c r="B457">
        <v>856318.28471224755</v>
      </c>
      <c r="C457">
        <v>86485.138695255315</v>
      </c>
      <c r="D457">
        <v>65064.497819116841</v>
      </c>
      <c r="E457">
        <v>55242.510550787709</v>
      </c>
      <c r="F457">
        <v>39824.481499669921</v>
      </c>
      <c r="G457">
        <v>10000</v>
      </c>
      <c r="H457">
        <v>236616.62856482979</v>
      </c>
      <c r="I457">
        <v>33.180313899433671</v>
      </c>
    </row>
    <row r="458" spans="1:9" x14ac:dyDescent="0.2">
      <c r="A458">
        <v>448</v>
      </c>
      <c r="B458">
        <v>1298131.1914702116</v>
      </c>
      <c r="C458">
        <v>95627.384379264986</v>
      </c>
      <c r="D458">
        <v>74670.410869259518</v>
      </c>
      <c r="E458">
        <v>150952.86489771178</v>
      </c>
      <c r="F458">
        <v>46450.582954456964</v>
      </c>
      <c r="G458">
        <v>10000</v>
      </c>
      <c r="H458">
        <v>357701.24310069327</v>
      </c>
      <c r="I458">
        <v>33.905666932589114</v>
      </c>
    </row>
    <row r="459" spans="1:9" x14ac:dyDescent="0.2">
      <c r="A459">
        <v>449</v>
      </c>
      <c r="B459">
        <v>1014944.4399215661</v>
      </c>
      <c r="C459">
        <v>107751.58405592824</v>
      </c>
      <c r="D459">
        <v>45909.412958707013</v>
      </c>
      <c r="E459">
        <v>93926.596733469967</v>
      </c>
      <c r="F459">
        <v>42502.610543086383</v>
      </c>
      <c r="G459">
        <v>10000</v>
      </c>
      <c r="H459">
        <v>280090.20429119159</v>
      </c>
      <c r="I459">
        <v>33.561580256189984</v>
      </c>
    </row>
    <row r="460" spans="1:9" x14ac:dyDescent="0.2">
      <c r="A460">
        <v>450</v>
      </c>
      <c r="B460">
        <v>1265773.8691678047</v>
      </c>
      <c r="C460">
        <v>90602.725757238732</v>
      </c>
      <c r="D460">
        <v>77429.599330895217</v>
      </c>
      <c r="E460">
        <v>144777.88559035861</v>
      </c>
      <c r="F460">
        <v>46023.084387024828</v>
      </c>
      <c r="G460">
        <v>10000</v>
      </c>
      <c r="H460">
        <v>348833.29506551736</v>
      </c>
      <c r="I460">
        <v>36.301970265468057</v>
      </c>
    </row>
    <row r="461" spans="1:9" x14ac:dyDescent="0.2">
      <c r="A461">
        <v>451</v>
      </c>
      <c r="B461">
        <v>1174144.4245791093</v>
      </c>
      <c r="C461">
        <v>153399.94908902814</v>
      </c>
      <c r="D461">
        <v>55175.939548793816</v>
      </c>
      <c r="E461">
        <v>83373.168283319668</v>
      </c>
      <c r="F461">
        <v>41771.988573460592</v>
      </c>
      <c r="G461">
        <v>10000</v>
      </c>
      <c r="H461">
        <v>323721.04549460224</v>
      </c>
      <c r="I461">
        <v>34.833428225456558</v>
      </c>
    </row>
    <row r="462" spans="1:9" x14ac:dyDescent="0.2">
      <c r="A462">
        <v>452</v>
      </c>
      <c r="B462">
        <v>1323364.9293093709</v>
      </c>
      <c r="C462">
        <v>92405.832188672997</v>
      </c>
      <c r="D462">
        <v>119712.16710887098</v>
      </c>
      <c r="E462">
        <v>118308.30522509578</v>
      </c>
      <c r="F462">
        <v>44190.574977122014</v>
      </c>
      <c r="G462">
        <v>10000</v>
      </c>
      <c r="H462">
        <v>364616.8794997618</v>
      </c>
      <c r="I462">
        <v>40.359618232663848</v>
      </c>
    </row>
    <row r="463" spans="1:9" x14ac:dyDescent="0.2">
      <c r="A463">
        <v>453</v>
      </c>
      <c r="B463">
        <v>1224283.0255379123</v>
      </c>
      <c r="C463">
        <v>151260.71918856859</v>
      </c>
      <c r="D463">
        <v>114252.24837830472</v>
      </c>
      <c r="E463">
        <v>42974.089058446931</v>
      </c>
      <c r="F463">
        <v>38975.129242507865</v>
      </c>
      <c r="G463">
        <v>10000</v>
      </c>
      <c r="H463">
        <v>337462.18586782808</v>
      </c>
      <c r="I463">
        <v>32.850510862244164</v>
      </c>
    </row>
    <row r="464" spans="1:9" x14ac:dyDescent="0.2">
      <c r="A464">
        <v>454</v>
      </c>
      <c r="B464">
        <v>1032411.7363740345</v>
      </c>
      <c r="C464">
        <v>116217.62090735762</v>
      </c>
      <c r="D464">
        <v>39817.171356811479</v>
      </c>
      <c r="E464">
        <v>96183.68306322422</v>
      </c>
      <c r="F464">
        <v>42658.870365915522</v>
      </c>
      <c r="G464">
        <v>10000</v>
      </c>
      <c r="H464">
        <v>284877.3456933088</v>
      </c>
      <c r="I464">
        <v>31.926600903359919</v>
      </c>
    </row>
    <row r="465" spans="1:9" x14ac:dyDescent="0.2">
      <c r="A465">
        <v>455</v>
      </c>
      <c r="B465">
        <v>1222043.1619350177</v>
      </c>
      <c r="C465">
        <v>141071.59251512069</v>
      </c>
      <c r="D465">
        <v>116649.13548619466</v>
      </c>
      <c r="E465">
        <v>49687.677753344469</v>
      </c>
      <c r="F465">
        <v>39439.916152154612</v>
      </c>
      <c r="G465">
        <v>10000</v>
      </c>
      <c r="H465">
        <v>336848.32190681441</v>
      </c>
      <c r="I465">
        <v>32.652343467836992</v>
      </c>
    </row>
    <row r="466" spans="1:9" x14ac:dyDescent="0.2">
      <c r="A466">
        <v>456</v>
      </c>
      <c r="B466">
        <v>1449312.3215581975</v>
      </c>
      <c r="C466">
        <v>120809.64246066</v>
      </c>
      <c r="D466">
        <v>94825.522646384445</v>
      </c>
      <c r="E466">
        <v>147301.4540857414</v>
      </c>
      <c r="F466">
        <v>46197.792975166711</v>
      </c>
      <c r="G466">
        <v>10000</v>
      </c>
      <c r="H466">
        <v>399134.41216795251</v>
      </c>
      <c r="I466">
        <v>35.2300487036118</v>
      </c>
    </row>
    <row r="467" spans="1:9" x14ac:dyDescent="0.2">
      <c r="A467">
        <v>457</v>
      </c>
      <c r="B467">
        <v>1524977.801148057</v>
      </c>
      <c r="C467">
        <v>106550.53848696739</v>
      </c>
      <c r="D467">
        <v>68527.424546879163</v>
      </c>
      <c r="E467">
        <v>204627.07516148622</v>
      </c>
      <c r="F467">
        <v>50166.489818872127</v>
      </c>
      <c r="G467">
        <v>10000</v>
      </c>
      <c r="H467">
        <v>419871.52801420487</v>
      </c>
      <c r="I467">
        <v>42.749896435697934</v>
      </c>
    </row>
    <row r="468" spans="1:9" x14ac:dyDescent="0.2">
      <c r="A468">
        <v>458</v>
      </c>
      <c r="B468">
        <v>1413085.8964825098</v>
      </c>
      <c r="C468">
        <v>109959.33336844921</v>
      </c>
      <c r="D468">
        <v>112265.21483546072</v>
      </c>
      <c r="E468">
        <v>131853.23663360832</v>
      </c>
      <c r="F468">
        <v>45128.300997711347</v>
      </c>
      <c r="G468">
        <v>10000</v>
      </c>
      <c r="H468">
        <v>389206.08583522961</v>
      </c>
      <c r="I468">
        <v>29.417680945812787</v>
      </c>
    </row>
    <row r="469" spans="1:9" x14ac:dyDescent="0.2">
      <c r="A469">
        <v>459</v>
      </c>
      <c r="B469">
        <v>1537372.1810666684</v>
      </c>
      <c r="C469">
        <v>113098.89251522132</v>
      </c>
      <c r="D469">
        <v>119605.65552079708</v>
      </c>
      <c r="E469">
        <v>153908.61064627508</v>
      </c>
      <c r="F469">
        <v>46655.211506280582</v>
      </c>
      <c r="G469">
        <v>10000</v>
      </c>
      <c r="H469">
        <v>423268.37018857407</v>
      </c>
      <c r="I469">
        <v>31.093527986111926</v>
      </c>
    </row>
    <row r="470" spans="1:9" x14ac:dyDescent="0.2">
      <c r="A470">
        <v>460</v>
      </c>
      <c r="B470">
        <v>1492405.141474108</v>
      </c>
      <c r="C470">
        <v>151732.99591408623</v>
      </c>
      <c r="D470">
        <v>63425.982292096509</v>
      </c>
      <c r="E470">
        <v>158792.27443815023</v>
      </c>
      <c r="F470">
        <v>46993.311307256554</v>
      </c>
      <c r="G470">
        <v>10000</v>
      </c>
      <c r="H470">
        <v>410944.56395158952</v>
      </c>
      <c r="I470">
        <v>46.101815893277028</v>
      </c>
    </row>
    <row r="471" spans="1:9" x14ac:dyDescent="0.2">
      <c r="A471">
        <v>461</v>
      </c>
      <c r="B471">
        <v>1728029.151360702</v>
      </c>
      <c r="C471">
        <v>89813.48965967189</v>
      </c>
      <c r="D471">
        <v>144926.42749855484</v>
      </c>
      <c r="E471">
        <v>200873.84257224444</v>
      </c>
      <c r="F471">
        <v>49906.650639616928</v>
      </c>
      <c r="G471">
        <v>10000</v>
      </c>
      <c r="H471">
        <v>475520.41037008812</v>
      </c>
      <c r="I471">
        <v>27.635541589125101</v>
      </c>
    </row>
    <row r="472" spans="1:9" x14ac:dyDescent="0.2">
      <c r="A472">
        <v>462</v>
      </c>
      <c r="B472">
        <v>1368176.6829725909</v>
      </c>
      <c r="C472">
        <v>136777.39516424114</v>
      </c>
      <c r="D472">
        <v>79059.315189613611</v>
      </c>
      <c r="E472">
        <v>126316.43338975901</v>
      </c>
      <c r="F472">
        <v>44744.983850060242</v>
      </c>
      <c r="G472">
        <v>10000</v>
      </c>
      <c r="H472">
        <v>376898.127593674</v>
      </c>
      <c r="I472">
        <v>43.687290172834707</v>
      </c>
    </row>
    <row r="473" spans="1:9" x14ac:dyDescent="0.2">
      <c r="A473">
        <v>463</v>
      </c>
      <c r="B473">
        <v>1492093.3675396093</v>
      </c>
      <c r="C473">
        <v>138919.35840814697</v>
      </c>
      <c r="D473">
        <v>120832.77808121238</v>
      </c>
      <c r="E473">
        <v>117006.52967690617</v>
      </c>
      <c r="F473">
        <v>44100.45205455504</v>
      </c>
      <c r="G473">
        <v>10000</v>
      </c>
      <c r="H473">
        <v>410859.11822082062</v>
      </c>
      <c r="I473">
        <v>37.166156879201765</v>
      </c>
    </row>
    <row r="474" spans="1:9" x14ac:dyDescent="0.2">
      <c r="A474">
        <v>464</v>
      </c>
      <c r="B474">
        <v>1024936.963881208</v>
      </c>
      <c r="C474">
        <v>102806.26581401477</v>
      </c>
      <c r="D474">
        <v>93181.636100472242</v>
      </c>
      <c r="E474">
        <v>56901.546619970657</v>
      </c>
      <c r="F474">
        <v>39939.33784292105</v>
      </c>
      <c r="G474">
        <v>10000</v>
      </c>
      <c r="H474">
        <v>282828.78637737868</v>
      </c>
      <c r="I474">
        <v>27.412371558494748</v>
      </c>
    </row>
    <row r="475" spans="1:9" x14ac:dyDescent="0.2">
      <c r="A475">
        <v>465</v>
      </c>
      <c r="B475">
        <v>1475533.5646965397</v>
      </c>
      <c r="C475">
        <v>111902.02061252799</v>
      </c>
      <c r="D475">
        <v>85361.825604997328</v>
      </c>
      <c r="E475">
        <v>171204.23988926021</v>
      </c>
      <c r="F475">
        <v>47852.601223102625</v>
      </c>
      <c r="G475">
        <v>10000</v>
      </c>
      <c r="H475">
        <v>406320.68732988811</v>
      </c>
      <c r="I475">
        <v>29.802525604752006</v>
      </c>
    </row>
    <row r="476" spans="1:9" x14ac:dyDescent="0.2">
      <c r="A476">
        <v>466</v>
      </c>
      <c r="B476">
        <v>1184818.1453070121</v>
      </c>
      <c r="C476">
        <v>102172.53804848494</v>
      </c>
      <c r="D476">
        <v>105796.09914083926</v>
      </c>
      <c r="E476">
        <v>86676.96811202039</v>
      </c>
      <c r="F476">
        <v>42000.713176986028</v>
      </c>
      <c r="G476">
        <v>10000</v>
      </c>
      <c r="H476">
        <v>326646.31847833062</v>
      </c>
      <c r="I476">
        <v>26.881739592800002</v>
      </c>
    </row>
    <row r="477" spans="1:9" x14ac:dyDescent="0.2">
      <c r="A477">
        <v>467</v>
      </c>
      <c r="B477">
        <v>1684427.5000480746</v>
      </c>
      <c r="C477">
        <v>125279.43852182369</v>
      </c>
      <c r="D477">
        <v>122435.20953085125</v>
      </c>
      <c r="E477">
        <v>177563.31382116806</v>
      </c>
      <c r="F477">
        <v>48292.844803003944</v>
      </c>
      <c r="G477">
        <v>10000</v>
      </c>
      <c r="H477">
        <v>463570.80667684693</v>
      </c>
      <c r="I477">
        <v>29.41271407281663</v>
      </c>
    </row>
    <row r="478" spans="1:9" x14ac:dyDescent="0.2">
      <c r="A478">
        <v>468</v>
      </c>
      <c r="B478">
        <v>1709296.5999823934</v>
      </c>
      <c r="C478">
        <v>115290.53451040025</v>
      </c>
      <c r="D478">
        <v>152742.62191296325</v>
      </c>
      <c r="E478">
        <v>164934.79044294881</v>
      </c>
      <c r="F478">
        <v>47418.562415281071</v>
      </c>
      <c r="G478">
        <v>10000</v>
      </c>
      <c r="H478">
        <v>470386.50928159337</v>
      </c>
      <c r="I478">
        <v>33.885338614692301</v>
      </c>
    </row>
    <row r="479" spans="1:9" x14ac:dyDescent="0.2">
      <c r="A479">
        <v>469</v>
      </c>
      <c r="B479">
        <v>851235.78227043757</v>
      </c>
      <c r="C479">
        <v>119085.89313672669</v>
      </c>
      <c r="D479">
        <v>55307.696321565825</v>
      </c>
      <c r="E479">
        <v>32574.925579633047</v>
      </c>
      <c r="F479">
        <v>38255.187155513056</v>
      </c>
      <c r="G479">
        <v>10000</v>
      </c>
      <c r="H479">
        <v>235223.70219343863</v>
      </c>
      <c r="I479">
        <v>34.174349346861575</v>
      </c>
    </row>
    <row r="480" spans="1:9" x14ac:dyDescent="0.2">
      <c r="A480">
        <v>470</v>
      </c>
      <c r="B480">
        <v>1071550.6424412292</v>
      </c>
      <c r="C480">
        <v>134758.84091383146</v>
      </c>
      <c r="D480">
        <v>41766.734076839792</v>
      </c>
      <c r="E480">
        <v>87051.648045539972</v>
      </c>
      <c r="F480">
        <v>42026.652556998924</v>
      </c>
      <c r="G480">
        <v>10000</v>
      </c>
      <c r="H480">
        <v>295603.87559321016</v>
      </c>
      <c r="I480">
        <v>35.182723910620652</v>
      </c>
    </row>
    <row r="481" spans="1:9" x14ac:dyDescent="0.2">
      <c r="A481">
        <v>471</v>
      </c>
      <c r="B481">
        <v>1069386.5759642846</v>
      </c>
      <c r="C481">
        <v>94696.514950512385</v>
      </c>
      <c r="D481">
        <v>116590.14760786103</v>
      </c>
      <c r="E481">
        <v>53986.589172519773</v>
      </c>
      <c r="F481">
        <v>39737.533096559062</v>
      </c>
      <c r="G481">
        <v>10000</v>
      </c>
      <c r="H481">
        <v>295010.78482745221</v>
      </c>
      <c r="I481">
        <v>30.00648466412396</v>
      </c>
    </row>
    <row r="482" spans="1:9" x14ac:dyDescent="0.2">
      <c r="A482">
        <v>472</v>
      </c>
      <c r="B482">
        <v>1183545.0896825236</v>
      </c>
      <c r="C482">
        <v>93722.628292727793</v>
      </c>
      <c r="D482">
        <v>80738.389832820001</v>
      </c>
      <c r="E482">
        <v>117688.72202703888</v>
      </c>
      <c r="F482">
        <v>44147.680755718073</v>
      </c>
      <c r="G482">
        <v>10000</v>
      </c>
      <c r="H482">
        <v>326297.42090830475</v>
      </c>
      <c r="I482">
        <v>47.00312605219424</v>
      </c>
    </row>
    <row r="483" spans="1:9" x14ac:dyDescent="0.2">
      <c r="A483">
        <v>473</v>
      </c>
      <c r="B483">
        <v>1583557.6881465232</v>
      </c>
      <c r="C483">
        <v>108787.6291505695</v>
      </c>
      <c r="D483">
        <v>84563.152088201401</v>
      </c>
      <c r="E483">
        <v>202552.46892919004</v>
      </c>
      <c r="F483">
        <v>50022.863233559314</v>
      </c>
      <c r="G483">
        <v>10000</v>
      </c>
      <c r="H483">
        <v>435926.11340152024</v>
      </c>
      <c r="I483">
        <v>44.529090704874037</v>
      </c>
    </row>
    <row r="484" spans="1:9" x14ac:dyDescent="0.2">
      <c r="A484">
        <v>474</v>
      </c>
      <c r="B484">
        <v>1195300.170983878</v>
      </c>
      <c r="C484">
        <v>94105.333786608127</v>
      </c>
      <c r="D484">
        <v>65036.676645251617</v>
      </c>
      <c r="E484">
        <v>135028.89053058243</v>
      </c>
      <c r="F484">
        <v>45348.153959809548</v>
      </c>
      <c r="G484">
        <v>10000</v>
      </c>
      <c r="H484">
        <v>329519.05492225173</v>
      </c>
      <c r="I484">
        <v>34.452790403590058</v>
      </c>
    </row>
    <row r="485" spans="1:9" x14ac:dyDescent="0.2">
      <c r="A485">
        <v>475</v>
      </c>
      <c r="B485">
        <v>1158302.9291801427</v>
      </c>
      <c r="C485">
        <v>129214.06657886261</v>
      </c>
      <c r="D485">
        <v>114731.48280487358</v>
      </c>
      <c r="E485">
        <v>46233.168934969188</v>
      </c>
      <c r="F485">
        <v>39200.757849344023</v>
      </c>
      <c r="G485">
        <v>10000</v>
      </c>
      <c r="H485">
        <v>319379.47616804938</v>
      </c>
      <c r="I485">
        <v>24.281009461147562</v>
      </c>
    </row>
    <row r="486" spans="1:9" x14ac:dyDescent="0.2">
      <c r="A486">
        <v>476</v>
      </c>
      <c r="B486">
        <v>1172992.5054617515</v>
      </c>
      <c r="C486">
        <v>154778.16980662569</v>
      </c>
      <c r="D486">
        <v>98369.564265785084</v>
      </c>
      <c r="E486">
        <v>41392.012063577255</v>
      </c>
      <c r="F486">
        <v>38865.600835170735</v>
      </c>
      <c r="G486">
        <v>10000</v>
      </c>
      <c r="H486">
        <v>323405.34697115875</v>
      </c>
      <c r="I486">
        <v>32.172770175205009</v>
      </c>
    </row>
    <row r="487" spans="1:9" x14ac:dyDescent="0.2">
      <c r="A487">
        <v>477</v>
      </c>
      <c r="B487">
        <v>1343013.8383382717</v>
      </c>
      <c r="C487">
        <v>102382.69814653424</v>
      </c>
      <c r="D487">
        <v>109608.12881670015</v>
      </c>
      <c r="E487">
        <v>123463.61257241103</v>
      </c>
      <c r="F487">
        <v>44547.480870397681</v>
      </c>
      <c r="G487">
        <v>10000</v>
      </c>
      <c r="H487">
        <v>370001.92040604312</v>
      </c>
      <c r="I487">
        <v>34.37816087468142</v>
      </c>
    </row>
    <row r="488" spans="1:9" x14ac:dyDescent="0.2">
      <c r="A488">
        <v>478</v>
      </c>
      <c r="B488">
        <v>1804136.6255927375</v>
      </c>
      <c r="C488">
        <v>156446.11619591137</v>
      </c>
      <c r="D488">
        <v>97215.206684932826</v>
      </c>
      <c r="E488">
        <v>202685.2799166225</v>
      </c>
      <c r="F488">
        <v>50032.05784038156</v>
      </c>
      <c r="G488">
        <v>10000</v>
      </c>
      <c r="H488">
        <v>496378.66063784825</v>
      </c>
      <c r="I488">
        <v>43.393943010435528</v>
      </c>
    </row>
    <row r="489" spans="1:9" x14ac:dyDescent="0.2">
      <c r="A489">
        <v>479</v>
      </c>
      <c r="B489">
        <v>1028865.3483110229</v>
      </c>
      <c r="C489">
        <v>100397.93489197383</v>
      </c>
      <c r="D489">
        <v>90413.700611677661</v>
      </c>
      <c r="E489">
        <v>62749.574756499467</v>
      </c>
      <c r="F489">
        <v>40344.201329296113</v>
      </c>
      <c r="G489">
        <v>10000</v>
      </c>
      <c r="H489">
        <v>283905.41158944706</v>
      </c>
      <c r="I489">
        <v>39.105669332948523</v>
      </c>
    </row>
    <row r="490" spans="1:9" x14ac:dyDescent="0.2">
      <c r="A490">
        <v>480</v>
      </c>
      <c r="B490">
        <v>1034669.1531246285</v>
      </c>
      <c r="C490">
        <v>111234.33696948425</v>
      </c>
      <c r="D490">
        <v>55260.119664370999</v>
      </c>
      <c r="E490">
        <v>86979.879710565932</v>
      </c>
      <c r="F490">
        <v>42021.683979962254</v>
      </c>
      <c r="G490">
        <v>10000</v>
      </c>
      <c r="H490">
        <v>285496.0203243834</v>
      </c>
      <c r="I490">
        <v>29.458031394752105</v>
      </c>
    </row>
    <row r="491" spans="1:9" x14ac:dyDescent="0.2">
      <c r="A491">
        <v>481</v>
      </c>
      <c r="B491">
        <v>1638432.9713620404</v>
      </c>
      <c r="C491">
        <v>136220.17499544824</v>
      </c>
      <c r="D491">
        <v>123163.45108434006</v>
      </c>
      <c r="E491">
        <v>154860.65522950242</v>
      </c>
      <c r="F491">
        <v>46721.122285119396</v>
      </c>
      <c r="G491">
        <v>10000</v>
      </c>
      <c r="H491">
        <v>450965.40359441011</v>
      </c>
      <c r="I491">
        <v>34.558018339489102</v>
      </c>
    </row>
    <row r="492" spans="1:9" x14ac:dyDescent="0.2">
      <c r="A492">
        <v>482</v>
      </c>
      <c r="B492">
        <v>1415718.7802031881</v>
      </c>
      <c r="C492">
        <v>106874.38107192426</v>
      </c>
      <c r="D492">
        <v>83257.354448929633</v>
      </c>
      <c r="E492">
        <v>162542.95292305193</v>
      </c>
      <c r="F492">
        <v>47252.973663903598</v>
      </c>
      <c r="G492">
        <v>10000</v>
      </c>
      <c r="H492">
        <v>389927.66210780939</v>
      </c>
      <c r="I492">
        <v>38.60389951657838</v>
      </c>
    </row>
    <row r="493" spans="1:9" x14ac:dyDescent="0.2">
      <c r="A493">
        <v>483</v>
      </c>
      <c r="B493">
        <v>1270841.2110696151</v>
      </c>
      <c r="C493">
        <v>114361.04087510498</v>
      </c>
      <c r="D493">
        <v>82904.107474232238</v>
      </c>
      <c r="E493">
        <v>118736.68603301409</v>
      </c>
      <c r="F493">
        <v>44220.2321099779</v>
      </c>
      <c r="G493">
        <v>10000</v>
      </c>
      <c r="H493">
        <v>350222.06649232924</v>
      </c>
      <c r="I493">
        <v>34.02472724880932</v>
      </c>
    </row>
    <row r="494" spans="1:9" x14ac:dyDescent="0.2">
      <c r="A494">
        <v>484</v>
      </c>
      <c r="B494">
        <v>1602632.4353854267</v>
      </c>
      <c r="C494">
        <v>118610.35247143907</v>
      </c>
      <c r="D494">
        <v>95139.857653332743</v>
      </c>
      <c r="E494">
        <v>188363.06756142026</v>
      </c>
      <c r="F494">
        <v>49040.52006194448</v>
      </c>
      <c r="G494">
        <v>10000</v>
      </c>
      <c r="H494">
        <v>441153.79774813657</v>
      </c>
      <c r="I494">
        <v>46.524747972305846</v>
      </c>
    </row>
    <row r="495" spans="1:9" x14ac:dyDescent="0.2">
      <c r="A495">
        <v>485</v>
      </c>
      <c r="B495">
        <v>1225381.5146430475</v>
      </c>
      <c r="C495">
        <v>77007.905133297827</v>
      </c>
      <c r="D495">
        <v>73514.772330484906</v>
      </c>
      <c r="E495">
        <v>150800.52723206236</v>
      </c>
      <c r="F495">
        <v>46440.036500681235</v>
      </c>
      <c r="G495">
        <v>10000</v>
      </c>
      <c r="H495">
        <v>337763.24119652633</v>
      </c>
      <c r="I495">
        <v>36.804238567631458</v>
      </c>
    </row>
    <row r="496" spans="1:9" x14ac:dyDescent="0.2">
      <c r="A496">
        <v>486</v>
      </c>
      <c r="B496">
        <v>1226315.8278701559</v>
      </c>
      <c r="C496">
        <v>96838.23005466818</v>
      </c>
      <c r="D496">
        <v>114881.18943909438</v>
      </c>
      <c r="E496">
        <v>93805.645486294961</v>
      </c>
      <c r="F496">
        <v>42494.236995205036</v>
      </c>
      <c r="G496">
        <v>10000</v>
      </c>
      <c r="H496">
        <v>338019.30197526258</v>
      </c>
      <c r="I496">
        <v>47.841083408110734</v>
      </c>
    </row>
    <row r="497" spans="1:9" x14ac:dyDescent="0.2">
      <c r="A497">
        <v>487</v>
      </c>
      <c r="B497">
        <v>1494906.4915064569</v>
      </c>
      <c r="C497">
        <v>146235.16829680552</v>
      </c>
      <c r="D497">
        <v>116904.42012672425</v>
      </c>
      <c r="E497">
        <v>114559.46349025915</v>
      </c>
      <c r="F497">
        <v>43931.039780094863</v>
      </c>
      <c r="G497">
        <v>10000</v>
      </c>
      <c r="H497">
        <v>411630.09169388376</v>
      </c>
      <c r="I497">
        <v>40.032592114545025</v>
      </c>
    </row>
    <row r="498" spans="1:9" x14ac:dyDescent="0.2">
      <c r="A498">
        <v>488</v>
      </c>
      <c r="B498">
        <v>1626981.9779149164</v>
      </c>
      <c r="C498">
        <v>130878.54669849329</v>
      </c>
      <c r="D498">
        <v>71110.336125614092</v>
      </c>
      <c r="E498">
        <v>205604.09627409247</v>
      </c>
      <c r="F498">
        <v>50234.129742052552</v>
      </c>
      <c r="G498">
        <v>10000</v>
      </c>
      <c r="H498">
        <v>447827.10884025239</v>
      </c>
      <c r="I498">
        <v>45.413619044087312</v>
      </c>
    </row>
    <row r="499" spans="1:9" x14ac:dyDescent="0.2">
      <c r="A499">
        <v>489</v>
      </c>
      <c r="B499">
        <v>1607642.9869474215</v>
      </c>
      <c r="C499">
        <v>151438.39719663942</v>
      </c>
      <c r="D499">
        <v>105563.80255553751</v>
      </c>
      <c r="E499">
        <v>149195.86105906524</v>
      </c>
      <c r="F499">
        <v>46328.944227166059</v>
      </c>
      <c r="G499">
        <v>10000</v>
      </c>
      <c r="H499">
        <v>442527.00503840827</v>
      </c>
      <c r="I499">
        <v>30.761336703000431</v>
      </c>
    </row>
    <row r="500" spans="1:9" x14ac:dyDescent="0.2">
      <c r="A500">
        <v>490</v>
      </c>
      <c r="B500">
        <v>1547523.2277887804</v>
      </c>
      <c r="C500">
        <v>147682.1735875532</v>
      </c>
      <c r="D500">
        <v>48749.395695182371</v>
      </c>
      <c r="E500">
        <v>190434.87532453437</v>
      </c>
      <c r="F500">
        <v>49183.952907083149</v>
      </c>
      <c r="G500">
        <v>10000</v>
      </c>
      <c r="H500">
        <v>426050.3975143531</v>
      </c>
      <c r="I500">
        <v>31.198512258141246</v>
      </c>
    </row>
    <row r="501" spans="1:9" x14ac:dyDescent="0.2">
      <c r="A501">
        <v>491</v>
      </c>
      <c r="B501">
        <v>1623374.8271176657</v>
      </c>
      <c r="C501">
        <v>107913.02185053036</v>
      </c>
      <c r="D501">
        <v>122198.93080663124</v>
      </c>
      <c r="E501">
        <v>178377.36693003614</v>
      </c>
      <c r="F501">
        <v>48349.20232592558</v>
      </c>
      <c r="G501">
        <v>10000</v>
      </c>
      <c r="H501">
        <v>446838.52191312332</v>
      </c>
      <c r="I501">
        <v>32.075026471851174</v>
      </c>
    </row>
    <row r="502" spans="1:9" x14ac:dyDescent="0.2">
      <c r="A502">
        <v>492</v>
      </c>
      <c r="B502">
        <v>1560915.520412375</v>
      </c>
      <c r="C502">
        <v>153977.33537909883</v>
      </c>
      <c r="D502">
        <v>105617.19968918386</v>
      </c>
      <c r="E502">
        <v>134794.28371939182</v>
      </c>
      <c r="F502">
        <v>45331.911949804053</v>
      </c>
      <c r="G502">
        <v>10000</v>
      </c>
      <c r="H502">
        <v>429720.73073747859</v>
      </c>
      <c r="I502">
        <v>33.927175616478316</v>
      </c>
    </row>
    <row r="503" spans="1:9" x14ac:dyDescent="0.2">
      <c r="A503">
        <v>493</v>
      </c>
      <c r="B503">
        <v>1752108.0214665122</v>
      </c>
      <c r="C503">
        <v>121686.60930372101</v>
      </c>
      <c r="D503">
        <v>124214.7523292158</v>
      </c>
      <c r="E503">
        <v>196606.92953792875</v>
      </c>
      <c r="F503">
        <v>49611.248968010455</v>
      </c>
      <c r="G503">
        <v>10000</v>
      </c>
      <c r="H503">
        <v>482119.54013887601</v>
      </c>
      <c r="I503">
        <v>42.532631459449931</v>
      </c>
    </row>
    <row r="504" spans="1:9" x14ac:dyDescent="0.2">
      <c r="A504">
        <v>494</v>
      </c>
      <c r="B504">
        <v>1152416.7482816137</v>
      </c>
      <c r="C504">
        <v>82618.180706675717</v>
      </c>
      <c r="D504">
        <v>74365.013606549823</v>
      </c>
      <c r="E504">
        <v>126056.13376774752</v>
      </c>
      <c r="F504">
        <v>44726.963106997908</v>
      </c>
      <c r="G504">
        <v>10000</v>
      </c>
      <c r="H504">
        <v>317766.29118797096</v>
      </c>
      <c r="I504">
        <v>40.609048763068614</v>
      </c>
    </row>
    <row r="505" spans="1:9" x14ac:dyDescent="0.2">
      <c r="A505">
        <v>495</v>
      </c>
      <c r="B505">
        <v>1199037.4129989753</v>
      </c>
      <c r="C505">
        <v>93628.54991276325</v>
      </c>
      <c r="D505">
        <v>116446.13960887333</v>
      </c>
      <c r="E505">
        <v>88351.933229588642</v>
      </c>
      <c r="F505">
        <v>42116.672300509985</v>
      </c>
      <c r="G505">
        <v>10000</v>
      </c>
      <c r="H505">
        <v>330543.29505173524</v>
      </c>
      <c r="I505">
        <v>36.291952982681124</v>
      </c>
    </row>
    <row r="506" spans="1:9" x14ac:dyDescent="0.2">
      <c r="A506">
        <v>496</v>
      </c>
      <c r="B506">
        <v>859919.00657263829</v>
      </c>
      <c r="C506">
        <v>117690.73923905987</v>
      </c>
      <c r="D506">
        <v>54594.461762727733</v>
      </c>
      <c r="E506">
        <v>36772.466419103075</v>
      </c>
      <c r="F506">
        <v>38545.786136707138</v>
      </c>
      <c r="G506">
        <v>10000</v>
      </c>
      <c r="H506">
        <v>237603.45355759785</v>
      </c>
      <c r="I506">
        <v>35.044001730059676</v>
      </c>
    </row>
    <row r="507" spans="1:9" x14ac:dyDescent="0.2">
      <c r="A507">
        <v>497</v>
      </c>
      <c r="B507">
        <v>1417928.0985247674</v>
      </c>
      <c r="C507">
        <v>140576.98017059837</v>
      </c>
      <c r="D507">
        <v>118741.37385504605</v>
      </c>
      <c r="E507">
        <v>98402.331598076387</v>
      </c>
      <c r="F507">
        <v>42812.469110636055</v>
      </c>
      <c r="G507">
        <v>10000</v>
      </c>
      <c r="H507">
        <v>390533.15473435685</v>
      </c>
      <c r="I507">
        <v>29.741553292534558</v>
      </c>
    </row>
    <row r="508" spans="1:9" x14ac:dyDescent="0.2">
      <c r="A508">
        <v>498</v>
      </c>
      <c r="B508">
        <v>1293015.6374451127</v>
      </c>
      <c r="C508">
        <v>161537.78567389701</v>
      </c>
      <c r="D508">
        <v>128011.2360432534</v>
      </c>
      <c r="E508">
        <v>38111.732252257912</v>
      </c>
      <c r="F508">
        <v>38638.504540540933</v>
      </c>
      <c r="G508">
        <v>10000</v>
      </c>
      <c r="H508">
        <v>356299.25850994926</v>
      </c>
      <c r="I508">
        <v>54.240865802029887</v>
      </c>
    </row>
    <row r="509" spans="1:9" x14ac:dyDescent="0.2">
      <c r="A509">
        <v>499</v>
      </c>
      <c r="B509">
        <v>1286050.7922806267</v>
      </c>
      <c r="C509">
        <v>107620.41032477877</v>
      </c>
      <c r="D509">
        <v>118809.25220407207</v>
      </c>
      <c r="E509">
        <v>95359.011228738818</v>
      </c>
      <c r="F509">
        <v>42601.777700451152</v>
      </c>
      <c r="G509">
        <v>10000</v>
      </c>
      <c r="H509">
        <v>354390.4514580408</v>
      </c>
      <c r="I509">
        <v>51.250738410956643</v>
      </c>
    </row>
    <row r="510" spans="1:9" x14ac:dyDescent="0.2">
      <c r="A510">
        <v>500</v>
      </c>
      <c r="B510">
        <v>1241318.5044446504</v>
      </c>
      <c r="C510">
        <v>119596.64307831107</v>
      </c>
      <c r="D510">
        <v>93526.988401953407</v>
      </c>
      <c r="E510">
        <v>96337.8098526596</v>
      </c>
      <c r="F510">
        <v>42669.540682107203</v>
      </c>
      <c r="G510">
        <v>10000</v>
      </c>
      <c r="H510">
        <v>342130.98201503127</v>
      </c>
      <c r="I510">
        <v>36.643164703779824</v>
      </c>
    </row>
    <row r="511" spans="1:9" x14ac:dyDescent="0.2">
      <c r="A511">
        <v>501</v>
      </c>
      <c r="B511">
        <v>1482250.2887208974</v>
      </c>
      <c r="C511">
        <v>90774.102948017855</v>
      </c>
      <c r="D511">
        <v>106471.06003491793</v>
      </c>
      <c r="E511">
        <v>172943.33073039897</v>
      </c>
      <c r="F511">
        <v>47972.999819796853</v>
      </c>
      <c r="G511">
        <v>10000</v>
      </c>
      <c r="H511">
        <v>408161.49353313167</v>
      </c>
      <c r="I511">
        <v>28.913425414293233</v>
      </c>
    </row>
    <row r="512" spans="1:9" x14ac:dyDescent="0.2">
      <c r="A512">
        <v>502</v>
      </c>
      <c r="B512">
        <v>1062616.9714577927</v>
      </c>
      <c r="C512">
        <v>131370.83660476081</v>
      </c>
      <c r="D512">
        <v>91215.319420593718</v>
      </c>
      <c r="E512">
        <v>41683.546052544276</v>
      </c>
      <c r="F512">
        <v>38885.783957483836</v>
      </c>
      <c r="G512">
        <v>10000</v>
      </c>
      <c r="H512">
        <v>293155.48603538261</v>
      </c>
      <c r="I512">
        <v>50.449173680051892</v>
      </c>
    </row>
    <row r="513" spans="1:9" x14ac:dyDescent="0.2">
      <c r="A513">
        <v>503</v>
      </c>
      <c r="B513">
        <v>1124842.137738104</v>
      </c>
      <c r="C513">
        <v>116093.19270797407</v>
      </c>
      <c r="D513">
        <v>31631.909055163742</v>
      </c>
      <c r="E513">
        <v>127646.91227090165</v>
      </c>
      <c r="F513">
        <v>44837.093926447036</v>
      </c>
      <c r="G513">
        <v>10000</v>
      </c>
      <c r="H513">
        <v>310209.10796048649</v>
      </c>
      <c r="I513">
        <v>34.391549269744587</v>
      </c>
    </row>
    <row r="514" spans="1:9" x14ac:dyDescent="0.2">
      <c r="A514">
        <v>504</v>
      </c>
      <c r="B514">
        <v>895088.71981255384</v>
      </c>
      <c r="C514">
        <v>125391.04784831268</v>
      </c>
      <c r="D514">
        <v>51146.841766304562</v>
      </c>
      <c r="E514">
        <v>41809.762533385176</v>
      </c>
      <c r="F514">
        <v>38894.522021542049</v>
      </c>
      <c r="G514">
        <v>10000</v>
      </c>
      <c r="H514">
        <v>247242.17416954445</v>
      </c>
      <c r="I514">
        <v>33.443068491494657</v>
      </c>
    </row>
    <row r="515" spans="1:9" x14ac:dyDescent="0.2">
      <c r="A515">
        <v>505</v>
      </c>
      <c r="B515">
        <v>1138727.0589397859</v>
      </c>
      <c r="C515">
        <v>113974.03261635033</v>
      </c>
      <c r="D515">
        <v>101823.5246193964</v>
      </c>
      <c r="E515">
        <v>67540.981181015959</v>
      </c>
      <c r="F515">
        <v>40675.914081762647</v>
      </c>
      <c r="G515">
        <v>10000</v>
      </c>
      <c r="H515">
        <v>314014.45249852538</v>
      </c>
      <c r="I515">
        <v>51.714343617693523</v>
      </c>
    </row>
    <row r="516" spans="1:9" x14ac:dyDescent="0.2">
      <c r="A516">
        <v>506</v>
      </c>
      <c r="B516">
        <v>1423578.9231839846</v>
      </c>
      <c r="C516">
        <v>104944.01976011612</v>
      </c>
      <c r="D516">
        <v>135007.14217000309</v>
      </c>
      <c r="E516">
        <v>117963.94095043924</v>
      </c>
      <c r="F516">
        <v>44166.734373491949</v>
      </c>
      <c r="G516">
        <v>10000</v>
      </c>
      <c r="H516">
        <v>392081.83725405042</v>
      </c>
      <c r="I516">
        <v>46.562006545704151</v>
      </c>
    </row>
    <row r="517" spans="1:9" x14ac:dyDescent="0.2">
      <c r="A517">
        <v>507</v>
      </c>
      <c r="B517">
        <v>1742152.9979330557</v>
      </c>
      <c r="C517">
        <v>94153.624763275671</v>
      </c>
      <c r="D517">
        <v>163077.06189682533</v>
      </c>
      <c r="E517">
        <v>183459.50614265981</v>
      </c>
      <c r="F517">
        <v>48701.04273295337</v>
      </c>
      <c r="G517">
        <v>10000</v>
      </c>
      <c r="H517">
        <v>479391.23553571419</v>
      </c>
      <c r="I517">
        <v>39.959342593783447</v>
      </c>
    </row>
    <row r="518" spans="1:9" x14ac:dyDescent="0.2">
      <c r="A518">
        <v>508</v>
      </c>
      <c r="B518">
        <v>1177575.4408834276</v>
      </c>
      <c r="C518">
        <v>96921.643162183114</v>
      </c>
      <c r="D518">
        <v>70939.449140152079</v>
      </c>
      <c r="E518">
        <v>122331.18604365528</v>
      </c>
      <c r="F518">
        <v>44469.082110714597</v>
      </c>
      <c r="G518">
        <v>10000</v>
      </c>
      <c r="H518">
        <v>324661.36045670504</v>
      </c>
      <c r="I518">
        <v>35.758593409899085</v>
      </c>
    </row>
    <row r="519" spans="1:9" x14ac:dyDescent="0.2">
      <c r="A519">
        <v>509</v>
      </c>
      <c r="B519">
        <v>1089906.5998720767</v>
      </c>
      <c r="C519">
        <v>96074.504787163503</v>
      </c>
      <c r="D519">
        <v>44500.65354232199</v>
      </c>
      <c r="E519">
        <v>125379.30230369919</v>
      </c>
      <c r="F519">
        <v>44680.105544102254</v>
      </c>
      <c r="G519">
        <v>10000</v>
      </c>
      <c r="H519">
        <v>300634.56617728696</v>
      </c>
      <c r="I519">
        <v>38.943638917412883</v>
      </c>
    </row>
    <row r="520" spans="1:9" x14ac:dyDescent="0.2">
      <c r="A520">
        <v>510</v>
      </c>
      <c r="B520">
        <v>1450426.0605478261</v>
      </c>
      <c r="C520">
        <v>89889.824806519711</v>
      </c>
      <c r="D520">
        <v>130988.90584370047</v>
      </c>
      <c r="E520">
        <v>142682.87133823772</v>
      </c>
      <c r="F520">
        <v>45878.044938801075</v>
      </c>
      <c r="G520">
        <v>10000</v>
      </c>
      <c r="H520">
        <v>399439.64692725899</v>
      </c>
      <c r="I520">
        <v>33.733216328278615</v>
      </c>
    </row>
    <row r="521" spans="1:9" x14ac:dyDescent="0.2">
      <c r="A521">
        <v>511</v>
      </c>
      <c r="B521">
        <v>1041781.1584819594</v>
      </c>
      <c r="C521">
        <v>102245.49894054048</v>
      </c>
      <c r="D521">
        <v>53912.511237687278</v>
      </c>
      <c r="E521">
        <v>98469.994884597807</v>
      </c>
      <c r="F521">
        <v>42817.153492010613</v>
      </c>
      <c r="G521">
        <v>10000</v>
      </c>
      <c r="H521">
        <v>287445.15855483618</v>
      </c>
      <c r="I521">
        <v>28.620153524865323</v>
      </c>
    </row>
    <row r="522" spans="1:9" x14ac:dyDescent="0.2">
      <c r="A522">
        <v>512</v>
      </c>
      <c r="B522">
        <v>1010125.1566080133</v>
      </c>
      <c r="C522">
        <v>89241.710480012349</v>
      </c>
      <c r="D522">
        <v>89130.371651630252</v>
      </c>
      <c r="E522">
        <v>69580.24084152178</v>
      </c>
      <c r="F522">
        <v>40817.093596720741</v>
      </c>
      <c r="G522">
        <v>10000</v>
      </c>
      <c r="H522">
        <v>278769.4165698851</v>
      </c>
      <c r="I522">
        <v>35.039479585550154</v>
      </c>
    </row>
    <row r="523" spans="1:9" x14ac:dyDescent="0.2">
      <c r="A523">
        <v>513</v>
      </c>
      <c r="B523">
        <v>1758258.2610577829</v>
      </c>
      <c r="C523">
        <v>139090.67396642128</v>
      </c>
      <c r="D523">
        <v>166206.28347885748</v>
      </c>
      <c r="E523">
        <v>142633.50887958732</v>
      </c>
      <c r="F523">
        <v>45874.627537817585</v>
      </c>
      <c r="G523">
        <v>10000</v>
      </c>
      <c r="H523">
        <v>483805.09386268363</v>
      </c>
      <c r="I523">
        <v>30.693818660216884</v>
      </c>
    </row>
    <row r="524" spans="1:9" x14ac:dyDescent="0.2">
      <c r="A524">
        <v>514</v>
      </c>
      <c r="B524">
        <v>958951.20621138776</v>
      </c>
      <c r="C524">
        <v>100069.17861488117</v>
      </c>
      <c r="D524">
        <v>70653.321766797773</v>
      </c>
      <c r="E524">
        <v>63617.720979102705</v>
      </c>
      <c r="F524">
        <v>40404.303760091723</v>
      </c>
      <c r="G524">
        <v>10000</v>
      </c>
      <c r="H524">
        <v>264744.52512087335</v>
      </c>
      <c r="I524">
        <v>26.650670266738985</v>
      </c>
    </row>
    <row r="525" spans="1:9" x14ac:dyDescent="0.2">
      <c r="A525">
        <v>515</v>
      </c>
      <c r="B525">
        <v>1401028.2306207621</v>
      </c>
      <c r="C525">
        <v>103107.86904858515</v>
      </c>
      <c r="D525">
        <v>93316.48105883949</v>
      </c>
      <c r="E525">
        <v>152892.3214294014</v>
      </c>
      <c r="F525">
        <v>46584.853022035481</v>
      </c>
      <c r="G525">
        <v>10000</v>
      </c>
      <c r="H525">
        <v>385901.52455886157</v>
      </c>
      <c r="I525">
        <v>41.677152629269997</v>
      </c>
    </row>
    <row r="526" spans="1:9" x14ac:dyDescent="0.2">
      <c r="A526">
        <v>516</v>
      </c>
      <c r="B526">
        <v>1013252.7128209376</v>
      </c>
      <c r="C526">
        <v>88358.881278813002</v>
      </c>
      <c r="D526">
        <v>61929.404715281096</v>
      </c>
      <c r="E526">
        <v>96647.310663419499</v>
      </c>
      <c r="F526">
        <v>42690.967661313662</v>
      </c>
      <c r="G526">
        <v>10000</v>
      </c>
      <c r="H526">
        <v>279626.56431882724</v>
      </c>
      <c r="I526">
        <v>25.317816634108432</v>
      </c>
    </row>
    <row r="527" spans="1:9" x14ac:dyDescent="0.2">
      <c r="A527">
        <v>517</v>
      </c>
      <c r="B527">
        <v>1602253.368755854</v>
      </c>
      <c r="C527">
        <v>134279.32988310675</v>
      </c>
      <c r="D527">
        <v>101422.10701922336</v>
      </c>
      <c r="E527">
        <v>167735.98163424816</v>
      </c>
      <c r="F527">
        <v>47612.491036217179</v>
      </c>
      <c r="G527">
        <v>10000</v>
      </c>
      <c r="H527">
        <v>441049.9095727955</v>
      </c>
      <c r="I527">
        <v>35.868740926454862</v>
      </c>
    </row>
    <row r="528" spans="1:9" x14ac:dyDescent="0.2">
      <c r="A528">
        <v>518</v>
      </c>
      <c r="B528">
        <v>1512200.7957204434</v>
      </c>
      <c r="C528">
        <v>147979.94132475628</v>
      </c>
      <c r="D528">
        <v>48995.555003125512</v>
      </c>
      <c r="E528">
        <v>180872.39120346203</v>
      </c>
      <c r="F528">
        <v>48521.934775624293</v>
      </c>
      <c r="G528">
        <v>10000</v>
      </c>
      <c r="H528">
        <v>416369.82230696816</v>
      </c>
      <c r="I528">
        <v>42.344984569630441</v>
      </c>
    </row>
    <row r="529" spans="1:9" x14ac:dyDescent="0.2">
      <c r="A529">
        <v>519</v>
      </c>
      <c r="B529">
        <v>956577.10327180917</v>
      </c>
      <c r="C529">
        <v>89334.858651422415</v>
      </c>
      <c r="D529">
        <v>82671.66886463041</v>
      </c>
      <c r="E529">
        <v>61808.306959490496</v>
      </c>
      <c r="F529">
        <v>40279.036635657038</v>
      </c>
      <c r="G529">
        <v>10000</v>
      </c>
      <c r="H529">
        <v>264093.87111120037</v>
      </c>
      <c r="I529">
        <v>30.472242734705389</v>
      </c>
    </row>
    <row r="530" spans="1:9" x14ac:dyDescent="0.2">
      <c r="A530">
        <v>520</v>
      </c>
      <c r="B530">
        <v>1489221.0730238503</v>
      </c>
      <c r="C530">
        <v>140480.46184748763</v>
      </c>
      <c r="D530">
        <v>56883.3427381402</v>
      </c>
      <c r="E530">
        <v>174619.10849463308</v>
      </c>
      <c r="F530">
        <v>48089.015203474599</v>
      </c>
      <c r="G530">
        <v>10000</v>
      </c>
      <c r="H530">
        <v>410071.92828373553</v>
      </c>
      <c r="I530">
        <v>37.504927092617521</v>
      </c>
    </row>
    <row r="531" spans="1:9" x14ac:dyDescent="0.2">
      <c r="A531">
        <v>521</v>
      </c>
      <c r="B531">
        <v>946274.48748533719</v>
      </c>
      <c r="C531">
        <v>74574.523904208894</v>
      </c>
      <c r="D531">
        <v>39270.842951041275</v>
      </c>
      <c r="E531">
        <v>113562.89113339972</v>
      </c>
      <c r="F531">
        <v>43862.046309235368</v>
      </c>
      <c r="G531">
        <v>10000</v>
      </c>
      <c r="H531">
        <v>261270.30429788528</v>
      </c>
      <c r="I531">
        <v>55.534441149114457</v>
      </c>
    </row>
    <row r="532" spans="1:9" x14ac:dyDescent="0.2">
      <c r="A532">
        <v>522</v>
      </c>
      <c r="B532">
        <v>1375164.6193909587</v>
      </c>
      <c r="C532">
        <v>143665.89556052213</v>
      </c>
      <c r="D532">
        <v>100596.45928636481</v>
      </c>
      <c r="E532">
        <v>101522.43218495774</v>
      </c>
      <c r="F532">
        <v>43028.476074343227</v>
      </c>
      <c r="G532">
        <v>10000</v>
      </c>
      <c r="H532">
        <v>378813.26310618792</v>
      </c>
      <c r="I532">
        <v>52.704226095175066</v>
      </c>
    </row>
    <row r="533" spans="1:9" x14ac:dyDescent="0.2">
      <c r="A533">
        <v>523</v>
      </c>
      <c r="B533">
        <v>1574354.7345484057</v>
      </c>
      <c r="C533">
        <v>118900.20317460963</v>
      </c>
      <c r="D533">
        <v>81038.938699112623</v>
      </c>
      <c r="E533">
        <v>194031.81007525549</v>
      </c>
      <c r="F533">
        <v>49432.971466748459</v>
      </c>
      <c r="G533">
        <v>10000</v>
      </c>
      <c r="H533">
        <v>433403.92341572623</v>
      </c>
      <c r="I533">
        <v>27.384505566561227</v>
      </c>
    </row>
    <row r="534" spans="1:9" x14ac:dyDescent="0.2">
      <c r="A534">
        <v>524</v>
      </c>
      <c r="B534">
        <v>1514451.3774573905</v>
      </c>
      <c r="C534">
        <v>83223.670215353399</v>
      </c>
      <c r="D534">
        <v>133857.94605438787</v>
      </c>
      <c r="E534">
        <v>162644.97099011586</v>
      </c>
      <c r="F534">
        <v>47260.036453161869</v>
      </c>
      <c r="G534">
        <v>10000</v>
      </c>
      <c r="H534">
        <v>416986.62371301895</v>
      </c>
      <c r="I534">
        <v>49.447258239349956</v>
      </c>
    </row>
    <row r="535" spans="1:9" x14ac:dyDescent="0.2">
      <c r="A535">
        <v>525</v>
      </c>
      <c r="B535">
        <v>1665865.66452669</v>
      </c>
      <c r="C535">
        <v>93790.096026943502</v>
      </c>
      <c r="D535">
        <v>132640.08950350518</v>
      </c>
      <c r="E535">
        <v>192711.91299796879</v>
      </c>
      <c r="F535">
        <v>49341.593976782453</v>
      </c>
      <c r="G535">
        <v>10000</v>
      </c>
      <c r="H535">
        <v>458483.69250519993</v>
      </c>
      <c r="I535">
        <v>43.510714325366223</v>
      </c>
    </row>
    <row r="536" spans="1:9" x14ac:dyDescent="0.2">
      <c r="A536">
        <v>526</v>
      </c>
      <c r="B536">
        <v>1240716.157282145</v>
      </c>
      <c r="C536">
        <v>117676.29318806127</v>
      </c>
      <c r="D536">
        <v>66074.557021537868</v>
      </c>
      <c r="E536">
        <v>123654.36394085569</v>
      </c>
      <c r="F536">
        <v>44560.686734366936</v>
      </c>
      <c r="G536">
        <v>10000</v>
      </c>
      <c r="H536">
        <v>341965.90088482178</v>
      </c>
      <c r="I536">
        <v>41.907071752535543</v>
      </c>
    </row>
    <row r="537" spans="1:9" x14ac:dyDescent="0.2">
      <c r="A537">
        <v>527</v>
      </c>
      <c r="B537">
        <v>906942.326476363</v>
      </c>
      <c r="C537">
        <v>98622.729211379221</v>
      </c>
      <c r="D537">
        <v>71908.727799770146</v>
      </c>
      <c r="E537">
        <v>50465.582259062256</v>
      </c>
      <c r="F537">
        <v>39493.771079473539</v>
      </c>
      <c r="G537">
        <v>10000</v>
      </c>
      <c r="H537">
        <v>250490.8103496852</v>
      </c>
      <c r="I537">
        <v>31.796210240962882</v>
      </c>
    </row>
    <row r="538" spans="1:9" x14ac:dyDescent="0.2">
      <c r="A538">
        <v>528</v>
      </c>
      <c r="B538">
        <v>1718445.2899681572</v>
      </c>
      <c r="C538">
        <v>90633.92677487449</v>
      </c>
      <c r="D538">
        <v>150115.49972647749</v>
      </c>
      <c r="E538">
        <v>192796.92190354751</v>
      </c>
      <c r="F538">
        <v>49347.47920870714</v>
      </c>
      <c r="G538">
        <v>10000</v>
      </c>
      <c r="H538">
        <v>472893.82761360658</v>
      </c>
      <c r="I538">
        <v>33.129041508249543</v>
      </c>
    </row>
    <row r="539" spans="1:9" x14ac:dyDescent="0.2">
      <c r="A539">
        <v>529</v>
      </c>
      <c r="B539">
        <v>847042.37529417174</v>
      </c>
      <c r="C539">
        <v>100748.13545983314</v>
      </c>
      <c r="D539">
        <v>26104.10132417905</v>
      </c>
      <c r="E539">
        <v>75963.215457526705</v>
      </c>
      <c r="F539">
        <v>41258.991839367234</v>
      </c>
      <c r="G539">
        <v>10000</v>
      </c>
      <c r="H539">
        <v>234074.44408090613</v>
      </c>
      <c r="I539">
        <v>35.105948581866045</v>
      </c>
    </row>
    <row r="540" spans="1:9" x14ac:dyDescent="0.2">
      <c r="A540">
        <v>530</v>
      </c>
      <c r="B540">
        <v>1130442.9034654137</v>
      </c>
      <c r="C540">
        <v>113963.97305680411</v>
      </c>
      <c r="D540">
        <v>89876.834659945453</v>
      </c>
      <c r="E540">
        <v>76600.174456565306</v>
      </c>
      <c r="F540">
        <v>41303.089000839136</v>
      </c>
      <c r="G540">
        <v>10000</v>
      </c>
      <c r="H540">
        <v>311744.071174154</v>
      </c>
      <c r="I540">
        <v>36.803235038370616</v>
      </c>
    </row>
    <row r="541" spans="1:9" x14ac:dyDescent="0.2">
      <c r="A541">
        <v>531</v>
      </c>
      <c r="B541">
        <v>1363648.009288189</v>
      </c>
      <c r="C541">
        <v>94583.171717503748</v>
      </c>
      <c r="D541">
        <v>79317.520706688534</v>
      </c>
      <c r="E541">
        <v>164376.3889719237</v>
      </c>
      <c r="F541">
        <v>47379.903851902411</v>
      </c>
      <c r="G541">
        <v>10000</v>
      </c>
      <c r="H541">
        <v>375656.98524801835</v>
      </c>
      <c r="I541">
        <v>43.151182690000311</v>
      </c>
    </row>
    <row r="542" spans="1:9" x14ac:dyDescent="0.2">
      <c r="A542">
        <v>532</v>
      </c>
      <c r="B542">
        <v>1092247.0257444927</v>
      </c>
      <c r="C542">
        <v>135726.46778219732</v>
      </c>
      <c r="D542">
        <v>87868.323881627759</v>
      </c>
      <c r="E542">
        <v>48334.934205937287</v>
      </c>
      <c r="F542">
        <v>39346.264675795661</v>
      </c>
      <c r="G542">
        <v>10000</v>
      </c>
      <c r="H542">
        <v>301275.99054555804</v>
      </c>
      <c r="I542">
        <v>33.696829785449999</v>
      </c>
    </row>
    <row r="543" spans="1:9" x14ac:dyDescent="0.2">
      <c r="A543">
        <v>533</v>
      </c>
      <c r="B543">
        <v>1600330.1252818122</v>
      </c>
      <c r="C543">
        <v>97801.923850005958</v>
      </c>
      <c r="D543">
        <v>123650.11027248867</v>
      </c>
      <c r="E543">
        <v>180569.79927915888</v>
      </c>
      <c r="F543">
        <v>48500.986103941766</v>
      </c>
      <c r="G543">
        <v>10000</v>
      </c>
      <c r="H543">
        <v>440522.81950559525</v>
      </c>
      <c r="I543">
        <v>32.128509327835815</v>
      </c>
    </row>
    <row r="544" spans="1:9" x14ac:dyDescent="0.2">
      <c r="A544">
        <v>534</v>
      </c>
      <c r="B544">
        <v>1463652.7795211952</v>
      </c>
      <c r="C544">
        <v>115673.61955719301</v>
      </c>
      <c r="D544">
        <v>58603.525767524188</v>
      </c>
      <c r="E544">
        <v>189657.33407000132</v>
      </c>
      <c r="F544">
        <v>49130.123127923165</v>
      </c>
      <c r="G544">
        <v>10000</v>
      </c>
      <c r="H544">
        <v>403064.60252264171</v>
      </c>
      <c r="I544">
        <v>44.2267216713918</v>
      </c>
    </row>
    <row r="545" spans="1:9" x14ac:dyDescent="0.2">
      <c r="A545">
        <v>535</v>
      </c>
      <c r="B545">
        <v>1342783.6533885889</v>
      </c>
      <c r="C545">
        <v>100339.80558513688</v>
      </c>
      <c r="D545">
        <v>67328.870642311798</v>
      </c>
      <c r="E545">
        <v>164856.98321671539</v>
      </c>
      <c r="F545">
        <v>47413.175761157217</v>
      </c>
      <c r="G545">
        <v>10000</v>
      </c>
      <c r="H545">
        <v>369938.83520532132</v>
      </c>
      <c r="I545">
        <v>28.443999865677753</v>
      </c>
    </row>
    <row r="546" spans="1:9" x14ac:dyDescent="0.2">
      <c r="A546">
        <v>536</v>
      </c>
      <c r="B546">
        <v>1867624.9721358716</v>
      </c>
      <c r="C546">
        <v>142355.15238397414</v>
      </c>
      <c r="D546">
        <v>165793.36661848772</v>
      </c>
      <c r="E546">
        <v>167999.23816962499</v>
      </c>
      <c r="F546">
        <v>47630.716488666345</v>
      </c>
      <c r="G546">
        <v>10000</v>
      </c>
      <c r="H546">
        <v>513778.47366075322</v>
      </c>
      <c r="I546">
        <v>35.977560676361591</v>
      </c>
    </row>
    <row r="547" spans="1:9" x14ac:dyDescent="0.2">
      <c r="A547">
        <v>537</v>
      </c>
      <c r="B547">
        <v>1894561.922258124</v>
      </c>
      <c r="C547">
        <v>157789.95973228043</v>
      </c>
      <c r="D547">
        <v>129536.01421944176</v>
      </c>
      <c r="E547">
        <v>194377.98623648629</v>
      </c>
      <c r="F547">
        <v>49456.937508679825</v>
      </c>
      <c r="G547">
        <v>10000</v>
      </c>
      <c r="H547">
        <v>521160.89769688831</v>
      </c>
      <c r="I547">
        <v>44.147579800478184</v>
      </c>
    </row>
    <row r="548" spans="1:9" x14ac:dyDescent="0.2">
      <c r="A548">
        <v>538</v>
      </c>
      <c r="B548">
        <v>1049278.1287518058</v>
      </c>
      <c r="C548">
        <v>119088.46043267442</v>
      </c>
      <c r="D548">
        <v>53872.401821537831</v>
      </c>
      <c r="E548">
        <v>84676.705734214411</v>
      </c>
      <c r="F548">
        <v>41862.233473907152</v>
      </c>
      <c r="G548">
        <v>10000</v>
      </c>
      <c r="H548">
        <v>289499.80146233382</v>
      </c>
      <c r="I548">
        <v>30.698199989029103</v>
      </c>
    </row>
    <row r="549" spans="1:9" x14ac:dyDescent="0.2">
      <c r="A549">
        <v>539</v>
      </c>
      <c r="B549">
        <v>993884.50653083227</v>
      </c>
      <c r="C549">
        <v>101586.48807295595</v>
      </c>
      <c r="D549">
        <v>67216.009383587167</v>
      </c>
      <c r="E549">
        <v>74367.441067735257</v>
      </c>
      <c r="F549">
        <v>41148.51515084321</v>
      </c>
      <c r="G549">
        <v>10000</v>
      </c>
      <c r="H549">
        <v>274318.45367512159</v>
      </c>
      <c r="I549">
        <v>31.56231799534185</v>
      </c>
    </row>
    <row r="550" spans="1:9" x14ac:dyDescent="0.2">
      <c r="A550">
        <v>540</v>
      </c>
      <c r="B550">
        <v>900723.28037912794</v>
      </c>
      <c r="C550">
        <v>124553.66123231893</v>
      </c>
      <c r="D550">
        <v>60848.214244705181</v>
      </c>
      <c r="E550">
        <v>34963.943145287725</v>
      </c>
      <c r="F550">
        <v>38420.580679289153</v>
      </c>
      <c r="G550">
        <v>10000</v>
      </c>
      <c r="H550">
        <v>248786.39930160099</v>
      </c>
      <c r="I550">
        <v>42.200221108929092</v>
      </c>
    </row>
    <row r="551" spans="1:9" x14ac:dyDescent="0.2">
      <c r="A551">
        <v>541</v>
      </c>
      <c r="B551">
        <v>1453633.5152068811</v>
      </c>
      <c r="C551">
        <v>95878.381408397734</v>
      </c>
      <c r="D551">
        <v>118434.68711215179</v>
      </c>
      <c r="E551">
        <v>149645.54703802548</v>
      </c>
      <c r="F551">
        <v>46360.076333401761</v>
      </c>
      <c r="G551">
        <v>10000</v>
      </c>
      <c r="H551">
        <v>400318.69189197681</v>
      </c>
      <c r="I551">
        <v>49.275211219194794</v>
      </c>
    </row>
    <row r="552" spans="1:9" x14ac:dyDescent="0.2">
      <c r="A552">
        <v>542</v>
      </c>
      <c r="B552">
        <v>1606270.9676842969</v>
      </c>
      <c r="C552">
        <v>141837.94769209344</v>
      </c>
      <c r="D552">
        <v>92414.259170812191</v>
      </c>
      <c r="E552">
        <v>170121.15958355449</v>
      </c>
      <c r="F552">
        <v>47777.618740399921</v>
      </c>
      <c r="G552">
        <v>10000</v>
      </c>
      <c r="H552">
        <v>442150.98518686008</v>
      </c>
      <c r="I552">
        <v>25.609635540083101</v>
      </c>
    </row>
    <row r="553" spans="1:9" x14ac:dyDescent="0.2">
      <c r="A553">
        <v>543</v>
      </c>
      <c r="B553">
        <v>1181976.317879156</v>
      </c>
      <c r="C553">
        <v>155130.84222905329</v>
      </c>
      <c r="D553">
        <v>50640.372402111512</v>
      </c>
      <c r="E553">
        <v>88003.699970506044</v>
      </c>
      <c r="F553">
        <v>42092.563844111959</v>
      </c>
      <c r="G553">
        <v>10000</v>
      </c>
      <c r="H553">
        <v>325867.47844578279</v>
      </c>
      <c r="I553">
        <v>35.472520896393434</v>
      </c>
    </row>
    <row r="554" spans="1:9" x14ac:dyDescent="0.2">
      <c r="A554">
        <v>544</v>
      </c>
      <c r="B554">
        <v>1382616.7885636743</v>
      </c>
      <c r="C554">
        <v>155240.50895294169</v>
      </c>
      <c r="D554">
        <v>39271.845133857227</v>
      </c>
      <c r="E554">
        <v>149961.33502097958</v>
      </c>
      <c r="F554">
        <v>46381.938578375506</v>
      </c>
      <c r="G554">
        <v>10000</v>
      </c>
      <c r="H554">
        <v>380855.62768615398</v>
      </c>
      <c r="I554">
        <v>45.556069869895651</v>
      </c>
    </row>
    <row r="555" spans="1:9" x14ac:dyDescent="0.2">
      <c r="A555">
        <v>545</v>
      </c>
      <c r="B555">
        <v>1861138.1958221411</v>
      </c>
      <c r="C555">
        <v>161002.06021332563</v>
      </c>
      <c r="D555">
        <v>103102.40166519865</v>
      </c>
      <c r="E555">
        <v>207528.84423712743</v>
      </c>
      <c r="F555">
        <v>50367.381524108823</v>
      </c>
      <c r="G555">
        <v>10000</v>
      </c>
      <c r="H555">
        <v>512000.68763976055</v>
      </c>
      <c r="I555">
        <v>35.42783280825347</v>
      </c>
    </row>
    <row r="556" spans="1:9" x14ac:dyDescent="0.2">
      <c r="A556">
        <v>546</v>
      </c>
      <c r="B556">
        <v>1486718.0473164991</v>
      </c>
      <c r="C556">
        <v>148420.79311505568</v>
      </c>
      <c r="D556">
        <v>95034.941768493474</v>
      </c>
      <c r="E556">
        <v>130869.97722472654</v>
      </c>
      <c r="F556">
        <v>45060.229192481071</v>
      </c>
      <c r="G556">
        <v>10000</v>
      </c>
      <c r="H556">
        <v>409385.94130075676</v>
      </c>
      <c r="I556">
        <v>32.612269749408014</v>
      </c>
    </row>
    <row r="557" spans="1:9" x14ac:dyDescent="0.2">
      <c r="A557">
        <v>547</v>
      </c>
      <c r="B557">
        <v>997790.67714145663</v>
      </c>
      <c r="C557">
        <v>91797.850278063459</v>
      </c>
      <c r="D557">
        <v>101601.05835176312</v>
      </c>
      <c r="E557">
        <v>52364.825143882998</v>
      </c>
      <c r="F557">
        <v>39625.257125345743</v>
      </c>
      <c r="G557">
        <v>10000</v>
      </c>
      <c r="H557">
        <v>275388.99089905532</v>
      </c>
      <c r="I557">
        <v>49.983858792053269</v>
      </c>
    </row>
    <row r="558" spans="1:9" x14ac:dyDescent="0.2">
      <c r="A558">
        <v>548</v>
      </c>
      <c r="B558">
        <v>1549722.8553864311</v>
      </c>
      <c r="C558">
        <v>130306.02424079819</v>
      </c>
      <c r="D558">
        <v>75962.1800295047</v>
      </c>
      <c r="E558">
        <v>181798.94892157716</v>
      </c>
      <c r="F558">
        <v>48586.081079186108</v>
      </c>
      <c r="G558">
        <v>10000</v>
      </c>
      <c r="H558">
        <v>426653.23427106621</v>
      </c>
      <c r="I558">
        <v>43.411207203519112</v>
      </c>
    </row>
    <row r="559" spans="1:9" x14ac:dyDescent="0.2">
      <c r="A559">
        <v>549</v>
      </c>
      <c r="B559">
        <v>1174314.2286400727</v>
      </c>
      <c r="C559">
        <v>90565.021428622291</v>
      </c>
      <c r="D559">
        <v>82529.289042564866</v>
      </c>
      <c r="E559">
        <v>116600.90191786108</v>
      </c>
      <c r="F559">
        <v>44072.370132775002</v>
      </c>
      <c r="G559">
        <v>10000</v>
      </c>
      <c r="H559">
        <v>323767.58252182323</v>
      </c>
      <c r="I559">
        <v>34.560080710491064</v>
      </c>
    </row>
    <row r="560" spans="1:9" x14ac:dyDescent="0.2">
      <c r="A560">
        <v>550</v>
      </c>
      <c r="B560">
        <v>1163881.9737179962</v>
      </c>
      <c r="C560">
        <v>106010.88233764522</v>
      </c>
      <c r="D560">
        <v>61095.011446693374</v>
      </c>
      <c r="E560">
        <v>119527.60460945182</v>
      </c>
      <c r="F560">
        <v>44274.988011423586</v>
      </c>
      <c r="G560">
        <v>10000</v>
      </c>
      <c r="H560">
        <v>320908.48640521406</v>
      </c>
      <c r="I560">
        <v>36.863395903390654</v>
      </c>
    </row>
    <row r="561" spans="1:9" x14ac:dyDescent="0.2">
      <c r="A561">
        <v>551</v>
      </c>
      <c r="B561">
        <v>945258.66626601003</v>
      </c>
      <c r="C561">
        <v>102591.85535616399</v>
      </c>
      <c r="D561">
        <v>99077.017472849082</v>
      </c>
      <c r="E561">
        <v>31165.425945555566</v>
      </c>
      <c r="F561">
        <v>38157.606411615387</v>
      </c>
      <c r="G561">
        <v>10000</v>
      </c>
      <c r="H561">
        <v>260991.90518618398</v>
      </c>
      <c r="I561">
        <v>34.464358798975638</v>
      </c>
    </row>
    <row r="562" spans="1:9" x14ac:dyDescent="0.2">
      <c r="A562">
        <v>552</v>
      </c>
      <c r="B562">
        <v>1413110.0072372502</v>
      </c>
      <c r="C562">
        <v>131598.50307629083</v>
      </c>
      <c r="D562">
        <v>150982.19167691417</v>
      </c>
      <c r="E562">
        <v>75411.222039750864</v>
      </c>
      <c r="F562">
        <v>41220.776910444292</v>
      </c>
      <c r="G562">
        <v>10000</v>
      </c>
      <c r="H562">
        <v>389212.69370340015</v>
      </c>
      <c r="I562">
        <v>41.969680483321198</v>
      </c>
    </row>
    <row r="563" spans="1:9" x14ac:dyDescent="0.2">
      <c r="A563">
        <v>553</v>
      </c>
      <c r="B563">
        <v>1234269.8753285313</v>
      </c>
      <c r="C563">
        <v>136887.45190437877</v>
      </c>
      <c r="D563">
        <v>110159.92287023952</v>
      </c>
      <c r="E563">
        <v>62803.877358822399</v>
      </c>
      <c r="F563">
        <v>40347.960740226161</v>
      </c>
      <c r="G563">
        <v>10000</v>
      </c>
      <c r="H563">
        <v>340199.21287366684</v>
      </c>
      <c r="I563">
        <v>38.578801748162178</v>
      </c>
    </row>
    <row r="564" spans="1:9" x14ac:dyDescent="0.2">
      <c r="A564">
        <v>554</v>
      </c>
      <c r="B564">
        <v>1531940.6004008683</v>
      </c>
      <c r="C564">
        <v>125246.40699301513</v>
      </c>
      <c r="D564">
        <v>49701.878390465434</v>
      </c>
      <c r="E564">
        <v>206533.04724162578</v>
      </c>
      <c r="F564">
        <v>50298.441732112551</v>
      </c>
      <c r="G564">
        <v>10000</v>
      </c>
      <c r="H564">
        <v>421779.77435721888</v>
      </c>
      <c r="I564">
        <v>39.293268149705625</v>
      </c>
    </row>
    <row r="565" spans="1:9" x14ac:dyDescent="0.2">
      <c r="A565">
        <v>555</v>
      </c>
      <c r="B565">
        <v>1351710.9017389561</v>
      </c>
      <c r="C565">
        <v>114192.71255757844</v>
      </c>
      <c r="D565">
        <v>57489.75547707644</v>
      </c>
      <c r="E565">
        <v>163391.29171100736</v>
      </c>
      <c r="F565">
        <v>47311.70481076205</v>
      </c>
      <c r="G565">
        <v>10000</v>
      </c>
      <c r="H565">
        <v>372385.4645564243</v>
      </c>
      <c r="I565">
        <v>33.242864837049254</v>
      </c>
    </row>
    <row r="566" spans="1:9" x14ac:dyDescent="0.2">
      <c r="A566">
        <v>556</v>
      </c>
      <c r="B566">
        <v>1786857.776636427</v>
      </c>
      <c r="C566">
        <v>151668.02976723042</v>
      </c>
      <c r="D566">
        <v>117279.90487177345</v>
      </c>
      <c r="E566">
        <v>183959.56865615313</v>
      </c>
      <c r="F566">
        <v>48735.662445425987</v>
      </c>
      <c r="G566">
        <v>10000</v>
      </c>
      <c r="H566">
        <v>491643.16574058298</v>
      </c>
      <c r="I566">
        <v>26.836664227525542</v>
      </c>
    </row>
    <row r="567" spans="1:9" x14ac:dyDescent="0.2">
      <c r="A567">
        <v>557</v>
      </c>
      <c r="B567">
        <v>1296184.6143359323</v>
      </c>
      <c r="C567">
        <v>116785.95479337187</v>
      </c>
      <c r="D567">
        <v>59683.500038553742</v>
      </c>
      <c r="E567">
        <v>144681.8664015987</v>
      </c>
      <c r="F567">
        <v>46016.43690472607</v>
      </c>
      <c r="G567">
        <v>10000</v>
      </c>
      <c r="H567">
        <v>357167.75813825044</v>
      </c>
      <c r="I567">
        <v>45.26636138718407</v>
      </c>
    </row>
    <row r="568" spans="1:9" x14ac:dyDescent="0.2">
      <c r="A568">
        <v>558</v>
      </c>
      <c r="B568">
        <v>972456.84923784586</v>
      </c>
      <c r="C568">
        <v>104912.19152045749</v>
      </c>
      <c r="D568">
        <v>82065.279537617578</v>
      </c>
      <c r="E568">
        <v>51876.969915993534</v>
      </c>
      <c r="F568">
        <v>39591.482532645707</v>
      </c>
      <c r="G568">
        <v>10000</v>
      </c>
      <c r="H568">
        <v>268445.92350671435</v>
      </c>
      <c r="I568">
        <v>30.263814388033303</v>
      </c>
    </row>
    <row r="569" spans="1:9" x14ac:dyDescent="0.2">
      <c r="A569">
        <v>559</v>
      </c>
      <c r="B569">
        <v>1249681.3311445874</v>
      </c>
      <c r="C569">
        <v>96251.367383703939</v>
      </c>
      <c r="D569">
        <v>70008.543107044476</v>
      </c>
      <c r="E569">
        <v>142310.73226411914</v>
      </c>
      <c r="F569">
        <v>45852.281464439016</v>
      </c>
      <c r="G569">
        <v>10000</v>
      </c>
      <c r="H569">
        <v>344422.92421930656</v>
      </c>
      <c r="I569">
        <v>34.734407873020558</v>
      </c>
    </row>
    <row r="570" spans="1:9" x14ac:dyDescent="0.2">
      <c r="A570">
        <v>560</v>
      </c>
      <c r="B570">
        <v>1839713.6236298687</v>
      </c>
      <c r="C570">
        <v>141123.38293024705</v>
      </c>
      <c r="D570">
        <v>128439.39660956805</v>
      </c>
      <c r="E570">
        <v>196932.43919204464</v>
      </c>
      <c r="F570">
        <v>49633.784251756937</v>
      </c>
      <c r="G570">
        <v>10000</v>
      </c>
      <c r="H570">
        <v>506129.00298361667</v>
      </c>
      <c r="I570">
        <v>28.194917877365171</v>
      </c>
    </row>
    <row r="571" spans="1:9" x14ac:dyDescent="0.2">
      <c r="A571">
        <v>561</v>
      </c>
      <c r="B571">
        <v>1534844.9668855253</v>
      </c>
      <c r="C571">
        <v>120766.2937896785</v>
      </c>
      <c r="D571">
        <v>131514.15993145495</v>
      </c>
      <c r="E571">
        <v>134952.43914480382</v>
      </c>
      <c r="F571">
        <v>45342.861171563345</v>
      </c>
      <c r="G571">
        <v>10000</v>
      </c>
      <c r="H571">
        <v>422575.75403750065</v>
      </c>
      <c r="I571">
        <v>35.294945370628852</v>
      </c>
    </row>
    <row r="572" spans="1:9" x14ac:dyDescent="0.2">
      <c r="A572">
        <v>562</v>
      </c>
      <c r="B572">
        <v>939424.34165347926</v>
      </c>
      <c r="C572">
        <v>97399.410448346258</v>
      </c>
      <c r="D572">
        <v>76804.530546298003</v>
      </c>
      <c r="E572">
        <v>55356.610386831708</v>
      </c>
      <c r="F572">
        <v>39832.380719088345</v>
      </c>
      <c r="G572">
        <v>10000</v>
      </c>
      <c r="H572">
        <v>259392.9321005643</v>
      </c>
      <c r="I572">
        <v>27.879594987741676</v>
      </c>
    </row>
    <row r="573" spans="1:9" x14ac:dyDescent="0.2">
      <c r="A573">
        <v>563</v>
      </c>
      <c r="B573">
        <v>1396325.5551940443</v>
      </c>
      <c r="C573">
        <v>122844.22073428253</v>
      </c>
      <c r="D573">
        <v>56157.010934820864</v>
      </c>
      <c r="E573">
        <v>167981.94389461604</v>
      </c>
      <c r="F573">
        <v>47629.519192704189</v>
      </c>
      <c r="G573">
        <v>10000</v>
      </c>
      <c r="H573">
        <v>384612.69475642359</v>
      </c>
      <c r="I573">
        <v>37.212803474710526</v>
      </c>
    </row>
    <row r="574" spans="1:9" x14ac:dyDescent="0.2">
      <c r="A574">
        <v>564</v>
      </c>
      <c r="B574">
        <v>1125719.2093113859</v>
      </c>
      <c r="C574">
        <v>96322.208365643339</v>
      </c>
      <c r="D574">
        <v>96264.395940928342</v>
      </c>
      <c r="E574">
        <v>85914.92056825386</v>
      </c>
      <c r="F574">
        <v>41947.95603934065</v>
      </c>
      <c r="G574">
        <v>10000</v>
      </c>
      <c r="H574">
        <v>310449.4809141662</v>
      </c>
      <c r="I574">
        <v>37.201436292764654</v>
      </c>
    </row>
    <row r="575" spans="1:9" x14ac:dyDescent="0.2">
      <c r="A575">
        <v>565</v>
      </c>
      <c r="B575">
        <v>1441834.5253120707</v>
      </c>
      <c r="C575">
        <v>128550.82865411174</v>
      </c>
      <c r="D575">
        <v>82473.373525049436</v>
      </c>
      <c r="E575">
        <v>149697.17163004194</v>
      </c>
      <c r="F575">
        <v>46363.650343618283</v>
      </c>
      <c r="G575">
        <v>10000</v>
      </c>
      <c r="H575">
        <v>397085.02415282145</v>
      </c>
      <c r="I575">
        <v>53.423568300692047</v>
      </c>
    </row>
    <row r="576" spans="1:9" x14ac:dyDescent="0.2">
      <c r="A576">
        <v>566</v>
      </c>
      <c r="B576">
        <v>1329042.4014817309</v>
      </c>
      <c r="C576">
        <v>115003.78753247041</v>
      </c>
      <c r="D576">
        <v>46658.348338431853</v>
      </c>
      <c r="E576">
        <v>166952.48059220973</v>
      </c>
      <c r="F576">
        <v>47558.248656383752</v>
      </c>
      <c r="G576">
        <v>10000</v>
      </c>
      <c r="H576">
        <v>366172.86511949578</v>
      </c>
      <c r="I576">
        <v>46.482321893356904</v>
      </c>
    </row>
    <row r="577" spans="1:9" x14ac:dyDescent="0.2">
      <c r="A577">
        <v>567</v>
      </c>
      <c r="B577">
        <v>1182808.8764211619</v>
      </c>
      <c r="C577">
        <v>115175.36522673503</v>
      </c>
      <c r="D577">
        <v>95218.542974557102</v>
      </c>
      <c r="E577">
        <v>83893.717240660204</v>
      </c>
      <c r="F577">
        <v>41808.026578199555</v>
      </c>
      <c r="G577">
        <v>10000</v>
      </c>
      <c r="H577">
        <v>326095.65202015184</v>
      </c>
      <c r="I577">
        <v>34.318704465855006</v>
      </c>
    </row>
    <row r="578" spans="1:9" x14ac:dyDescent="0.2">
      <c r="A578">
        <v>568</v>
      </c>
      <c r="B578">
        <v>1623347.9756816856</v>
      </c>
      <c r="C578">
        <v>161519.2062415354</v>
      </c>
      <c r="D578">
        <v>89444.558722047906</v>
      </c>
      <c r="E578">
        <v>158868.78946065265</v>
      </c>
      <c r="F578">
        <v>46998.608501122108</v>
      </c>
      <c r="G578">
        <v>10000</v>
      </c>
      <c r="H578">
        <v>446831.16292535805</v>
      </c>
      <c r="I578">
        <v>35.236042022054924</v>
      </c>
    </row>
    <row r="579" spans="1:9" x14ac:dyDescent="0.2">
      <c r="A579">
        <v>569</v>
      </c>
      <c r="B579">
        <v>1785979.5759370907</v>
      </c>
      <c r="C579">
        <v>133807.38025373849</v>
      </c>
      <c r="D579">
        <v>138843.98531310452</v>
      </c>
      <c r="E579">
        <v>180270.8295674508</v>
      </c>
      <c r="F579">
        <v>48480.288200823517</v>
      </c>
      <c r="G579">
        <v>10000</v>
      </c>
      <c r="H579">
        <v>491402.48333511734</v>
      </c>
      <c r="I579">
        <v>41.172022802582752</v>
      </c>
    </row>
    <row r="580" spans="1:9" x14ac:dyDescent="0.2">
      <c r="A580">
        <v>570</v>
      </c>
      <c r="B580">
        <v>1171986.5013804848</v>
      </c>
      <c r="C580">
        <v>118433.36688149718</v>
      </c>
      <c r="D580">
        <v>95178.898529242884</v>
      </c>
      <c r="E580">
        <v>78109.77327568394</v>
      </c>
      <c r="F580">
        <v>41407.599688316586</v>
      </c>
      <c r="G580">
        <v>10000</v>
      </c>
      <c r="H580">
        <v>323129.63837474055</v>
      </c>
      <c r="I580">
        <v>25.66279779645231</v>
      </c>
    </row>
    <row r="581" spans="1:9" x14ac:dyDescent="0.2">
      <c r="A581">
        <v>571</v>
      </c>
      <c r="B581">
        <v>1001589.0322346754</v>
      </c>
      <c r="C581">
        <v>96498.676436033318</v>
      </c>
      <c r="D581">
        <v>73962.63816211425</v>
      </c>
      <c r="E581">
        <v>74790.838022291806</v>
      </c>
      <c r="F581">
        <v>41177.827247697125</v>
      </c>
      <c r="G581">
        <v>10000</v>
      </c>
      <c r="H581">
        <v>276429.97986813652</v>
      </c>
      <c r="I581">
        <v>40.182354289325339</v>
      </c>
    </row>
    <row r="582" spans="1:9" x14ac:dyDescent="0.2">
      <c r="A582">
        <v>572</v>
      </c>
      <c r="B582">
        <v>1159607.1206713337</v>
      </c>
      <c r="C582">
        <v>132483.45830588642</v>
      </c>
      <c r="D582">
        <v>88081.031228308799</v>
      </c>
      <c r="E582">
        <v>68434.63497468362</v>
      </c>
      <c r="F582">
        <v>40737.782421324249</v>
      </c>
      <c r="G582">
        <v>10000</v>
      </c>
      <c r="H582">
        <v>319736.90693020308</v>
      </c>
      <c r="I582">
        <v>33.678764348493075</v>
      </c>
    </row>
    <row r="583" spans="1:9" x14ac:dyDescent="0.2">
      <c r="A583">
        <v>573</v>
      </c>
      <c r="B583">
        <v>942541.16822347383</v>
      </c>
      <c r="C583">
        <v>99622.70854442881</v>
      </c>
      <c r="D583">
        <v>76273.521452413072</v>
      </c>
      <c r="E583">
        <v>54572.792826985286</v>
      </c>
      <c r="F583">
        <v>39778.11642648359</v>
      </c>
      <c r="G583">
        <v>10000</v>
      </c>
      <c r="H583">
        <v>260247.13925031078</v>
      </c>
      <c r="I583">
        <v>33.531425624355663</v>
      </c>
    </row>
    <row r="584" spans="1:9" x14ac:dyDescent="0.2">
      <c r="A584">
        <v>574</v>
      </c>
      <c r="B584">
        <v>1133611.5255928135</v>
      </c>
      <c r="C584">
        <v>92924.622333914725</v>
      </c>
      <c r="D584">
        <v>119826.82258492857</v>
      </c>
      <c r="E584">
        <v>69078.659894147029</v>
      </c>
      <c r="F584">
        <v>40782.368761902486</v>
      </c>
      <c r="G584">
        <v>10000</v>
      </c>
      <c r="H584">
        <v>312612.47357489279</v>
      </c>
      <c r="I584">
        <v>28.267501860338662</v>
      </c>
    </row>
    <row r="585" spans="1:9" x14ac:dyDescent="0.2">
      <c r="A585">
        <v>575</v>
      </c>
      <c r="B585">
        <v>996578.89081927016</v>
      </c>
      <c r="C585">
        <v>93907.75627095357</v>
      </c>
      <c r="D585">
        <v>50350.101660349617</v>
      </c>
      <c r="E585">
        <v>98013.478538409443</v>
      </c>
      <c r="F585">
        <v>42785.548514197573</v>
      </c>
      <c r="G585">
        <v>10000</v>
      </c>
      <c r="H585">
        <v>275056.88498391019</v>
      </c>
      <c r="I585">
        <v>38.71680345602671</v>
      </c>
    </row>
    <row r="586" spans="1:9" x14ac:dyDescent="0.2">
      <c r="A586">
        <v>576</v>
      </c>
      <c r="B586">
        <v>1212242.6948061192</v>
      </c>
      <c r="C586">
        <v>147369.57543231183</v>
      </c>
      <c r="D586">
        <v>132965.69354547738</v>
      </c>
      <c r="E586">
        <v>26025.351433846619</v>
      </c>
      <c r="F586">
        <v>37801.755099266309</v>
      </c>
      <c r="G586">
        <v>10000</v>
      </c>
      <c r="H586">
        <v>334162.37551090214</v>
      </c>
      <c r="I586">
        <v>27.833252609087896</v>
      </c>
    </row>
    <row r="587" spans="1:9" x14ac:dyDescent="0.2">
      <c r="A587">
        <v>577</v>
      </c>
      <c r="B587">
        <v>946547.30186108162</v>
      </c>
      <c r="C587">
        <v>115845.72797902975</v>
      </c>
      <c r="D587">
        <v>47270.396766577913</v>
      </c>
      <c r="E587">
        <v>67552.253436917468</v>
      </c>
      <c r="F587">
        <v>40676.694468709669</v>
      </c>
      <c r="G587">
        <v>10000</v>
      </c>
      <c r="H587">
        <v>261345.0726512348</v>
      </c>
      <c r="I587">
        <v>35.772361784047263</v>
      </c>
    </row>
    <row r="588" spans="1:9" x14ac:dyDescent="0.2">
      <c r="A588">
        <v>578</v>
      </c>
      <c r="B588">
        <v>1633049.0648423173</v>
      </c>
      <c r="C588">
        <v>151563.70779533341</v>
      </c>
      <c r="D588">
        <v>54657.140387204541</v>
      </c>
      <c r="E588">
        <v>203201.24668789303</v>
      </c>
      <c r="F588">
        <v>50067.778616854135</v>
      </c>
      <c r="G588">
        <v>10000</v>
      </c>
      <c r="H588">
        <v>449489.87348728511</v>
      </c>
      <c r="I588">
        <v>30.146975216728592</v>
      </c>
    </row>
    <row r="589" spans="1:9" x14ac:dyDescent="0.2">
      <c r="A589">
        <v>579</v>
      </c>
      <c r="B589">
        <v>1440123.6485397913</v>
      </c>
      <c r="C589">
        <v>99781.16534913877</v>
      </c>
      <c r="D589">
        <v>57180.521039490617</v>
      </c>
      <c r="E589">
        <v>199820.70823417552</v>
      </c>
      <c r="F589">
        <v>49833.741339289074</v>
      </c>
      <c r="G589">
        <v>10000</v>
      </c>
      <c r="H589">
        <v>396616.13596209395</v>
      </c>
      <c r="I589">
        <v>36.598198707020728</v>
      </c>
    </row>
    <row r="590" spans="1:9" x14ac:dyDescent="0.2">
      <c r="A590">
        <v>580</v>
      </c>
      <c r="B590">
        <v>1298857.0415466484</v>
      </c>
      <c r="C590">
        <v>96383.032521072819</v>
      </c>
      <c r="D590">
        <v>107044.84644571223</v>
      </c>
      <c r="E590">
        <v>120153.94295836453</v>
      </c>
      <c r="F590">
        <v>44318.349897117543</v>
      </c>
      <c r="G590">
        <v>10000</v>
      </c>
      <c r="H590">
        <v>357900.17182226706</v>
      </c>
      <c r="I590">
        <v>39.819127091887125</v>
      </c>
    </row>
    <row r="591" spans="1:9" x14ac:dyDescent="0.2">
      <c r="A591">
        <v>581</v>
      </c>
      <c r="B591">
        <v>805780.06007093517</v>
      </c>
      <c r="C591">
        <v>99267.13121317247</v>
      </c>
      <c r="D591">
        <v>66863.235661840052</v>
      </c>
      <c r="E591">
        <v>28651.999262656882</v>
      </c>
      <c r="F591">
        <v>37983.599948953168</v>
      </c>
      <c r="G591">
        <v>10000</v>
      </c>
      <c r="H591">
        <v>222765.96608662256</v>
      </c>
      <c r="I591">
        <v>41.356753675941107</v>
      </c>
    </row>
    <row r="592" spans="1:9" x14ac:dyDescent="0.2">
      <c r="A592">
        <v>582</v>
      </c>
      <c r="B592">
        <v>1086627.3258908796</v>
      </c>
      <c r="C592">
        <v>86313.097967169349</v>
      </c>
      <c r="D592">
        <v>151489.18298479295</v>
      </c>
      <c r="E592">
        <v>33606.924032351424</v>
      </c>
      <c r="F592">
        <v>38326.633202239718</v>
      </c>
      <c r="G592">
        <v>10000</v>
      </c>
      <c r="H592">
        <v>299735.83818655339</v>
      </c>
      <c r="I592">
        <v>42.611380614631408</v>
      </c>
    </row>
    <row r="593" spans="1:9" x14ac:dyDescent="0.2">
      <c r="A593">
        <v>583</v>
      </c>
      <c r="B593">
        <v>1259062.4341417975</v>
      </c>
      <c r="C593">
        <v>120385.37731725335</v>
      </c>
      <c r="D593">
        <v>57289.199457242932</v>
      </c>
      <c r="E593">
        <v>134039.69071163665</v>
      </c>
      <c r="F593">
        <v>45279.670895420997</v>
      </c>
      <c r="G593">
        <v>10000</v>
      </c>
      <c r="H593">
        <v>346993.93838155392</v>
      </c>
      <c r="I593">
        <v>44.046740965259652</v>
      </c>
    </row>
    <row r="594" spans="1:9" x14ac:dyDescent="0.2">
      <c r="A594">
        <v>584</v>
      </c>
      <c r="B594">
        <v>1578592.3132931797</v>
      </c>
      <c r="C594">
        <v>132566.15699614515</v>
      </c>
      <c r="D594">
        <v>75641.843604579306</v>
      </c>
      <c r="E594">
        <v>187384.51281518495</v>
      </c>
      <c r="F594">
        <v>48972.773964128188</v>
      </c>
      <c r="G594">
        <v>10000</v>
      </c>
      <c r="H594">
        <v>434565.28738003754</v>
      </c>
      <c r="I594">
        <v>42.356318805803888</v>
      </c>
    </row>
    <row r="595" spans="1:9" x14ac:dyDescent="0.2">
      <c r="A595">
        <v>585</v>
      </c>
      <c r="B595">
        <v>1192268.0600714046</v>
      </c>
      <c r="C595">
        <v>87433.283238988734</v>
      </c>
      <c r="D595">
        <v>141004.85690437575</v>
      </c>
      <c r="E595">
        <v>69442.375959884914</v>
      </c>
      <c r="F595">
        <v>40807.54910491511</v>
      </c>
      <c r="G595">
        <v>10000</v>
      </c>
      <c r="H595">
        <v>328688.06520816451</v>
      </c>
      <c r="I595">
        <v>39.937816931673211</v>
      </c>
    </row>
    <row r="596" spans="1:9" x14ac:dyDescent="0.2">
      <c r="A596">
        <v>586</v>
      </c>
      <c r="B596">
        <v>1137639.2929362946</v>
      </c>
      <c r="C596">
        <v>95984.839371986076</v>
      </c>
      <c r="D596">
        <v>125485.89157944464</v>
      </c>
      <c r="E596">
        <v>61956.321246278501</v>
      </c>
      <c r="F596">
        <v>40289.283778588506</v>
      </c>
      <c r="G596">
        <v>10000</v>
      </c>
      <c r="H596">
        <v>313716.33597629773</v>
      </c>
      <c r="I596">
        <v>33.254903127139727</v>
      </c>
    </row>
    <row r="597" spans="1:9" x14ac:dyDescent="0.2">
      <c r="A597">
        <v>587</v>
      </c>
      <c r="B597">
        <v>1349205.2151624691</v>
      </c>
      <c r="C597">
        <v>110879.02497811508</v>
      </c>
      <c r="D597">
        <v>58031.484340249903</v>
      </c>
      <c r="E597">
        <v>165341.51849766172</v>
      </c>
      <c r="F597">
        <v>47446.720511376581</v>
      </c>
      <c r="G597">
        <v>10000</v>
      </c>
      <c r="H597">
        <v>371698.74832740327</v>
      </c>
      <c r="I597">
        <v>51.557340506863767</v>
      </c>
    </row>
    <row r="598" spans="1:9" x14ac:dyDescent="0.2">
      <c r="A598">
        <v>588</v>
      </c>
      <c r="B598">
        <v>1372034.8847838957</v>
      </c>
      <c r="C598">
        <v>89464.292448173364</v>
      </c>
      <c r="D598">
        <v>168264.0460131579</v>
      </c>
      <c r="E598">
        <v>88126.139454679796</v>
      </c>
      <c r="F598">
        <v>42101.040423785525</v>
      </c>
      <c r="G598">
        <v>10000</v>
      </c>
      <c r="H598">
        <v>377955.51833979657</v>
      </c>
      <c r="I598">
        <v>34.518261667736695</v>
      </c>
    </row>
    <row r="599" spans="1:9" x14ac:dyDescent="0.2">
      <c r="A599">
        <v>589</v>
      </c>
      <c r="B599">
        <v>1032010.8661831967</v>
      </c>
      <c r="C599">
        <v>118080.04533433844</v>
      </c>
      <c r="D599">
        <v>108687.70533342935</v>
      </c>
      <c r="E599">
        <v>29927.806250511567</v>
      </c>
      <c r="F599">
        <v>38071.925048112338</v>
      </c>
      <c r="G599">
        <v>10000</v>
      </c>
      <c r="H599">
        <v>284767.48196639167</v>
      </c>
      <c r="I599">
        <v>37.172703668611433</v>
      </c>
    </row>
    <row r="600" spans="1:9" x14ac:dyDescent="0.2">
      <c r="A600">
        <v>590</v>
      </c>
      <c r="B600">
        <v>1761252.1200124901</v>
      </c>
      <c r="C600">
        <v>96379.725900045596</v>
      </c>
      <c r="D600">
        <v>152815.27715356104</v>
      </c>
      <c r="E600">
        <v>195870.34258631946</v>
      </c>
      <c r="F600">
        <v>49560.254486745187</v>
      </c>
      <c r="G600">
        <v>10000</v>
      </c>
      <c r="H600">
        <v>484625.60012667126</v>
      </c>
      <c r="I600">
        <v>34.052876177295197</v>
      </c>
    </row>
    <row r="601" spans="1:9" x14ac:dyDescent="0.2">
      <c r="A601">
        <v>591</v>
      </c>
      <c r="B601">
        <v>1204004.8159117452</v>
      </c>
      <c r="C601">
        <v>117463.51804986103</v>
      </c>
      <c r="D601">
        <v>62983.649429263976</v>
      </c>
      <c r="E601">
        <v>117334.36131902767</v>
      </c>
      <c r="F601">
        <v>44123.1480913173</v>
      </c>
      <c r="G601">
        <v>10000</v>
      </c>
      <c r="H601">
        <v>331904.67688946996</v>
      </c>
      <c r="I601">
        <v>33.229306200461849</v>
      </c>
    </row>
    <row r="602" spans="1:9" x14ac:dyDescent="0.2">
      <c r="A602">
        <v>592</v>
      </c>
      <c r="B602">
        <v>1321523.1021779266</v>
      </c>
      <c r="C602">
        <v>105754.71587637289</v>
      </c>
      <c r="D602">
        <v>122266.13296773896</v>
      </c>
      <c r="E602">
        <v>102963.04312570223</v>
      </c>
      <c r="F602">
        <v>43128.210677933232</v>
      </c>
      <c r="G602">
        <v>10000</v>
      </c>
      <c r="H602">
        <v>364112.10264774732</v>
      </c>
      <c r="I602">
        <v>36.156604281620105</v>
      </c>
    </row>
    <row r="603" spans="1:9" x14ac:dyDescent="0.2">
      <c r="A603">
        <v>593</v>
      </c>
      <c r="B603">
        <v>1268988.022296119</v>
      </c>
      <c r="C603">
        <v>129182.84935217543</v>
      </c>
      <c r="D603">
        <v>93079.286366349828</v>
      </c>
      <c r="E603">
        <v>94883.202985210271</v>
      </c>
      <c r="F603">
        <v>42568.83712974532</v>
      </c>
      <c r="G603">
        <v>10000</v>
      </c>
      <c r="H603">
        <v>349714.1758334809</v>
      </c>
      <c r="I603">
        <v>27.465446632252501</v>
      </c>
    </row>
    <row r="604" spans="1:9" x14ac:dyDescent="0.2">
      <c r="A604">
        <v>594</v>
      </c>
      <c r="B604">
        <v>1382277.5165621713</v>
      </c>
      <c r="C604">
        <v>103971.49832035672</v>
      </c>
      <c r="D604">
        <v>132168.83507961573</v>
      </c>
      <c r="E604">
        <v>110941.73097476833</v>
      </c>
      <c r="F604">
        <v>43680.581375176269</v>
      </c>
      <c r="G604">
        <v>10000</v>
      </c>
      <c r="H604">
        <v>380762.64574991708</v>
      </c>
      <c r="I604">
        <v>48.11225258521528</v>
      </c>
    </row>
    <row r="605" spans="1:9" x14ac:dyDescent="0.2">
      <c r="A605">
        <v>595</v>
      </c>
      <c r="B605">
        <v>938234.67717857566</v>
      </c>
      <c r="C605">
        <v>92464.51835034549</v>
      </c>
      <c r="D605">
        <v>49216.540569973316</v>
      </c>
      <c r="E605">
        <v>85468.761914580973</v>
      </c>
      <c r="F605">
        <v>41917.068132547916</v>
      </c>
      <c r="G605">
        <v>10000</v>
      </c>
      <c r="H605">
        <v>259066.88896744768</v>
      </c>
      <c r="I605">
        <v>24.976053845141529</v>
      </c>
    </row>
    <row r="606" spans="1:9" x14ac:dyDescent="0.2">
      <c r="A606">
        <v>596</v>
      </c>
      <c r="B606">
        <v>924283.6892568164</v>
      </c>
      <c r="C606">
        <v>74680.171288041704</v>
      </c>
      <c r="D606">
        <v>88232.06411284802</v>
      </c>
      <c r="E606">
        <v>62036.376512223454</v>
      </c>
      <c r="F606">
        <v>40294.826066230853</v>
      </c>
      <c r="G606">
        <v>10000</v>
      </c>
      <c r="H606">
        <v>255243.43797934399</v>
      </c>
      <c r="I606">
        <v>29.277238368830815</v>
      </c>
    </row>
    <row r="607" spans="1:9" x14ac:dyDescent="0.2">
      <c r="A607">
        <v>597</v>
      </c>
      <c r="B607">
        <v>1211892.9303607536</v>
      </c>
      <c r="C607">
        <v>117295.21553213806</v>
      </c>
      <c r="D607">
        <v>73100.924650236222</v>
      </c>
      <c r="E607">
        <v>110051.43247538769</v>
      </c>
      <c r="F607">
        <v>43618.945325219145</v>
      </c>
      <c r="G607">
        <v>10000</v>
      </c>
      <c r="H607">
        <v>334066.51798298111</v>
      </c>
      <c r="I607">
        <v>30.287180463099766</v>
      </c>
    </row>
    <row r="608" spans="1:9" x14ac:dyDescent="0.2">
      <c r="A608">
        <v>598</v>
      </c>
      <c r="B608">
        <v>1021448.0859575144</v>
      </c>
      <c r="C608">
        <v>90117.074084759719</v>
      </c>
      <c r="D608">
        <v>46974.926117855204</v>
      </c>
      <c r="E608">
        <v>111089.78238942588</v>
      </c>
      <c r="F608">
        <v>43690.831088498715</v>
      </c>
      <c r="G608">
        <v>10000</v>
      </c>
      <c r="H608">
        <v>281872.61368053954</v>
      </c>
      <c r="I608">
        <v>32.92761251366889</v>
      </c>
    </row>
    <row r="609" spans="1:9" x14ac:dyDescent="0.2">
      <c r="A609">
        <v>599</v>
      </c>
      <c r="B609">
        <v>1413343.6436908171</v>
      </c>
      <c r="C609">
        <v>74620.63704774763</v>
      </c>
      <c r="D609">
        <v>75075.500159672403</v>
      </c>
      <c r="E609">
        <v>199751.62871548173</v>
      </c>
      <c r="F609">
        <v>49828.958911071808</v>
      </c>
      <c r="G609">
        <v>10000</v>
      </c>
      <c r="H609">
        <v>389276.72483397357</v>
      </c>
      <c r="I609">
        <v>29.394510333273836</v>
      </c>
    </row>
    <row r="610" spans="1:9" x14ac:dyDescent="0.2">
      <c r="A610">
        <v>600</v>
      </c>
      <c r="B610">
        <v>1056734.9893480635</v>
      </c>
      <c r="C610">
        <v>106924.3097962848</v>
      </c>
      <c r="D610">
        <v>69661.724169709458</v>
      </c>
      <c r="E610">
        <v>83197.585013738266</v>
      </c>
      <c r="F610">
        <v>41759.832808643419</v>
      </c>
      <c r="G610">
        <v>10000</v>
      </c>
      <c r="H610">
        <v>291543.45178837591</v>
      </c>
      <c r="I610">
        <v>34.785728373926219</v>
      </c>
    </row>
    <row r="611" spans="1:9" x14ac:dyDescent="0.2">
      <c r="A611">
        <v>601</v>
      </c>
      <c r="B611">
        <v>1633453.4795191295</v>
      </c>
      <c r="C611">
        <v>106594.43971965682</v>
      </c>
      <c r="D611">
        <v>114077.14759450169</v>
      </c>
      <c r="E611">
        <v>189789.82568828191</v>
      </c>
      <c r="F611">
        <v>49139.295624573366</v>
      </c>
      <c r="G611">
        <v>10000</v>
      </c>
      <c r="H611">
        <v>449600.70862701378</v>
      </c>
      <c r="I611">
        <v>38.519621677505803</v>
      </c>
    </row>
    <row r="612" spans="1:9" x14ac:dyDescent="0.2">
      <c r="A612">
        <v>602</v>
      </c>
      <c r="B612">
        <v>1241661.1048429275</v>
      </c>
      <c r="C612">
        <v>150426.86594075966</v>
      </c>
      <c r="D612">
        <v>55611.102774085855</v>
      </c>
      <c r="E612">
        <v>103052.50334914078</v>
      </c>
      <c r="F612">
        <v>43134.404078017433</v>
      </c>
      <c r="G612">
        <v>10000</v>
      </c>
      <c r="H612">
        <v>342224.87614200375</v>
      </c>
      <c r="I612">
        <v>42.94226016801656</v>
      </c>
    </row>
    <row r="613" spans="1:9" x14ac:dyDescent="0.2">
      <c r="A613">
        <v>603</v>
      </c>
      <c r="B613">
        <v>1576939.234061229</v>
      </c>
      <c r="C613">
        <v>124343.78571329714</v>
      </c>
      <c r="D613">
        <v>103251.42587091413</v>
      </c>
      <c r="E613">
        <v>168828.87490041208</v>
      </c>
      <c r="F613">
        <v>47688.152877720837</v>
      </c>
      <c r="G613">
        <v>10000</v>
      </c>
      <c r="H613">
        <v>434112.2393623442</v>
      </c>
      <c r="I613">
        <v>29.306989533245552</v>
      </c>
    </row>
    <row r="614" spans="1:9" x14ac:dyDescent="0.2">
      <c r="A614">
        <v>604</v>
      </c>
      <c r="B614">
        <v>1773516.9925852576</v>
      </c>
      <c r="C614">
        <v>122444.35552435428</v>
      </c>
      <c r="D614">
        <v>129226.65622856555</v>
      </c>
      <c r="E614">
        <v>196698.35868532222</v>
      </c>
      <c r="F614">
        <v>49617.57867821461</v>
      </c>
      <c r="G614">
        <v>10000</v>
      </c>
      <c r="H614">
        <v>487986.94911645667</v>
      </c>
      <c r="I614">
        <v>45.938238398274308</v>
      </c>
    </row>
    <row r="615" spans="1:9" x14ac:dyDescent="0.2">
      <c r="A615">
        <v>605</v>
      </c>
      <c r="B615">
        <v>1559446.9051779793</v>
      </c>
      <c r="C615">
        <v>116430.12158510736</v>
      </c>
      <c r="D615">
        <v>106198.1317557249</v>
      </c>
      <c r="E615">
        <v>168990.63266185718</v>
      </c>
      <c r="F615">
        <v>47699.351491974725</v>
      </c>
      <c r="G615">
        <v>10000</v>
      </c>
      <c r="H615">
        <v>429318.23749466415</v>
      </c>
      <c r="I615">
        <v>33.978683495240432</v>
      </c>
    </row>
    <row r="616" spans="1:9" x14ac:dyDescent="0.2">
      <c r="A616">
        <v>606</v>
      </c>
      <c r="B616">
        <v>1222575.3650355528</v>
      </c>
      <c r="C616">
        <v>124459.83839045357</v>
      </c>
      <c r="D616">
        <v>73997.730139897874</v>
      </c>
      <c r="E616">
        <v>105250.06747478199</v>
      </c>
      <c r="F616">
        <v>43286.543132869519</v>
      </c>
      <c r="G616">
        <v>10000</v>
      </c>
      <c r="H616">
        <v>336994.17913800298</v>
      </c>
      <c r="I616">
        <v>43.200978167643385</v>
      </c>
    </row>
    <row r="617" spans="1:9" x14ac:dyDescent="0.2">
      <c r="A617">
        <v>607</v>
      </c>
      <c r="B617">
        <v>1686074.6547319223</v>
      </c>
      <c r="C617">
        <v>146123.90749059909</v>
      </c>
      <c r="D617">
        <v>93161.669058820509</v>
      </c>
      <c r="E617">
        <v>185868.81350981089</v>
      </c>
      <c r="F617">
        <v>48867.840935294604</v>
      </c>
      <c r="G617">
        <v>10000</v>
      </c>
      <c r="H617">
        <v>464022.23099452513</v>
      </c>
      <c r="I617">
        <v>27.334267063371417</v>
      </c>
    </row>
    <row r="618" spans="1:9" x14ac:dyDescent="0.2">
      <c r="A618">
        <v>608</v>
      </c>
      <c r="B618">
        <v>1064676.9861783748</v>
      </c>
      <c r="C618">
        <v>125680.93930572075</v>
      </c>
      <c r="D618">
        <v>64537.905457939982</v>
      </c>
      <c r="E618">
        <v>72483.150991249568</v>
      </c>
      <c r="F618">
        <v>41018.064299394195</v>
      </c>
      <c r="G618">
        <v>10000</v>
      </c>
      <c r="H618">
        <v>293720.06005430449</v>
      </c>
      <c r="I618">
        <v>31.5170799640821</v>
      </c>
    </row>
    <row r="619" spans="1:9" x14ac:dyDescent="0.2">
      <c r="A619">
        <v>609</v>
      </c>
      <c r="B619">
        <v>1603354.9094186674</v>
      </c>
      <c r="C619">
        <v>147984.27868722359</v>
      </c>
      <c r="D619">
        <v>65168.689582400992</v>
      </c>
      <c r="E619">
        <v>189106.82218459807</v>
      </c>
      <c r="F619">
        <v>49092.010766626023</v>
      </c>
      <c r="G619">
        <v>10000</v>
      </c>
      <c r="H619">
        <v>441351.80122084869</v>
      </c>
      <c r="I619">
        <v>44.15100809734588</v>
      </c>
    </row>
    <row r="620" spans="1:9" x14ac:dyDescent="0.2">
      <c r="A620">
        <v>610</v>
      </c>
      <c r="B620">
        <v>1036666.9450043868</v>
      </c>
      <c r="C620">
        <v>111897.58194400575</v>
      </c>
      <c r="D620">
        <v>73751.873592983553</v>
      </c>
      <c r="E620">
        <v>69577.202567069369</v>
      </c>
      <c r="F620">
        <v>40816.883254643268</v>
      </c>
      <c r="G620">
        <v>10000</v>
      </c>
      <c r="H620">
        <v>286043.541358702</v>
      </c>
      <c r="I620">
        <v>51.293197911163972</v>
      </c>
    </row>
    <row r="621" spans="1:9" x14ac:dyDescent="0.2">
      <c r="A621">
        <v>611</v>
      </c>
      <c r="B621">
        <v>1140480.7142970453</v>
      </c>
      <c r="C621">
        <v>96438.116828130733</v>
      </c>
      <c r="D621">
        <v>107619.73045311331</v>
      </c>
      <c r="E621">
        <v>78970.059475877526</v>
      </c>
      <c r="F621">
        <v>41467.157963714591</v>
      </c>
      <c r="G621">
        <v>10000</v>
      </c>
      <c r="H621">
        <v>314495.06472083612</v>
      </c>
      <c r="I621">
        <v>37.458565355503069</v>
      </c>
    </row>
    <row r="622" spans="1:9" x14ac:dyDescent="0.2">
      <c r="A622">
        <v>612</v>
      </c>
      <c r="B622">
        <v>1379496.6205966158</v>
      </c>
      <c r="C622">
        <v>90762.318392291083</v>
      </c>
      <c r="D622">
        <v>110529.45366576915</v>
      </c>
      <c r="E622">
        <v>142821.11693678098</v>
      </c>
      <c r="F622">
        <v>45887.61578793099</v>
      </c>
      <c r="G622">
        <v>10000</v>
      </c>
      <c r="H622">
        <v>380000.50478277216</v>
      </c>
      <c r="I622">
        <v>42.602998417688653</v>
      </c>
    </row>
    <row r="623" spans="1:9" x14ac:dyDescent="0.2">
      <c r="A623">
        <v>613</v>
      </c>
      <c r="B623">
        <v>1000455.2314922459</v>
      </c>
      <c r="C623">
        <v>86801.165059420557</v>
      </c>
      <c r="D623">
        <v>74948.875333877862</v>
      </c>
      <c r="E623">
        <v>82647.459344026021</v>
      </c>
      <c r="F623">
        <v>41721.747185355649</v>
      </c>
      <c r="G623">
        <v>10000</v>
      </c>
      <c r="H623">
        <v>276119.24692268012</v>
      </c>
      <c r="I623">
        <v>27.725154297662634</v>
      </c>
    </row>
    <row r="624" spans="1:9" x14ac:dyDescent="0.2">
      <c r="A624">
        <v>614</v>
      </c>
      <c r="B624">
        <v>1130656.8450154562</v>
      </c>
      <c r="C624">
        <v>139320.06660637009</v>
      </c>
      <c r="D624">
        <v>112655.05586856046</v>
      </c>
      <c r="E624">
        <v>31637.307078090467</v>
      </c>
      <c r="F624">
        <v>38190.275105406261</v>
      </c>
      <c r="G624">
        <v>10000</v>
      </c>
      <c r="H624">
        <v>311802.70465842722</v>
      </c>
      <c r="I624">
        <v>37.099960793108849</v>
      </c>
    </row>
    <row r="625" spans="1:9" x14ac:dyDescent="0.2">
      <c r="A625">
        <v>615</v>
      </c>
      <c r="B625">
        <v>1244406.4221025505</v>
      </c>
      <c r="C625">
        <v>104364.42495786384</v>
      </c>
      <c r="D625">
        <v>49595.572011209377</v>
      </c>
      <c r="E625">
        <v>152462.19433709077</v>
      </c>
      <c r="F625">
        <v>46555.074992567825</v>
      </c>
      <c r="G625">
        <v>10000</v>
      </c>
      <c r="H625">
        <v>342977.26629873185</v>
      </c>
      <c r="I625">
        <v>35.336824511108382</v>
      </c>
    </row>
    <row r="626" spans="1:9" x14ac:dyDescent="0.2">
      <c r="A626">
        <v>616</v>
      </c>
      <c r="B626">
        <v>892902.32601083349</v>
      </c>
      <c r="C626">
        <v>96327.536682297199</v>
      </c>
      <c r="D626">
        <v>34717.870671606797</v>
      </c>
      <c r="E626">
        <v>83796.276287965535</v>
      </c>
      <c r="F626">
        <v>41801.280666089922</v>
      </c>
      <c r="G626">
        <v>10000</v>
      </c>
      <c r="H626">
        <v>246642.96430795942</v>
      </c>
      <c r="I626">
        <v>35.024495731900117</v>
      </c>
    </row>
    <row r="627" spans="1:9" x14ac:dyDescent="0.2">
      <c r="A627">
        <v>617</v>
      </c>
      <c r="B627">
        <v>1233545.5943086208</v>
      </c>
      <c r="C627">
        <v>102168.54714890987</v>
      </c>
      <c r="D627">
        <v>110602.11002314484</v>
      </c>
      <c r="E627">
        <v>94675.592878196316</v>
      </c>
      <c r="F627">
        <v>42554.464122336671</v>
      </c>
      <c r="G627">
        <v>10000</v>
      </c>
      <c r="H627">
        <v>340000.71417258767</v>
      </c>
      <c r="I627">
        <v>30.447837439386724</v>
      </c>
    </row>
    <row r="628" spans="1:9" x14ac:dyDescent="0.2">
      <c r="A628">
        <v>618</v>
      </c>
      <c r="B628">
        <v>987293.55179431115</v>
      </c>
      <c r="C628">
        <v>99150.300599962371</v>
      </c>
      <c r="D628">
        <v>68437.568947689913</v>
      </c>
      <c r="E628">
        <v>73814.043624863843</v>
      </c>
      <c r="F628">
        <v>41110.203020182882</v>
      </c>
      <c r="G628">
        <v>10000</v>
      </c>
      <c r="H628">
        <v>272512.116192699</v>
      </c>
      <c r="I628">
        <v>37.000415926985312</v>
      </c>
    </row>
    <row r="629" spans="1:9" x14ac:dyDescent="0.2">
      <c r="A629">
        <v>619</v>
      </c>
      <c r="B629">
        <v>1401716.785442695</v>
      </c>
      <c r="C629">
        <v>120593.41933126563</v>
      </c>
      <c r="D629">
        <v>107964.20109085321</v>
      </c>
      <c r="E629">
        <v>123016.11157328165</v>
      </c>
      <c r="F629">
        <v>44516.500031996417</v>
      </c>
      <c r="G629">
        <v>10000</v>
      </c>
      <c r="H629">
        <v>386090.23202739691</v>
      </c>
      <c r="I629">
        <v>26.070641602671081</v>
      </c>
    </row>
    <row r="630" spans="1:9" x14ac:dyDescent="0.2">
      <c r="A630">
        <v>620</v>
      </c>
      <c r="B630">
        <v>1326879.8452337023</v>
      </c>
      <c r="C630">
        <v>91722.778517344224</v>
      </c>
      <c r="D630">
        <v>123877.20466785274</v>
      </c>
      <c r="E630">
        <v>115952.70977447899</v>
      </c>
      <c r="F630">
        <v>44027.495292079315</v>
      </c>
      <c r="G630">
        <v>10000</v>
      </c>
      <c r="H630">
        <v>365580.18825175532</v>
      </c>
      <c r="I630">
        <v>43.839840619454257</v>
      </c>
    </row>
    <row r="631" spans="1:9" x14ac:dyDescent="0.2">
      <c r="A631">
        <v>621</v>
      </c>
      <c r="B631">
        <v>1370956.675103595</v>
      </c>
      <c r="C631">
        <v>87544.552255364353</v>
      </c>
      <c r="D631">
        <v>88520.497917088913</v>
      </c>
      <c r="E631">
        <v>164225.51214738659</v>
      </c>
      <c r="F631">
        <v>47369.458533280602</v>
      </c>
      <c r="G631">
        <v>10000</v>
      </c>
      <c r="H631">
        <v>377660.02085312043</v>
      </c>
      <c r="I631">
        <v>41.552303374933274</v>
      </c>
    </row>
    <row r="632" spans="1:9" x14ac:dyDescent="0.2">
      <c r="A632">
        <v>622</v>
      </c>
      <c r="B632">
        <v>1219798.5938712065</v>
      </c>
      <c r="C632">
        <v>87864.155333591276</v>
      </c>
      <c r="D632">
        <v>113338.79994077644</v>
      </c>
      <c r="E632">
        <v>101970.70313523877</v>
      </c>
      <c r="F632">
        <v>43059.510217054994</v>
      </c>
      <c r="G632">
        <v>10000</v>
      </c>
      <c r="H632">
        <v>336233.16862666147</v>
      </c>
      <c r="I632">
        <v>39.155431263249511</v>
      </c>
    </row>
    <row r="633" spans="1:9" x14ac:dyDescent="0.2">
      <c r="A633">
        <v>623</v>
      </c>
      <c r="B633">
        <v>1654930.6994198523</v>
      </c>
      <c r="C633">
        <v>163245.91003293759</v>
      </c>
      <c r="D633">
        <v>94248.089975170747</v>
      </c>
      <c r="E633">
        <v>160856.59617982566</v>
      </c>
      <c r="F633">
        <v>47136.225889372545</v>
      </c>
      <c r="G633">
        <v>10000</v>
      </c>
      <c r="H633">
        <v>455486.82207730651</v>
      </c>
      <c r="I633">
        <v>45.016430830071954</v>
      </c>
    </row>
    <row r="634" spans="1:9" x14ac:dyDescent="0.2">
      <c r="A634">
        <v>624</v>
      </c>
      <c r="B634">
        <v>1500852.8889827579</v>
      </c>
      <c r="C634">
        <v>108564.34001671751</v>
      </c>
      <c r="D634">
        <v>68868.313255562476</v>
      </c>
      <c r="E634">
        <v>196241.19748683469</v>
      </c>
      <c r="F634">
        <v>49585.929056780864</v>
      </c>
      <c r="G634">
        <v>10000</v>
      </c>
      <c r="H634">
        <v>413259.7798158956</v>
      </c>
      <c r="I634">
        <v>42.986115150282195</v>
      </c>
    </row>
    <row r="635" spans="1:9" x14ac:dyDescent="0.2">
      <c r="A635">
        <v>625</v>
      </c>
      <c r="B635">
        <v>1223900.3532425866</v>
      </c>
      <c r="C635">
        <v>135843.66022410596</v>
      </c>
      <c r="D635">
        <v>76705.20309789911</v>
      </c>
      <c r="E635">
        <v>92410.77701274518</v>
      </c>
      <c r="F635">
        <v>42397.669177805437</v>
      </c>
      <c r="G635">
        <v>10000</v>
      </c>
      <c r="H635">
        <v>337357.30951255572</v>
      </c>
      <c r="I635">
        <v>34.8832614778335</v>
      </c>
    </row>
    <row r="636" spans="1:9" x14ac:dyDescent="0.2">
      <c r="A636">
        <v>626</v>
      </c>
      <c r="B636">
        <v>1680138.4927200791</v>
      </c>
      <c r="C636">
        <v>161582.10096522211</v>
      </c>
      <c r="D636">
        <v>98144.198178314677</v>
      </c>
      <c r="E636">
        <v>165230.04572641381</v>
      </c>
      <c r="F636">
        <v>47439.003165674803</v>
      </c>
      <c r="G636">
        <v>10000</v>
      </c>
      <c r="H636">
        <v>462395.34803562536</v>
      </c>
      <c r="I636">
        <v>33.675155296712589</v>
      </c>
    </row>
    <row r="637" spans="1:9" x14ac:dyDescent="0.2">
      <c r="A637">
        <v>627</v>
      </c>
      <c r="B637">
        <v>1855701.3481005938</v>
      </c>
      <c r="C637">
        <v>106836.07936664832</v>
      </c>
      <c r="D637">
        <v>165217.55893490891</v>
      </c>
      <c r="E637">
        <v>198700.80072057096</v>
      </c>
      <c r="F637">
        <v>49756.209280654912</v>
      </c>
      <c r="G637">
        <v>10000</v>
      </c>
      <c r="H637">
        <v>510510.64830278308</v>
      </c>
      <c r="I637">
        <v>33.765561428167317</v>
      </c>
    </row>
    <row r="638" spans="1:9" x14ac:dyDescent="0.2">
      <c r="A638">
        <v>628</v>
      </c>
      <c r="B638">
        <v>969126.21175139537</v>
      </c>
      <c r="C638">
        <v>93888.650241645591</v>
      </c>
      <c r="D638">
        <v>50910.127199107861</v>
      </c>
      <c r="E638">
        <v>90470.966621527215</v>
      </c>
      <c r="F638">
        <v>42263.374612259569</v>
      </c>
      <c r="G638">
        <v>10000</v>
      </c>
      <c r="H638">
        <v>267533.11867454025</v>
      </c>
      <c r="I638">
        <v>31.689500388444632</v>
      </c>
    </row>
    <row r="639" spans="1:9" x14ac:dyDescent="0.2">
      <c r="A639">
        <v>629</v>
      </c>
      <c r="B639">
        <v>1457966.1134878041</v>
      </c>
      <c r="C639">
        <v>128163.72902613541</v>
      </c>
      <c r="D639">
        <v>106413.41894423903</v>
      </c>
      <c r="E639">
        <v>131804.05324088479</v>
      </c>
      <c r="F639">
        <v>45124.895993599719</v>
      </c>
      <c r="G639">
        <v>10000</v>
      </c>
      <c r="H639">
        <v>401506.09720485896</v>
      </c>
      <c r="I639">
        <v>46.394701482663599</v>
      </c>
    </row>
    <row r="640" spans="1:9" x14ac:dyDescent="0.2">
      <c r="A640">
        <v>630</v>
      </c>
      <c r="B640">
        <v>1399689.9602486521</v>
      </c>
      <c r="C640">
        <v>101383.72385010286</v>
      </c>
      <c r="D640">
        <v>67236.38921041612</v>
      </c>
      <c r="E640">
        <v>178553.26134115306</v>
      </c>
      <c r="F640">
        <v>48361.3796313106</v>
      </c>
      <c r="G640">
        <v>10000</v>
      </c>
      <c r="H640">
        <v>385534.75403298263</v>
      </c>
      <c r="I640">
        <v>29.284501554548946</v>
      </c>
    </row>
    <row r="641" spans="1:9" x14ac:dyDescent="0.2">
      <c r="A641">
        <v>631</v>
      </c>
      <c r="B641">
        <v>1102692.3371440459</v>
      </c>
      <c r="C641">
        <v>95490.925479946338</v>
      </c>
      <c r="D641">
        <v>97435.251721843917</v>
      </c>
      <c r="E641">
        <v>79695.132436531087</v>
      </c>
      <c r="F641">
        <v>41517.355322529074</v>
      </c>
      <c r="G641">
        <v>10000</v>
      </c>
      <c r="H641">
        <v>304138.66496085044</v>
      </c>
      <c r="I641">
        <v>37.298419964941829</v>
      </c>
    </row>
    <row r="642" spans="1:9" x14ac:dyDescent="0.2">
      <c r="A642">
        <v>632</v>
      </c>
      <c r="B642">
        <v>1247421.7849203967</v>
      </c>
      <c r="C642">
        <v>88236.647489272873</v>
      </c>
      <c r="D642">
        <v>77674.547998017326</v>
      </c>
      <c r="E642">
        <v>142057.70621442466</v>
      </c>
      <c r="F642">
        <v>45834.764276383248</v>
      </c>
      <c r="G642">
        <v>10000</v>
      </c>
      <c r="H642">
        <v>343803.66597809811</v>
      </c>
      <c r="I642">
        <v>40.861925945319172</v>
      </c>
    </row>
    <row r="643" spans="1:9" x14ac:dyDescent="0.2">
      <c r="A643">
        <v>633</v>
      </c>
      <c r="B643">
        <v>1825445.9378099376</v>
      </c>
      <c r="C643">
        <v>163030.56975749921</v>
      </c>
      <c r="D643">
        <v>99996.934559830741</v>
      </c>
      <c r="E643">
        <v>199387.50231069754</v>
      </c>
      <c r="F643">
        <v>49803.750159971365</v>
      </c>
      <c r="G643">
        <v>10000</v>
      </c>
      <c r="H643">
        <v>502218.75678799889</v>
      </c>
      <c r="I643">
        <v>31.132500579119387</v>
      </c>
    </row>
    <row r="644" spans="1:9" x14ac:dyDescent="0.2">
      <c r="A644">
        <v>634</v>
      </c>
      <c r="B644">
        <v>1622646.1618123858</v>
      </c>
      <c r="C644">
        <v>139859.69903935798</v>
      </c>
      <c r="D644">
        <v>92286.001827669766</v>
      </c>
      <c r="E644">
        <v>176288.53022045587</v>
      </c>
      <c r="F644">
        <v>48204.590553723865</v>
      </c>
      <c r="G644">
        <v>10000</v>
      </c>
      <c r="H644">
        <v>446638.82164120744</v>
      </c>
      <c r="I644">
        <v>33.685654997663306</v>
      </c>
    </row>
    <row r="645" spans="1:9" x14ac:dyDescent="0.2">
      <c r="A645">
        <v>635</v>
      </c>
      <c r="B645">
        <v>1224548.5677131033</v>
      </c>
      <c r="C645">
        <v>103908.92821402411</v>
      </c>
      <c r="D645">
        <v>88178.271352749594</v>
      </c>
      <c r="E645">
        <v>111713.73388227045</v>
      </c>
      <c r="F645">
        <v>43734.027730311027</v>
      </c>
      <c r="G645">
        <v>10000</v>
      </c>
      <c r="H645">
        <v>337534.96117935522</v>
      </c>
      <c r="I645">
        <v>33.17178810381526</v>
      </c>
    </row>
    <row r="646" spans="1:9" x14ac:dyDescent="0.2">
      <c r="A646">
        <v>636</v>
      </c>
      <c r="B646">
        <v>1200883.5173932775</v>
      </c>
      <c r="C646">
        <v>129428.37988002833</v>
      </c>
      <c r="D646">
        <v>63501.402443248866</v>
      </c>
      <c r="E646">
        <v>104859.92832122602</v>
      </c>
      <c r="F646">
        <v>43259.5334991618</v>
      </c>
      <c r="G646">
        <v>10000</v>
      </c>
      <c r="H646">
        <v>331049.24414366507</v>
      </c>
      <c r="I646">
        <v>43.895890849986912</v>
      </c>
    </row>
    <row r="647" spans="1:9" x14ac:dyDescent="0.2">
      <c r="A647">
        <v>637</v>
      </c>
      <c r="B647">
        <v>1318223.7935500913</v>
      </c>
      <c r="C647">
        <v>107443.18829112638</v>
      </c>
      <c r="D647">
        <v>96997.296296725734</v>
      </c>
      <c r="E647">
        <v>124170.94899665739</v>
      </c>
      <c r="F647">
        <v>44596.450315153204</v>
      </c>
      <c r="G647">
        <v>10000</v>
      </c>
      <c r="H647">
        <v>363207.88389966276</v>
      </c>
      <c r="I647">
        <v>32.564231029412838</v>
      </c>
    </row>
    <row r="648" spans="1:9" x14ac:dyDescent="0.2">
      <c r="A648">
        <v>638</v>
      </c>
      <c r="B648">
        <v>1079740.5362795577</v>
      </c>
      <c r="C648">
        <v>138027.50472314731</v>
      </c>
      <c r="D648">
        <v>82009.738927437604</v>
      </c>
      <c r="E648">
        <v>48456.498935353193</v>
      </c>
      <c r="F648">
        <v>39354.680695524446</v>
      </c>
      <c r="G648">
        <v>10000</v>
      </c>
      <c r="H648">
        <v>297848.42328146257</v>
      </c>
      <c r="I648">
        <v>27.434536740131627</v>
      </c>
    </row>
    <row r="649" spans="1:9" x14ac:dyDescent="0.2">
      <c r="A649">
        <v>639</v>
      </c>
      <c r="B649">
        <v>1330865.675144295</v>
      </c>
      <c r="C649">
        <v>135940.98361169963</v>
      </c>
      <c r="D649">
        <v>51328.419818277151</v>
      </c>
      <c r="E649">
        <v>143470.57542190957</v>
      </c>
      <c r="F649">
        <v>45932.57829843989</v>
      </c>
      <c r="G649">
        <v>10000</v>
      </c>
      <c r="H649">
        <v>366672.55715032626</v>
      </c>
      <c r="I649">
        <v>31.680114427925769</v>
      </c>
    </row>
    <row r="650" spans="1:9" x14ac:dyDescent="0.2">
      <c r="A650">
        <v>640</v>
      </c>
      <c r="B650">
        <v>1321346.3358090245</v>
      </c>
      <c r="C650">
        <v>87689.550619817222</v>
      </c>
      <c r="D650">
        <v>85103.234393908977</v>
      </c>
      <c r="E650">
        <v>154569.88075082062</v>
      </c>
      <c r="F650">
        <v>46700.991744287581</v>
      </c>
      <c r="G650">
        <v>10000</v>
      </c>
      <c r="H650">
        <v>364063.65750883444</v>
      </c>
      <c r="I650">
        <v>30.706653652586631</v>
      </c>
    </row>
    <row r="651" spans="1:9" x14ac:dyDescent="0.2">
      <c r="A651">
        <v>641</v>
      </c>
      <c r="B651">
        <v>1133436.0747940061</v>
      </c>
      <c r="C651">
        <v>166884.53526490479</v>
      </c>
      <c r="D651">
        <v>89285.356739460651</v>
      </c>
      <c r="E651">
        <v>28426.507967684582</v>
      </c>
      <c r="F651">
        <v>37967.989013147395</v>
      </c>
      <c r="G651">
        <v>10000</v>
      </c>
      <c r="H651">
        <v>312564.38898519741</v>
      </c>
      <c r="I651">
        <v>47.500088656834031</v>
      </c>
    </row>
    <row r="652" spans="1:9" x14ac:dyDescent="0.2">
      <c r="A652">
        <v>642</v>
      </c>
      <c r="B652">
        <v>1661637.4662250092</v>
      </c>
      <c r="C652">
        <v>125768.64370026256</v>
      </c>
      <c r="D652">
        <v>104142.41708927079</v>
      </c>
      <c r="E652">
        <v>188372.65479141075</v>
      </c>
      <c r="F652">
        <v>49041.183793251512</v>
      </c>
      <c r="G652">
        <v>10000</v>
      </c>
      <c r="H652">
        <v>457324.89937419561</v>
      </c>
      <c r="I652">
        <v>38.534344186569442</v>
      </c>
    </row>
    <row r="653" spans="1:9" x14ac:dyDescent="0.2">
      <c r="A653">
        <v>643</v>
      </c>
      <c r="B653">
        <v>1077059.2688697535</v>
      </c>
      <c r="C653">
        <v>109074.83343371154</v>
      </c>
      <c r="D653">
        <v>54892.435058882838</v>
      </c>
      <c r="E653">
        <v>100208.78692966783</v>
      </c>
      <c r="F653">
        <v>42937.531402823159</v>
      </c>
      <c r="G653">
        <v>10000</v>
      </c>
      <c r="H653">
        <v>297113.58682508534</v>
      </c>
      <c r="I653">
        <v>46.458480832786009</v>
      </c>
    </row>
    <row r="654" spans="1:9" x14ac:dyDescent="0.2">
      <c r="A654">
        <v>644</v>
      </c>
      <c r="B654">
        <v>1284498.4823726485</v>
      </c>
      <c r="C654">
        <v>152937.63891464737</v>
      </c>
      <c r="D654">
        <v>54577.032282468215</v>
      </c>
      <c r="E654">
        <v>112651.40591037145</v>
      </c>
      <c r="F654">
        <v>43798.943486102638</v>
      </c>
      <c r="G654">
        <v>10000</v>
      </c>
      <c r="H654">
        <v>353965.02059358964</v>
      </c>
      <c r="I654">
        <v>37.132315875687041</v>
      </c>
    </row>
    <row r="655" spans="1:9" x14ac:dyDescent="0.2">
      <c r="A655">
        <v>645</v>
      </c>
      <c r="B655">
        <v>1393199.0559005702</v>
      </c>
      <c r="C655">
        <v>144782.33693950498</v>
      </c>
      <c r="D655">
        <v>79993.40808084821</v>
      </c>
      <c r="E655">
        <v>124369.86988825396</v>
      </c>
      <c r="F655">
        <v>44610.221761494504</v>
      </c>
      <c r="G655">
        <v>10000</v>
      </c>
      <c r="H655">
        <v>383755.83667010168</v>
      </c>
      <c r="I655">
        <v>44.771474408408992</v>
      </c>
    </row>
    <row r="656" spans="1:9" x14ac:dyDescent="0.2">
      <c r="A656">
        <v>646</v>
      </c>
      <c r="B656">
        <v>1069751.1897445293</v>
      </c>
      <c r="C656">
        <v>124130.18461906131</v>
      </c>
      <c r="D656">
        <v>42972.72344447139</v>
      </c>
      <c r="E656">
        <v>95402.982108312324</v>
      </c>
      <c r="F656">
        <v>42604.821838267781</v>
      </c>
      <c r="G656">
        <v>10000</v>
      </c>
      <c r="H656">
        <v>295110.71201011282</v>
      </c>
      <c r="I656">
        <v>27.906102465817618</v>
      </c>
    </row>
    <row r="657" spans="1:9" x14ac:dyDescent="0.2">
      <c r="A657">
        <v>647</v>
      </c>
      <c r="B657">
        <v>1504877.1885262553</v>
      </c>
      <c r="C657">
        <v>162266.35932298398</v>
      </c>
      <c r="D657">
        <v>141578.19441365689</v>
      </c>
      <c r="E657">
        <v>79045.740654707057</v>
      </c>
      <c r="F657">
        <v>41472.397429941258</v>
      </c>
      <c r="G657">
        <v>10000</v>
      </c>
      <c r="H657">
        <v>414362.69182128919</v>
      </c>
      <c r="I657">
        <v>38.950543471956443</v>
      </c>
    </row>
    <row r="658" spans="1:9" x14ac:dyDescent="0.2">
      <c r="A658">
        <v>648</v>
      </c>
      <c r="B658">
        <v>1400694.2718514716</v>
      </c>
      <c r="C658">
        <v>110763.25200838591</v>
      </c>
      <c r="D658">
        <v>56925.542509278239</v>
      </c>
      <c r="E658">
        <v>179681.70183136864</v>
      </c>
      <c r="F658">
        <v>48439.502434479371</v>
      </c>
      <c r="G658">
        <v>10000</v>
      </c>
      <c r="H658">
        <v>385809.99878351216</v>
      </c>
      <c r="I658">
        <v>23.818569274091189</v>
      </c>
    </row>
    <row r="659" spans="1:9" x14ac:dyDescent="0.2">
      <c r="A659">
        <v>649</v>
      </c>
      <c r="B659">
        <v>1600953.9259843554</v>
      </c>
      <c r="C659">
        <v>103024.77347618653</v>
      </c>
      <c r="D659">
        <v>104117.23701397252</v>
      </c>
      <c r="E659">
        <v>194113.16597130589</v>
      </c>
      <c r="F659">
        <v>49438.603798013486</v>
      </c>
      <c r="G659">
        <v>10000</v>
      </c>
      <c r="H659">
        <v>440693.78025947843</v>
      </c>
      <c r="I659">
        <v>42.85537504356806</v>
      </c>
    </row>
    <row r="660" spans="1:9" x14ac:dyDescent="0.2">
      <c r="A660">
        <v>650</v>
      </c>
      <c r="B660">
        <v>1250965.4966761207</v>
      </c>
      <c r="C660">
        <v>87611.584857131573</v>
      </c>
      <c r="D660">
        <v>68868.816399899064</v>
      </c>
      <c r="E660">
        <v>151786.19061310583</v>
      </c>
      <c r="F660">
        <v>46508.274734753482</v>
      </c>
      <c r="G660">
        <v>10000</v>
      </c>
      <c r="H660">
        <v>344774.86660488992</v>
      </c>
      <c r="I660">
        <v>45.209989324798251</v>
      </c>
    </row>
    <row r="661" spans="1:9" x14ac:dyDescent="0.2">
      <c r="A661">
        <v>651</v>
      </c>
      <c r="B661">
        <v>1376022.6850396548</v>
      </c>
      <c r="C661">
        <v>99642.780298065642</v>
      </c>
      <c r="D661">
        <v>91788.112796925343</v>
      </c>
      <c r="E661">
        <v>151153.08948558519</v>
      </c>
      <c r="F661">
        <v>46464.444656694359</v>
      </c>
      <c r="G661">
        <v>10000</v>
      </c>
      <c r="H661">
        <v>379048.42723727057</v>
      </c>
      <c r="I661">
        <v>41.7046848777251</v>
      </c>
    </row>
    <row r="662" spans="1:9" x14ac:dyDescent="0.2">
      <c r="A662">
        <v>652</v>
      </c>
      <c r="B662">
        <v>1556401.2221762594</v>
      </c>
      <c r="C662">
        <v>139541.65555477986</v>
      </c>
      <c r="D662">
        <v>53182.521065720379</v>
      </c>
      <c r="E662">
        <v>196177.81080331223</v>
      </c>
      <c r="F662">
        <v>49581.540747921608</v>
      </c>
      <c r="G662">
        <v>10000</v>
      </c>
      <c r="H662">
        <v>428483.52817173413</v>
      </c>
      <c r="I662">
        <v>41.292085858751705</v>
      </c>
    </row>
    <row r="663" spans="1:9" x14ac:dyDescent="0.2">
      <c r="A663">
        <v>653</v>
      </c>
      <c r="B663">
        <v>1173968.0426073691</v>
      </c>
      <c r="C663">
        <v>107454.1486681714</v>
      </c>
      <c r="D663">
        <v>80997.478642221948</v>
      </c>
      <c r="E663">
        <v>102149.2100091263</v>
      </c>
      <c r="F663">
        <v>43071.86838524721</v>
      </c>
      <c r="G663">
        <v>10000</v>
      </c>
      <c r="H663">
        <v>323672.70570476685</v>
      </c>
      <c r="I663">
        <v>34.650953812954143</v>
      </c>
    </row>
    <row r="664" spans="1:9" x14ac:dyDescent="0.2">
      <c r="A664">
        <v>654</v>
      </c>
      <c r="B664">
        <v>947421.28020674572</v>
      </c>
      <c r="C664">
        <v>151509.27350264307</v>
      </c>
      <c r="D664">
        <v>56148.517294054363</v>
      </c>
      <c r="E664">
        <v>26118.596539043185</v>
      </c>
      <c r="F664">
        <v>37808.210529626063</v>
      </c>
      <c r="G664">
        <v>10000</v>
      </c>
      <c r="H664">
        <v>261584.59786536667</v>
      </c>
      <c r="I664">
        <v>56.252914713383831</v>
      </c>
    </row>
    <row r="665" spans="1:9" x14ac:dyDescent="0.2">
      <c r="A665">
        <v>655</v>
      </c>
      <c r="B665">
        <v>1134342.2635889153</v>
      </c>
      <c r="C665">
        <v>115617.63450669753</v>
      </c>
      <c r="D665">
        <v>51649.565168712623</v>
      </c>
      <c r="E665">
        <v>111805.18337072642</v>
      </c>
      <c r="F665">
        <v>43740.358848742595</v>
      </c>
      <c r="G665">
        <v>10000</v>
      </c>
      <c r="H665">
        <v>312812.7418948792</v>
      </c>
      <c r="I665">
        <v>32.494139003982347</v>
      </c>
    </row>
    <row r="666" spans="1:9" x14ac:dyDescent="0.2">
      <c r="A666">
        <v>656</v>
      </c>
      <c r="B666">
        <v>1688233.9900288675</v>
      </c>
      <c r="C666">
        <v>135413.91022901837</v>
      </c>
      <c r="D666">
        <v>93830.824989891902</v>
      </c>
      <c r="E666">
        <v>195813.00494199601</v>
      </c>
      <c r="F666">
        <v>49556.284957522803</v>
      </c>
      <c r="G666">
        <v>10000</v>
      </c>
      <c r="H666">
        <v>464614.0251184291</v>
      </c>
      <c r="I666">
        <v>41.950017248932824</v>
      </c>
    </row>
    <row r="667" spans="1:9" x14ac:dyDescent="0.2">
      <c r="A667">
        <v>657</v>
      </c>
      <c r="B667">
        <v>1494284.4879396423</v>
      </c>
      <c r="C667">
        <v>145227.24843245294</v>
      </c>
      <c r="D667">
        <v>81858.359285289247</v>
      </c>
      <c r="E667">
        <v>148119.58307633083</v>
      </c>
      <c r="F667">
        <v>46254.432674515207</v>
      </c>
      <c r="G667">
        <v>10000</v>
      </c>
      <c r="H667">
        <v>411459.62346858822</v>
      </c>
      <c r="I667">
        <v>31.040617594537444</v>
      </c>
    </row>
    <row r="668" spans="1:9" x14ac:dyDescent="0.2">
      <c r="A668">
        <v>658</v>
      </c>
      <c r="B668">
        <v>1640434.834686921</v>
      </c>
      <c r="C668">
        <v>106989.45562928107</v>
      </c>
      <c r="D668">
        <v>114141.0540923542</v>
      </c>
      <c r="E668">
        <v>191150.06472082797</v>
      </c>
      <c r="F668">
        <v>49233.466019134241</v>
      </c>
      <c r="G668">
        <v>10000</v>
      </c>
      <c r="H668">
        <v>451514.0404615975</v>
      </c>
      <c r="I668">
        <v>36.993424991181485</v>
      </c>
    </row>
    <row r="669" spans="1:9" x14ac:dyDescent="0.2">
      <c r="A669">
        <v>659</v>
      </c>
      <c r="B669">
        <v>1449867.2008628082</v>
      </c>
      <c r="C669">
        <v>99572.787411545534</v>
      </c>
      <c r="D669">
        <v>62571.686205856771</v>
      </c>
      <c r="E669">
        <v>197470.94506493551</v>
      </c>
      <c r="F669">
        <v>49671.065427572459</v>
      </c>
      <c r="G669">
        <v>10000</v>
      </c>
      <c r="H669">
        <v>399286.48410991032</v>
      </c>
      <c r="I669">
        <v>28.546454186712381</v>
      </c>
    </row>
    <row r="670" spans="1:9" x14ac:dyDescent="0.2">
      <c r="A670">
        <v>660</v>
      </c>
      <c r="B670">
        <v>1136788.943890186</v>
      </c>
      <c r="C670">
        <v>103177.28657163747</v>
      </c>
      <c r="D670">
        <v>120314.83749659263</v>
      </c>
      <c r="E670">
        <v>59847.849925833121</v>
      </c>
      <c r="F670">
        <v>40143.312687173064</v>
      </c>
      <c r="G670">
        <v>10000</v>
      </c>
      <c r="H670">
        <v>313483.28668123629</v>
      </c>
      <c r="I670">
        <v>34.001466592676834</v>
      </c>
    </row>
    <row r="671" spans="1:9" x14ac:dyDescent="0.2">
      <c r="A671">
        <v>661</v>
      </c>
      <c r="B671">
        <v>1687494.0544170563</v>
      </c>
      <c r="C671">
        <v>126202.69456326874</v>
      </c>
      <c r="D671">
        <v>101385.53992744921</v>
      </c>
      <c r="E671">
        <v>197172.59140637011</v>
      </c>
      <c r="F671">
        <v>49650.410174287157</v>
      </c>
      <c r="G671">
        <v>10000</v>
      </c>
      <c r="H671">
        <v>464411.2360713752</v>
      </c>
      <c r="I671">
        <v>30.200381694396249</v>
      </c>
    </row>
    <row r="672" spans="1:9" x14ac:dyDescent="0.2">
      <c r="A672">
        <v>662</v>
      </c>
      <c r="B672">
        <v>933624.22684764187</v>
      </c>
      <c r="C672">
        <v>111244.13267876857</v>
      </c>
      <c r="D672">
        <v>54768.446272178444</v>
      </c>
      <c r="E672">
        <v>61530.922606144071</v>
      </c>
      <c r="F672">
        <v>40259.833103502286</v>
      </c>
      <c r="G672">
        <v>10000</v>
      </c>
      <c r="H672">
        <v>257803.33466059336</v>
      </c>
      <c r="I672">
        <v>26.193065503017614</v>
      </c>
    </row>
    <row r="673" spans="1:9" x14ac:dyDescent="0.2">
      <c r="A673">
        <v>663</v>
      </c>
      <c r="B673">
        <v>862831.88157986151</v>
      </c>
      <c r="C673">
        <v>97020.606589282688</v>
      </c>
      <c r="D673">
        <v>44756.195313152013</v>
      </c>
      <c r="E673">
        <v>66052.123863138753</v>
      </c>
      <c r="F673">
        <v>40572.839344371139</v>
      </c>
      <c r="G673">
        <v>10000</v>
      </c>
      <c r="H673">
        <v>238401.76510994459</v>
      </c>
      <c r="I673">
        <v>36.021030905638547</v>
      </c>
    </row>
    <row r="674" spans="1:9" x14ac:dyDescent="0.2">
      <c r="A674">
        <v>664</v>
      </c>
      <c r="B674">
        <v>837502.40948370914</v>
      </c>
      <c r="C674">
        <v>97781.002331923562</v>
      </c>
      <c r="D674">
        <v>53700.525784473473</v>
      </c>
      <c r="E674">
        <v>50483.361422653303</v>
      </c>
      <c r="F674">
        <v>39495.001944645235</v>
      </c>
      <c r="G674">
        <v>10000</v>
      </c>
      <c r="H674">
        <v>231459.8914836956</v>
      </c>
      <c r="I674">
        <v>32.227872060313189</v>
      </c>
    </row>
    <row r="675" spans="1:9" x14ac:dyDescent="0.2">
      <c r="A675">
        <v>665</v>
      </c>
      <c r="B675">
        <v>1182154.7643352549</v>
      </c>
      <c r="C675">
        <v>130322.48269187439</v>
      </c>
      <c r="D675">
        <v>37361.777591293023</v>
      </c>
      <c r="E675">
        <v>123670.33156608802</v>
      </c>
      <c r="F675">
        <v>44561.792185344559</v>
      </c>
      <c r="G675">
        <v>10000</v>
      </c>
      <c r="H675">
        <v>325916.38403459999</v>
      </c>
      <c r="I675">
        <v>36.916025159761368</v>
      </c>
    </row>
    <row r="676" spans="1:9" x14ac:dyDescent="0.2">
      <c r="A676">
        <v>666</v>
      </c>
      <c r="B676">
        <v>1204837.8262059703</v>
      </c>
      <c r="C676">
        <v>125442.69709765908</v>
      </c>
      <c r="D676">
        <v>120673.85967874905</v>
      </c>
      <c r="E676">
        <v>56130.462406372222</v>
      </c>
      <c r="F676">
        <v>39885.955089671923</v>
      </c>
      <c r="G676">
        <v>10000</v>
      </c>
      <c r="H676">
        <v>332132.97427245229</v>
      </c>
      <c r="I676">
        <v>44.595347749954428</v>
      </c>
    </row>
    <row r="677" spans="1:9" x14ac:dyDescent="0.2">
      <c r="A677">
        <v>667</v>
      </c>
      <c r="B677">
        <v>1297381.8716735549</v>
      </c>
      <c r="C677">
        <v>141193.22868764217</v>
      </c>
      <c r="D677">
        <v>130634.48223981886</v>
      </c>
      <c r="E677">
        <v>55804.76449468622</v>
      </c>
      <c r="F677">
        <v>39863.406772709044</v>
      </c>
      <c r="G677">
        <v>10000</v>
      </c>
      <c r="H677">
        <v>357495.8821948563</v>
      </c>
      <c r="I677">
        <v>33.049478466674252</v>
      </c>
    </row>
    <row r="678" spans="1:9" x14ac:dyDescent="0.2">
      <c r="A678">
        <v>668</v>
      </c>
      <c r="B678">
        <v>1215514.4026976596</v>
      </c>
      <c r="C678">
        <v>105903.68558742342</v>
      </c>
      <c r="D678">
        <v>88586.75810040145</v>
      </c>
      <c r="E678">
        <v>107150.4763281862</v>
      </c>
      <c r="F678">
        <v>43418.109899643663</v>
      </c>
      <c r="G678">
        <v>10000</v>
      </c>
      <c r="H678">
        <v>335059.0299156548</v>
      </c>
      <c r="I678">
        <v>29.878295136551863</v>
      </c>
    </row>
    <row r="679" spans="1:9" x14ac:dyDescent="0.2">
      <c r="A679">
        <v>669</v>
      </c>
      <c r="B679">
        <v>1250701.3144395626</v>
      </c>
      <c r="C679">
        <v>111802.8568623602</v>
      </c>
      <c r="D679">
        <v>154917.3743629221</v>
      </c>
      <c r="E679">
        <v>48616.47669798576</v>
      </c>
      <c r="F679">
        <v>39365.756079091319</v>
      </c>
      <c r="G679">
        <v>10000</v>
      </c>
      <c r="H679">
        <v>344702.46400235943</v>
      </c>
      <c r="I679">
        <v>55.40280571457896</v>
      </c>
    </row>
    <row r="680" spans="1:9" x14ac:dyDescent="0.2">
      <c r="A680">
        <v>670</v>
      </c>
      <c r="B680">
        <v>1043121.5572498982</v>
      </c>
      <c r="C680">
        <v>92522.991211288449</v>
      </c>
      <c r="D680">
        <v>104958.33337748618</v>
      </c>
      <c r="E680">
        <v>60165.859099789319</v>
      </c>
      <c r="F680">
        <v>40165.328706908491</v>
      </c>
      <c r="G680">
        <v>10000</v>
      </c>
      <c r="H680">
        <v>287812.51239547244</v>
      </c>
      <c r="I680">
        <v>28.202563170519483</v>
      </c>
    </row>
    <row r="681" spans="1:9" x14ac:dyDescent="0.2">
      <c r="A681">
        <v>671</v>
      </c>
      <c r="B681">
        <v>1410996.5964249233</v>
      </c>
      <c r="C681">
        <v>131732.34359741953</v>
      </c>
      <c r="D681">
        <v>60632.16092154631</v>
      </c>
      <c r="E681">
        <v>159244.37096924742</v>
      </c>
      <c r="F681">
        <v>47024.610297870975</v>
      </c>
      <c r="G681">
        <v>10000</v>
      </c>
      <c r="H681">
        <v>388633.48578608426</v>
      </c>
      <c r="I681">
        <v>55.273514267703874</v>
      </c>
    </row>
    <row r="682" spans="1:9" x14ac:dyDescent="0.2">
      <c r="A682">
        <v>672</v>
      </c>
      <c r="B682">
        <v>1162337.1025270531</v>
      </c>
      <c r="C682">
        <v>116755.64746867663</v>
      </c>
      <c r="D682">
        <v>73615.251192320793</v>
      </c>
      <c r="E682">
        <v>97372.988651002946</v>
      </c>
      <c r="F682">
        <v>42741.206906607898</v>
      </c>
      <c r="G682">
        <v>10000</v>
      </c>
      <c r="H682">
        <v>320485.09421860828</v>
      </c>
      <c r="I682">
        <v>33.648259636637142</v>
      </c>
    </row>
    <row r="683" spans="1:9" x14ac:dyDescent="0.2">
      <c r="A683">
        <v>673</v>
      </c>
      <c r="B683">
        <v>1342960.1685597776</v>
      </c>
      <c r="C683">
        <v>92118.498619134843</v>
      </c>
      <c r="D683">
        <v>63345.111837879354</v>
      </c>
      <c r="E683">
        <v>176317.03694687411</v>
      </c>
      <c r="F683">
        <v>48206.56409632205</v>
      </c>
      <c r="G683">
        <v>10000</v>
      </c>
      <c r="H683">
        <v>369987.21150021034</v>
      </c>
      <c r="I683">
        <v>46.204423854772095</v>
      </c>
    </row>
    <row r="684" spans="1:9" x14ac:dyDescent="0.2">
      <c r="A684">
        <v>674</v>
      </c>
      <c r="B684">
        <v>1287465.4424239914</v>
      </c>
      <c r="C684">
        <v>150704.019719278</v>
      </c>
      <c r="D684">
        <v>81858.685182410933</v>
      </c>
      <c r="E684">
        <v>89985.672623585531</v>
      </c>
      <c r="F684">
        <v>42229.777335479004</v>
      </c>
      <c r="G684">
        <v>10000</v>
      </c>
      <c r="H684">
        <v>354778.15486075345</v>
      </c>
      <c r="I684">
        <v>29.966300620000599</v>
      </c>
    </row>
    <row r="685" spans="1:9" x14ac:dyDescent="0.2">
      <c r="A685">
        <v>675</v>
      </c>
      <c r="B685">
        <v>1081699.991160599</v>
      </c>
      <c r="C685">
        <v>87689.64818819004</v>
      </c>
      <c r="D685">
        <v>143328.63595843728</v>
      </c>
      <c r="E685">
        <v>38688.704630365421</v>
      </c>
      <c r="F685">
        <v>38678.448782102219</v>
      </c>
      <c r="G685">
        <v>10000</v>
      </c>
      <c r="H685">
        <v>298385.43755909498</v>
      </c>
      <c r="I685">
        <v>45.17169225324497</v>
      </c>
    </row>
    <row r="686" spans="1:9" x14ac:dyDescent="0.2">
      <c r="A686">
        <v>676</v>
      </c>
      <c r="B686">
        <v>1146433.5013497653</v>
      </c>
      <c r="C686">
        <v>120408.01005994242</v>
      </c>
      <c r="D686">
        <v>91720.756409694077</v>
      </c>
      <c r="E686">
        <v>72947.524299587283</v>
      </c>
      <c r="F686">
        <v>41050.213220740654</v>
      </c>
      <c r="G686">
        <v>10000</v>
      </c>
      <c r="H686">
        <v>316126.50398996443</v>
      </c>
      <c r="I686">
        <v>40.776773095328245</v>
      </c>
    </row>
    <row r="687" spans="1:9" x14ac:dyDescent="0.2">
      <c r="A687">
        <v>677</v>
      </c>
      <c r="B687">
        <v>986972.98035109369</v>
      </c>
      <c r="C687">
        <v>117397.94641350805</v>
      </c>
      <c r="D687">
        <v>78850.374623276381</v>
      </c>
      <c r="E687">
        <v>46927.136588799993</v>
      </c>
      <c r="F687">
        <v>39248.801763839998</v>
      </c>
      <c r="G687">
        <v>10000</v>
      </c>
      <c r="H687">
        <v>272424.25938942446</v>
      </c>
      <c r="I687">
        <v>31.30305902338544</v>
      </c>
    </row>
    <row r="688" spans="1:9" x14ac:dyDescent="0.2">
      <c r="A688">
        <v>678</v>
      </c>
      <c r="B688">
        <v>1201292.4304330521</v>
      </c>
      <c r="C688">
        <v>97075.891284434081</v>
      </c>
      <c r="D688">
        <v>42740.095420855258</v>
      </c>
      <c r="E688">
        <v>154639.51297656089</v>
      </c>
      <c r="F688">
        <v>46705.812436838831</v>
      </c>
      <c r="G688">
        <v>10000</v>
      </c>
      <c r="H688">
        <v>331161.31211868901</v>
      </c>
      <c r="I688">
        <v>38.880977632661669</v>
      </c>
    </row>
    <row r="689" spans="1:9" x14ac:dyDescent="0.2">
      <c r="A689">
        <v>679</v>
      </c>
      <c r="B689">
        <v>1362717.8857909874</v>
      </c>
      <c r="C689">
        <v>149759.2839335262</v>
      </c>
      <c r="D689">
        <v>40388.521280157787</v>
      </c>
      <c r="E689">
        <v>148942.84011348919</v>
      </c>
      <c r="F689">
        <v>46311.427392472331</v>
      </c>
      <c r="G689">
        <v>10000</v>
      </c>
      <c r="H689">
        <v>375402.07271964551</v>
      </c>
      <c r="I689">
        <v>40.537797551204555</v>
      </c>
    </row>
    <row r="690" spans="1:9" x14ac:dyDescent="0.2">
      <c r="A690">
        <v>680</v>
      </c>
      <c r="B690">
        <v>930745.22984666831</v>
      </c>
      <c r="C690">
        <v>88639.090026685124</v>
      </c>
      <c r="D690">
        <v>65193.062323745849</v>
      </c>
      <c r="E690">
        <v>72184.749719401792</v>
      </c>
      <c r="F690">
        <v>40997.40574980474</v>
      </c>
      <c r="G690">
        <v>10000</v>
      </c>
      <c r="H690">
        <v>257014.30781963747</v>
      </c>
      <c r="I690">
        <v>32.536756461544144</v>
      </c>
    </row>
    <row r="691" spans="1:9" x14ac:dyDescent="0.2">
      <c r="A691">
        <v>681</v>
      </c>
      <c r="B691">
        <v>1183833.382921631</v>
      </c>
      <c r="C691">
        <v>118054.47952843949</v>
      </c>
      <c r="D691">
        <v>97975.408472302457</v>
      </c>
      <c r="E691">
        <v>78885.256460455421</v>
      </c>
      <c r="F691">
        <v>41461.28698572384</v>
      </c>
      <c r="G691">
        <v>10000</v>
      </c>
      <c r="H691">
        <v>326376.4314469212</v>
      </c>
      <c r="I691">
        <v>46.714136611750988</v>
      </c>
    </row>
    <row r="692" spans="1:9" x14ac:dyDescent="0.2">
      <c r="A692">
        <v>682</v>
      </c>
      <c r="B692">
        <v>1452021.5753582199</v>
      </c>
      <c r="C692">
        <v>115331.01415029159</v>
      </c>
      <c r="D692">
        <v>106486.59314296098</v>
      </c>
      <c r="E692">
        <v>142213.74444481588</v>
      </c>
      <c r="F692">
        <v>45845.566923102633</v>
      </c>
      <c r="G692">
        <v>10000</v>
      </c>
      <c r="H692">
        <v>399876.9186611711</v>
      </c>
      <c r="I692">
        <v>32.660817597175523</v>
      </c>
    </row>
    <row r="693" spans="1:9" x14ac:dyDescent="0.2">
      <c r="A693">
        <v>683</v>
      </c>
      <c r="B693">
        <v>1116028.4829755458</v>
      </c>
      <c r="C693">
        <v>158219.0383898447</v>
      </c>
      <c r="D693">
        <v>36706.750660608399</v>
      </c>
      <c r="E693">
        <v>81243.286173068656</v>
      </c>
      <c r="F693">
        <v>41624.535196597055</v>
      </c>
      <c r="G693">
        <v>10000</v>
      </c>
      <c r="H693">
        <v>307793.61042011884</v>
      </c>
      <c r="I693">
        <v>33.134238676347721</v>
      </c>
    </row>
    <row r="694" spans="1:9" x14ac:dyDescent="0.2">
      <c r="A694">
        <v>684</v>
      </c>
      <c r="B694">
        <v>1387553.9965580013</v>
      </c>
      <c r="C694">
        <v>90572.671511329987</v>
      </c>
      <c r="D694">
        <v>118870.2977357491</v>
      </c>
      <c r="E694">
        <v>137262.94564967009</v>
      </c>
      <c r="F694">
        <v>45502.819314207933</v>
      </c>
      <c r="G694">
        <v>10000</v>
      </c>
      <c r="H694">
        <v>382208.73421095713</v>
      </c>
      <c r="I694">
        <v>33.457778643953617</v>
      </c>
    </row>
    <row r="695" spans="1:9" x14ac:dyDescent="0.2">
      <c r="A695">
        <v>685</v>
      </c>
      <c r="B695">
        <v>763711.61912679882</v>
      </c>
      <c r="C695">
        <v>99842.432362145511</v>
      </c>
      <c r="D695">
        <v>50842.117271408766</v>
      </c>
      <c r="E695">
        <v>32314.828697034995</v>
      </c>
      <c r="F695">
        <v>38237.180448256266</v>
      </c>
      <c r="G695">
        <v>10000</v>
      </c>
      <c r="H695">
        <v>211236.55877884553</v>
      </c>
      <c r="I695">
        <v>32.644162542796046</v>
      </c>
    </row>
    <row r="696" spans="1:9" x14ac:dyDescent="0.2">
      <c r="A696">
        <v>686</v>
      </c>
      <c r="B696">
        <v>1402118.5794284069</v>
      </c>
      <c r="C696">
        <v>78767.55353694236</v>
      </c>
      <c r="D696">
        <v>153281.17822073979</v>
      </c>
      <c r="E696">
        <v>119854.03045117536</v>
      </c>
      <c r="F696">
        <v>44297.58672354291</v>
      </c>
      <c r="G696">
        <v>10000</v>
      </c>
      <c r="H696">
        <v>386200.3489324004</v>
      </c>
      <c r="I696">
        <v>26.421363418400322</v>
      </c>
    </row>
    <row r="697" spans="1:9" x14ac:dyDescent="0.2">
      <c r="A697">
        <v>687</v>
      </c>
      <c r="B697">
        <v>1550428.7048927038</v>
      </c>
      <c r="C697">
        <v>129004.27374379395</v>
      </c>
      <c r="D697">
        <v>63842.423449027359</v>
      </c>
      <c r="E697">
        <v>194532.35949355637</v>
      </c>
      <c r="F697">
        <v>49467.624888015438</v>
      </c>
      <c r="G697">
        <v>10000</v>
      </c>
      <c r="H697">
        <v>426846.68157439312</v>
      </c>
      <c r="I697">
        <v>40.241958652658624</v>
      </c>
    </row>
    <row r="698" spans="1:9" x14ac:dyDescent="0.2">
      <c r="A698">
        <v>688</v>
      </c>
      <c r="B698">
        <v>1476419.5838370272</v>
      </c>
      <c r="C698">
        <v>123816.13167913161</v>
      </c>
      <c r="D698">
        <v>96029.440926018055</v>
      </c>
      <c r="E698">
        <v>150311.74233046261</v>
      </c>
      <c r="F698">
        <v>46406.197545955103</v>
      </c>
      <c r="G698">
        <v>10000</v>
      </c>
      <c r="H698">
        <v>406563.51248156733</v>
      </c>
      <c r="I698">
        <v>30.887439502963169</v>
      </c>
    </row>
    <row r="699" spans="1:9" x14ac:dyDescent="0.2">
      <c r="A699">
        <v>689</v>
      </c>
      <c r="B699">
        <v>1100078.2062117558</v>
      </c>
      <c r="C699">
        <v>140243.9236722395</v>
      </c>
      <c r="D699">
        <v>74110.949388713576</v>
      </c>
      <c r="E699">
        <v>58983.857264036451</v>
      </c>
      <c r="F699">
        <v>40083.497810587141</v>
      </c>
      <c r="G699">
        <v>10000</v>
      </c>
      <c r="H699">
        <v>303422.2281355767</v>
      </c>
      <c r="I699">
        <v>33.955294817245083</v>
      </c>
    </row>
    <row r="700" spans="1:9" x14ac:dyDescent="0.2">
      <c r="A700">
        <v>690</v>
      </c>
      <c r="B700">
        <v>1093761.8357439646</v>
      </c>
      <c r="C700">
        <v>79663.460452547064</v>
      </c>
      <c r="D700">
        <v>83400.526946274447</v>
      </c>
      <c r="E700">
        <v>105334.75084248267</v>
      </c>
      <c r="F700">
        <v>43292.405827556489</v>
      </c>
      <c r="G700">
        <v>10000</v>
      </c>
      <c r="H700">
        <v>301691.14406886068</v>
      </c>
      <c r="I700">
        <v>39.657815087548741</v>
      </c>
    </row>
    <row r="701" spans="1:9" x14ac:dyDescent="0.2">
      <c r="A701">
        <v>691</v>
      </c>
      <c r="B701">
        <v>1359663.0215159825</v>
      </c>
      <c r="C701">
        <v>89637.342847699474</v>
      </c>
      <c r="D701">
        <v>166099.22342168607</v>
      </c>
      <c r="E701">
        <v>86817.816649534827</v>
      </c>
      <c r="F701">
        <v>42010.46422958318</v>
      </c>
      <c r="G701">
        <v>10000</v>
      </c>
      <c r="H701">
        <v>374564.84714850353</v>
      </c>
      <c r="I701">
        <v>33.161831924180973</v>
      </c>
    </row>
    <row r="702" spans="1:9" x14ac:dyDescent="0.2">
      <c r="A702">
        <v>692</v>
      </c>
      <c r="B702">
        <v>1462793.5046243269</v>
      </c>
      <c r="C702">
        <v>80033.683801168721</v>
      </c>
      <c r="D702">
        <v>90743.469643106786</v>
      </c>
      <c r="E702">
        <v>192710.46014250087</v>
      </c>
      <c r="F702">
        <v>49341.493394480829</v>
      </c>
      <c r="G702">
        <v>10000</v>
      </c>
      <c r="H702">
        <v>402829.10698125721</v>
      </c>
      <c r="I702">
        <v>34.26904479115089</v>
      </c>
    </row>
    <row r="703" spans="1:9" x14ac:dyDescent="0.2">
      <c r="A703">
        <v>693</v>
      </c>
      <c r="B703">
        <v>1100992.2803856211</v>
      </c>
      <c r="C703">
        <v>114309.9541995528</v>
      </c>
      <c r="D703">
        <v>74879.722533377528</v>
      </c>
      <c r="E703">
        <v>82753.946061036826</v>
      </c>
      <c r="F703">
        <v>41729.119342687169</v>
      </c>
      <c r="G703">
        <v>10000</v>
      </c>
      <c r="H703">
        <v>303672.74213665433</v>
      </c>
      <c r="I703">
        <v>34.830378198393291</v>
      </c>
    </row>
    <row r="704" spans="1:9" x14ac:dyDescent="0.2">
      <c r="A704">
        <v>694</v>
      </c>
      <c r="B704">
        <v>1557695.534581448</v>
      </c>
      <c r="C704">
        <v>141286.63715631669</v>
      </c>
      <c r="D704">
        <v>137283.75482794506</v>
      </c>
      <c r="E704">
        <v>116221.73906022118</v>
      </c>
      <c r="F704">
        <v>44046.12039647685</v>
      </c>
      <c r="G704">
        <v>10000</v>
      </c>
      <c r="H704">
        <v>428838.25144095975</v>
      </c>
      <c r="I704">
        <v>33.930615405479671</v>
      </c>
    </row>
    <row r="705" spans="1:9" x14ac:dyDescent="0.2">
      <c r="A705">
        <v>695</v>
      </c>
      <c r="B705">
        <v>1000677.9577766375</v>
      </c>
      <c r="C705">
        <v>154970.21502718233</v>
      </c>
      <c r="D705">
        <v>63969.438827159247</v>
      </c>
      <c r="E705">
        <v>29217.859252787144</v>
      </c>
      <c r="F705">
        <v>38022.774871346803</v>
      </c>
      <c r="G705">
        <v>10000</v>
      </c>
      <c r="H705">
        <v>276180.28797847556</v>
      </c>
      <c r="I705">
        <v>25.752790647527441</v>
      </c>
    </row>
    <row r="706" spans="1:9" x14ac:dyDescent="0.2">
      <c r="A706">
        <v>696</v>
      </c>
      <c r="B706">
        <v>1202722.2970039947</v>
      </c>
      <c r="C706">
        <v>107929.98785626247</v>
      </c>
      <c r="D706">
        <v>130464.98681949798</v>
      </c>
      <c r="E706">
        <v>62809.837725918303</v>
      </c>
      <c r="F706">
        <v>40348.373381025107</v>
      </c>
      <c r="G706">
        <v>10000</v>
      </c>
      <c r="H706">
        <v>331553.18578270386</v>
      </c>
      <c r="I706">
        <v>35.48566582765568</v>
      </c>
    </row>
    <row r="707" spans="1:9" x14ac:dyDescent="0.2">
      <c r="A707">
        <v>697</v>
      </c>
      <c r="B707">
        <v>1627019.3208379177</v>
      </c>
      <c r="C707">
        <v>100974.52527137271</v>
      </c>
      <c r="D707">
        <v>98735.562061725781</v>
      </c>
      <c r="E707">
        <v>207744.91551919357</v>
      </c>
      <c r="F707">
        <v>50382.340305174941</v>
      </c>
      <c r="G707">
        <v>10000</v>
      </c>
      <c r="H707">
        <v>447837.34315746697</v>
      </c>
      <c r="I707">
        <v>31.188606996361578</v>
      </c>
    </row>
    <row r="708" spans="1:9" x14ac:dyDescent="0.2">
      <c r="A708">
        <v>698</v>
      </c>
      <c r="B708">
        <v>1328018.2960691145</v>
      </c>
      <c r="C708">
        <v>102005.03613292128</v>
      </c>
      <c r="D708">
        <v>91792.665116198186</v>
      </c>
      <c r="E708">
        <v>136635.13861660653</v>
      </c>
      <c r="F708">
        <v>45459.355750380455</v>
      </c>
      <c r="G708">
        <v>10000</v>
      </c>
      <c r="H708">
        <v>365892.19561610644</v>
      </c>
      <c r="I708">
        <v>35.832281788946744</v>
      </c>
    </row>
    <row r="709" spans="1:9" x14ac:dyDescent="0.2">
      <c r="A709">
        <v>699</v>
      </c>
      <c r="B709">
        <v>1302382.7927996106</v>
      </c>
      <c r="C709">
        <v>104134.96897896654</v>
      </c>
      <c r="D709">
        <v>77595.137428226677</v>
      </c>
      <c r="E709">
        <v>141350.53730219995</v>
      </c>
      <c r="F709">
        <v>45785.80642861384</v>
      </c>
      <c r="G709">
        <v>10000</v>
      </c>
      <c r="H709">
        <v>358866.45013800706</v>
      </c>
      <c r="I709">
        <v>29.345813680783991</v>
      </c>
    </row>
    <row r="710" spans="1:9" x14ac:dyDescent="0.2">
      <c r="A710">
        <v>700</v>
      </c>
      <c r="B710">
        <v>1038799.1706013767</v>
      </c>
      <c r="C710">
        <v>75393.019123390084</v>
      </c>
      <c r="D710">
        <v>81862.422490649958</v>
      </c>
      <c r="E710">
        <v>96679.28297138674</v>
      </c>
      <c r="F710">
        <v>42693.181128788317</v>
      </c>
      <c r="G710">
        <v>10000</v>
      </c>
      <c r="H710">
        <v>286627.90571421513</v>
      </c>
      <c r="I710">
        <v>32.44879165414546</v>
      </c>
    </row>
    <row r="711" spans="1:9" x14ac:dyDescent="0.2">
      <c r="A711">
        <v>701</v>
      </c>
      <c r="B711">
        <v>1144301.655825892</v>
      </c>
      <c r="C711">
        <v>115164.57682507386</v>
      </c>
      <c r="D711">
        <v>48806.780564262895</v>
      </c>
      <c r="E711">
        <v>117440.39736105759</v>
      </c>
      <c r="F711">
        <v>44130.489048073214</v>
      </c>
      <c r="G711">
        <v>10000</v>
      </c>
      <c r="H711">
        <v>315542.24379846756</v>
      </c>
      <c r="I711">
        <v>27.92220976141742</v>
      </c>
    </row>
    <row r="712" spans="1:9" x14ac:dyDescent="0.2">
      <c r="A712">
        <v>702</v>
      </c>
      <c r="B712">
        <v>1046055.3807445252</v>
      </c>
      <c r="C712">
        <v>110953.99227667779</v>
      </c>
      <c r="D712">
        <v>51320.237038664054</v>
      </c>
      <c r="E712">
        <v>93845.350066056912</v>
      </c>
      <c r="F712">
        <v>42496.985773803943</v>
      </c>
      <c r="G712">
        <v>10000</v>
      </c>
      <c r="H712">
        <v>288616.5651552027</v>
      </c>
      <c r="I712">
        <v>46.767295828520886</v>
      </c>
    </row>
    <row r="713" spans="1:9" x14ac:dyDescent="0.2">
      <c r="A713">
        <v>703</v>
      </c>
      <c r="B713">
        <v>1348141.4130065427</v>
      </c>
      <c r="C713">
        <v>143505.16299323624</v>
      </c>
      <c r="D713">
        <v>108627.72782377993</v>
      </c>
      <c r="E713">
        <v>87234.96487254856</v>
      </c>
      <c r="F713">
        <v>42039.343721945668</v>
      </c>
      <c r="G713">
        <v>10000</v>
      </c>
      <c r="H713">
        <v>371407.19941151037</v>
      </c>
      <c r="I713">
        <v>32.57086933450968</v>
      </c>
    </row>
    <row r="714" spans="1:9" x14ac:dyDescent="0.2">
      <c r="A714">
        <v>704</v>
      </c>
      <c r="B714">
        <v>1445480.4750409671</v>
      </c>
      <c r="C714">
        <v>125061.73904235545</v>
      </c>
      <c r="D714">
        <v>68349.149336122311</v>
      </c>
      <c r="E714">
        <v>167104.57760719987</v>
      </c>
      <c r="F714">
        <v>47568.778449729223</v>
      </c>
      <c r="G714">
        <v>10000</v>
      </c>
      <c r="H714">
        <v>398084.24443540687</v>
      </c>
      <c r="I714">
        <v>32.523024038777471</v>
      </c>
    </row>
    <row r="715" spans="1:9" x14ac:dyDescent="0.2">
      <c r="A715">
        <v>705</v>
      </c>
      <c r="B715">
        <v>1478649.5020951305</v>
      </c>
      <c r="C715">
        <v>123732.57430481612</v>
      </c>
      <c r="D715">
        <v>93631.478656584528</v>
      </c>
      <c r="E715">
        <v>153204.15624310233</v>
      </c>
      <c r="F715">
        <v>46606.441586060937</v>
      </c>
      <c r="G715">
        <v>10000</v>
      </c>
      <c r="H715">
        <v>407174.6507905639</v>
      </c>
      <c r="I715">
        <v>32.18562154853079</v>
      </c>
    </row>
    <row r="716" spans="1:9" x14ac:dyDescent="0.2">
      <c r="A716">
        <v>706</v>
      </c>
      <c r="B716">
        <v>1503570.8892863167</v>
      </c>
      <c r="C716">
        <v>102889.56049301338</v>
      </c>
      <c r="D716">
        <v>76378.878677163186</v>
      </c>
      <c r="E716">
        <v>195220.94784363022</v>
      </c>
      <c r="F716">
        <v>49515.2963891744</v>
      </c>
      <c r="G716">
        <v>10000</v>
      </c>
      <c r="H716">
        <v>414004.6834029812</v>
      </c>
      <c r="I716">
        <v>24.083817158907976</v>
      </c>
    </row>
    <row r="717" spans="1:9" x14ac:dyDescent="0.2">
      <c r="A717">
        <v>707</v>
      </c>
      <c r="B717">
        <v>902394.73199218872</v>
      </c>
      <c r="C717">
        <v>103873.5835732788</v>
      </c>
      <c r="D717">
        <v>62949.694787010681</v>
      </c>
      <c r="E717">
        <v>52768.032658940479</v>
      </c>
      <c r="F717">
        <v>39653.171491772802</v>
      </c>
      <c r="G717">
        <v>10000</v>
      </c>
      <c r="H717">
        <v>249244.48251100275</v>
      </c>
      <c r="I717">
        <v>33.675930914064551</v>
      </c>
    </row>
    <row r="718" spans="1:9" x14ac:dyDescent="0.2">
      <c r="A718">
        <v>708</v>
      </c>
      <c r="B718">
        <v>777806.17845952837</v>
      </c>
      <c r="C718">
        <v>86546.14988512978</v>
      </c>
      <c r="D718">
        <v>51717.772716150728</v>
      </c>
      <c r="E718">
        <v>47543.931819416415</v>
      </c>
      <c r="F718">
        <v>39291.502972113442</v>
      </c>
      <c r="G718">
        <v>10000</v>
      </c>
      <c r="H718">
        <v>215099.35739281034</v>
      </c>
      <c r="I718">
        <v>38.403440468733905</v>
      </c>
    </row>
    <row r="719" spans="1:9" x14ac:dyDescent="0.2">
      <c r="A719">
        <v>709</v>
      </c>
      <c r="B719">
        <v>1172352.0132350195</v>
      </c>
      <c r="C719">
        <v>114802.18092183692</v>
      </c>
      <c r="D719">
        <v>105808.84854306192</v>
      </c>
      <c r="E719">
        <v>71657.85387624694</v>
      </c>
      <c r="F719">
        <v>40960.928345278633</v>
      </c>
      <c r="G719">
        <v>10000</v>
      </c>
      <c r="H719">
        <v>323229.81168642442</v>
      </c>
      <c r="I719">
        <v>27.008114263320806</v>
      </c>
    </row>
    <row r="720" spans="1:9" x14ac:dyDescent="0.2">
      <c r="A720">
        <v>710</v>
      </c>
      <c r="B720">
        <v>1473983.0106210657</v>
      </c>
      <c r="C720">
        <v>92242.588349193975</v>
      </c>
      <c r="D720">
        <v>74265.553976215073</v>
      </c>
      <c r="E720">
        <v>199571.13234072202</v>
      </c>
      <c r="F720">
        <v>49816.463008203835</v>
      </c>
      <c r="G720">
        <v>10000</v>
      </c>
      <c r="H720">
        <v>405895.7376743349</v>
      </c>
      <c r="I720">
        <v>41.743312884974664</v>
      </c>
    </row>
    <row r="721" spans="1:9" x14ac:dyDescent="0.2">
      <c r="A721">
        <v>711</v>
      </c>
      <c r="B721">
        <v>1507586.000402601</v>
      </c>
      <c r="C721">
        <v>123674.06856922872</v>
      </c>
      <c r="D721">
        <v>72370.797915633462</v>
      </c>
      <c r="E721">
        <v>180559.90930149273</v>
      </c>
      <c r="F721">
        <v>48500.301413180263</v>
      </c>
      <c r="G721">
        <v>10000</v>
      </c>
      <c r="H721">
        <v>415105.07719953515</v>
      </c>
      <c r="I721">
        <v>30.087864967809811</v>
      </c>
    </row>
    <row r="722" spans="1:9" x14ac:dyDescent="0.2">
      <c r="A722">
        <v>712</v>
      </c>
      <c r="B722">
        <v>1459898.9006222447</v>
      </c>
      <c r="C722">
        <v>88656.273799493705</v>
      </c>
      <c r="D722">
        <v>124224.53271076022</v>
      </c>
      <c r="E722">
        <v>152591.00375902059</v>
      </c>
      <c r="F722">
        <v>46563.99256793219</v>
      </c>
      <c r="G722">
        <v>10000</v>
      </c>
      <c r="H722">
        <v>402035.80283720669</v>
      </c>
      <c r="I722">
        <v>28.796409062198549</v>
      </c>
    </row>
    <row r="723" spans="1:9" x14ac:dyDescent="0.2">
      <c r="A723">
        <v>713</v>
      </c>
      <c r="B723">
        <v>1040214.9388565326</v>
      </c>
      <c r="C723">
        <v>117769.06812353243</v>
      </c>
      <c r="D723">
        <v>98890.875948397312</v>
      </c>
      <c r="E723">
        <v>41484.002101895829</v>
      </c>
      <c r="F723">
        <v>38871.969376285095</v>
      </c>
      <c r="G723">
        <v>10000</v>
      </c>
      <c r="H723">
        <v>287015.91555011063</v>
      </c>
      <c r="I723">
        <v>41.521152018304704</v>
      </c>
    </row>
    <row r="724" spans="1:9" x14ac:dyDescent="0.2">
      <c r="A724">
        <v>714</v>
      </c>
      <c r="B724">
        <v>1687836.2254445984</v>
      </c>
      <c r="C724">
        <v>109054.73536832749</v>
      </c>
      <c r="D724">
        <v>129324.44352797692</v>
      </c>
      <c r="E724">
        <v>187168.04583854656</v>
      </c>
      <c r="F724">
        <v>48957.787788822454</v>
      </c>
      <c r="G724">
        <v>10000</v>
      </c>
      <c r="H724">
        <v>464505.01252367336</v>
      </c>
      <c r="I724">
        <v>37.907069661832381</v>
      </c>
    </row>
    <row r="725" spans="1:9" x14ac:dyDescent="0.2">
      <c r="A725">
        <v>715</v>
      </c>
      <c r="B725">
        <v>1016790.6249614799</v>
      </c>
      <c r="C725">
        <v>116238.12524115945</v>
      </c>
      <c r="D725">
        <v>69032.011054386661</v>
      </c>
      <c r="E725">
        <v>64837.302839158277</v>
      </c>
      <c r="F725">
        <v>40488.736350403262</v>
      </c>
      <c r="G725">
        <v>10000</v>
      </c>
      <c r="H725">
        <v>280596.17548510764</v>
      </c>
      <c r="I725">
        <v>37.16128670152159</v>
      </c>
    </row>
    <row r="726" spans="1:9" x14ac:dyDescent="0.2">
      <c r="A726">
        <v>716</v>
      </c>
      <c r="B726">
        <v>1043676.1918345202</v>
      </c>
      <c r="C726">
        <v>113277.25551529709</v>
      </c>
      <c r="D726">
        <v>89768.205907256488</v>
      </c>
      <c r="E726">
        <v>55104.152949644282</v>
      </c>
      <c r="F726">
        <v>39814.902896513835</v>
      </c>
      <c r="G726">
        <v>10000</v>
      </c>
      <c r="H726">
        <v>287964.5172687117</v>
      </c>
      <c r="I726">
        <v>51.513346120221243</v>
      </c>
    </row>
    <row r="727" spans="1:9" x14ac:dyDescent="0.2">
      <c r="A727">
        <v>717</v>
      </c>
      <c r="B727">
        <v>1414856.8888003728</v>
      </c>
      <c r="C727">
        <v>138991.99842176141</v>
      </c>
      <c r="D727">
        <v>109919.61191080611</v>
      </c>
      <c r="E727">
        <v>107348.05099997601</v>
      </c>
      <c r="F727">
        <v>43431.788146152183</v>
      </c>
      <c r="G727">
        <v>10000</v>
      </c>
      <c r="H727">
        <v>389691.44947869569</v>
      </c>
      <c r="I727">
        <v>42.584562263654085</v>
      </c>
    </row>
    <row r="728" spans="1:9" x14ac:dyDescent="0.2">
      <c r="A728">
        <v>718</v>
      </c>
      <c r="B728">
        <v>1223407.0021175435</v>
      </c>
      <c r="C728">
        <v>131600.6098115643</v>
      </c>
      <c r="D728">
        <v>73340.391851429929</v>
      </c>
      <c r="E728">
        <v>99399.588535645482</v>
      </c>
      <c r="F728">
        <v>42881.509975544686</v>
      </c>
      <c r="G728">
        <v>10000</v>
      </c>
      <c r="H728">
        <v>337222.10017418436</v>
      </c>
      <c r="I728">
        <v>31.804510958078922</v>
      </c>
    </row>
    <row r="729" spans="1:9" x14ac:dyDescent="0.2">
      <c r="A729">
        <v>719</v>
      </c>
      <c r="B729">
        <v>1308024.8093149732</v>
      </c>
      <c r="C729">
        <v>111309.89193501738</v>
      </c>
      <c r="D729">
        <v>171151.68477351667</v>
      </c>
      <c r="E729">
        <v>48587.3989572313</v>
      </c>
      <c r="F729">
        <v>39363.743004731397</v>
      </c>
      <c r="G729">
        <v>10000</v>
      </c>
      <c r="H729">
        <v>360412.71867049672</v>
      </c>
      <c r="I729">
        <v>31.036287012923474</v>
      </c>
    </row>
    <row r="730" spans="1:9" x14ac:dyDescent="0.2">
      <c r="A730">
        <v>720</v>
      </c>
      <c r="B730">
        <v>1143882.7450721604</v>
      </c>
      <c r="C730">
        <v>106111.79687985947</v>
      </c>
      <c r="D730">
        <v>29865.267919952308</v>
      </c>
      <c r="E730">
        <v>143514.73548554428</v>
      </c>
      <c r="F730">
        <v>45935.635533614601</v>
      </c>
      <c r="G730">
        <v>10000</v>
      </c>
      <c r="H730">
        <v>315427.43581897067</v>
      </c>
      <c r="I730">
        <v>40.148602660463752</v>
      </c>
    </row>
    <row r="731" spans="1:9" x14ac:dyDescent="0.2">
      <c r="A731">
        <v>721</v>
      </c>
      <c r="B731">
        <v>1465129.8934011711</v>
      </c>
      <c r="C731">
        <v>157730.07216535477</v>
      </c>
      <c r="D731">
        <v>65990.890495537504</v>
      </c>
      <c r="E731">
        <v>143793.52586375893</v>
      </c>
      <c r="F731">
        <v>45954.93640595254</v>
      </c>
      <c r="G731">
        <v>10000</v>
      </c>
      <c r="H731">
        <v>403469.42493060377</v>
      </c>
      <c r="I731">
        <v>48.698303263840202</v>
      </c>
    </row>
    <row r="732" spans="1:9" x14ac:dyDescent="0.2">
      <c r="A732">
        <v>722</v>
      </c>
      <c r="B732">
        <v>1306198.4060966677</v>
      </c>
      <c r="C732">
        <v>126951.42490209038</v>
      </c>
      <c r="D732">
        <v>92004.681652305298</v>
      </c>
      <c r="E732">
        <v>107512.86410531096</v>
      </c>
      <c r="F732">
        <v>43443.198284213831</v>
      </c>
      <c r="G732">
        <v>10000</v>
      </c>
      <c r="H732">
        <v>359912.16894392046</v>
      </c>
      <c r="I732">
        <v>35.13512374404101</v>
      </c>
    </row>
    <row r="733" spans="1:9" x14ac:dyDescent="0.2">
      <c r="A733">
        <v>723</v>
      </c>
      <c r="B733">
        <v>1761952.6221683235</v>
      </c>
      <c r="C733">
        <v>119322.34685690371</v>
      </c>
      <c r="D733">
        <v>138180.95186178555</v>
      </c>
      <c r="E733">
        <v>188279.54543873153</v>
      </c>
      <c r="F733">
        <v>49034.737761142947</v>
      </c>
      <c r="G733">
        <v>10000</v>
      </c>
      <c r="H733">
        <v>484817.58191856375</v>
      </c>
      <c r="I733">
        <v>36.631310496699186</v>
      </c>
    </row>
    <row r="734" spans="1:9" x14ac:dyDescent="0.2">
      <c r="A734">
        <v>724</v>
      </c>
      <c r="B734">
        <v>1646564.7000179533</v>
      </c>
      <c r="C734">
        <v>118031.4110984194</v>
      </c>
      <c r="D734">
        <v>129789.7774556073</v>
      </c>
      <c r="E734">
        <v>167758.75420000957</v>
      </c>
      <c r="F734">
        <v>47614.067598462199</v>
      </c>
      <c r="G734">
        <v>10000</v>
      </c>
      <c r="H734">
        <v>453194.0103524985</v>
      </c>
      <c r="I734">
        <v>37.647676499900911</v>
      </c>
    </row>
    <row r="735" spans="1:9" x14ac:dyDescent="0.2">
      <c r="A735">
        <v>725</v>
      </c>
      <c r="B735">
        <v>1751880.1486910675</v>
      </c>
      <c r="C735">
        <v>118164.07229702146</v>
      </c>
      <c r="D735">
        <v>127425.6145207228</v>
      </c>
      <c r="E735">
        <v>196840.01607385752</v>
      </c>
      <c r="F735">
        <v>49627.385728190136</v>
      </c>
      <c r="G735">
        <v>10000</v>
      </c>
      <c r="H735">
        <v>482057.0886197919</v>
      </c>
      <c r="I735">
        <v>35.562846688300716</v>
      </c>
    </row>
    <row r="736" spans="1:9" x14ac:dyDescent="0.2">
      <c r="A736">
        <v>726</v>
      </c>
      <c r="B736">
        <v>1556467.9277758263</v>
      </c>
      <c r="C736">
        <v>152612.79506632756</v>
      </c>
      <c r="D736">
        <v>135119.61428186731</v>
      </c>
      <c r="E736">
        <v>107338.28811292535</v>
      </c>
      <c r="F736">
        <v>43431.112253971754</v>
      </c>
      <c r="G736">
        <v>10000</v>
      </c>
      <c r="H736">
        <v>428501.80971509195</v>
      </c>
      <c r="I736">
        <v>33.315958114558896</v>
      </c>
    </row>
    <row r="737" spans="1:9" x14ac:dyDescent="0.2">
      <c r="A737">
        <v>727</v>
      </c>
      <c r="B737">
        <v>1480325.2968596274</v>
      </c>
      <c r="C737">
        <v>166453.20723737025</v>
      </c>
      <c r="D737">
        <v>116716.64965937553</v>
      </c>
      <c r="E737">
        <v>92088.696130210097</v>
      </c>
      <c r="F737">
        <v>42375.371270553012</v>
      </c>
      <c r="G737">
        <v>10000</v>
      </c>
      <c r="H737">
        <v>407633.92429750896</v>
      </c>
      <c r="I737">
        <v>35.63038923052828</v>
      </c>
    </row>
    <row r="738" spans="1:9" x14ac:dyDescent="0.2">
      <c r="A738">
        <v>728</v>
      </c>
      <c r="B738">
        <v>839671.71290092752</v>
      </c>
      <c r="C738">
        <v>93964.143283186611</v>
      </c>
      <c r="D738">
        <v>79622.828956340993</v>
      </c>
      <c r="E738">
        <v>30365.236575978855</v>
      </c>
      <c r="F738">
        <v>38102.208686029306</v>
      </c>
      <c r="G738">
        <v>10000</v>
      </c>
      <c r="H738">
        <v>232054.41750153579</v>
      </c>
      <c r="I738">
        <v>37.164386055756481</v>
      </c>
    </row>
    <row r="739" spans="1:9" x14ac:dyDescent="0.2">
      <c r="A739">
        <v>729</v>
      </c>
      <c r="B739">
        <v>988835.78001621971</v>
      </c>
      <c r="C739">
        <v>107134.38235118074</v>
      </c>
      <c r="D739">
        <v>63516.961395450999</v>
      </c>
      <c r="E739">
        <v>71344.224733888113</v>
      </c>
      <c r="F739">
        <v>40939.215558499942</v>
      </c>
      <c r="G739">
        <v>10000</v>
      </c>
      <c r="H739">
        <v>272934.78403901984</v>
      </c>
      <c r="I739">
        <v>32.567263396648826</v>
      </c>
    </row>
    <row r="740" spans="1:9" x14ac:dyDescent="0.2">
      <c r="A740">
        <v>730</v>
      </c>
      <c r="B740">
        <v>1541143.9681217181</v>
      </c>
      <c r="C740">
        <v>92354.399781113767</v>
      </c>
      <c r="D740">
        <v>148987.95439734359</v>
      </c>
      <c r="E740">
        <v>146796.8638549709</v>
      </c>
      <c r="F740">
        <v>46162.859805344138</v>
      </c>
      <c r="G740">
        <v>10000</v>
      </c>
      <c r="H740">
        <v>424302.07783877238</v>
      </c>
      <c r="I740">
        <v>31.788625124884742</v>
      </c>
    </row>
    <row r="741" spans="1:9" x14ac:dyDescent="0.2">
      <c r="A741">
        <v>731</v>
      </c>
      <c r="B741">
        <v>1431684.0155100655</v>
      </c>
      <c r="C741">
        <v>96808.324283276525</v>
      </c>
      <c r="D741">
        <v>118178.02738185301</v>
      </c>
      <c r="E741">
        <v>143389.80575933243</v>
      </c>
      <c r="F741">
        <v>45926.986552569164</v>
      </c>
      <c r="G741">
        <v>10000</v>
      </c>
      <c r="H741">
        <v>394303.14397703111</v>
      </c>
      <c r="I741">
        <v>31.018945521927659</v>
      </c>
    </row>
    <row r="742" spans="1:9" x14ac:dyDescent="0.2">
      <c r="A742">
        <v>732</v>
      </c>
      <c r="B742">
        <v>1196140.3810052436</v>
      </c>
      <c r="C742">
        <v>151955.68045842572</v>
      </c>
      <c r="D742">
        <v>88943.168985495897</v>
      </c>
      <c r="E742">
        <v>58781.020757626444</v>
      </c>
      <c r="F742">
        <v>40069.45528322029</v>
      </c>
      <c r="G742">
        <v>10000</v>
      </c>
      <c r="H742">
        <v>329749.32548476831</v>
      </c>
      <c r="I742">
        <v>44.616474871927039</v>
      </c>
    </row>
    <row r="743" spans="1:9" x14ac:dyDescent="0.2">
      <c r="A743">
        <v>733</v>
      </c>
      <c r="B743">
        <v>1449305.6821087478</v>
      </c>
      <c r="C743">
        <v>100568.83187084354</v>
      </c>
      <c r="D743">
        <v>139914.9836558488</v>
      </c>
      <c r="E743">
        <v>124060.00727850091</v>
      </c>
      <c r="F743">
        <v>44588.769734665446</v>
      </c>
      <c r="G743">
        <v>10000</v>
      </c>
      <c r="H743">
        <v>399132.59253985871</v>
      </c>
      <c r="I743">
        <v>38.658021299190558</v>
      </c>
    </row>
    <row r="744" spans="1:9" x14ac:dyDescent="0.2">
      <c r="A744">
        <v>734</v>
      </c>
      <c r="B744">
        <v>1200185.6927369898</v>
      </c>
      <c r="C744">
        <v>169790.93985211867</v>
      </c>
      <c r="D744">
        <v>89421.942313655629</v>
      </c>
      <c r="E744">
        <v>42689.674954509952</v>
      </c>
      <c r="F744">
        <v>38955.439035312222</v>
      </c>
      <c r="G744">
        <v>10000</v>
      </c>
      <c r="H744">
        <v>330857.99615559645</v>
      </c>
      <c r="I744">
        <v>33.346410781668354</v>
      </c>
    </row>
    <row r="745" spans="1:9" x14ac:dyDescent="0.2">
      <c r="A745">
        <v>735</v>
      </c>
      <c r="B745">
        <v>1677221.149344272</v>
      </c>
      <c r="C745">
        <v>128545.77274506791</v>
      </c>
      <c r="D745">
        <v>94061.834934092651</v>
      </c>
      <c r="E745">
        <v>199197.60104023581</v>
      </c>
      <c r="F745">
        <v>49790.603148939401</v>
      </c>
      <c r="G745">
        <v>10000</v>
      </c>
      <c r="H745">
        <v>461595.81186833576</v>
      </c>
      <c r="I745">
        <v>46.553785424530943</v>
      </c>
    </row>
    <row r="746" spans="1:9" x14ac:dyDescent="0.2">
      <c r="A746">
        <v>736</v>
      </c>
      <c r="B746">
        <v>1223438.9274634344</v>
      </c>
      <c r="C746">
        <v>124193.06615548392</v>
      </c>
      <c r="D746">
        <v>139504.73252382176</v>
      </c>
      <c r="E746">
        <v>44455.371489464436</v>
      </c>
      <c r="F746">
        <v>39077.679564655227</v>
      </c>
      <c r="G746">
        <v>10000</v>
      </c>
      <c r="H746">
        <v>337230.84973342536</v>
      </c>
      <c r="I746">
        <v>31.965959862232474</v>
      </c>
    </row>
    <row r="747" spans="1:9" x14ac:dyDescent="0.2">
      <c r="A747">
        <v>737</v>
      </c>
      <c r="B747">
        <v>1183715.3736020655</v>
      </c>
      <c r="C747">
        <v>95606.289990225501</v>
      </c>
      <c r="D747">
        <v>42223.910797108387</v>
      </c>
      <c r="E747">
        <v>151991.40666017082</v>
      </c>
      <c r="F747">
        <v>46522.481999550284</v>
      </c>
      <c r="G747">
        <v>10000</v>
      </c>
      <c r="H747">
        <v>326344.08944705501</v>
      </c>
      <c r="I747">
        <v>36.13434878317107</v>
      </c>
    </row>
    <row r="748" spans="1:9" x14ac:dyDescent="0.2">
      <c r="A748">
        <v>738</v>
      </c>
      <c r="B748">
        <v>1238035.675764539</v>
      </c>
      <c r="C748">
        <v>124319.69424204346</v>
      </c>
      <c r="D748">
        <v>82221.668866630964</v>
      </c>
      <c r="E748">
        <v>101652.44008271102</v>
      </c>
      <c r="F748">
        <v>43037.476621110764</v>
      </c>
      <c r="G748">
        <v>10000</v>
      </c>
      <c r="H748">
        <v>341231.27981249621</v>
      </c>
      <c r="I748">
        <v>32.08818957125284</v>
      </c>
    </row>
    <row r="749" spans="1:9" x14ac:dyDescent="0.2">
      <c r="A749">
        <v>739</v>
      </c>
      <c r="B749">
        <v>1430257.3582462142</v>
      </c>
      <c r="C749">
        <v>94601.014885123586</v>
      </c>
      <c r="D749">
        <v>63881.190898339519</v>
      </c>
      <c r="E749">
        <v>195869.73187543999</v>
      </c>
      <c r="F749">
        <v>49560.212206761229</v>
      </c>
      <c r="G749">
        <v>10000</v>
      </c>
      <c r="H749">
        <v>393912.14986566431</v>
      </c>
      <c r="I749">
        <v>43.701336454729109</v>
      </c>
    </row>
    <row r="750" spans="1:9" x14ac:dyDescent="0.2">
      <c r="A750">
        <v>740</v>
      </c>
      <c r="B750">
        <v>1477102.315134923</v>
      </c>
      <c r="C750">
        <v>92830.667251607956</v>
      </c>
      <c r="D750">
        <v>124850.11015579989</v>
      </c>
      <c r="E750">
        <v>152511.36725794454</v>
      </c>
      <c r="F750">
        <v>46558.479271703851</v>
      </c>
      <c r="G750">
        <v>10000</v>
      </c>
      <c r="H750">
        <v>406750.62393705628</v>
      </c>
      <c r="I750">
        <v>44.318130203488252</v>
      </c>
    </row>
    <row r="751" spans="1:9" x14ac:dyDescent="0.2">
      <c r="A751">
        <v>741</v>
      </c>
      <c r="B751">
        <v>1482951.5546458433</v>
      </c>
      <c r="C751">
        <v>130394.81851479365</v>
      </c>
      <c r="D751">
        <v>47254.264918129389</v>
      </c>
      <c r="E751">
        <v>191450.34645823069</v>
      </c>
      <c r="F751">
        <v>49254.25475480059</v>
      </c>
      <c r="G751">
        <v>10000</v>
      </c>
      <c r="H751">
        <v>408353.68464595429</v>
      </c>
      <c r="I751">
        <v>33.965542557202042</v>
      </c>
    </row>
    <row r="752" spans="1:9" x14ac:dyDescent="0.2">
      <c r="A752">
        <v>742</v>
      </c>
      <c r="B752">
        <v>1200300.6376394737</v>
      </c>
      <c r="C752">
        <v>139004.86036155373</v>
      </c>
      <c r="D752">
        <v>84848.214419190816</v>
      </c>
      <c r="E752">
        <v>75789.460856401143</v>
      </c>
      <c r="F752">
        <v>41246.962674673923</v>
      </c>
      <c r="G752">
        <v>10000</v>
      </c>
      <c r="H752">
        <v>330889.49831181963</v>
      </c>
      <c r="I752">
        <v>28.929678856581255</v>
      </c>
    </row>
    <row r="753" spans="1:9" x14ac:dyDescent="0.2">
      <c r="A753">
        <v>743</v>
      </c>
      <c r="B753">
        <v>1542589.6714399061</v>
      </c>
      <c r="C753">
        <v>130488.45588820358</v>
      </c>
      <c r="D753">
        <v>125000.52719568087</v>
      </c>
      <c r="E753">
        <v>133936.76352015568</v>
      </c>
      <c r="F753">
        <v>45272.545166780008</v>
      </c>
      <c r="G753">
        <v>10000</v>
      </c>
      <c r="H753">
        <v>424698.29177082016</v>
      </c>
      <c r="I753">
        <v>38.989164214931492</v>
      </c>
    </row>
    <row r="754" spans="1:9" x14ac:dyDescent="0.2">
      <c r="A754">
        <v>744</v>
      </c>
      <c r="B754">
        <v>1169468.6191553331</v>
      </c>
      <c r="C754">
        <v>112614.07639728385</v>
      </c>
      <c r="D754">
        <v>54122.712063350889</v>
      </c>
      <c r="E754">
        <v>121304.76884903453</v>
      </c>
      <c r="F754">
        <v>44398.022458779313</v>
      </c>
      <c r="G754">
        <v>10000</v>
      </c>
      <c r="H754">
        <v>322439.5797684486</v>
      </c>
      <c r="I754">
        <v>30.042285668972148</v>
      </c>
    </row>
    <row r="755" spans="1:9" x14ac:dyDescent="0.2">
      <c r="A755">
        <v>745</v>
      </c>
      <c r="B755">
        <v>1338684.9966718238</v>
      </c>
      <c r="C755">
        <v>128610.97943027776</v>
      </c>
      <c r="D755">
        <v>72060.560001228267</v>
      </c>
      <c r="E755">
        <v>132940.43652833026</v>
      </c>
      <c r="F755">
        <v>45203.568682730554</v>
      </c>
      <c r="G755">
        <v>10000</v>
      </c>
      <c r="H755">
        <v>368815.54464256682</v>
      </c>
      <c r="I755">
        <v>34.625694297864825</v>
      </c>
    </row>
    <row r="756" spans="1:9" x14ac:dyDescent="0.2">
      <c r="A756">
        <v>746</v>
      </c>
      <c r="B756">
        <v>1379034.8441452838</v>
      </c>
      <c r="C756">
        <v>77729.515286019305</v>
      </c>
      <c r="D756">
        <v>83355.434060100102</v>
      </c>
      <c r="E756">
        <v>180306.25857308152</v>
      </c>
      <c r="F756">
        <v>48482.740978136411</v>
      </c>
      <c r="G756">
        <v>10000</v>
      </c>
      <c r="H756">
        <v>379873.94889733737</v>
      </c>
      <c r="I756">
        <v>34.624859500016612</v>
      </c>
    </row>
    <row r="757" spans="1:9" x14ac:dyDescent="0.2">
      <c r="A757">
        <v>747</v>
      </c>
      <c r="B757">
        <v>1342198.7547610085</v>
      </c>
      <c r="C757">
        <v>114525.14241132946</v>
      </c>
      <c r="D757">
        <v>139735.74651692258</v>
      </c>
      <c r="E757">
        <v>83721.540496651389</v>
      </c>
      <c r="F757">
        <v>41796.106649768168</v>
      </c>
      <c r="G757">
        <v>10000</v>
      </c>
      <c r="H757">
        <v>369778.5360746716</v>
      </c>
      <c r="I757">
        <v>28.14716172960496</v>
      </c>
    </row>
    <row r="758" spans="1:9" x14ac:dyDescent="0.2">
      <c r="A758">
        <v>748</v>
      </c>
      <c r="B758">
        <v>1399160.7218261065</v>
      </c>
      <c r="C758">
        <v>103579.9241024941</v>
      </c>
      <c r="D758">
        <v>88730.771373875526</v>
      </c>
      <c r="E758">
        <v>156260.94819031766</v>
      </c>
      <c r="F758">
        <v>46818.065643945069</v>
      </c>
      <c r="G758">
        <v>10000</v>
      </c>
      <c r="H758">
        <v>385389.70931063237</v>
      </c>
      <c r="I758">
        <v>43.420929222482314</v>
      </c>
    </row>
    <row r="759" spans="1:9" x14ac:dyDescent="0.2">
      <c r="A759">
        <v>749</v>
      </c>
      <c r="B759">
        <v>1246925.7109946464</v>
      </c>
      <c r="C759">
        <v>103945.55942650845</v>
      </c>
      <c r="D759">
        <v>68537.242041298348</v>
      </c>
      <c r="E759">
        <v>135784.44722196774</v>
      </c>
      <c r="F759">
        <v>45400.461730751616</v>
      </c>
      <c r="G759">
        <v>10000</v>
      </c>
      <c r="H759">
        <v>343667.71042052616</v>
      </c>
      <c r="I759">
        <v>40.588744455437237</v>
      </c>
    </row>
    <row r="760" spans="1:9" x14ac:dyDescent="0.2">
      <c r="A760">
        <v>750</v>
      </c>
      <c r="B760">
        <v>1067548.4232648369</v>
      </c>
      <c r="C760">
        <v>108218.95806935111</v>
      </c>
      <c r="D760">
        <v>130171.98743663143</v>
      </c>
      <c r="E760">
        <v>28166.108161423912</v>
      </c>
      <c r="F760">
        <v>37949.961334252424</v>
      </c>
      <c r="G760">
        <v>10000</v>
      </c>
      <c r="H760">
        <v>294507.01500165893</v>
      </c>
      <c r="I760">
        <v>47.783895242060609</v>
      </c>
    </row>
    <row r="761" spans="1:9" x14ac:dyDescent="0.2">
      <c r="A761">
        <v>751</v>
      </c>
      <c r="B761">
        <v>1086886.9088487644</v>
      </c>
      <c r="C761">
        <v>90404.710865196175</v>
      </c>
      <c r="D761">
        <v>108959.03848354747</v>
      </c>
      <c r="E761">
        <v>69623.165634607445</v>
      </c>
      <c r="F761">
        <v>40820.065313165134</v>
      </c>
      <c r="G761">
        <v>10000</v>
      </c>
      <c r="H761">
        <v>299806.98029651621</v>
      </c>
      <c r="I761">
        <v>32.716651414877987</v>
      </c>
    </row>
    <row r="762" spans="1:9" x14ac:dyDescent="0.2">
      <c r="A762">
        <v>752</v>
      </c>
      <c r="B762">
        <v>1524045.9311039192</v>
      </c>
      <c r="C762">
        <v>111125.97963091002</v>
      </c>
      <c r="D762">
        <v>61155.192727654088</v>
      </c>
      <c r="E762">
        <v>207003.92359867776</v>
      </c>
      <c r="F762">
        <v>50331.040864523842</v>
      </c>
      <c r="G762">
        <v>10000</v>
      </c>
      <c r="H762">
        <v>419616.13682176569</v>
      </c>
      <c r="I762">
        <v>31.773679494150766</v>
      </c>
    </row>
    <row r="763" spans="1:9" x14ac:dyDescent="0.2">
      <c r="A763">
        <v>753</v>
      </c>
      <c r="B763">
        <v>1000757.5661603073</v>
      </c>
      <c r="C763">
        <v>95787.773156551717</v>
      </c>
      <c r="D763">
        <v>85750.142436721013</v>
      </c>
      <c r="E763">
        <v>64218.307292971134</v>
      </c>
      <c r="F763">
        <v>40445.882812590309</v>
      </c>
      <c r="G763">
        <v>10000</v>
      </c>
      <c r="H763">
        <v>276202.10569883417</v>
      </c>
      <c r="I763">
        <v>24.780690181159869</v>
      </c>
    </row>
    <row r="764" spans="1:9" x14ac:dyDescent="0.2">
      <c r="A764">
        <v>754</v>
      </c>
      <c r="B764">
        <v>1704483.1155509984</v>
      </c>
      <c r="C764">
        <v>105432.02750962535</v>
      </c>
      <c r="D764">
        <v>134517.64700914992</v>
      </c>
      <c r="E764">
        <v>189966.13467011985</v>
      </c>
      <c r="F764">
        <v>49151.501631008301</v>
      </c>
      <c r="G764">
        <v>10000</v>
      </c>
      <c r="H764">
        <v>469067.31081990339</v>
      </c>
      <c r="I764">
        <v>46.011679159323215</v>
      </c>
    </row>
    <row r="765" spans="1:9" x14ac:dyDescent="0.2">
      <c r="A765">
        <v>755</v>
      </c>
      <c r="B765">
        <v>1031607.2318701206</v>
      </c>
      <c r="C765">
        <v>96092.809436259558</v>
      </c>
      <c r="D765">
        <v>129496.32540517912</v>
      </c>
      <c r="E765">
        <v>30926.650079400701</v>
      </c>
      <c r="F765">
        <v>38141.075774727738</v>
      </c>
      <c r="G765">
        <v>10000</v>
      </c>
      <c r="H765">
        <v>284656.8606955671</v>
      </c>
      <c r="I765">
        <v>47.362275994537065</v>
      </c>
    </row>
    <row r="766" spans="1:9" x14ac:dyDescent="0.2">
      <c r="A766">
        <v>756</v>
      </c>
      <c r="B766">
        <v>1246438.220610274</v>
      </c>
      <c r="C766">
        <v>139369.9643423658</v>
      </c>
      <c r="D766">
        <v>71628.957559195056</v>
      </c>
      <c r="E766">
        <v>99637.223749172903</v>
      </c>
      <c r="F766">
        <v>42897.961644173512</v>
      </c>
      <c r="G766">
        <v>10000</v>
      </c>
      <c r="H766">
        <v>343534.10729490721</v>
      </c>
      <c r="I766">
        <v>41.454004572380633</v>
      </c>
    </row>
    <row r="767" spans="1:9" x14ac:dyDescent="0.2">
      <c r="A767">
        <v>757</v>
      </c>
      <c r="B767">
        <v>1908348.6417662187</v>
      </c>
      <c r="C767">
        <v>137335.39352042592</v>
      </c>
      <c r="D767">
        <v>142188.19363957929</v>
      </c>
      <c r="E767">
        <v>205208.96697751613</v>
      </c>
      <c r="F767">
        <v>50206.774636904964</v>
      </c>
      <c r="G767">
        <v>10000</v>
      </c>
      <c r="H767">
        <v>524939.32877442637</v>
      </c>
      <c r="I767">
        <v>49.922480598907832</v>
      </c>
    </row>
    <row r="768" spans="1:9" x14ac:dyDescent="0.2">
      <c r="A768">
        <v>758</v>
      </c>
      <c r="B768">
        <v>1035326.2604203138</v>
      </c>
      <c r="C768">
        <v>87578.910678744083</v>
      </c>
      <c r="D768">
        <v>73010.727915298892</v>
      </c>
      <c r="E768">
        <v>92670.799834587975</v>
      </c>
      <c r="F768">
        <v>42415.670757779175</v>
      </c>
      <c r="G768">
        <v>10000</v>
      </c>
      <c r="H768">
        <v>285676.10918641009</v>
      </c>
      <c r="I768">
        <v>27.790658709913824</v>
      </c>
    </row>
    <row r="769" spans="1:9" x14ac:dyDescent="0.2">
      <c r="A769">
        <v>759</v>
      </c>
      <c r="B769">
        <v>1118253.6473519662</v>
      </c>
      <c r="C769">
        <v>106530.86284481079</v>
      </c>
      <c r="D769">
        <v>73097.306984683528</v>
      </c>
      <c r="E769">
        <v>96120.761760356443</v>
      </c>
      <c r="F769">
        <v>42654.514275716982</v>
      </c>
      <c r="G769">
        <v>10000</v>
      </c>
      <c r="H769">
        <v>308403.44586556772</v>
      </c>
      <c r="I769">
        <v>34.680008039343832</v>
      </c>
    </row>
    <row r="770" spans="1:9" x14ac:dyDescent="0.2">
      <c r="A770">
        <v>760</v>
      </c>
      <c r="B770">
        <v>1747337.1212576693</v>
      </c>
      <c r="C770">
        <v>168241.91740941862</v>
      </c>
      <c r="D770">
        <v>95655.80505947287</v>
      </c>
      <c r="E770">
        <v>178552.93306762655</v>
      </c>
      <c r="F770">
        <v>48361.356904681837</v>
      </c>
      <c r="G770">
        <v>10000</v>
      </c>
      <c r="H770">
        <v>480812.01244119985</v>
      </c>
      <c r="I770">
        <v>41.391827863145515</v>
      </c>
    </row>
    <row r="771" spans="1:9" x14ac:dyDescent="0.2">
      <c r="A771">
        <v>761</v>
      </c>
      <c r="B771">
        <v>955189.04009789624</v>
      </c>
      <c r="C771">
        <v>73661.14688816831</v>
      </c>
      <c r="D771">
        <v>55290.162013843088</v>
      </c>
      <c r="E771">
        <v>101719.9920200308</v>
      </c>
      <c r="F771">
        <v>43042.153293694435</v>
      </c>
      <c r="G771">
        <v>10000</v>
      </c>
      <c r="H771">
        <v>263713.45421573665</v>
      </c>
      <c r="I771">
        <v>31.669411014874409</v>
      </c>
    </row>
    <row r="772" spans="1:9" x14ac:dyDescent="0.2">
      <c r="A772">
        <v>762</v>
      </c>
      <c r="B772">
        <v>1253540.5402082913</v>
      </c>
      <c r="C772">
        <v>112280.68465539726</v>
      </c>
      <c r="D772">
        <v>110816.10617469682</v>
      </c>
      <c r="E772">
        <v>90143.122476161239</v>
      </c>
      <c r="F772">
        <v>42240.677709888092</v>
      </c>
      <c r="G772">
        <v>10000</v>
      </c>
      <c r="H772">
        <v>345480.59101614339</v>
      </c>
      <c r="I772">
        <v>36.174239501192162</v>
      </c>
    </row>
    <row r="773" spans="1:9" x14ac:dyDescent="0.2">
      <c r="A773">
        <v>763</v>
      </c>
      <c r="B773">
        <v>1412425.6720874156</v>
      </c>
      <c r="C773">
        <v>97790.954787529146</v>
      </c>
      <c r="D773">
        <v>69539.025868302604</v>
      </c>
      <c r="E773">
        <v>183024.25226336697</v>
      </c>
      <c r="F773">
        <v>48670.909772079256</v>
      </c>
      <c r="G773">
        <v>10000</v>
      </c>
      <c r="H773">
        <v>389025.14269127796</v>
      </c>
      <c r="I773">
        <v>29.795603822495487</v>
      </c>
    </row>
    <row r="774" spans="1:9" x14ac:dyDescent="0.2">
      <c r="A774">
        <v>764</v>
      </c>
      <c r="B774">
        <v>947877.82491426053</v>
      </c>
      <c r="C774">
        <v>97810.733706722705</v>
      </c>
      <c r="D774">
        <v>97654.494503532391</v>
      </c>
      <c r="E774">
        <v>37638.733256408217</v>
      </c>
      <c r="F774">
        <v>38605.758456212876</v>
      </c>
      <c r="G774">
        <v>10000</v>
      </c>
      <c r="H774">
        <v>261709.71992287622</v>
      </c>
      <c r="I774">
        <v>38.101846475796194</v>
      </c>
    </row>
    <row r="775" spans="1:9" x14ac:dyDescent="0.2">
      <c r="A775">
        <v>765</v>
      </c>
      <c r="B775">
        <v>1079894.1519436128</v>
      </c>
      <c r="C775">
        <v>90053.27980139303</v>
      </c>
      <c r="D775">
        <v>38288.554190945739</v>
      </c>
      <c r="E775">
        <v>134254.17019881299</v>
      </c>
      <c r="F775">
        <v>45294.519475302441</v>
      </c>
      <c r="G775">
        <v>10000</v>
      </c>
      <c r="H775">
        <v>297890.52366645419</v>
      </c>
      <c r="I775">
        <v>35.776692924587579</v>
      </c>
    </row>
    <row r="776" spans="1:9" x14ac:dyDescent="0.2">
      <c r="A776">
        <v>766</v>
      </c>
      <c r="B776">
        <v>1290033.7529312386</v>
      </c>
      <c r="C776">
        <v>93746.174108594118</v>
      </c>
      <c r="D776">
        <v>57460.968626774833</v>
      </c>
      <c r="E776">
        <v>166731.91269197685</v>
      </c>
      <c r="F776">
        <v>47542.97857098301</v>
      </c>
      <c r="G776">
        <v>10000</v>
      </c>
      <c r="H776">
        <v>355482.03399832878</v>
      </c>
      <c r="I776">
        <v>31.996719906819973</v>
      </c>
    </row>
    <row r="777" spans="1:9" x14ac:dyDescent="0.2">
      <c r="A777">
        <v>767</v>
      </c>
      <c r="B777">
        <v>1353113.3007890601</v>
      </c>
      <c r="C777">
        <v>94551.436174337097</v>
      </c>
      <c r="D777">
        <v>145825.44273406939</v>
      </c>
      <c r="E777">
        <v>99504.180519125177</v>
      </c>
      <c r="F777">
        <v>42888.750959016354</v>
      </c>
      <c r="G777">
        <v>10000</v>
      </c>
      <c r="H777">
        <v>372769.81038654805</v>
      </c>
      <c r="I777">
        <v>29.231597711046298</v>
      </c>
    </row>
    <row r="778" spans="1:9" x14ac:dyDescent="0.2">
      <c r="A778">
        <v>768</v>
      </c>
      <c r="B778">
        <v>1313074.3361613473</v>
      </c>
      <c r="C778">
        <v>101287.70742884449</v>
      </c>
      <c r="D778">
        <v>52647.959776229778</v>
      </c>
      <c r="E778">
        <v>170085.77163727008</v>
      </c>
      <c r="F778">
        <v>47775.168805657158</v>
      </c>
      <c r="G778">
        <v>10000</v>
      </c>
      <c r="H778">
        <v>361796.60764800152</v>
      </c>
      <c r="I778">
        <v>30.076146116708713</v>
      </c>
    </row>
    <row r="779" spans="1:9" x14ac:dyDescent="0.2">
      <c r="A779">
        <v>769</v>
      </c>
      <c r="B779">
        <v>1043469.5484887119</v>
      </c>
      <c r="C779">
        <v>74712.043581511942</v>
      </c>
      <c r="D779">
        <v>63514.799798763655</v>
      </c>
      <c r="E779">
        <v>115672.91564347121</v>
      </c>
      <c r="F779">
        <v>44008.124929163387</v>
      </c>
      <c r="G779">
        <v>10000</v>
      </c>
      <c r="H779">
        <v>287907.8839529102</v>
      </c>
      <c r="I779">
        <v>35.476834050642474</v>
      </c>
    </row>
    <row r="780" spans="1:9" x14ac:dyDescent="0.2">
      <c r="A780">
        <v>770</v>
      </c>
      <c r="B780">
        <v>1292312.1965133289</v>
      </c>
      <c r="C780">
        <v>100087.04555273295</v>
      </c>
      <c r="D780">
        <v>100055.79147889094</v>
      </c>
      <c r="E780">
        <v>121548.72270453532</v>
      </c>
      <c r="F780">
        <v>44414.911571852448</v>
      </c>
      <c r="G780">
        <v>10000</v>
      </c>
      <c r="H780">
        <v>356106.47130801162</v>
      </c>
      <c r="I780">
        <v>33.570385074244328</v>
      </c>
    </row>
    <row r="781" spans="1:9" x14ac:dyDescent="0.2">
      <c r="A781">
        <v>771</v>
      </c>
      <c r="B781">
        <v>1111175.8066470902</v>
      </c>
      <c r="C781">
        <v>121697.02214058375</v>
      </c>
      <c r="D781">
        <v>92042.452174892038</v>
      </c>
      <c r="E781">
        <v>62403.924868511262</v>
      </c>
      <c r="F781">
        <v>40320.271721666162</v>
      </c>
      <c r="G781">
        <v>10000</v>
      </c>
      <c r="H781">
        <v>306463.67090565321</v>
      </c>
      <c r="I781">
        <v>30.129977420910251</v>
      </c>
    </row>
    <row r="782" spans="1:9" x14ac:dyDescent="0.2">
      <c r="A782">
        <v>772</v>
      </c>
      <c r="B782">
        <v>1096112.5744883453</v>
      </c>
      <c r="C782">
        <v>139924.35135344544</v>
      </c>
      <c r="D782">
        <v>72378.101176522468</v>
      </c>
      <c r="E782">
        <v>59886.924439037677</v>
      </c>
      <c r="F782">
        <v>40146.017845779534</v>
      </c>
      <c r="G782">
        <v>10000</v>
      </c>
      <c r="H782">
        <v>302335.3948147851</v>
      </c>
      <c r="I782">
        <v>39.635655194626608</v>
      </c>
    </row>
    <row r="783" spans="1:9" x14ac:dyDescent="0.2">
      <c r="A783">
        <v>773</v>
      </c>
      <c r="B783">
        <v>1143870.7627785539</v>
      </c>
      <c r="C783">
        <v>91711.591516681408</v>
      </c>
      <c r="D783">
        <v>120874.85233608821</v>
      </c>
      <c r="E783">
        <v>71862.60466200154</v>
      </c>
      <c r="F783">
        <v>40975.103399677027</v>
      </c>
      <c r="G783">
        <v>10000</v>
      </c>
      <c r="H783">
        <v>315424.15191444819</v>
      </c>
      <c r="I783">
        <v>29.338071352361261</v>
      </c>
    </row>
    <row r="784" spans="1:9" x14ac:dyDescent="0.2">
      <c r="A784">
        <v>774</v>
      </c>
      <c r="B784">
        <v>1254238.6765575879</v>
      </c>
      <c r="C784">
        <v>84530.954614468239</v>
      </c>
      <c r="D784">
        <v>26097.069280526848</v>
      </c>
      <c r="E784">
        <v>195508.68395151058</v>
      </c>
      <c r="F784">
        <v>49535.216581258421</v>
      </c>
      <c r="G784">
        <v>10000</v>
      </c>
      <c r="H784">
        <v>345671.92442776408</v>
      </c>
      <c r="I784">
        <v>33.484713169340985</v>
      </c>
    </row>
    <row r="785" spans="1:9" x14ac:dyDescent="0.2">
      <c r="A785">
        <v>775</v>
      </c>
      <c r="B785">
        <v>756143.49493848789</v>
      </c>
      <c r="C785">
        <v>75411.589128668507</v>
      </c>
      <c r="D785">
        <v>68399.967500970786</v>
      </c>
      <c r="E785">
        <v>36802.961260268421</v>
      </c>
      <c r="F785">
        <v>38547.897318018579</v>
      </c>
      <c r="G785">
        <v>10000</v>
      </c>
      <c r="H785">
        <v>209162.41520792627</v>
      </c>
      <c r="I785">
        <v>41.467444628664595</v>
      </c>
    </row>
    <row r="786" spans="1:9" x14ac:dyDescent="0.2">
      <c r="A786">
        <v>776</v>
      </c>
      <c r="B786">
        <v>1306161.057408598</v>
      </c>
      <c r="C786">
        <v>148527.53902663485</v>
      </c>
      <c r="D786">
        <v>120193.2738910981</v>
      </c>
      <c r="E786">
        <v>60960.759832859338</v>
      </c>
      <c r="F786">
        <v>40220.360296121027</v>
      </c>
      <c r="G786">
        <v>10000</v>
      </c>
      <c r="H786">
        <v>359901.93304671335</v>
      </c>
      <c r="I786">
        <v>41.46822263592906</v>
      </c>
    </row>
    <row r="787" spans="1:9" x14ac:dyDescent="0.2">
      <c r="A787">
        <v>777</v>
      </c>
      <c r="B787">
        <v>1242593.7211841471</v>
      </c>
      <c r="C787">
        <v>146506.77276355572</v>
      </c>
      <c r="D787">
        <v>57710.806663965472</v>
      </c>
      <c r="E787">
        <v>104994.07206563807</v>
      </c>
      <c r="F787">
        <v>43268.820373774943</v>
      </c>
      <c r="G787">
        <v>10000</v>
      </c>
      <c r="H787">
        <v>342480.47186693421</v>
      </c>
      <c r="I787">
        <v>37.257958682235532</v>
      </c>
    </row>
    <row r="788" spans="1:9" x14ac:dyDescent="0.2">
      <c r="A788">
        <v>778</v>
      </c>
      <c r="B788">
        <v>1056821.459846389</v>
      </c>
      <c r="C788">
        <v>102200.15254758389</v>
      </c>
      <c r="D788">
        <v>44787.823785874767</v>
      </c>
      <c r="E788">
        <v>110901.38559423893</v>
      </c>
      <c r="F788">
        <v>43677.788233447311</v>
      </c>
      <c r="G788">
        <v>10000</v>
      </c>
      <c r="H788">
        <v>291567.15016114491</v>
      </c>
      <c r="I788">
        <v>27.926342668750685</v>
      </c>
    </row>
    <row r="789" spans="1:9" x14ac:dyDescent="0.2">
      <c r="A789">
        <v>779</v>
      </c>
      <c r="B789">
        <v>1592742.0048751596</v>
      </c>
      <c r="C789">
        <v>104528.38714014423</v>
      </c>
      <c r="D789">
        <v>91368.867077213581</v>
      </c>
      <c r="E789">
        <v>202524.98125127249</v>
      </c>
      <c r="F789">
        <v>50020.960240472712</v>
      </c>
      <c r="G789">
        <v>10000</v>
      </c>
      <c r="H789">
        <v>438443.19570910302</v>
      </c>
      <c r="I789">
        <v>25.616410387357057</v>
      </c>
    </row>
    <row r="790" spans="1:9" x14ac:dyDescent="0.2">
      <c r="A790">
        <v>780</v>
      </c>
      <c r="B790">
        <v>1573258.7293931711</v>
      </c>
      <c r="C790">
        <v>112463.04193647178</v>
      </c>
      <c r="D790">
        <v>139585.59829532399</v>
      </c>
      <c r="E790">
        <v>145015.38215720328</v>
      </c>
      <c r="F790">
        <v>46039.526457037151</v>
      </c>
      <c r="G790">
        <v>10000</v>
      </c>
      <c r="H790">
        <v>433103.5488460362</v>
      </c>
      <c r="I790">
        <v>41.242805818910199</v>
      </c>
    </row>
    <row r="791" spans="1:9" x14ac:dyDescent="0.2">
      <c r="A791">
        <v>781</v>
      </c>
      <c r="B791">
        <v>752653.86509665498</v>
      </c>
      <c r="C791">
        <v>99593.597442993138</v>
      </c>
      <c r="D791">
        <v>53291.458399098956</v>
      </c>
      <c r="E791">
        <v>27422.499837966319</v>
      </c>
      <c r="F791">
        <v>37898.480758013051</v>
      </c>
      <c r="G791">
        <v>10000</v>
      </c>
      <c r="H791">
        <v>208206.03643807146</v>
      </c>
      <c r="I791">
        <v>40.203855565084538</v>
      </c>
    </row>
    <row r="792" spans="1:9" x14ac:dyDescent="0.2">
      <c r="A792">
        <v>782</v>
      </c>
      <c r="B792">
        <v>1394335.9315203917</v>
      </c>
      <c r="C792">
        <v>97474.838705925693</v>
      </c>
      <c r="D792">
        <v>56367.633129733535</v>
      </c>
      <c r="E792">
        <v>191001.7429046222</v>
      </c>
      <c r="F792">
        <v>49223.197585704613</v>
      </c>
      <c r="G792">
        <v>10000</v>
      </c>
      <c r="H792">
        <v>384067.41232598608</v>
      </c>
      <c r="I792">
        <v>48.445012989451584</v>
      </c>
    </row>
    <row r="793" spans="1:9" x14ac:dyDescent="0.2">
      <c r="A793">
        <v>783</v>
      </c>
      <c r="B793">
        <v>1349015.2940786458</v>
      </c>
      <c r="C793">
        <v>117287.21681151877</v>
      </c>
      <c r="D793">
        <v>91172.970684687549</v>
      </c>
      <c r="E793">
        <v>128303.93065571586</v>
      </c>
      <c r="F793">
        <v>44882.579814626479</v>
      </c>
      <c r="G793">
        <v>10000</v>
      </c>
      <c r="H793">
        <v>371646.69796654867</v>
      </c>
      <c r="I793">
        <v>38.171771467249485</v>
      </c>
    </row>
    <row r="794" spans="1:9" x14ac:dyDescent="0.2">
      <c r="A794">
        <v>784</v>
      </c>
      <c r="B794">
        <v>1287473.9258135902</v>
      </c>
      <c r="C794">
        <v>104468.03931874163</v>
      </c>
      <c r="D794">
        <v>133449.50689198324</v>
      </c>
      <c r="E794">
        <v>84979.722103810782</v>
      </c>
      <c r="F794">
        <v>41883.211530263819</v>
      </c>
      <c r="G794">
        <v>10000</v>
      </c>
      <c r="H794">
        <v>354780.47984479944</v>
      </c>
      <c r="I794">
        <v>31.326755148185228</v>
      </c>
    </row>
    <row r="795" spans="1:9" x14ac:dyDescent="0.2">
      <c r="A795">
        <v>785</v>
      </c>
      <c r="B795">
        <v>920551.49878030934</v>
      </c>
      <c r="C795">
        <v>134926.85916193842</v>
      </c>
      <c r="D795">
        <v>59147.015288182127</v>
      </c>
      <c r="E795">
        <v>31935.769922360279</v>
      </c>
      <c r="F795">
        <v>38210.937917701864</v>
      </c>
      <c r="G795">
        <v>10000</v>
      </c>
      <c r="H795">
        <v>254220.58229018271</v>
      </c>
      <c r="I795">
        <v>32.138747723239391</v>
      </c>
    </row>
    <row r="796" spans="1:9" x14ac:dyDescent="0.2">
      <c r="A796">
        <v>786</v>
      </c>
      <c r="B796">
        <v>1319820.4209760986</v>
      </c>
      <c r="C796">
        <v>120564.3678189035</v>
      </c>
      <c r="D796">
        <v>86601.226059121604</v>
      </c>
      <c r="E796">
        <v>122031.52999076483</v>
      </c>
      <c r="F796">
        <v>44448.336691668337</v>
      </c>
      <c r="G796">
        <v>10000</v>
      </c>
      <c r="H796">
        <v>363645.46056045825</v>
      </c>
      <c r="I796">
        <v>47.821545445686233</v>
      </c>
    </row>
    <row r="797" spans="1:9" x14ac:dyDescent="0.2">
      <c r="A797">
        <v>787</v>
      </c>
      <c r="B797">
        <v>1731518.934018455</v>
      </c>
      <c r="C797">
        <v>144259.44164260803</v>
      </c>
      <c r="D797">
        <v>147888.90739301714</v>
      </c>
      <c r="E797">
        <v>148076.99754041675</v>
      </c>
      <c r="F797">
        <v>46251.48444510578</v>
      </c>
      <c r="G797">
        <v>10000</v>
      </c>
      <c r="H797">
        <v>476476.83102114766</v>
      </c>
      <c r="I797">
        <v>31.496788832987615</v>
      </c>
    </row>
    <row r="798" spans="1:9" x14ac:dyDescent="0.2">
      <c r="A798">
        <v>788</v>
      </c>
      <c r="B798">
        <v>1458922.6582162718</v>
      </c>
      <c r="C798">
        <v>116846.95598855546</v>
      </c>
      <c r="D798">
        <v>78525.097721972925</v>
      </c>
      <c r="E798">
        <v>168715.86779813009</v>
      </c>
      <c r="F798">
        <v>47680.329309101311</v>
      </c>
      <c r="G798">
        <v>10000</v>
      </c>
      <c r="H798">
        <v>401768.25081775978</v>
      </c>
      <c r="I798">
        <v>31.120168560315033</v>
      </c>
    </row>
    <row r="799" spans="1:9" x14ac:dyDescent="0.2">
      <c r="A799">
        <v>789</v>
      </c>
      <c r="B799">
        <v>1538741.4548455563</v>
      </c>
      <c r="C799">
        <v>144077.25741573339</v>
      </c>
      <c r="D799">
        <v>65318.759656720562</v>
      </c>
      <c r="E799">
        <v>176058.92567717572</v>
      </c>
      <c r="F799">
        <v>48188.694854573703</v>
      </c>
      <c r="G799">
        <v>10000</v>
      </c>
      <c r="H799">
        <v>423643.63760420337</v>
      </c>
      <c r="I799">
        <v>28.466421091837056</v>
      </c>
    </row>
    <row r="800" spans="1:9" x14ac:dyDescent="0.2">
      <c r="A800">
        <v>790</v>
      </c>
      <c r="B800">
        <v>865996.12612117396</v>
      </c>
      <c r="C800">
        <v>106945.34071492638</v>
      </c>
      <c r="D800">
        <v>60624.538782960175</v>
      </c>
      <c r="E800">
        <v>42740.154504591534</v>
      </c>
      <c r="F800">
        <v>38958.933773394798</v>
      </c>
      <c r="G800">
        <v>10000</v>
      </c>
      <c r="H800">
        <v>239268.96777587288</v>
      </c>
      <c r="I800">
        <v>32.142454587074084</v>
      </c>
    </row>
    <row r="801" spans="1:9" x14ac:dyDescent="0.2">
      <c r="A801">
        <v>791</v>
      </c>
      <c r="B801">
        <v>1242613.5250350211</v>
      </c>
      <c r="C801">
        <v>121989.02585518318</v>
      </c>
      <c r="D801">
        <v>66424.898406159977</v>
      </c>
      <c r="E801">
        <v>119779.54506722416</v>
      </c>
      <c r="F801">
        <v>44292.430043115513</v>
      </c>
      <c r="G801">
        <v>10000</v>
      </c>
      <c r="H801">
        <v>342485.89937168278</v>
      </c>
      <c r="I801">
        <v>28.294231672429824</v>
      </c>
    </row>
    <row r="802" spans="1:9" x14ac:dyDescent="0.2">
      <c r="A802">
        <v>792</v>
      </c>
      <c r="B802">
        <v>1438641.4412932773</v>
      </c>
      <c r="C802">
        <v>109441.26155884415</v>
      </c>
      <c r="D802">
        <v>91444.945363346313</v>
      </c>
      <c r="E802">
        <v>158360.30499752436</v>
      </c>
      <c r="F802">
        <v>46963.405730597835</v>
      </c>
      <c r="G802">
        <v>10000</v>
      </c>
      <c r="H802">
        <v>396209.91765031271</v>
      </c>
      <c r="I802">
        <v>26.884298541347594</v>
      </c>
    </row>
    <row r="803" spans="1:9" x14ac:dyDescent="0.2">
      <c r="A803">
        <v>793</v>
      </c>
      <c r="B803">
        <v>1723274.8084818264</v>
      </c>
      <c r="C803">
        <v>138478.50893422056</v>
      </c>
      <c r="D803">
        <v>140446.92933417478</v>
      </c>
      <c r="E803">
        <v>158330.63079448824</v>
      </c>
      <c r="F803">
        <v>46961.351362695343</v>
      </c>
      <c r="G803">
        <v>10000</v>
      </c>
      <c r="H803">
        <v>474217.42042557895</v>
      </c>
      <c r="I803">
        <v>36.975690118306815</v>
      </c>
    </row>
    <row r="804" spans="1:9" x14ac:dyDescent="0.2">
      <c r="A804">
        <v>794</v>
      </c>
      <c r="B804">
        <v>1183346.3899880468</v>
      </c>
      <c r="C804">
        <v>85813.910097983564</v>
      </c>
      <c r="D804">
        <v>62202.854396168499</v>
      </c>
      <c r="E804">
        <v>142369.82748782108</v>
      </c>
      <c r="F804">
        <v>45856.372672233767</v>
      </c>
      <c r="G804">
        <v>10000</v>
      </c>
      <c r="H804">
        <v>326242.96465420694</v>
      </c>
      <c r="I804">
        <v>39.663823602894475</v>
      </c>
    </row>
    <row r="805" spans="1:9" x14ac:dyDescent="0.2">
      <c r="A805">
        <v>795</v>
      </c>
      <c r="B805">
        <v>1145005.7042842717</v>
      </c>
      <c r="C805">
        <v>109470.44945075427</v>
      </c>
      <c r="D805">
        <v>126864.49076247012</v>
      </c>
      <c r="E805">
        <v>49942.6866720455</v>
      </c>
      <c r="F805">
        <v>39457.570615757002</v>
      </c>
      <c r="G805">
        <v>10000</v>
      </c>
      <c r="H805">
        <v>315735.19750102691</v>
      </c>
      <c r="I805">
        <v>34.108100091098159</v>
      </c>
    </row>
    <row r="806" spans="1:9" x14ac:dyDescent="0.2">
      <c r="A806">
        <v>796</v>
      </c>
      <c r="B806">
        <v>926118.13455527881</v>
      </c>
      <c r="C806">
        <v>116485.5725486489</v>
      </c>
      <c r="D806">
        <v>73953.812980658578</v>
      </c>
      <c r="E806">
        <v>36761.761207361931</v>
      </c>
      <c r="F806">
        <v>38545.045006663517</v>
      </c>
      <c r="G806">
        <v>10000</v>
      </c>
      <c r="H806">
        <v>255746.19174333295</v>
      </c>
      <c r="I806">
        <v>39.464455999705663</v>
      </c>
    </row>
    <row r="807" spans="1:9" x14ac:dyDescent="0.2">
      <c r="A807">
        <v>797</v>
      </c>
      <c r="B807">
        <v>1158040.1918208671</v>
      </c>
      <c r="C807">
        <v>103446.74975217196</v>
      </c>
      <c r="D807">
        <v>131110.960917138</v>
      </c>
      <c r="E807">
        <v>54945.817661065856</v>
      </c>
      <c r="F807">
        <v>39803.941222689173</v>
      </c>
      <c r="G807">
        <v>10000</v>
      </c>
      <c r="H807">
        <v>319307.46955306496</v>
      </c>
      <c r="I807">
        <v>27.901133709766668</v>
      </c>
    </row>
    <row r="808" spans="1:9" x14ac:dyDescent="0.2">
      <c r="A808">
        <v>798</v>
      </c>
      <c r="B808">
        <v>1522760.228696754</v>
      </c>
      <c r="C808">
        <v>103199.3497004251</v>
      </c>
      <c r="D808">
        <v>82298.517555845145</v>
      </c>
      <c r="E808">
        <v>194313.43724655901</v>
      </c>
      <c r="F808">
        <v>49452.468732454086</v>
      </c>
      <c r="G808">
        <v>10000</v>
      </c>
      <c r="H808">
        <v>419263.77323528333</v>
      </c>
      <c r="I808">
        <v>45.372100194788025</v>
      </c>
    </row>
    <row r="809" spans="1:9" x14ac:dyDescent="0.2">
      <c r="A809">
        <v>799</v>
      </c>
      <c r="B809">
        <v>1375217.6274258732</v>
      </c>
      <c r="C809">
        <v>91033.392620453669</v>
      </c>
      <c r="D809">
        <v>44588.27412780204</v>
      </c>
      <c r="E809">
        <v>203142.41803996341</v>
      </c>
      <c r="F809">
        <v>50063.705864305164</v>
      </c>
      <c r="G809">
        <v>10000</v>
      </c>
      <c r="H809">
        <v>378827.79065252427</v>
      </c>
      <c r="I809">
        <v>43.638263554965107</v>
      </c>
    </row>
    <row r="810" spans="1:9" x14ac:dyDescent="0.2">
      <c r="A810">
        <v>800</v>
      </c>
      <c r="B810">
        <v>969099.7649280855</v>
      </c>
      <c r="C810">
        <v>103659.05597007518</v>
      </c>
      <c r="D810">
        <v>30094.749767267236</v>
      </c>
      <c r="E810">
        <v>100794.01747516933</v>
      </c>
      <c r="F810">
        <v>42978.047363665573</v>
      </c>
      <c r="G810">
        <v>10000</v>
      </c>
      <c r="H810">
        <v>267525.87057617732</v>
      </c>
      <c r="I810">
        <v>40.418498498398705</v>
      </c>
    </row>
    <row r="811" spans="1:9" x14ac:dyDescent="0.2">
      <c r="A811">
        <v>801</v>
      </c>
      <c r="B811">
        <v>1598516.3910750803</v>
      </c>
      <c r="C811">
        <v>133186.36499937889</v>
      </c>
      <c r="D811">
        <v>165667.27162210754</v>
      </c>
      <c r="E811">
        <v>107714.91859420302</v>
      </c>
      <c r="F811">
        <v>43457.186671906362</v>
      </c>
      <c r="G811">
        <v>10000</v>
      </c>
      <c r="H811">
        <v>440025.7418875958</v>
      </c>
      <c r="I811">
        <v>41.676344065297243</v>
      </c>
    </row>
    <row r="812" spans="1:9" x14ac:dyDescent="0.2">
      <c r="A812">
        <v>802</v>
      </c>
      <c r="B812">
        <v>1186168.8593243302</v>
      </c>
      <c r="C812">
        <v>84172.579243806438</v>
      </c>
      <c r="D812">
        <v>73924.252066041721</v>
      </c>
      <c r="E812">
        <v>133665.87658261415</v>
      </c>
      <c r="F812">
        <v>45253.791455719438</v>
      </c>
      <c r="G812">
        <v>10000</v>
      </c>
      <c r="H812">
        <v>327016.49934818177</v>
      </c>
      <c r="I812">
        <v>47.43200338763269</v>
      </c>
    </row>
    <row r="813" spans="1:9" x14ac:dyDescent="0.2">
      <c r="A813">
        <v>803</v>
      </c>
      <c r="B813">
        <v>937098.53542322095</v>
      </c>
      <c r="C813">
        <v>94990.332582459378</v>
      </c>
      <c r="D813">
        <v>107628.68244850227</v>
      </c>
      <c r="E813">
        <v>28185.215271585232</v>
      </c>
      <c r="F813">
        <v>37951.284134186666</v>
      </c>
      <c r="G813">
        <v>10000</v>
      </c>
      <c r="H813">
        <v>258755.51443673356</v>
      </c>
      <c r="I813">
        <v>37.881662442906787</v>
      </c>
    </row>
    <row r="814" spans="1:9" x14ac:dyDescent="0.2">
      <c r="A814">
        <v>804</v>
      </c>
      <c r="B814">
        <v>1017815.9240891814</v>
      </c>
      <c r="C814">
        <v>85660.382313390815</v>
      </c>
      <c r="D814">
        <v>51309.508723509556</v>
      </c>
      <c r="E814">
        <v>110272.99671676851</v>
      </c>
      <c r="F814">
        <v>43634.284388083972</v>
      </c>
      <c r="G814">
        <v>10000</v>
      </c>
      <c r="H814">
        <v>280877.17214175285</v>
      </c>
      <c r="I814">
        <v>45.585745610670465</v>
      </c>
    </row>
    <row r="815" spans="1:9" x14ac:dyDescent="0.2">
      <c r="A815">
        <v>805</v>
      </c>
      <c r="B815">
        <v>1632927.374708009</v>
      </c>
      <c r="C815">
        <v>151315.31558276762</v>
      </c>
      <c r="D815">
        <v>77644.930690151872</v>
      </c>
      <c r="E815">
        <v>181902.99235302446</v>
      </c>
      <c r="F815">
        <v>48593.284085978616</v>
      </c>
      <c r="G815">
        <v>10000</v>
      </c>
      <c r="H815">
        <v>449456.52271192259</v>
      </c>
      <c r="I815">
        <v>29.52420956968151</v>
      </c>
    </row>
    <row r="816" spans="1:9" x14ac:dyDescent="0.2">
      <c r="A816">
        <v>806</v>
      </c>
      <c r="B816">
        <v>1103208.620077274</v>
      </c>
      <c r="C816">
        <v>90256.740006559354</v>
      </c>
      <c r="D816">
        <v>82308.760565623437</v>
      </c>
      <c r="E816">
        <v>98869.824486547892</v>
      </c>
      <c r="F816">
        <v>42844.834002914846</v>
      </c>
      <c r="G816">
        <v>10000</v>
      </c>
      <c r="H816">
        <v>304280.15906164551</v>
      </c>
      <c r="I816">
        <v>38.17213945812486</v>
      </c>
    </row>
    <row r="817" spans="1:9" x14ac:dyDescent="0.2">
      <c r="A817">
        <v>807</v>
      </c>
      <c r="B817">
        <v>1448949.3425902589</v>
      </c>
      <c r="C817">
        <v>125770.8352489504</v>
      </c>
      <c r="D817">
        <v>82958.111291414854</v>
      </c>
      <c r="E817">
        <v>153667.46937600747</v>
      </c>
      <c r="F817">
        <v>46638.517110646673</v>
      </c>
      <c r="G817">
        <v>10000</v>
      </c>
      <c r="H817">
        <v>399034.93302701938</v>
      </c>
      <c r="I817">
        <v>48.535942091354556</v>
      </c>
    </row>
    <row r="818" spans="1:9" x14ac:dyDescent="0.2">
      <c r="A818">
        <v>808</v>
      </c>
      <c r="B818">
        <v>1428662.5408296329</v>
      </c>
      <c r="C818">
        <v>113014.76521603766</v>
      </c>
      <c r="D818">
        <v>42535.937574514217</v>
      </c>
      <c r="E818">
        <v>198202.64490103812</v>
      </c>
      <c r="F818">
        <v>49721.721570071873</v>
      </c>
      <c r="G818">
        <v>10000</v>
      </c>
      <c r="H818">
        <v>393475.06926166185</v>
      </c>
      <c r="I818">
        <v>30.433717824293396</v>
      </c>
    </row>
    <row r="819" spans="1:9" x14ac:dyDescent="0.2">
      <c r="A819">
        <v>809</v>
      </c>
      <c r="B819">
        <v>1475367.9510520631</v>
      </c>
      <c r="C819">
        <v>98320.482724280155</v>
      </c>
      <c r="D819">
        <v>81828.549485689888</v>
      </c>
      <c r="E819">
        <v>187168.4507126582</v>
      </c>
      <c r="F819">
        <v>48957.815818568641</v>
      </c>
      <c r="G819">
        <v>10000</v>
      </c>
      <c r="H819">
        <v>406275.29874119692</v>
      </c>
      <c r="I819">
        <v>43.228936005424316</v>
      </c>
    </row>
    <row r="820" spans="1:9" x14ac:dyDescent="0.2">
      <c r="A820">
        <v>810</v>
      </c>
      <c r="B820">
        <v>1220627.3965339959</v>
      </c>
      <c r="C820">
        <v>87540.825617550683</v>
      </c>
      <c r="D820">
        <v>105245.13706411672</v>
      </c>
      <c r="E820">
        <v>110055.14764237677</v>
      </c>
      <c r="F820">
        <v>43619.202529087619</v>
      </c>
      <c r="G820">
        <v>10000</v>
      </c>
      <c r="H820">
        <v>336460.31285313179</v>
      </c>
      <c r="I820">
        <v>46.966594609463499</v>
      </c>
    </row>
    <row r="821" spans="1:9" x14ac:dyDescent="0.2">
      <c r="A821">
        <v>811</v>
      </c>
      <c r="B821">
        <v>1042717.8891578842</v>
      </c>
      <c r="C821">
        <v>117392.83345545697</v>
      </c>
      <c r="D821">
        <v>115800.68260698736</v>
      </c>
      <c r="E821">
        <v>26662.500392831651</v>
      </c>
      <c r="F821">
        <v>37845.865411811421</v>
      </c>
      <c r="G821">
        <v>10000</v>
      </c>
      <c r="H821">
        <v>287701.88186708745</v>
      </c>
      <c r="I821">
        <v>47.123005410629212</v>
      </c>
    </row>
    <row r="822" spans="1:9" x14ac:dyDescent="0.2">
      <c r="A822">
        <v>812</v>
      </c>
      <c r="B822">
        <v>1070208.516113786</v>
      </c>
      <c r="C822">
        <v>134946.67762923948</v>
      </c>
      <c r="D822">
        <v>71207.925878878523</v>
      </c>
      <c r="E822">
        <v>58997.034690206528</v>
      </c>
      <c r="F822">
        <v>40084.410093937375</v>
      </c>
      <c r="G822">
        <v>10000</v>
      </c>
      <c r="H822">
        <v>295236.0482922619</v>
      </c>
      <c r="I822">
        <v>33.048028293089843</v>
      </c>
    </row>
    <row r="823" spans="1:9" x14ac:dyDescent="0.2">
      <c r="A823">
        <v>813</v>
      </c>
      <c r="B823">
        <v>1156545.6148909552</v>
      </c>
      <c r="C823">
        <v>129004.53513895239</v>
      </c>
      <c r="D823">
        <v>103809.30924918641</v>
      </c>
      <c r="E823">
        <v>56193.684757689276</v>
      </c>
      <c r="F823">
        <v>39890.332021686176</v>
      </c>
      <c r="G823">
        <v>10000</v>
      </c>
      <c r="H823">
        <v>318897.86116751429</v>
      </c>
      <c r="I823">
        <v>39.243687255127895</v>
      </c>
    </row>
    <row r="824" spans="1:9" x14ac:dyDescent="0.2">
      <c r="A824">
        <v>814</v>
      </c>
      <c r="B824">
        <v>1569769.0085486704</v>
      </c>
      <c r="C824">
        <v>127539.2687032645</v>
      </c>
      <c r="D824">
        <v>66250.633683734093</v>
      </c>
      <c r="E824">
        <v>198607.49321821754</v>
      </c>
      <c r="F824">
        <v>49749.749530491987</v>
      </c>
      <c r="G824">
        <v>10000</v>
      </c>
      <c r="H824">
        <v>432147.14513570815</v>
      </c>
      <c r="I824">
        <v>36.537188122894349</v>
      </c>
    </row>
    <row r="825" spans="1:9" x14ac:dyDescent="0.2">
      <c r="A825">
        <v>815</v>
      </c>
      <c r="B825">
        <v>972157.07351220329</v>
      </c>
      <c r="C825">
        <v>110721.91027517949</v>
      </c>
      <c r="D825">
        <v>86449.670782259665</v>
      </c>
      <c r="E825">
        <v>42266.072287953022</v>
      </c>
      <c r="F825">
        <v>38926.112696858283</v>
      </c>
      <c r="G825">
        <v>10000</v>
      </c>
      <c r="H825">
        <v>268363.76604225044</v>
      </c>
      <c r="I825">
        <v>37.5165567798648</v>
      </c>
    </row>
    <row r="826" spans="1:9" x14ac:dyDescent="0.2">
      <c r="A826">
        <v>816</v>
      </c>
      <c r="B826">
        <v>856301.35521664377</v>
      </c>
      <c r="C826">
        <v>84324.715240567064</v>
      </c>
      <c r="D826">
        <v>60060.111756035963</v>
      </c>
      <c r="E826">
        <v>61939.072204064498</v>
      </c>
      <c r="F826">
        <v>40288.089614127544</v>
      </c>
      <c r="G826">
        <v>10000</v>
      </c>
      <c r="H826">
        <v>236611.98881479504</v>
      </c>
      <c r="I826">
        <v>29.926417651751898</v>
      </c>
    </row>
    <row r="827" spans="1:9" x14ac:dyDescent="0.2">
      <c r="A827">
        <v>817</v>
      </c>
      <c r="B827">
        <v>1008268.4090749533</v>
      </c>
      <c r="C827">
        <v>114793.96921361424</v>
      </c>
      <c r="D827">
        <v>53079.565260193027</v>
      </c>
      <c r="E827">
        <v>78923.108594474819</v>
      </c>
      <c r="F827">
        <v>41463.907518079024</v>
      </c>
      <c r="G827">
        <v>10000</v>
      </c>
      <c r="H827">
        <v>278260.55058636109</v>
      </c>
      <c r="I827">
        <v>25.203537417581</v>
      </c>
    </row>
    <row r="828" spans="1:9" x14ac:dyDescent="0.2">
      <c r="A828">
        <v>818</v>
      </c>
      <c r="B828">
        <v>1097975.5807880312</v>
      </c>
      <c r="C828">
        <v>160914.36965070825</v>
      </c>
      <c r="D828">
        <v>69512.846274754367</v>
      </c>
      <c r="E828">
        <v>43413.228935808227</v>
      </c>
      <c r="F828">
        <v>39005.531234017493</v>
      </c>
      <c r="G828">
        <v>10000</v>
      </c>
      <c r="H828">
        <v>302845.97609528835</v>
      </c>
      <c r="I828">
        <v>35.045061341342247</v>
      </c>
    </row>
    <row r="829" spans="1:9" x14ac:dyDescent="0.2">
      <c r="A829">
        <v>819</v>
      </c>
      <c r="B829">
        <v>1128161.0236429872</v>
      </c>
      <c r="C829">
        <v>157212.65802307852</v>
      </c>
      <c r="D829">
        <v>99713.078422731123</v>
      </c>
      <c r="E829">
        <v>26367.512498978791</v>
      </c>
      <c r="F829">
        <v>37825.443173006228</v>
      </c>
      <c r="G829">
        <v>10000</v>
      </c>
      <c r="H829">
        <v>311118.69211779471</v>
      </c>
      <c r="I829">
        <v>27.794507908170562</v>
      </c>
    </row>
    <row r="830" spans="1:9" x14ac:dyDescent="0.2">
      <c r="A830">
        <v>820</v>
      </c>
      <c r="B830">
        <v>1210572.7977681938</v>
      </c>
      <c r="C830">
        <v>146636.0191356726</v>
      </c>
      <c r="D830">
        <v>53609.874765540197</v>
      </c>
      <c r="E830">
        <v>100501.05883996942</v>
      </c>
      <c r="F830">
        <v>42957.765611997886</v>
      </c>
      <c r="G830">
        <v>10000</v>
      </c>
      <c r="H830">
        <v>333704.71835318004</v>
      </c>
      <c r="I830">
        <v>28.647607596375323</v>
      </c>
    </row>
    <row r="831" spans="1:9" x14ac:dyDescent="0.2">
      <c r="A831">
        <v>821</v>
      </c>
      <c r="B831">
        <v>1069939.3504931028</v>
      </c>
      <c r="C831">
        <v>127721.37606741587</v>
      </c>
      <c r="D831">
        <v>84601.286991115747</v>
      </c>
      <c r="E831">
        <v>53159.353906727891</v>
      </c>
      <c r="F831">
        <v>39680.262962773471</v>
      </c>
      <c r="G831">
        <v>10000</v>
      </c>
      <c r="H831">
        <v>295162.27992803301</v>
      </c>
      <c r="I831">
        <v>27.724128467942393</v>
      </c>
    </row>
    <row r="832" spans="1:9" x14ac:dyDescent="0.2">
      <c r="A832">
        <v>822</v>
      </c>
      <c r="B832">
        <v>936267.2446422521</v>
      </c>
      <c r="C832">
        <v>80653.140742984353</v>
      </c>
      <c r="D832">
        <v>107797.39695890123</v>
      </c>
      <c r="E832">
        <v>41223.234380645576</v>
      </c>
      <c r="F832">
        <v>38853.91622635239</v>
      </c>
      <c r="G832">
        <v>10000</v>
      </c>
      <c r="H832">
        <v>258527.68830888352</v>
      </c>
      <c r="I832">
        <v>31.250224594167847</v>
      </c>
    </row>
    <row r="833" spans="1:9" x14ac:dyDescent="0.2">
      <c r="A833">
        <v>823</v>
      </c>
      <c r="B833">
        <v>1624441.1023472664</v>
      </c>
      <c r="C833">
        <v>109245.12683625358</v>
      </c>
      <c r="D833">
        <v>130328.17944142356</v>
      </c>
      <c r="E833">
        <v>169801.92448089749</v>
      </c>
      <c r="F833">
        <v>47755.517848677526</v>
      </c>
      <c r="G833">
        <v>10000</v>
      </c>
      <c r="H833">
        <v>447130.74860725214</v>
      </c>
      <c r="I833">
        <v>30.243566957669643</v>
      </c>
    </row>
    <row r="834" spans="1:9" x14ac:dyDescent="0.2">
      <c r="A834">
        <v>824</v>
      </c>
      <c r="B834">
        <v>1308675.5255161768</v>
      </c>
      <c r="C834">
        <v>123118.07310594637</v>
      </c>
      <c r="D834">
        <v>144564.63328534164</v>
      </c>
      <c r="E834">
        <v>62576.154281651892</v>
      </c>
      <c r="F834">
        <v>40332.195296422055</v>
      </c>
      <c r="G834">
        <v>10000</v>
      </c>
      <c r="H834">
        <v>360591.05596936197</v>
      </c>
      <c r="I834">
        <v>33.875737752231842</v>
      </c>
    </row>
    <row r="835" spans="1:9" x14ac:dyDescent="0.2">
      <c r="A835">
        <v>825</v>
      </c>
      <c r="B835">
        <v>1436505.3149149197</v>
      </c>
      <c r="C835">
        <v>138227.63527638526</v>
      </c>
      <c r="D835">
        <v>91486.817625943499</v>
      </c>
      <c r="E835">
        <v>130851.10844022389</v>
      </c>
      <c r="F835">
        <v>45058.9228920155</v>
      </c>
      <c r="G835">
        <v>10000</v>
      </c>
      <c r="H835">
        <v>395624.48423456814</v>
      </c>
      <c r="I835">
        <v>45.816946743126266</v>
      </c>
    </row>
    <row r="836" spans="1:9" x14ac:dyDescent="0.2">
      <c r="A836">
        <v>826</v>
      </c>
      <c r="B836">
        <v>1327358.7573915005</v>
      </c>
      <c r="C836">
        <v>137464.00071346932</v>
      </c>
      <c r="D836">
        <v>74046.67611738808</v>
      </c>
      <c r="E836">
        <v>119899.99470683599</v>
      </c>
      <c r="F836">
        <v>44300.768864319412</v>
      </c>
      <c r="G836">
        <v>10000</v>
      </c>
      <c r="H836">
        <v>365711.44040201284</v>
      </c>
      <c r="I836">
        <v>37.95867822687724</v>
      </c>
    </row>
    <row r="837" spans="1:9" x14ac:dyDescent="0.2">
      <c r="A837">
        <v>827</v>
      </c>
      <c r="B837">
        <v>1294095.3434422619</v>
      </c>
      <c r="C837">
        <v>97555.544888251839</v>
      </c>
      <c r="D837">
        <v>81544.797079183933</v>
      </c>
      <c r="E837">
        <v>141685.80672571895</v>
      </c>
      <c r="F837">
        <v>45809.017388703622</v>
      </c>
      <c r="G837">
        <v>10000</v>
      </c>
      <c r="H837">
        <v>356595.16608185833</v>
      </c>
      <c r="I837">
        <v>34.235420406978264</v>
      </c>
    </row>
    <row r="838" spans="1:9" x14ac:dyDescent="0.2">
      <c r="A838">
        <v>828</v>
      </c>
      <c r="B838">
        <v>1053990.8222025989</v>
      </c>
      <c r="C838">
        <v>96625.952894050512</v>
      </c>
      <c r="D838">
        <v>93012.890800625551</v>
      </c>
      <c r="E838">
        <v>70286.541786380869</v>
      </c>
      <c r="F838">
        <v>40865.991354441758</v>
      </c>
      <c r="G838">
        <v>10000</v>
      </c>
      <c r="H838">
        <v>290791.37683549867</v>
      </c>
      <c r="I838">
        <v>55.551255583784574</v>
      </c>
    </row>
    <row r="839" spans="1:9" x14ac:dyDescent="0.2">
      <c r="A839">
        <v>829</v>
      </c>
      <c r="B839">
        <v>1008870.824391713</v>
      </c>
      <c r="C839">
        <v>133956.45119462459</v>
      </c>
      <c r="D839">
        <v>36716.547409742132</v>
      </c>
      <c r="E839">
        <v>76459.314624461142</v>
      </c>
      <c r="F839">
        <v>41293.337166308847</v>
      </c>
      <c r="G839">
        <v>10000</v>
      </c>
      <c r="H839">
        <v>278425.65039513673</v>
      </c>
      <c r="I839">
        <v>26.125888414901063</v>
      </c>
    </row>
    <row r="840" spans="1:9" x14ac:dyDescent="0.2">
      <c r="A840">
        <v>830</v>
      </c>
      <c r="B840">
        <v>1001432.0054982954</v>
      </c>
      <c r="C840">
        <v>100926.99874757272</v>
      </c>
      <c r="D840">
        <v>73918.140533454818</v>
      </c>
      <c r="E840">
        <v>70650.609323009499</v>
      </c>
      <c r="F840">
        <v>40891.196030054503</v>
      </c>
      <c r="G840">
        <v>10000</v>
      </c>
      <c r="H840">
        <v>276386.94463409157</v>
      </c>
      <c r="I840">
        <v>30.513998398346274</v>
      </c>
    </row>
    <row r="841" spans="1:9" x14ac:dyDescent="0.2">
      <c r="A841">
        <v>831</v>
      </c>
      <c r="B841">
        <v>1089435.1118851777</v>
      </c>
      <c r="C841">
        <v>142189.55358036523</v>
      </c>
      <c r="D841">
        <v>70864.871139556111</v>
      </c>
      <c r="E841">
        <v>57472.087192743005</v>
      </c>
      <c r="F841">
        <v>39978.836805651437</v>
      </c>
      <c r="G841">
        <v>10000</v>
      </c>
      <c r="H841">
        <v>300505.34871831577</v>
      </c>
      <c r="I841">
        <v>37.698200907667129</v>
      </c>
    </row>
    <row r="842" spans="1:9" x14ac:dyDescent="0.2">
      <c r="A842">
        <v>832</v>
      </c>
      <c r="B842">
        <v>819838.86807911145</v>
      </c>
      <c r="C842">
        <v>116099.27239229063</v>
      </c>
      <c r="D842">
        <v>38691.49725104143</v>
      </c>
      <c r="E842">
        <v>42860.903611494599</v>
      </c>
      <c r="F842">
        <v>38967.293326949621</v>
      </c>
      <c r="G842">
        <v>10000</v>
      </c>
      <c r="H842">
        <v>226618.96658177627</v>
      </c>
      <c r="I842">
        <v>33.983895956217367</v>
      </c>
    </row>
    <row r="843" spans="1:9" x14ac:dyDescent="0.2">
      <c r="A843">
        <v>833</v>
      </c>
      <c r="B843">
        <v>897716.74717550608</v>
      </c>
      <c r="C843">
        <v>93676.753878063668</v>
      </c>
      <c r="D843">
        <v>70147.073191733332</v>
      </c>
      <c r="E843">
        <v>54374.223130245235</v>
      </c>
      <c r="F843">
        <v>39764.369293632364</v>
      </c>
      <c r="G843">
        <v>10000</v>
      </c>
      <c r="H843">
        <v>247962.41949367459</v>
      </c>
      <c r="I843">
        <v>31.252705550814063</v>
      </c>
    </row>
    <row r="844" spans="1:9" x14ac:dyDescent="0.2">
      <c r="A844">
        <v>834</v>
      </c>
      <c r="B844">
        <v>1677138.1986235019</v>
      </c>
      <c r="C844">
        <v>111831.14068035087</v>
      </c>
      <c r="D844">
        <v>121058.03070003215</v>
      </c>
      <c r="E844">
        <v>189560.48833325776</v>
      </c>
      <c r="F844">
        <v>49123.418423071686</v>
      </c>
      <c r="G844">
        <v>10000</v>
      </c>
      <c r="H844">
        <v>461573.07813671249</v>
      </c>
      <c r="I844">
        <v>41.365790256547484</v>
      </c>
    </row>
    <row r="845" spans="1:9" x14ac:dyDescent="0.2">
      <c r="A845">
        <v>835</v>
      </c>
      <c r="B845">
        <v>728277.8767863817</v>
      </c>
      <c r="C845">
        <v>91206.174895893986</v>
      </c>
      <c r="D845">
        <v>34957.138341820588</v>
      </c>
      <c r="E845">
        <v>46166.052938327266</v>
      </c>
      <c r="F845">
        <v>39196.111357268812</v>
      </c>
      <c r="G845">
        <v>10000</v>
      </c>
      <c r="H845">
        <v>201525.47753331065</v>
      </c>
      <c r="I845">
        <v>34.06190385040486</v>
      </c>
    </row>
    <row r="846" spans="1:9" x14ac:dyDescent="0.2">
      <c r="A846">
        <v>836</v>
      </c>
      <c r="B846">
        <v>1803744.435682859</v>
      </c>
      <c r="C846">
        <v>137989.11357016469</v>
      </c>
      <c r="D846">
        <v>123071.19056454078</v>
      </c>
      <c r="E846">
        <v>195664.84405554432</v>
      </c>
      <c r="F846">
        <v>49546.027665383837</v>
      </c>
      <c r="G846">
        <v>10000</v>
      </c>
      <c r="H846">
        <v>496271.17585563363</v>
      </c>
      <c r="I846">
        <v>31.992850160909995</v>
      </c>
    </row>
    <row r="847" spans="1:9" x14ac:dyDescent="0.2">
      <c r="A847">
        <v>837</v>
      </c>
      <c r="B847">
        <v>1127049.8940491271</v>
      </c>
      <c r="C847">
        <v>92702.902545159086</v>
      </c>
      <c r="D847">
        <v>139556.10626456037</v>
      </c>
      <c r="E847">
        <v>49152.311362747118</v>
      </c>
      <c r="F847">
        <v>39402.852325113265</v>
      </c>
      <c r="G847">
        <v>10000</v>
      </c>
      <c r="H847">
        <v>310814.17249757983</v>
      </c>
      <c r="I847">
        <v>36.703049176876718</v>
      </c>
    </row>
    <row r="848" spans="1:9" x14ac:dyDescent="0.2">
      <c r="A848">
        <v>838</v>
      </c>
      <c r="B848">
        <v>1455379.9122395979</v>
      </c>
      <c r="C848">
        <v>138087.12531530519</v>
      </c>
      <c r="D848">
        <v>70730.233455948051</v>
      </c>
      <c r="E848">
        <v>155233.05247147393</v>
      </c>
      <c r="F848">
        <v>46746.903632640497</v>
      </c>
      <c r="G848">
        <v>10000</v>
      </c>
      <c r="H848">
        <v>400797.31487536768</v>
      </c>
      <c r="I848">
        <v>32.734731076207879</v>
      </c>
    </row>
    <row r="849" spans="1:9" x14ac:dyDescent="0.2">
      <c r="A849">
        <v>839</v>
      </c>
      <c r="B849">
        <v>1201015.4347917028</v>
      </c>
      <c r="C849">
        <v>86400.131841522612</v>
      </c>
      <c r="D849">
        <v>66806.623077140801</v>
      </c>
      <c r="E849">
        <v>142044.77395027704</v>
      </c>
      <c r="F849">
        <v>45833.86896578841</v>
      </c>
      <c r="G849">
        <v>10000</v>
      </c>
      <c r="H849">
        <v>331085.39783472882</v>
      </c>
      <c r="I849">
        <v>40.45114345536922</v>
      </c>
    </row>
    <row r="850" spans="1:9" x14ac:dyDescent="0.2">
      <c r="A850">
        <v>840</v>
      </c>
      <c r="B850">
        <v>1465970.100581303</v>
      </c>
      <c r="C850">
        <v>130456.5304011173</v>
      </c>
      <c r="D850">
        <v>80289.075237292811</v>
      </c>
      <c r="E850">
        <v>156144.11208549837</v>
      </c>
      <c r="F850">
        <v>46809.976990534502</v>
      </c>
      <c r="G850">
        <v>10000</v>
      </c>
      <c r="H850">
        <v>403699.694714443</v>
      </c>
      <c r="I850">
        <v>38.946977386366619</v>
      </c>
    </row>
    <row r="851" spans="1:9" x14ac:dyDescent="0.2">
      <c r="A851">
        <v>841</v>
      </c>
      <c r="B851">
        <v>1047464.7765788026</v>
      </c>
      <c r="C851">
        <v>138010.10879036129</v>
      </c>
      <c r="D851">
        <v>63317.236352733038</v>
      </c>
      <c r="E851">
        <v>57682.106779398629</v>
      </c>
      <c r="F851">
        <v>39993.376623189135</v>
      </c>
      <c r="G851">
        <v>10000</v>
      </c>
      <c r="H851">
        <v>289002.82854568213</v>
      </c>
      <c r="I851">
        <v>29.727810550670647</v>
      </c>
    </row>
    <row r="852" spans="1:9" x14ac:dyDescent="0.2">
      <c r="A852">
        <v>842</v>
      </c>
      <c r="B852">
        <v>1320136.1440455052</v>
      </c>
      <c r="C852">
        <v>111202.51670199541</v>
      </c>
      <c r="D852">
        <v>73052.949967050154</v>
      </c>
      <c r="E852">
        <v>143539.19317599587</v>
      </c>
      <c r="F852">
        <v>45937.328758338175</v>
      </c>
      <c r="G852">
        <v>10000</v>
      </c>
      <c r="H852">
        <v>363731.98860337964</v>
      </c>
      <c r="I852">
        <v>31.202641865639521</v>
      </c>
    </row>
    <row r="853" spans="1:9" x14ac:dyDescent="0.2">
      <c r="A853">
        <v>843</v>
      </c>
      <c r="B853">
        <v>1301200.6015955505</v>
      </c>
      <c r="C853">
        <v>125181.60487916936</v>
      </c>
      <c r="D853">
        <v>41080.950930018073</v>
      </c>
      <c r="E853">
        <v>155513.57492554965</v>
      </c>
      <c r="F853">
        <v>46766.324417922668</v>
      </c>
      <c r="G853">
        <v>10000</v>
      </c>
      <c r="H853">
        <v>358542.45515265974</v>
      </c>
      <c r="I853">
        <v>29.000286890272527</v>
      </c>
    </row>
    <row r="854" spans="1:9" x14ac:dyDescent="0.2">
      <c r="A854">
        <v>844</v>
      </c>
      <c r="B854">
        <v>1614955.2291117019</v>
      </c>
      <c r="C854">
        <v>126604.42457557001</v>
      </c>
      <c r="D854">
        <v>92120.156309656886</v>
      </c>
      <c r="E854">
        <v>186869.33228388659</v>
      </c>
      <c r="F854">
        <v>48937.107619653689</v>
      </c>
      <c r="G854">
        <v>10000</v>
      </c>
      <c r="H854">
        <v>444531.02078876714</v>
      </c>
      <c r="I854">
        <v>32.819750737620659</v>
      </c>
    </row>
    <row r="855" spans="1:9" x14ac:dyDescent="0.2">
      <c r="A855">
        <v>845</v>
      </c>
      <c r="B855">
        <v>1737519.4968729424</v>
      </c>
      <c r="C855">
        <v>141678.20959113611</v>
      </c>
      <c r="D855">
        <v>119892.88149277757</v>
      </c>
      <c r="E855">
        <v>178212.48534378846</v>
      </c>
      <c r="F855">
        <v>48337.787446877664</v>
      </c>
      <c r="G855">
        <v>10000</v>
      </c>
      <c r="H855">
        <v>478121.36387457984</v>
      </c>
      <c r="I855">
        <v>36.941151055045964</v>
      </c>
    </row>
    <row r="856" spans="1:9" x14ac:dyDescent="0.2">
      <c r="A856">
        <v>846</v>
      </c>
      <c r="B856">
        <v>1260453.1119589494</v>
      </c>
      <c r="C856">
        <v>151024.11250928172</v>
      </c>
      <c r="D856">
        <v>92879.93806253963</v>
      </c>
      <c r="E856">
        <v>72454.911990758017</v>
      </c>
      <c r="F856">
        <v>41016.109291667861</v>
      </c>
      <c r="G856">
        <v>10000</v>
      </c>
      <c r="H856">
        <v>347375.07185424725</v>
      </c>
      <c r="I856">
        <v>33.047576218608725</v>
      </c>
    </row>
    <row r="857" spans="1:9" x14ac:dyDescent="0.2">
      <c r="A857">
        <v>847</v>
      </c>
      <c r="B857">
        <v>1674632.2344723642</v>
      </c>
      <c r="C857">
        <v>114275.05776046297</v>
      </c>
      <c r="D857">
        <v>101054.27865497777</v>
      </c>
      <c r="E857">
        <v>205341.03183098297</v>
      </c>
      <c r="F857">
        <v>50215.91758829882</v>
      </c>
      <c r="G857">
        <v>10000</v>
      </c>
      <c r="H857">
        <v>460886.28583472245</v>
      </c>
      <c r="I857">
        <v>32.247351848523223</v>
      </c>
    </row>
    <row r="858" spans="1:9" x14ac:dyDescent="0.2">
      <c r="A858">
        <v>848</v>
      </c>
      <c r="B858">
        <v>1480658.4082219428</v>
      </c>
      <c r="C858">
        <v>138231.35221647102</v>
      </c>
      <c r="D858">
        <v>115993.82668966125</v>
      </c>
      <c r="E858">
        <v>119244.64072004853</v>
      </c>
      <c r="F858">
        <v>44255.398203695666</v>
      </c>
      <c r="G858">
        <v>10000</v>
      </c>
      <c r="H858">
        <v>407725.21782987646</v>
      </c>
      <c r="I858">
        <v>42.952447994760945</v>
      </c>
    </row>
    <row r="859" spans="1:9" x14ac:dyDescent="0.2">
      <c r="A859">
        <v>849</v>
      </c>
      <c r="B859">
        <v>1627784.133731463</v>
      </c>
      <c r="C859">
        <v>109700.67327893166</v>
      </c>
      <c r="D859">
        <v>123833.98328853825</v>
      </c>
      <c r="E859">
        <v>176306.46162343919</v>
      </c>
      <c r="F859">
        <v>48205.831958545787</v>
      </c>
      <c r="G859">
        <v>10000</v>
      </c>
      <c r="H859">
        <v>448046.95014945487</v>
      </c>
      <c r="I859">
        <v>44.360846212255801</v>
      </c>
    </row>
    <row r="860" spans="1:9" x14ac:dyDescent="0.2">
      <c r="A860">
        <v>850</v>
      </c>
      <c r="B860">
        <v>1400449.5724846853</v>
      </c>
      <c r="C860">
        <v>76919.524291598529</v>
      </c>
      <c r="D860">
        <v>70293.976284718039</v>
      </c>
      <c r="E860">
        <v>198768.53646218654</v>
      </c>
      <c r="F860">
        <v>49760.898678151374</v>
      </c>
      <c r="G860">
        <v>10000</v>
      </c>
      <c r="H860">
        <v>385742.93571665447</v>
      </c>
      <c r="I860">
        <v>41.748472053689305</v>
      </c>
    </row>
    <row r="861" spans="1:9" x14ac:dyDescent="0.2">
      <c r="A861">
        <v>851</v>
      </c>
      <c r="B861">
        <v>1102192.583540607</v>
      </c>
      <c r="C861">
        <v>95207.159798593144</v>
      </c>
      <c r="D861">
        <v>105007.15574245073</v>
      </c>
      <c r="E861">
        <v>72750.792099188271</v>
      </c>
      <c r="F861">
        <v>41036.593299174572</v>
      </c>
      <c r="G861">
        <v>10000</v>
      </c>
      <c r="H861">
        <v>304001.7009394067</v>
      </c>
      <c r="I861">
        <v>39.157874257954091</v>
      </c>
    </row>
    <row r="862" spans="1:9" x14ac:dyDescent="0.2">
      <c r="A862">
        <v>852</v>
      </c>
      <c r="B862">
        <v>1627267.4757810696</v>
      </c>
      <c r="C862">
        <v>159574.66128106252</v>
      </c>
      <c r="D862">
        <v>55671.571990081378</v>
      </c>
      <c r="E862">
        <v>193278.31366826914</v>
      </c>
      <c r="F862">
        <v>49380.806330880172</v>
      </c>
      <c r="G862">
        <v>10000</v>
      </c>
      <c r="H862">
        <v>447905.35327029321</v>
      </c>
      <c r="I862">
        <v>44.845517236581422</v>
      </c>
    </row>
    <row r="863" spans="1:9" x14ac:dyDescent="0.2">
      <c r="A863">
        <v>853</v>
      </c>
      <c r="B863">
        <v>1063219.3186457662</v>
      </c>
      <c r="C863">
        <v>128713.67113616868</v>
      </c>
      <c r="D863">
        <v>42552.799408615007</v>
      </c>
      <c r="E863">
        <v>89834.766630305545</v>
      </c>
      <c r="F863">
        <v>42219.329997482688</v>
      </c>
      <c r="G863">
        <v>10000</v>
      </c>
      <c r="H863">
        <v>293320.56717257196</v>
      </c>
      <c r="I863">
        <v>33.002821224478936</v>
      </c>
    </row>
    <row r="864" spans="1:9" x14ac:dyDescent="0.2">
      <c r="A864">
        <v>854</v>
      </c>
      <c r="B864">
        <v>1441877.4605499927</v>
      </c>
      <c r="C864">
        <v>148218.32830539014</v>
      </c>
      <c r="D864">
        <v>61265.312389934879</v>
      </c>
      <c r="E864">
        <v>151148.98960318818</v>
      </c>
      <c r="F864">
        <v>46464.160818682256</v>
      </c>
      <c r="G864">
        <v>10000</v>
      </c>
      <c r="H864">
        <v>397096.79111719551</v>
      </c>
      <c r="I864">
        <v>27.538382551101009</v>
      </c>
    </row>
    <row r="865" spans="1:9" x14ac:dyDescent="0.2">
      <c r="A865">
        <v>855</v>
      </c>
      <c r="B865">
        <v>993009.82281493372</v>
      </c>
      <c r="C865">
        <v>112592.04638620421</v>
      </c>
      <c r="D865">
        <v>59552.864113103184</v>
      </c>
      <c r="E865">
        <v>71017.246071545815</v>
      </c>
      <c r="F865">
        <v>40916.578574183935</v>
      </c>
      <c r="G865">
        <v>10000</v>
      </c>
      <c r="H865">
        <v>274078.73514503712</v>
      </c>
      <c r="I865">
        <v>35.180768025235544</v>
      </c>
    </row>
    <row r="866" spans="1:9" x14ac:dyDescent="0.2">
      <c r="A866">
        <v>856</v>
      </c>
      <c r="B866">
        <v>1325735.8095277657</v>
      </c>
      <c r="C866">
        <v>124441.08016502199</v>
      </c>
      <c r="D866">
        <v>127255.55541448746</v>
      </c>
      <c r="E866">
        <v>81900.01374910814</v>
      </c>
      <c r="F866">
        <v>41670.00095186133</v>
      </c>
      <c r="G866">
        <v>10000</v>
      </c>
      <c r="H866">
        <v>365266.65028047893</v>
      </c>
      <c r="I866">
        <v>33.007522538082249</v>
      </c>
    </row>
    <row r="867" spans="1:9" x14ac:dyDescent="0.2">
      <c r="A867">
        <v>857</v>
      </c>
      <c r="B867">
        <v>1454482.6567696068</v>
      </c>
      <c r="C867">
        <v>162850.65845150512</v>
      </c>
      <c r="D867">
        <v>92323.003748311021</v>
      </c>
      <c r="E867">
        <v>111648.2535818411</v>
      </c>
      <c r="F867">
        <v>43729.494478742839</v>
      </c>
      <c r="G867">
        <v>10000</v>
      </c>
      <c r="H867">
        <v>400551.41026040004</v>
      </c>
      <c r="I867">
        <v>41.410258982916929</v>
      </c>
    </row>
    <row r="868" spans="1:9" x14ac:dyDescent="0.2">
      <c r="A868">
        <v>858</v>
      </c>
      <c r="B868">
        <v>1687326.4919561888</v>
      </c>
      <c r="C868">
        <v>157308.97270482875</v>
      </c>
      <c r="D868">
        <v>84458.866685237532</v>
      </c>
      <c r="E868">
        <v>183868.141145428</v>
      </c>
      <c r="F868">
        <v>48729.33284852963</v>
      </c>
      <c r="G868">
        <v>10000</v>
      </c>
      <c r="H868">
        <v>464365.3133840239</v>
      </c>
      <c r="I868">
        <v>31.661342566076041</v>
      </c>
    </row>
    <row r="869" spans="1:9" x14ac:dyDescent="0.2">
      <c r="A869">
        <v>859</v>
      </c>
      <c r="B869">
        <v>1203635.0826412113</v>
      </c>
      <c r="C869">
        <v>78608.164475618963</v>
      </c>
      <c r="D869">
        <v>78206.260127657297</v>
      </c>
      <c r="E869">
        <v>139342.15730374461</v>
      </c>
      <c r="F869">
        <v>45646.764736413083</v>
      </c>
      <c r="G869">
        <v>10000</v>
      </c>
      <c r="H869">
        <v>331803.34664343396</v>
      </c>
      <c r="I869">
        <v>25.191742224106356</v>
      </c>
    </row>
    <row r="870" spans="1:9" x14ac:dyDescent="0.2">
      <c r="A870">
        <v>860</v>
      </c>
      <c r="B870">
        <v>1338276.1398618221</v>
      </c>
      <c r="C870">
        <v>101080.42036801182</v>
      </c>
      <c r="D870">
        <v>119344.78214997851</v>
      </c>
      <c r="E870">
        <v>114360.99023602597</v>
      </c>
      <c r="F870">
        <v>43917.299324032574</v>
      </c>
      <c r="G870">
        <v>10000</v>
      </c>
      <c r="H870">
        <v>368703.49207804882</v>
      </c>
      <c r="I870">
        <v>37.502294905516138</v>
      </c>
    </row>
    <row r="871" spans="1:9" x14ac:dyDescent="0.2">
      <c r="A871">
        <v>861</v>
      </c>
      <c r="B871">
        <v>1706522.0195251838</v>
      </c>
      <c r="C871">
        <v>118641.29758187283</v>
      </c>
      <c r="D871">
        <v>105238.82437271124</v>
      </c>
      <c r="E871">
        <v>205517.82041003721</v>
      </c>
      <c r="F871">
        <v>50228.156797617958</v>
      </c>
      <c r="G871">
        <v>10000</v>
      </c>
      <c r="H871">
        <v>469626.09916223929</v>
      </c>
      <c r="I871">
        <v>45.978933956810934</v>
      </c>
    </row>
    <row r="872" spans="1:9" x14ac:dyDescent="0.2">
      <c r="A872">
        <v>862</v>
      </c>
      <c r="B872">
        <v>1500509.2975306183</v>
      </c>
      <c r="C872">
        <v>89422.609409981378</v>
      </c>
      <c r="D872">
        <v>76186.058000155885</v>
      </c>
      <c r="E872">
        <v>207211.53285448949</v>
      </c>
      <c r="F872">
        <v>50345.413813003113</v>
      </c>
      <c r="G872">
        <v>10000</v>
      </c>
      <c r="H872">
        <v>413165.61407762987</v>
      </c>
      <c r="I872">
        <v>37.162337627993672</v>
      </c>
    </row>
    <row r="873" spans="1:9" x14ac:dyDescent="0.2">
      <c r="A873">
        <v>863</v>
      </c>
      <c r="B873">
        <v>1878905.1252599196</v>
      </c>
      <c r="C873">
        <v>156809.17415462452</v>
      </c>
      <c r="D873">
        <v>115986.3800024417</v>
      </c>
      <c r="E873">
        <v>203954.46848794437</v>
      </c>
      <c r="F873">
        <v>50119.924741473071</v>
      </c>
      <c r="G873">
        <v>10000</v>
      </c>
      <c r="H873">
        <v>516869.94738648366</v>
      </c>
      <c r="I873">
        <v>33.89718307831609</v>
      </c>
    </row>
    <row r="874" spans="1:9" x14ac:dyDescent="0.2">
      <c r="A874">
        <v>864</v>
      </c>
      <c r="B874">
        <v>1003836.0996298686</v>
      </c>
      <c r="C874">
        <v>75383.559476134324</v>
      </c>
      <c r="D874">
        <v>71018.492572883217</v>
      </c>
      <c r="E874">
        <v>97868.27042871197</v>
      </c>
      <c r="F874">
        <v>42775.495645064671</v>
      </c>
      <c r="G874">
        <v>10000</v>
      </c>
      <c r="H874">
        <v>277045.81812279421</v>
      </c>
      <c r="I874">
        <v>37.434435668551032</v>
      </c>
    </row>
    <row r="875" spans="1:9" x14ac:dyDescent="0.2">
      <c r="A875">
        <v>865</v>
      </c>
      <c r="B875">
        <v>1556248.7923433783</v>
      </c>
      <c r="C875">
        <v>104297.35250386511</v>
      </c>
      <c r="D875">
        <v>86904.225583882959</v>
      </c>
      <c r="E875">
        <v>197562.75330865433</v>
      </c>
      <c r="F875">
        <v>49677.421382906832</v>
      </c>
      <c r="G875">
        <v>10000</v>
      </c>
      <c r="H875">
        <v>428441.75277930929</v>
      </c>
      <c r="I875">
        <v>44.311750410450031</v>
      </c>
    </row>
    <row r="876" spans="1:9" x14ac:dyDescent="0.2">
      <c r="A876">
        <v>866</v>
      </c>
      <c r="B876">
        <v>900329.70214538905</v>
      </c>
      <c r="C876">
        <v>125293.17475629455</v>
      </c>
      <c r="D876">
        <v>26722.670116101839</v>
      </c>
      <c r="E876">
        <v>66087.407126794933</v>
      </c>
      <c r="F876">
        <v>40575.282031855037</v>
      </c>
      <c r="G876">
        <v>10000</v>
      </c>
      <c r="H876">
        <v>248678.53403104632</v>
      </c>
      <c r="I876">
        <v>38.799317359738353</v>
      </c>
    </row>
    <row r="877" spans="1:9" x14ac:dyDescent="0.2">
      <c r="A877">
        <v>867</v>
      </c>
      <c r="B877">
        <v>994880.76626171055</v>
      </c>
      <c r="C877">
        <v>108245.15341386865</v>
      </c>
      <c r="D877">
        <v>41719.39697293991</v>
      </c>
      <c r="E877">
        <v>92241.024254116579</v>
      </c>
      <c r="F877">
        <v>42385.917063746536</v>
      </c>
      <c r="G877">
        <v>10000</v>
      </c>
      <c r="H877">
        <v>274591.4917046717</v>
      </c>
      <c r="I877">
        <v>34.92371188206652</v>
      </c>
    </row>
    <row r="878" spans="1:9" x14ac:dyDescent="0.2">
      <c r="A878">
        <v>868</v>
      </c>
      <c r="B878">
        <v>1456233.0588159296</v>
      </c>
      <c r="C878">
        <v>146273.98908914463</v>
      </c>
      <c r="D878">
        <v>111413.81652424221</v>
      </c>
      <c r="E878">
        <v>109745.55599561096</v>
      </c>
      <c r="F878">
        <v>43597.7692612346</v>
      </c>
      <c r="G878">
        <v>10000</v>
      </c>
      <c r="H878">
        <v>401031.13087023242</v>
      </c>
      <c r="I878">
        <v>25.572644389595403</v>
      </c>
    </row>
    <row r="879" spans="1:9" x14ac:dyDescent="0.2">
      <c r="A879">
        <v>869</v>
      </c>
      <c r="B879">
        <v>1249211.7690988542</v>
      </c>
      <c r="C879">
        <v>160433.55721513636</v>
      </c>
      <c r="D879">
        <v>58225.533577780188</v>
      </c>
      <c r="E879">
        <v>93183.947435878305</v>
      </c>
      <c r="F879">
        <v>42451.196360945425</v>
      </c>
      <c r="G879">
        <v>10000</v>
      </c>
      <c r="H879">
        <v>344294.23458974023</v>
      </c>
      <c r="I879">
        <v>45.80488178576033</v>
      </c>
    </row>
    <row r="880" spans="1:9" x14ac:dyDescent="0.2">
      <c r="A880">
        <v>870</v>
      </c>
      <c r="B880">
        <v>1261543.5330478461</v>
      </c>
      <c r="C880">
        <v>152990.18298752792</v>
      </c>
      <c r="D880">
        <v>111856.45377169199</v>
      </c>
      <c r="E880">
        <v>53147.815152264076</v>
      </c>
      <c r="F880">
        <v>39679.464125925973</v>
      </c>
      <c r="G880">
        <v>10000</v>
      </c>
      <c r="H880">
        <v>347673.91603740997</v>
      </c>
      <c r="I880">
        <v>48.287488955007241</v>
      </c>
    </row>
    <row r="881" spans="1:9" x14ac:dyDescent="0.2">
      <c r="A881">
        <v>871</v>
      </c>
      <c r="B881">
        <v>1087522.8431057257</v>
      </c>
      <c r="C881">
        <v>94861.308443547561</v>
      </c>
      <c r="D881">
        <v>86373.458468833574</v>
      </c>
      <c r="E881">
        <v>86741.330465332241</v>
      </c>
      <c r="F881">
        <v>42005.169032215308</v>
      </c>
      <c r="G881">
        <v>10000</v>
      </c>
      <c r="H881">
        <v>299981.26640992868</v>
      </c>
      <c r="I881">
        <v>38.588199546215051</v>
      </c>
    </row>
    <row r="882" spans="1:9" x14ac:dyDescent="0.2">
      <c r="A882">
        <v>872</v>
      </c>
      <c r="B882">
        <v>1317699.5900097273</v>
      </c>
      <c r="C882">
        <v>148671.01082141584</v>
      </c>
      <c r="D882">
        <v>59556.64820137401</v>
      </c>
      <c r="E882">
        <v>120494.6244884311</v>
      </c>
      <c r="F882">
        <v>44341.935541506769</v>
      </c>
      <c r="G882">
        <v>10000</v>
      </c>
      <c r="H882">
        <v>363064.21905272768</v>
      </c>
      <c r="I882">
        <v>35.991501727119797</v>
      </c>
    </row>
    <row r="883" spans="1:9" x14ac:dyDescent="0.2">
      <c r="A883">
        <v>873</v>
      </c>
      <c r="B883">
        <v>1536907.9496485563</v>
      </c>
      <c r="C883">
        <v>153821.28634031312</v>
      </c>
      <c r="D883">
        <v>33270.687998185029</v>
      </c>
      <c r="E883">
        <v>196448.86136222145</v>
      </c>
      <c r="F883">
        <v>49600.305786615332</v>
      </c>
      <c r="G883">
        <v>10000</v>
      </c>
      <c r="H883">
        <v>423141.14148733497</v>
      </c>
      <c r="I883">
        <v>41.827128856670242</v>
      </c>
    </row>
    <row r="884" spans="1:9" x14ac:dyDescent="0.2">
      <c r="A884">
        <v>874</v>
      </c>
      <c r="B884">
        <v>1184053.3255226389</v>
      </c>
      <c r="C884">
        <v>134923.86181846054</v>
      </c>
      <c r="D884">
        <v>91161.16166024319</v>
      </c>
      <c r="E884">
        <v>69537.548168958587</v>
      </c>
      <c r="F884">
        <v>40814.137950158663</v>
      </c>
      <c r="G884">
        <v>10000</v>
      </c>
      <c r="H884">
        <v>326436.709597821</v>
      </c>
      <c r="I884">
        <v>37.509692561213527</v>
      </c>
    </row>
    <row r="885" spans="1:9" x14ac:dyDescent="0.2">
      <c r="A885">
        <v>875</v>
      </c>
      <c r="B885">
        <v>1401705.7559394483</v>
      </c>
      <c r="C885">
        <v>135835.08952225157</v>
      </c>
      <c r="D885">
        <v>97613.334650966499</v>
      </c>
      <c r="E885">
        <v>118439.15150837114</v>
      </c>
      <c r="F885">
        <v>44199.633565964155</v>
      </c>
      <c r="G885">
        <v>10000</v>
      </c>
      <c r="H885">
        <v>386087.20924755337</v>
      </c>
      <c r="I885">
        <v>45.303465060537889</v>
      </c>
    </row>
    <row r="886" spans="1:9" x14ac:dyDescent="0.2">
      <c r="A886">
        <v>876</v>
      </c>
      <c r="B886">
        <v>859723.36359758023</v>
      </c>
      <c r="C886">
        <v>115103.00666642548</v>
      </c>
      <c r="D886">
        <v>63935.01290091221</v>
      </c>
      <c r="E886">
        <v>30406.733892955312</v>
      </c>
      <c r="F886">
        <v>38105.081577204604</v>
      </c>
      <c r="G886">
        <v>10000</v>
      </c>
      <c r="H886">
        <v>237549.83503749763</v>
      </c>
      <c r="I886">
        <v>39.358966125997135</v>
      </c>
    </row>
    <row r="887" spans="1:9" x14ac:dyDescent="0.2">
      <c r="A887">
        <v>877</v>
      </c>
      <c r="B887">
        <v>746663.50870757166</v>
      </c>
      <c r="C887">
        <v>81170.511436102854</v>
      </c>
      <c r="D887">
        <v>64861.914662201176</v>
      </c>
      <c r="E887">
        <v>32295.997922618568</v>
      </c>
      <c r="F887">
        <v>38235.876779258208</v>
      </c>
      <c r="G887">
        <v>10000</v>
      </c>
      <c r="H887">
        <v>206564.30080018082</v>
      </c>
      <c r="I887">
        <v>37.172188624508514</v>
      </c>
    </row>
    <row r="888" spans="1:9" x14ac:dyDescent="0.2">
      <c r="A888">
        <v>878</v>
      </c>
      <c r="B888">
        <v>994000.74459805479</v>
      </c>
      <c r="C888">
        <v>101239.4889727125</v>
      </c>
      <c r="D888">
        <v>40617.141441785701</v>
      </c>
      <c r="E888">
        <v>99598.405592271665</v>
      </c>
      <c r="F888">
        <v>42895.274233311116</v>
      </c>
      <c r="G888">
        <v>10000</v>
      </c>
      <c r="H888">
        <v>274350.31024008099</v>
      </c>
      <c r="I888">
        <v>33.560344171531142</v>
      </c>
    </row>
    <row r="889" spans="1:9" x14ac:dyDescent="0.2">
      <c r="A889">
        <v>879</v>
      </c>
      <c r="B889">
        <v>1592216.0008165485</v>
      </c>
      <c r="C889">
        <v>146184.25564475358</v>
      </c>
      <c r="D889">
        <v>109004.53834905192</v>
      </c>
      <c r="E889">
        <v>146937.63772415603</v>
      </c>
      <c r="F889">
        <v>46172.605688595417</v>
      </c>
      <c r="G889">
        <v>10000</v>
      </c>
      <c r="H889">
        <v>438299.03740655689</v>
      </c>
      <c r="I889">
        <v>29.870105340644606</v>
      </c>
    </row>
    <row r="890" spans="1:9" x14ac:dyDescent="0.2">
      <c r="A890">
        <v>880</v>
      </c>
      <c r="B890">
        <v>1095710.5753909324</v>
      </c>
      <c r="C890">
        <v>115936.29692671949</v>
      </c>
      <c r="D890">
        <v>53281.819375689673</v>
      </c>
      <c r="E890">
        <v>100078.58777839661</v>
      </c>
      <c r="F890">
        <v>42928.517615427452</v>
      </c>
      <c r="G890">
        <v>10000</v>
      </c>
      <c r="H890">
        <v>302225.2216962332</v>
      </c>
      <c r="I890">
        <v>38.317729068747283</v>
      </c>
    </row>
    <row r="891" spans="1:9" x14ac:dyDescent="0.2">
      <c r="A891">
        <v>881</v>
      </c>
      <c r="B891">
        <v>1112497.9712978557</v>
      </c>
      <c r="C891">
        <v>132846.22705650527</v>
      </c>
      <c r="D891">
        <v>115327.44355574396</v>
      </c>
      <c r="E891">
        <v>30538.175457544719</v>
      </c>
      <c r="F891">
        <v>38114.181377830013</v>
      </c>
      <c r="G891">
        <v>10000</v>
      </c>
      <c r="H891">
        <v>306826.02744762402</v>
      </c>
      <c r="I891">
        <v>34.490344985453319</v>
      </c>
    </row>
    <row r="892" spans="1:9" x14ac:dyDescent="0.2">
      <c r="A892">
        <v>882</v>
      </c>
      <c r="B892">
        <v>1127579.2499563023</v>
      </c>
      <c r="C892">
        <v>104451.59111671733</v>
      </c>
      <c r="D892">
        <v>67886.383430966875</v>
      </c>
      <c r="E892">
        <v>105329.24987883592</v>
      </c>
      <c r="F892">
        <v>43292.024991611717</v>
      </c>
      <c r="G892">
        <v>10000</v>
      </c>
      <c r="H892">
        <v>310959.24941813183</v>
      </c>
      <c r="I892">
        <v>36.465332786613644</v>
      </c>
    </row>
    <row r="893" spans="1:9" x14ac:dyDescent="0.2">
      <c r="A893">
        <v>883</v>
      </c>
      <c r="B893">
        <v>884608.37842744379</v>
      </c>
      <c r="C893">
        <v>133162.340452392</v>
      </c>
      <c r="D893">
        <v>49194.669596826643</v>
      </c>
      <c r="E893">
        <v>33681.119469216144</v>
      </c>
      <c r="F893">
        <v>38331.769809407269</v>
      </c>
      <c r="G893">
        <v>10000</v>
      </c>
      <c r="H893">
        <v>244369.89932784208</v>
      </c>
      <c r="I893">
        <v>31.520802022603434</v>
      </c>
    </row>
    <row r="894" spans="1:9" x14ac:dyDescent="0.2">
      <c r="A894">
        <v>884</v>
      </c>
      <c r="B894">
        <v>861200.52562796953</v>
      </c>
      <c r="C894">
        <v>91505.226598441339</v>
      </c>
      <c r="D894">
        <v>61671.202814303979</v>
      </c>
      <c r="E894">
        <v>54972.455825651501</v>
      </c>
      <c r="F894">
        <v>39805.78540331433</v>
      </c>
      <c r="G894">
        <v>10000</v>
      </c>
      <c r="H894">
        <v>237954.67064171116</v>
      </c>
      <c r="I894">
        <v>32.157811024089256</v>
      </c>
    </row>
    <row r="895" spans="1:9" x14ac:dyDescent="0.2">
      <c r="A895">
        <v>885</v>
      </c>
      <c r="B895">
        <v>1426595.0046448167</v>
      </c>
      <c r="C895">
        <v>97266.122391395489</v>
      </c>
      <c r="D895">
        <v>113893.88022240644</v>
      </c>
      <c r="E895">
        <v>145664.00047128095</v>
      </c>
      <c r="F895">
        <v>46084.43080185791</v>
      </c>
      <c r="G895">
        <v>10000</v>
      </c>
      <c r="H895">
        <v>392908.43388694077</v>
      </c>
      <c r="I895">
        <v>41.81709121272317</v>
      </c>
    </row>
    <row r="896" spans="1:9" x14ac:dyDescent="0.2">
      <c r="A896">
        <v>886</v>
      </c>
      <c r="B896">
        <v>1470153.5368255044</v>
      </c>
      <c r="C896">
        <v>137203.6560473688</v>
      </c>
      <c r="D896">
        <v>138756.30240825732</v>
      </c>
      <c r="E896">
        <v>96224.561359786152</v>
      </c>
      <c r="F896">
        <v>42661.700401831353</v>
      </c>
      <c r="G896">
        <v>10000</v>
      </c>
      <c r="H896">
        <v>404846.22021724365</v>
      </c>
      <c r="I896">
        <v>34.276458852312039</v>
      </c>
    </row>
    <row r="897" spans="1:9" x14ac:dyDescent="0.2">
      <c r="A897">
        <v>887</v>
      </c>
      <c r="B897">
        <v>1300745.3570485977</v>
      </c>
      <c r="C897">
        <v>115201.84081108938</v>
      </c>
      <c r="D897">
        <v>61739.970393992015</v>
      </c>
      <c r="E897">
        <v>145409.09473448389</v>
      </c>
      <c r="F897">
        <v>46066.783481618113</v>
      </c>
      <c r="G897">
        <v>10000</v>
      </c>
      <c r="H897">
        <v>358417.68942118337</v>
      </c>
      <c r="I897">
        <v>31.395507310804096</v>
      </c>
    </row>
    <row r="898" spans="1:9" x14ac:dyDescent="0.2">
      <c r="A898">
        <v>888</v>
      </c>
      <c r="B898">
        <v>1681284.0657937189</v>
      </c>
      <c r="C898">
        <v>115691.79372628682</v>
      </c>
      <c r="D898">
        <v>119770.03453749073</v>
      </c>
      <c r="E898">
        <v>188217.0667644217</v>
      </c>
      <c r="F898">
        <v>49030.412314459965</v>
      </c>
      <c r="G898">
        <v>10000</v>
      </c>
      <c r="H898">
        <v>462709.30734265922</v>
      </c>
      <c r="I898">
        <v>27.685172179514467</v>
      </c>
    </row>
    <row r="899" spans="1:9" x14ac:dyDescent="0.2">
      <c r="A899">
        <v>889</v>
      </c>
      <c r="B899">
        <v>1395216.2459608729</v>
      </c>
      <c r="C899">
        <v>128778.87021510855</v>
      </c>
      <c r="D899">
        <v>92467.644211016916</v>
      </c>
      <c r="E899">
        <v>128187.63128410658</v>
      </c>
      <c r="F899">
        <v>44874.528319668912</v>
      </c>
      <c r="G899">
        <v>10000</v>
      </c>
      <c r="H899">
        <v>384308.67402990093</v>
      </c>
      <c r="I899">
        <v>34.068031781625706</v>
      </c>
    </row>
    <row r="900" spans="1:9" x14ac:dyDescent="0.2">
      <c r="A900">
        <v>890</v>
      </c>
      <c r="B900">
        <v>1524622.3108668553</v>
      </c>
      <c r="C900">
        <v>107712.73332501858</v>
      </c>
      <c r="D900">
        <v>84585.860502159674</v>
      </c>
      <c r="E900">
        <v>188430.3306794441</v>
      </c>
      <c r="F900">
        <v>49045.176739346127</v>
      </c>
      <c r="G900">
        <v>10000</v>
      </c>
      <c r="H900">
        <v>419774.10124596849</v>
      </c>
      <c r="I900">
        <v>39.546495733627182</v>
      </c>
    </row>
    <row r="901" spans="1:9" x14ac:dyDescent="0.2">
      <c r="A901">
        <v>891</v>
      </c>
      <c r="B901">
        <v>1224923.6029923605</v>
      </c>
      <c r="C901">
        <v>111907.40989361634</v>
      </c>
      <c r="D901">
        <v>96971.623329034133</v>
      </c>
      <c r="E901">
        <v>96105.269549632518</v>
      </c>
      <c r="F901">
        <v>42653.441738051486</v>
      </c>
      <c r="G901">
        <v>10000</v>
      </c>
      <c r="H901">
        <v>337637.74451033445</v>
      </c>
      <c r="I901">
        <v>32.332085799685089</v>
      </c>
    </row>
    <row r="902" spans="1:9" x14ac:dyDescent="0.2">
      <c r="A902">
        <v>892</v>
      </c>
      <c r="B902">
        <v>1160468.5018184865</v>
      </c>
      <c r="C902">
        <v>103602.34051674965</v>
      </c>
      <c r="D902">
        <v>116603.61627768438</v>
      </c>
      <c r="E902">
        <v>68990.740862895487</v>
      </c>
      <c r="F902">
        <v>40776.282059738922</v>
      </c>
      <c r="G902">
        <v>10000</v>
      </c>
      <c r="H902">
        <v>319972.97971706849</v>
      </c>
      <c r="I902">
        <v>28.121330806802796</v>
      </c>
    </row>
    <row r="903" spans="1:9" x14ac:dyDescent="0.2">
      <c r="A903">
        <v>893</v>
      </c>
      <c r="B903">
        <v>1000235.5375689939</v>
      </c>
      <c r="C903">
        <v>150601.65963310454</v>
      </c>
      <c r="D903">
        <v>41042.50848278145</v>
      </c>
      <c r="E903">
        <v>54632.611116602864</v>
      </c>
      <c r="F903">
        <v>39782.25769268789</v>
      </c>
      <c r="G903">
        <v>10000</v>
      </c>
      <c r="H903">
        <v>276059.03692517674</v>
      </c>
      <c r="I903">
        <v>32.716185340867774</v>
      </c>
    </row>
    <row r="904" spans="1:9" x14ac:dyDescent="0.2">
      <c r="A904">
        <v>894</v>
      </c>
      <c r="B904">
        <v>744809.67728745507</v>
      </c>
      <c r="C904">
        <v>81054.247132419943</v>
      </c>
      <c r="D904">
        <v>35786.948896388247</v>
      </c>
      <c r="E904">
        <v>59121.977973265966</v>
      </c>
      <c r="F904">
        <v>40093.060013533795</v>
      </c>
      <c r="G904">
        <v>10000</v>
      </c>
      <c r="H904">
        <v>206056.23401560797</v>
      </c>
      <c r="I904">
        <v>36.158421766044157</v>
      </c>
    </row>
    <row r="905" spans="1:9" x14ac:dyDescent="0.2">
      <c r="A905">
        <v>895</v>
      </c>
      <c r="B905">
        <v>1682913.1004676493</v>
      </c>
      <c r="C905">
        <v>148361.91178790387</v>
      </c>
      <c r="D905">
        <v>72434.391763029707</v>
      </c>
      <c r="E905">
        <v>202350.57604915445</v>
      </c>
      <c r="F905">
        <v>50008.886034172225</v>
      </c>
      <c r="G905">
        <v>10000</v>
      </c>
      <c r="H905">
        <v>463155.7656342602</v>
      </c>
      <c r="I905">
        <v>35.433791143668785</v>
      </c>
    </row>
    <row r="906" spans="1:9" x14ac:dyDescent="0.2">
      <c r="A906">
        <v>896</v>
      </c>
      <c r="B906">
        <v>1040601.429160696</v>
      </c>
      <c r="C906">
        <v>103797.36019958489</v>
      </c>
      <c r="D906">
        <v>85296.056339560761</v>
      </c>
      <c r="E906">
        <v>67364.710981326862</v>
      </c>
      <c r="F906">
        <v>40663.710760245704</v>
      </c>
      <c r="G906">
        <v>10000</v>
      </c>
      <c r="H906">
        <v>287121.83828071819</v>
      </c>
      <c r="I906">
        <v>50.024275310103036</v>
      </c>
    </row>
    <row r="907" spans="1:9" x14ac:dyDescent="0.2">
      <c r="A907">
        <v>897</v>
      </c>
      <c r="B907">
        <v>991931.79683139059</v>
      </c>
      <c r="C907">
        <v>136346.15409727511</v>
      </c>
      <c r="D907">
        <v>63559.102397610011</v>
      </c>
      <c r="E907">
        <v>44778.015079404395</v>
      </c>
      <c r="F907">
        <v>39100.016428574156</v>
      </c>
      <c r="G907">
        <v>10000</v>
      </c>
      <c r="H907">
        <v>273783.2880028637</v>
      </c>
      <c r="I907">
        <v>34.143525806113196</v>
      </c>
    </row>
    <row r="908" spans="1:9" x14ac:dyDescent="0.2">
      <c r="A908">
        <v>898</v>
      </c>
      <c r="B908">
        <v>1654374.0503354664</v>
      </c>
      <c r="C908">
        <v>136525.44308410742</v>
      </c>
      <c r="D908">
        <v>161436.63264485679</v>
      </c>
      <c r="E908">
        <v>122866.07639393565</v>
      </c>
      <c r="F908">
        <v>44506.112981118618</v>
      </c>
      <c r="G908">
        <v>10000</v>
      </c>
      <c r="H908">
        <v>455334.26510401844</v>
      </c>
      <c r="I908">
        <v>41.06185450296492</v>
      </c>
    </row>
    <row r="909" spans="1:9" x14ac:dyDescent="0.2">
      <c r="A909">
        <v>899</v>
      </c>
      <c r="B909">
        <v>1529438.7899848507</v>
      </c>
      <c r="C909">
        <v>114541.75497882605</v>
      </c>
      <c r="D909">
        <v>116322.41932104982</v>
      </c>
      <c r="E909">
        <v>153596.35250585308</v>
      </c>
      <c r="F909">
        <v>46633.593635020596</v>
      </c>
      <c r="G909">
        <v>10000</v>
      </c>
      <c r="H909">
        <v>421094.12044074951</v>
      </c>
      <c r="I909">
        <v>25.25214744503873</v>
      </c>
    </row>
    <row r="910" spans="1:9" x14ac:dyDescent="0.2">
      <c r="A910">
        <v>900</v>
      </c>
      <c r="B910">
        <v>1165763.399519627</v>
      </c>
      <c r="C910">
        <v>147672.99914410288</v>
      </c>
      <c r="D910">
        <v>69017.346727274897</v>
      </c>
      <c r="E910">
        <v>73635.899925301506</v>
      </c>
      <c r="F910">
        <v>41097.869994828565</v>
      </c>
      <c r="G910">
        <v>10000</v>
      </c>
      <c r="H910">
        <v>321424.11579150788</v>
      </c>
      <c r="I910">
        <v>36.603754493212648</v>
      </c>
    </row>
    <row r="911" spans="1:9" x14ac:dyDescent="0.2">
      <c r="A911">
        <v>901</v>
      </c>
      <c r="B911">
        <v>1029862.5903825639</v>
      </c>
      <c r="C911">
        <v>140054.41620078395</v>
      </c>
      <c r="D911">
        <v>48948.093698254823</v>
      </c>
      <c r="E911">
        <v>64697.173831849279</v>
      </c>
      <c r="F911">
        <v>40479.035111435718</v>
      </c>
      <c r="G911">
        <v>10000</v>
      </c>
      <c r="H911">
        <v>284178.71884232375</v>
      </c>
      <c r="I911">
        <v>38.460674934605422</v>
      </c>
    </row>
    <row r="912" spans="1:9" x14ac:dyDescent="0.2">
      <c r="A912">
        <v>902</v>
      </c>
      <c r="B912">
        <v>806793.20147625078</v>
      </c>
      <c r="C912">
        <v>115223.80097286282</v>
      </c>
      <c r="D912">
        <v>41549.777868448895</v>
      </c>
      <c r="E912">
        <v>37662.638485282136</v>
      </c>
      <c r="F912">
        <v>38607.413433596455</v>
      </c>
      <c r="G912">
        <v>10000</v>
      </c>
      <c r="H912">
        <v>223043.63076019031</v>
      </c>
      <c r="I912">
        <v>38.5389470896624</v>
      </c>
    </row>
    <row r="913" spans="1:9" x14ac:dyDescent="0.2">
      <c r="A913">
        <v>903</v>
      </c>
      <c r="B913">
        <v>715222.62999967777</v>
      </c>
      <c r="C913">
        <v>71175.304776418154</v>
      </c>
      <c r="D913">
        <v>66779.753028976469</v>
      </c>
      <c r="E913">
        <v>31791.507792007469</v>
      </c>
      <c r="F913">
        <v>38200.950539446676</v>
      </c>
      <c r="G913">
        <v>10000</v>
      </c>
      <c r="H913">
        <v>197947.51613684878</v>
      </c>
      <c r="I913">
        <v>33.083106058622548</v>
      </c>
    </row>
    <row r="914" spans="1:9" x14ac:dyDescent="0.2">
      <c r="A914">
        <v>904</v>
      </c>
      <c r="B914">
        <v>843046.7518016235</v>
      </c>
      <c r="C914">
        <v>86163.130226433568</v>
      </c>
      <c r="D914">
        <v>39843.799443726493</v>
      </c>
      <c r="E914">
        <v>75729.640207608973</v>
      </c>
      <c r="F914">
        <v>41242.821245142164</v>
      </c>
      <c r="G914">
        <v>10000</v>
      </c>
      <c r="H914">
        <v>232979.39112291121</v>
      </c>
      <c r="I914">
        <v>44.084966390759149</v>
      </c>
    </row>
    <row r="915" spans="1:9" x14ac:dyDescent="0.2">
      <c r="A915">
        <v>905</v>
      </c>
      <c r="B915">
        <v>1381375.7621988119</v>
      </c>
      <c r="C915">
        <v>126542.70612609484</v>
      </c>
      <c r="D915">
        <v>80191.803347478068</v>
      </c>
      <c r="E915">
        <v>138212.4448093033</v>
      </c>
      <c r="F915">
        <v>45568.553871413307</v>
      </c>
      <c r="G915">
        <v>10000</v>
      </c>
      <c r="H915">
        <v>380515.50815428951</v>
      </c>
      <c r="I915">
        <v>28.377822460429982</v>
      </c>
    </row>
    <row r="916" spans="1:9" x14ac:dyDescent="0.2">
      <c r="A916">
        <v>906</v>
      </c>
      <c r="B916">
        <v>973711.41446264298</v>
      </c>
      <c r="C916">
        <v>110532.69076516623</v>
      </c>
      <c r="D916">
        <v>80918.914717861655</v>
      </c>
      <c r="E916">
        <v>48014.095305543393</v>
      </c>
      <c r="F916">
        <v>39324.052751922231</v>
      </c>
      <c r="G916">
        <v>10000</v>
      </c>
      <c r="H916">
        <v>268789.75354049349</v>
      </c>
      <c r="I916">
        <v>45.832211144264505</v>
      </c>
    </row>
    <row r="917" spans="1:9" x14ac:dyDescent="0.2">
      <c r="A917">
        <v>907</v>
      </c>
      <c r="B917">
        <v>1450162.7526461275</v>
      </c>
      <c r="C917">
        <v>137426.89432190894</v>
      </c>
      <c r="D917">
        <v>35282.228345644828</v>
      </c>
      <c r="E917">
        <v>187666.09328354313</v>
      </c>
      <c r="F917">
        <v>48992.26799655299</v>
      </c>
      <c r="G917">
        <v>10000</v>
      </c>
      <c r="H917">
        <v>399367.48394764989</v>
      </c>
      <c r="I917">
        <v>40.224734137705383</v>
      </c>
    </row>
    <row r="918" spans="1:9" x14ac:dyDescent="0.2">
      <c r="A918">
        <v>908</v>
      </c>
      <c r="B918">
        <v>1085757.3610274894</v>
      </c>
      <c r="C918">
        <v>96617.752402427272</v>
      </c>
      <c r="D918">
        <v>108363.592836511</v>
      </c>
      <c r="E918">
        <v>64079.775528875187</v>
      </c>
      <c r="F918">
        <v>40436.292151999056</v>
      </c>
      <c r="G918">
        <v>10000</v>
      </c>
      <c r="H918">
        <v>299497.41291981254</v>
      </c>
      <c r="I918">
        <v>48.598641986824951</v>
      </c>
    </row>
    <row r="919" spans="1:9" x14ac:dyDescent="0.2">
      <c r="A919">
        <v>909</v>
      </c>
      <c r="B919">
        <v>1453887.2433447447</v>
      </c>
      <c r="C919">
        <v>109127.30094528971</v>
      </c>
      <c r="D919">
        <v>114882.15270386479</v>
      </c>
      <c r="E919">
        <v>140642.02049745573</v>
      </c>
      <c r="F919">
        <v>45736.755265208471</v>
      </c>
      <c r="G919">
        <v>10000</v>
      </c>
      <c r="H919">
        <v>400388.22941181873</v>
      </c>
      <c r="I919">
        <v>41.048271570930027</v>
      </c>
    </row>
    <row r="920" spans="1:9" x14ac:dyDescent="0.2">
      <c r="A920">
        <v>910</v>
      </c>
      <c r="B920">
        <v>1134538.5864444473</v>
      </c>
      <c r="C920">
        <v>130611.13160837676</v>
      </c>
      <c r="D920">
        <v>67265.703473403453</v>
      </c>
      <c r="E920">
        <v>83227.787886585415</v>
      </c>
      <c r="F920">
        <v>41761.923776763608</v>
      </c>
      <c r="G920">
        <v>10000</v>
      </c>
      <c r="H920">
        <v>312866.54674512922</v>
      </c>
      <c r="I920">
        <v>42.807352491877964</v>
      </c>
    </row>
    <row r="921" spans="1:9" x14ac:dyDescent="0.2">
      <c r="A921">
        <v>911</v>
      </c>
      <c r="B921">
        <v>1366516.2586443503</v>
      </c>
      <c r="C921">
        <v>104418.32287507608</v>
      </c>
      <c r="D921">
        <v>49247.830836256078</v>
      </c>
      <c r="E921">
        <v>184035.96165340513</v>
      </c>
      <c r="F921">
        <v>48740.951191389584</v>
      </c>
      <c r="G921">
        <v>10000</v>
      </c>
      <c r="H921">
        <v>376443.06655612687</v>
      </c>
      <c r="I921">
        <v>31.612165987965565</v>
      </c>
    </row>
    <row r="922" spans="1:9" x14ac:dyDescent="0.2">
      <c r="A922">
        <v>912</v>
      </c>
      <c r="B922">
        <v>1269650.5878253137</v>
      </c>
      <c r="C922">
        <v>132841.4391358034</v>
      </c>
      <c r="D922">
        <v>48774.643021979144</v>
      </c>
      <c r="E922">
        <v>133067.32515795153</v>
      </c>
      <c r="F922">
        <v>45212.353280165873</v>
      </c>
      <c r="G922">
        <v>10000</v>
      </c>
      <c r="H922">
        <v>349895.76059589995</v>
      </c>
      <c r="I922">
        <v>33.174670246386896</v>
      </c>
    </row>
    <row r="923" spans="1:9" x14ac:dyDescent="0.2">
      <c r="A923">
        <v>913</v>
      </c>
      <c r="B923">
        <v>975987.58604268963</v>
      </c>
      <c r="C923">
        <v>122249.22246759658</v>
      </c>
      <c r="D923">
        <v>46572.594793531724</v>
      </c>
      <c r="E923">
        <v>69762.069203067847</v>
      </c>
      <c r="F923">
        <v>40829.681714058548</v>
      </c>
      <c r="G923">
        <v>10000</v>
      </c>
      <c r="H923">
        <v>269413.5681782547</v>
      </c>
      <c r="I923">
        <v>34.899699151781192</v>
      </c>
    </row>
    <row r="924" spans="1:9" x14ac:dyDescent="0.2">
      <c r="A924">
        <v>914</v>
      </c>
      <c r="B924">
        <v>1689719.8727755963</v>
      </c>
      <c r="C924">
        <v>150723.1557509843</v>
      </c>
      <c r="D924">
        <v>72343.817538344461</v>
      </c>
      <c r="E924">
        <v>201971.62640130974</v>
      </c>
      <c r="F924">
        <v>49982.651058552212</v>
      </c>
      <c r="G924">
        <v>10000</v>
      </c>
      <c r="H924">
        <v>465021.25074919069</v>
      </c>
      <c r="I924">
        <v>35.999786706235554</v>
      </c>
    </row>
    <row r="925" spans="1:9" x14ac:dyDescent="0.2">
      <c r="A925">
        <v>915</v>
      </c>
      <c r="B925">
        <v>959059.52905089816</v>
      </c>
      <c r="C925">
        <v>118513.11561790686</v>
      </c>
      <c r="D925">
        <v>80530.204141176364</v>
      </c>
      <c r="E925">
        <v>37158.388813945632</v>
      </c>
      <c r="F925">
        <v>38572.503840965466</v>
      </c>
      <c r="G925">
        <v>10000</v>
      </c>
      <c r="H925">
        <v>264774.2124139943</v>
      </c>
      <c r="I925">
        <v>51.602911483080312</v>
      </c>
    </row>
    <row r="926" spans="1:9" x14ac:dyDescent="0.2">
      <c r="A926">
        <v>916</v>
      </c>
      <c r="B926">
        <v>1074368.0557407369</v>
      </c>
      <c r="C926">
        <v>94466.959973171208</v>
      </c>
      <c r="D926">
        <v>116361.58197032992</v>
      </c>
      <c r="E926">
        <v>55691.890267444265</v>
      </c>
      <c r="F926">
        <v>39855.592403130751</v>
      </c>
      <c r="G926">
        <v>10000</v>
      </c>
      <c r="H926">
        <v>296376.02461407613</v>
      </c>
      <c r="I926">
        <v>34.448097903056642</v>
      </c>
    </row>
    <row r="927" spans="1:9" x14ac:dyDescent="0.2">
      <c r="A927">
        <v>917</v>
      </c>
      <c r="B927">
        <v>1435241.0719738</v>
      </c>
      <c r="C927">
        <v>80997.675427946087</v>
      </c>
      <c r="D927">
        <v>108748.0618448482</v>
      </c>
      <c r="E927">
        <v>167907.8733884783</v>
      </c>
      <c r="F927">
        <v>47624.391234586954</v>
      </c>
      <c r="G927">
        <v>10000</v>
      </c>
      <c r="H927">
        <v>395278.00189585955</v>
      </c>
      <c r="I927">
        <v>35.840403080945947</v>
      </c>
    </row>
    <row r="928" spans="1:9" x14ac:dyDescent="0.2">
      <c r="A928">
        <v>918</v>
      </c>
      <c r="B928">
        <v>1424314.3557819072</v>
      </c>
      <c r="C928">
        <v>124830.41476299173</v>
      </c>
      <c r="D928">
        <v>76322.38481242019</v>
      </c>
      <c r="E928">
        <v>154438.68374134882</v>
      </c>
      <c r="F928">
        <v>46691.908874401066</v>
      </c>
      <c r="G928">
        <v>10000</v>
      </c>
      <c r="H928">
        <v>392283.39219116181</v>
      </c>
      <c r="I928">
        <v>36.715339548083136</v>
      </c>
    </row>
    <row r="929" spans="1:9" x14ac:dyDescent="0.2">
      <c r="A929">
        <v>919</v>
      </c>
      <c r="B929">
        <v>924691.11154650385</v>
      </c>
      <c r="C929">
        <v>105045.75446329257</v>
      </c>
      <c r="D929">
        <v>63771.611560392848</v>
      </c>
      <c r="E929">
        <v>56618.022145626855</v>
      </c>
      <c r="F929">
        <v>39919.709225466475</v>
      </c>
      <c r="G929">
        <v>10000</v>
      </c>
      <c r="H929">
        <v>255355.09739477874</v>
      </c>
      <c r="I929">
        <v>47.973919045689698</v>
      </c>
    </row>
    <row r="930" spans="1:9" x14ac:dyDescent="0.2">
      <c r="A930">
        <v>920</v>
      </c>
      <c r="B930">
        <v>1368056.6799048742</v>
      </c>
      <c r="C930">
        <v>91854.755762628527</v>
      </c>
      <c r="D930">
        <v>93837.393751132622</v>
      </c>
      <c r="E930">
        <v>154478.42918519699</v>
      </c>
      <c r="F930">
        <v>46694.660482052102</v>
      </c>
      <c r="G930">
        <v>10000</v>
      </c>
      <c r="H930">
        <v>376865.23918101029</v>
      </c>
      <c r="I930">
        <v>28.572572456078269</v>
      </c>
    </row>
    <row r="931" spans="1:9" x14ac:dyDescent="0.2">
      <c r="A931">
        <v>921</v>
      </c>
      <c r="B931">
        <v>1304012.8865562219</v>
      </c>
      <c r="C931">
        <v>135051.14631013159</v>
      </c>
      <c r="D931">
        <v>150109.65573480897</v>
      </c>
      <c r="E931">
        <v>45034.615562729661</v>
      </c>
      <c r="F931">
        <v>39117.78107741975</v>
      </c>
      <c r="G931">
        <v>10000</v>
      </c>
      <c r="H931">
        <v>359313.19868508994</v>
      </c>
      <c r="I931">
        <v>34.558160783164986</v>
      </c>
    </row>
    <row r="932" spans="1:9" x14ac:dyDescent="0.2">
      <c r="A932">
        <v>922</v>
      </c>
      <c r="B932">
        <v>1023105.8841895022</v>
      </c>
      <c r="C932">
        <v>84220.703425779051</v>
      </c>
      <c r="D932">
        <v>77691.269600889151</v>
      </c>
      <c r="E932">
        <v>88301.781703555709</v>
      </c>
      <c r="F932">
        <v>42113.200271784626</v>
      </c>
      <c r="G932">
        <v>10000</v>
      </c>
      <c r="H932">
        <v>282326.95500200853</v>
      </c>
      <c r="I932">
        <v>33.080268940290239</v>
      </c>
    </row>
    <row r="933" spans="1:9" x14ac:dyDescent="0.2">
      <c r="A933">
        <v>923</v>
      </c>
      <c r="B933">
        <v>1391025.5629054266</v>
      </c>
      <c r="C933">
        <v>139237.14487041841</v>
      </c>
      <c r="D933">
        <v>135349.39931740836</v>
      </c>
      <c r="E933">
        <v>77227.124987367541</v>
      </c>
      <c r="F933">
        <v>41346.493268356215</v>
      </c>
      <c r="G933">
        <v>10000</v>
      </c>
      <c r="H933">
        <v>383160.16244355054</v>
      </c>
      <c r="I933">
        <v>35.227987233183924</v>
      </c>
    </row>
    <row r="934" spans="1:9" x14ac:dyDescent="0.2">
      <c r="A934">
        <v>924</v>
      </c>
      <c r="B934">
        <v>904070.35374611826</v>
      </c>
      <c r="C934">
        <v>87932.580389938608</v>
      </c>
      <c r="D934">
        <v>104249.28375855697</v>
      </c>
      <c r="E934">
        <v>29480.861719231627</v>
      </c>
      <c r="F934">
        <v>38040.982734408346</v>
      </c>
      <c r="G934">
        <v>10000</v>
      </c>
      <c r="H934">
        <v>249703.70860213554</v>
      </c>
      <c r="I934">
        <v>33.691378534115266</v>
      </c>
    </row>
    <row r="935" spans="1:9" x14ac:dyDescent="0.2">
      <c r="A935">
        <v>925</v>
      </c>
      <c r="B935">
        <v>1373615.1804639529</v>
      </c>
      <c r="C935">
        <v>126493.23422202915</v>
      </c>
      <c r="D935">
        <v>58352.110031205106</v>
      </c>
      <c r="E935">
        <v>156695.14911077658</v>
      </c>
      <c r="F935">
        <v>46848.12570766914</v>
      </c>
      <c r="G935">
        <v>10000</v>
      </c>
      <c r="H935">
        <v>378388.61907167995</v>
      </c>
      <c r="I935">
        <v>36.928291382030224</v>
      </c>
    </row>
    <row r="936" spans="1:9" x14ac:dyDescent="0.2">
      <c r="A936">
        <v>926</v>
      </c>
      <c r="B936">
        <v>932190.57488817733</v>
      </c>
      <c r="C936">
        <v>95885.287005977327</v>
      </c>
      <c r="D936">
        <v>66086.277953979239</v>
      </c>
      <c r="E936">
        <v>64942.817396910104</v>
      </c>
      <c r="F936">
        <v>40496.041204401467</v>
      </c>
      <c r="G936">
        <v>10000</v>
      </c>
      <c r="H936">
        <v>257410.42356126814</v>
      </c>
      <c r="I936">
        <v>35.772397781415577</v>
      </c>
    </row>
    <row r="937" spans="1:9" x14ac:dyDescent="0.2">
      <c r="A937">
        <v>927</v>
      </c>
      <c r="B937">
        <v>1429803.6646490877</v>
      </c>
      <c r="C937">
        <v>155649.58222998111</v>
      </c>
      <c r="D937">
        <v>72226.178579322645</v>
      </c>
      <c r="E937">
        <v>130852.994890576</v>
      </c>
      <c r="F937">
        <v>45059.053492424493</v>
      </c>
      <c r="G937">
        <v>10000</v>
      </c>
      <c r="H937">
        <v>393787.80919230421</v>
      </c>
      <c r="I937">
        <v>30.060444061493733</v>
      </c>
    </row>
    <row r="938" spans="1:9" x14ac:dyDescent="0.2">
      <c r="A938">
        <v>928</v>
      </c>
      <c r="B938">
        <v>1242626.8105659867</v>
      </c>
      <c r="C938">
        <v>155890.56270553943</v>
      </c>
      <c r="D938">
        <v>71519.758243095857</v>
      </c>
      <c r="E938">
        <v>83311.500248842873</v>
      </c>
      <c r="F938">
        <v>41767.719247996814</v>
      </c>
      <c r="G938">
        <v>10000</v>
      </c>
      <c r="H938">
        <v>342489.54044547497</v>
      </c>
      <c r="I938">
        <v>50.867482518964849</v>
      </c>
    </row>
    <row r="939" spans="1:9" x14ac:dyDescent="0.2">
      <c r="A939">
        <v>929</v>
      </c>
      <c r="B939">
        <v>1263220.4646744761</v>
      </c>
      <c r="C939">
        <v>150459.3657169817</v>
      </c>
      <c r="D939">
        <v>83419.127791900362</v>
      </c>
      <c r="E939">
        <v>82540.654596879453</v>
      </c>
      <c r="F939">
        <v>41714.353010553197</v>
      </c>
      <c r="G939">
        <v>10000</v>
      </c>
      <c r="H939">
        <v>348133.50111631467</v>
      </c>
      <c r="I939">
        <v>30.126677341249696</v>
      </c>
    </row>
    <row r="940" spans="1:9" x14ac:dyDescent="0.2">
      <c r="A940">
        <v>930</v>
      </c>
      <c r="B940">
        <v>1052692.7168058853</v>
      </c>
      <c r="C940">
        <v>145563.84794510537</v>
      </c>
      <c r="D940">
        <v>62352.40749428243</v>
      </c>
      <c r="E940">
        <v>52859.831791535245</v>
      </c>
      <c r="F940">
        <v>39659.526816337057</v>
      </c>
      <c r="G940">
        <v>10000</v>
      </c>
      <c r="H940">
        <v>290435.61404726014</v>
      </c>
      <c r="I940">
        <v>49.846698393275638</v>
      </c>
    </row>
    <row r="941" spans="1:9" x14ac:dyDescent="0.2">
      <c r="A941">
        <v>931</v>
      </c>
      <c r="B941">
        <v>1115514.2519858286</v>
      </c>
      <c r="C941">
        <v>119967.40752977165</v>
      </c>
      <c r="D941">
        <v>55694.498502957213</v>
      </c>
      <c r="E941">
        <v>99128.060750482837</v>
      </c>
      <c r="F941">
        <v>42862.711898110349</v>
      </c>
      <c r="G941">
        <v>10000</v>
      </c>
      <c r="H941">
        <v>307652.67868132202</v>
      </c>
      <c r="I941">
        <v>33.20877495823504</v>
      </c>
    </row>
    <row r="942" spans="1:9" x14ac:dyDescent="0.2">
      <c r="A942">
        <v>932</v>
      </c>
      <c r="B942">
        <v>1460704.914579777</v>
      </c>
      <c r="C942">
        <v>93594.273600577275</v>
      </c>
      <c r="D942">
        <v>81056.183061088799</v>
      </c>
      <c r="E942">
        <v>188552.60310537051</v>
      </c>
      <c r="F942">
        <v>49053.641753448726</v>
      </c>
      <c r="G942">
        <v>10000</v>
      </c>
      <c r="H942">
        <v>402256.70152048534</v>
      </c>
      <c r="I942">
        <v>27.532336018463965</v>
      </c>
    </row>
    <row r="943" spans="1:9" x14ac:dyDescent="0.2">
      <c r="A943">
        <v>933</v>
      </c>
      <c r="B943">
        <v>2043413.5686874019</v>
      </c>
      <c r="C943">
        <v>145483.21189162703</v>
      </c>
      <c r="D943">
        <v>169565.81531365516</v>
      </c>
      <c r="E943">
        <v>206603.30810206843</v>
      </c>
      <c r="F943">
        <v>50303.30594552782</v>
      </c>
      <c r="G943">
        <v>10000</v>
      </c>
      <c r="H943">
        <v>561955.64125287847</v>
      </c>
      <c r="I943">
        <v>51.194450209146737</v>
      </c>
    </row>
    <row r="944" spans="1:9" x14ac:dyDescent="0.2">
      <c r="A944">
        <v>934</v>
      </c>
      <c r="B944">
        <v>1356631.2228210242</v>
      </c>
      <c r="C944">
        <v>139928.60584666568</v>
      </c>
      <c r="D944">
        <v>68941.615102740092</v>
      </c>
      <c r="E944">
        <v>129872.5458043191</v>
      </c>
      <c r="F944">
        <v>44991.176247991323</v>
      </c>
      <c r="G944">
        <v>10000</v>
      </c>
      <c r="H944">
        <v>373733.94300171622</v>
      </c>
      <c r="I944">
        <v>42.575889307971721</v>
      </c>
    </row>
    <row r="945" spans="1:9" x14ac:dyDescent="0.2">
      <c r="A945">
        <v>935</v>
      </c>
      <c r="B945">
        <v>748740.12842300022</v>
      </c>
      <c r="C945">
        <v>116633.25152012423</v>
      </c>
      <c r="D945">
        <v>24440.60762339854</v>
      </c>
      <c r="E945">
        <v>37465.781611158782</v>
      </c>
      <c r="F945">
        <v>38593.784880772531</v>
      </c>
      <c r="G945">
        <v>10000</v>
      </c>
      <c r="H945">
        <v>207133.42563545407</v>
      </c>
      <c r="I945">
        <v>40.722937512015932</v>
      </c>
    </row>
    <row r="946" spans="1:9" x14ac:dyDescent="0.2">
      <c r="A946">
        <v>936</v>
      </c>
      <c r="B946">
        <v>1237655.822503774</v>
      </c>
      <c r="C946">
        <v>109052.0242018814</v>
      </c>
      <c r="D946">
        <v>96765.083019605387</v>
      </c>
      <c r="E946">
        <v>102232.43847324565</v>
      </c>
      <c r="F946">
        <v>43077.630355840083</v>
      </c>
      <c r="G946">
        <v>10000</v>
      </c>
      <c r="H946">
        <v>341127.17605057254</v>
      </c>
      <c r="I946">
        <v>31.801541227104089</v>
      </c>
    </row>
    <row r="947" spans="1:9" x14ac:dyDescent="0.2">
      <c r="A947">
        <v>937</v>
      </c>
      <c r="B947">
        <v>1112763.9327174292</v>
      </c>
      <c r="C947">
        <v>131928.71077810213</v>
      </c>
      <c r="D947">
        <v>91210.262792131703</v>
      </c>
      <c r="E947">
        <v>54020.091593404119</v>
      </c>
      <c r="F947">
        <v>39739.852494927982</v>
      </c>
      <c r="G947">
        <v>10000</v>
      </c>
      <c r="H947">
        <v>306898.91765856597</v>
      </c>
      <c r="I947">
        <v>37.973867968289042</v>
      </c>
    </row>
    <row r="948" spans="1:9" x14ac:dyDescent="0.2">
      <c r="A948">
        <v>938</v>
      </c>
      <c r="B948">
        <v>1439500.6217865925</v>
      </c>
      <c r="C948">
        <v>134927.89450224987</v>
      </c>
      <c r="D948">
        <v>97337.880204705638</v>
      </c>
      <c r="E948">
        <v>129232.73122005371</v>
      </c>
      <c r="F948">
        <v>44946.881392157564</v>
      </c>
      <c r="G948">
        <v>10000</v>
      </c>
      <c r="H948">
        <v>396445.3873191668</v>
      </c>
      <c r="I948">
        <v>39.482416545344364</v>
      </c>
    </row>
    <row r="949" spans="1:9" x14ac:dyDescent="0.2">
      <c r="A949">
        <v>939</v>
      </c>
      <c r="B949">
        <v>1243464.2363134413</v>
      </c>
      <c r="C949">
        <v>142079.6589286509</v>
      </c>
      <c r="D949">
        <v>56707.968465105638</v>
      </c>
      <c r="E949">
        <v>110295.57317391863</v>
      </c>
      <c r="F949">
        <v>43635.847373578981</v>
      </c>
      <c r="G949">
        <v>10000</v>
      </c>
      <c r="H949">
        <v>342719.04794125416</v>
      </c>
      <c r="I949">
        <v>45.115372673322781</v>
      </c>
    </row>
    <row r="950" spans="1:9" x14ac:dyDescent="0.2">
      <c r="A950">
        <v>940</v>
      </c>
      <c r="B950">
        <v>1561644.4126801714</v>
      </c>
      <c r="C950">
        <v>133747.58441635969</v>
      </c>
      <c r="D950">
        <v>57898.963204172374</v>
      </c>
      <c r="E950">
        <v>198529.58940157335</v>
      </c>
      <c r="F950">
        <v>49744.356189339698</v>
      </c>
      <c r="G950">
        <v>10000</v>
      </c>
      <c r="H950">
        <v>429920.49321144511</v>
      </c>
      <c r="I950">
        <v>26.91167878218495</v>
      </c>
    </row>
    <row r="951" spans="1:9" x14ac:dyDescent="0.2">
      <c r="A951">
        <v>941</v>
      </c>
      <c r="B951">
        <v>1276003.4025280434</v>
      </c>
      <c r="C951">
        <v>90189.088479398779</v>
      </c>
      <c r="D951">
        <v>116421.78181935384</v>
      </c>
      <c r="E951">
        <v>111319.24539496025</v>
      </c>
      <c r="F951">
        <v>43706.716988881861</v>
      </c>
      <c r="G951">
        <v>10000</v>
      </c>
      <c r="H951">
        <v>351636.83268259472</v>
      </c>
      <c r="I951">
        <v>47.486746412369051</v>
      </c>
    </row>
    <row r="952" spans="1:9" x14ac:dyDescent="0.2">
      <c r="A952">
        <v>942</v>
      </c>
      <c r="B952">
        <v>1191654.8161398787</v>
      </c>
      <c r="C952">
        <v>109196.67515844991</v>
      </c>
      <c r="D952">
        <v>72404.910359297632</v>
      </c>
      <c r="E952">
        <v>113089.16244985082</v>
      </c>
      <c r="F952">
        <v>43829.249708066593</v>
      </c>
      <c r="G952">
        <v>10000</v>
      </c>
      <c r="H952">
        <v>328519.99767566496</v>
      </c>
      <c r="I952">
        <v>39.739531077686863</v>
      </c>
    </row>
    <row r="953" spans="1:9" x14ac:dyDescent="0.2">
      <c r="A953">
        <v>943</v>
      </c>
      <c r="B953">
        <v>990188.79980741721</v>
      </c>
      <c r="C953">
        <v>114897.06677384854</v>
      </c>
      <c r="D953">
        <v>95866.112341192551</v>
      </c>
      <c r="E953">
        <v>34176.36189768005</v>
      </c>
      <c r="F953">
        <v>38366.055823685536</v>
      </c>
      <c r="G953">
        <v>10000</v>
      </c>
      <c r="H953">
        <v>273305.59683640668</v>
      </c>
      <c r="I953">
        <v>34.405326633039301</v>
      </c>
    </row>
    <row r="954" spans="1:9" x14ac:dyDescent="0.2">
      <c r="A954">
        <v>944</v>
      </c>
      <c r="B954">
        <v>1059554.6127371895</v>
      </c>
      <c r="C954">
        <v>88924.55847879115</v>
      </c>
      <c r="D954">
        <v>67866.574098038822</v>
      </c>
      <c r="E954">
        <v>102433.52238658216</v>
      </c>
      <c r="F954">
        <v>43091.551549840311</v>
      </c>
      <c r="G954">
        <v>10000</v>
      </c>
      <c r="H954">
        <v>292316.20651325246</v>
      </c>
      <c r="I954">
        <v>35.838930682262855</v>
      </c>
    </row>
    <row r="955" spans="1:9" x14ac:dyDescent="0.2">
      <c r="A955">
        <v>945</v>
      </c>
      <c r="B955">
        <v>1316109.937366172</v>
      </c>
      <c r="C955">
        <v>90680.354761314797</v>
      </c>
      <c r="D955">
        <v>75451.15427700986</v>
      </c>
      <c r="E955">
        <v>159457.66787721901</v>
      </c>
      <c r="F955">
        <v>47039.377006884395</v>
      </c>
      <c r="G955">
        <v>10000</v>
      </c>
      <c r="H955">
        <v>362628.55392242799</v>
      </c>
      <c r="I955">
        <v>33.965940931752741</v>
      </c>
    </row>
    <row r="956" spans="1:9" x14ac:dyDescent="0.2">
      <c r="A956">
        <v>946</v>
      </c>
      <c r="B956">
        <v>1408458.444373996</v>
      </c>
      <c r="C956">
        <v>103740.96821130246</v>
      </c>
      <c r="D956">
        <v>100717.79294550892</v>
      </c>
      <c r="E956">
        <v>147282.6216224595</v>
      </c>
      <c r="F956">
        <v>46196.489189247193</v>
      </c>
      <c r="G956">
        <v>10000</v>
      </c>
      <c r="H956">
        <v>387937.87196851807</v>
      </c>
      <c r="I956">
        <v>57.324345561860071</v>
      </c>
    </row>
    <row r="957" spans="1:9" x14ac:dyDescent="0.2">
      <c r="A957">
        <v>947</v>
      </c>
      <c r="B957">
        <v>1623453.5977162679</v>
      </c>
      <c r="C957">
        <v>143498.23920671671</v>
      </c>
      <c r="D957">
        <v>84213.351423924847</v>
      </c>
      <c r="E957">
        <v>180642.50015534437</v>
      </c>
      <c r="F957">
        <v>48506.019241523842</v>
      </c>
      <c r="G957">
        <v>10000</v>
      </c>
      <c r="H957">
        <v>446860.11002750974</v>
      </c>
      <c r="I957">
        <v>36.443661382764361</v>
      </c>
    </row>
    <row r="958" spans="1:9" x14ac:dyDescent="0.2">
      <c r="A958">
        <v>948</v>
      </c>
      <c r="B958">
        <v>1297678.4072072692</v>
      </c>
      <c r="C958">
        <v>100283.26829359321</v>
      </c>
      <c r="D958">
        <v>89245.418394999957</v>
      </c>
      <c r="E958">
        <v>132851.08233078432</v>
      </c>
      <c r="F958">
        <v>45197.382622900455</v>
      </c>
      <c r="G958">
        <v>10000</v>
      </c>
      <c r="H958">
        <v>357577.15164227801</v>
      </c>
      <c r="I958">
        <v>44.432799713463851</v>
      </c>
    </row>
    <row r="959" spans="1:9" x14ac:dyDescent="0.2">
      <c r="A959">
        <v>949</v>
      </c>
      <c r="B959">
        <v>1246092.4783825967</v>
      </c>
      <c r="C959">
        <v>100493.90638591982</v>
      </c>
      <c r="D959">
        <v>91481.452413145787</v>
      </c>
      <c r="E959">
        <v>117340.42539724897</v>
      </c>
      <c r="F959">
        <v>44123.567912117229</v>
      </c>
      <c r="G959">
        <v>10000</v>
      </c>
      <c r="H959">
        <v>343439.35210843181</v>
      </c>
      <c r="I959">
        <v>35.223472306364641</v>
      </c>
    </row>
    <row r="960" spans="1:9" x14ac:dyDescent="0.2">
      <c r="A960">
        <v>950</v>
      </c>
      <c r="B960">
        <v>1370588.1329717836</v>
      </c>
      <c r="C960">
        <v>153333.49960844373</v>
      </c>
      <c r="D960">
        <v>43539.267225047231</v>
      </c>
      <c r="E960">
        <v>144670.59373164934</v>
      </c>
      <c r="F960">
        <v>46015.65648911419</v>
      </c>
      <c r="G960">
        <v>10000</v>
      </c>
      <c r="H960">
        <v>377559.01705425442</v>
      </c>
      <c r="I960">
        <v>32.54331830702651</v>
      </c>
    </row>
    <row r="961" spans="1:9" x14ac:dyDescent="0.2">
      <c r="A961">
        <v>951</v>
      </c>
      <c r="B961">
        <v>1314061.1328596214</v>
      </c>
      <c r="C961">
        <v>108588.01742640213</v>
      </c>
      <c r="D961">
        <v>59920.795538090126</v>
      </c>
      <c r="E961">
        <v>156709.14461764006</v>
      </c>
      <c r="F961">
        <v>46849.094627375081</v>
      </c>
      <c r="G961">
        <v>10000</v>
      </c>
      <c r="H961">
        <v>362067.05220950738</v>
      </c>
      <c r="I961">
        <v>48.83143049987649</v>
      </c>
    </row>
    <row r="962" spans="1:9" x14ac:dyDescent="0.2">
      <c r="A962">
        <v>952</v>
      </c>
      <c r="B962">
        <v>1914627.0247786066</v>
      </c>
      <c r="C962">
        <v>140530.74701620598</v>
      </c>
      <c r="D962">
        <v>141511.19614116321</v>
      </c>
      <c r="E962">
        <v>204462.93261957855</v>
      </c>
      <c r="F962">
        <v>50155.126104432362</v>
      </c>
      <c r="G962">
        <v>10000</v>
      </c>
      <c r="H962">
        <v>526660.0018813801</v>
      </c>
      <c r="I962">
        <v>30.973285483839284</v>
      </c>
    </row>
    <row r="963" spans="1:9" x14ac:dyDescent="0.2">
      <c r="A963">
        <v>953</v>
      </c>
      <c r="B963">
        <v>1420235.1788714943</v>
      </c>
      <c r="C963">
        <v>129542.36155197682</v>
      </c>
      <c r="D963">
        <v>123470.58548668586</v>
      </c>
      <c r="E963">
        <v>104890.82105870609</v>
      </c>
      <c r="F963">
        <v>43261.672227141193</v>
      </c>
      <c r="G963">
        <v>10000</v>
      </c>
      <c r="H963">
        <v>391165.44032450998</v>
      </c>
      <c r="I963">
        <v>41.291136508369163</v>
      </c>
    </row>
    <row r="964" spans="1:9" x14ac:dyDescent="0.2">
      <c r="A964">
        <v>954</v>
      </c>
      <c r="B964">
        <v>1601114.5585613139</v>
      </c>
      <c r="C964">
        <v>129376.07144596799</v>
      </c>
      <c r="D964">
        <v>102885.59304781907</v>
      </c>
      <c r="E964">
        <v>170661.13740709002</v>
      </c>
      <c r="F964">
        <v>47815.001820490848</v>
      </c>
      <c r="G964">
        <v>10000</v>
      </c>
      <c r="H964">
        <v>440737.80372136791</v>
      </c>
      <c r="I964">
        <v>42.562357902303823</v>
      </c>
    </row>
    <row r="965" spans="1:9" x14ac:dyDescent="0.2">
      <c r="A965">
        <v>955</v>
      </c>
      <c r="B965">
        <v>946133.28360346903</v>
      </c>
      <c r="C965">
        <v>96533.321992249024</v>
      </c>
      <c r="D965">
        <v>47392.950220131082</v>
      </c>
      <c r="E965">
        <v>85393.477198280423</v>
      </c>
      <c r="F965">
        <v>41911.856113727103</v>
      </c>
      <c r="G965">
        <v>10000</v>
      </c>
      <c r="H965">
        <v>261231.60552438762</v>
      </c>
      <c r="I965">
        <v>32.925720473220338</v>
      </c>
    </row>
    <row r="966" spans="1:9" x14ac:dyDescent="0.2">
      <c r="A966">
        <v>956</v>
      </c>
      <c r="B966">
        <v>1042689.6745638424</v>
      </c>
      <c r="C966">
        <v>102044.26847493766</v>
      </c>
      <c r="D966">
        <v>96533.593883529946</v>
      </c>
      <c r="E966">
        <v>59029.620869345817</v>
      </c>
      <c r="F966">
        <v>40086.666060185475</v>
      </c>
      <c r="G966">
        <v>10000</v>
      </c>
      <c r="H966">
        <v>287694.14928799891</v>
      </c>
      <c r="I966">
        <v>31.339745776808581</v>
      </c>
    </row>
    <row r="967" spans="1:9" x14ac:dyDescent="0.2">
      <c r="A967">
        <v>957</v>
      </c>
      <c r="B967">
        <v>976151.00940722309</v>
      </c>
      <c r="C967">
        <v>104641.93328251278</v>
      </c>
      <c r="D967">
        <v>58854.753070051207</v>
      </c>
      <c r="E967">
        <v>74784.29581389502</v>
      </c>
      <c r="F967">
        <v>41177.374325577352</v>
      </c>
      <c r="G967">
        <v>10000</v>
      </c>
      <c r="H967">
        <v>269458.35649203637</v>
      </c>
      <c r="I967">
        <v>33.806826564032107</v>
      </c>
    </row>
    <row r="968" spans="1:9" x14ac:dyDescent="0.2">
      <c r="A968">
        <v>958</v>
      </c>
      <c r="B968">
        <v>1204054.8847914466</v>
      </c>
      <c r="C968">
        <v>154390.22404521157</v>
      </c>
      <c r="D968">
        <v>53601.393616530062</v>
      </c>
      <c r="E968">
        <v>91586.198300792123</v>
      </c>
      <c r="F968">
        <v>42340.58295928561</v>
      </c>
      <c r="G968">
        <v>10000</v>
      </c>
      <c r="H968">
        <v>331918.39892181935</v>
      </c>
      <c r="I968">
        <v>34.94426897239606</v>
      </c>
    </row>
    <row r="969" spans="1:9" x14ac:dyDescent="0.2">
      <c r="A969">
        <v>959</v>
      </c>
      <c r="B969">
        <v>1030339.5184440461</v>
      </c>
      <c r="C969">
        <v>117733.76600000155</v>
      </c>
      <c r="D969">
        <v>100102.85465081551</v>
      </c>
      <c r="E969">
        <v>37852.265141318123</v>
      </c>
      <c r="F969">
        <v>38620.541432860482</v>
      </c>
      <c r="G969">
        <v>10000</v>
      </c>
      <c r="H969">
        <v>284309.42722499568</v>
      </c>
      <c r="I969">
        <v>40.826916404300675</v>
      </c>
    </row>
    <row r="970" spans="1:9" x14ac:dyDescent="0.2">
      <c r="A970">
        <v>960</v>
      </c>
      <c r="B970">
        <v>1051306.8293327196</v>
      </c>
      <c r="C970">
        <v>124694.35066797101</v>
      </c>
      <c r="D970">
        <v>59674.624167578135</v>
      </c>
      <c r="E970">
        <v>74527.240413092339</v>
      </c>
      <c r="F970">
        <v>41159.57818244485</v>
      </c>
      <c r="G970">
        <v>10000</v>
      </c>
      <c r="H970">
        <v>290055.79343108635</v>
      </c>
      <c r="I970">
        <v>48.521963171170171</v>
      </c>
    </row>
    <row r="971" spans="1:9" x14ac:dyDescent="0.2">
      <c r="A971">
        <v>961</v>
      </c>
      <c r="B971">
        <v>1671959.9184959803</v>
      </c>
      <c r="C971">
        <v>111516.77299852761</v>
      </c>
      <c r="D971">
        <v>138824.07545096922</v>
      </c>
      <c r="E971">
        <v>171911.48952688149</v>
      </c>
      <c r="F971">
        <v>47901.564659553333</v>
      </c>
      <c r="G971">
        <v>10000</v>
      </c>
      <c r="H971">
        <v>460153.90263593168</v>
      </c>
      <c r="I971">
        <v>41.022350627567462</v>
      </c>
    </row>
    <row r="972" spans="1:9" x14ac:dyDescent="0.2">
      <c r="A972">
        <v>962</v>
      </c>
      <c r="B972">
        <v>768088.72622542793</v>
      </c>
      <c r="C972">
        <v>76566.349875388987</v>
      </c>
      <c r="D972">
        <v>68565.917938521641</v>
      </c>
      <c r="E972">
        <v>38629.541620896991</v>
      </c>
      <c r="F972">
        <v>38674.352881446714</v>
      </c>
      <c r="G972">
        <v>10000</v>
      </c>
      <c r="H972">
        <v>212436.16231625431</v>
      </c>
      <c r="I972">
        <v>31.491531731651072</v>
      </c>
    </row>
    <row r="973" spans="1:9" x14ac:dyDescent="0.2">
      <c r="A973">
        <v>963</v>
      </c>
      <c r="B973">
        <v>1717231.4552583168</v>
      </c>
      <c r="C973">
        <v>102919.05257611518</v>
      </c>
      <c r="D973">
        <v>151753.53024542128</v>
      </c>
      <c r="E973">
        <v>179464.13722035463</v>
      </c>
      <c r="F973">
        <v>48424.440269101477</v>
      </c>
      <c r="G973">
        <v>10000</v>
      </c>
      <c r="H973">
        <v>472561.16031099256</v>
      </c>
      <c r="I973">
        <v>25.267670292318165</v>
      </c>
    </row>
    <row r="974" spans="1:9" x14ac:dyDescent="0.2">
      <c r="A974">
        <v>964</v>
      </c>
      <c r="B974">
        <v>1723234.6093325946</v>
      </c>
      <c r="C974">
        <v>153665.57935531661</v>
      </c>
      <c r="D974">
        <v>93665.356771434075</v>
      </c>
      <c r="E974">
        <v>187869.14198130989</v>
      </c>
      <c r="F974">
        <v>49006.325214090684</v>
      </c>
      <c r="G974">
        <v>10000</v>
      </c>
      <c r="H974">
        <v>474206.40332215128</v>
      </c>
      <c r="I974">
        <v>37.622315658041842</v>
      </c>
    </row>
    <row r="975" spans="1:9" x14ac:dyDescent="0.2">
      <c r="A975">
        <v>965</v>
      </c>
      <c r="B975">
        <v>1728697.9057519785</v>
      </c>
      <c r="C975">
        <v>104371.81827195107</v>
      </c>
      <c r="D975">
        <v>147677.00312059183</v>
      </c>
      <c r="E975">
        <v>184857.07254841275</v>
      </c>
      <c r="F975">
        <v>48797.797330274734</v>
      </c>
      <c r="G975">
        <v>10000</v>
      </c>
      <c r="H975">
        <v>475703.69127123035</v>
      </c>
      <c r="I975">
        <v>29.106630262006188</v>
      </c>
    </row>
    <row r="976" spans="1:9" x14ac:dyDescent="0.2">
      <c r="A976">
        <v>966</v>
      </c>
      <c r="B976">
        <v>1334557.5978478964</v>
      </c>
      <c r="C976">
        <v>87201.400049767806</v>
      </c>
      <c r="D976">
        <v>89357.543465726048</v>
      </c>
      <c r="E976">
        <v>154433.85858802454</v>
      </c>
      <c r="F976">
        <v>46691.57482532478</v>
      </c>
      <c r="G976">
        <v>10000</v>
      </c>
      <c r="H976">
        <v>367684.37692884315</v>
      </c>
      <c r="I976">
        <v>43.860430955654465</v>
      </c>
    </row>
    <row r="977" spans="1:9" x14ac:dyDescent="0.2">
      <c r="A977">
        <v>967</v>
      </c>
      <c r="B977">
        <v>1065223.2739023657</v>
      </c>
      <c r="C977">
        <v>155677.10586302742</v>
      </c>
      <c r="D977">
        <v>71154.550780682024</v>
      </c>
      <c r="E977">
        <v>38380.976210462075</v>
      </c>
      <c r="F977">
        <v>38657.14450687814</v>
      </c>
      <c r="G977">
        <v>10000</v>
      </c>
      <c r="H977">
        <v>293869.77736104972</v>
      </c>
      <c r="I977">
        <v>24.216885769301602</v>
      </c>
    </row>
    <row r="978" spans="1:9" x14ac:dyDescent="0.2">
      <c r="A978">
        <v>968</v>
      </c>
      <c r="B978">
        <v>1203225.947477703</v>
      </c>
      <c r="C978">
        <v>110351.52852289457</v>
      </c>
      <c r="D978">
        <v>133800.36994197269</v>
      </c>
      <c r="E978">
        <v>57554.759083389254</v>
      </c>
      <c r="F978">
        <v>39984.560244234635</v>
      </c>
      <c r="G978">
        <v>10000</v>
      </c>
      <c r="H978">
        <v>331691.21779249114</v>
      </c>
      <c r="I978">
        <v>26.159925882769304</v>
      </c>
    </row>
    <row r="979" spans="1:9" x14ac:dyDescent="0.2">
      <c r="A979">
        <v>969</v>
      </c>
      <c r="B979">
        <v>1634443.768427257</v>
      </c>
      <c r="C979">
        <v>150327.98363466084</v>
      </c>
      <c r="D979">
        <v>69146.508850212675</v>
      </c>
      <c r="E979">
        <v>191163.23965924646</v>
      </c>
      <c r="F979">
        <v>49234.378130255522</v>
      </c>
      <c r="G979">
        <v>10000</v>
      </c>
      <c r="H979">
        <v>449872.11027437547</v>
      </c>
      <c r="I979">
        <v>29.9809877650967</v>
      </c>
    </row>
    <row r="980" spans="1:9" x14ac:dyDescent="0.2">
      <c r="A980">
        <v>970</v>
      </c>
      <c r="B980">
        <v>1271453.684377498</v>
      </c>
      <c r="C980">
        <v>108946.40709141029</v>
      </c>
      <c r="D980">
        <v>90870.939875543816</v>
      </c>
      <c r="E980">
        <v>116506.72562293659</v>
      </c>
      <c r="F980">
        <v>44065.850235434074</v>
      </c>
      <c r="G980">
        <v>10000</v>
      </c>
      <c r="H980">
        <v>350389.92282532476</v>
      </c>
      <c r="I980">
        <v>27.091159118084921</v>
      </c>
    </row>
    <row r="981" spans="1:9" x14ac:dyDescent="0.2">
      <c r="A981">
        <v>971</v>
      </c>
      <c r="B981">
        <v>1274172.1753985928</v>
      </c>
      <c r="C981">
        <v>125999.52911486245</v>
      </c>
      <c r="D981">
        <v>56393.157557667211</v>
      </c>
      <c r="E981">
        <v>133499.96870193133</v>
      </c>
      <c r="F981">
        <v>45242.305525518321</v>
      </c>
      <c r="G981">
        <v>10000</v>
      </c>
      <c r="H981">
        <v>351134.96089997928</v>
      </c>
      <c r="I981">
        <v>27.791995654783094</v>
      </c>
    </row>
    <row r="982" spans="1:9" x14ac:dyDescent="0.2">
      <c r="A982">
        <v>972</v>
      </c>
      <c r="B982">
        <v>894253.66553740809</v>
      </c>
      <c r="C982">
        <v>93460.133455192685</v>
      </c>
      <c r="D982">
        <v>71942.474642774003</v>
      </c>
      <c r="E982">
        <v>52010.015152161344</v>
      </c>
      <c r="F982">
        <v>39600.693356688091</v>
      </c>
      <c r="G982">
        <v>10000</v>
      </c>
      <c r="H982">
        <v>247013.31660681614</v>
      </c>
      <c r="I982">
        <v>43.732255588271073</v>
      </c>
    </row>
    <row r="983" spans="1:9" x14ac:dyDescent="0.2">
      <c r="A983">
        <v>973</v>
      </c>
      <c r="B983">
        <v>1202381.1212178117</v>
      </c>
      <c r="C983">
        <v>111520.00133931321</v>
      </c>
      <c r="D983">
        <v>115325.66467128125</v>
      </c>
      <c r="E983">
        <v>73523.899929759355</v>
      </c>
      <c r="F983">
        <v>41090.116148983339</v>
      </c>
      <c r="G983">
        <v>10000</v>
      </c>
      <c r="H983">
        <v>331459.68208933715</v>
      </c>
      <c r="I983">
        <v>36.77360499387008</v>
      </c>
    </row>
    <row r="984" spans="1:9" x14ac:dyDescent="0.2">
      <c r="A984">
        <v>974</v>
      </c>
      <c r="B984">
        <v>1091003.057522641</v>
      </c>
      <c r="C984">
        <v>135901.09307877734</v>
      </c>
      <c r="D984">
        <v>88246.987671862662</v>
      </c>
      <c r="E984">
        <v>47498.618137548321</v>
      </c>
      <c r="F984">
        <v>39288.36587106104</v>
      </c>
      <c r="G984">
        <v>10000</v>
      </c>
      <c r="H984">
        <v>300935.06475924939</v>
      </c>
      <c r="I984">
        <v>34.14039904363014</v>
      </c>
    </row>
    <row r="985" spans="1:9" x14ac:dyDescent="0.2">
      <c r="A985">
        <v>975</v>
      </c>
      <c r="B985">
        <v>1242119.7203881708</v>
      </c>
      <c r="C985">
        <v>125970.0042223726</v>
      </c>
      <c r="D985">
        <v>45651.466623183158</v>
      </c>
      <c r="E985">
        <v>135358.14630389394</v>
      </c>
      <c r="F985">
        <v>45370.948590269574</v>
      </c>
      <c r="G985">
        <v>10000</v>
      </c>
      <c r="H985">
        <v>342350.56573971931</v>
      </c>
      <c r="I985">
        <v>43.552968752580959</v>
      </c>
    </row>
    <row r="986" spans="1:9" x14ac:dyDescent="0.2">
      <c r="A986">
        <v>976</v>
      </c>
      <c r="B986">
        <v>1224749.0131638893</v>
      </c>
      <c r="C986">
        <v>82592.34582798279</v>
      </c>
      <c r="D986">
        <v>73996.037127869015</v>
      </c>
      <c r="E986">
        <v>144965.44374279262</v>
      </c>
      <c r="F986">
        <v>46036.069182193336</v>
      </c>
      <c r="G986">
        <v>10000</v>
      </c>
      <c r="H986">
        <v>337589.89588083775</v>
      </c>
      <c r="I986">
        <v>25.660587858422197</v>
      </c>
    </row>
    <row r="987" spans="1:9" x14ac:dyDescent="0.2">
      <c r="A987">
        <v>977</v>
      </c>
      <c r="B987">
        <v>1613094.0242720167</v>
      </c>
      <c r="C987">
        <v>131551.97738903729</v>
      </c>
      <c r="D987">
        <v>121083.62840522558</v>
      </c>
      <c r="E987">
        <v>154676.92493239266</v>
      </c>
      <c r="F987">
        <v>46708.402495319489</v>
      </c>
      <c r="G987">
        <v>10000</v>
      </c>
      <c r="H987">
        <v>444020.93322197499</v>
      </c>
      <c r="I987">
        <v>27.371117650267728</v>
      </c>
    </row>
    <row r="988" spans="1:9" x14ac:dyDescent="0.2">
      <c r="A988">
        <v>978</v>
      </c>
      <c r="B988">
        <v>1455344.6267323173</v>
      </c>
      <c r="C988">
        <v>154324.07737584796</v>
      </c>
      <c r="D988">
        <v>148223.85657176067</v>
      </c>
      <c r="E988">
        <v>67562.31914673053</v>
      </c>
      <c r="F988">
        <v>40677.391325542885</v>
      </c>
      <c r="G988">
        <v>10000</v>
      </c>
      <c r="H988">
        <v>400787.64441988204</v>
      </c>
      <c r="I988">
        <v>42.902244694005155</v>
      </c>
    </row>
    <row r="989" spans="1:9" x14ac:dyDescent="0.2">
      <c r="A989">
        <v>979</v>
      </c>
      <c r="B989">
        <v>972411.35321849049</v>
      </c>
      <c r="C989">
        <v>110587.83771480768</v>
      </c>
      <c r="D989">
        <v>53632.791928475694</v>
      </c>
      <c r="E989">
        <v>73148.685329761822</v>
      </c>
      <c r="F989">
        <v>41064.139753598894</v>
      </c>
      <c r="G989">
        <v>10000</v>
      </c>
      <c r="H989">
        <v>268433.45472664409</v>
      </c>
      <c r="I989">
        <v>36.100247428847567</v>
      </c>
    </row>
    <row r="990" spans="1:9" x14ac:dyDescent="0.2">
      <c r="A990">
        <v>980</v>
      </c>
      <c r="B990">
        <v>989219.98511408223</v>
      </c>
      <c r="C990">
        <v>104798.8971797073</v>
      </c>
      <c r="D990">
        <v>91435.872364980794</v>
      </c>
      <c r="E990">
        <v>47515.75842768584</v>
      </c>
      <c r="F990">
        <v>39289.552506532098</v>
      </c>
      <c r="G990">
        <v>10000</v>
      </c>
      <c r="H990">
        <v>273040.08047890605</v>
      </c>
      <c r="I990">
        <v>30.344185070521174</v>
      </c>
    </row>
    <row r="991" spans="1:9" x14ac:dyDescent="0.2">
      <c r="A991">
        <v>981</v>
      </c>
      <c r="B991">
        <v>1311424.8360785739</v>
      </c>
      <c r="C991">
        <v>90965.391460491446</v>
      </c>
      <c r="D991">
        <v>61843.776740739369</v>
      </c>
      <c r="E991">
        <v>170716.53528369212</v>
      </c>
      <c r="F991">
        <v>47818.837058101766</v>
      </c>
      <c r="G991">
        <v>10000</v>
      </c>
      <c r="H991">
        <v>361344.54054302472</v>
      </c>
      <c r="I991">
        <v>39.199271580205178</v>
      </c>
    </row>
    <row r="992" spans="1:9" x14ac:dyDescent="0.2">
      <c r="A992">
        <v>982</v>
      </c>
      <c r="B992">
        <v>1171576.6701980869</v>
      </c>
      <c r="C992">
        <v>79512.194219584111</v>
      </c>
      <c r="D992">
        <v>149383.8138957452</v>
      </c>
      <c r="E992">
        <v>63710.578310781806</v>
      </c>
      <c r="F992">
        <v>40410.732344592587</v>
      </c>
      <c r="G992">
        <v>10000</v>
      </c>
      <c r="H992">
        <v>323017.31877070369</v>
      </c>
      <c r="I992">
        <v>42.01914528170208</v>
      </c>
    </row>
    <row r="993" spans="1:9" x14ac:dyDescent="0.2">
      <c r="A993">
        <v>983</v>
      </c>
      <c r="B993">
        <v>1173960.1563410852</v>
      </c>
      <c r="C993">
        <v>118664.78183708417</v>
      </c>
      <c r="D993">
        <v>61415.889551381799</v>
      </c>
      <c r="E993">
        <v>109976.14019873207</v>
      </c>
      <c r="F993">
        <v>43613.732782989144</v>
      </c>
      <c r="G993">
        <v>10000</v>
      </c>
      <c r="H993">
        <v>323670.54437018721</v>
      </c>
      <c r="I993">
        <v>33.486835725165307</v>
      </c>
    </row>
    <row r="994" spans="1:9" x14ac:dyDescent="0.2">
      <c r="A994">
        <v>984</v>
      </c>
      <c r="B994">
        <v>1099258.9911465608</v>
      </c>
      <c r="C994">
        <v>117912.83871748342</v>
      </c>
      <c r="D994">
        <v>35571.968336166683</v>
      </c>
      <c r="E994">
        <v>115702.71640346629</v>
      </c>
      <c r="F994">
        <v>44010.188058701511</v>
      </c>
      <c r="G994">
        <v>10000</v>
      </c>
      <c r="H994">
        <v>303197.71151581791</v>
      </c>
      <c r="I994">
        <v>28.288114312087039</v>
      </c>
    </row>
    <row r="995" spans="1:9" x14ac:dyDescent="0.2">
      <c r="A995">
        <v>985</v>
      </c>
      <c r="B995">
        <v>1377073.2649889751</v>
      </c>
      <c r="C995">
        <v>110506.73065394959</v>
      </c>
      <c r="D995">
        <v>36895.510167885062</v>
      </c>
      <c r="E995">
        <v>192600.24827059617</v>
      </c>
      <c r="F995">
        <v>49333.863341810502</v>
      </c>
      <c r="G995">
        <v>10000</v>
      </c>
      <c r="H995">
        <v>379336.35243424133</v>
      </c>
      <c r="I995">
        <v>24.834243916911142</v>
      </c>
    </row>
    <row r="996" spans="1:9" x14ac:dyDescent="0.2">
      <c r="A996">
        <v>986</v>
      </c>
      <c r="B996">
        <v>1317020.9434867287</v>
      </c>
      <c r="C996">
        <v>113900.41273626412</v>
      </c>
      <c r="D996">
        <v>70615.991083803543</v>
      </c>
      <c r="E996">
        <v>142496.66923900088</v>
      </c>
      <c r="F996">
        <v>45865.154024238524</v>
      </c>
      <c r="G996">
        <v>10000</v>
      </c>
      <c r="H996">
        <v>362878.22708330705</v>
      </c>
      <c r="I996">
        <v>32.074463572610895</v>
      </c>
    </row>
    <row r="997" spans="1:9" x14ac:dyDescent="0.2">
      <c r="A997">
        <v>987</v>
      </c>
      <c r="B997">
        <v>1924199.4107043869</v>
      </c>
      <c r="C997">
        <v>154019.62768200357</v>
      </c>
      <c r="D997">
        <v>153744.57926614454</v>
      </c>
      <c r="E997">
        <v>182859.7140244921</v>
      </c>
      <c r="F997">
        <v>48659.518663234063</v>
      </c>
      <c r="G997">
        <v>10000</v>
      </c>
      <c r="H997">
        <v>529283.43963587424</v>
      </c>
      <c r="I997">
        <v>27.902917959482714</v>
      </c>
    </row>
    <row r="998" spans="1:9" x14ac:dyDescent="0.2">
      <c r="A998">
        <v>988</v>
      </c>
      <c r="B998">
        <v>996915.90746090678</v>
      </c>
      <c r="C998">
        <v>104924.98135907839</v>
      </c>
      <c r="D998">
        <v>90812.817184689891</v>
      </c>
      <c r="E998">
        <v>49953.154924534509</v>
      </c>
      <c r="F998">
        <v>39458.295340929311</v>
      </c>
      <c r="G998">
        <v>10000</v>
      </c>
      <c r="H998">
        <v>275149.24880923209</v>
      </c>
      <c r="I998">
        <v>49.793643500480954</v>
      </c>
    </row>
    <row r="999" spans="1:9" x14ac:dyDescent="0.2">
      <c r="A999">
        <v>989</v>
      </c>
      <c r="B999">
        <v>1444725.7660742926</v>
      </c>
      <c r="C999">
        <v>114373.19102925248</v>
      </c>
      <c r="D999">
        <v>46645.181691576188</v>
      </c>
      <c r="E999">
        <v>197206.29063808243</v>
      </c>
      <c r="F999">
        <v>49652.743198021089</v>
      </c>
      <c r="G999">
        <v>10000</v>
      </c>
      <c r="H999">
        <v>397877.4065569322</v>
      </c>
      <c r="I999">
        <v>35.03023342633405</v>
      </c>
    </row>
    <row r="1000" spans="1:9" x14ac:dyDescent="0.2">
      <c r="A1000">
        <v>990</v>
      </c>
      <c r="B1000">
        <v>786138.77365824161</v>
      </c>
      <c r="C1000">
        <v>91139.967403576535</v>
      </c>
      <c r="D1000">
        <v>64551.229972813475</v>
      </c>
      <c r="E1000">
        <v>33380.835932594178</v>
      </c>
      <c r="F1000">
        <v>38310.980949179597</v>
      </c>
      <c r="G1000">
        <v>10000</v>
      </c>
      <c r="H1000">
        <v>217383.01425816378</v>
      </c>
      <c r="I1000">
        <v>31.204275288548665</v>
      </c>
    </row>
    <row r="1001" spans="1:9" x14ac:dyDescent="0.2">
      <c r="A1001">
        <v>991</v>
      </c>
      <c r="B1001">
        <v>1428265.2481625176</v>
      </c>
      <c r="C1001">
        <v>78771.280943282676</v>
      </c>
      <c r="D1001">
        <v>103364.13658733755</v>
      </c>
      <c r="E1001">
        <v>173237.40936170702</v>
      </c>
      <c r="F1001">
        <v>47993.359109656645</v>
      </c>
      <c r="G1001">
        <v>10000</v>
      </c>
      <c r="H1001">
        <v>393366.18600198394</v>
      </c>
      <c r="I1001">
        <v>36.057054489998833</v>
      </c>
    </row>
    <row r="1002" spans="1:9" x14ac:dyDescent="0.2">
      <c r="A1002">
        <v>992</v>
      </c>
      <c r="B1002">
        <v>1020903.0609715703</v>
      </c>
      <c r="C1002">
        <v>104322.10091572843</v>
      </c>
      <c r="D1002">
        <v>89008.286008509996</v>
      </c>
      <c r="E1002">
        <v>58353.030341939615</v>
      </c>
      <c r="F1002">
        <v>40039.825177518891</v>
      </c>
      <c r="G1002">
        <v>10000</v>
      </c>
      <c r="H1002">
        <v>281723.24244369694</v>
      </c>
      <c r="I1002">
        <v>42.566976132253629</v>
      </c>
    </row>
    <row r="1003" spans="1:9" x14ac:dyDescent="0.2">
      <c r="A1003">
        <v>993</v>
      </c>
      <c r="B1003">
        <v>1239637.2871192419</v>
      </c>
      <c r="C1003">
        <v>86464.407206405915</v>
      </c>
      <c r="D1003">
        <v>129649.40067309965</v>
      </c>
      <c r="E1003">
        <v>93110.315723849242</v>
      </c>
      <c r="F1003">
        <v>42446.098780881875</v>
      </c>
      <c r="G1003">
        <v>10000</v>
      </c>
      <c r="H1003">
        <v>341670.22238423664</v>
      </c>
      <c r="I1003">
        <v>28.100811536011754</v>
      </c>
    </row>
    <row r="1004" spans="1:9" x14ac:dyDescent="0.2">
      <c r="A1004">
        <v>994</v>
      </c>
      <c r="B1004">
        <v>1753223.9175035192</v>
      </c>
      <c r="C1004">
        <v>121252.61719316228</v>
      </c>
      <c r="D1004">
        <v>113355.50645262828</v>
      </c>
      <c r="E1004">
        <v>207454.9749246951</v>
      </c>
      <c r="F1004">
        <v>50362.267494786582</v>
      </c>
      <c r="G1004">
        <v>10000</v>
      </c>
      <c r="H1004">
        <v>482425.36606527225</v>
      </c>
      <c r="I1004">
        <v>38.023517838360178</v>
      </c>
    </row>
    <row r="1005" spans="1:9" x14ac:dyDescent="0.2">
      <c r="A1005">
        <v>995</v>
      </c>
      <c r="B1005">
        <v>970099.28585647256</v>
      </c>
      <c r="C1005">
        <v>84801.833020827791</v>
      </c>
      <c r="D1005">
        <v>104007.22825065446</v>
      </c>
      <c r="E1005">
        <v>49559.685928478029</v>
      </c>
      <c r="F1005">
        <v>39431.055179663861</v>
      </c>
      <c r="G1005">
        <v>10000</v>
      </c>
      <c r="H1005">
        <v>267799.80237962416</v>
      </c>
      <c r="I1005">
        <v>30.858920000376905</v>
      </c>
    </row>
    <row r="1006" spans="1:9" x14ac:dyDescent="0.2">
      <c r="A1006">
        <v>996</v>
      </c>
      <c r="B1006">
        <v>1395579.4387272669</v>
      </c>
      <c r="C1006">
        <v>118660.3807373005</v>
      </c>
      <c r="D1006">
        <v>139832.02843007247</v>
      </c>
      <c r="E1006">
        <v>93446.434084206456</v>
      </c>
      <c r="F1006">
        <v>42469.368513521986</v>
      </c>
      <c r="G1006">
        <v>10000</v>
      </c>
      <c r="H1006">
        <v>384408.21176510141</v>
      </c>
      <c r="I1006">
        <v>39.631844762248974</v>
      </c>
    </row>
    <row r="1007" spans="1:9" x14ac:dyDescent="0.2">
      <c r="A1007">
        <v>997</v>
      </c>
      <c r="B1007">
        <v>778593.64194374974</v>
      </c>
      <c r="C1007">
        <v>91685.890827148134</v>
      </c>
      <c r="D1007">
        <v>55115.296899616034</v>
      </c>
      <c r="E1007">
        <v>39761.280326511063</v>
      </c>
      <c r="F1007">
        <v>38752.704022604608</v>
      </c>
      <c r="G1007">
        <v>10000</v>
      </c>
      <c r="H1007">
        <v>215315.17207587988</v>
      </c>
      <c r="I1007">
        <v>41.578898394557825</v>
      </c>
    </row>
    <row r="1008" spans="1:9" x14ac:dyDescent="0.2">
      <c r="A1008">
        <v>998</v>
      </c>
      <c r="B1008">
        <v>1202603.9773868793</v>
      </c>
      <c r="C1008">
        <v>90122.438384115332</v>
      </c>
      <c r="D1008">
        <v>123383.35987222819</v>
      </c>
      <c r="E1008">
        <v>86057.157288490373</v>
      </c>
      <c r="F1008">
        <v>41957.803196895489</v>
      </c>
      <c r="G1008">
        <v>10000</v>
      </c>
      <c r="H1008">
        <v>331520.75874172943</v>
      </c>
      <c r="I1008">
        <v>36.218951958989294</v>
      </c>
    </row>
    <row r="1009" spans="1:9" x14ac:dyDescent="0.2">
      <c r="A1009">
        <v>999</v>
      </c>
      <c r="B1009">
        <v>1328037.8740064171</v>
      </c>
      <c r="C1009">
        <v>112835.23451351361</v>
      </c>
      <c r="D1009">
        <v>88599.709256175731</v>
      </c>
      <c r="E1009">
        <v>129497.41199105735</v>
      </c>
      <c r="F1009">
        <v>44965.205445534739</v>
      </c>
      <c r="G1009">
        <v>10000</v>
      </c>
      <c r="H1009">
        <v>365897.56120628142</v>
      </c>
      <c r="I1009">
        <v>39.971709526869446</v>
      </c>
    </row>
    <row r="1010" spans="1:9" x14ac:dyDescent="0.2">
      <c r="A1010">
        <v>1000</v>
      </c>
      <c r="B1010">
        <v>1530258.7394080916</v>
      </c>
      <c r="C1010">
        <v>121361.80615686509</v>
      </c>
      <c r="D1010">
        <v>88259.213317698712</v>
      </c>
      <c r="E1010">
        <v>173674.21906496593</v>
      </c>
      <c r="F1010">
        <v>48023.599781420715</v>
      </c>
      <c r="G1010">
        <v>10000</v>
      </c>
      <c r="H1010">
        <v>421318.83832095045</v>
      </c>
      <c r="I1010">
        <v>41.882814436828085</v>
      </c>
    </row>
    <row r="1015" spans="1:9" ht="19" x14ac:dyDescent="0.25">
      <c r="A1015" s="4" t="s">
        <v>630</v>
      </c>
    </row>
    <row r="1016" spans="1:9" x14ac:dyDescent="0.2">
      <c r="A1016" t="s">
        <v>631</v>
      </c>
      <c r="B1016" s="15">
        <f>AVERAGE(B11:B1010)</f>
        <v>1298032.8397127467</v>
      </c>
    </row>
    <row r="1017" spans="1:9" x14ac:dyDescent="0.2">
      <c r="A1017" t="s">
        <v>632</v>
      </c>
      <c r="B1017" s="15">
        <f>PERCENTILE(B11:B1010,0.1)</f>
        <v>961481.92524010187</v>
      </c>
    </row>
    <row r="1018" spans="1:9" x14ac:dyDescent="0.2">
      <c r="A1018" t="s">
        <v>633</v>
      </c>
      <c r="B1018" s="15">
        <f>PERCENTILE(B11:B1010,0.5)</f>
        <v>1297530.1394404122</v>
      </c>
    </row>
    <row r="1019" spans="1:9" x14ac:dyDescent="0.2">
      <c r="A1019" t="s">
        <v>634</v>
      </c>
      <c r="B1019" s="15">
        <f>PERCENTILE(B11:B1010,0.9)</f>
        <v>1641748.4212753919</v>
      </c>
    </row>
    <row r="1020" spans="1:9" x14ac:dyDescent="0.2">
      <c r="A1020" t="s">
        <v>635</v>
      </c>
      <c r="B1020" s="15">
        <f>STDEV(B11:B1010)</f>
        <v>256178.04883587724</v>
      </c>
    </row>
    <row r="1021" spans="1:9" x14ac:dyDescent="0.2">
      <c r="A1021" t="s">
        <v>636</v>
      </c>
      <c r="B1021" s="25">
        <f>COUNTIF(B11:B1010,"&gt;0")/1000</f>
        <v>1</v>
      </c>
    </row>
    <row r="1023" spans="1:9" ht="19" x14ac:dyDescent="0.25">
      <c r="A1023" s="4" t="s">
        <v>637</v>
      </c>
    </row>
    <row r="1024" spans="1:9" x14ac:dyDescent="0.2">
      <c r="A1024" t="s">
        <v>638</v>
      </c>
      <c r="B1024" s="23">
        <f>IFERROR(AVERAGE(I11:I1010),"Run MC")</f>
        <v>36.574434855323922</v>
      </c>
    </row>
    <row r="1025" spans="1:2" x14ac:dyDescent="0.2">
      <c r="A1025" t="s">
        <v>639</v>
      </c>
      <c r="B1025" s="23">
        <f>IFERROR(PERCENTILE(I11:I1010,0.1),"Run MC")</f>
        <v>28.144578637324745</v>
      </c>
    </row>
    <row r="1026" spans="1:2" x14ac:dyDescent="0.2">
      <c r="A1026" t="s">
        <v>640</v>
      </c>
      <c r="B1026" s="23">
        <f>IFERROR(PERCENTILE(I11:I1010,0.5),"Run MC")</f>
        <v>35.48124993914908</v>
      </c>
    </row>
    <row r="1027" spans="1:2" x14ac:dyDescent="0.2">
      <c r="A1027" t="s">
        <v>641</v>
      </c>
      <c r="B1027" s="23">
        <f>IFERROR(PERCENTILE(I11:I1010,0.9),"Run MC")</f>
        <v>46.323506191226841</v>
      </c>
    </row>
    <row r="1028" spans="1:2" x14ac:dyDescent="0.2">
      <c r="A1028" t="s">
        <v>642</v>
      </c>
      <c r="B1028" s="25">
        <f>IFERROR(COUNTIF(I11:I1010,"&lt;="&amp;Season_Length)/1000,"Run MC")</f>
        <v>1</v>
      </c>
    </row>
  </sheetData>
  <mergeCells count="2">
    <mergeCell ref="A4:E4"/>
    <mergeCell ref="A3:E3"/>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4472C4"/>
  </sheetPr>
  <dimension ref="A1:D4"/>
  <sheetViews>
    <sheetView workbookViewId="0"/>
  </sheetViews>
  <sheetFormatPr baseColWidth="10" defaultColWidth="8.83203125" defaultRowHeight="15" x14ac:dyDescent="0.2"/>
  <cols>
    <col min="1" max="1" width="60" customWidth="1"/>
    <col min="2" max="4" width="13" customWidth="1"/>
  </cols>
  <sheetData>
    <row r="1" spans="1:4" ht="21" x14ac:dyDescent="0.25">
      <c r="A1" s="5" t="s">
        <v>643</v>
      </c>
    </row>
    <row r="3" spans="1:4" x14ac:dyDescent="0.2">
      <c r="A3" s="36" t="s">
        <v>644</v>
      </c>
      <c r="B3" s="34"/>
      <c r="C3" s="34"/>
      <c r="D3" s="35"/>
    </row>
    <row r="4" spans="1:4" ht="312" customHeight="1" x14ac:dyDescent="0.2">
      <c r="A4" s="33" t="s">
        <v>645</v>
      </c>
      <c r="B4" s="34"/>
      <c r="C4" s="34"/>
      <c r="D4" s="35"/>
    </row>
  </sheetData>
  <mergeCells count="2">
    <mergeCell ref="A4:D4"/>
    <mergeCell ref="A3:D3"/>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4472C4"/>
  </sheetPr>
  <dimension ref="A1:J23"/>
  <sheetViews>
    <sheetView workbookViewId="0"/>
  </sheetViews>
  <sheetFormatPr baseColWidth="10" defaultColWidth="8.83203125" defaultRowHeight="15" x14ac:dyDescent="0.2"/>
  <cols>
    <col min="1" max="5" width="12" customWidth="1"/>
    <col min="6" max="6" width="14" customWidth="1"/>
    <col min="7" max="7" width="12" customWidth="1"/>
    <col min="8" max="8" width="14" customWidth="1"/>
    <col min="9" max="9" width="16" customWidth="1"/>
    <col min="10" max="10" width="14" customWidth="1"/>
  </cols>
  <sheetData>
    <row r="1" spans="1:10" ht="21" x14ac:dyDescent="0.25">
      <c r="A1" s="5" t="s">
        <v>646</v>
      </c>
    </row>
    <row r="3" spans="1:10" x14ac:dyDescent="0.2">
      <c r="A3" s="36" t="s">
        <v>647</v>
      </c>
      <c r="B3" s="34"/>
      <c r="C3" s="34"/>
      <c r="D3" s="34"/>
      <c r="E3" s="34"/>
      <c r="F3" s="34"/>
      <c r="G3" s="34"/>
      <c r="H3" s="34"/>
      <c r="I3" s="34"/>
      <c r="J3" s="35"/>
    </row>
    <row r="4" spans="1:10" ht="249.5" customHeight="1" x14ac:dyDescent="0.2">
      <c r="A4" s="33" t="s">
        <v>648</v>
      </c>
      <c r="B4" s="34"/>
      <c r="C4" s="34"/>
      <c r="D4" s="34"/>
      <c r="E4" s="34"/>
      <c r="F4" s="34"/>
      <c r="G4" s="34"/>
      <c r="H4" s="34"/>
      <c r="I4" s="34"/>
      <c r="J4" s="35"/>
    </row>
    <row r="6" spans="1:10" x14ac:dyDescent="0.2">
      <c r="A6" s="6" t="s">
        <v>646</v>
      </c>
    </row>
    <row r="7" spans="1:10" ht="15.5" customHeight="1" x14ac:dyDescent="0.2">
      <c r="A7" s="7" t="s">
        <v>46</v>
      </c>
      <c r="B7" s="31" t="s">
        <v>649</v>
      </c>
      <c r="C7" s="32"/>
      <c r="D7" s="32"/>
      <c r="E7" s="32"/>
      <c r="F7" s="32"/>
      <c r="G7" s="32"/>
      <c r="H7" s="32"/>
      <c r="I7" s="32"/>
      <c r="J7" s="32"/>
    </row>
    <row r="8" spans="1:10" ht="15.5" customHeight="1" x14ac:dyDescent="0.2">
      <c r="A8" s="7" t="s">
        <v>48</v>
      </c>
      <c r="B8" s="31" t="s">
        <v>650</v>
      </c>
      <c r="C8" s="32"/>
      <c r="D8" s="32"/>
      <c r="E8" s="32"/>
      <c r="F8" s="32"/>
      <c r="G8" s="32"/>
      <c r="H8" s="32"/>
      <c r="I8" s="32"/>
      <c r="J8" s="32"/>
    </row>
    <row r="9" spans="1:10" ht="46.75" customHeight="1" x14ac:dyDescent="0.2">
      <c r="A9" s="7" t="s">
        <v>50</v>
      </c>
      <c r="B9" s="31" t="s">
        <v>651</v>
      </c>
      <c r="C9" s="32"/>
      <c r="D9" s="32"/>
      <c r="E9" s="32"/>
      <c r="F9" s="32"/>
      <c r="G9" s="32"/>
      <c r="H9" s="32"/>
      <c r="I9" s="32"/>
      <c r="J9" s="32"/>
    </row>
    <row r="10" spans="1:10" ht="15.5" customHeight="1" x14ac:dyDescent="0.2">
      <c r="A10" s="7" t="s">
        <v>52</v>
      </c>
      <c r="B10" s="31" t="s">
        <v>652</v>
      </c>
      <c r="C10" s="32"/>
      <c r="D10" s="32"/>
      <c r="E10" s="32"/>
      <c r="F10" s="32"/>
      <c r="G10" s="32"/>
      <c r="H10" s="32"/>
      <c r="I10" s="32"/>
      <c r="J10" s="32"/>
    </row>
    <row r="11" spans="1:10" ht="15.5" customHeight="1" x14ac:dyDescent="0.2">
      <c r="A11" s="7" t="s">
        <v>54</v>
      </c>
      <c r="B11" s="31" t="s">
        <v>653</v>
      </c>
      <c r="C11" s="32"/>
      <c r="D11" s="32"/>
      <c r="E11" s="32"/>
      <c r="F11" s="32"/>
      <c r="G11" s="32"/>
      <c r="H11" s="32"/>
      <c r="I11" s="32"/>
      <c r="J11" s="32"/>
    </row>
    <row r="12" spans="1:10" x14ac:dyDescent="0.2">
      <c r="A12" s="8" t="s">
        <v>295</v>
      </c>
      <c r="B12" s="8" t="s">
        <v>654</v>
      </c>
      <c r="C12" s="8" t="s">
        <v>655</v>
      </c>
      <c r="D12" s="8" t="s">
        <v>656</v>
      </c>
      <c r="E12" s="8" t="s">
        <v>657</v>
      </c>
      <c r="F12" s="8" t="s">
        <v>658</v>
      </c>
      <c r="G12" s="8" t="s">
        <v>659</v>
      </c>
      <c r="H12" s="8" t="s">
        <v>660</v>
      </c>
      <c r="I12" s="8" t="s">
        <v>487</v>
      </c>
      <c r="J12" s="8" t="s">
        <v>661</v>
      </c>
    </row>
    <row r="13" spans="1:10" x14ac:dyDescent="0.2">
      <c r="A13">
        <f>Base_Year+0</f>
        <v>2026</v>
      </c>
      <c r="B13" s="15">
        <f ca="1">S1_Value*INDEX(Timeline_LearningMult,2)</f>
        <v>59118.544992739022</v>
      </c>
      <c r="C13" s="15">
        <f ca="1">S2_Value*INDEX(Timeline_LearningMult,2)</f>
        <v>86574.664547053428</v>
      </c>
      <c r="D13" s="15">
        <f ca="1">S3_Value*INDEX(Timeline_LearningMult,2)</f>
        <v>59182.374305724297</v>
      </c>
      <c r="E13" s="15">
        <f ca="1">S4_Value*INDEX(Timeline_LearningMult,2)</f>
        <v>22097.241298088604</v>
      </c>
      <c r="F13" s="15">
        <f ca="1">SUM(B13:E13)</f>
        <v>226972.82514360533</v>
      </c>
      <c r="G13" s="15">
        <f>Testing_Cost</f>
        <v>10000</v>
      </c>
      <c r="H13" s="15">
        <f ca="1">F13-G13</f>
        <v>216972.82514360533</v>
      </c>
      <c r="I13">
        <f>INDEX(Timeline_DiscountFactor,2)</f>
        <v>0.95419847328244267</v>
      </c>
      <c r="J13" s="15">
        <f ca="1">H13*I13</f>
        <v>207035.1384958066</v>
      </c>
    </row>
    <row r="14" spans="1:10" x14ac:dyDescent="0.2">
      <c r="A14">
        <f>Base_Year+1</f>
        <v>2027</v>
      </c>
      <c r="B14" s="15">
        <f ca="1">S1_Value*INDEX(Timeline_LearningMult,3)</f>
        <v>88677.817489108536</v>
      </c>
      <c r="C14" s="15">
        <f ca="1">S2_Value*INDEX(Timeline_LearningMult,3)</f>
        <v>129861.99682058014</v>
      </c>
      <c r="D14" s="15">
        <f ca="1">S3_Value*INDEX(Timeline_LearningMult,3)</f>
        <v>88773.561458586453</v>
      </c>
      <c r="E14" s="15">
        <f ca="1">S4_Value*INDEX(Timeline_LearningMult,3)</f>
        <v>33145.861947132908</v>
      </c>
      <c r="F14" s="15">
        <f ca="1">SUM(B14:E14)</f>
        <v>340459.23771540803</v>
      </c>
      <c r="G14" s="15">
        <f>Testing_Cost</f>
        <v>10000</v>
      </c>
      <c r="H14" s="15">
        <f ca="1">F14-G14</f>
        <v>330459.23771540803</v>
      </c>
      <c r="I14">
        <f>INDEX(Timeline_DiscountFactor,3)</f>
        <v>0.91049472641454443</v>
      </c>
      <c r="J14" s="15">
        <f ca="1">H14*I14</f>
        <v>300881.39323484933</v>
      </c>
    </row>
    <row r="15" spans="1:10" x14ac:dyDescent="0.2">
      <c r="A15">
        <f>Base_Year+2</f>
        <v>2028</v>
      </c>
      <c r="B15" s="15">
        <f ca="1">S1_Value*INDEX(Timeline_LearningMult,4)</f>
        <v>118237.08998547804</v>
      </c>
      <c r="C15" s="15">
        <f ca="1">S2_Value*INDEX(Timeline_LearningMult,4)</f>
        <v>173149.32909410686</v>
      </c>
      <c r="D15" s="15">
        <f ca="1">S3_Value*INDEX(Timeline_LearningMult,4)</f>
        <v>118364.74861144859</v>
      </c>
      <c r="E15" s="15">
        <f ca="1">S4_Value*INDEX(Timeline_LearningMult,4)</f>
        <v>44194.482596177208</v>
      </c>
      <c r="F15" s="15">
        <f ca="1">SUM(B15:E15)</f>
        <v>453945.65028721065</v>
      </c>
      <c r="G15" s="15">
        <f>Testing_Cost</f>
        <v>10000</v>
      </c>
      <c r="H15" s="15">
        <f ca="1">F15-G15</f>
        <v>443945.65028721065</v>
      </c>
      <c r="I15">
        <f>INDEX(Timeline_DiscountFactor,4)</f>
        <v>0.86879267787647374</v>
      </c>
      <c r="J15" s="15">
        <f ca="1">H15*I15</f>
        <v>385696.73034463829</v>
      </c>
    </row>
    <row r="16" spans="1:10" x14ac:dyDescent="0.2">
      <c r="A16">
        <f>Base_Year+3</f>
        <v>2029</v>
      </c>
      <c r="B16" s="15">
        <f ca="1">S1_Value*INDEX(Timeline_LearningMult,5)</f>
        <v>118237.08998547804</v>
      </c>
      <c r="C16" s="15">
        <f ca="1">S2_Value*INDEX(Timeline_LearningMult,5)</f>
        <v>173149.32909410686</v>
      </c>
      <c r="D16" s="15">
        <f ca="1">S3_Value*INDEX(Timeline_LearningMult,5)</f>
        <v>118364.74861144859</v>
      </c>
      <c r="E16" s="15">
        <f ca="1">S4_Value*INDEX(Timeline_LearningMult,5)</f>
        <v>44194.482596177208</v>
      </c>
      <c r="F16" s="15">
        <f ca="1">SUM(B16:E16)</f>
        <v>453945.65028721065</v>
      </c>
      <c r="G16" s="15">
        <f>Testing_Cost</f>
        <v>10000</v>
      </c>
      <c r="H16" s="15">
        <f ca="1">F16-G16</f>
        <v>443945.65028721065</v>
      </c>
      <c r="I16">
        <f>INDEX(Timeline_DiscountFactor,5)</f>
        <v>0.82900064682869612</v>
      </c>
      <c r="J16" s="15">
        <f ca="1">H16*I16</f>
        <v>368031.23124488373</v>
      </c>
    </row>
    <row r="17" spans="1:10" x14ac:dyDescent="0.2">
      <c r="A17">
        <f>Base_Year+4</f>
        <v>2030</v>
      </c>
      <c r="B17" s="15">
        <f ca="1">S1_Value*INDEX(Timeline_LearningMult,6)</f>
        <v>118237.08998547804</v>
      </c>
      <c r="C17" s="15">
        <f ca="1">S2_Value*INDEX(Timeline_LearningMult,6)</f>
        <v>173149.32909410686</v>
      </c>
      <c r="D17" s="15">
        <f ca="1">S3_Value*INDEX(Timeline_LearningMult,6)</f>
        <v>118364.74861144859</v>
      </c>
      <c r="E17" s="15">
        <f ca="1">S4_Value*INDEX(Timeline_LearningMult,6)</f>
        <v>44194.482596177208</v>
      </c>
      <c r="F17" s="15">
        <f ca="1">SUM(B17:E17)</f>
        <v>453945.65028721065</v>
      </c>
      <c r="G17" s="15">
        <f>Testing_Cost</f>
        <v>10000</v>
      </c>
      <c r="H17" s="15">
        <f ca="1">F17-G17</f>
        <v>443945.65028721065</v>
      </c>
      <c r="I17">
        <f>INDEX(Timeline_DiscountFactor,6)</f>
        <v>0.79103115155409931</v>
      </c>
      <c r="J17" s="15">
        <f ca="1">H17*I17</f>
        <v>351174.83897412568</v>
      </c>
    </row>
    <row r="20" spans="1:10" ht="19" x14ac:dyDescent="0.25">
      <c r="A20" s="4" t="s">
        <v>662</v>
      </c>
    </row>
    <row r="21" spans="1:10" x14ac:dyDescent="0.2">
      <c r="A21" t="s">
        <v>663</v>
      </c>
      <c r="B21" s="15">
        <f ca="1">SUM(J13:J17)</f>
        <v>1612819.3322943037</v>
      </c>
    </row>
    <row r="22" spans="1:10" x14ac:dyDescent="0.2">
      <c r="A22" t="s">
        <v>664</v>
      </c>
      <c r="B22" s="15">
        <f ca="1">SUM(F13:F17)</f>
        <v>1929269.0137206453</v>
      </c>
    </row>
    <row r="23" spans="1:10" x14ac:dyDescent="0.2">
      <c r="A23" t="s">
        <v>665</v>
      </c>
      <c r="B23" s="15">
        <f ca="1">SUM(H13:H17)</f>
        <v>1879269.0137206453</v>
      </c>
    </row>
  </sheetData>
  <mergeCells count="7">
    <mergeCell ref="B7:J7"/>
    <mergeCell ref="B11:J11"/>
    <mergeCell ref="B10:J10"/>
    <mergeCell ref="A3:J3"/>
    <mergeCell ref="B9:J9"/>
    <mergeCell ref="A4:J4"/>
    <mergeCell ref="B8:J8"/>
  </mergeCell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4472C4"/>
  </sheetPr>
  <dimension ref="A1:D17"/>
  <sheetViews>
    <sheetView workbookViewId="0"/>
  </sheetViews>
  <sheetFormatPr baseColWidth="10" defaultColWidth="8.83203125" defaultRowHeight="15" x14ac:dyDescent="0.2"/>
  <cols>
    <col min="1" max="1" width="12" customWidth="1"/>
    <col min="2" max="4" width="16" customWidth="1"/>
  </cols>
  <sheetData>
    <row r="1" spans="1:4" ht="21" x14ac:dyDescent="0.25">
      <c r="A1" s="5" t="s">
        <v>666</v>
      </c>
    </row>
    <row r="3" spans="1:4" x14ac:dyDescent="0.2">
      <c r="A3" s="36" t="s">
        <v>667</v>
      </c>
      <c r="B3" s="34"/>
      <c r="C3" s="34"/>
      <c r="D3" s="35"/>
    </row>
    <row r="4" spans="1:4" ht="312" customHeight="1" x14ac:dyDescent="0.2">
      <c r="A4" s="33" t="s">
        <v>668</v>
      </c>
      <c r="B4" s="34"/>
      <c r="C4" s="34"/>
      <c r="D4" s="35"/>
    </row>
    <row r="6" spans="1:4" x14ac:dyDescent="0.2">
      <c r="A6" s="6" t="s">
        <v>669</v>
      </c>
    </row>
    <row r="7" spans="1:4" ht="31.25" customHeight="1" x14ac:dyDescent="0.2">
      <c r="A7" s="7" t="s">
        <v>46</v>
      </c>
      <c r="B7" s="31" t="s">
        <v>670</v>
      </c>
      <c r="C7" s="32"/>
      <c r="D7" s="32"/>
    </row>
    <row r="8" spans="1:4" ht="31.25" customHeight="1" x14ac:dyDescent="0.2">
      <c r="A8" s="7" t="s">
        <v>48</v>
      </c>
      <c r="B8" s="31" t="s">
        <v>671</v>
      </c>
      <c r="C8" s="32"/>
      <c r="D8" s="32"/>
    </row>
    <row r="9" spans="1:4" ht="62.5" customHeight="1" x14ac:dyDescent="0.2">
      <c r="A9" s="7" t="s">
        <v>50</v>
      </c>
      <c r="B9" s="31" t="s">
        <v>672</v>
      </c>
      <c r="C9" s="32"/>
      <c r="D9" s="32"/>
    </row>
    <row r="10" spans="1:4" ht="15.5" customHeight="1" x14ac:dyDescent="0.2">
      <c r="A10" s="7" t="s">
        <v>52</v>
      </c>
      <c r="B10" s="31" t="s">
        <v>673</v>
      </c>
      <c r="C10" s="32"/>
      <c r="D10" s="32"/>
    </row>
    <row r="11" spans="1:4" ht="15.5" customHeight="1" x14ac:dyDescent="0.2">
      <c r="A11" s="7" t="s">
        <v>54</v>
      </c>
      <c r="B11" s="31" t="s">
        <v>674</v>
      </c>
      <c r="C11" s="32"/>
      <c r="D11" s="32"/>
    </row>
    <row r="12" spans="1:4" x14ac:dyDescent="0.2">
      <c r="A12" s="8" t="s">
        <v>295</v>
      </c>
      <c r="B12" s="8" t="s">
        <v>675</v>
      </c>
      <c r="C12" s="8" t="s">
        <v>676</v>
      </c>
      <c r="D12" s="8" t="s">
        <v>677</v>
      </c>
    </row>
    <row r="13" spans="1:4" x14ac:dyDescent="0.2">
      <c r="A13">
        <f>Base_Year+0</f>
        <v>2026</v>
      </c>
      <c r="B13" s="15">
        <f ca="1">INDEX(tbl_Annual[Net_Annual],1)</f>
        <v>216972.82514360533</v>
      </c>
      <c r="C13" s="15">
        <f ca="1">B13</f>
        <v>216972.82514360533</v>
      </c>
      <c r="D13" s="15">
        <f ca="1">INDEX(tbl_Annual[Discounted],1)</f>
        <v>207035.1384958066</v>
      </c>
    </row>
    <row r="14" spans="1:4" x14ac:dyDescent="0.2">
      <c r="A14">
        <f>Base_Year+1</f>
        <v>2027</v>
      </c>
      <c r="B14" s="15">
        <f ca="1">INDEX(tbl_Annual[Net_Annual],2)</f>
        <v>330459.23771540803</v>
      </c>
      <c r="C14" s="15">
        <f ca="1">C13+B14</f>
        <v>547432.06285901333</v>
      </c>
      <c r="D14" s="15">
        <f ca="1">D13+INDEX(tbl_Annual[Discounted],2)</f>
        <v>507916.53173065593</v>
      </c>
    </row>
    <row r="15" spans="1:4" x14ac:dyDescent="0.2">
      <c r="A15">
        <f>Base_Year+2</f>
        <v>2028</v>
      </c>
      <c r="B15" s="15">
        <f ca="1">INDEX(tbl_Annual[Net_Annual],3)</f>
        <v>443945.65028721065</v>
      </c>
      <c r="C15" s="15">
        <f ca="1">C14+B15</f>
        <v>991377.71314622392</v>
      </c>
      <c r="D15" s="15">
        <f ca="1">D14+INDEX(tbl_Annual[Discounted],3)</f>
        <v>893613.26207529427</v>
      </c>
    </row>
    <row r="16" spans="1:4" x14ac:dyDescent="0.2">
      <c r="A16">
        <f>Base_Year+3</f>
        <v>2029</v>
      </c>
      <c r="B16" s="15">
        <f ca="1">INDEX(tbl_Annual[Net_Annual],4)</f>
        <v>443945.65028721065</v>
      </c>
      <c r="C16" s="15">
        <f ca="1">C15+B16</f>
        <v>1435323.3634334346</v>
      </c>
      <c r="D16" s="15">
        <f ca="1">D15+INDEX(tbl_Annual[Discounted],4)</f>
        <v>1261644.493320178</v>
      </c>
    </row>
    <row r="17" spans="1:4" x14ac:dyDescent="0.2">
      <c r="A17">
        <f>Base_Year+4</f>
        <v>2030</v>
      </c>
      <c r="B17" s="15">
        <f ca="1">INDEX(tbl_Annual[Net_Annual],5)</f>
        <v>443945.65028721065</v>
      </c>
      <c r="C17" s="15">
        <f ca="1">C16+B17</f>
        <v>1879269.0137206453</v>
      </c>
      <c r="D17" s="15">
        <f ca="1">D16+INDEX(tbl_Annual[Discounted],5)</f>
        <v>1612819.3322943037</v>
      </c>
    </row>
  </sheetData>
  <mergeCells count="7">
    <mergeCell ref="B10:D10"/>
    <mergeCell ref="B11:D11"/>
    <mergeCell ref="A4:D4"/>
    <mergeCell ref="B8:D8"/>
    <mergeCell ref="A3:D3"/>
    <mergeCell ref="B9:D9"/>
    <mergeCell ref="B7:D7"/>
  </mergeCell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4472C4"/>
  </sheetPr>
  <dimension ref="A1:D27"/>
  <sheetViews>
    <sheetView workbookViewId="0"/>
  </sheetViews>
  <sheetFormatPr baseColWidth="10" defaultColWidth="8.83203125" defaultRowHeight="15" x14ac:dyDescent="0.2"/>
  <cols>
    <col min="1" max="1" width="28" customWidth="1"/>
    <col min="2" max="2" width="18" customWidth="1"/>
    <col min="3" max="3" width="10" customWidth="1"/>
    <col min="4" max="4" width="25" customWidth="1"/>
  </cols>
  <sheetData>
    <row r="1" spans="1:4" ht="21" x14ac:dyDescent="0.25">
      <c r="A1" s="5" t="s">
        <v>678</v>
      </c>
    </row>
    <row r="3" spans="1:4" x14ac:dyDescent="0.2">
      <c r="A3" s="36" t="s">
        <v>679</v>
      </c>
      <c r="B3" s="34"/>
      <c r="C3" s="34"/>
      <c r="D3" s="35"/>
    </row>
    <row r="4" spans="1:4" ht="327.5" customHeight="1" x14ac:dyDescent="0.2">
      <c r="A4" s="33" t="s">
        <v>680</v>
      </c>
      <c r="B4" s="34"/>
      <c r="C4" s="34"/>
      <c r="D4" s="35"/>
    </row>
    <row r="6" spans="1:4" x14ac:dyDescent="0.2">
      <c r="A6" s="6" t="s">
        <v>678</v>
      </c>
    </row>
    <row r="7" spans="1:4" ht="31.25" customHeight="1" x14ac:dyDescent="0.2">
      <c r="A7" s="7" t="s">
        <v>46</v>
      </c>
      <c r="B7" s="31" t="s">
        <v>681</v>
      </c>
      <c r="C7" s="32"/>
      <c r="D7" s="32"/>
    </row>
    <row r="8" spans="1:4" ht="31.25" customHeight="1" x14ac:dyDescent="0.2">
      <c r="A8" s="7" t="s">
        <v>48</v>
      </c>
      <c r="B8" s="31" t="s">
        <v>682</v>
      </c>
      <c r="C8" s="32"/>
      <c r="D8" s="32"/>
    </row>
    <row r="9" spans="1:4" ht="78" customHeight="1" x14ac:dyDescent="0.2">
      <c r="A9" s="7" t="s">
        <v>50</v>
      </c>
      <c r="B9" s="31" t="s">
        <v>683</v>
      </c>
      <c r="C9" s="32"/>
      <c r="D9" s="32"/>
    </row>
    <row r="10" spans="1:4" ht="31.25" customHeight="1" x14ac:dyDescent="0.2">
      <c r="A10" s="7" t="s">
        <v>52</v>
      </c>
      <c r="B10" s="31" t="s">
        <v>684</v>
      </c>
      <c r="C10" s="32"/>
      <c r="D10" s="32"/>
    </row>
    <row r="11" spans="1:4" ht="15.5" customHeight="1" x14ac:dyDescent="0.2">
      <c r="A11" s="7" t="s">
        <v>54</v>
      </c>
      <c r="B11" s="31" t="s">
        <v>685</v>
      </c>
      <c r="C11" s="32"/>
      <c r="D11" s="32"/>
    </row>
    <row r="12" spans="1:4" x14ac:dyDescent="0.2">
      <c r="A12" s="8" t="s">
        <v>491</v>
      </c>
      <c r="B12" s="8" t="s">
        <v>57</v>
      </c>
      <c r="C12" s="8" t="s">
        <v>227</v>
      </c>
      <c r="D12" s="8" t="s">
        <v>492</v>
      </c>
    </row>
    <row r="13" spans="1:4" x14ac:dyDescent="0.2">
      <c r="A13" t="s">
        <v>686</v>
      </c>
      <c r="B13">
        <f>Annual_Throughput</f>
        <v>50000</v>
      </c>
      <c r="C13" t="s">
        <v>273</v>
      </c>
      <c r="D13" t="s">
        <v>687</v>
      </c>
    </row>
    <row r="14" spans="1:4" x14ac:dyDescent="0.2">
      <c r="A14" t="s">
        <v>688</v>
      </c>
      <c r="B14" s="28">
        <f ca="1">Gross_Value</f>
        <v>453945.65028721065</v>
      </c>
      <c r="C14" t="s">
        <v>287</v>
      </c>
      <c r="D14" t="s">
        <v>689</v>
      </c>
    </row>
    <row r="15" spans="1:4" x14ac:dyDescent="0.2">
      <c r="A15" t="s">
        <v>690</v>
      </c>
      <c r="B15" s="28" t="e">
        <f ca="1">AdjustedValue</f>
        <v>#NAME?</v>
      </c>
      <c r="C15" t="s">
        <v>287</v>
      </c>
      <c r="D15" t="s">
        <v>691</v>
      </c>
    </row>
    <row r="16" spans="1:4" x14ac:dyDescent="0.2">
      <c r="A16" t="s">
        <v>692</v>
      </c>
      <c r="B16" s="28">
        <f>Testing_Cost</f>
        <v>10000</v>
      </c>
      <c r="C16" t="s">
        <v>287</v>
      </c>
      <c r="D16" t="s">
        <v>693</v>
      </c>
    </row>
    <row r="17" spans="1:4" x14ac:dyDescent="0.2">
      <c r="A17" t="s">
        <v>694</v>
      </c>
      <c r="B17" s="28" t="e">
        <f ca="1">AdjustedValue-Testing_Cost</f>
        <v>#NAME?</v>
      </c>
      <c r="C17" t="s">
        <v>287</v>
      </c>
      <c r="D17" t="s">
        <v>695</v>
      </c>
    </row>
    <row r="18" spans="1:4" x14ac:dyDescent="0.2">
      <c r="A18" t="s">
        <v>696</v>
      </c>
      <c r="B18" s="28">
        <f ca="1">Gross_Value/Annual_Throughput</f>
        <v>9.0789130057442122</v>
      </c>
      <c r="C18" t="s">
        <v>276</v>
      </c>
      <c r="D18" t="s">
        <v>697</v>
      </c>
    </row>
    <row r="19" spans="1:4" x14ac:dyDescent="0.2">
      <c r="A19" t="s">
        <v>698</v>
      </c>
      <c r="B19" s="28" t="e">
        <f ca="1">(AdjustedValue-Testing_Cost)/Annual_Throughput</f>
        <v>#NAME?</v>
      </c>
      <c r="C19" t="s">
        <v>276</v>
      </c>
      <c r="D19" t="s">
        <v>699</v>
      </c>
    </row>
    <row r="20" spans="1:4" x14ac:dyDescent="0.2">
      <c r="A20" t="s">
        <v>700</v>
      </c>
      <c r="B20" s="28">
        <f>Testing_Cost/Annual_Throughput</f>
        <v>0.2</v>
      </c>
      <c r="C20" t="s">
        <v>276</v>
      </c>
      <c r="D20" t="s">
        <v>701</v>
      </c>
    </row>
    <row r="21" spans="1:4" x14ac:dyDescent="0.2">
      <c r="A21" t="s">
        <v>702</v>
      </c>
      <c r="B21" s="28">
        <f ca="1">NPV_Total/(Annual_Throughput*5)</f>
        <v>6.4512773291772145</v>
      </c>
      <c r="C21" t="s">
        <v>276</v>
      </c>
      <c r="D21" t="s">
        <v>703</v>
      </c>
    </row>
    <row r="24" spans="1:4" ht="19" x14ac:dyDescent="0.25">
      <c r="A24" s="4" t="s">
        <v>704</v>
      </c>
    </row>
    <row r="25" spans="1:4" x14ac:dyDescent="0.2">
      <c r="A25" t="s">
        <v>705</v>
      </c>
      <c r="B25" s="15">
        <f>INDEX(TestOpt_Cost,MATCH(Testing_Option,TestOpt_Option,0))</f>
        <v>10</v>
      </c>
    </row>
    <row r="26" spans="1:4" x14ac:dyDescent="0.2">
      <c r="A26" t="s">
        <v>706</v>
      </c>
      <c r="B26">
        <f>Testing_Cost/INDEX(TestOpt_Cost,MATCH(Testing_Option,TestOpt_Option,0))</f>
        <v>1000</v>
      </c>
    </row>
    <row r="27" spans="1:4" x14ac:dyDescent="0.2">
      <c r="A27" t="s">
        <v>707</v>
      </c>
      <c r="B27" s="28" t="e">
        <f ca="1">(AdjustedValue-Testing_Cost)/(Testing_Cost/INDEX(TestOpt_Cost,MATCH(Testing_Option,TestOpt_Option,0)))</f>
        <v>#NAME?</v>
      </c>
    </row>
  </sheetData>
  <mergeCells count="7">
    <mergeCell ref="B10:D10"/>
    <mergeCell ref="B11:D11"/>
    <mergeCell ref="A4:D4"/>
    <mergeCell ref="B8:D8"/>
    <mergeCell ref="A3:D3"/>
    <mergeCell ref="B9:D9"/>
    <mergeCell ref="B7:D7"/>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4472C4"/>
  </sheetPr>
  <dimension ref="A1:G27"/>
  <sheetViews>
    <sheetView workbookViewId="0"/>
  </sheetViews>
  <sheetFormatPr baseColWidth="10" defaultColWidth="8.83203125" defaultRowHeight="15" x14ac:dyDescent="0.2"/>
  <cols>
    <col min="1" max="1" width="18" customWidth="1"/>
    <col min="2" max="4" width="12" customWidth="1"/>
    <col min="5" max="7" width="15" customWidth="1"/>
  </cols>
  <sheetData>
    <row r="1" spans="1:7" ht="21" x14ac:dyDescent="0.25">
      <c r="A1" s="5" t="s">
        <v>708</v>
      </c>
    </row>
    <row r="3" spans="1:7" x14ac:dyDescent="0.2">
      <c r="A3" s="36" t="s">
        <v>709</v>
      </c>
      <c r="B3" s="34"/>
      <c r="C3" s="34"/>
      <c r="D3" s="34"/>
      <c r="E3" s="34"/>
      <c r="F3" s="34"/>
      <c r="G3" s="35"/>
    </row>
    <row r="4" spans="1:7" ht="374.5" customHeight="1" x14ac:dyDescent="0.2">
      <c r="A4" s="33" t="s">
        <v>710</v>
      </c>
      <c r="B4" s="34"/>
      <c r="C4" s="34"/>
      <c r="D4" s="34"/>
      <c r="E4" s="34"/>
      <c r="F4" s="34"/>
      <c r="G4" s="35"/>
    </row>
    <row r="6" spans="1:7" x14ac:dyDescent="0.2">
      <c r="A6" s="6" t="s">
        <v>708</v>
      </c>
    </row>
    <row r="7" spans="1:7" ht="31.25" customHeight="1" x14ac:dyDescent="0.2">
      <c r="A7" s="7" t="s">
        <v>46</v>
      </c>
      <c r="B7" s="31" t="s">
        <v>711</v>
      </c>
      <c r="C7" s="32"/>
      <c r="D7" s="32"/>
      <c r="E7" s="32"/>
      <c r="F7" s="32"/>
      <c r="G7" s="32"/>
    </row>
    <row r="8" spans="1:7" ht="15.5" customHeight="1" x14ac:dyDescent="0.2">
      <c r="A8" s="7" t="s">
        <v>48</v>
      </c>
      <c r="B8" s="31" t="s">
        <v>712</v>
      </c>
      <c r="C8" s="32"/>
      <c r="D8" s="32"/>
      <c r="E8" s="32"/>
      <c r="F8" s="32"/>
      <c r="G8" s="32"/>
    </row>
    <row r="9" spans="1:7" ht="46.75" customHeight="1" x14ac:dyDescent="0.2">
      <c r="A9" s="7" t="s">
        <v>50</v>
      </c>
      <c r="B9" s="31" t="s">
        <v>713</v>
      </c>
      <c r="C9" s="32"/>
      <c r="D9" s="32"/>
      <c r="E9" s="32"/>
      <c r="F9" s="32"/>
      <c r="G9" s="32"/>
    </row>
    <row r="10" spans="1:7" ht="15.5" customHeight="1" x14ac:dyDescent="0.2">
      <c r="A10" s="7" t="s">
        <v>52</v>
      </c>
      <c r="B10" s="31" t="s">
        <v>714</v>
      </c>
      <c r="C10" s="32"/>
      <c r="D10" s="32"/>
      <c r="E10" s="32"/>
      <c r="F10" s="32"/>
      <c r="G10" s="32"/>
    </row>
    <row r="11" spans="1:7" ht="15.5" customHeight="1" x14ac:dyDescent="0.2">
      <c r="A11" s="7" t="s">
        <v>54</v>
      </c>
      <c r="B11" s="31" t="s">
        <v>715</v>
      </c>
      <c r="C11" s="32"/>
      <c r="D11" s="32"/>
      <c r="E11" s="32"/>
      <c r="F11" s="32"/>
      <c r="G11" s="32"/>
    </row>
    <row r="12" spans="1:7" x14ac:dyDescent="0.2">
      <c r="A12" s="8" t="s">
        <v>56</v>
      </c>
      <c r="B12" s="8" t="s">
        <v>468</v>
      </c>
      <c r="C12" s="8" t="s">
        <v>65</v>
      </c>
      <c r="D12" s="8" t="s">
        <v>469</v>
      </c>
      <c r="E12" s="8" t="s">
        <v>716</v>
      </c>
      <c r="F12" s="8" t="s">
        <v>717</v>
      </c>
      <c r="G12" s="8" t="s">
        <v>718</v>
      </c>
    </row>
    <row r="13" spans="1:7" x14ac:dyDescent="0.2">
      <c r="A13" t="s">
        <v>719</v>
      </c>
      <c r="B13">
        <v>3</v>
      </c>
      <c r="C13">
        <v>5</v>
      </c>
      <c r="D13">
        <v>10</v>
      </c>
      <c r="E13" s="15">
        <f ca="1">NPV_Total*(B13/C13)</f>
        <v>967691.59937658219</v>
      </c>
      <c r="F13" s="15">
        <f ca="1">NPV_Total*(D13/C13)</f>
        <v>3225638.6645886074</v>
      </c>
      <c r="G13" s="15">
        <f ca="1">ABS(F13-E13)</f>
        <v>2257947.0652120253</v>
      </c>
    </row>
    <row r="14" spans="1:7" x14ac:dyDescent="0.2">
      <c r="A14" t="s">
        <v>67</v>
      </c>
      <c r="B14">
        <v>0.04</v>
      </c>
      <c r="C14">
        <v>4.8000000000000001E-2</v>
      </c>
      <c r="D14">
        <v>0.06</v>
      </c>
      <c r="E14" s="15">
        <f ca="1">NPV_Total*((1+C14)/(1+B14))^2.5</f>
        <v>1644014.2549270827</v>
      </c>
      <c r="F14" s="15">
        <f ca="1">NPV_Total*((1+C14)/(1+D14))^2.5</f>
        <v>1567560.3287887622</v>
      </c>
      <c r="G14" s="15">
        <f ca="1">ABS(F14-E14)</f>
        <v>76453.926138320472</v>
      </c>
    </row>
    <row r="15" spans="1:7" x14ac:dyDescent="0.2">
      <c r="A15" t="s">
        <v>186</v>
      </c>
      <c r="B15">
        <v>80</v>
      </c>
      <c r="C15">
        <v>100</v>
      </c>
      <c r="D15">
        <v>120</v>
      </c>
      <c r="E15" s="15">
        <f ca="1">NPV_Total*(B15/C15)</f>
        <v>1290255.465835443</v>
      </c>
      <c r="F15" s="15">
        <f ca="1">NPV_Total*(D15/C15)</f>
        <v>1935383.1987531644</v>
      </c>
      <c r="G15" s="15">
        <f ca="1">ABS(F15-E15)</f>
        <v>645127.73291772138</v>
      </c>
    </row>
    <row r="16" spans="1:7" x14ac:dyDescent="0.2">
      <c r="A16" t="s">
        <v>720</v>
      </c>
      <c r="B16">
        <v>0.5</v>
      </c>
      <c r="C16">
        <v>1</v>
      </c>
      <c r="D16">
        <v>2</v>
      </c>
      <c r="E16" s="15">
        <f ca="1">NPV_Total*(B16/C16)</f>
        <v>806409.66614715185</v>
      </c>
      <c r="F16" s="15">
        <f ca="1">NPV_Total*(D16/C16)</f>
        <v>3225638.6645886074</v>
      </c>
      <c r="G16" s="15">
        <f ca="1">ABS(F16-E16)</f>
        <v>2419228.9984414554</v>
      </c>
    </row>
    <row r="19" spans="1:1" ht="19" x14ac:dyDescent="0.25">
      <c r="A19" s="4" t="s">
        <v>721</v>
      </c>
    </row>
    <row r="20" spans="1:1" x14ac:dyDescent="0.2">
      <c r="A20" t="s">
        <v>722</v>
      </c>
    </row>
    <row r="21" spans="1:1" x14ac:dyDescent="0.2">
      <c r="A21" t="s">
        <v>723</v>
      </c>
    </row>
    <row r="22" spans="1:1" x14ac:dyDescent="0.2">
      <c r="A22" t="s">
        <v>724</v>
      </c>
    </row>
    <row r="24" spans="1:1" ht="19" x14ac:dyDescent="0.25">
      <c r="A24" s="4" t="s">
        <v>725</v>
      </c>
    </row>
    <row r="25" spans="1:1" x14ac:dyDescent="0.2">
      <c r="A25" t="s">
        <v>726</v>
      </c>
    </row>
    <row r="26" spans="1:1" x14ac:dyDescent="0.2">
      <c r="A26" t="s">
        <v>727</v>
      </c>
    </row>
    <row r="27" spans="1:1" x14ac:dyDescent="0.2">
      <c r="A27" t="s">
        <v>728</v>
      </c>
    </row>
  </sheetData>
  <mergeCells count="7">
    <mergeCell ref="B11:G11"/>
    <mergeCell ref="B10:G10"/>
    <mergeCell ref="A3:G3"/>
    <mergeCell ref="B9:G9"/>
    <mergeCell ref="A4:G4"/>
    <mergeCell ref="B8:G8"/>
    <mergeCell ref="B7:G7"/>
  </mergeCells>
  <pageMargins left="0.75" right="0.75" top="1" bottom="1" header="0.5" footer="0.5"/>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70AD47"/>
  </sheetPr>
  <dimension ref="A1:D67"/>
  <sheetViews>
    <sheetView topLeftCell="A10" workbookViewId="0"/>
  </sheetViews>
  <sheetFormatPr baseColWidth="10" defaultColWidth="8.83203125" defaultRowHeight="15" x14ac:dyDescent="0.2"/>
  <cols>
    <col min="1" max="1" width="30" customWidth="1"/>
    <col min="2" max="2" width="18" customWidth="1"/>
    <col min="3" max="3" width="16" customWidth="1"/>
    <col min="4" max="4" width="18" customWidth="1"/>
  </cols>
  <sheetData>
    <row r="1" spans="1:4" ht="21" x14ac:dyDescent="0.25">
      <c r="A1" s="5" t="s">
        <v>729</v>
      </c>
    </row>
    <row r="3" spans="1:4" x14ac:dyDescent="0.2">
      <c r="A3" s="36" t="s">
        <v>730</v>
      </c>
      <c r="B3" s="34"/>
      <c r="C3" s="34"/>
      <c r="D3" s="35"/>
    </row>
    <row r="4" spans="1:4" ht="280.75" customHeight="1" x14ac:dyDescent="0.2">
      <c r="A4" s="33" t="s">
        <v>731</v>
      </c>
      <c r="B4" s="34"/>
      <c r="C4" s="34"/>
      <c r="D4" s="35"/>
    </row>
    <row r="6" spans="1:4" x14ac:dyDescent="0.2">
      <c r="A6" s="6" t="s">
        <v>732</v>
      </c>
    </row>
    <row r="7" spans="1:4" ht="31.25" customHeight="1" x14ac:dyDescent="0.2">
      <c r="A7" s="7" t="s">
        <v>46</v>
      </c>
      <c r="B7" s="31" t="s">
        <v>733</v>
      </c>
      <c r="C7" s="32"/>
      <c r="D7" s="32"/>
    </row>
    <row r="8" spans="1:4" ht="31.25" customHeight="1" x14ac:dyDescent="0.2">
      <c r="A8" s="7" t="s">
        <v>48</v>
      </c>
      <c r="B8" s="31" t="s">
        <v>734</v>
      </c>
      <c r="C8" s="32"/>
      <c r="D8" s="32"/>
    </row>
    <row r="9" spans="1:4" ht="124.75" customHeight="1" x14ac:dyDescent="0.2">
      <c r="A9" s="7" t="s">
        <v>50</v>
      </c>
      <c r="B9" s="31" t="s">
        <v>735</v>
      </c>
      <c r="C9" s="32"/>
      <c r="D9" s="32"/>
    </row>
    <row r="10" spans="1:4" ht="31.25" customHeight="1" x14ac:dyDescent="0.2">
      <c r="A10" s="7" t="s">
        <v>52</v>
      </c>
      <c r="B10" s="31" t="s">
        <v>736</v>
      </c>
      <c r="C10" s="32"/>
      <c r="D10" s="32"/>
    </row>
    <row r="11" spans="1:4" ht="15.5" customHeight="1" x14ac:dyDescent="0.2">
      <c r="A11" s="7" t="s">
        <v>54</v>
      </c>
      <c r="B11" s="31" t="s">
        <v>737</v>
      </c>
      <c r="C11" s="32"/>
      <c r="D11" s="32"/>
    </row>
    <row r="12" spans="1:4" x14ac:dyDescent="0.2">
      <c r="A12" s="8" t="s">
        <v>491</v>
      </c>
      <c r="B12" s="8" t="s">
        <v>57</v>
      </c>
    </row>
    <row r="13" spans="1:4" x14ac:dyDescent="0.2">
      <c r="A13" t="s">
        <v>738</v>
      </c>
      <c r="B13" t="str">
        <f>Testing_Option</f>
        <v>Daily_Biosensor</v>
      </c>
    </row>
    <row r="14" spans="1:4" x14ac:dyDescent="0.2">
      <c r="A14" t="s">
        <v>739</v>
      </c>
      <c r="B14" s="15">
        <f ca="1">NPV_Total</f>
        <v>1612819.3322943037</v>
      </c>
    </row>
    <row r="15" spans="1:4" x14ac:dyDescent="0.2">
      <c r="A15" t="s">
        <v>740</v>
      </c>
      <c r="B15" s="15">
        <f>MC_P10</f>
        <v>961481.92524010187</v>
      </c>
    </row>
    <row r="16" spans="1:4" x14ac:dyDescent="0.2">
      <c r="A16" t="s">
        <v>741</v>
      </c>
      <c r="B16" s="15">
        <f>MC_P50</f>
        <v>1297530.1394404122</v>
      </c>
    </row>
    <row r="17" spans="1:4" x14ac:dyDescent="0.2">
      <c r="A17" t="s">
        <v>742</v>
      </c>
      <c r="B17" s="15">
        <f>MC_P90</f>
        <v>1641748.4212753919</v>
      </c>
    </row>
    <row r="18" spans="1:4" x14ac:dyDescent="0.2">
      <c r="A18" t="s">
        <v>743</v>
      </c>
      <c r="B18" s="25">
        <f>MC_Prob_Positive</f>
        <v>1</v>
      </c>
    </row>
    <row r="19" spans="1:4" x14ac:dyDescent="0.2">
      <c r="A19" t="s">
        <v>744</v>
      </c>
      <c r="B19" s="15">
        <f>Testing_Cost</f>
        <v>10000</v>
      </c>
    </row>
    <row r="20" spans="1:4" x14ac:dyDescent="0.2">
      <c r="A20" t="s">
        <v>745</v>
      </c>
      <c r="B20" s="15">
        <f ca="1">Year1_Gross_Value</f>
        <v>226972.82514360533</v>
      </c>
    </row>
    <row r="21" spans="1:4" x14ac:dyDescent="0.2">
      <c r="A21" t="s">
        <v>746</v>
      </c>
      <c r="B21" s="15">
        <f ca="1">Year1_Net_Value</f>
        <v>216972.82514360533</v>
      </c>
    </row>
    <row r="23" spans="1:4" x14ac:dyDescent="0.2">
      <c r="A23" s="6" t="s">
        <v>747</v>
      </c>
    </row>
    <row r="24" spans="1:4" ht="31.25" customHeight="1" x14ac:dyDescent="0.2">
      <c r="A24" s="7" t="s">
        <v>46</v>
      </c>
      <c r="B24" s="31" t="s">
        <v>748</v>
      </c>
      <c r="C24" s="32"/>
      <c r="D24" s="32"/>
    </row>
    <row r="25" spans="1:4" ht="31.25" customHeight="1" x14ac:dyDescent="0.2">
      <c r="A25" s="7" t="s">
        <v>48</v>
      </c>
      <c r="B25" s="31" t="s">
        <v>749</v>
      </c>
      <c r="C25" s="32"/>
      <c r="D25" s="32"/>
    </row>
    <row r="26" spans="1:4" ht="124.75" customHeight="1" x14ac:dyDescent="0.2">
      <c r="A26" s="7" t="s">
        <v>50</v>
      </c>
      <c r="B26" s="31" t="s">
        <v>750</v>
      </c>
      <c r="C26" s="32"/>
      <c r="D26" s="32"/>
    </row>
    <row r="27" spans="1:4" ht="31.25" customHeight="1" x14ac:dyDescent="0.2">
      <c r="A27" s="7" t="s">
        <v>52</v>
      </c>
      <c r="B27" s="31" t="s">
        <v>751</v>
      </c>
      <c r="C27" s="32"/>
      <c r="D27" s="32"/>
    </row>
    <row r="28" spans="1:4" ht="15.5" customHeight="1" x14ac:dyDescent="0.2">
      <c r="A28" s="7" t="s">
        <v>54</v>
      </c>
      <c r="B28" s="31" t="s">
        <v>752</v>
      </c>
      <c r="C28" s="32"/>
      <c r="D28" s="32"/>
    </row>
    <row r="29" spans="1:4" x14ac:dyDescent="0.2">
      <c r="A29" s="8" t="s">
        <v>93</v>
      </c>
      <c r="B29" s="8" t="s">
        <v>592</v>
      </c>
      <c r="C29" s="8" t="s">
        <v>541</v>
      </c>
    </row>
    <row r="30" spans="1:4" x14ac:dyDescent="0.2">
      <c r="A30" t="s">
        <v>97</v>
      </c>
      <c r="B30" s="15">
        <f ca="1">S1_Value</f>
        <v>118237.08998547804</v>
      </c>
      <c r="C30" t="str">
        <f>INDEX(Gate_S1,MATCH(Testing_Option,TestOpt_Option,0))</f>
        <v>ENABLED</v>
      </c>
    </row>
    <row r="31" spans="1:4" x14ac:dyDescent="0.2">
      <c r="A31" t="s">
        <v>101</v>
      </c>
      <c r="B31" s="15">
        <f ca="1">S2_Value</f>
        <v>173149.32909410686</v>
      </c>
      <c r="C31" t="str">
        <f>INDEX(Gate_S2,MATCH(Testing_Option,TestOpt_Option,0))</f>
        <v>ENABLED</v>
      </c>
    </row>
    <row r="32" spans="1:4" x14ac:dyDescent="0.2">
      <c r="A32" t="s">
        <v>102</v>
      </c>
      <c r="B32" s="15">
        <f ca="1">S3_Value</f>
        <v>118364.74861144859</v>
      </c>
      <c r="C32" t="str">
        <f>INDEX(Gate_S3,MATCH(Testing_Option,TestOpt_Option,0))</f>
        <v>ENABLED</v>
      </c>
    </row>
    <row r="33" spans="1:4" x14ac:dyDescent="0.2">
      <c r="A33" t="s">
        <v>104</v>
      </c>
      <c r="B33" s="15">
        <f ca="1">S4_Value</f>
        <v>44194.482596177208</v>
      </c>
      <c r="C33" t="str">
        <f>INDEX(Gate_S4,MATCH(Testing_Option,TestOpt_Option,0))</f>
        <v>ENABLED</v>
      </c>
    </row>
    <row r="35" spans="1:4" x14ac:dyDescent="0.2">
      <c r="A35" s="6" t="s">
        <v>489</v>
      </c>
    </row>
    <row r="36" spans="1:4" ht="31.25" customHeight="1" x14ac:dyDescent="0.2">
      <c r="A36" s="7" t="s">
        <v>46</v>
      </c>
      <c r="B36" s="31" t="s">
        <v>753</v>
      </c>
      <c r="C36" s="32"/>
      <c r="D36" s="32"/>
    </row>
    <row r="37" spans="1:4" ht="31.25" customHeight="1" x14ac:dyDescent="0.2">
      <c r="A37" s="7" t="s">
        <v>48</v>
      </c>
      <c r="B37" s="31" t="s">
        <v>754</v>
      </c>
      <c r="C37" s="32"/>
      <c r="D37" s="32"/>
    </row>
    <row r="38" spans="1:4" ht="124.75" customHeight="1" x14ac:dyDescent="0.2">
      <c r="A38" s="7" t="s">
        <v>50</v>
      </c>
      <c r="B38" s="31" t="s">
        <v>755</v>
      </c>
      <c r="C38" s="32"/>
      <c r="D38" s="32"/>
    </row>
    <row r="39" spans="1:4" ht="15.5" customHeight="1" x14ac:dyDescent="0.2">
      <c r="A39" s="7" t="s">
        <v>52</v>
      </c>
      <c r="B39" s="31" t="s">
        <v>756</v>
      </c>
      <c r="C39" s="32"/>
      <c r="D39" s="32"/>
    </row>
    <row r="40" spans="1:4" ht="15.5" customHeight="1" x14ac:dyDescent="0.2">
      <c r="A40" s="7" t="s">
        <v>54</v>
      </c>
      <c r="B40" s="31" t="s">
        <v>757</v>
      </c>
      <c r="C40" s="32"/>
      <c r="D40" s="32"/>
    </row>
    <row r="41" spans="1:4" x14ac:dyDescent="0.2">
      <c r="A41" s="8" t="s">
        <v>491</v>
      </c>
      <c r="B41" s="8" t="s">
        <v>57</v>
      </c>
      <c r="C41" s="8" t="s">
        <v>541</v>
      </c>
    </row>
    <row r="42" spans="1:4" x14ac:dyDescent="0.2">
      <c r="A42" t="s">
        <v>758</v>
      </c>
      <c r="B42" s="29">
        <f>Initial_NAFC</f>
        <v>63.1</v>
      </c>
      <c r="C42" t="str">
        <f>IF(Initial_NAFC&gt;Target_NAFC,"Above Target","At/Below Target")</f>
        <v>Above Target</v>
      </c>
    </row>
    <row r="43" spans="1:4" x14ac:dyDescent="0.2">
      <c r="A43" t="s">
        <v>759</v>
      </c>
      <c r="B43" s="29">
        <f>Target_NAFC</f>
        <v>50</v>
      </c>
      <c r="C43" t="s">
        <v>760</v>
      </c>
    </row>
    <row r="44" spans="1:4" x14ac:dyDescent="0.2">
      <c r="A44" t="s">
        <v>761</v>
      </c>
      <c r="B44" s="30">
        <f ca="1">Days_to_Compliance</f>
        <v>33.27073223423276</v>
      </c>
      <c r="C44" t="str">
        <f ca="1">Compliance_Status</f>
        <v>ACHIEVABLE</v>
      </c>
    </row>
    <row r="45" spans="1:4" x14ac:dyDescent="0.2">
      <c r="A45" t="s">
        <v>762</v>
      </c>
      <c r="B45" s="24">
        <f ca="1">Circulation_Cycles</f>
        <v>3</v>
      </c>
      <c r="C45" t="str">
        <f ca="1">IF(Circulation_Cycles&lt;=3,"Standard","Extended")</f>
        <v>Standard</v>
      </c>
    </row>
    <row r="46" spans="1:4" x14ac:dyDescent="0.2">
      <c r="A46" t="s">
        <v>763</v>
      </c>
      <c r="B46" s="25">
        <f>Treatment_Efficiency</f>
        <v>0.2076069730586371</v>
      </c>
      <c r="C46" t="str">
        <f>IF(Treatment_Efficiency&gt;0.2,"Good","Low")</f>
        <v>Good</v>
      </c>
    </row>
    <row r="47" spans="1:4" x14ac:dyDescent="0.2">
      <c r="A47" t="s">
        <v>764</v>
      </c>
      <c r="B47" s="30">
        <f>MC_Expected_Days</f>
        <v>36.574434855323922</v>
      </c>
      <c r="C47" t="str">
        <f>IF(MC_Expected_Days&lt;=Season_Length,"Achievable","Risk")</f>
        <v>Achievable</v>
      </c>
    </row>
    <row r="48" spans="1:4" x14ac:dyDescent="0.2">
      <c r="A48" t="s">
        <v>765</v>
      </c>
      <c r="B48" s="30">
        <f>MC_P90_Days</f>
        <v>46.323506191226841</v>
      </c>
      <c r="C48" t="str">
        <f>IF(MC_P90_Days&lt;=Season_Length,"Low Risk","High Risk")</f>
        <v>Low Risk</v>
      </c>
    </row>
    <row r="49" spans="1:4" x14ac:dyDescent="0.2">
      <c r="A49" t="s">
        <v>766</v>
      </c>
      <c r="B49" s="25">
        <f>MC_Prob_Achievable</f>
        <v>1</v>
      </c>
      <c r="C49" t="str">
        <f>IF(MC_Prob_Achievable&gt;=0.9,"High Confidence","Review Required")</f>
        <v>High Confidence</v>
      </c>
    </row>
    <row r="51" spans="1:4" x14ac:dyDescent="0.2">
      <c r="A51" s="6" t="s">
        <v>767</v>
      </c>
    </row>
    <row r="52" spans="1:4" ht="31.25" customHeight="1" x14ac:dyDescent="0.2">
      <c r="A52" s="7" t="s">
        <v>46</v>
      </c>
      <c r="B52" s="31" t="s">
        <v>768</v>
      </c>
      <c r="C52" s="32"/>
      <c r="D52" s="32"/>
    </row>
    <row r="53" spans="1:4" ht="31.25" customHeight="1" x14ac:dyDescent="0.2">
      <c r="A53" s="7" t="s">
        <v>48</v>
      </c>
      <c r="B53" s="31" t="s">
        <v>769</v>
      </c>
      <c r="C53" s="32"/>
      <c r="D53" s="32"/>
    </row>
    <row r="54" spans="1:4" ht="78" customHeight="1" x14ac:dyDescent="0.2">
      <c r="A54" s="7" t="s">
        <v>50</v>
      </c>
      <c r="B54" s="31" t="s">
        <v>770</v>
      </c>
      <c r="C54" s="32"/>
      <c r="D54" s="32"/>
    </row>
    <row r="55" spans="1:4" ht="31.25" customHeight="1" x14ac:dyDescent="0.2">
      <c r="A55" s="7" t="s">
        <v>52</v>
      </c>
      <c r="B55" s="31" t="s">
        <v>771</v>
      </c>
      <c r="C55" s="32"/>
      <c r="D55" s="32"/>
    </row>
    <row r="56" spans="1:4" ht="15.5" customHeight="1" x14ac:dyDescent="0.2">
      <c r="A56" s="7" t="s">
        <v>54</v>
      </c>
      <c r="B56" s="31" t="s">
        <v>772</v>
      </c>
      <c r="C56" s="32"/>
      <c r="D56" s="32"/>
    </row>
    <row r="57" spans="1:4" x14ac:dyDescent="0.2">
      <c r="A57" s="8" t="s">
        <v>491</v>
      </c>
      <c r="B57" s="8" t="s">
        <v>312</v>
      </c>
      <c r="C57" s="8" t="s">
        <v>313</v>
      </c>
      <c r="D57" s="8" t="s">
        <v>61</v>
      </c>
    </row>
    <row r="58" spans="1:4" x14ac:dyDescent="0.2">
      <c r="A58" t="s">
        <v>773</v>
      </c>
      <c r="B58" t="s">
        <v>99</v>
      </c>
      <c r="C58" t="s">
        <v>99</v>
      </c>
      <c r="D58" t="s">
        <v>100</v>
      </c>
    </row>
    <row r="59" spans="1:4" x14ac:dyDescent="0.2">
      <c r="A59" t="s">
        <v>774</v>
      </c>
      <c r="B59" t="s">
        <v>99</v>
      </c>
      <c r="C59" t="s">
        <v>99</v>
      </c>
      <c r="D59" t="s">
        <v>100</v>
      </c>
    </row>
    <row r="60" spans="1:4" x14ac:dyDescent="0.2">
      <c r="A60" t="s">
        <v>775</v>
      </c>
      <c r="B60" t="s">
        <v>99</v>
      </c>
      <c r="C60" t="s">
        <v>100</v>
      </c>
      <c r="D60" t="s">
        <v>100</v>
      </c>
    </row>
    <row r="61" spans="1:4" x14ac:dyDescent="0.2">
      <c r="A61" t="s">
        <v>776</v>
      </c>
      <c r="B61" t="s">
        <v>99</v>
      </c>
      <c r="C61" t="s">
        <v>99</v>
      </c>
      <c r="D61" t="s">
        <v>100</v>
      </c>
    </row>
    <row r="62" spans="1:4" x14ac:dyDescent="0.2">
      <c r="A62" t="s">
        <v>777</v>
      </c>
      <c r="B62" t="s">
        <v>778</v>
      </c>
      <c r="C62" t="s">
        <v>779</v>
      </c>
      <c r="D62" t="s">
        <v>780</v>
      </c>
    </row>
    <row r="63" spans="1:4" x14ac:dyDescent="0.2">
      <c r="A63" t="s">
        <v>781</v>
      </c>
      <c r="B63" t="s">
        <v>782</v>
      </c>
      <c r="C63" t="s">
        <v>783</v>
      </c>
      <c r="D63" t="s">
        <v>784</v>
      </c>
    </row>
    <row r="65" spans="1:2" ht="19" x14ac:dyDescent="0.25">
      <c r="A65" s="4" t="s">
        <v>785</v>
      </c>
    </row>
    <row r="66" spans="1:2" x14ac:dyDescent="0.2">
      <c r="A66" t="s">
        <v>786</v>
      </c>
      <c r="B66" t="str">
        <f ca="1">IF(COUNTIF('21_Checks'!D:D,"FAIL")=0,"HEALTHY","REVIEW REQUIRED")</f>
        <v>HEALTHY</v>
      </c>
    </row>
    <row r="67" spans="1:2" x14ac:dyDescent="0.2">
      <c r="A67" t="s">
        <v>787</v>
      </c>
      <c r="B67">
        <f ca="1">COUNTIF('21_Checks'!D:D,"FAIL")</f>
        <v>0</v>
      </c>
    </row>
  </sheetData>
  <mergeCells count="22">
    <mergeCell ref="A3:D3"/>
    <mergeCell ref="B27:D27"/>
    <mergeCell ref="B56:D56"/>
    <mergeCell ref="B52:D52"/>
    <mergeCell ref="B39:D39"/>
    <mergeCell ref="B55:D55"/>
    <mergeCell ref="B24:D24"/>
    <mergeCell ref="B36:D36"/>
    <mergeCell ref="B26:D26"/>
    <mergeCell ref="B7:D7"/>
    <mergeCell ref="B25:D25"/>
    <mergeCell ref="B54:D54"/>
    <mergeCell ref="B11:D11"/>
    <mergeCell ref="A4:D4"/>
    <mergeCell ref="B8:D8"/>
    <mergeCell ref="B53:D53"/>
    <mergeCell ref="B38:D38"/>
    <mergeCell ref="B10:D10"/>
    <mergeCell ref="B28:D28"/>
    <mergeCell ref="B37:D37"/>
    <mergeCell ref="B40:D40"/>
    <mergeCell ref="B9:D9"/>
  </mergeCells>
  <pageMargins left="0.75" right="0.75" top="1" bottom="1" header="0.5" footer="0.5"/>
  <tableParts count="4">
    <tablePart r:id="rId1"/>
    <tablePart r:id="rId2"/>
    <tablePart r:id="rId3"/>
    <tablePart r:id="rId4"/>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0000"/>
  </sheetPr>
  <dimension ref="A1:D35"/>
  <sheetViews>
    <sheetView workbookViewId="0"/>
  </sheetViews>
  <sheetFormatPr baseColWidth="10" defaultColWidth="8.83203125" defaultRowHeight="15" x14ac:dyDescent="0.2"/>
  <cols>
    <col min="1" max="2" width="12" customWidth="1"/>
    <col min="3" max="3" width="40" customWidth="1"/>
    <col min="4" max="4" width="12" customWidth="1"/>
  </cols>
  <sheetData>
    <row r="1" spans="1:4" ht="21" x14ac:dyDescent="0.25">
      <c r="A1" s="5" t="s">
        <v>788</v>
      </c>
    </row>
    <row r="3" spans="1:4" x14ac:dyDescent="0.2">
      <c r="A3" s="36" t="s">
        <v>789</v>
      </c>
      <c r="B3" s="34"/>
      <c r="C3" s="34"/>
      <c r="D3" s="35"/>
    </row>
    <row r="4" spans="1:4" ht="343.25" customHeight="1" x14ac:dyDescent="0.2">
      <c r="A4" s="33" t="s">
        <v>790</v>
      </c>
      <c r="B4" s="34"/>
      <c r="C4" s="34"/>
      <c r="D4" s="35"/>
    </row>
    <row r="6" spans="1:4" x14ac:dyDescent="0.2">
      <c r="A6" s="6" t="s">
        <v>788</v>
      </c>
    </row>
    <row r="7" spans="1:4" ht="31.25" customHeight="1" x14ac:dyDescent="0.2">
      <c r="A7" s="7" t="s">
        <v>46</v>
      </c>
      <c r="B7" s="31" t="s">
        <v>791</v>
      </c>
      <c r="C7" s="32"/>
      <c r="D7" s="32"/>
    </row>
    <row r="8" spans="1:4" ht="31.25" customHeight="1" x14ac:dyDescent="0.2">
      <c r="A8" s="7" t="s">
        <v>48</v>
      </c>
      <c r="B8" s="31" t="s">
        <v>792</v>
      </c>
      <c r="C8" s="32"/>
      <c r="D8" s="32"/>
    </row>
    <row r="9" spans="1:4" ht="78" customHeight="1" x14ac:dyDescent="0.2">
      <c r="A9" s="7" t="s">
        <v>50</v>
      </c>
      <c r="B9" s="31" t="s">
        <v>793</v>
      </c>
      <c r="C9" s="32"/>
      <c r="D9" s="32"/>
    </row>
    <row r="10" spans="1:4" ht="31.25" customHeight="1" x14ac:dyDescent="0.2">
      <c r="A10" s="7" t="s">
        <v>52</v>
      </c>
      <c r="B10" s="31" t="s">
        <v>794</v>
      </c>
      <c r="C10" s="32"/>
      <c r="D10" s="32"/>
    </row>
    <row r="11" spans="1:4" ht="15.5" customHeight="1" x14ac:dyDescent="0.2">
      <c r="A11" s="7" t="s">
        <v>54</v>
      </c>
      <c r="B11" s="31" t="s">
        <v>795</v>
      </c>
      <c r="C11" s="32"/>
      <c r="D11" s="32"/>
    </row>
    <row r="12" spans="1:4" x14ac:dyDescent="0.2">
      <c r="A12" s="8" t="s">
        <v>796</v>
      </c>
      <c r="B12" s="8" t="s">
        <v>797</v>
      </c>
      <c r="C12" s="8" t="s">
        <v>59</v>
      </c>
      <c r="D12" s="8" t="s">
        <v>541</v>
      </c>
    </row>
    <row r="13" spans="1:4" x14ac:dyDescent="0.2">
      <c r="A13" t="s">
        <v>798</v>
      </c>
      <c r="B13" t="s">
        <v>799</v>
      </c>
      <c r="C13" t="s">
        <v>800</v>
      </c>
      <c r="D13" t="str">
        <f>IF(AND(Discount_Rate&gt;=0,Discount_Rate&lt;=0.15),"PASS","FAIL")</f>
        <v>PASS</v>
      </c>
    </row>
    <row r="14" spans="1:4" x14ac:dyDescent="0.2">
      <c r="A14" t="s">
        <v>801</v>
      </c>
      <c r="B14" t="s">
        <v>799</v>
      </c>
      <c r="C14" t="s">
        <v>802</v>
      </c>
      <c r="D14" t="str">
        <f>IF(AND(Season_Length&gt;=60,Season_Length&lt;=150),"PASS","FAIL")</f>
        <v>PASS</v>
      </c>
    </row>
    <row r="15" spans="1:4" x14ac:dyDescent="0.2">
      <c r="A15" t="s">
        <v>803</v>
      </c>
      <c r="B15" t="s">
        <v>799</v>
      </c>
      <c r="C15" t="s">
        <v>804</v>
      </c>
      <c r="D15" t="str">
        <f>IF(AND(Projection_Years&gt;=1,Projection_Years&lt;=10),"PASS","FAIL")</f>
        <v>PASS</v>
      </c>
    </row>
    <row r="16" spans="1:4" x14ac:dyDescent="0.2">
      <c r="A16" t="s">
        <v>805</v>
      </c>
      <c r="B16" t="s">
        <v>799</v>
      </c>
      <c r="C16" t="s">
        <v>806</v>
      </c>
      <c r="D16" t="str">
        <f>IF(Value_Per_M3&gt;0,"PASS","FAIL")</f>
        <v>PASS</v>
      </c>
    </row>
    <row r="17" spans="1:4" x14ac:dyDescent="0.2">
      <c r="A17" t="s">
        <v>807</v>
      </c>
      <c r="B17" t="s">
        <v>808</v>
      </c>
      <c r="C17" t="s">
        <v>809</v>
      </c>
      <c r="D17" t="str">
        <f>IF(COUNTIF(List_TestingOptions,Testing_Option)=1,"PASS","FAIL")</f>
        <v>PASS</v>
      </c>
    </row>
    <row r="18" spans="1:4" x14ac:dyDescent="0.2">
      <c r="A18" t="s">
        <v>810</v>
      </c>
      <c r="B18" t="s">
        <v>808</v>
      </c>
      <c r="C18" t="s">
        <v>811</v>
      </c>
      <c r="D18" t="str">
        <f>IF(COUNTIF(List_Scenarios,Scenario_Select)=1,"PASS","FAIL")</f>
        <v>PASS</v>
      </c>
    </row>
    <row r="19" spans="1:4" x14ac:dyDescent="0.2">
      <c r="A19" t="s">
        <v>812</v>
      </c>
      <c r="B19" t="s">
        <v>813</v>
      </c>
      <c r="C19" t="s">
        <v>814</v>
      </c>
      <c r="D19" t="str">
        <f ca="1">IF(AND(NPV_Total&gt;-1000000,NPV_Total&lt;10000000),"PASS","FAIL")</f>
        <v>PASS</v>
      </c>
    </row>
    <row r="20" spans="1:4" x14ac:dyDescent="0.2">
      <c r="A20" t="s">
        <v>815</v>
      </c>
      <c r="B20" t="s">
        <v>813</v>
      </c>
      <c r="C20" t="s">
        <v>816</v>
      </c>
      <c r="D20" t="str">
        <f>IF(Testing_Cost&gt;0,"PASS","FAIL")</f>
        <v>PASS</v>
      </c>
    </row>
    <row r="21" spans="1:4" x14ac:dyDescent="0.2">
      <c r="A21" t="s">
        <v>817</v>
      </c>
      <c r="B21" t="s">
        <v>813</v>
      </c>
      <c r="C21" t="s">
        <v>818</v>
      </c>
      <c r="D21" t="str">
        <f ca="1">IF(Gross_Value&gt;=0,"PASS","FAIL")</f>
        <v>PASS</v>
      </c>
    </row>
    <row r="22" spans="1:4" x14ac:dyDescent="0.2">
      <c r="A22" t="s">
        <v>819</v>
      </c>
      <c r="B22" t="s">
        <v>820</v>
      </c>
      <c r="C22" t="s">
        <v>821</v>
      </c>
      <c r="D22" t="str">
        <f>IF(ISERROR(Testing_Option),"FAIL","PASS")</f>
        <v>PASS</v>
      </c>
    </row>
    <row r="23" spans="1:4" x14ac:dyDescent="0.2">
      <c r="A23" t="s">
        <v>822</v>
      </c>
      <c r="B23" t="s">
        <v>799</v>
      </c>
      <c r="C23" t="s">
        <v>823</v>
      </c>
      <c r="D23" t="str">
        <f>IF(AND(Initial_NAFC&gt;=40,Initial_NAFC&lt;=100),"PASS","FAIL")</f>
        <v>PASS</v>
      </c>
    </row>
    <row r="24" spans="1:4" x14ac:dyDescent="0.2">
      <c r="A24" t="s">
        <v>824</v>
      </c>
      <c r="B24" t="s">
        <v>808</v>
      </c>
      <c r="C24" t="s">
        <v>825</v>
      </c>
      <c r="D24" t="str">
        <f>IF(Target_NAFC&lt;Initial_NAFC,"PASS","FAIL")</f>
        <v>PASS</v>
      </c>
    </row>
    <row r="25" spans="1:4" x14ac:dyDescent="0.2">
      <c r="A25" t="s">
        <v>826</v>
      </c>
      <c r="B25" t="s">
        <v>813</v>
      </c>
      <c r="C25" t="s">
        <v>827</v>
      </c>
      <c r="D25" t="str">
        <f ca="1">IF(Days_to_Compliance&lt;=Season_Length,"PASS","FAIL")</f>
        <v>PASS</v>
      </c>
    </row>
    <row r="26" spans="1:4" x14ac:dyDescent="0.2">
      <c r="A26" t="s">
        <v>828</v>
      </c>
      <c r="B26" t="s">
        <v>799</v>
      </c>
      <c r="C26" t="s">
        <v>829</v>
      </c>
      <c r="D26" t="str">
        <f ca="1">IF(AND(Eff_Rapid_Rate&gt;0,Eff_Slow_Rate&gt;0),"PASS","FAIL")</f>
        <v>PASS</v>
      </c>
    </row>
    <row r="27" spans="1:4" x14ac:dyDescent="0.2">
      <c r="A27" t="s">
        <v>830</v>
      </c>
      <c r="B27" t="s">
        <v>831</v>
      </c>
      <c r="C27" t="s">
        <v>832</v>
      </c>
      <c r="D27" t="e">
        <f>IF(ComplianceGate=1,"PASS","FAIL")</f>
        <v>#NAME?</v>
      </c>
    </row>
    <row r="28" spans="1:4" x14ac:dyDescent="0.2">
      <c r="A28" t="s">
        <v>833</v>
      </c>
      <c r="B28" t="s">
        <v>813</v>
      </c>
      <c r="C28" t="s">
        <v>834</v>
      </c>
      <c r="D28" t="e">
        <f ca="1">IF(AdjustedValue&gt;=0,"PASS","FAIL")</f>
        <v>#NAME?</v>
      </c>
    </row>
    <row r="31" spans="1:4" ht="19" x14ac:dyDescent="0.25">
      <c r="A31" s="4" t="s">
        <v>213</v>
      </c>
    </row>
    <row r="32" spans="1:4" x14ac:dyDescent="0.2">
      <c r="A32" t="s">
        <v>835</v>
      </c>
      <c r="B32">
        <f>COUNTA(tbl_Checks[Check_ID])</f>
        <v>16</v>
      </c>
    </row>
    <row r="33" spans="1:2" x14ac:dyDescent="0.2">
      <c r="A33" t="s">
        <v>836</v>
      </c>
      <c r="B33">
        <f ca="1">COUNTIF(tbl_Checks[Status],"PASS")</f>
        <v>14</v>
      </c>
    </row>
    <row r="34" spans="1:2" x14ac:dyDescent="0.2">
      <c r="A34" t="s">
        <v>837</v>
      </c>
      <c r="B34">
        <f ca="1">COUNTIF(tbl_Checks[Status],"FAIL")</f>
        <v>0</v>
      </c>
    </row>
    <row r="35" spans="1:2" x14ac:dyDescent="0.2">
      <c r="A35" t="s">
        <v>838</v>
      </c>
      <c r="B35" t="str">
        <f ca="1">IF(COUNTIF(tbl_Checks[Status],"FAIL")=0,"HEALTHY","REVIEW REQUIRED")</f>
        <v>HEALTHY</v>
      </c>
    </row>
  </sheetData>
  <mergeCells count="7">
    <mergeCell ref="B10:D10"/>
    <mergeCell ref="B11:D11"/>
    <mergeCell ref="A4:D4"/>
    <mergeCell ref="B8:D8"/>
    <mergeCell ref="A3:D3"/>
    <mergeCell ref="B9:D9"/>
    <mergeCell ref="B7:D7"/>
  </mergeCell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22</vt:i4>
      </vt:variant>
      <vt:variant>
        <vt:lpstr>Named Ranges</vt:lpstr>
      </vt:variant>
      <vt:variant>
        <vt:i4>159</vt:i4>
      </vt:variant>
    </vt:vector>
  </HeadingPairs>
  <TitlesOfParts>
    <vt:vector size="181" baseType="lpstr">
      <vt:lpstr>0_Cover</vt:lpstr>
      <vt:lpstr>1_TOC</vt:lpstr>
      <vt:lpstr>3_Instructions</vt:lpstr>
      <vt:lpstr>2_InputMap</vt:lpstr>
      <vt:lpstr>4_Assumptions</vt:lpstr>
      <vt:lpstr>5_EnvironmentalDrivers</vt:lpstr>
      <vt:lpstr>6_Scenarios</vt:lpstr>
      <vt:lpstr>7_ServiceModels</vt:lpstr>
      <vt:lpstr>8_Calc_Timeline</vt:lpstr>
      <vt:lpstr>9_Calc_Kinetics</vt:lpstr>
      <vt:lpstr>10_Calc_Stochastic</vt:lpstr>
      <vt:lpstr>11_Calc_Compliance</vt:lpstr>
      <vt:lpstr>12_Calc_Value</vt:lpstr>
      <vt:lpstr>13_Calc_Costs</vt:lpstr>
      <vt:lpstr>14_Calc_Sim</vt:lpstr>
      <vt:lpstr>15_PL_Monthly</vt:lpstr>
      <vt:lpstr>16_PL_Annual</vt:lpstr>
      <vt:lpstr>17_CashFlow</vt:lpstr>
      <vt:lpstr>18_UnitEconomics</vt:lpstr>
      <vt:lpstr>19_Sensitivity</vt:lpstr>
      <vt:lpstr>20_Dashboard</vt:lpstr>
      <vt:lpstr>21_Checks</vt:lpstr>
      <vt:lpstr>AdjustedValue</vt:lpstr>
      <vt:lpstr>Annual_Throughput</vt:lpstr>
      <vt:lpstr>AnnualThroughput_M3</vt:lpstr>
      <vt:lpstr>Base_Year</vt:lpstr>
      <vt:lpstr>Beta_Efficiency_Gain_Alpha</vt:lpstr>
      <vt:lpstr>Beta_Efficiency_Gain_Beta</vt:lpstr>
      <vt:lpstr>Beta_Efficiency_Gain_Max</vt:lpstr>
      <vt:lpstr>Beta_Efficiency_Gain_Min</vt:lpstr>
      <vt:lpstr>Bioavail_Modifier</vt:lpstr>
      <vt:lpstr>Circulation_Cycles</vt:lpstr>
      <vt:lpstr>Compliance_Status</vt:lpstr>
      <vt:lpstr>ComplianceGate</vt:lpstr>
      <vt:lpstr>Day_80_Survival</vt:lpstr>
      <vt:lpstr>Day_LC50</vt:lpstr>
      <vt:lpstr>Day_Nontoxic</vt:lpstr>
      <vt:lpstr>Days_to_Compliance</vt:lpstr>
      <vt:lpstr>Discount_Rate</vt:lpstr>
      <vt:lpstr>DO_Modifier</vt:lpstr>
      <vt:lpstr>DowntimeCostPerDay</vt:lpstr>
      <vt:lpstr>Eff_Rapid_Rate</vt:lpstr>
      <vt:lpstr>Eff_Slow_Rate</vt:lpstr>
      <vt:lpstr>Effective_Rate</vt:lpstr>
      <vt:lpstr>Env_Bioavail_Index_Aug</vt:lpstr>
      <vt:lpstr>Env_Bioavail_Index_Jul</vt:lpstr>
      <vt:lpstr>Env_Bioavail_Index_Jun</vt:lpstr>
      <vt:lpstr>Env_Bioavail_Index_May</vt:lpstr>
      <vt:lpstr>Env_Bioavail_Index_Sep</vt:lpstr>
      <vt:lpstr>Env_DO_Typical_Aug</vt:lpstr>
      <vt:lpstr>Env_DO_Typical_Jul</vt:lpstr>
      <vt:lpstr>Env_DO_Typical_Jun</vt:lpstr>
      <vt:lpstr>Env_DO_Typical_May</vt:lpstr>
      <vt:lpstr>Env_DO_Typical_Sep</vt:lpstr>
      <vt:lpstr>Env_Nutrient_Index_Aug</vt:lpstr>
      <vt:lpstr>Env_Nutrient_Index_Jul</vt:lpstr>
      <vt:lpstr>Env_Nutrient_Index_Jun</vt:lpstr>
      <vt:lpstr>Env_Nutrient_Index_May</vt:lpstr>
      <vt:lpstr>Env_Nutrient_Index_Sep</vt:lpstr>
      <vt:lpstr>Env_Temp_Water_Aug</vt:lpstr>
      <vt:lpstr>Env_Temp_Water_Jul</vt:lpstr>
      <vt:lpstr>Env_Temp_Water_Jun</vt:lpstr>
      <vt:lpstr>Env_Temp_Water_May</vt:lpstr>
      <vt:lpstr>Env_Temp_Water_Sep</vt:lpstr>
      <vt:lpstr>Env_UV_Relative_Aug</vt:lpstr>
      <vt:lpstr>Env_UV_Relative_Jul</vt:lpstr>
      <vt:lpstr>Env_UV_Relative_Jun</vt:lpstr>
      <vt:lpstr>Env_UV_Relative_May</vt:lpstr>
      <vt:lpstr>Env_UV_Relative_Sep</vt:lpstr>
      <vt:lpstr>Gate_Chloride</vt:lpstr>
      <vt:lpstr>Gate_DO</vt:lpstr>
      <vt:lpstr>Gate_Foam</vt:lpstr>
      <vt:lpstr>Gate_NAFC</vt:lpstr>
      <vt:lpstr>Gate_Odor</vt:lpstr>
      <vt:lpstr>Gate_Oil_Sheen</vt:lpstr>
      <vt:lpstr>Gate_pH_High</vt:lpstr>
      <vt:lpstr>Gate_pH_Low</vt:lpstr>
      <vt:lpstr>Gate_S1</vt:lpstr>
      <vt:lpstr>Gate_S2</vt:lpstr>
      <vt:lpstr>Gate_S3</vt:lpstr>
      <vt:lpstr>Gate_S4</vt:lpstr>
      <vt:lpstr>Gate_SAR</vt:lpstr>
      <vt:lpstr>Gate_Sulfate</vt:lpstr>
      <vt:lpstr>Gate_Temperature</vt:lpstr>
      <vt:lpstr>Gate_Toxicity</vt:lpstr>
      <vt:lpstr>Gate_Turbidity</vt:lpstr>
      <vt:lpstr>Gross_Value</vt:lpstr>
      <vt:lpstr>Initial_NAFC</vt:lpstr>
      <vt:lpstr>Ionic_Chloride_Max</vt:lpstr>
      <vt:lpstr>Ionic_Chloride_Min</vt:lpstr>
      <vt:lpstr>Ionic_Chloride_Mode</vt:lpstr>
      <vt:lpstr>Ionic_Chloride_Threshold</vt:lpstr>
      <vt:lpstr>Ionic_DO_Compliance_Max</vt:lpstr>
      <vt:lpstr>Ionic_DO_Compliance_Min</vt:lpstr>
      <vt:lpstr>Ionic_DO_Compliance_Mode</vt:lpstr>
      <vt:lpstr>Ionic_DO_Compliance_Threshold</vt:lpstr>
      <vt:lpstr>Ionic_SAR_Max</vt:lpstr>
      <vt:lpstr>Ionic_SAR_Min</vt:lpstr>
      <vt:lpstr>Ionic_SAR_Mode</vt:lpstr>
      <vt:lpstr>Ionic_SAR_Threshold</vt:lpstr>
      <vt:lpstr>Ionic_Sulfate_Max</vt:lpstr>
      <vt:lpstr>Ionic_Sulfate_Min</vt:lpstr>
      <vt:lpstr>Ionic_Sulfate_Mode</vt:lpstr>
      <vt:lpstr>Ionic_Sulfate_Threshold</vt:lpstr>
      <vt:lpstr>LaborPerDay</vt:lpstr>
      <vt:lpstr>LearningCurve_Mult</vt:lpstr>
      <vt:lpstr>List_Scenarios</vt:lpstr>
      <vt:lpstr>List_TestingOptions</vt:lpstr>
      <vt:lpstr>MC_Anchor</vt:lpstr>
      <vt:lpstr>MC_Expected_Days</vt:lpstr>
      <vt:lpstr>MC_Expected_NPV</vt:lpstr>
      <vt:lpstr>MC_P10</vt:lpstr>
      <vt:lpstr>MC_P10_Days</vt:lpstr>
      <vt:lpstr>MC_P50</vt:lpstr>
      <vt:lpstr>MC_P50_Days</vt:lpstr>
      <vt:lpstr>MC_P90</vt:lpstr>
      <vt:lpstr>MC_P90_Days</vt:lpstr>
      <vt:lpstr>MC_Prob_Achievable</vt:lpstr>
      <vt:lpstr>MC_Prob_Positive</vt:lpstr>
      <vt:lpstr>MC_StdDev</vt:lpstr>
      <vt:lpstr>NAFC_After_Rapid</vt:lpstr>
      <vt:lpstr>NPV_Total</vt:lpstr>
      <vt:lpstr>Nutrient_Modifier</vt:lpstr>
      <vt:lpstr>Projection_Years</vt:lpstr>
      <vt:lpstr>Q10_Factor</vt:lpstr>
      <vt:lpstr>Rapid_Phase_Duration</vt:lpstr>
      <vt:lpstr>Rapid_Phase_Rate</vt:lpstr>
      <vt:lpstr>Recirculation_Cycle</vt:lpstr>
      <vt:lpstr>RegulatoryPenalty</vt:lpstr>
      <vt:lpstr>S1_Value</vt:lpstr>
      <vt:lpstr>S2_Value</vt:lpstr>
      <vt:lpstr>S3_Value</vt:lpstr>
      <vt:lpstr>S4_Value</vt:lpstr>
      <vt:lpstr>Scenario_BaseValues</vt:lpstr>
      <vt:lpstr>Scenario_Select</vt:lpstr>
      <vt:lpstr>Season_End_Day</vt:lpstr>
      <vt:lpstr>Season_End_Month</vt:lpstr>
      <vt:lpstr>Season_Length</vt:lpstr>
      <vt:lpstr>Season_Start_Day</vt:lpstr>
      <vt:lpstr>Season_Start_Month</vt:lpstr>
      <vt:lpstr>Slow_Phase_Rate</vt:lpstr>
      <vt:lpstr>Stoch_Efficiency</vt:lpstr>
      <vt:lpstr>Stoch_ExtValue</vt:lpstr>
      <vt:lpstr>Stoch_Interventions</vt:lpstr>
      <vt:lpstr>Stoch_SeasonExt</vt:lpstr>
      <vt:lpstr>Stoch_TreatmentRate</vt:lpstr>
      <vt:lpstr>System_Capacity</vt:lpstr>
      <vt:lpstr>Target_NAFC</vt:lpstr>
      <vt:lpstr>Testing_Cost</vt:lpstr>
      <vt:lpstr>Testing_Option</vt:lpstr>
      <vt:lpstr>TestOpt_Cost</vt:lpstr>
      <vt:lpstr>TestOpt_Interval</vt:lpstr>
      <vt:lpstr>TestOpt_Latency</vt:lpstr>
      <vt:lpstr>TestOpt_Method</vt:lpstr>
      <vt:lpstr>TestOpt_Option</vt:lpstr>
      <vt:lpstr>TestOpt_Points</vt:lpstr>
      <vt:lpstr>Timeline_DiscountFactor</vt:lpstr>
      <vt:lpstr>Timeline_LearningMult</vt:lpstr>
      <vt:lpstr>Treatment_Cells</vt:lpstr>
      <vt:lpstr>Treatment_Days</vt:lpstr>
      <vt:lpstr>Treatment_Efficiency</vt:lpstr>
      <vt:lpstr>TreatmentCells</vt:lpstr>
      <vt:lpstr>Tri_Extension_Value_Per_Day_Max</vt:lpstr>
      <vt:lpstr>Tri_Extension_Value_Per_Day_Min</vt:lpstr>
      <vt:lpstr>Tri_Extension_Value_Per_Day_Mode</vt:lpstr>
      <vt:lpstr>Tri_Interventions_Avoided_Max</vt:lpstr>
      <vt:lpstr>Tri_Interventions_Avoided_Min</vt:lpstr>
      <vt:lpstr>Tri_Interventions_Avoided_Mode</vt:lpstr>
      <vt:lpstr>Tri_Season_Extension_Days_Max</vt:lpstr>
      <vt:lpstr>Tri_Season_Extension_Days_Min</vt:lpstr>
      <vt:lpstr>Tri_Season_Extension_Days_Mode</vt:lpstr>
      <vt:lpstr>Tri_Treatment_Rate_Factor_Max</vt:lpstr>
      <vt:lpstr>Tri_Treatment_Rate_Factor_Min</vt:lpstr>
      <vt:lpstr>Tri_Treatment_Rate_Factor_Mode</vt:lpstr>
      <vt:lpstr>UV_Modifier</vt:lpstr>
      <vt:lpstr>Value_Per_M3</vt:lpstr>
      <vt:lpstr>ValuePer_M3</vt:lpstr>
      <vt:lpstr>Wetland_Area</vt:lpstr>
      <vt:lpstr>WetlandArea_Ha</vt:lpstr>
      <vt:lpstr>Year1_Gross_Value</vt:lpstr>
      <vt:lpstr>Year1_Net_Value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Greg Saunders</cp:lastModifiedBy>
  <dcterms:created xsi:type="dcterms:W3CDTF">2026-02-01T01:32:56Z</dcterms:created>
  <dcterms:modified xsi:type="dcterms:W3CDTF">2026-02-01T01:37:15Z</dcterms:modified>
</cp:coreProperties>
</file>