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CEC4BDB2-F8BC-DF4F-9B85-087A3C786870}" xr6:coauthVersionLast="47" xr6:coauthVersionMax="47" xr10:uidLastSave="{00000000-0000-0000-0000-000000000000}"/>
  <bookViews>
    <workbookView xWindow="0" yWindow="680" windowWidth="30240" windowHeight="18960" activeTab="10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'3_Assumptions'!$B$25</definedName>
    <definedName name="AnnualThroughput_M3">'3_Assumptions'!$B$25</definedName>
    <definedName name="Base_Year">'1_TOC'!$B$9</definedName>
    <definedName name="Beta_Efficiency_Gain_Alpha">'5_ServiceModels'!$B$13</definedName>
    <definedName name="Beta_Efficiency_Gain_Beta">'5_ServiceModels'!$C$13</definedName>
    <definedName name="Beta_Efficiency_Gain_Max">'5_ServiceModels'!$E$13</definedName>
    <definedName name="Beta_Efficiency_Gain_Min">'5_ServiceModels'!$D$13</definedName>
    <definedName name="Circulation_Cycles">'6_Calc_Timeline'!$C$22</definedName>
    <definedName name="Compliance_Status">'6_Calc_Timeline'!$C$24</definedName>
    <definedName name="Day_80_Survival">'3_Assumptions'!$B$83</definedName>
    <definedName name="Day_LC50">'3_Assumptions'!$B$82</definedName>
    <definedName name="Day_Nontoxic">'3_Assumptions'!$B$84</definedName>
    <definedName name="Days_to_Compliance">'6_Calc_Timeline'!$C$21</definedName>
    <definedName name="Discount_Rate">'1_TOC'!$B$7</definedName>
    <definedName name="DowntimeCostPerDay">'3_Assumptions'!$B$33</definedName>
    <definedName name="Eff_Rapid_Rate">'6_Calc_Timeline'!$C$18</definedName>
    <definedName name="Eff_Slow_Rate">'6_Calc_Timeline'!$C$19</definedName>
    <definedName name="Gate_S1">'3_Assumptions'!$B$53:$B$55</definedName>
    <definedName name="Gate_S2">'3_Assumptions'!$C$53:$C$55</definedName>
    <definedName name="Gate_S3">'3_Assumptions'!$D$53:$D$55</definedName>
    <definedName name="Gate_S4">'3_Assumptions'!$E$53:$E$55</definedName>
    <definedName name="Gross_Value">'8_Calc_Value'!$E$12</definedName>
    <definedName name="Initial_NAFC">'3_Assumptions'!$B$70</definedName>
    <definedName name="LaborPerDay">'3_Assumptions'!$B$31</definedName>
    <definedName name="LearningCurve_Mult">'3_Assumptions'!$B$38:$B$42</definedName>
    <definedName name="List_Scenarios">'3_Assumptions'!$B$60:$B$62</definedName>
    <definedName name="List_TestingOptions">'3_Assumptions'!$A$60:$A$62</definedName>
    <definedName name="MC_Anchor">'3_Assumptions'!$B$65</definedName>
    <definedName name="MC_Expected_Days">'10_Calc_Sim'!$B$1019</definedName>
    <definedName name="MC_Expected_NPV">'10_Calc_Sim'!$B$1011</definedName>
    <definedName name="MC_P10">'10_Calc_Sim'!$B$1012</definedName>
    <definedName name="MC_P10_Days">'10_Calc_Sim'!$B$1020</definedName>
    <definedName name="MC_P50">'10_Calc_Sim'!$B$1013</definedName>
    <definedName name="MC_P50_Days">'10_Calc_Sim'!$B$1021</definedName>
    <definedName name="MC_P90">'10_Calc_Sim'!$B$1014</definedName>
    <definedName name="MC_P90_Days">'10_Calc_Sim'!$B$1022</definedName>
    <definedName name="MC_Prob_Achievable">'10_Calc_Sim'!$B$1023</definedName>
    <definedName name="MC_Prob_Positive">'10_Calc_Sim'!$B$1016</definedName>
    <definedName name="MC_StdDev">'10_Calc_Sim'!$B$1015</definedName>
    <definedName name="NAFC_After_Rapid">'6_Calc_Timeline'!$C$20</definedName>
    <definedName name="NPV_Total">'12_PL_Annual'!$B$15</definedName>
    <definedName name="Projection_Years">'1_TOC'!$B$8</definedName>
    <definedName name="Rapid_Phase_Duration">'3_Assumptions'!$B$74</definedName>
    <definedName name="Rapid_Phase_Rate">'3_Assumptions'!$B$72</definedName>
    <definedName name="Recirculation_Cycle">'3_Assumptions'!$B$75</definedName>
    <definedName name="RegulatoryPenalty">'3_Assumptions'!$B$32</definedName>
    <definedName name="S1_Value">'8_Calc_Value'!$E$7</definedName>
    <definedName name="S2_Value">'8_Calc_Value'!$E$8</definedName>
    <definedName name="S3_Value">'8_Calc_Value'!$E$9</definedName>
    <definedName name="S4_Value">'8_Calc_Value'!$E$10</definedName>
    <definedName name="Scenario_BaseValues">'4_Scenarios'!$C$4:$C$7</definedName>
    <definedName name="Scenario_Select">'1_TOC'!$B$6</definedName>
    <definedName name="Season_End_Day">'3_Assumptions'!$B$9</definedName>
    <definedName name="Season_End_Month">'3_Assumptions'!$B$8</definedName>
    <definedName name="Season_Length">'3_Assumptions'!$B$10</definedName>
    <definedName name="Season_Start_Day">'3_Assumptions'!$B$7</definedName>
    <definedName name="Season_Start_Month">'3_Assumptions'!$B$6</definedName>
    <definedName name="Slow_Phase_Rate">'3_Assumptions'!$B$73</definedName>
    <definedName name="Stoch_Efficiency">'7_Calc_Stochastic'!$C$11</definedName>
    <definedName name="Stoch_ExtValue">'7_Calc_Stochastic'!$C$9</definedName>
    <definedName name="Stoch_Interventions">'7_Calc_Stochastic'!$C$10</definedName>
    <definedName name="Stoch_SeasonExt">'7_Calc_Stochastic'!$C$8</definedName>
    <definedName name="Stoch_TreatmentRate">'7_Calc_Stochastic'!$C$12</definedName>
    <definedName name="System_Capacity">'3_Assumptions'!$B$76</definedName>
    <definedName name="Target_NAFC">'3_Assumptions'!$B$71</definedName>
    <definedName name="Testing_Cost">'9_Calc_Costs'!$C$13</definedName>
    <definedName name="Testing_Option">'1_TOC'!$B$5</definedName>
    <definedName name="TestOpt_Cost">'3_Assumptions'!$E$47:$E$49</definedName>
    <definedName name="TestOpt_Interval">'3_Assumptions'!$C$47:$C$49</definedName>
    <definedName name="TestOpt_Latency">'3_Assumptions'!$F$47:$F$49</definedName>
    <definedName name="TestOpt_Method">'3_Assumptions'!$B$47:$B$49</definedName>
    <definedName name="TestOpt_Option">'3_Assumptions'!$A$47:$A$49</definedName>
    <definedName name="TestOpt_Points">'3_Assumptions'!$D$47:$D$49</definedName>
    <definedName name="Timeline_DiscountFactor">'6_Calc_Timeline'!$D$7:$D$12</definedName>
    <definedName name="Timeline_LearningMult">'6_Calc_Timeline'!$E$7:$E$12</definedName>
    <definedName name="Treatment_Cells">'3_Assumptions'!$B$24</definedName>
    <definedName name="Treatment_Days">'3_Assumptions'!$B$10</definedName>
    <definedName name="Treatment_Efficiency">'6_Calc_Timeline'!$C$23</definedName>
    <definedName name="TreatmentCells">'3_Assumptions'!$B$24</definedName>
    <definedName name="Tri_Extension_Value_Per_Day_Max">'5_ServiceModels'!$D$6</definedName>
    <definedName name="Tri_Extension_Value_Per_Day_Min">'5_ServiceModels'!$B$6</definedName>
    <definedName name="Tri_Extension_Value_Per_Day_Mode">'5_ServiceModels'!$C$6</definedName>
    <definedName name="Tri_Interventions_Avoided_Max">'5_ServiceModels'!$D$7</definedName>
    <definedName name="Tri_Interventions_Avoided_Min">'5_ServiceModels'!$B$7</definedName>
    <definedName name="Tri_Interventions_Avoided_Mode">'5_ServiceModels'!$C$7</definedName>
    <definedName name="Tri_Season_Extension_Days_Max">'5_ServiceModels'!$D$5</definedName>
    <definedName name="Tri_Season_Extension_Days_Min">'5_ServiceModels'!$B$5</definedName>
    <definedName name="Tri_Season_Extension_Days_Mode">'5_ServiceModels'!$C$5</definedName>
    <definedName name="Tri_Treatment_Rate_Factor_Max">'5_ServiceModels'!$D$8</definedName>
    <definedName name="Tri_Treatment_Rate_Factor_Min">'5_ServiceModels'!$B$8</definedName>
    <definedName name="Tri_Treatment_Rate_Factor_Mode">'5_ServiceModels'!$C$8</definedName>
    <definedName name="Value_Per_M3">'3_Assumptions'!$B$26</definedName>
    <definedName name="ValuePer_M3">'3_Assumptions'!$B$26</definedName>
    <definedName name="Wetland_Area">'3_Assumptions'!$B$23</definedName>
    <definedName name="WetlandArea_Ha">'3_Assumptions'!$B$23</definedName>
    <definedName name="Year1_Gross_Value">'12_PL_Annual'!$F$7</definedName>
    <definedName name="Year1_Net_Value">'12_PL_Annual'!$H$7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8" l="1"/>
  <c r="D18" i="18"/>
  <c r="D17" i="18"/>
  <c r="D16" i="18"/>
  <c r="D12" i="18"/>
  <c r="D11" i="18"/>
  <c r="D10" i="18"/>
  <c r="D9" i="18"/>
  <c r="D8" i="18"/>
  <c r="D7" i="18"/>
  <c r="B28" i="17"/>
  <c r="C27" i="17"/>
  <c r="B27" i="17"/>
  <c r="B8" i="17"/>
  <c r="B18" i="15"/>
  <c r="B7" i="15"/>
  <c r="A11" i="14"/>
  <c r="A10" i="14"/>
  <c r="A9" i="14"/>
  <c r="A8" i="14"/>
  <c r="A7" i="14"/>
  <c r="A11" i="13"/>
  <c r="A10" i="13"/>
  <c r="A9" i="13"/>
  <c r="A8" i="13"/>
  <c r="A7" i="13"/>
  <c r="B1023" i="11"/>
  <c r="B1022" i="11"/>
  <c r="B1021" i="11"/>
  <c r="B1020" i="11"/>
  <c r="B1019" i="11"/>
  <c r="B1016" i="11"/>
  <c r="B13" i="17" s="1"/>
  <c r="B1015" i="11"/>
  <c r="B1014" i="11"/>
  <c r="B12" i="17" s="1"/>
  <c r="B1013" i="11"/>
  <c r="B11" i="17" s="1"/>
  <c r="B1012" i="11"/>
  <c r="B10" i="17" s="1"/>
  <c r="B1011" i="11"/>
  <c r="C10" i="10"/>
  <c r="C9" i="10"/>
  <c r="C8" i="10"/>
  <c r="C11" i="10" s="1"/>
  <c r="C12" i="10" s="1"/>
  <c r="C13" i="10" s="1"/>
  <c r="C7" i="10"/>
  <c r="C10" i="9"/>
  <c r="B10" i="9"/>
  <c r="C9" i="9"/>
  <c r="B9" i="9"/>
  <c r="C8" i="9"/>
  <c r="B8" i="9"/>
  <c r="C7" i="9"/>
  <c r="B7" i="9"/>
  <c r="B12" i="8"/>
  <c r="C12" i="8" s="1"/>
  <c r="B11" i="8"/>
  <c r="C11" i="8" s="1"/>
  <c r="B10" i="8"/>
  <c r="C10" i="8" s="1"/>
  <c r="D8" i="9" s="1"/>
  <c r="B9" i="8"/>
  <c r="C9" i="8" s="1"/>
  <c r="B8" i="8"/>
  <c r="C8" i="8" s="1"/>
  <c r="D7" i="9" s="1"/>
  <c r="C23" i="7"/>
  <c r="E12" i="7"/>
  <c r="D12" i="7"/>
  <c r="I11" i="13" s="1"/>
  <c r="C12" i="7"/>
  <c r="B12" i="7"/>
  <c r="E11" i="7"/>
  <c r="D11" i="7"/>
  <c r="I10" i="13" s="1"/>
  <c r="C11" i="7"/>
  <c r="B11" i="7"/>
  <c r="E10" i="7"/>
  <c r="D10" i="7"/>
  <c r="I9" i="13" s="1"/>
  <c r="C10" i="7"/>
  <c r="B10" i="7"/>
  <c r="E9" i="7"/>
  <c r="D9" i="7"/>
  <c r="I8" i="13" s="1"/>
  <c r="C9" i="7"/>
  <c r="B9" i="7"/>
  <c r="E8" i="7"/>
  <c r="D8" i="7"/>
  <c r="I7" i="13" s="1"/>
  <c r="C8" i="7"/>
  <c r="B8" i="7"/>
  <c r="C7" i="7"/>
  <c r="B7" i="7"/>
  <c r="E55" i="4"/>
  <c r="C23" i="17" s="1"/>
  <c r="D55" i="4"/>
  <c r="C22" i="17" s="1"/>
  <c r="C55" i="4"/>
  <c r="C21" i="17" s="1"/>
  <c r="B55" i="4"/>
  <c r="C20" i="17" s="1"/>
  <c r="E54" i="4"/>
  <c r="D54" i="4"/>
  <c r="C54" i="4"/>
  <c r="B54" i="4"/>
  <c r="E53" i="4"/>
  <c r="D53" i="4"/>
  <c r="C53" i="4"/>
  <c r="B53" i="4"/>
  <c r="B5" i="1"/>
  <c r="E8" i="9" l="1"/>
  <c r="B21" i="17" s="1"/>
  <c r="C34" i="17"/>
  <c r="B34" i="17"/>
  <c r="C33" i="17"/>
  <c r="B33" i="17"/>
  <c r="C32" i="17"/>
  <c r="B32" i="17"/>
  <c r="G5" i="11"/>
  <c r="G10" i="13"/>
  <c r="D14" i="18"/>
  <c r="G8" i="13"/>
  <c r="B19" i="15"/>
  <c r="B14" i="17"/>
  <c r="G7" i="13"/>
  <c r="G9" i="13"/>
  <c r="G11" i="13"/>
  <c r="B9" i="15"/>
  <c r="B13" i="15"/>
  <c r="C18" i="7"/>
  <c r="C19" i="7"/>
  <c r="D9" i="9"/>
  <c r="E9" i="9" s="1"/>
  <c r="D10" i="9"/>
  <c r="E10" i="9" s="1"/>
  <c r="B31" i="17"/>
  <c r="C31" i="17"/>
  <c r="E7" i="9"/>
  <c r="C7" i="13" l="1"/>
  <c r="C8" i="13"/>
  <c r="C10" i="13"/>
  <c r="D5" i="11"/>
  <c r="C11" i="13"/>
  <c r="C9" i="13"/>
  <c r="C20" i="7"/>
  <c r="C21" i="7" s="1"/>
  <c r="D20" i="18"/>
  <c r="D9" i="13"/>
  <c r="E5" i="11"/>
  <c r="D7" i="13"/>
  <c r="B22" i="17"/>
  <c r="D11" i="13"/>
  <c r="D10" i="13"/>
  <c r="D8" i="13"/>
  <c r="E10" i="13"/>
  <c r="E7" i="13"/>
  <c r="F5" i="11"/>
  <c r="E11" i="13"/>
  <c r="E9" i="13"/>
  <c r="E8" i="13"/>
  <c r="B23" i="17"/>
  <c r="B11" i="13"/>
  <c r="B9" i="13"/>
  <c r="B20" i="17"/>
  <c r="B8" i="13"/>
  <c r="B7" i="13"/>
  <c r="E12" i="9"/>
  <c r="B10" i="13"/>
  <c r="C5" i="11"/>
  <c r="F11" i="13" l="1"/>
  <c r="H11" i="13" s="1"/>
  <c r="C22" i="7"/>
  <c r="I5" i="11"/>
  <c r="D19" i="18"/>
  <c r="C24" i="7"/>
  <c r="C29" i="17" s="1"/>
  <c r="B29" i="17"/>
  <c r="B8" i="15"/>
  <c r="B10" i="15"/>
  <c r="B11" i="15"/>
  <c r="B12" i="15"/>
  <c r="B20" i="15"/>
  <c r="H5" i="11"/>
  <c r="D15" i="18"/>
  <c r="F9" i="13"/>
  <c r="H9" i="13" s="1"/>
  <c r="F7" i="13"/>
  <c r="F8" i="13"/>
  <c r="H8" i="13" s="1"/>
  <c r="F10" i="13"/>
  <c r="H10" i="13" s="1"/>
  <c r="B11" i="14" l="1"/>
  <c r="J11" i="13"/>
  <c r="B30" i="17"/>
  <c r="C30" i="17"/>
  <c r="B9" i="14"/>
  <c r="J9" i="13"/>
  <c r="B15" i="17"/>
  <c r="H7" i="13"/>
  <c r="B16" i="13"/>
  <c r="B8" i="14"/>
  <c r="J8" i="13"/>
  <c r="B10" i="14"/>
  <c r="J10" i="13"/>
  <c r="J7" i="13" l="1"/>
  <c r="B17" i="13"/>
  <c r="B7" i="14"/>
  <c r="C7" i="14" s="1"/>
  <c r="C8" i="14" s="1"/>
  <c r="C9" i="14" s="1"/>
  <c r="C10" i="14" s="1"/>
  <c r="C11" i="14" s="1"/>
  <c r="B16" i="17"/>
  <c r="D7" i="14" l="1"/>
  <c r="D8" i="14" s="1"/>
  <c r="D9" i="14" s="1"/>
  <c r="D10" i="14" s="1"/>
  <c r="D11" i="14" s="1"/>
  <c r="B15" i="13"/>
  <c r="E7" i="16" l="1"/>
  <c r="E8" i="16"/>
  <c r="F9" i="16"/>
  <c r="B9" i="17"/>
  <c r="B14" i="15"/>
  <c r="F7" i="16"/>
  <c r="F8" i="16"/>
  <c r="E9" i="16"/>
  <c r="E10" i="16"/>
  <c r="F10" i="16"/>
  <c r="G10" i="16" s="1"/>
  <c r="B5" i="11"/>
  <c r="D13" i="18"/>
  <c r="G9" i="16" l="1"/>
  <c r="B26" i="18"/>
  <c r="B46" i="17"/>
  <c r="B25" i="18"/>
  <c r="B47" i="17"/>
  <c r="B27" i="18"/>
  <c r="B9" i="1"/>
  <c r="B10" i="1"/>
  <c r="G7" i="16"/>
  <c r="G8" i="16"/>
</calcChain>
</file>

<file path=xl/sharedStrings.xml><?xml version="1.0" encoding="utf-8"?>
<sst xmlns="http://schemas.openxmlformats.org/spreadsheetml/2006/main" count="700" uniqueCount="554">
  <si>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</si>
  <si>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</si>
  <si>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</si>
  <si>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</si>
  <si>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</si>
  <si>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</si>
  <si>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</si>
  <si>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</si>
  <si>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</si>
  <si>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</si>
  <si>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</si>
  <si>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</si>
  <si>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</si>
  <si>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</si>
  <si>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</si>
  <si>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</si>
  <si>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</si>
  <si>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</si>
  <si>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</si>
  <si>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</si>
  <si>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</si>
  <si>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</si>
  <si>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</si>
  <si>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</si>
  <si>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</si>
  <si>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</si>
  <si>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</si>
  <si>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</si>
  <si>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</si>
  <si>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</si>
  <si>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</si>
  <si>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</si>
  <si>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</si>
  <si>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</si>
  <si>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</si>
  <si>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</si>
  <si>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</si>
  <si>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</si>
  <si>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</si>
  <si>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</si>
  <si>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</si>
  <si>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</si>
  <si>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</si>
  <si>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</si>
  <si>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</si>
  <si>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</si>
  <si>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User-editable parameters - change these to update model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</si>
  <si>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</si>
  <si>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</si>
  <si>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</si>
  <si>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</si>
  <si>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</si>
  <si>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</si>
  <si>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</si>
  <si>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</si>
  <si>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</si>
  <si>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</si>
  <si>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</si>
  <si>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</si>
  <si>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</si>
  <si>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</si>
  <si>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</si>
  <si>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</si>
  <si>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</si>
  <si>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</si>
  <si>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</si>
  <si>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</si>
  <si>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</si>
  <si>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</si>
  <si>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</si>
  <si>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</si>
  <si>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</si>
  <si>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</si>
  <si>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</si>
  <si>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</si>
  <si>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</si>
  <si>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A5:I1005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</si>
  <si>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</si>
  <si>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</si>
  <si>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</si>
  <si>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</si>
  <si>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</si>
  <si>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</si>
  <si>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</si>
  <si>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</si>
  <si>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</si>
  <si>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</si>
  <si>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</si>
  <si>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</si>
  <si>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</si>
  <si>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</si>
  <si>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</si>
  <si>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</si>
  <si>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</si>
  <si>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</si>
  <si>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</si>
  <si>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</si>
  <si>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</si>
  <si>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</si>
  <si>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</si>
  <si>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</si>
  <si>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</si>
  <si>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</si>
  <si>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</si>
  <si>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</si>
  <si>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</si>
  <si>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</si>
  <si>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</si>
  <si>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</si>
  <si>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</si>
  <si>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</si>
  <si>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</si>
  <si>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</si>
  <si>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</si>
  <si>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</si>
  <si>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</si>
  <si>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</si>
  <si>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</si>
  <si>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</si>
  <si>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</si>
  <si>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</si>
  <si>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</si>
  <si>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</si>
  <si>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</si>
  <si>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</si>
  <si>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</si>
  <si>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</si>
  <si>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</si>
  <si>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</si>
  <si>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</si>
  <si>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</si>
  <si>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</si>
  <si>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</si>
  <si>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</si>
  <si>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</si>
  <si>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</si>
  <si>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</si>
  <si>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</si>
  <si>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</si>
  <si>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</si>
  <si>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</si>
  <si>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</si>
  <si>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</si>
  <si>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</si>
  <si>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</si>
  <si>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</si>
  <si>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</si>
  <si>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</si>
  <si>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</si>
  <si>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</si>
  <si>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</si>
  <si>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</si>
  <si>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</si>
  <si>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</si>
  <si>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</si>
  <si>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</si>
  <si>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</si>
  <si>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</si>
  <si>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</si>
  <si>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</si>
  <si>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</si>
  <si>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</si>
  <si>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</si>
  <si>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</si>
  <si>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</si>
  <si>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</si>
  <si>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</si>
  <si>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All user-editable values are highlighted yellow</t>
  </si>
  <si>
    <t>A. TIMING PARAMETERS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</si>
  <si>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</si>
  <si>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</si>
  <si>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</si>
  <si>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</si>
  <si>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</si>
  <si>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</si>
  <si>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</si>
  <si>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</si>
  <si>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</si>
  <si>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</si>
  <si>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</si>
  <si>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</si>
  <si>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</si>
  <si>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</si>
  <si>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</si>
  <si>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</si>
  <si>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</si>
  <si>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</si>
  <si>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</si>
  <si>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</si>
  <si>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</si>
  <si>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</si>
  <si>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</si>
  <si>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</si>
  <si>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</si>
  <si>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</si>
  <si>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</si>
  <si>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</si>
  <si>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</si>
  <si>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</si>
  <si>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</si>
  <si>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</si>
  <si>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</si>
  <si>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</si>
  <si>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</si>
  <si>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</si>
  <si>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</si>
  <si>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</si>
  <si>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</si>
  <si>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</si>
  <si>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</si>
  <si>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</si>
  <si>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LaborPerDay</t>
  </si>
  <si>
    <t>$/day</t>
  </si>
  <si>
    <t>RegulatoryPenalty</t>
  </si>
  <si>
    <t>$</t>
  </si>
  <si>
    <t>DowntimeCostPerDay</t>
  </si>
  <si>
    <t>D. LEARNING CURVE</t>
  </si>
  <si>
    <t>Year</t>
  </si>
  <si>
    <t>Pilot learning</t>
  </si>
  <si>
    <t>Initial optimization</t>
  </si>
  <si>
    <t>Full maturity</t>
  </si>
  <si>
    <t>Steady state</t>
  </si>
  <si>
    <t>E. TEST OPTIONS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</si>
  <si>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</si>
  <si>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</si>
  <si>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</si>
  <si>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</si>
  <si>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</si>
  <si>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</si>
  <si>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</si>
  <si>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</si>
  <si>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</si>
  <si>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</si>
  <si>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</si>
  <si>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</si>
  <si>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</si>
  <si>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</si>
  <si>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</si>
  <si>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</si>
  <si>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</si>
  <si>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</si>
  <si>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</si>
  <si>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</si>
  <si>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</si>
  <si>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</si>
  <si>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Source: Vander Meulen &amp; Headley (2024) GROW Presentation - Kearl Pilot 2022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</si>
  <si>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</si>
  <si>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</si>
  <si>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</si>
  <si>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</si>
  <si>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</si>
  <si>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</si>
  <si>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</si>
  <si>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</si>
  <si>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</si>
  <si>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</si>
  <si>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</si>
  <si>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</si>
  <si>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</si>
  <si>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</si>
  <si>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</si>
  <si>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</si>
  <si>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</si>
  <si>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</si>
  <si>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(Parrott Lab, Burlington)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</si>
  <si>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</si>
  <si>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</si>
  <si>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</si>
  <si>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</si>
  <si>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</si>
  <si>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</si>
  <si>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</si>
  <si>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</si>
  <si>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</si>
  <si>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</si>
  <si>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</si>
  <si>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</si>
  <si>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</si>
  <si>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</si>
  <si>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</si>
  <si>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</si>
  <si>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</si>
  <si>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</si>
  <si>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</si>
  <si>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</si>
  <si>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</si>
  <si>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</si>
  <si>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</si>
  <si>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</si>
  <si>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</si>
  <si>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</si>
  <si>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</si>
  <si>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</si>
  <si>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</si>
  <si>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</si>
  <si>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Discount_Adj</t>
  </si>
  <si>
    <t>Growth_Adj</t>
  </si>
  <si>
    <t>Risk_Adj</t>
  </si>
  <si>
    <t>Monte Carlo Distribution Parameters</t>
  </si>
  <si>
    <t>Triangular Distributions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</si>
  <si>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</si>
  <si>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</si>
  <si>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</si>
  <si>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</si>
  <si>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</si>
  <si>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</si>
  <si>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</si>
  <si>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</si>
  <si>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</si>
  <si>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</si>
  <si>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</si>
  <si>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</si>
  <si>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Alpha</t>
  </si>
  <si>
    <t>Beta</t>
  </si>
  <si>
    <t>Efficiency_Gain</t>
  </si>
  <si>
    <t>%</t>
  </si>
  <si>
    <t>Value Per M3 Sensitivity Frames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</si>
  <si>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</si>
  <si>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</si>
  <si>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</si>
  <si>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</si>
  <si>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</si>
  <si>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</si>
  <si>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</si>
  <si>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</si>
  <si>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</si>
  <si>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</si>
  <si>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</si>
  <si>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</si>
  <si>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</si>
  <si>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</si>
  <si>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</si>
  <si>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</si>
  <si>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</si>
  <si>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</si>
  <si>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</si>
  <si>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</si>
  <si>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</si>
  <si>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</si>
  <si>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</si>
  <si>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</si>
  <si>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</si>
  <si>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</si>
  <si>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</si>
  <si>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</si>
  <si>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</si>
  <si>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</si>
  <si>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</si>
  <si>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</si>
  <si>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</si>
  <si>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</si>
  <si>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</si>
  <si>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</si>
  <si>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</si>
  <si>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</si>
  <si>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</si>
  <si>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</si>
  <si>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</si>
  <si>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</si>
  <si>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</si>
  <si>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</si>
  <si>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</si>
  <si>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</si>
  <si>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</si>
  <si>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</si>
  <si>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</si>
  <si>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</si>
  <si>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</si>
  <si>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</si>
  <si>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</si>
  <si>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</si>
  <si>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</si>
  <si>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</si>
  <si>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</si>
  <si>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</si>
  <si>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</si>
  <si>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</si>
  <si>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</si>
  <si>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</si>
  <si>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</si>
  <si>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</si>
  <si>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</si>
  <si>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</si>
  <si>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</si>
  <si>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</si>
  <si>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</si>
  <si>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</si>
  <si>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</si>
  <si>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</si>
  <si>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Select A5:I1005 &gt; Data &gt; What-If Analysis &gt; Data Table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</si>
  <si>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</si>
  <si>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</si>
  <si>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</si>
  <si>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</si>
  <si>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</si>
  <si>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</si>
  <si>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</si>
  <si>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</si>
  <si>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</si>
  <si>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</si>
  <si>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</si>
  <si>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</si>
  <si>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</si>
  <si>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</si>
  <si>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</si>
  <si>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</si>
  <si>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</si>
  <si>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</si>
  <si>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</si>
  <si>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</si>
  <si>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</si>
  <si>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</si>
  <si>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</si>
  <si>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</si>
  <si>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</si>
  <si>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</si>
  <si>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</si>
  <si>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</si>
  <si>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</si>
  <si>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</si>
  <si>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</si>
  <si>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</si>
  <si>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</si>
  <si>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</si>
  <si>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</si>
  <si>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</si>
  <si>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</si>
  <si>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</si>
  <si>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</si>
  <si>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</si>
  <si>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</si>
  <si>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</si>
  <si>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</si>
  <si>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</si>
  <si>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</si>
  <si>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</si>
  <si>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</si>
  <si>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</si>
  <si>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</si>
  <si>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</si>
  <si>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</si>
  <si>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</si>
  <si>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</si>
  <si>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</si>
  <si>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</si>
  <si>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</si>
  <si>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</si>
  <si>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</si>
  <si>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</si>
  <si>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</si>
  <si>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</si>
  <si>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</si>
  <si>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</si>
  <si>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</si>
  <si>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</si>
  <si>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</si>
  <si>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</si>
  <si>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</si>
  <si>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</si>
  <si>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</si>
  <si>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</si>
  <si>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</si>
  <si>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</si>
  <si>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</si>
  <si>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</si>
  <si>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</si>
  <si>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</si>
  <si>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</si>
  <si>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</si>
  <si>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</si>
  <si>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</si>
  <si>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</si>
  <si>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</si>
  <si>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</si>
  <si>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</si>
  <si>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</si>
  <si>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</si>
  <si>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</si>
  <si>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</si>
  <si>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</si>
  <si>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</si>
  <si>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</si>
  <si>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</si>
  <si>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</si>
  <si>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</si>
  <si>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</si>
  <si>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Status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</si>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</sst>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1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i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i/>
      <sz val="9"/>
      <name val="Calibri"/>
      <family val="2"/>
    </font>
    <font>
      <b/>
      <sz val="11"/>
      <color rgb="FF1F4E7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0" fillId="3" borderId="0" xfId="0" applyFill="1"/>
    <xf numFmtId="165" fontId="0" fillId="3" borderId="0" xfId="0" applyNumberFormat="1" applyFill="1"/>
    <xf numFmtId="0" fontId="7" fillId="0" borderId="0" xfId="0" applyFont="1"/>
    <xf numFmtId="0" fontId="8" fillId="0" borderId="0" xfId="0" applyFont="1"/>
    <xf numFmtId="166" fontId="0" fillId="3" borderId="0" xfId="0" applyNumberFormat="1" applyFill="1"/>
    <xf numFmtId="167" fontId="0" fillId="3" borderId="0" xfId="0" applyNumberFormat="1" applyFill="1"/>
    <xf numFmtId="167" fontId="0" fillId="0" borderId="0" xfId="0" applyNumberFormat="1"/>
    <xf numFmtId="0" fontId="9" fillId="0" borderId="0" xfId="0" applyFont="1"/>
    <xf numFmtId="168" fontId="0" fillId="3" borderId="0" xfId="0" applyNumberFormat="1" applyFill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7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0" fillId="4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0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4:D9">
  <autoFilter ref="A4:D9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5:D10">
  <autoFilter ref="A5:D10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13:D18">
  <autoFilter ref="A13:D18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22:D26">
  <autoFilter ref="A22:D26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30:C33">
  <autoFilter ref="A30:C33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37:C42">
  <autoFilter ref="A37:C42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46:F49">
  <autoFilter ref="A46:F49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52:E55">
  <autoFilter ref="A52:E55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69:D76">
  <autoFilter ref="A69:D76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81:D84">
  <autoFilter ref="A81:D84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3:E7">
  <autoFilter ref="A3:E7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11:D14">
  <autoFilter ref="A11:D14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4:E8">
  <autoFilter ref="A4:E8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12:F13">
  <autoFilter ref="A12:F1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17:E20">
  <autoFilter ref="A17:E20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6:E12">
  <autoFilter ref="A6:E12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7:C12">
  <autoFilter ref="A7:C12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6:E10">
  <autoFilter ref="A6:E10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6:C13">
  <autoFilter ref="A6:C13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6:J11">
  <autoFilter ref="A6:J11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6:D11">
  <autoFilter ref="A6:D11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6:D14">
  <autoFilter ref="A6:D14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6:G10">
  <autoFilter ref="A6:G10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7:B16">
  <autoFilter ref="A7:B16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19:C23">
  <autoFilter ref="A19:C23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26:C34">
  <autoFilter ref="A26:C34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37:D43">
  <autoFilter ref="A37:D43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6:D20">
  <autoFilter ref="A6:D20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workbookViewId="0"/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9"/>
  <sheetViews>
    <sheetView workbookViewId="0"/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2" spans="1:4" x14ac:dyDescent="0.2">
      <c r="A2" s="6" t="s">
        <v>46</v>
      </c>
    </row>
    <row r="4" spans="1:4" x14ac:dyDescent="0.2">
      <c r="A4" s="7" t="s">
        <v>47</v>
      </c>
      <c r="B4" s="7" t="s">
        <v>48</v>
      </c>
      <c r="C4" s="7" t="s">
        <v>49</v>
      </c>
      <c r="D4" s="7" t="s">
        <v>50</v>
      </c>
    </row>
    <row r="5" spans="1:4" x14ac:dyDescent="0.2">
      <c r="A5" t="s">
        <v>51</v>
      </c>
      <c r="B5" s="8" t="s">
        <v>52</v>
      </c>
      <c r="C5" t="s">
        <v>53</v>
      </c>
      <c r="D5" t="s">
        <v>54</v>
      </c>
    </row>
    <row r="6" spans="1:4" x14ac:dyDescent="0.2">
      <c r="A6" t="s">
        <v>55</v>
      </c>
      <c r="B6" s="8" t="s">
        <v>56</v>
      </c>
      <c r="C6" t="s">
        <v>53</v>
      </c>
      <c r="D6" t="s">
        <v>57</v>
      </c>
    </row>
    <row r="7" spans="1:4" x14ac:dyDescent="0.2">
      <c r="A7" t="s">
        <v>58</v>
      </c>
      <c r="B7" s="9">
        <v>4.8000000000000001E-2</v>
      </c>
      <c r="C7" t="s">
        <v>59</v>
      </c>
      <c r="D7" t="s">
        <v>60</v>
      </c>
    </row>
    <row r="8" spans="1:4" x14ac:dyDescent="0.2">
      <c r="A8" t="s">
        <v>61</v>
      </c>
      <c r="B8" s="8">
        <v>5</v>
      </c>
      <c r="C8" t="s">
        <v>62</v>
      </c>
      <c r="D8" t="s">
        <v>63</v>
      </c>
    </row>
    <row r="9" spans="1:4" x14ac:dyDescent="0.2">
      <c r="A9" t="s">
        <v>64</v>
      </c>
      <c r="B9" s="8">
        <v>2026</v>
      </c>
      <c r="C9" t="s">
        <v>65</v>
      </c>
      <c r="D9" t="s">
        <v>66</v>
      </c>
    </row>
  </sheetData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workbookViewId="0"/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67</v>
      </c>
    </row>
    <row r="3" spans="1:1" ht="19" x14ac:dyDescent="0.25">
      <c r="A3" s="4" t="s">
        <v>68</v>
      </c>
    </row>
    <row r="4" spans="1:1" x14ac:dyDescent="0.2">
      <c r="A4" t="s">
        <v>69</v>
      </c>
    </row>
    <row r="5" spans="1:1" x14ac:dyDescent="0.2">
      <c r="A5" t="s">
        <v>70</v>
      </c>
    </row>
    <row r="6" spans="1:1" x14ac:dyDescent="0.2">
      <c r="A6" t="s">
        <v>71</v>
      </c>
    </row>
    <row r="7" spans="1:1" x14ac:dyDescent="0.2">
      <c r="A7" t="s">
        <v>72</v>
      </c>
    </row>
    <row r="9" spans="1:1" ht="19" x14ac:dyDescent="0.25">
      <c r="A9" s="4" t="s">
        <v>73</v>
      </c>
    </row>
    <row r="10" spans="1:1" x14ac:dyDescent="0.2">
      <c r="A10" t="s">
        <v>74</v>
      </c>
    </row>
    <row r="11" spans="1:1" x14ac:dyDescent="0.2">
      <c r="A11" t="s">
        <v>75</v>
      </c>
    </row>
    <row r="12" spans="1:1" x14ac:dyDescent="0.2">
      <c r="A12" t="s">
        <v>76</v>
      </c>
    </row>
    <row r="13" spans="1:1" x14ac:dyDescent="0.2">
      <c r="A13" t="s">
        <v>77</v>
      </c>
    </row>
    <row r="14" spans="1:1" x14ac:dyDescent="0.2">
      <c r="A14" t="s">
        <v>78</v>
      </c>
    </row>
    <row r="15" spans="1:1" x14ac:dyDescent="0.2">
      <c r="A15" t="s">
        <v>79</v>
      </c>
    </row>
    <row r="16" spans="1:1" x14ac:dyDescent="0.2">
      <c r="A16" t="s">
        <v>80</v>
      </c>
    </row>
    <row r="17" spans="1:4" x14ac:dyDescent="0.2">
      <c r="A17" t="s">
        <v>81</v>
      </c>
    </row>
    <row r="19" spans="1:4" ht="19" x14ac:dyDescent="0.25">
      <c r="A19" s="4" t="s">
        <v>82</v>
      </c>
    </row>
    <row r="20" spans="1:4" x14ac:dyDescent="0.2">
      <c r="A20" t="s">
        <v>83</v>
      </c>
    </row>
    <row r="21" spans="1:4" x14ac:dyDescent="0.2">
      <c r="A21" s="7" t="s">
        <v>84</v>
      </c>
      <c r="B21" s="7" t="s">
        <v>85</v>
      </c>
      <c r="C21" s="7" t="s">
        <v>86</v>
      </c>
      <c r="D21" s="7" t="s">
        <v>87</v>
      </c>
    </row>
    <row r="22" spans="1:4" x14ac:dyDescent="0.2">
      <c r="A22" t="s">
        <v>88</v>
      </c>
      <c r="B22" t="s">
        <v>89</v>
      </c>
      <c r="C22" t="s">
        <v>90</v>
      </c>
      <c r="D22" t="s">
        <v>91</v>
      </c>
    </row>
    <row r="23" spans="1:4" x14ac:dyDescent="0.2">
      <c r="A23" t="s">
        <v>92</v>
      </c>
      <c r="B23" t="s">
        <v>89</v>
      </c>
      <c r="C23" t="s">
        <v>90</v>
      </c>
      <c r="D23" t="s">
        <v>91</v>
      </c>
    </row>
    <row r="24" spans="1:4" x14ac:dyDescent="0.2">
      <c r="A24" t="s">
        <v>93</v>
      </c>
      <c r="B24" t="s">
        <v>94</v>
      </c>
      <c r="C24" t="s">
        <v>90</v>
      </c>
      <c r="D24" t="s">
        <v>91</v>
      </c>
    </row>
    <row r="25" spans="1:4" x14ac:dyDescent="0.2">
      <c r="A25" t="s">
        <v>95</v>
      </c>
      <c r="B25" t="s">
        <v>96</v>
      </c>
      <c r="C25" t="s">
        <v>90</v>
      </c>
      <c r="D25" t="s">
        <v>91</v>
      </c>
    </row>
    <row r="27" spans="1:4" ht="19" x14ac:dyDescent="0.25">
      <c r="A27" s="4" t="s">
        <v>97</v>
      </c>
    </row>
    <row r="28" spans="1:4" x14ac:dyDescent="0.2">
      <c r="A28" s="10" t="s">
        <v>98</v>
      </c>
      <c r="B28" t="s">
        <v>99</v>
      </c>
    </row>
    <row r="29" spans="1:4" x14ac:dyDescent="0.2">
      <c r="A29" s="10" t="s">
        <v>100</v>
      </c>
      <c r="B29" t="s">
        <v>101</v>
      </c>
    </row>
    <row r="30" spans="1:4" x14ac:dyDescent="0.2">
      <c r="A30" s="10" t="s">
        <v>102</v>
      </c>
      <c r="B30" t="s">
        <v>103</v>
      </c>
    </row>
    <row r="31" spans="1:4" x14ac:dyDescent="0.2">
      <c r="A31" s="10" t="s">
        <v>104</v>
      </c>
      <c r="B31" t="s">
        <v>105</v>
      </c>
    </row>
    <row r="32" spans="1:4" x14ac:dyDescent="0.2">
      <c r="A32" s="10" t="s">
        <v>106</v>
      </c>
      <c r="B32" t="s">
        <v>107</v>
      </c>
    </row>
    <row r="33" spans="1:2" x14ac:dyDescent="0.2">
      <c r="A33" s="10" t="s">
        <v>108</v>
      </c>
      <c r="B33" t="s">
        <v>109</v>
      </c>
    </row>
    <row r="34" spans="1:2" x14ac:dyDescent="0.2">
      <c r="A34" s="10" t="s">
        <v>110</v>
      </c>
      <c r="B34" t="s">
        <v>111</v>
      </c>
    </row>
    <row r="36" spans="1:2" ht="19" x14ac:dyDescent="0.25">
      <c r="A36" s="4" t="s">
        <v>112</v>
      </c>
    </row>
    <row r="37" spans="1:2" x14ac:dyDescent="0.2">
      <c r="A37" t="s">
        <v>113</v>
      </c>
    </row>
    <row r="38" spans="1:2" x14ac:dyDescent="0.2">
      <c r="A38" t="s">
        <v>114</v>
      </c>
    </row>
    <row r="39" spans="1:2" x14ac:dyDescent="0.2">
      <c r="A39" t="s">
        <v>115</v>
      </c>
    </row>
    <row r="40" spans="1:2" x14ac:dyDescent="0.2">
      <c r="A40" t="s">
        <v>116</v>
      </c>
    </row>
    <row r="41" spans="1:2" x14ac:dyDescent="0.2">
      <c r="A41" t="s">
        <v>117</v>
      </c>
    </row>
    <row r="43" spans="1:2" ht="19" x14ac:dyDescent="0.25">
      <c r="A43" s="4" t="s">
        <v>118</v>
      </c>
    </row>
    <row r="44" spans="1:2" x14ac:dyDescent="0.2">
      <c r="A44" s="6" t="s">
        <v>119</v>
      </c>
    </row>
    <row r="45" spans="1:2" x14ac:dyDescent="0.2">
      <c r="A45" t="s">
        <v>120</v>
      </c>
    </row>
    <row r="46" spans="1:2" x14ac:dyDescent="0.2">
      <c r="A46" t="s">
        <v>121</v>
      </c>
    </row>
    <row r="47" spans="1:2" x14ac:dyDescent="0.2">
      <c r="A47" t="s">
        <v>122</v>
      </c>
    </row>
    <row r="48" spans="1:2" x14ac:dyDescent="0.2">
      <c r="A48" t="s">
        <v>123</v>
      </c>
    </row>
    <row r="50" spans="1:1" x14ac:dyDescent="0.2">
      <c r="A50" s="10" t="s">
        <v>124</v>
      </c>
    </row>
    <row r="51" spans="1:1" x14ac:dyDescent="0.2">
      <c r="A51" t="s">
        <v>125</v>
      </c>
    </row>
    <row r="52" spans="1:1" x14ac:dyDescent="0.2">
      <c r="A52" t="s">
        <v>126</v>
      </c>
    </row>
    <row r="53" spans="1:1" x14ac:dyDescent="0.2">
      <c r="A53" t="s">
        <v>127</v>
      </c>
    </row>
    <row r="55" spans="1:1" ht="19" x14ac:dyDescent="0.25">
      <c r="A55" s="4" t="s">
        <v>128</v>
      </c>
    </row>
    <row r="56" spans="1:1" x14ac:dyDescent="0.2">
      <c r="A56" s="6" t="s">
        <v>129</v>
      </c>
    </row>
    <row r="57" spans="1:1" x14ac:dyDescent="0.2">
      <c r="A57" t="s">
        <v>130</v>
      </c>
    </row>
    <row r="59" spans="1:1" x14ac:dyDescent="0.2">
      <c r="A59" s="10" t="s">
        <v>131</v>
      </c>
    </row>
    <row r="60" spans="1:1" x14ac:dyDescent="0.2">
      <c r="A60" t="s">
        <v>132</v>
      </c>
    </row>
    <row r="61" spans="1:1" x14ac:dyDescent="0.2">
      <c r="A61" t="s">
        <v>133</v>
      </c>
    </row>
    <row r="62" spans="1:1" x14ac:dyDescent="0.2">
      <c r="A62" t="s">
        <v>134</v>
      </c>
    </row>
    <row r="64" spans="1:1" x14ac:dyDescent="0.2">
      <c r="A64" s="10" t="s">
        <v>135</v>
      </c>
    </row>
    <row r="65" spans="1:1" x14ac:dyDescent="0.2">
      <c r="A65" t="s">
        <v>136</v>
      </c>
    </row>
    <row r="66" spans="1:1" x14ac:dyDescent="0.2">
      <c r="A66" t="s">
        <v>137</v>
      </c>
    </row>
    <row r="67" spans="1:1" x14ac:dyDescent="0.2">
      <c r="A67" t="s">
        <v>138</v>
      </c>
    </row>
    <row r="69" spans="1:1" x14ac:dyDescent="0.2">
      <c r="A69" s="10" t="s">
        <v>139</v>
      </c>
    </row>
    <row r="70" spans="1:1" x14ac:dyDescent="0.2">
      <c r="A70" t="s">
        <v>140</v>
      </c>
    </row>
    <row r="71" spans="1:1" x14ac:dyDescent="0.2">
      <c r="A71" t="s">
        <v>141</v>
      </c>
    </row>
    <row r="72" spans="1:1" x14ac:dyDescent="0.2">
      <c r="A72" t="s">
        <v>142</v>
      </c>
    </row>
    <row r="73" spans="1:1" x14ac:dyDescent="0.2">
      <c r="A73" t="s">
        <v>143</v>
      </c>
    </row>
    <row r="74" spans="1:1" x14ac:dyDescent="0.2">
      <c r="A74" t="s">
        <v>144</v>
      </c>
    </row>
    <row r="76" spans="1:1" x14ac:dyDescent="0.2">
      <c r="A76" s="10" t="s">
        <v>145</v>
      </c>
    </row>
    <row r="77" spans="1:1" x14ac:dyDescent="0.2">
      <c r="A77" t="s">
        <v>146</v>
      </c>
    </row>
    <row r="78" spans="1:1" x14ac:dyDescent="0.2">
      <c r="A78" t="s">
        <v>147</v>
      </c>
    </row>
    <row r="79" spans="1:1" x14ac:dyDescent="0.2">
      <c r="A79" t="s">
        <v>148</v>
      </c>
    </row>
    <row r="80" spans="1:1" x14ac:dyDescent="0.2">
      <c r="A80" t="s">
        <v>149</v>
      </c>
    </row>
    <row r="82" spans="1:3" ht="19" x14ac:dyDescent="0.25">
      <c r="A82" s="4" t="s">
        <v>150</v>
      </c>
    </row>
    <row r="83" spans="1:3" x14ac:dyDescent="0.2">
      <c r="A83" s="7" t="s">
        <v>151</v>
      </c>
      <c r="B83" s="7" t="s">
        <v>152</v>
      </c>
      <c r="C83" s="7" t="s">
        <v>153</v>
      </c>
    </row>
    <row r="84" spans="1:3" x14ac:dyDescent="0.2">
      <c r="A84" t="s">
        <v>154</v>
      </c>
      <c r="B84" t="s">
        <v>155</v>
      </c>
      <c r="C84" t="s">
        <v>156</v>
      </c>
    </row>
    <row r="85" spans="1:3" x14ac:dyDescent="0.2">
      <c r="A85" t="s">
        <v>157</v>
      </c>
      <c r="B85" t="s">
        <v>155</v>
      </c>
      <c r="C85" t="s">
        <v>158</v>
      </c>
    </row>
    <row r="86" spans="1:3" x14ac:dyDescent="0.2">
      <c r="A86" t="s">
        <v>3</v>
      </c>
      <c r="B86" t="s">
        <v>155</v>
      </c>
      <c r="C86" t="s">
        <v>159</v>
      </c>
    </row>
    <row r="87" spans="1:3" x14ac:dyDescent="0.2">
      <c r="A87" t="s">
        <v>160</v>
      </c>
      <c r="B87" t="s">
        <v>161</v>
      </c>
      <c r="C87" t="s">
        <v>162</v>
      </c>
    </row>
    <row r="88" spans="1:3" x14ac:dyDescent="0.2">
      <c r="A88" t="s">
        <v>163</v>
      </c>
      <c r="B88" t="s">
        <v>164</v>
      </c>
      <c r="C88" t="s">
        <v>165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84"/>
  <sheetViews>
    <sheetView workbookViewId="0"/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166</v>
      </c>
    </row>
    <row r="2" spans="1:4" x14ac:dyDescent="0.2">
      <c r="A2" s="6" t="s">
        <v>167</v>
      </c>
    </row>
    <row r="4" spans="1:4" ht="19" x14ac:dyDescent="0.25">
      <c r="A4" s="4" t="s">
        <v>168</v>
      </c>
    </row>
    <row r="5" spans="1:4" x14ac:dyDescent="0.2">
      <c r="A5" s="7" t="s">
        <v>47</v>
      </c>
      <c r="B5" s="7" t="s">
        <v>48</v>
      </c>
      <c r="C5" s="7" t="s">
        <v>169</v>
      </c>
      <c r="D5" s="7" t="s">
        <v>170</v>
      </c>
    </row>
    <row r="6" spans="1:4" x14ac:dyDescent="0.2">
      <c r="A6" t="s">
        <v>171</v>
      </c>
      <c r="B6" s="8">
        <v>5</v>
      </c>
      <c r="C6" t="s">
        <v>172</v>
      </c>
      <c r="D6" t="s">
        <v>173</v>
      </c>
    </row>
    <row r="7" spans="1:4" x14ac:dyDescent="0.2">
      <c r="A7" t="s">
        <v>174</v>
      </c>
      <c r="B7" s="8">
        <v>15</v>
      </c>
      <c r="C7" t="s">
        <v>175</v>
      </c>
      <c r="D7" t="s">
        <v>176</v>
      </c>
    </row>
    <row r="8" spans="1:4" x14ac:dyDescent="0.2">
      <c r="A8" t="s">
        <v>177</v>
      </c>
      <c r="B8" s="8">
        <v>9</v>
      </c>
      <c r="C8" t="s">
        <v>172</v>
      </c>
      <c r="D8" t="s">
        <v>178</v>
      </c>
    </row>
    <row r="9" spans="1:4" x14ac:dyDescent="0.2">
      <c r="A9" t="s">
        <v>179</v>
      </c>
      <c r="B9" s="8">
        <v>15</v>
      </c>
      <c r="C9" t="s">
        <v>175</v>
      </c>
      <c r="D9" t="s">
        <v>180</v>
      </c>
    </row>
    <row r="10" spans="1:4" x14ac:dyDescent="0.2">
      <c r="A10" t="s">
        <v>181</v>
      </c>
      <c r="B10" s="8">
        <v>100</v>
      </c>
      <c r="C10" t="s">
        <v>182</v>
      </c>
      <c r="D10" t="s">
        <v>183</v>
      </c>
    </row>
    <row r="12" spans="1:4" x14ac:dyDescent="0.2">
      <c r="A12" s="11" t="s">
        <v>184</v>
      </c>
    </row>
    <row r="13" spans="1:4" x14ac:dyDescent="0.2">
      <c r="A13" s="7" t="s">
        <v>185</v>
      </c>
      <c r="B13" s="7" t="s">
        <v>186</v>
      </c>
      <c r="C13" s="7" t="s">
        <v>187</v>
      </c>
      <c r="D13" s="7" t="s">
        <v>188</v>
      </c>
    </row>
    <row r="14" spans="1:4" x14ac:dyDescent="0.2">
      <c r="A14" t="s">
        <v>173</v>
      </c>
      <c r="B14">
        <v>5</v>
      </c>
      <c r="C14" s="8">
        <v>0.85</v>
      </c>
      <c r="D14" t="s">
        <v>189</v>
      </c>
    </row>
    <row r="15" spans="1:4" x14ac:dyDescent="0.2">
      <c r="A15" t="s">
        <v>190</v>
      </c>
      <c r="B15">
        <v>6</v>
      </c>
      <c r="C15" s="8">
        <v>1</v>
      </c>
      <c r="D15" t="s">
        <v>191</v>
      </c>
    </row>
    <row r="16" spans="1:4" x14ac:dyDescent="0.2">
      <c r="A16" t="s">
        <v>192</v>
      </c>
      <c r="B16">
        <v>7</v>
      </c>
      <c r="C16" s="8">
        <v>1</v>
      </c>
      <c r="D16" t="s">
        <v>191</v>
      </c>
    </row>
    <row r="17" spans="1:4" x14ac:dyDescent="0.2">
      <c r="A17" t="s">
        <v>193</v>
      </c>
      <c r="B17">
        <v>8</v>
      </c>
      <c r="C17" s="8">
        <v>0.95</v>
      </c>
      <c r="D17" t="s">
        <v>194</v>
      </c>
    </row>
    <row r="18" spans="1:4" x14ac:dyDescent="0.2">
      <c r="A18" t="s">
        <v>178</v>
      </c>
      <c r="B18">
        <v>9</v>
      </c>
      <c r="C18" s="8">
        <v>0.75</v>
      </c>
      <c r="D18" t="s">
        <v>195</v>
      </c>
    </row>
    <row r="21" spans="1:4" ht="19" x14ac:dyDescent="0.25">
      <c r="A21" s="4" t="s">
        <v>196</v>
      </c>
    </row>
    <row r="22" spans="1:4" x14ac:dyDescent="0.2">
      <c r="A22" s="7" t="s">
        <v>47</v>
      </c>
      <c r="B22" s="7" t="s">
        <v>48</v>
      </c>
      <c r="C22" s="7" t="s">
        <v>169</v>
      </c>
      <c r="D22" s="7" t="s">
        <v>197</v>
      </c>
    </row>
    <row r="23" spans="1:4" x14ac:dyDescent="0.2">
      <c r="A23" t="s">
        <v>198</v>
      </c>
      <c r="B23" s="8">
        <v>1</v>
      </c>
      <c r="C23" t="s">
        <v>199</v>
      </c>
      <c r="D23" t="s">
        <v>200</v>
      </c>
    </row>
    <row r="24" spans="1:4" x14ac:dyDescent="0.2">
      <c r="A24" t="s">
        <v>201</v>
      </c>
      <c r="B24" s="8">
        <v>5</v>
      </c>
      <c r="C24" t="s">
        <v>202</v>
      </c>
      <c r="D24" t="s">
        <v>203</v>
      </c>
    </row>
    <row r="25" spans="1:4" x14ac:dyDescent="0.2">
      <c r="A25" t="s">
        <v>204</v>
      </c>
      <c r="B25" s="8">
        <v>50000</v>
      </c>
      <c r="C25" t="s">
        <v>205</v>
      </c>
      <c r="D25" t="s">
        <v>206</v>
      </c>
    </row>
    <row r="26" spans="1:4" x14ac:dyDescent="0.2">
      <c r="A26" t="s">
        <v>207</v>
      </c>
      <c r="B26" s="12">
        <v>5</v>
      </c>
      <c r="C26" t="s">
        <v>208</v>
      </c>
      <c r="D26" t="s">
        <v>209</v>
      </c>
    </row>
    <row r="29" spans="1:4" ht="19" x14ac:dyDescent="0.25">
      <c r="A29" s="4" t="s">
        <v>210</v>
      </c>
    </row>
    <row r="30" spans="1:4" x14ac:dyDescent="0.2">
      <c r="A30" s="7" t="s">
        <v>47</v>
      </c>
      <c r="B30" s="7" t="s">
        <v>48</v>
      </c>
      <c r="C30" s="7" t="s">
        <v>169</v>
      </c>
    </row>
    <row r="31" spans="1:4" x14ac:dyDescent="0.2">
      <c r="A31" t="s">
        <v>211</v>
      </c>
      <c r="B31" s="13">
        <v>1500</v>
      </c>
      <c r="C31" t="s">
        <v>212</v>
      </c>
    </row>
    <row r="32" spans="1:4" x14ac:dyDescent="0.2">
      <c r="A32" t="s">
        <v>213</v>
      </c>
      <c r="B32" s="13">
        <v>50000</v>
      </c>
      <c r="C32" t="s">
        <v>214</v>
      </c>
    </row>
    <row r="33" spans="1:6" x14ac:dyDescent="0.2">
      <c r="A33" t="s">
        <v>215</v>
      </c>
      <c r="B33" s="13">
        <v>15000</v>
      </c>
      <c r="C33" t="s">
        <v>212</v>
      </c>
    </row>
    <row r="36" spans="1:6" ht="19" x14ac:dyDescent="0.25">
      <c r="A36" s="4" t="s">
        <v>216</v>
      </c>
    </row>
    <row r="37" spans="1:6" x14ac:dyDescent="0.2">
      <c r="A37" s="7" t="s">
        <v>217</v>
      </c>
      <c r="B37" s="7" t="s">
        <v>187</v>
      </c>
      <c r="C37" s="7" t="s">
        <v>170</v>
      </c>
    </row>
    <row r="38" spans="1:6" x14ac:dyDescent="0.2">
      <c r="A38">
        <v>1</v>
      </c>
      <c r="B38" s="8">
        <v>0.5</v>
      </c>
      <c r="C38" t="s">
        <v>218</v>
      </c>
    </row>
    <row r="39" spans="1:6" x14ac:dyDescent="0.2">
      <c r="A39">
        <v>2</v>
      </c>
      <c r="B39" s="8">
        <v>0.75</v>
      </c>
      <c r="C39" t="s">
        <v>219</v>
      </c>
    </row>
    <row r="40" spans="1:6" x14ac:dyDescent="0.2">
      <c r="A40">
        <v>3</v>
      </c>
      <c r="B40" s="8">
        <v>1</v>
      </c>
      <c r="C40" t="s">
        <v>220</v>
      </c>
    </row>
    <row r="41" spans="1:6" x14ac:dyDescent="0.2">
      <c r="A41">
        <v>4</v>
      </c>
      <c r="B41" s="8">
        <v>1</v>
      </c>
      <c r="C41" t="s">
        <v>221</v>
      </c>
    </row>
    <row r="42" spans="1:6" x14ac:dyDescent="0.2">
      <c r="A42">
        <v>5</v>
      </c>
      <c r="B42" s="8">
        <v>1</v>
      </c>
      <c r="C42" t="s">
        <v>221</v>
      </c>
    </row>
    <row r="45" spans="1:6" ht="19" x14ac:dyDescent="0.25">
      <c r="A45" s="4" t="s">
        <v>222</v>
      </c>
    </row>
    <row r="46" spans="1:6" x14ac:dyDescent="0.2">
      <c r="A46" s="7" t="s">
        <v>223</v>
      </c>
      <c r="B46" s="7" t="s">
        <v>224</v>
      </c>
      <c r="C46" s="7" t="s">
        <v>225</v>
      </c>
      <c r="D46" s="7" t="s">
        <v>226</v>
      </c>
      <c r="E46" s="7" t="s">
        <v>227</v>
      </c>
      <c r="F46" s="7" t="s">
        <v>228</v>
      </c>
    </row>
    <row r="47" spans="1:6" x14ac:dyDescent="0.2">
      <c r="A47" t="s">
        <v>229</v>
      </c>
      <c r="B47" t="s">
        <v>98</v>
      </c>
      <c r="C47">
        <v>30</v>
      </c>
      <c r="D47">
        <v>2</v>
      </c>
      <c r="E47" s="14">
        <v>1000</v>
      </c>
      <c r="F47">
        <v>42</v>
      </c>
    </row>
    <row r="48" spans="1:6" x14ac:dyDescent="0.2">
      <c r="A48" t="s">
        <v>230</v>
      </c>
      <c r="B48" t="s">
        <v>98</v>
      </c>
      <c r="C48">
        <v>7</v>
      </c>
      <c r="D48">
        <v>2</v>
      </c>
      <c r="E48" s="14">
        <v>1000</v>
      </c>
      <c r="F48">
        <v>42</v>
      </c>
    </row>
    <row r="49" spans="1:6" x14ac:dyDescent="0.2">
      <c r="A49" t="s">
        <v>52</v>
      </c>
      <c r="B49" t="s">
        <v>231</v>
      </c>
      <c r="C49">
        <v>1</v>
      </c>
      <c r="D49">
        <v>10</v>
      </c>
      <c r="E49" s="14">
        <v>10</v>
      </c>
      <c r="F49">
        <v>1</v>
      </c>
    </row>
    <row r="51" spans="1:6" x14ac:dyDescent="0.2">
      <c r="A51" s="11" t="s">
        <v>232</v>
      </c>
    </row>
    <row r="52" spans="1:6" x14ac:dyDescent="0.2">
      <c r="A52" s="7" t="s">
        <v>223</v>
      </c>
      <c r="B52" s="7" t="s">
        <v>233</v>
      </c>
      <c r="C52" s="7" t="s">
        <v>234</v>
      </c>
      <c r="D52" s="7" t="s">
        <v>235</v>
      </c>
      <c r="E52" s="7" t="s">
        <v>236</v>
      </c>
    </row>
    <row r="53" spans="1:6" x14ac:dyDescent="0.2">
      <c r="A53" t="s">
        <v>229</v>
      </c>
      <c r="B53" t="str">
        <f>IF(INDEX(TestOpt_Latency,1)&lt;=7,"ENABLED","BLOCKED")</f>
        <v>BLOCKED</v>
      </c>
      <c r="C53" t="str">
        <f>IF(INDEX(TestOpt_Latency,1)&lt;=7,"ENABLED","BLOCKED")</f>
        <v>BLOCKED</v>
      </c>
      <c r="D53" t="str">
        <f>IF(INDEX(TestOpt_Latency,1)&lt;=14,"ENABLED","BLOCKED")</f>
        <v>BLOCKED</v>
      </c>
      <c r="E53" t="str">
        <f>IF(INDEX(TestOpt_Latency,1)&lt;=3,"ENABLED","BLOCKED")</f>
        <v>BLOCKED</v>
      </c>
    </row>
    <row r="54" spans="1:6" x14ac:dyDescent="0.2">
      <c r="A54" t="s">
        <v>230</v>
      </c>
      <c r="B54" t="str">
        <f>IF(INDEX(TestOpt_Latency,2)&lt;=7,"ENABLED","BLOCKED")</f>
        <v>BLOCKED</v>
      </c>
      <c r="C54" t="str">
        <f>IF(INDEX(TestOpt_Latency,2)&lt;=7,"ENABLED","BLOCKED")</f>
        <v>BLOCKED</v>
      </c>
      <c r="D54" t="str">
        <f>IF(INDEX(TestOpt_Latency,2)&lt;=14,"ENABLED","BLOCKED")</f>
        <v>BLOCKED</v>
      </c>
      <c r="E54" t="str">
        <f>IF(INDEX(TestOpt_Latency,2)&lt;=3,"ENABLED","BLOCKED")</f>
        <v>BLOCKED</v>
      </c>
    </row>
    <row r="55" spans="1:6" x14ac:dyDescent="0.2">
      <c r="A55" t="s">
        <v>52</v>
      </c>
      <c r="B55" t="str">
        <f>IF(INDEX(TestOpt_Latency,3)&lt;=7,"ENABLED","BLOCKED")</f>
        <v>ENABLED</v>
      </c>
      <c r="C55" t="str">
        <f>IF(INDEX(TestOpt_Latency,3)&lt;=7,"ENABLED","BLOCKED")</f>
        <v>ENABLED</v>
      </c>
      <c r="D55" t="str">
        <f>IF(INDEX(TestOpt_Latency,3)&lt;=14,"ENABLED","BLOCKED")</f>
        <v>ENABLED</v>
      </c>
      <c r="E55" t="str">
        <f>IF(INDEX(TestOpt_Latency,3)&lt;=3,"ENABLED","BLOCKED")</f>
        <v>ENABLED</v>
      </c>
    </row>
    <row r="58" spans="1:6" ht="19" x14ac:dyDescent="0.25">
      <c r="A58" s="4" t="s">
        <v>237</v>
      </c>
    </row>
    <row r="59" spans="1:6" x14ac:dyDescent="0.2">
      <c r="A59" t="s">
        <v>238</v>
      </c>
      <c r="B59" t="s">
        <v>239</v>
      </c>
    </row>
    <row r="60" spans="1:6" x14ac:dyDescent="0.2">
      <c r="A60" t="s">
        <v>229</v>
      </c>
      <c r="B60" t="s">
        <v>56</v>
      </c>
    </row>
    <row r="61" spans="1:6" x14ac:dyDescent="0.2">
      <c r="A61" t="s">
        <v>230</v>
      </c>
      <c r="B61" t="s">
        <v>240</v>
      </c>
    </row>
    <row r="62" spans="1:6" x14ac:dyDescent="0.2">
      <c r="A62" t="s">
        <v>52</v>
      </c>
      <c r="B62" t="s">
        <v>241</v>
      </c>
    </row>
    <row r="64" spans="1:6" ht="19" x14ac:dyDescent="0.25">
      <c r="A64" s="4" t="s">
        <v>242</v>
      </c>
    </row>
    <row r="65" spans="1:4" x14ac:dyDescent="0.2">
      <c r="A65" t="s">
        <v>243</v>
      </c>
    </row>
    <row r="67" spans="1:4" ht="19" x14ac:dyDescent="0.25">
      <c r="A67" s="4" t="s">
        <v>244</v>
      </c>
    </row>
    <row r="68" spans="1:4" x14ac:dyDescent="0.2">
      <c r="A68" s="15" t="s">
        <v>245</v>
      </c>
    </row>
    <row r="69" spans="1:4" x14ac:dyDescent="0.2">
      <c r="A69" s="7" t="s">
        <v>47</v>
      </c>
      <c r="B69" s="7" t="s">
        <v>48</v>
      </c>
      <c r="C69" s="7" t="s">
        <v>169</v>
      </c>
      <c r="D69" s="7" t="s">
        <v>170</v>
      </c>
    </row>
    <row r="70" spans="1:4" x14ac:dyDescent="0.2">
      <c r="A70" t="s">
        <v>246</v>
      </c>
      <c r="B70" s="16">
        <v>63.1</v>
      </c>
      <c r="C70" t="s">
        <v>247</v>
      </c>
      <c r="D70" t="s">
        <v>248</v>
      </c>
    </row>
    <row r="71" spans="1:4" x14ac:dyDescent="0.2">
      <c r="A71" t="s">
        <v>249</v>
      </c>
      <c r="B71" s="16">
        <v>50</v>
      </c>
      <c r="C71" t="s">
        <v>247</v>
      </c>
      <c r="D71" t="s">
        <v>250</v>
      </c>
    </row>
    <row r="72" spans="1:4" x14ac:dyDescent="0.2">
      <c r="A72" t="s">
        <v>251</v>
      </c>
      <c r="B72" s="16">
        <v>0.53200000000000003</v>
      </c>
      <c r="C72" t="s">
        <v>252</v>
      </c>
      <c r="D72" t="s">
        <v>253</v>
      </c>
    </row>
    <row r="73" spans="1:4" x14ac:dyDescent="0.2">
      <c r="A73" t="s">
        <v>254</v>
      </c>
      <c r="B73" s="16">
        <v>0.248</v>
      </c>
      <c r="C73" t="s">
        <v>252</v>
      </c>
      <c r="D73" t="s">
        <v>255</v>
      </c>
    </row>
    <row r="74" spans="1:4" x14ac:dyDescent="0.2">
      <c r="A74" t="s">
        <v>256</v>
      </c>
      <c r="B74" s="8">
        <v>15</v>
      </c>
      <c r="C74" t="s">
        <v>182</v>
      </c>
      <c r="D74" t="s">
        <v>257</v>
      </c>
    </row>
    <row r="75" spans="1:4" x14ac:dyDescent="0.2">
      <c r="A75" t="s">
        <v>258</v>
      </c>
      <c r="B75" s="8">
        <v>14</v>
      </c>
      <c r="C75" t="s">
        <v>182</v>
      </c>
      <c r="D75" t="s">
        <v>259</v>
      </c>
    </row>
    <row r="76" spans="1:4" x14ac:dyDescent="0.2">
      <c r="A76" t="s">
        <v>260</v>
      </c>
      <c r="B76" s="8">
        <v>8772</v>
      </c>
      <c r="C76" t="s">
        <v>261</v>
      </c>
      <c r="D76" t="s">
        <v>262</v>
      </c>
    </row>
    <row r="79" spans="1:4" ht="19" x14ac:dyDescent="0.25">
      <c r="A79" s="4" t="s">
        <v>263</v>
      </c>
    </row>
    <row r="80" spans="1:4" x14ac:dyDescent="0.2">
      <c r="A80" s="15" t="s">
        <v>264</v>
      </c>
    </row>
    <row r="81" spans="1:4" x14ac:dyDescent="0.2">
      <c r="A81" s="7" t="s">
        <v>265</v>
      </c>
      <c r="B81" s="7" t="s">
        <v>266</v>
      </c>
      <c r="C81" s="7" t="s">
        <v>267</v>
      </c>
      <c r="D81" s="7" t="s">
        <v>170</v>
      </c>
    </row>
    <row r="82" spans="1:4" x14ac:dyDescent="0.2">
      <c r="A82" t="s">
        <v>268</v>
      </c>
      <c r="B82" s="8">
        <v>14</v>
      </c>
      <c r="C82" t="s">
        <v>269</v>
      </c>
      <c r="D82" t="s">
        <v>270</v>
      </c>
    </row>
    <row r="83" spans="1:4" x14ac:dyDescent="0.2">
      <c r="A83" t="s">
        <v>271</v>
      </c>
      <c r="B83" s="8">
        <v>28</v>
      </c>
      <c r="C83" t="s">
        <v>272</v>
      </c>
      <c r="D83" t="s">
        <v>273</v>
      </c>
    </row>
    <row r="84" spans="1:4" x14ac:dyDescent="0.2">
      <c r="A84" t="s">
        <v>274</v>
      </c>
      <c r="B84" s="8">
        <v>42</v>
      </c>
      <c r="C84" t="s">
        <v>275</v>
      </c>
      <c r="D84" t="s">
        <v>276</v>
      </c>
    </row>
  </sheetData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14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277</v>
      </c>
    </row>
    <row r="3" spans="1:5" x14ac:dyDescent="0.2">
      <c r="A3" s="7" t="s">
        <v>278</v>
      </c>
      <c r="B3" s="7" t="s">
        <v>279</v>
      </c>
      <c r="C3" s="7" t="s">
        <v>280</v>
      </c>
      <c r="D3" s="7" t="s">
        <v>281</v>
      </c>
      <c r="E3" s="7" t="s">
        <v>50</v>
      </c>
    </row>
    <row r="4" spans="1:5" x14ac:dyDescent="0.2">
      <c r="A4" t="s">
        <v>282</v>
      </c>
      <c r="B4" t="s">
        <v>283</v>
      </c>
      <c r="C4" s="13">
        <v>104000</v>
      </c>
      <c r="D4">
        <v>7</v>
      </c>
      <c r="E4" t="s">
        <v>284</v>
      </c>
    </row>
    <row r="5" spans="1:5" x14ac:dyDescent="0.2">
      <c r="A5" t="s">
        <v>285</v>
      </c>
      <c r="B5" t="s">
        <v>286</v>
      </c>
      <c r="C5" s="13">
        <v>67500</v>
      </c>
      <c r="D5">
        <v>7</v>
      </c>
      <c r="E5" t="s">
        <v>287</v>
      </c>
    </row>
    <row r="6" spans="1:5" x14ac:dyDescent="0.2">
      <c r="A6" t="s">
        <v>288</v>
      </c>
      <c r="B6" t="s">
        <v>289</v>
      </c>
      <c r="C6" s="13">
        <v>78000</v>
      </c>
      <c r="D6">
        <v>14</v>
      </c>
      <c r="E6" t="s">
        <v>290</v>
      </c>
    </row>
    <row r="7" spans="1:5" x14ac:dyDescent="0.2">
      <c r="A7" t="s">
        <v>291</v>
      </c>
      <c r="B7" t="s">
        <v>292</v>
      </c>
      <c r="C7" s="13">
        <v>36000</v>
      </c>
      <c r="D7">
        <v>3</v>
      </c>
      <c r="E7" t="s">
        <v>293</v>
      </c>
    </row>
    <row r="10" spans="1:5" ht="19" x14ac:dyDescent="0.25">
      <c r="A10" s="4" t="s">
        <v>294</v>
      </c>
    </row>
    <row r="11" spans="1:5" x14ac:dyDescent="0.2">
      <c r="A11" s="7" t="s">
        <v>84</v>
      </c>
      <c r="B11" s="7" t="s">
        <v>295</v>
      </c>
      <c r="C11" s="7" t="s">
        <v>296</v>
      </c>
      <c r="D11" s="7" t="s">
        <v>297</v>
      </c>
    </row>
    <row r="12" spans="1:5" x14ac:dyDescent="0.2">
      <c r="A12" t="s">
        <v>56</v>
      </c>
      <c r="B12" s="9">
        <v>0</v>
      </c>
      <c r="C12" s="9">
        <v>0</v>
      </c>
      <c r="D12" s="9">
        <v>0</v>
      </c>
    </row>
    <row r="13" spans="1:5" x14ac:dyDescent="0.2">
      <c r="A13" t="s">
        <v>240</v>
      </c>
      <c r="B13" s="9">
        <v>4.0000000000000001E-3</v>
      </c>
      <c r="C13" s="9">
        <v>-0.02</v>
      </c>
      <c r="D13" s="9">
        <v>0.1</v>
      </c>
    </row>
    <row r="14" spans="1:5" x14ac:dyDescent="0.2">
      <c r="A14" t="s">
        <v>241</v>
      </c>
      <c r="B14" s="9">
        <v>-3.0000000000000001E-3</v>
      </c>
      <c r="C14" s="9">
        <v>0.01</v>
      </c>
      <c r="D14" s="9">
        <v>-0.1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20"/>
  <sheetViews>
    <sheetView workbookViewId="0"/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6" ht="21" x14ac:dyDescent="0.25">
      <c r="A1" s="5" t="s">
        <v>298</v>
      </c>
    </row>
    <row r="3" spans="1:6" ht="19" x14ac:dyDescent="0.25">
      <c r="A3" s="4" t="s">
        <v>299</v>
      </c>
    </row>
    <row r="4" spans="1:6" x14ac:dyDescent="0.2">
      <c r="A4" s="7" t="s">
        <v>300</v>
      </c>
      <c r="B4" s="7" t="s">
        <v>301</v>
      </c>
      <c r="C4" s="7" t="s">
        <v>302</v>
      </c>
      <c r="D4" s="7" t="s">
        <v>303</v>
      </c>
      <c r="E4" s="7" t="s">
        <v>304</v>
      </c>
    </row>
    <row r="5" spans="1:6" x14ac:dyDescent="0.2">
      <c r="A5" t="s">
        <v>305</v>
      </c>
      <c r="B5" s="8">
        <v>14</v>
      </c>
      <c r="C5" s="8">
        <v>21</v>
      </c>
      <c r="D5" s="8">
        <v>35</v>
      </c>
      <c r="E5" t="s">
        <v>182</v>
      </c>
    </row>
    <row r="6" spans="1:6" x14ac:dyDescent="0.2">
      <c r="A6" t="s">
        <v>306</v>
      </c>
      <c r="B6" s="13">
        <v>3000</v>
      </c>
      <c r="C6" s="13">
        <v>7500</v>
      </c>
      <c r="D6" s="13">
        <v>15000</v>
      </c>
      <c r="E6" t="s">
        <v>212</v>
      </c>
    </row>
    <row r="7" spans="1:6" x14ac:dyDescent="0.2">
      <c r="A7" t="s">
        <v>307</v>
      </c>
      <c r="B7" s="8">
        <v>1</v>
      </c>
      <c r="C7" s="8">
        <v>3</v>
      </c>
      <c r="D7" s="8">
        <v>8</v>
      </c>
      <c r="E7" t="s">
        <v>308</v>
      </c>
    </row>
    <row r="8" spans="1:6" x14ac:dyDescent="0.2">
      <c r="A8" t="s">
        <v>309</v>
      </c>
      <c r="B8" s="8">
        <v>0.7</v>
      </c>
      <c r="C8" s="8">
        <v>1</v>
      </c>
      <c r="D8" s="8">
        <v>1.3</v>
      </c>
      <c r="E8" t="s">
        <v>310</v>
      </c>
    </row>
    <row r="11" spans="1:6" ht="19" x14ac:dyDescent="0.25">
      <c r="A11" s="4" t="s">
        <v>311</v>
      </c>
    </row>
    <row r="12" spans="1:6" x14ac:dyDescent="0.2">
      <c r="A12" s="7" t="s">
        <v>300</v>
      </c>
      <c r="B12" s="7" t="s">
        <v>312</v>
      </c>
      <c r="C12" s="7" t="s">
        <v>313</v>
      </c>
      <c r="D12" s="7" t="s">
        <v>301</v>
      </c>
      <c r="E12" s="7" t="s">
        <v>303</v>
      </c>
      <c r="F12" s="7" t="s">
        <v>304</v>
      </c>
    </row>
    <row r="13" spans="1:6" x14ac:dyDescent="0.2">
      <c r="A13" t="s">
        <v>314</v>
      </c>
      <c r="B13" s="8">
        <v>2</v>
      </c>
      <c r="C13" s="8">
        <v>5</v>
      </c>
      <c r="D13" s="8">
        <v>0.05</v>
      </c>
      <c r="E13" s="8">
        <v>0.4</v>
      </c>
      <c r="F13" t="s">
        <v>315</v>
      </c>
    </row>
    <row r="16" spans="1:6" ht="19" x14ac:dyDescent="0.25">
      <c r="A16" s="4" t="s">
        <v>316</v>
      </c>
    </row>
    <row r="17" spans="1:5" x14ac:dyDescent="0.2">
      <c r="A17" s="7" t="s">
        <v>317</v>
      </c>
      <c r="B17" s="7" t="s">
        <v>318</v>
      </c>
      <c r="C17" s="7" t="s">
        <v>56</v>
      </c>
      <c r="D17" s="7" t="s">
        <v>319</v>
      </c>
      <c r="E17" s="7" t="s">
        <v>320</v>
      </c>
    </row>
    <row r="18" spans="1:5" x14ac:dyDescent="0.2">
      <c r="A18" t="s">
        <v>321</v>
      </c>
      <c r="B18" s="13">
        <v>3</v>
      </c>
      <c r="C18" s="13">
        <v>5</v>
      </c>
      <c r="D18" s="13">
        <v>8</v>
      </c>
      <c r="E18" t="s">
        <v>322</v>
      </c>
    </row>
    <row r="19" spans="1:5" x14ac:dyDescent="0.2">
      <c r="A19" t="s">
        <v>323</v>
      </c>
      <c r="B19" s="13">
        <v>10</v>
      </c>
      <c r="C19" s="13">
        <v>20</v>
      </c>
      <c r="D19" s="13">
        <v>30</v>
      </c>
      <c r="E19" t="s">
        <v>324</v>
      </c>
    </row>
    <row r="20" spans="1:5" x14ac:dyDescent="0.2">
      <c r="A20" t="s">
        <v>325</v>
      </c>
      <c r="B20" s="13">
        <v>21</v>
      </c>
      <c r="C20" s="13">
        <v>50</v>
      </c>
      <c r="D20" s="13">
        <v>93</v>
      </c>
      <c r="E20" t="s">
        <v>326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24"/>
  <sheetViews>
    <sheetView workbookViewId="0"/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327</v>
      </c>
    </row>
    <row r="3" spans="1:5" x14ac:dyDescent="0.2">
      <c r="A3" s="29" t="s">
        <v>328</v>
      </c>
      <c r="B3" s="27"/>
      <c r="C3" s="27"/>
      <c r="D3" s="27"/>
      <c r="E3" s="28"/>
    </row>
    <row r="4" spans="1:5" ht="135" customHeight="1" x14ac:dyDescent="0.2">
      <c r="A4" s="26" t="s">
        <v>329</v>
      </c>
      <c r="B4" s="27"/>
      <c r="C4" s="27"/>
      <c r="D4" s="27"/>
      <c r="E4" s="28"/>
    </row>
    <row r="6" spans="1:5" x14ac:dyDescent="0.2">
      <c r="A6" s="7" t="s">
        <v>330</v>
      </c>
      <c r="B6" s="7" t="s">
        <v>331</v>
      </c>
      <c r="C6" s="7" t="s">
        <v>181</v>
      </c>
      <c r="D6" s="7" t="s">
        <v>332</v>
      </c>
      <c r="E6" s="7" t="s">
        <v>333</v>
      </c>
    </row>
    <row r="7" spans="1:5" x14ac:dyDescent="0.2">
      <c r="A7">
        <v>0</v>
      </c>
      <c r="B7">
        <f>Base_Year+0</f>
        <v>2026</v>
      </c>
      <c r="C7">
        <f t="shared" ref="C7:C12" si="0">Season_Length</f>
        <v>100</v>
      </c>
      <c r="D7">
        <v>1</v>
      </c>
      <c r="E7">
        <v>1</v>
      </c>
    </row>
    <row r="8" spans="1:5" x14ac:dyDescent="0.2">
      <c r="A8">
        <v>1</v>
      </c>
      <c r="B8">
        <f>Base_Year+1</f>
        <v>2027</v>
      </c>
      <c r="C8">
        <f t="shared" si="0"/>
        <v>100</v>
      </c>
      <c r="D8">
        <f>1/(1+Discount_Rate)^1</f>
        <v>0.95419847328244267</v>
      </c>
      <c r="E8">
        <f>INDEX(LearningCurve_Mult,1)</f>
        <v>0.5</v>
      </c>
    </row>
    <row r="9" spans="1:5" x14ac:dyDescent="0.2">
      <c r="A9">
        <v>2</v>
      </c>
      <c r="B9">
        <f>Base_Year+2</f>
        <v>2028</v>
      </c>
      <c r="C9">
        <f t="shared" si="0"/>
        <v>100</v>
      </c>
      <c r="D9">
        <f>1/(1+Discount_Rate)^2</f>
        <v>0.91049472641454443</v>
      </c>
      <c r="E9">
        <f>INDEX(LearningCurve_Mult,2)</f>
        <v>0.75</v>
      </c>
    </row>
    <row r="10" spans="1:5" x14ac:dyDescent="0.2">
      <c r="A10">
        <v>3</v>
      </c>
      <c r="B10">
        <f>Base_Year+3</f>
        <v>2029</v>
      </c>
      <c r="C10">
        <f t="shared" si="0"/>
        <v>100</v>
      </c>
      <c r="D10">
        <f>1/(1+Discount_Rate)^3</f>
        <v>0.86879267787647374</v>
      </c>
      <c r="E10">
        <f>INDEX(LearningCurve_Mult,3)</f>
        <v>1</v>
      </c>
    </row>
    <row r="11" spans="1:5" x14ac:dyDescent="0.2">
      <c r="A11">
        <v>4</v>
      </c>
      <c r="B11">
        <f>Base_Year+4</f>
        <v>2030</v>
      </c>
      <c r="C11">
        <f t="shared" si="0"/>
        <v>100</v>
      </c>
      <c r="D11">
        <f>1/(1+Discount_Rate)^4</f>
        <v>0.82900064682869612</v>
      </c>
      <c r="E11">
        <f>INDEX(LearningCurve_Mult,4)</f>
        <v>1</v>
      </c>
    </row>
    <row r="12" spans="1:5" x14ac:dyDescent="0.2">
      <c r="A12">
        <v>5</v>
      </c>
      <c r="B12">
        <f>Base_Year+5</f>
        <v>2031</v>
      </c>
      <c r="C12">
        <f t="shared" si="0"/>
        <v>100</v>
      </c>
      <c r="D12">
        <f>1/(1+Discount_Rate)^5</f>
        <v>0.79103115155409931</v>
      </c>
      <c r="E12">
        <f>INDEX(LearningCurve_Mult,5)</f>
        <v>1</v>
      </c>
    </row>
    <row r="15" spans="1:5" ht="19" x14ac:dyDescent="0.25">
      <c r="A15" s="4" t="s">
        <v>334</v>
      </c>
    </row>
    <row r="16" spans="1:5" x14ac:dyDescent="0.2">
      <c r="A16" s="15" t="s">
        <v>335</v>
      </c>
    </row>
    <row r="17" spans="1:4" x14ac:dyDescent="0.2">
      <c r="A17" s="7" t="s">
        <v>336</v>
      </c>
      <c r="B17" s="7" t="s">
        <v>337</v>
      </c>
      <c r="C17" s="7" t="s">
        <v>48</v>
      </c>
      <c r="D17" s="7" t="s">
        <v>169</v>
      </c>
    </row>
    <row r="18" spans="1:4" x14ac:dyDescent="0.2">
      <c r="A18" t="s">
        <v>338</v>
      </c>
      <c r="B18" t="s">
        <v>339</v>
      </c>
      <c r="C18" s="17">
        <f ca="1">Rapid_Phase_Rate*Stoch_TreatmentRate</f>
        <v>0.63590081350623606</v>
      </c>
      <c r="D18" t="s">
        <v>252</v>
      </c>
    </row>
    <row r="19" spans="1:4" x14ac:dyDescent="0.2">
      <c r="A19" t="s">
        <v>340</v>
      </c>
      <c r="B19" t="s">
        <v>341</v>
      </c>
      <c r="C19" s="17">
        <f ca="1">Slow_Phase_Rate*Stoch_TreatmentRate</f>
        <v>0.29643496569463634</v>
      </c>
      <c r="D19" t="s">
        <v>252</v>
      </c>
    </row>
    <row r="20" spans="1:4" x14ac:dyDescent="0.2">
      <c r="A20" t="s">
        <v>342</v>
      </c>
      <c r="B20" t="s">
        <v>343</v>
      </c>
      <c r="C20" s="18">
        <f ca="1">MAX(0,Initial_NAFC-Eff_Rapid_Rate*Rapid_Phase_Duration)</f>
        <v>53.561487797406457</v>
      </c>
      <c r="D20" t="s">
        <v>247</v>
      </c>
    </row>
    <row r="21" spans="1:4" x14ac:dyDescent="0.2">
      <c r="A21" t="s">
        <v>344</v>
      </c>
      <c r="B21" t="s">
        <v>345</v>
      </c>
      <c r="C21" s="19">
        <f ca="1">IF(Initial_NAFC&lt;=Target_NAFC,0,IF(NAFC_After_Rapid&lt;=Target_NAFC,(Initial_NAFC-Target_NAFC)/Eff_Rapid_Rate,Rapid_Phase_Duration+(NAFC_After_Rapid-Target_NAFC)/Eff_Slow_Rate))</f>
        <v>27.01439846699872</v>
      </c>
      <c r="D21" t="s">
        <v>182</v>
      </c>
    </row>
    <row r="22" spans="1:4" x14ac:dyDescent="0.2">
      <c r="A22" t="s">
        <v>346</v>
      </c>
      <c r="B22" t="s">
        <v>347</v>
      </c>
      <c r="C22" s="20">
        <f ca="1">CEILING(Days_to_Compliance/Recirculation_Cycle,1)</f>
        <v>2</v>
      </c>
      <c r="D22" t="s">
        <v>348</v>
      </c>
    </row>
    <row r="23" spans="1:4" x14ac:dyDescent="0.2">
      <c r="A23" t="s">
        <v>349</v>
      </c>
      <c r="B23" t="s">
        <v>350</v>
      </c>
      <c r="C23" s="21">
        <f>(Initial_NAFC-Target_NAFC)/Initial_NAFC</f>
        <v>0.2076069730586371</v>
      </c>
      <c r="D23" t="s">
        <v>315</v>
      </c>
    </row>
    <row r="24" spans="1:4" x14ac:dyDescent="0.2">
      <c r="A24" t="s">
        <v>351</v>
      </c>
      <c r="B24" t="s">
        <v>352</v>
      </c>
      <c r="C24" t="str">
        <f ca="1">IF(Days_to_Compliance&lt;=Season_Length,"ACHIEVABLE","EXCEEDS SEASON")</f>
        <v>ACHIEVABLE</v>
      </c>
      <c r="D24" t="s">
        <v>353</v>
      </c>
    </row>
  </sheetData>
  <mergeCells count="2">
    <mergeCell ref="A4:E4"/>
    <mergeCell ref="A3:E3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2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354</v>
      </c>
    </row>
    <row r="2" spans="1:3" x14ac:dyDescent="0.2">
      <c r="A2" s="6" t="s">
        <v>355</v>
      </c>
    </row>
    <row r="4" spans="1:3" x14ac:dyDescent="0.2">
      <c r="A4" s="29" t="s">
        <v>356</v>
      </c>
      <c r="B4" s="27"/>
      <c r="C4" s="28"/>
    </row>
    <row r="5" spans="1:3" ht="195" customHeight="1" x14ac:dyDescent="0.2">
      <c r="A5" s="26" t="s">
        <v>357</v>
      </c>
      <c r="B5" s="27"/>
      <c r="C5" s="28"/>
    </row>
    <row r="7" spans="1:3" x14ac:dyDescent="0.2">
      <c r="A7" s="7" t="s">
        <v>300</v>
      </c>
      <c r="B7" s="7" t="s">
        <v>358</v>
      </c>
      <c r="C7" s="7" t="s">
        <v>359</v>
      </c>
    </row>
    <row r="8" spans="1:3" x14ac:dyDescent="0.2">
      <c r="A8" t="s">
        <v>360</v>
      </c>
      <c r="B8">
        <f ca="1">RAND()</f>
        <v>0.98941800516058409</v>
      </c>
      <c r="C8">
        <f ca="1">IF(B8&lt;(Tri_Season_Extension_Days_Mode-Tri_Season_Extension_Days_Min)/(Tri_Season_Extension_Days_Max-Tri_Season_Extension_Days_Min),Tri_Season_Extension_Days_Min+SQRT(B8*(Tri_Season_Extension_Days_Max-Tri_Season_Extension_Days_Min)*(Tri_Season_Extension_Days_Mode-Tri_Season_Extension_Days_Min)),Tri_Season_Extension_Days_Max-SQRT((1-B8)*(Tri_Season_Extension_Days_Max-Tri_Season_Extension_Days_Min)*(Tri_Season_Extension_Days_Max-Tri_Season_Extension_Days_Mode)))</f>
        <v>33.236167104630297</v>
      </c>
    </row>
    <row r="9" spans="1:3" x14ac:dyDescent="0.2">
      <c r="A9" t="s">
        <v>361</v>
      </c>
      <c r="B9">
        <f ca="1">RAND()</f>
        <v>6.9753333775813386E-2</v>
      </c>
      <c r="C9">
        <f ca="1">IF(B9&lt;(Tri_Extension_Value_Per_Day_Mode-Tri_Extension_Value_Per_Day_Min)/(Tri_Extension_Value_Per_Day_Max-Tri_Extension_Value_Per_Day_Min),Tri_Extension_Value_Per_Day_Min+SQRT(B9*(Tri_Extension_Value_Per_Day_Max-Tri_Extension_Value_Per_Day_Min)*(Tri_Extension_Value_Per_Day_Mode-Tri_Extension_Value_Per_Day_Min)),Tri_Extension_Value_Per_Day_Max-SQRT((1-B9)*(Tri_Extension_Value_Per_Day_Max-Tri_Extension_Value_Per_Day_Min)*(Tri_Extension_Value_Per_Day_Max-Tri_Extension_Value_Per_Day_Mode)))</f>
        <v>4940.793658247554</v>
      </c>
    </row>
    <row r="10" spans="1:3" x14ac:dyDescent="0.2">
      <c r="A10" t="s">
        <v>307</v>
      </c>
      <c r="B10">
        <f ca="1">RAND()</f>
        <v>0.29499471402026778</v>
      </c>
      <c r="C10">
        <f ca="1">IF(B10&lt;(Tri_Interventions_Avoided_Mode-Tri_Interventions_Avoided_Min)/(Tri_Interventions_Avoided_Max-Tri_Interventions_Avoided_Min),Tri_Interventions_Avoided_Min+SQRT(B10*(Tri_Interventions_Avoided_Max-Tri_Interventions_Avoided_Min)*(Tri_Interventions_Avoided_Mode-Tri_Interventions_Avoided_Min)),Tri_Interventions_Avoided_Max-SQRT((1-B10)*(Tri_Interventions_Avoided_Max-Tri_Interventions_Avoided_Min)*(Tri_Interventions_Avoided_Max-Tri_Interventions_Avoided_Mode)))</f>
        <v>3.0325876948565433</v>
      </c>
    </row>
    <row r="11" spans="1:3" x14ac:dyDescent="0.2">
      <c r="A11" t="s">
        <v>314</v>
      </c>
      <c r="B11">
        <f ca="1">RAND()</f>
        <v>0.76012081101441198</v>
      </c>
      <c r="C11">
        <f ca="1">Beta_Efficiency_Gain_Min+(Beta_Efficiency_Gain_Max-Beta_Efficiency_Gain_Min)*B11</f>
        <v>0.31604228385504418</v>
      </c>
    </row>
    <row r="12" spans="1:3" x14ac:dyDescent="0.2">
      <c r="A12" t="s">
        <v>309</v>
      </c>
      <c r="B12">
        <f ca="1">RAND()</f>
        <v>0.9391021535655576</v>
      </c>
      <c r="C12">
        <f ca="1">IF(B12&lt;(Tri_Treatment_Rate_Factor_Mode-Tri_Treatment_Rate_Factor_Min)/(Tri_Treatment_Rate_Factor_Max-Tri_Treatment_Rate_Factor_Min),Tri_Treatment_Rate_Factor_Min+SQRT(B12*(Tri_Treatment_Rate_Factor_Max-Tri_Treatment_Rate_Factor_Min)*(Tri_Treatment_Rate_Factor_Mode-Tri_Treatment_Rate_Factor_Min)),Tri_Treatment_Rate_Factor_Max-SQRT((1-B12)*(Tri_Treatment_Rate_Factor_Max-Tri_Treatment_Rate_Factor_Min)*(Tri_Treatment_Rate_Factor_Max-Tri_Treatment_Rate_Factor_Mode)))</f>
        <v>1.1953022810267595</v>
      </c>
    </row>
  </sheetData>
  <mergeCells count="2">
    <mergeCell ref="A5:C5"/>
    <mergeCell ref="A4:C4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2"/>
  <sheetViews>
    <sheetView workbookViewId="0"/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362</v>
      </c>
    </row>
    <row r="3" spans="1:5" x14ac:dyDescent="0.2">
      <c r="A3" s="29" t="s">
        <v>363</v>
      </c>
      <c r="B3" s="27"/>
      <c r="C3" s="27"/>
      <c r="D3" s="27"/>
      <c r="E3" s="28"/>
    </row>
    <row r="4" spans="1:5" ht="225" customHeight="1" x14ac:dyDescent="0.2">
      <c r="A4" s="26" t="s">
        <v>364</v>
      </c>
      <c r="B4" s="27"/>
      <c r="C4" s="27"/>
      <c r="D4" s="27"/>
      <c r="E4" s="28"/>
    </row>
    <row r="6" spans="1:5" x14ac:dyDescent="0.2">
      <c r="A6" s="7" t="s">
        <v>84</v>
      </c>
      <c r="B6" s="7" t="s">
        <v>280</v>
      </c>
      <c r="C6" s="7" t="s">
        <v>365</v>
      </c>
      <c r="D6" s="7" t="s">
        <v>366</v>
      </c>
      <c r="E6" s="7" t="s">
        <v>367</v>
      </c>
    </row>
    <row r="7" spans="1:5" x14ac:dyDescent="0.2">
      <c r="A7" t="s">
        <v>368</v>
      </c>
      <c r="B7">
        <f>INDEX(Scenario_BaseValues,1)</f>
        <v>104000</v>
      </c>
      <c r="C7" t="str">
        <f>INDEX(Gate_S1,MATCH(Testing_Option,TestOpt_Option,0))</f>
        <v>ENABLED</v>
      </c>
      <c r="D7">
        <f ca="1">Stoch_SeasonExt/21</f>
        <v>1.5826746240300142</v>
      </c>
      <c r="E7">
        <f ca="1">IF(C7="ENABLED",B7*D7,0)</f>
        <v>164598.16089912149</v>
      </c>
    </row>
    <row r="8" spans="1:5" x14ac:dyDescent="0.2">
      <c r="A8" t="s">
        <v>369</v>
      </c>
      <c r="B8">
        <f>INDEX(Scenario_BaseValues,2)</f>
        <v>67500</v>
      </c>
      <c r="C8" t="str">
        <f>INDEX(Gate_S2,MATCH(Testing_Option,TestOpt_Option,0))</f>
        <v>ENABLED</v>
      </c>
      <c r="D8">
        <f ca="1">Stoch_Interventions/3</f>
        <v>1.0108625649521812</v>
      </c>
      <c r="E8">
        <f ca="1">IF(C8="ENABLED",B8*D8,0)</f>
        <v>68233.223134272237</v>
      </c>
    </row>
    <row r="9" spans="1:5" x14ac:dyDescent="0.2">
      <c r="A9" t="s">
        <v>370</v>
      </c>
      <c r="B9">
        <f>INDEX(Scenario_BaseValues,3)</f>
        <v>78000</v>
      </c>
      <c r="C9" t="str">
        <f>INDEX(Gate_S3,MATCH(Testing_Option,TestOpt_Option,0))</f>
        <v>ENABLED</v>
      </c>
      <c r="D9">
        <f ca="1">Stoch_Efficiency/0.15</f>
        <v>2.1069485590336279</v>
      </c>
      <c r="E9">
        <f ca="1">IF(C9="ENABLED",B9*D9,0)</f>
        <v>164341.98760462296</v>
      </c>
    </row>
    <row r="10" spans="1:5" x14ac:dyDescent="0.2">
      <c r="A10" t="s">
        <v>371</v>
      </c>
      <c r="B10">
        <f>INDEX(Scenario_BaseValues,4)</f>
        <v>36000</v>
      </c>
      <c r="C10" t="str">
        <f>INDEX(Gate_S4,MATCH(Testing_Option,TestOpt_Option,0))</f>
        <v>ENABLED</v>
      </c>
      <c r="D10">
        <f ca="1">1+Stoch_Efficiency</f>
        <v>1.3160422838550443</v>
      </c>
      <c r="E10">
        <f ca="1">IF(C10="ENABLED",B10*D10,0)</f>
        <v>47377.522218781596</v>
      </c>
    </row>
    <row r="12" spans="1:5" x14ac:dyDescent="0.2">
      <c r="A12" s="10" t="s">
        <v>372</v>
      </c>
      <c r="E12" s="14">
        <f ca="1">SUM(E7:E10)</f>
        <v>444550.89385679824</v>
      </c>
    </row>
  </sheetData>
  <mergeCells count="2">
    <mergeCell ref="A4:E4"/>
    <mergeCell ref="A3:E3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3"/>
  <sheetViews>
    <sheetView workbookViewId="0"/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373</v>
      </c>
    </row>
    <row r="3" spans="1:3" x14ac:dyDescent="0.2">
      <c r="A3" s="29" t="s">
        <v>374</v>
      </c>
      <c r="B3" s="27"/>
      <c r="C3" s="28"/>
    </row>
    <row r="4" spans="1:3" ht="195" customHeight="1" x14ac:dyDescent="0.2">
      <c r="A4" s="26" t="s">
        <v>375</v>
      </c>
      <c r="B4" s="27"/>
      <c r="C4" s="28"/>
    </row>
    <row r="6" spans="1:3" x14ac:dyDescent="0.2">
      <c r="A6" s="7" t="s">
        <v>376</v>
      </c>
      <c r="B6" s="7" t="s">
        <v>337</v>
      </c>
      <c r="C6" s="7" t="s">
        <v>48</v>
      </c>
    </row>
    <row r="7" spans="1:3" x14ac:dyDescent="0.2">
      <c r="A7" t="s">
        <v>377</v>
      </c>
      <c r="B7" t="s">
        <v>51</v>
      </c>
      <c r="C7" t="str">
        <f>Testing_Option</f>
        <v>Daily_Biosensor</v>
      </c>
    </row>
    <row r="8" spans="1:3" x14ac:dyDescent="0.2">
      <c r="A8" t="s">
        <v>378</v>
      </c>
      <c r="B8" t="s">
        <v>379</v>
      </c>
      <c r="C8">
        <f>INDEX(TestOpt_Interval,MATCH(Testing_Option,TestOpt_Option,0))</f>
        <v>1</v>
      </c>
    </row>
    <row r="9" spans="1:3" x14ac:dyDescent="0.2">
      <c r="A9" t="s">
        <v>380</v>
      </c>
      <c r="B9" t="s">
        <v>379</v>
      </c>
      <c r="C9">
        <f>INDEX(TestOpt_Points,MATCH(Testing_Option,TestOpt_Option,0))</f>
        <v>10</v>
      </c>
    </row>
    <row r="10" spans="1:3" x14ac:dyDescent="0.2">
      <c r="A10" t="s">
        <v>227</v>
      </c>
      <c r="B10" t="s">
        <v>379</v>
      </c>
      <c r="C10" s="14">
        <f>INDEX(TestOpt_Cost,MATCH(Testing_Option,TestOpt_Option,0))</f>
        <v>10</v>
      </c>
    </row>
    <row r="11" spans="1:3" x14ac:dyDescent="0.2">
      <c r="A11" t="s">
        <v>381</v>
      </c>
      <c r="B11" t="s">
        <v>382</v>
      </c>
      <c r="C11">
        <f>Season_Length/C8</f>
        <v>100</v>
      </c>
    </row>
    <row r="12" spans="1:3" x14ac:dyDescent="0.2">
      <c r="A12" t="s">
        <v>383</v>
      </c>
      <c r="B12" t="s">
        <v>384</v>
      </c>
      <c r="C12">
        <f>C11*C9</f>
        <v>1000</v>
      </c>
    </row>
    <row r="13" spans="1:3" x14ac:dyDescent="0.2">
      <c r="A13" t="s">
        <v>385</v>
      </c>
      <c r="B13" t="s">
        <v>386</v>
      </c>
      <c r="C13" s="22">
        <f>C12*C10</f>
        <v>10000</v>
      </c>
    </row>
  </sheetData>
  <mergeCells count="2">
    <mergeCell ref="A4:C4"/>
    <mergeCell ref="A3:C3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O1023"/>
  <sheetViews>
    <sheetView tabSelected="1" topLeftCell="A3" workbookViewId="0">
      <selection activeCell="R21" sqref="R21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15" ht="21" x14ac:dyDescent="0.25">
      <c r="A1" s="5" t="s">
        <v>387</v>
      </c>
      <c r="L1" s="29" t="s">
        <v>388</v>
      </c>
      <c r="M1" s="27"/>
      <c r="N1" s="27"/>
      <c r="O1" s="28"/>
    </row>
    <row r="2" spans="1:15" ht="360" customHeight="1" x14ac:dyDescent="0.2">
      <c r="A2" s="6" t="s">
        <v>389</v>
      </c>
      <c r="L2" s="26" t="s">
        <v>390</v>
      </c>
      <c r="M2" s="27"/>
      <c r="N2" s="27"/>
      <c r="O2" s="28"/>
    </row>
    <row r="3" spans="1:15" x14ac:dyDescent="0.2">
      <c r="A3" s="6" t="s">
        <v>391</v>
      </c>
    </row>
    <row r="4" spans="1:15" x14ac:dyDescent="0.2">
      <c r="A4" s="10" t="s">
        <v>392</v>
      </c>
      <c r="B4" s="10" t="s">
        <v>104</v>
      </c>
      <c r="C4" s="10" t="s">
        <v>282</v>
      </c>
      <c r="D4" s="10" t="s">
        <v>285</v>
      </c>
      <c r="E4" s="10" t="s">
        <v>288</v>
      </c>
      <c r="F4" s="10" t="s">
        <v>291</v>
      </c>
      <c r="G4" s="10" t="s">
        <v>393</v>
      </c>
      <c r="H4" s="10" t="s">
        <v>394</v>
      </c>
      <c r="I4" s="10" t="s">
        <v>344</v>
      </c>
    </row>
    <row r="5" spans="1:15" x14ac:dyDescent="0.2">
      <c r="B5" s="14">
        <f ca="1">NPV_Total</f>
        <v>1578539.7942810396</v>
      </c>
      <c r="C5" s="14">
        <f ca="1">S1_Value</f>
        <v>164598.16089912149</v>
      </c>
      <c r="D5" s="14">
        <f ca="1">S2_Value</f>
        <v>68233.223134272237</v>
      </c>
      <c r="E5" s="14">
        <f ca="1">S3_Value</f>
        <v>164341.98760462296</v>
      </c>
      <c r="F5" s="14">
        <f ca="1">S4_Value</f>
        <v>47377.522218781596</v>
      </c>
      <c r="G5" s="14">
        <f>Testing_Cost</f>
        <v>10000</v>
      </c>
      <c r="H5" s="14">
        <f ca="1">Gross_Value-Testing_Cost</f>
        <v>434550.89385679824</v>
      </c>
      <c r="I5" s="19">
        <f ca="1">Days_to_Compliance</f>
        <v>27.01439846699872</v>
      </c>
    </row>
    <row r="6" spans="1:15" x14ac:dyDescent="0.2">
      <c r="A6">
        <v>1</v>
      </c>
      <c r="B6">
        <f t="dataTable" ref="B6:I1005" dt2D="0" dtr="0" r1="M16" ca="1"/>
        <v>1318364.5690336653</v>
      </c>
      <c r="C6">
        <v>104179.70250085545</v>
      </c>
      <c r="D6">
        <v>102268.67465496634</v>
      </c>
      <c r="E6">
        <v>122329.14715246527</v>
      </c>
      <c r="F6">
        <v>44468.940956709135</v>
      </c>
      <c r="G6">
        <v>10000</v>
      </c>
      <c r="H6">
        <v>363246.46526499622</v>
      </c>
      <c r="I6">
        <v>32.189530168639905</v>
      </c>
    </row>
    <row r="7" spans="1:15" x14ac:dyDescent="0.2">
      <c r="A7">
        <v>2</v>
      </c>
      <c r="B7">
        <v>1234226.0172343876</v>
      </c>
      <c r="C7">
        <v>87924.733632471121</v>
      </c>
      <c r="D7">
        <v>120511.938703568</v>
      </c>
      <c r="E7">
        <v>98903.364638951549</v>
      </c>
      <c r="F7">
        <v>42847.156013465879</v>
      </c>
      <c r="G7">
        <v>10000</v>
      </c>
      <c r="H7">
        <v>340187.19298845658</v>
      </c>
      <c r="I7">
        <v>28.853651228608612</v>
      </c>
    </row>
    <row r="8" spans="1:15" x14ac:dyDescent="0.2">
      <c r="A8">
        <v>3</v>
      </c>
      <c r="B8">
        <v>764720.94452418806</v>
      </c>
      <c r="C8">
        <v>92143.169372902019</v>
      </c>
      <c r="D8">
        <v>63970.644610528208</v>
      </c>
      <c r="E8">
        <v>27495.807722756093</v>
      </c>
      <c r="F8">
        <v>37903.555919267732</v>
      </c>
      <c r="G8">
        <v>10000</v>
      </c>
      <c r="H8">
        <v>211513.17762545403</v>
      </c>
      <c r="I8">
        <v>35.008037595157418</v>
      </c>
    </row>
    <row r="9" spans="1:15" x14ac:dyDescent="0.2">
      <c r="A9">
        <v>4</v>
      </c>
      <c r="B9">
        <v>1152960.8608807444</v>
      </c>
      <c r="C9">
        <v>94928.184802476215</v>
      </c>
      <c r="D9">
        <v>47520.689760791705</v>
      </c>
      <c r="E9">
        <v>139788.84831149937</v>
      </c>
      <c r="F9">
        <v>45677.689498488413</v>
      </c>
      <c r="G9">
        <v>10000</v>
      </c>
      <c r="H9">
        <v>317915.41237325571</v>
      </c>
      <c r="I9">
        <v>30.068076505965145</v>
      </c>
    </row>
    <row r="10" spans="1:15" x14ac:dyDescent="0.2">
      <c r="A10">
        <v>5</v>
      </c>
      <c r="B10">
        <v>1401720.7654100202</v>
      </c>
      <c r="C10">
        <v>106920.42550339038</v>
      </c>
      <c r="D10">
        <v>84304.7026070867</v>
      </c>
      <c r="E10">
        <v>157932.41228980591</v>
      </c>
      <c r="F10">
        <v>46933.782389294254</v>
      </c>
      <c r="G10">
        <v>10000</v>
      </c>
      <c r="H10">
        <v>386091.32278957719</v>
      </c>
      <c r="I10">
        <v>42.038169079471373</v>
      </c>
    </row>
    <row r="11" spans="1:15" x14ac:dyDescent="0.2">
      <c r="A11">
        <v>6</v>
      </c>
      <c r="B11">
        <v>1564646.2142507967</v>
      </c>
      <c r="C11">
        <v>110109.92461910563</v>
      </c>
      <c r="D11">
        <v>77284.802978094856</v>
      </c>
      <c r="E11">
        <v>203275.52752015638</v>
      </c>
      <c r="F11">
        <v>50072.921136010824</v>
      </c>
      <c r="G11">
        <v>10000</v>
      </c>
      <c r="H11">
        <v>430743.17625336774</v>
      </c>
      <c r="I11">
        <v>45.637921793328545</v>
      </c>
    </row>
    <row r="12" spans="1:15" x14ac:dyDescent="0.2">
      <c r="A12">
        <v>7</v>
      </c>
      <c r="B12">
        <v>1596800.2275299183</v>
      </c>
      <c r="C12">
        <v>163957.0413946248</v>
      </c>
      <c r="D12">
        <v>87877.792917294952</v>
      </c>
      <c r="E12">
        <v>151249.45440162826</v>
      </c>
      <c r="F12">
        <v>46471.116073958881</v>
      </c>
      <c r="G12">
        <v>10000</v>
      </c>
      <c r="H12">
        <v>439555.40478750685</v>
      </c>
      <c r="I12">
        <v>39.482907520096667</v>
      </c>
    </row>
    <row r="13" spans="1:15" x14ac:dyDescent="0.2">
      <c r="A13">
        <v>8</v>
      </c>
      <c r="B13">
        <v>1648633.4678126662</v>
      </c>
      <c r="C13">
        <v>157052.93768482748</v>
      </c>
      <c r="D13">
        <v>104726.34782783808</v>
      </c>
      <c r="E13">
        <v>155234.68135208156</v>
      </c>
      <c r="F13">
        <v>46747.016401297951</v>
      </c>
      <c r="G13">
        <v>10000</v>
      </c>
      <c r="H13">
        <v>453760.98326604505</v>
      </c>
      <c r="I13">
        <v>33.77471407740515</v>
      </c>
    </row>
    <row r="14" spans="1:15" x14ac:dyDescent="0.2">
      <c r="A14">
        <v>9</v>
      </c>
      <c r="B14">
        <v>1668138.2858956424</v>
      </c>
      <c r="C14">
        <v>142609.51777386162</v>
      </c>
      <c r="D14">
        <v>81245.641058717709</v>
      </c>
      <c r="E14">
        <v>195702.72512739862</v>
      </c>
      <c r="F14">
        <v>49548.650201127595</v>
      </c>
      <c r="G14">
        <v>10000</v>
      </c>
      <c r="H14">
        <v>459106.53416110552</v>
      </c>
      <c r="I14">
        <v>43.041163064288256</v>
      </c>
    </row>
    <row r="15" spans="1:15" x14ac:dyDescent="0.2">
      <c r="A15">
        <v>10</v>
      </c>
      <c r="B15">
        <v>771776.55765250069</v>
      </c>
      <c r="C15">
        <v>120472.33587416241</v>
      </c>
      <c r="D15">
        <v>34037.911631843577</v>
      </c>
      <c r="E15">
        <v>30804.026846828554</v>
      </c>
      <c r="F15">
        <v>38132.586474011208</v>
      </c>
      <c r="G15">
        <v>10000</v>
      </c>
      <c r="H15">
        <v>213446.86082684575</v>
      </c>
      <c r="I15">
        <v>37.310283522857745</v>
      </c>
    </row>
    <row r="16" spans="1:15" x14ac:dyDescent="0.2">
      <c r="A16">
        <v>11</v>
      </c>
      <c r="B16">
        <v>1513135.7813711376</v>
      </c>
      <c r="C16">
        <v>144053.30570183837</v>
      </c>
      <c r="D16">
        <v>62719.791281408841</v>
      </c>
      <c r="E16">
        <v>171948.82122707469</v>
      </c>
      <c r="F16">
        <v>47904.149161874404</v>
      </c>
      <c r="G16">
        <v>10000</v>
      </c>
      <c r="H16">
        <v>416626.06737219635</v>
      </c>
      <c r="I16">
        <v>31.634872638997443</v>
      </c>
    </row>
    <row r="17" spans="1:9" x14ac:dyDescent="0.2">
      <c r="A17">
        <v>12</v>
      </c>
      <c r="B17">
        <v>1125227.6504509703</v>
      </c>
      <c r="C17">
        <v>132744.87920224594</v>
      </c>
      <c r="D17">
        <v>38837.613469062926</v>
      </c>
      <c r="E17">
        <v>105433.05836511495</v>
      </c>
      <c r="F17">
        <v>43299.211732969496</v>
      </c>
      <c r="G17">
        <v>10000</v>
      </c>
      <c r="H17">
        <v>310314.76276939333</v>
      </c>
      <c r="I17">
        <v>31.410408229877312</v>
      </c>
    </row>
    <row r="18" spans="1:9" x14ac:dyDescent="0.2">
      <c r="A18">
        <v>13</v>
      </c>
      <c r="B18">
        <v>1539389.6916078902</v>
      </c>
      <c r="C18">
        <v>133960.04538526817</v>
      </c>
      <c r="D18">
        <v>112111.25355371115</v>
      </c>
      <c r="E18">
        <v>141924.45710345643</v>
      </c>
      <c r="F18">
        <v>45825.539337931594</v>
      </c>
      <c r="G18">
        <v>10000</v>
      </c>
      <c r="H18">
        <v>423821.29538036737</v>
      </c>
      <c r="I18">
        <v>32.128913853010374</v>
      </c>
    </row>
    <row r="19" spans="1:9" x14ac:dyDescent="0.2">
      <c r="A19">
        <v>14</v>
      </c>
      <c r="B19">
        <v>1292080.0764878548</v>
      </c>
      <c r="C19">
        <v>147130.96934532936</v>
      </c>
      <c r="D19">
        <v>80767.740140115682</v>
      </c>
      <c r="E19">
        <v>95530.496529258235</v>
      </c>
      <c r="F19">
        <v>42613.649759717875</v>
      </c>
      <c r="G19">
        <v>10000</v>
      </c>
      <c r="H19">
        <v>356042.85577442113</v>
      </c>
      <c r="I19">
        <v>53.674706355039973</v>
      </c>
    </row>
    <row r="20" spans="1:9" x14ac:dyDescent="0.2">
      <c r="A20">
        <v>15</v>
      </c>
      <c r="B20">
        <v>1091077.886137608</v>
      </c>
      <c r="C20">
        <v>92082.410247070191</v>
      </c>
      <c r="D20">
        <v>135141.2235885697</v>
      </c>
      <c r="E20">
        <v>44641.381504652236</v>
      </c>
      <c r="F20">
        <v>39090.55718109131</v>
      </c>
      <c r="G20">
        <v>10000</v>
      </c>
      <c r="H20">
        <v>300955.57252138341</v>
      </c>
      <c r="I20">
        <v>29.718473461451957</v>
      </c>
    </row>
    <row r="21" spans="1:9" x14ac:dyDescent="0.2">
      <c r="A21">
        <v>16</v>
      </c>
      <c r="B21">
        <v>1561019.4783760023</v>
      </c>
      <c r="C21">
        <v>91714.742932918976</v>
      </c>
      <c r="D21">
        <v>124801.49244680266</v>
      </c>
      <c r="E21">
        <v>175109.9872800755</v>
      </c>
      <c r="F21">
        <v>48122.999119389846</v>
      </c>
      <c r="G21">
        <v>10000</v>
      </c>
      <c r="H21">
        <v>429749.22177918698</v>
      </c>
      <c r="I21">
        <v>25.173906297340835</v>
      </c>
    </row>
    <row r="22" spans="1:9" x14ac:dyDescent="0.2">
      <c r="A22">
        <v>17</v>
      </c>
      <c r="B22">
        <v>1556626.662638172</v>
      </c>
      <c r="C22">
        <v>106548.30088138633</v>
      </c>
      <c r="D22">
        <v>94212.143790132715</v>
      </c>
      <c r="E22">
        <v>188719.66110466779</v>
      </c>
      <c r="F22">
        <v>49065.20730724623</v>
      </c>
      <c r="G22">
        <v>10000</v>
      </c>
      <c r="H22">
        <v>428545.31308343302</v>
      </c>
      <c r="I22">
        <v>25.925085713943787</v>
      </c>
    </row>
    <row r="23" spans="1:9" x14ac:dyDescent="0.2">
      <c r="A23">
        <v>18</v>
      </c>
      <c r="B23">
        <v>1271837.2952469694</v>
      </c>
      <c r="C23">
        <v>109927.32910523366</v>
      </c>
      <c r="D23">
        <v>32460.736212559765</v>
      </c>
      <c r="E23">
        <v>170315.89094873809</v>
      </c>
      <c r="F23">
        <v>47791.100142604941</v>
      </c>
      <c r="G23">
        <v>10000</v>
      </c>
      <c r="H23">
        <v>350495.05640913645</v>
      </c>
      <c r="I23">
        <v>25.240134386348487</v>
      </c>
    </row>
    <row r="24" spans="1:9" x14ac:dyDescent="0.2">
      <c r="A24">
        <v>19</v>
      </c>
      <c r="B24">
        <v>1132052.4138861941</v>
      </c>
      <c r="C24">
        <v>80050.778519277621</v>
      </c>
      <c r="D24">
        <v>36797.939251087511</v>
      </c>
      <c r="E24">
        <v>158372.22954207056</v>
      </c>
      <c r="F24">
        <v>46964.231275989499</v>
      </c>
      <c r="G24">
        <v>10000</v>
      </c>
      <c r="H24">
        <v>312185.17858842522</v>
      </c>
      <c r="I24">
        <v>36.05065132491189</v>
      </c>
    </row>
    <row r="25" spans="1:9" x14ac:dyDescent="0.2">
      <c r="A25">
        <v>20</v>
      </c>
      <c r="B25">
        <v>1754810.9676549796</v>
      </c>
      <c r="C25">
        <v>105500.79838353189</v>
      </c>
      <c r="D25">
        <v>130626.61651433447</v>
      </c>
      <c r="E25">
        <v>206440.84457975035</v>
      </c>
      <c r="F25">
        <v>50292.058470905788</v>
      </c>
      <c r="G25">
        <v>10000</v>
      </c>
      <c r="H25">
        <v>482860.31794852251</v>
      </c>
      <c r="I25">
        <v>46.06766485378995</v>
      </c>
    </row>
    <row r="26" spans="1:9" x14ac:dyDescent="0.2">
      <c r="A26">
        <v>21</v>
      </c>
      <c r="B26">
        <v>1123038.9449388329</v>
      </c>
      <c r="C26">
        <v>120871.37499774314</v>
      </c>
      <c r="D26">
        <v>56827.542468324122</v>
      </c>
      <c r="E26">
        <v>99151.656441284416</v>
      </c>
      <c r="F26">
        <v>42864.345445935076</v>
      </c>
      <c r="G26">
        <v>10000</v>
      </c>
      <c r="H26">
        <v>309714.91935328679</v>
      </c>
      <c r="I26">
        <v>41.405197402289815</v>
      </c>
    </row>
    <row r="27" spans="1:9" x14ac:dyDescent="0.2">
      <c r="A27">
        <v>22</v>
      </c>
      <c r="B27">
        <v>1324299.3489480959</v>
      </c>
      <c r="C27">
        <v>97514.770602221673</v>
      </c>
      <c r="D27">
        <v>59796.051160851901</v>
      </c>
      <c r="E27">
        <v>169806.32516733703</v>
      </c>
      <c r="F27">
        <v>47755.822511584869</v>
      </c>
      <c r="G27">
        <v>10000</v>
      </c>
      <c r="H27">
        <v>364872.96944199543</v>
      </c>
      <c r="I27">
        <v>44.956141250879014</v>
      </c>
    </row>
    <row r="28" spans="1:9" x14ac:dyDescent="0.2">
      <c r="A28">
        <v>23</v>
      </c>
      <c r="B28">
        <v>964569.9896916392</v>
      </c>
      <c r="C28">
        <v>103954.30027521658</v>
      </c>
      <c r="D28">
        <v>62163.671449768852</v>
      </c>
      <c r="E28">
        <v>69364.310067625658</v>
      </c>
      <c r="F28">
        <v>40802.144543143317</v>
      </c>
      <c r="G28">
        <v>10000</v>
      </c>
      <c r="H28">
        <v>266284.4263357544</v>
      </c>
      <c r="I28">
        <v>25.088658049729851</v>
      </c>
    </row>
    <row r="29" spans="1:9" x14ac:dyDescent="0.2">
      <c r="A29">
        <v>24</v>
      </c>
      <c r="B29">
        <v>1068142.7728904455</v>
      </c>
      <c r="C29">
        <v>122561.13823082467</v>
      </c>
      <c r="D29">
        <v>81184.767812850594</v>
      </c>
      <c r="E29">
        <v>60720.286140991273</v>
      </c>
      <c r="F29">
        <v>40203.712117453244</v>
      </c>
      <c r="G29">
        <v>10000</v>
      </c>
      <c r="H29">
        <v>294669.90430211974</v>
      </c>
      <c r="I29">
        <v>37.351657338343657</v>
      </c>
    </row>
    <row r="30" spans="1:9" x14ac:dyDescent="0.2">
      <c r="A30">
        <v>25</v>
      </c>
      <c r="B30">
        <v>1451035.676387534</v>
      </c>
      <c r="C30">
        <v>110232.6592562247</v>
      </c>
      <c r="D30">
        <v>87661.991930844175</v>
      </c>
      <c r="E30">
        <v>164335.02851121002</v>
      </c>
      <c r="F30">
        <v>47377.040435391471</v>
      </c>
      <c r="G30">
        <v>10000</v>
      </c>
      <c r="H30">
        <v>399606.72013367037</v>
      </c>
      <c r="I30">
        <v>54.60813270814446</v>
      </c>
    </row>
    <row r="31" spans="1:9" x14ac:dyDescent="0.2">
      <c r="A31">
        <v>26</v>
      </c>
      <c r="B31">
        <v>1894592.2592872619</v>
      </c>
      <c r="C31">
        <v>141561.27528598873</v>
      </c>
      <c r="D31">
        <v>140370.51498112862</v>
      </c>
      <c r="E31">
        <v>199430.68215611507</v>
      </c>
      <c r="F31">
        <v>49806.739533884887</v>
      </c>
      <c r="G31">
        <v>10000</v>
      </c>
      <c r="H31">
        <v>521169.21195711731</v>
      </c>
      <c r="I31">
        <v>28.922069280566451</v>
      </c>
    </row>
    <row r="32" spans="1:9" x14ac:dyDescent="0.2">
      <c r="A32">
        <v>27</v>
      </c>
      <c r="B32">
        <v>1735272.6230270276</v>
      </c>
      <c r="C32">
        <v>135435.95290937109</v>
      </c>
      <c r="D32">
        <v>107138.09461798017</v>
      </c>
      <c r="E32">
        <v>195403.59027228181</v>
      </c>
      <c r="F32">
        <v>49527.940865004122</v>
      </c>
      <c r="G32">
        <v>10000</v>
      </c>
      <c r="H32">
        <v>477505.57866463723</v>
      </c>
      <c r="I32">
        <v>36.896899057537738</v>
      </c>
    </row>
    <row r="33" spans="1:9" x14ac:dyDescent="0.2">
      <c r="A33">
        <v>28</v>
      </c>
      <c r="B33">
        <v>1925303.5853549344</v>
      </c>
      <c r="C33">
        <v>164734.89106159229</v>
      </c>
      <c r="D33">
        <v>132233.16174940832</v>
      </c>
      <c r="E33">
        <v>193239.85644410027</v>
      </c>
      <c r="F33">
        <v>49378.143907668476</v>
      </c>
      <c r="G33">
        <v>10000</v>
      </c>
      <c r="H33">
        <v>529586.05316276941</v>
      </c>
      <c r="I33">
        <v>32.543438607050767</v>
      </c>
    </row>
    <row r="34" spans="1:9" x14ac:dyDescent="0.2">
      <c r="A34">
        <v>29</v>
      </c>
      <c r="B34">
        <v>1174935.3330972018</v>
      </c>
      <c r="C34">
        <v>113554.60915015249</v>
      </c>
      <c r="D34">
        <v>91538.38491980503</v>
      </c>
      <c r="E34">
        <v>86833.275786824743</v>
      </c>
      <c r="F34">
        <v>42011.534477549409</v>
      </c>
      <c r="G34">
        <v>10000</v>
      </c>
      <c r="H34">
        <v>323937.80433433171</v>
      </c>
      <c r="I34">
        <v>40.450913574537267</v>
      </c>
    </row>
    <row r="35" spans="1:9" x14ac:dyDescent="0.2">
      <c r="A35">
        <v>30</v>
      </c>
      <c r="B35">
        <v>1302203.1621608478</v>
      </c>
      <c r="C35">
        <v>112504.54875460097</v>
      </c>
      <c r="D35">
        <v>105735.78246833362</v>
      </c>
      <c r="E35">
        <v>107158.24131016521</v>
      </c>
      <c r="F35">
        <v>43418.647475319129</v>
      </c>
      <c r="G35">
        <v>10000</v>
      </c>
      <c r="H35">
        <v>358817.2200084189</v>
      </c>
      <c r="I35">
        <v>45.736888577904324</v>
      </c>
    </row>
    <row r="36" spans="1:9" x14ac:dyDescent="0.2">
      <c r="A36">
        <v>31</v>
      </c>
      <c r="B36">
        <v>1627397.0576941047</v>
      </c>
      <c r="C36">
        <v>107683.42908798922</v>
      </c>
      <c r="D36">
        <v>92971.284335381919</v>
      </c>
      <c r="E36">
        <v>206958.27302727191</v>
      </c>
      <c r="F36">
        <v>50327.880440349596</v>
      </c>
      <c r="G36">
        <v>10000</v>
      </c>
      <c r="H36">
        <v>447940.86689099262</v>
      </c>
      <c r="I36">
        <v>25.048520612536961</v>
      </c>
    </row>
    <row r="37" spans="1:9" x14ac:dyDescent="0.2">
      <c r="A37">
        <v>32</v>
      </c>
      <c r="B37">
        <v>1274054.1604690396</v>
      </c>
      <c r="C37">
        <v>94120.629310815159</v>
      </c>
      <c r="D37">
        <v>72193.975687025188</v>
      </c>
      <c r="E37">
        <v>148506.77415411282</v>
      </c>
      <c r="F37">
        <v>46281.238210669348</v>
      </c>
      <c r="G37">
        <v>10000</v>
      </c>
      <c r="H37">
        <v>351102.61736262252</v>
      </c>
      <c r="I37">
        <v>42.315523076379101</v>
      </c>
    </row>
    <row r="38" spans="1:9" x14ac:dyDescent="0.2">
      <c r="A38">
        <v>33</v>
      </c>
      <c r="B38">
        <v>1124988.7010891146</v>
      </c>
      <c r="C38">
        <v>124446.28955910512</v>
      </c>
      <c r="D38">
        <v>96089.772710199177</v>
      </c>
      <c r="E38">
        <v>59587.897328507053</v>
      </c>
      <c r="F38">
        <v>40125.315968896641</v>
      </c>
      <c r="G38">
        <v>10000</v>
      </c>
      <c r="H38">
        <v>310249.27556670795</v>
      </c>
      <c r="I38">
        <v>40.155837097194343</v>
      </c>
    </row>
    <row r="39" spans="1:9" x14ac:dyDescent="0.2">
      <c r="A39">
        <v>34</v>
      </c>
      <c r="B39">
        <v>1383724.1622247533</v>
      </c>
      <c r="C39">
        <v>80384.526128813581</v>
      </c>
      <c r="D39">
        <v>116542.12902677193</v>
      </c>
      <c r="E39">
        <v>147987.19541342868</v>
      </c>
      <c r="F39">
        <v>46245.267374775824</v>
      </c>
      <c r="G39">
        <v>10000</v>
      </c>
      <c r="H39">
        <v>381159.11794379004</v>
      </c>
      <c r="I39">
        <v>39.838072290347085</v>
      </c>
    </row>
    <row r="40" spans="1:9" x14ac:dyDescent="0.2">
      <c r="A40">
        <v>35</v>
      </c>
      <c r="B40">
        <v>1493142.1698201005</v>
      </c>
      <c r="C40">
        <v>92225.029039569694</v>
      </c>
      <c r="D40">
        <v>87878.786264746319</v>
      </c>
      <c r="E40">
        <v>191766.59222738162</v>
      </c>
      <c r="F40">
        <v>49276.148692664879</v>
      </c>
      <c r="G40">
        <v>10000</v>
      </c>
      <c r="H40">
        <v>411146.55622436252</v>
      </c>
      <c r="I40">
        <v>42.879607448439998</v>
      </c>
    </row>
    <row r="41" spans="1:9" x14ac:dyDescent="0.2">
      <c r="A41">
        <v>36</v>
      </c>
      <c r="B41">
        <v>1460811.9519133365</v>
      </c>
      <c r="C41">
        <v>133766.31391629449</v>
      </c>
      <c r="D41">
        <v>126019.05194124709</v>
      </c>
      <c r="E41">
        <v>108957.46175555077</v>
      </c>
      <c r="F41">
        <v>43543.208890768896</v>
      </c>
      <c r="G41">
        <v>10000</v>
      </c>
      <c r="H41">
        <v>402286.03650386119</v>
      </c>
      <c r="I41">
        <v>42.520692641566072</v>
      </c>
    </row>
    <row r="42" spans="1:9" x14ac:dyDescent="0.2">
      <c r="A42">
        <v>37</v>
      </c>
      <c r="B42">
        <v>1487567.240289039</v>
      </c>
      <c r="C42">
        <v>104529.05513192978</v>
      </c>
      <c r="D42">
        <v>64244.284463244243</v>
      </c>
      <c r="E42">
        <v>200934.48518892127</v>
      </c>
      <c r="F42">
        <v>49910.84897461762</v>
      </c>
      <c r="G42">
        <v>10000</v>
      </c>
      <c r="H42">
        <v>409618.67375871289</v>
      </c>
      <c r="I42">
        <v>37.883823204481573</v>
      </c>
    </row>
    <row r="43" spans="1:9" x14ac:dyDescent="0.2">
      <c r="A43">
        <v>38</v>
      </c>
      <c r="B43">
        <v>1167643.484173541</v>
      </c>
      <c r="C43">
        <v>123878.51570615618</v>
      </c>
      <c r="D43">
        <v>120412.53733425896</v>
      </c>
      <c r="E43">
        <v>48304.18845451271</v>
      </c>
      <c r="F43">
        <v>39344.136123773955</v>
      </c>
      <c r="G43">
        <v>10000</v>
      </c>
      <c r="H43">
        <v>321939.37761870178</v>
      </c>
      <c r="I43">
        <v>34.182033698427418</v>
      </c>
    </row>
    <row r="44" spans="1:9" x14ac:dyDescent="0.2">
      <c r="A44">
        <v>39</v>
      </c>
      <c r="B44">
        <v>1363087.4779770274</v>
      </c>
      <c r="C44">
        <v>121708.7784138212</v>
      </c>
      <c r="D44">
        <v>126965.26515219477</v>
      </c>
      <c r="E44">
        <v>94300.803563809764</v>
      </c>
      <c r="F44">
        <v>42528.517169802217</v>
      </c>
      <c r="G44">
        <v>10000</v>
      </c>
      <c r="H44">
        <v>375503.36429962795</v>
      </c>
      <c r="I44">
        <v>48.522432625037439</v>
      </c>
    </row>
    <row r="45" spans="1:9" x14ac:dyDescent="0.2">
      <c r="A45">
        <v>40</v>
      </c>
      <c r="B45">
        <v>830092.96331904503</v>
      </c>
      <c r="C45">
        <v>95340.684098405603</v>
      </c>
      <c r="D45">
        <v>55110.412837294905</v>
      </c>
      <c r="E45">
        <v>49547.899567219436</v>
      </c>
      <c r="F45">
        <v>39430.239200807497</v>
      </c>
      <c r="G45">
        <v>10000</v>
      </c>
      <c r="H45">
        <v>229429.23570372743</v>
      </c>
      <c r="I45">
        <v>40.726925450759843</v>
      </c>
    </row>
    <row r="46" spans="1:9" x14ac:dyDescent="0.2">
      <c r="A46">
        <v>41</v>
      </c>
      <c r="B46">
        <v>1205512.3497762308</v>
      </c>
      <c r="C46">
        <v>134382.70043335514</v>
      </c>
      <c r="D46">
        <v>45917.614583962233</v>
      </c>
      <c r="E46">
        <v>117858.11342298915</v>
      </c>
      <c r="F46">
        <v>44159.40785236079</v>
      </c>
      <c r="G46">
        <v>10000</v>
      </c>
      <c r="H46">
        <v>332317.83629266731</v>
      </c>
      <c r="I46">
        <v>31.953164263493761</v>
      </c>
    </row>
    <row r="47" spans="1:9" x14ac:dyDescent="0.2">
      <c r="A47">
        <v>42</v>
      </c>
      <c r="B47">
        <v>1098342.9663660931</v>
      </c>
      <c r="C47">
        <v>126825.19911810645</v>
      </c>
      <c r="D47">
        <v>75494.163523015261</v>
      </c>
      <c r="E47">
        <v>69795.316812680481</v>
      </c>
      <c r="F47">
        <v>40831.983471647109</v>
      </c>
      <c r="G47">
        <v>10000</v>
      </c>
      <c r="H47">
        <v>302946.66292544932</v>
      </c>
      <c r="I47">
        <v>35.67823352279683</v>
      </c>
    </row>
    <row r="48" spans="1:9" x14ac:dyDescent="0.2">
      <c r="A48">
        <v>43</v>
      </c>
      <c r="B48">
        <v>1201182.590983361</v>
      </c>
      <c r="C48">
        <v>92288.780571080919</v>
      </c>
      <c r="D48">
        <v>26906.553144932284</v>
      </c>
      <c r="E48">
        <v>173896.86194350271</v>
      </c>
      <c r="F48">
        <v>48039.013519165565</v>
      </c>
      <c r="G48">
        <v>10000</v>
      </c>
      <c r="H48">
        <v>331131.20917868149</v>
      </c>
      <c r="I48">
        <v>48.671059876002801</v>
      </c>
    </row>
    <row r="49" spans="1:9" x14ac:dyDescent="0.2">
      <c r="A49">
        <v>44</v>
      </c>
      <c r="B49">
        <v>1517452.7610060431</v>
      </c>
      <c r="C49">
        <v>109963.85670455221</v>
      </c>
      <c r="D49">
        <v>99322.527295461579</v>
      </c>
      <c r="E49">
        <v>170704.78463862551</v>
      </c>
      <c r="F49">
        <v>47818.023551904836</v>
      </c>
      <c r="G49">
        <v>10000</v>
      </c>
      <c r="H49">
        <v>417809.1921905441</v>
      </c>
      <c r="I49">
        <v>45.395760540395663</v>
      </c>
    </row>
    <row r="50" spans="1:9" x14ac:dyDescent="0.2">
      <c r="A50">
        <v>45</v>
      </c>
      <c r="B50">
        <v>1293320.9470279154</v>
      </c>
      <c r="C50">
        <v>120797.22174140871</v>
      </c>
      <c r="D50">
        <v>80514.155207292089</v>
      </c>
      <c r="E50">
        <v>120714.40456639109</v>
      </c>
      <c r="F50">
        <v>44357.151085365542</v>
      </c>
      <c r="G50">
        <v>10000</v>
      </c>
      <c r="H50">
        <v>356382.93260045745</v>
      </c>
      <c r="I50">
        <v>48.398017498010717</v>
      </c>
    </row>
    <row r="51" spans="1:9" x14ac:dyDescent="0.2">
      <c r="A51">
        <v>46</v>
      </c>
      <c r="B51">
        <v>1311856.381539782</v>
      </c>
      <c r="C51">
        <v>118416.95551766382</v>
      </c>
      <c r="D51">
        <v>88682.851428025344</v>
      </c>
      <c r="E51">
        <v>120051.73062525092</v>
      </c>
      <c r="F51">
        <v>44311.273658671213</v>
      </c>
      <c r="G51">
        <v>10000</v>
      </c>
      <c r="H51">
        <v>361462.81122961128</v>
      </c>
      <c r="I51">
        <v>38.517916635538555</v>
      </c>
    </row>
    <row r="52" spans="1:9" x14ac:dyDescent="0.2">
      <c r="A52">
        <v>47</v>
      </c>
      <c r="B52">
        <v>1645279.4072011337</v>
      </c>
      <c r="C52">
        <v>125757.40070500958</v>
      </c>
      <c r="D52">
        <v>122695.15273188399</v>
      </c>
      <c r="E52">
        <v>166838.82536513588</v>
      </c>
      <c r="F52">
        <v>47550.380217586324</v>
      </c>
      <c r="G52">
        <v>10000</v>
      </c>
      <c r="H52">
        <v>452841.75901961571</v>
      </c>
      <c r="I52">
        <v>37.128405696368567</v>
      </c>
    </row>
    <row r="53" spans="1:9" x14ac:dyDescent="0.2">
      <c r="A53">
        <v>48</v>
      </c>
      <c r="B53">
        <v>1568004.4956022603</v>
      </c>
      <c r="C53">
        <v>108891.9204272358</v>
      </c>
      <c r="D53">
        <v>118174.45735312971</v>
      </c>
      <c r="E53">
        <v>167033.33331586182</v>
      </c>
      <c r="F53">
        <v>47563.846152636586</v>
      </c>
      <c r="G53">
        <v>10000</v>
      </c>
      <c r="H53">
        <v>431663.55724886392</v>
      </c>
      <c r="I53">
        <v>41.352257216224338</v>
      </c>
    </row>
    <row r="54" spans="1:9" x14ac:dyDescent="0.2">
      <c r="A54">
        <v>49</v>
      </c>
      <c r="B54">
        <v>1712288.2305513066</v>
      </c>
      <c r="C54">
        <v>122207.60395179101</v>
      </c>
      <c r="D54">
        <v>158231.85316571154</v>
      </c>
      <c r="E54">
        <v>154098.58418898532</v>
      </c>
      <c r="F54">
        <v>46668.363520775907</v>
      </c>
      <c r="G54">
        <v>10000</v>
      </c>
      <c r="H54">
        <v>471206.40482726379</v>
      </c>
      <c r="I54">
        <v>27.586399573954537</v>
      </c>
    </row>
    <row r="55" spans="1:9" x14ac:dyDescent="0.2">
      <c r="A55">
        <v>50</v>
      </c>
      <c r="B55">
        <v>848066.69584739162</v>
      </c>
      <c r="C55">
        <v>90291.369333696057</v>
      </c>
      <c r="D55">
        <v>62744.129328604329</v>
      </c>
      <c r="E55">
        <v>51737.824495916801</v>
      </c>
      <c r="F55">
        <v>39581.849388178853</v>
      </c>
      <c r="G55">
        <v>10000</v>
      </c>
      <c r="H55">
        <v>234355.17254639603</v>
      </c>
      <c r="I55">
        <v>28.926184379352875</v>
      </c>
    </row>
    <row r="56" spans="1:9" x14ac:dyDescent="0.2">
      <c r="A56">
        <v>51</v>
      </c>
      <c r="B56">
        <v>1671365.910845411</v>
      </c>
      <c r="C56">
        <v>107083.77658335489</v>
      </c>
      <c r="D56">
        <v>114441.15098702721</v>
      </c>
      <c r="E56">
        <v>198709.3764994074</v>
      </c>
      <c r="F56">
        <v>49756.802988420517</v>
      </c>
      <c r="G56">
        <v>10000</v>
      </c>
      <c r="H56">
        <v>459991.10705821001</v>
      </c>
      <c r="I56">
        <v>32.24287968615505</v>
      </c>
    </row>
    <row r="57" spans="1:9" x14ac:dyDescent="0.2">
      <c r="A57">
        <v>52</v>
      </c>
      <c r="B57">
        <v>1504634.3715651138</v>
      </c>
      <c r="C57">
        <v>167029.63746254143</v>
      </c>
      <c r="D57">
        <v>62249.429253618509</v>
      </c>
      <c r="E57">
        <v>148721.0081417668</v>
      </c>
      <c r="F57">
        <v>46296.069794430012</v>
      </c>
      <c r="G57">
        <v>10000</v>
      </c>
      <c r="H57">
        <v>414296.14465235668</v>
      </c>
      <c r="I57">
        <v>54.16341061362813</v>
      </c>
    </row>
    <row r="58" spans="1:9" x14ac:dyDescent="0.2">
      <c r="A58">
        <v>53</v>
      </c>
      <c r="B58">
        <v>1491208.7578659628</v>
      </c>
      <c r="C58">
        <v>136576.65960206182</v>
      </c>
      <c r="D58">
        <v>140410.41281372387</v>
      </c>
      <c r="E58">
        <v>100660.7834655168</v>
      </c>
      <c r="F58">
        <v>42968.823470689626</v>
      </c>
      <c r="G58">
        <v>10000</v>
      </c>
      <c r="H58">
        <v>410616.67935199215</v>
      </c>
      <c r="I58">
        <v>27.584944714900217</v>
      </c>
    </row>
    <row r="59" spans="1:9" x14ac:dyDescent="0.2">
      <c r="A59">
        <v>54</v>
      </c>
      <c r="B59">
        <v>1141950.9486202917</v>
      </c>
      <c r="C59">
        <v>112618.625599748</v>
      </c>
      <c r="D59">
        <v>107340.83513146866</v>
      </c>
      <c r="E59">
        <v>64474.894427643943</v>
      </c>
      <c r="F59">
        <v>40463.646537298424</v>
      </c>
      <c r="G59">
        <v>10000</v>
      </c>
      <c r="H59">
        <v>314898.00169615902</v>
      </c>
      <c r="I59">
        <v>26.615720450483451</v>
      </c>
    </row>
    <row r="60" spans="1:9" x14ac:dyDescent="0.2">
      <c r="A60">
        <v>55</v>
      </c>
      <c r="B60">
        <v>1322158.9590535783</v>
      </c>
      <c r="C60">
        <v>109361.07798981071</v>
      </c>
      <c r="D60">
        <v>98621.192211263595</v>
      </c>
      <c r="E60">
        <v>121867.14140902236</v>
      </c>
      <c r="F60">
        <v>44436.955943701549</v>
      </c>
      <c r="G60">
        <v>10000</v>
      </c>
      <c r="H60">
        <v>364286.36755379825</v>
      </c>
      <c r="I60">
        <v>42.776228325339474</v>
      </c>
    </row>
    <row r="61" spans="1:9" x14ac:dyDescent="0.2">
      <c r="A61">
        <v>56</v>
      </c>
      <c r="B61">
        <v>1437147.1055516605</v>
      </c>
      <c r="C61">
        <v>119933.0841734994</v>
      </c>
      <c r="D61">
        <v>38319.024080417534</v>
      </c>
      <c r="E61">
        <v>197850.89729867177</v>
      </c>
      <c r="F61">
        <v>49697.369812984965</v>
      </c>
      <c r="G61">
        <v>10000</v>
      </c>
      <c r="H61">
        <v>395800.37536557368</v>
      </c>
      <c r="I61">
        <v>40.149774988863683</v>
      </c>
    </row>
    <row r="62" spans="1:9" x14ac:dyDescent="0.2">
      <c r="A62">
        <v>57</v>
      </c>
      <c r="B62">
        <v>1097991.2511664811</v>
      </c>
      <c r="C62">
        <v>140866.17851111334</v>
      </c>
      <c r="D62">
        <v>52010.183050336127</v>
      </c>
      <c r="E62">
        <v>78536.749617425347</v>
      </c>
      <c r="F62">
        <v>41437.159588898678</v>
      </c>
      <c r="G62">
        <v>10000</v>
      </c>
      <c r="H62">
        <v>302850.2707677735</v>
      </c>
      <c r="I62">
        <v>41.265765877587086</v>
      </c>
    </row>
    <row r="63" spans="1:9" x14ac:dyDescent="0.2">
      <c r="A63">
        <v>58</v>
      </c>
      <c r="B63">
        <v>1548799.029133941</v>
      </c>
      <c r="C63">
        <v>106341.10847619709</v>
      </c>
      <c r="D63">
        <v>151919.45210425631</v>
      </c>
      <c r="E63">
        <v>132936.21086765151</v>
      </c>
      <c r="F63">
        <v>45203.276136991262</v>
      </c>
      <c r="G63">
        <v>10000</v>
      </c>
      <c r="H63">
        <v>426400.04758509615</v>
      </c>
      <c r="I63">
        <v>36.496386927762863</v>
      </c>
    </row>
    <row r="64" spans="1:9" x14ac:dyDescent="0.2">
      <c r="A64">
        <v>59</v>
      </c>
      <c r="B64">
        <v>752781.24105665088</v>
      </c>
      <c r="C64">
        <v>93321.299567219801</v>
      </c>
      <c r="D64">
        <v>31053.211602241659</v>
      </c>
      <c r="E64">
        <v>54119.686773149078</v>
      </c>
      <c r="F64">
        <v>39746.747545833394</v>
      </c>
      <c r="G64">
        <v>10000</v>
      </c>
      <c r="H64">
        <v>208240.94548844395</v>
      </c>
      <c r="I64">
        <v>38.194554992030703</v>
      </c>
    </row>
    <row r="65" spans="1:9" x14ac:dyDescent="0.2">
      <c r="A65">
        <v>60</v>
      </c>
      <c r="B65">
        <v>1686442.0263790507</v>
      </c>
      <c r="C65">
        <v>147911.53871776399</v>
      </c>
      <c r="D65">
        <v>95656.781992178177</v>
      </c>
      <c r="E65">
        <v>181957.53329915524</v>
      </c>
      <c r="F65">
        <v>48597.05999763382</v>
      </c>
      <c r="G65">
        <v>10000</v>
      </c>
      <c r="H65">
        <v>464122.91400673124</v>
      </c>
      <c r="I65">
        <v>26.348011499877842</v>
      </c>
    </row>
    <row r="66" spans="1:9" x14ac:dyDescent="0.2">
      <c r="A66">
        <v>61</v>
      </c>
      <c r="B66">
        <v>1647229.0758116154</v>
      </c>
      <c r="C66">
        <v>129864.97458994739</v>
      </c>
      <c r="D66">
        <v>128788.42375693533</v>
      </c>
      <c r="E66">
        <v>157798.20198787257</v>
      </c>
      <c r="F66">
        <v>46924.490906852712</v>
      </c>
      <c r="G66">
        <v>10000</v>
      </c>
      <c r="H66">
        <v>453376.09124160797</v>
      </c>
      <c r="I66">
        <v>51.238214888890141</v>
      </c>
    </row>
    <row r="67" spans="1:9" x14ac:dyDescent="0.2">
      <c r="A67">
        <v>62</v>
      </c>
      <c r="B67">
        <v>1430149.3965425</v>
      </c>
      <c r="C67">
        <v>120459.64051196916</v>
      </c>
      <c r="D67">
        <v>70262.570886017027</v>
      </c>
      <c r="E67">
        <v>165689.53611015721</v>
      </c>
      <c r="F67">
        <v>47470.814038395496</v>
      </c>
      <c r="G67">
        <v>10000</v>
      </c>
      <c r="H67">
        <v>393882.5615465389</v>
      </c>
      <c r="I67">
        <v>27.900855800689865</v>
      </c>
    </row>
    <row r="68" spans="1:9" x14ac:dyDescent="0.2">
      <c r="A68">
        <v>63</v>
      </c>
      <c r="B68">
        <v>1519578.4766811146</v>
      </c>
      <c r="C68">
        <v>90197.672277033576</v>
      </c>
      <c r="D68">
        <v>98549.536810091347</v>
      </c>
      <c r="E68">
        <v>190458.94412116671</v>
      </c>
      <c r="F68">
        <v>49185.619208388467</v>
      </c>
      <c r="G68">
        <v>10000</v>
      </c>
      <c r="H68">
        <v>418391.77241668012</v>
      </c>
      <c r="I68">
        <v>35.984374503298085</v>
      </c>
    </row>
    <row r="69" spans="1:9" x14ac:dyDescent="0.2">
      <c r="A69">
        <v>64</v>
      </c>
      <c r="B69">
        <v>1150101.3202487719</v>
      </c>
      <c r="C69">
        <v>100252.77466254261</v>
      </c>
      <c r="D69">
        <v>105904.5722736622</v>
      </c>
      <c r="E69">
        <v>79472.433186726455</v>
      </c>
      <c r="F69">
        <v>41501.937682157986</v>
      </c>
      <c r="G69">
        <v>10000</v>
      </c>
      <c r="H69">
        <v>317131.71780508925</v>
      </c>
      <c r="I69">
        <v>30.596302647637589</v>
      </c>
    </row>
    <row r="70" spans="1:9" x14ac:dyDescent="0.2">
      <c r="A70">
        <v>65</v>
      </c>
      <c r="B70">
        <v>1349772.3571704708</v>
      </c>
      <c r="C70">
        <v>108336.06096369644</v>
      </c>
      <c r="D70">
        <v>57843.125763472883</v>
      </c>
      <c r="E70">
        <v>168041.36157244287</v>
      </c>
      <c r="F70">
        <v>47633.632724246047</v>
      </c>
      <c r="G70">
        <v>10000</v>
      </c>
      <c r="H70">
        <v>371854.18102385825</v>
      </c>
      <c r="I70">
        <v>28.634842634244791</v>
      </c>
    </row>
    <row r="71" spans="1:9" x14ac:dyDescent="0.2">
      <c r="A71">
        <v>66</v>
      </c>
      <c r="B71">
        <v>1090263.87292043</v>
      </c>
      <c r="C71">
        <v>121399.59259927782</v>
      </c>
      <c r="D71">
        <v>80392.072510996048</v>
      </c>
      <c r="E71">
        <v>68218.029750879476</v>
      </c>
      <c r="F71">
        <v>40722.786675060888</v>
      </c>
      <c r="G71">
        <v>10000</v>
      </c>
      <c r="H71">
        <v>300732.48153621424</v>
      </c>
      <c r="I71">
        <v>32.666219971590664</v>
      </c>
    </row>
    <row r="72" spans="1:9" x14ac:dyDescent="0.2">
      <c r="A72">
        <v>67</v>
      </c>
      <c r="B72">
        <v>1110825.3829000776</v>
      </c>
      <c r="C72">
        <v>82376.081746253389</v>
      </c>
      <c r="D72">
        <v>48655.898568806224</v>
      </c>
      <c r="E72">
        <v>139666.43747060845</v>
      </c>
      <c r="F72">
        <v>45669.214901811356</v>
      </c>
      <c r="G72">
        <v>10000</v>
      </c>
      <c r="H72">
        <v>306367.63268747937</v>
      </c>
      <c r="I72">
        <v>43.489319751156927</v>
      </c>
    </row>
    <row r="73" spans="1:9" x14ac:dyDescent="0.2">
      <c r="A73">
        <v>68</v>
      </c>
      <c r="B73">
        <v>1590805.8239148383</v>
      </c>
      <c r="C73">
        <v>99573.773203320816</v>
      </c>
      <c r="D73">
        <v>104453.37938184715</v>
      </c>
      <c r="E73">
        <v>194425.20113661321</v>
      </c>
      <c r="F73">
        <v>49460.206232534765</v>
      </c>
      <c r="G73">
        <v>10000</v>
      </c>
      <c r="H73">
        <v>437912.55995431595</v>
      </c>
      <c r="I73">
        <v>44.817086450965689</v>
      </c>
    </row>
    <row r="74" spans="1:9" x14ac:dyDescent="0.2">
      <c r="A74">
        <v>69</v>
      </c>
      <c r="B74">
        <v>1109409.1143908054</v>
      </c>
      <c r="C74">
        <v>96523.608389795816</v>
      </c>
      <c r="D74">
        <v>75036.325180048982</v>
      </c>
      <c r="E74">
        <v>101399.58117604979</v>
      </c>
      <c r="F74">
        <v>43019.971004495754</v>
      </c>
      <c r="G74">
        <v>10000</v>
      </c>
      <c r="H74">
        <v>305979.48575039033</v>
      </c>
      <c r="I74">
        <v>35.427126521194992</v>
      </c>
    </row>
    <row r="75" spans="1:9" x14ac:dyDescent="0.2">
      <c r="A75">
        <v>70</v>
      </c>
      <c r="B75">
        <v>1728639.5033197084</v>
      </c>
      <c r="C75">
        <v>167027.35610927205</v>
      </c>
      <c r="D75">
        <v>62310.213013203203</v>
      </c>
      <c r="E75">
        <v>206082.84248655307</v>
      </c>
      <c r="F75">
        <v>50267.273710607522</v>
      </c>
      <c r="G75">
        <v>10000</v>
      </c>
      <c r="H75">
        <v>475687.6853196359</v>
      </c>
      <c r="I75">
        <v>38.774271828981043</v>
      </c>
    </row>
    <row r="76" spans="1:9" x14ac:dyDescent="0.2">
      <c r="A76">
        <v>71</v>
      </c>
      <c r="B76">
        <v>1384495.5265325219</v>
      </c>
      <c r="C76">
        <v>124542.90839006344</v>
      </c>
      <c r="D76">
        <v>45368.410761531923</v>
      </c>
      <c r="E76">
        <v>173451.05156157573</v>
      </c>
      <c r="F76">
        <v>48008.149723493712</v>
      </c>
      <c r="G76">
        <v>10000</v>
      </c>
      <c r="H76">
        <v>381370.52043666481</v>
      </c>
      <c r="I76">
        <v>31.420873898179465</v>
      </c>
    </row>
    <row r="77" spans="1:9" x14ac:dyDescent="0.2">
      <c r="A77">
        <v>72</v>
      </c>
      <c r="B77">
        <v>1111328.2703087234</v>
      </c>
      <c r="C77">
        <v>151676.6490862827</v>
      </c>
      <c r="D77">
        <v>72985.832210933164</v>
      </c>
      <c r="E77">
        <v>52227.242124962067</v>
      </c>
      <c r="F77">
        <v>39615.732147112758</v>
      </c>
      <c r="G77">
        <v>10000</v>
      </c>
      <c r="H77">
        <v>306505.45556929073</v>
      </c>
      <c r="I77">
        <v>45.823662496247479</v>
      </c>
    </row>
    <row r="78" spans="1:9" x14ac:dyDescent="0.2">
      <c r="A78">
        <v>73</v>
      </c>
      <c r="B78">
        <v>1561386.2452729491</v>
      </c>
      <c r="C78">
        <v>121949.43115917836</v>
      </c>
      <c r="D78">
        <v>92673.80860942947</v>
      </c>
      <c r="E78">
        <v>176974.42378992747</v>
      </c>
      <c r="F78">
        <v>48252.075493148826</v>
      </c>
      <c r="G78">
        <v>10000</v>
      </c>
      <c r="H78">
        <v>429849.7390516841</v>
      </c>
      <c r="I78">
        <v>27.289274493985001</v>
      </c>
    </row>
    <row r="79" spans="1:9" x14ac:dyDescent="0.2">
      <c r="A79">
        <v>74</v>
      </c>
      <c r="B79">
        <v>1581104.5269326523</v>
      </c>
      <c r="C79">
        <v>145968.0873564505</v>
      </c>
      <c r="D79">
        <v>105295.16098831277</v>
      </c>
      <c r="E79">
        <v>147760.94051714262</v>
      </c>
      <c r="F79">
        <v>46229.603574263718</v>
      </c>
      <c r="G79">
        <v>10000</v>
      </c>
      <c r="H79">
        <v>435253.79243616958</v>
      </c>
      <c r="I79">
        <v>33.972737005065738</v>
      </c>
    </row>
    <row r="80" spans="1:9" x14ac:dyDescent="0.2">
      <c r="A80">
        <v>75</v>
      </c>
      <c r="B80">
        <v>1408675.899385731</v>
      </c>
      <c r="C80">
        <v>145211.61160401237</v>
      </c>
      <c r="D80">
        <v>123972.17291102353</v>
      </c>
      <c r="E80">
        <v>86804.164749887015</v>
      </c>
      <c r="F80">
        <v>42009.519098069104</v>
      </c>
      <c r="G80">
        <v>10000</v>
      </c>
      <c r="H80">
        <v>387997.46836299205</v>
      </c>
      <c r="I80">
        <v>35.977900988459325</v>
      </c>
    </row>
    <row r="81" spans="1:9" x14ac:dyDescent="0.2">
      <c r="A81">
        <v>76</v>
      </c>
      <c r="B81">
        <v>1433301.9133496494</v>
      </c>
      <c r="C81">
        <v>140403.76229389184</v>
      </c>
      <c r="D81">
        <v>110116.60240722851</v>
      </c>
      <c r="E81">
        <v>110571.25250635009</v>
      </c>
      <c r="F81">
        <v>43654.932865824238</v>
      </c>
      <c r="G81">
        <v>10000</v>
      </c>
      <c r="H81">
        <v>394746.55007329473</v>
      </c>
      <c r="I81">
        <v>32.396844789367258</v>
      </c>
    </row>
    <row r="82" spans="1:9" x14ac:dyDescent="0.2">
      <c r="A82">
        <v>77</v>
      </c>
      <c r="B82">
        <v>1441173.8882569615</v>
      </c>
      <c r="C82">
        <v>122962.25701088713</v>
      </c>
      <c r="D82">
        <v>159434.8540189662</v>
      </c>
      <c r="E82">
        <v>82776.197085880645</v>
      </c>
      <c r="F82">
        <v>41730.659798253277</v>
      </c>
      <c r="G82">
        <v>10000</v>
      </c>
      <c r="H82">
        <v>396903.96791398729</v>
      </c>
      <c r="I82">
        <v>45.064037999737224</v>
      </c>
    </row>
    <row r="83" spans="1:9" x14ac:dyDescent="0.2">
      <c r="A83">
        <v>78</v>
      </c>
      <c r="B83">
        <v>1226237.3408543898</v>
      </c>
      <c r="C83">
        <v>116228.64078560166</v>
      </c>
      <c r="D83">
        <v>42872.897736756211</v>
      </c>
      <c r="E83">
        <v>142996.49566585754</v>
      </c>
      <c r="F83">
        <v>45899.757392251675</v>
      </c>
      <c r="G83">
        <v>10000</v>
      </c>
      <c r="H83">
        <v>337997.79158046708</v>
      </c>
      <c r="I83">
        <v>37.888250639834197</v>
      </c>
    </row>
    <row r="84" spans="1:9" x14ac:dyDescent="0.2">
      <c r="A84">
        <v>79</v>
      </c>
      <c r="B84">
        <v>1840636.4842894883</v>
      </c>
      <c r="C84">
        <v>158321.32267419453</v>
      </c>
      <c r="D84">
        <v>105638.18602428738</v>
      </c>
      <c r="E84">
        <v>202409.45412881233</v>
      </c>
      <c r="F84">
        <v>50012.962208917772</v>
      </c>
      <c r="G84">
        <v>10000</v>
      </c>
      <c r="H84">
        <v>506381.92503621202</v>
      </c>
      <c r="I84">
        <v>42.651984006231572</v>
      </c>
    </row>
    <row r="85" spans="1:9" x14ac:dyDescent="0.2">
      <c r="A85">
        <v>80</v>
      </c>
      <c r="B85">
        <v>1106232.8148657412</v>
      </c>
      <c r="C85">
        <v>89934.868076622763</v>
      </c>
      <c r="D85">
        <v>88003.294028500561</v>
      </c>
      <c r="E85">
        <v>94620.188704365893</v>
      </c>
      <c r="F85">
        <v>42550.628448763789</v>
      </c>
      <c r="G85">
        <v>10000</v>
      </c>
      <c r="H85">
        <v>305108.97925825306</v>
      </c>
      <c r="I85">
        <v>27.729864622263829</v>
      </c>
    </row>
    <row r="86" spans="1:9" x14ac:dyDescent="0.2">
      <c r="A86">
        <v>81</v>
      </c>
      <c r="B86">
        <v>1093456.7137516751</v>
      </c>
      <c r="C86">
        <v>112496.34574372722</v>
      </c>
      <c r="D86">
        <v>80814.305305048852</v>
      </c>
      <c r="E86">
        <v>76968.296002574061</v>
      </c>
      <c r="F86">
        <v>41328.574338639737</v>
      </c>
      <c r="G86">
        <v>10000</v>
      </c>
      <c r="H86">
        <v>301607.52138998988</v>
      </c>
      <c r="I86">
        <v>32.295055158166306</v>
      </c>
    </row>
    <row r="87" spans="1:9" x14ac:dyDescent="0.2">
      <c r="A87">
        <v>82</v>
      </c>
      <c r="B87">
        <v>1208445.329649773</v>
      </c>
      <c r="C87">
        <v>101713.31470290193</v>
      </c>
      <c r="D87">
        <v>35740.730737452643</v>
      </c>
      <c r="E87">
        <v>158681.93966088051</v>
      </c>
      <c r="F87">
        <v>46985.672745753262</v>
      </c>
      <c r="G87">
        <v>10000</v>
      </c>
      <c r="H87">
        <v>333121.65784698835</v>
      </c>
      <c r="I87">
        <v>31.083382995672505</v>
      </c>
    </row>
    <row r="88" spans="1:9" x14ac:dyDescent="0.2">
      <c r="A88">
        <v>83</v>
      </c>
      <c r="B88">
        <v>1351500.7236182801</v>
      </c>
      <c r="C88">
        <v>156284.70180698347</v>
      </c>
      <c r="D88">
        <v>77527.273589933873</v>
      </c>
      <c r="E88">
        <v>105230.68576982355</v>
      </c>
      <c r="F88">
        <v>43285.201322526249</v>
      </c>
      <c r="G88">
        <v>10000</v>
      </c>
      <c r="H88">
        <v>372327.86248926719</v>
      </c>
      <c r="I88">
        <v>29.285198175413541</v>
      </c>
    </row>
    <row r="89" spans="1:9" x14ac:dyDescent="0.2">
      <c r="A89">
        <v>84</v>
      </c>
      <c r="B89">
        <v>878772.624363248</v>
      </c>
      <c r="C89">
        <v>90421.261193161874</v>
      </c>
      <c r="D89">
        <v>86677.004914091493</v>
      </c>
      <c r="E89">
        <v>37103.560350733824</v>
      </c>
      <c r="F89">
        <v>38568.708024281572</v>
      </c>
      <c r="G89">
        <v>10000</v>
      </c>
      <c r="H89">
        <v>242770.53448226876</v>
      </c>
      <c r="I89">
        <v>28.45129552406517</v>
      </c>
    </row>
    <row r="90" spans="1:9" x14ac:dyDescent="0.2">
      <c r="A90">
        <v>85</v>
      </c>
      <c r="B90">
        <v>1575256.1341710917</v>
      </c>
      <c r="C90">
        <v>121548.72061938379</v>
      </c>
      <c r="D90">
        <v>74424.982104111579</v>
      </c>
      <c r="E90">
        <v>197971.53912697051</v>
      </c>
      <c r="F90">
        <v>49705.721939559495</v>
      </c>
      <c r="G90">
        <v>10000</v>
      </c>
      <c r="H90">
        <v>433650.96379002539</v>
      </c>
      <c r="I90">
        <v>47.686430721968584</v>
      </c>
    </row>
    <row r="91" spans="1:9" x14ac:dyDescent="0.2">
      <c r="A91">
        <v>86</v>
      </c>
      <c r="B91">
        <v>1509812.3042991823</v>
      </c>
      <c r="C91">
        <v>169759.9427426717</v>
      </c>
      <c r="D91">
        <v>130522.82534652732</v>
      </c>
      <c r="E91">
        <v>83641.866124514869</v>
      </c>
      <c r="F91">
        <v>41790.590731697186</v>
      </c>
      <c r="G91">
        <v>10000</v>
      </c>
      <c r="H91">
        <v>415715.22494541109</v>
      </c>
      <c r="I91">
        <v>32.716158385770228</v>
      </c>
    </row>
    <row r="92" spans="1:9" x14ac:dyDescent="0.2">
      <c r="A92">
        <v>87</v>
      </c>
      <c r="B92">
        <v>1403458.5471191346</v>
      </c>
      <c r="C92">
        <v>92510.289235529475</v>
      </c>
      <c r="D92">
        <v>126880.45774252154</v>
      </c>
      <c r="E92">
        <v>132035.89132979698</v>
      </c>
      <c r="F92">
        <v>45140.946322832104</v>
      </c>
      <c r="G92">
        <v>10000</v>
      </c>
      <c r="H92">
        <v>386567.5846306801</v>
      </c>
      <c r="I92">
        <v>34.749958348149484</v>
      </c>
    </row>
    <row r="93" spans="1:9" x14ac:dyDescent="0.2">
      <c r="A93">
        <v>88</v>
      </c>
      <c r="B93">
        <v>1606471.5905087641</v>
      </c>
      <c r="C93">
        <v>109521.02429707022</v>
      </c>
      <c r="D93">
        <v>96008.543199579712</v>
      </c>
      <c r="E93">
        <v>197035.48295270192</v>
      </c>
      <c r="F93">
        <v>49640.918050571665</v>
      </c>
      <c r="G93">
        <v>10000</v>
      </c>
      <c r="H93">
        <v>442205.96849992347</v>
      </c>
      <c r="I93">
        <v>27.650272359847079</v>
      </c>
    </row>
    <row r="94" spans="1:9" x14ac:dyDescent="0.2">
      <c r="A94">
        <v>89</v>
      </c>
      <c r="B94">
        <v>1454812.0817704499</v>
      </c>
      <c r="C94">
        <v>118413.44402435297</v>
      </c>
      <c r="D94">
        <v>88090.143480336992</v>
      </c>
      <c r="E94">
        <v>157251.46603608303</v>
      </c>
      <c r="F94">
        <v>46886.63995634421</v>
      </c>
      <c r="G94">
        <v>10000</v>
      </c>
      <c r="H94">
        <v>400641.6934971172</v>
      </c>
      <c r="I94">
        <v>35.500551189646906</v>
      </c>
    </row>
    <row r="95" spans="1:9" x14ac:dyDescent="0.2">
      <c r="A95">
        <v>90</v>
      </c>
      <c r="B95">
        <v>1189347.2939917315</v>
      </c>
      <c r="C95">
        <v>86093.026621535173</v>
      </c>
      <c r="D95">
        <v>83648.558208610484</v>
      </c>
      <c r="E95">
        <v>123589.78994681274</v>
      </c>
      <c r="F95">
        <v>44556.216227087039</v>
      </c>
      <c r="G95">
        <v>10000</v>
      </c>
      <c r="H95">
        <v>327887.59100404539</v>
      </c>
      <c r="I95">
        <v>43.322855318007612</v>
      </c>
    </row>
    <row r="96" spans="1:9" x14ac:dyDescent="0.2">
      <c r="A96">
        <v>91</v>
      </c>
      <c r="B96">
        <v>1374913.2116816384</v>
      </c>
      <c r="C96">
        <v>100081.23077323609</v>
      </c>
      <c r="D96">
        <v>116225.28446174647</v>
      </c>
      <c r="E96">
        <v>127603.74113939727</v>
      </c>
      <c r="F96">
        <v>44834.10515580442</v>
      </c>
      <c r="G96">
        <v>10000</v>
      </c>
      <c r="H96">
        <v>378744.36153018428</v>
      </c>
      <c r="I96">
        <v>30.685108013641624</v>
      </c>
    </row>
    <row r="97" spans="1:9" x14ac:dyDescent="0.2">
      <c r="A97">
        <v>92</v>
      </c>
      <c r="B97">
        <v>1594294.2127350876</v>
      </c>
      <c r="C97">
        <v>86352.954154073523</v>
      </c>
      <c r="D97">
        <v>107275.42635337914</v>
      </c>
      <c r="E97">
        <v>205044.8082935581</v>
      </c>
      <c r="F97">
        <v>50195.409804938638</v>
      </c>
      <c r="G97">
        <v>10000</v>
      </c>
      <c r="H97">
        <v>438868.59860594937</v>
      </c>
      <c r="I97">
        <v>34.079572327591677</v>
      </c>
    </row>
    <row r="98" spans="1:9" x14ac:dyDescent="0.2">
      <c r="A98">
        <v>93</v>
      </c>
      <c r="B98">
        <v>1361648.7466513654</v>
      </c>
      <c r="C98">
        <v>131387.78974481861</v>
      </c>
      <c r="D98">
        <v>63210.534421361859</v>
      </c>
      <c r="E98">
        <v>144506.44464565729</v>
      </c>
      <c r="F98">
        <v>46004.29232162243</v>
      </c>
      <c r="G98">
        <v>10000</v>
      </c>
      <c r="H98">
        <v>375109.0611334602</v>
      </c>
      <c r="I98">
        <v>26.702080254622572</v>
      </c>
    </row>
    <row r="99" spans="1:9" x14ac:dyDescent="0.2">
      <c r="A99">
        <v>94</v>
      </c>
      <c r="B99">
        <v>1474257.0142680665</v>
      </c>
      <c r="C99">
        <v>135602.35424540873</v>
      </c>
      <c r="D99">
        <v>90244.564326484367</v>
      </c>
      <c r="E99">
        <v>144144.66720036336</v>
      </c>
      <c r="F99">
        <v>45979.246190794387</v>
      </c>
      <c r="G99">
        <v>10000</v>
      </c>
      <c r="H99">
        <v>405970.83196305088</v>
      </c>
      <c r="I99">
        <v>44.476493557736276</v>
      </c>
    </row>
    <row r="100" spans="1:9" x14ac:dyDescent="0.2">
      <c r="A100">
        <v>95</v>
      </c>
      <c r="B100">
        <v>1201194.5578238361</v>
      </c>
      <c r="C100">
        <v>97595.47686567303</v>
      </c>
      <c r="D100">
        <v>150823.95175190319</v>
      </c>
      <c r="E100">
        <v>53042.862086074143</v>
      </c>
      <c r="F100">
        <v>39672.198144420516</v>
      </c>
      <c r="G100">
        <v>10000</v>
      </c>
      <c r="H100">
        <v>331134.48884807091</v>
      </c>
      <c r="I100">
        <v>31.503345112523146</v>
      </c>
    </row>
    <row r="101" spans="1:9" x14ac:dyDescent="0.2">
      <c r="A101">
        <v>96</v>
      </c>
      <c r="B101">
        <v>1678111.023429146</v>
      </c>
      <c r="C101">
        <v>157929.49723568821</v>
      </c>
      <c r="D101">
        <v>77827.835537113584</v>
      </c>
      <c r="E101">
        <v>187127.38774732745</v>
      </c>
      <c r="F101">
        <v>48954.972997891899</v>
      </c>
      <c r="G101">
        <v>10000</v>
      </c>
      <c r="H101">
        <v>461839.69351802114</v>
      </c>
      <c r="I101">
        <v>27.435812854552999</v>
      </c>
    </row>
    <row r="102" spans="1:9" x14ac:dyDescent="0.2">
      <c r="A102">
        <v>97</v>
      </c>
      <c r="B102">
        <v>1115867.6008195803</v>
      </c>
      <c r="C102">
        <v>131622.10139309365</v>
      </c>
      <c r="D102">
        <v>73714.407066481173</v>
      </c>
      <c r="E102">
        <v>71465.405127867576</v>
      </c>
      <c r="F102">
        <v>40947.604970390836</v>
      </c>
      <c r="G102">
        <v>10000</v>
      </c>
      <c r="H102">
        <v>307749.51855783327</v>
      </c>
      <c r="I102">
        <v>40.687374455372563</v>
      </c>
    </row>
    <row r="103" spans="1:9" x14ac:dyDescent="0.2">
      <c r="A103">
        <v>98</v>
      </c>
      <c r="B103">
        <v>1330522.3030875791</v>
      </c>
      <c r="C103">
        <v>104415.30608575387</v>
      </c>
      <c r="D103">
        <v>112410.50809851103</v>
      </c>
      <c r="E103">
        <v>115739.87666387128</v>
      </c>
      <c r="F103">
        <v>44012.760692114163</v>
      </c>
      <c r="G103">
        <v>10000</v>
      </c>
      <c r="H103">
        <v>366578.45154025039</v>
      </c>
      <c r="I103">
        <v>38.734869824089699</v>
      </c>
    </row>
    <row r="104" spans="1:9" x14ac:dyDescent="0.2">
      <c r="A104">
        <v>99</v>
      </c>
      <c r="B104">
        <v>1130165.5930689937</v>
      </c>
      <c r="C104">
        <v>144245.31940945802</v>
      </c>
      <c r="D104">
        <v>104525.94109975563</v>
      </c>
      <c r="E104">
        <v>34507.808024243837</v>
      </c>
      <c r="F104">
        <v>38389.002093986113</v>
      </c>
      <c r="G104">
        <v>10000</v>
      </c>
      <c r="H104">
        <v>311668.07062744361</v>
      </c>
      <c r="I104">
        <v>44.896085159866686</v>
      </c>
    </row>
    <row r="105" spans="1:9" x14ac:dyDescent="0.2">
      <c r="A105">
        <v>100</v>
      </c>
      <c r="B105">
        <v>1148395.8393487872</v>
      </c>
      <c r="C105">
        <v>101974.51934188973</v>
      </c>
      <c r="D105">
        <v>29523.025650488231</v>
      </c>
      <c r="E105">
        <v>148861.00177043799</v>
      </c>
      <c r="F105">
        <v>46305.761661030323</v>
      </c>
      <c r="G105">
        <v>10000</v>
      </c>
      <c r="H105">
        <v>316664.30842384626</v>
      </c>
      <c r="I105">
        <v>33.178329650088443</v>
      </c>
    </row>
    <row r="106" spans="1:9" x14ac:dyDescent="0.2">
      <c r="A106">
        <v>101</v>
      </c>
      <c r="B106">
        <v>838459.27412133338</v>
      </c>
      <c r="C106">
        <v>97871.358354582539</v>
      </c>
      <c r="D106">
        <v>62298.154705189474</v>
      </c>
      <c r="E106">
        <v>42603.169514931731</v>
      </c>
      <c r="F106">
        <v>38949.450197187587</v>
      </c>
      <c r="G106">
        <v>10000</v>
      </c>
      <c r="H106">
        <v>231722.13277189137</v>
      </c>
      <c r="I106">
        <v>45.886526886599214</v>
      </c>
    </row>
    <row r="107" spans="1:9" x14ac:dyDescent="0.2">
      <c r="A107">
        <v>102</v>
      </c>
      <c r="B107">
        <v>1577103.7845358648</v>
      </c>
      <c r="C107">
        <v>123895.64165237061</v>
      </c>
      <c r="D107">
        <v>146645.70254803397</v>
      </c>
      <c r="E107">
        <v>128705.60437950506</v>
      </c>
      <c r="F107">
        <v>44910.387995504199</v>
      </c>
      <c r="G107">
        <v>10000</v>
      </c>
      <c r="H107">
        <v>434157.33657541382</v>
      </c>
      <c r="I107">
        <v>43.547860871469481</v>
      </c>
    </row>
    <row r="108" spans="1:9" x14ac:dyDescent="0.2">
      <c r="A108">
        <v>103</v>
      </c>
      <c r="B108">
        <v>902336.73380427831</v>
      </c>
      <c r="C108">
        <v>101027.02713491541</v>
      </c>
      <c r="D108">
        <v>51566.433091017876</v>
      </c>
      <c r="E108">
        <v>66061.629682387182</v>
      </c>
      <c r="F108">
        <v>40573.497439549887</v>
      </c>
      <c r="G108">
        <v>10000</v>
      </c>
      <c r="H108">
        <v>249228.58734787034</v>
      </c>
      <c r="I108">
        <v>31.993405119905908</v>
      </c>
    </row>
    <row r="109" spans="1:9" x14ac:dyDescent="0.2">
      <c r="A109">
        <v>104</v>
      </c>
      <c r="B109">
        <v>1379188.8476113786</v>
      </c>
      <c r="C109">
        <v>132624.62565392669</v>
      </c>
      <c r="D109">
        <v>71940.628356920963</v>
      </c>
      <c r="E109">
        <v>139680.69929483699</v>
      </c>
      <c r="F109">
        <v>45670.202258873331</v>
      </c>
      <c r="G109">
        <v>10000</v>
      </c>
      <c r="H109">
        <v>379916.15556455794</v>
      </c>
      <c r="I109">
        <v>41.309766685561762</v>
      </c>
    </row>
    <row r="110" spans="1:9" x14ac:dyDescent="0.2">
      <c r="A110">
        <v>105</v>
      </c>
      <c r="B110">
        <v>1467977.6848359774</v>
      </c>
      <c r="C110">
        <v>119338.97434932536</v>
      </c>
      <c r="D110">
        <v>83254.113985751537</v>
      </c>
      <c r="E110">
        <v>164283.34855035594</v>
      </c>
      <c r="F110">
        <v>47373.462591947711</v>
      </c>
      <c r="G110">
        <v>10000</v>
      </c>
      <c r="H110">
        <v>404249.8994773805</v>
      </c>
      <c r="I110">
        <v>37.18655758432844</v>
      </c>
    </row>
    <row r="111" spans="1:9" x14ac:dyDescent="0.2">
      <c r="A111">
        <v>106</v>
      </c>
      <c r="B111">
        <v>1234969.1098005895</v>
      </c>
      <c r="C111">
        <v>98884.401584738502</v>
      </c>
      <c r="D111">
        <v>63275.67723775965</v>
      </c>
      <c r="E111">
        <v>142374.09995901573</v>
      </c>
      <c r="F111">
        <v>45856.66845870109</v>
      </c>
      <c r="G111">
        <v>10000</v>
      </c>
      <c r="H111">
        <v>340390.84724021499</v>
      </c>
      <c r="I111">
        <v>56.222028014407776</v>
      </c>
    </row>
    <row r="112" spans="1:9" x14ac:dyDescent="0.2">
      <c r="A112">
        <v>107</v>
      </c>
      <c r="B112">
        <v>1635893.3078282508</v>
      </c>
      <c r="C112">
        <v>134396.49916105374</v>
      </c>
      <c r="D112">
        <v>72477.768410272794</v>
      </c>
      <c r="E112">
        <v>203319.16572157663</v>
      </c>
      <c r="F112">
        <v>50075.942242262994</v>
      </c>
      <c r="G112">
        <v>10000</v>
      </c>
      <c r="H112">
        <v>450269.37553516612</v>
      </c>
      <c r="I112">
        <v>28.271372063719685</v>
      </c>
    </row>
    <row r="113" spans="1:9" x14ac:dyDescent="0.2">
      <c r="A113">
        <v>108</v>
      </c>
      <c r="B113">
        <v>1384433.2847549554</v>
      </c>
      <c r="C113">
        <v>83133.503928289108</v>
      </c>
      <c r="D113">
        <v>85290.733082469116</v>
      </c>
      <c r="E113">
        <v>174825.89412005272</v>
      </c>
      <c r="F113">
        <v>48103.331131388259</v>
      </c>
      <c r="G113">
        <v>10000</v>
      </c>
      <c r="H113">
        <v>381353.4622621992</v>
      </c>
      <c r="I113">
        <v>35.737607190737407</v>
      </c>
    </row>
    <row r="114" spans="1:9" x14ac:dyDescent="0.2">
      <c r="A114">
        <v>109</v>
      </c>
      <c r="B114">
        <v>1508917.6034552569</v>
      </c>
      <c r="C114">
        <v>103284.54253796846</v>
      </c>
      <c r="D114">
        <v>125393.37697757377</v>
      </c>
      <c r="E114">
        <v>150381.10160196386</v>
      </c>
      <c r="F114">
        <v>46410.999341674418</v>
      </c>
      <c r="G114">
        <v>10000</v>
      </c>
      <c r="H114">
        <v>415470.02045918052</v>
      </c>
      <c r="I114">
        <v>28.412085770243479</v>
      </c>
    </row>
    <row r="115" spans="1:9" x14ac:dyDescent="0.2">
      <c r="A115">
        <v>110</v>
      </c>
      <c r="B115">
        <v>1112884.329320037</v>
      </c>
      <c r="C115">
        <v>137256.68716784994</v>
      </c>
      <c r="D115">
        <v>62593.615928250707</v>
      </c>
      <c r="E115">
        <v>75831.722357609528</v>
      </c>
      <c r="F115">
        <v>41249.888470911435</v>
      </c>
      <c r="G115">
        <v>10000</v>
      </c>
      <c r="H115">
        <v>306931.91392462159</v>
      </c>
      <c r="I115">
        <v>35.045238817967167</v>
      </c>
    </row>
    <row r="116" spans="1:9" x14ac:dyDescent="0.2">
      <c r="A116">
        <v>111</v>
      </c>
      <c r="B116">
        <v>1514862.8117300398</v>
      </c>
      <c r="C116">
        <v>105972.62860852615</v>
      </c>
      <c r="D116">
        <v>63275.897631514497</v>
      </c>
      <c r="E116">
        <v>207486.41248371746</v>
      </c>
      <c r="F116">
        <v>50364.443941180441</v>
      </c>
      <c r="G116">
        <v>10000</v>
      </c>
      <c r="H116">
        <v>417099.38266493852</v>
      </c>
      <c r="I116">
        <v>44.056269286403037</v>
      </c>
    </row>
    <row r="117" spans="1:9" x14ac:dyDescent="0.2">
      <c r="A117">
        <v>112</v>
      </c>
      <c r="B117">
        <v>1176068.7861858394</v>
      </c>
      <c r="C117">
        <v>95158.215407105978</v>
      </c>
      <c r="D117">
        <v>167338.17411655575</v>
      </c>
      <c r="E117">
        <v>33437.171381414351</v>
      </c>
      <c r="F117">
        <v>38314.881095636374</v>
      </c>
      <c r="G117">
        <v>10000</v>
      </c>
      <c r="H117">
        <v>324248.44200071238</v>
      </c>
      <c r="I117">
        <v>52.1083766659739</v>
      </c>
    </row>
    <row r="118" spans="1:9" x14ac:dyDescent="0.2">
      <c r="A118">
        <v>113</v>
      </c>
      <c r="B118">
        <v>985289.37931986596</v>
      </c>
      <c r="C118">
        <v>103870.05217830303</v>
      </c>
      <c r="D118">
        <v>110095.23755048288</v>
      </c>
      <c r="E118">
        <v>29925.772494425222</v>
      </c>
      <c r="F118">
        <v>38071.784249614051</v>
      </c>
      <c r="G118">
        <v>10000</v>
      </c>
      <c r="H118">
        <v>271962.84647282516</v>
      </c>
      <c r="I118">
        <v>33.726097865376836</v>
      </c>
    </row>
    <row r="119" spans="1:9" x14ac:dyDescent="0.2">
      <c r="A119">
        <v>114</v>
      </c>
      <c r="B119">
        <v>1361892.8189260804</v>
      </c>
      <c r="C119">
        <v>114583.45016856033</v>
      </c>
      <c r="D119">
        <v>116989.25416231039</v>
      </c>
      <c r="E119">
        <v>109988.64921485297</v>
      </c>
      <c r="F119">
        <v>43614.598791797514</v>
      </c>
      <c r="G119">
        <v>10000</v>
      </c>
      <c r="H119">
        <v>375175.95233752119</v>
      </c>
      <c r="I119">
        <v>33.880371396128723</v>
      </c>
    </row>
    <row r="120" spans="1:9" x14ac:dyDescent="0.2">
      <c r="A120">
        <v>115</v>
      </c>
      <c r="B120">
        <v>1730129.5364012022</v>
      </c>
      <c r="C120">
        <v>125882.8628136514</v>
      </c>
      <c r="D120">
        <v>112338.43187131456</v>
      </c>
      <c r="E120">
        <v>198156.24448543342</v>
      </c>
      <c r="F120">
        <v>49718.509233606928</v>
      </c>
      <c r="G120">
        <v>10000</v>
      </c>
      <c r="H120">
        <v>476096.04840400635</v>
      </c>
      <c r="I120">
        <v>53.46642870381342</v>
      </c>
    </row>
    <row r="121" spans="1:9" x14ac:dyDescent="0.2">
      <c r="A121">
        <v>116</v>
      </c>
      <c r="B121">
        <v>1539781.0518718406</v>
      </c>
      <c r="C121">
        <v>155672.03344377305</v>
      </c>
      <c r="D121">
        <v>67237.036617610618</v>
      </c>
      <c r="E121">
        <v>163687.28600260662</v>
      </c>
      <c r="F121">
        <v>47332.196723257381</v>
      </c>
      <c r="G121">
        <v>10000</v>
      </c>
      <c r="H121">
        <v>423928.55278724764</v>
      </c>
      <c r="I121">
        <v>34.51752414248503</v>
      </c>
    </row>
    <row r="122" spans="1:9" x14ac:dyDescent="0.2">
      <c r="A122">
        <v>117</v>
      </c>
      <c r="B122">
        <v>1527914.1953822554</v>
      </c>
      <c r="C122">
        <v>106515.11767470866</v>
      </c>
      <c r="D122">
        <v>108207.38655936676</v>
      </c>
      <c r="E122">
        <v>168302.09741735857</v>
      </c>
      <c r="F122">
        <v>47651.683667355595</v>
      </c>
      <c r="G122">
        <v>10000</v>
      </c>
      <c r="H122">
        <v>420676.28531878954</v>
      </c>
      <c r="I122">
        <v>35.367515608653363</v>
      </c>
    </row>
    <row r="123" spans="1:9" x14ac:dyDescent="0.2">
      <c r="A123">
        <v>118</v>
      </c>
      <c r="B123">
        <v>1249855.6395306459</v>
      </c>
      <c r="C123">
        <v>86868.287003643694</v>
      </c>
      <c r="D123">
        <v>42070.544328613956</v>
      </c>
      <c r="E123">
        <v>177260.01704937793</v>
      </c>
      <c r="F123">
        <v>48271.847334187703</v>
      </c>
      <c r="G123">
        <v>10000</v>
      </c>
      <c r="H123">
        <v>344470.69571582333</v>
      </c>
      <c r="I123">
        <v>39.398870645908559</v>
      </c>
    </row>
    <row r="124" spans="1:9" x14ac:dyDescent="0.2">
      <c r="A124">
        <v>119</v>
      </c>
      <c r="B124">
        <v>1453585.4345164988</v>
      </c>
      <c r="C124">
        <v>113172.76337909563</v>
      </c>
      <c r="D124">
        <v>62087.392290986347</v>
      </c>
      <c r="E124">
        <v>186157.5300737654</v>
      </c>
      <c r="F124">
        <v>48887.829005106832</v>
      </c>
      <c r="G124">
        <v>10000</v>
      </c>
      <c r="H124">
        <v>400305.51474895421</v>
      </c>
      <c r="I124">
        <v>35.233730632339615</v>
      </c>
    </row>
    <row r="125" spans="1:9" x14ac:dyDescent="0.2">
      <c r="A125">
        <v>120</v>
      </c>
      <c r="B125">
        <v>1322898.3417794616</v>
      </c>
      <c r="C125">
        <v>100755.85613711088</v>
      </c>
      <c r="D125">
        <v>153492.98781955507</v>
      </c>
      <c r="E125">
        <v>78785.762197209871</v>
      </c>
      <c r="F125">
        <v>41454.398921345302</v>
      </c>
      <c r="G125">
        <v>10000</v>
      </c>
      <c r="H125">
        <v>364489.00507522112</v>
      </c>
      <c r="I125">
        <v>49.230514136418364</v>
      </c>
    </row>
    <row r="126" spans="1:9" x14ac:dyDescent="0.2">
      <c r="A126">
        <v>121</v>
      </c>
      <c r="B126">
        <v>1643945.0782259088</v>
      </c>
      <c r="C126">
        <v>139962.03211194649</v>
      </c>
      <c r="D126">
        <v>136659.98298375189</v>
      </c>
      <c r="E126">
        <v>140151.27314124428</v>
      </c>
      <c r="F126">
        <v>45702.780448239988</v>
      </c>
      <c r="G126">
        <v>10000</v>
      </c>
      <c r="H126">
        <v>452476.06868518272</v>
      </c>
      <c r="I126">
        <v>30.701731412557066</v>
      </c>
    </row>
    <row r="127" spans="1:9" x14ac:dyDescent="0.2">
      <c r="A127">
        <v>122</v>
      </c>
      <c r="B127">
        <v>1571324.6517021388</v>
      </c>
      <c r="C127">
        <v>123256.04385576455</v>
      </c>
      <c r="D127">
        <v>86646.026096136164</v>
      </c>
      <c r="E127">
        <v>183937.29887640505</v>
      </c>
      <c r="F127">
        <v>48734.120691443422</v>
      </c>
      <c r="G127">
        <v>10000</v>
      </c>
      <c r="H127">
        <v>432573.48951974919</v>
      </c>
      <c r="I127">
        <v>29.940551158837479</v>
      </c>
    </row>
    <row r="128" spans="1:9" x14ac:dyDescent="0.2">
      <c r="A128">
        <v>123</v>
      </c>
      <c r="B128">
        <v>1042227.6605417597</v>
      </c>
      <c r="C128">
        <v>113804.4198051711</v>
      </c>
      <c r="D128">
        <v>94928.623194837244</v>
      </c>
      <c r="E128">
        <v>49413.547396498863</v>
      </c>
      <c r="F128">
        <v>39420.937896680698</v>
      </c>
      <c r="G128">
        <v>10000</v>
      </c>
      <c r="H128">
        <v>287567.52829318785</v>
      </c>
      <c r="I128">
        <v>29.258126690611167</v>
      </c>
    </row>
    <row r="129" spans="1:9" x14ac:dyDescent="0.2">
      <c r="A129">
        <v>124</v>
      </c>
      <c r="B129">
        <v>1113895.2193387302</v>
      </c>
      <c r="C129">
        <v>92286.885525592996</v>
      </c>
      <c r="D129">
        <v>78008.347982082458</v>
      </c>
      <c r="E129">
        <v>103732.2636612043</v>
      </c>
      <c r="F129">
        <v>43181.464407314139</v>
      </c>
      <c r="G129">
        <v>10000</v>
      </c>
      <c r="H129">
        <v>307208.96157619392</v>
      </c>
      <c r="I129">
        <v>29.417018380092728</v>
      </c>
    </row>
    <row r="130" spans="1:9" x14ac:dyDescent="0.2">
      <c r="A130">
        <v>125</v>
      </c>
      <c r="B130">
        <v>1610832.0147625431</v>
      </c>
      <c r="C130">
        <v>149447.78636725293</v>
      </c>
      <c r="D130">
        <v>62086.638903273328</v>
      </c>
      <c r="E130">
        <v>192537.08417196662</v>
      </c>
      <c r="F130">
        <v>49329.490442674614</v>
      </c>
      <c r="G130">
        <v>10000</v>
      </c>
      <c r="H130">
        <v>443400.99988516746</v>
      </c>
      <c r="I130">
        <v>40.18534480736421</v>
      </c>
    </row>
    <row r="131" spans="1:9" x14ac:dyDescent="0.2">
      <c r="A131">
        <v>126</v>
      </c>
      <c r="B131">
        <v>1281845.7370225752</v>
      </c>
      <c r="C131">
        <v>145757.58011202494</v>
      </c>
      <c r="D131">
        <v>36385.90149427607</v>
      </c>
      <c r="E131">
        <v>135699.9102068342</v>
      </c>
      <c r="F131">
        <v>45394.609168165443</v>
      </c>
      <c r="G131">
        <v>10000</v>
      </c>
      <c r="H131">
        <v>353238.00098130066</v>
      </c>
      <c r="I131">
        <v>31.599196338003281</v>
      </c>
    </row>
    <row r="132" spans="1:9" x14ac:dyDescent="0.2">
      <c r="A132">
        <v>127</v>
      </c>
      <c r="B132">
        <v>1362341.7243488445</v>
      </c>
      <c r="C132">
        <v>129304.56756402334</v>
      </c>
      <c r="D132">
        <v>62530.110693562987</v>
      </c>
      <c r="E132">
        <v>147268.77211424889</v>
      </c>
      <c r="F132">
        <v>46195.530377140305</v>
      </c>
      <c r="G132">
        <v>10000</v>
      </c>
      <c r="H132">
        <v>375298.98074897553</v>
      </c>
      <c r="I132">
        <v>36.527379859850008</v>
      </c>
    </row>
    <row r="133" spans="1:9" x14ac:dyDescent="0.2">
      <c r="A133">
        <v>128</v>
      </c>
      <c r="B133">
        <v>1347162.624500846</v>
      </c>
      <c r="C133">
        <v>91690.419977685087</v>
      </c>
      <c r="D133">
        <v>88885.754760965312</v>
      </c>
      <c r="E133">
        <v>153907.63116536778</v>
      </c>
      <c r="F133">
        <v>46655.143696063926</v>
      </c>
      <c r="G133">
        <v>10000</v>
      </c>
      <c r="H133">
        <v>371138.94960008212</v>
      </c>
      <c r="I133">
        <v>41.675268197440687</v>
      </c>
    </row>
    <row r="134" spans="1:9" x14ac:dyDescent="0.2">
      <c r="A134">
        <v>129</v>
      </c>
      <c r="B134">
        <v>1216730.6879273106</v>
      </c>
      <c r="C134">
        <v>88344.444382801928</v>
      </c>
      <c r="D134">
        <v>66661.627091821123</v>
      </c>
      <c r="E134">
        <v>144390.06226108642</v>
      </c>
      <c r="F134">
        <v>45996.235079613674</v>
      </c>
      <c r="G134">
        <v>10000</v>
      </c>
      <c r="H134">
        <v>335392.36881532316</v>
      </c>
      <c r="I134">
        <v>39.495409338340167</v>
      </c>
    </row>
    <row r="135" spans="1:9" x14ac:dyDescent="0.2">
      <c r="A135">
        <v>130</v>
      </c>
      <c r="B135">
        <v>1654339.0095939203</v>
      </c>
      <c r="C135">
        <v>129041.63256849359</v>
      </c>
      <c r="D135">
        <v>89782.113892118185</v>
      </c>
      <c r="E135">
        <v>196871.35960426618</v>
      </c>
      <c r="F135">
        <v>49629.555664910738</v>
      </c>
      <c r="G135">
        <v>10000</v>
      </c>
      <c r="H135">
        <v>455324.6617297887</v>
      </c>
      <c r="I135">
        <v>52.147938499431476</v>
      </c>
    </row>
    <row r="136" spans="1:9" x14ac:dyDescent="0.2">
      <c r="A136">
        <v>131</v>
      </c>
      <c r="B136">
        <v>1147238.5732650135</v>
      </c>
      <c r="C136">
        <v>110343.96402839191</v>
      </c>
      <c r="D136">
        <v>85923.042939145656</v>
      </c>
      <c r="E136">
        <v>87988.617830705509</v>
      </c>
      <c r="F136">
        <v>42091.519695971918</v>
      </c>
      <c r="G136">
        <v>10000</v>
      </c>
      <c r="H136">
        <v>316347.14449421497</v>
      </c>
      <c r="I136">
        <v>35.526924514249373</v>
      </c>
    </row>
    <row r="137" spans="1:9" x14ac:dyDescent="0.2">
      <c r="A137">
        <v>132</v>
      </c>
      <c r="B137">
        <v>1677955.4482804639</v>
      </c>
      <c r="C137">
        <v>113650.23765967335</v>
      </c>
      <c r="D137">
        <v>138701.34511390733</v>
      </c>
      <c r="E137">
        <v>171567.70887634865</v>
      </c>
      <c r="F137">
        <v>47877.764460670296</v>
      </c>
      <c r="G137">
        <v>10000</v>
      </c>
      <c r="H137">
        <v>461797.05611059966</v>
      </c>
      <c r="I137">
        <v>28.235453662608613</v>
      </c>
    </row>
    <row r="138" spans="1:9" x14ac:dyDescent="0.2">
      <c r="A138">
        <v>133</v>
      </c>
      <c r="B138">
        <v>1535612.0973101209</v>
      </c>
      <c r="C138">
        <v>142284.84581016298</v>
      </c>
      <c r="D138">
        <v>95392.304502581828</v>
      </c>
      <c r="E138">
        <v>148806.83426362014</v>
      </c>
      <c r="F138">
        <v>46302.011602866005</v>
      </c>
      <c r="G138">
        <v>10000</v>
      </c>
      <c r="H138">
        <v>422785.99617923098</v>
      </c>
      <c r="I138">
        <v>31.674604731194329</v>
      </c>
    </row>
    <row r="139" spans="1:9" x14ac:dyDescent="0.2">
      <c r="A139">
        <v>134</v>
      </c>
      <c r="B139">
        <v>1615287.0408485788</v>
      </c>
      <c r="C139">
        <v>114745.44002045569</v>
      </c>
      <c r="D139">
        <v>131039.70988081749</v>
      </c>
      <c r="E139">
        <v>161645.93576448312</v>
      </c>
      <c r="F139">
        <v>47190.872476002674</v>
      </c>
      <c r="G139">
        <v>10000</v>
      </c>
      <c r="H139">
        <v>444621.95814175898</v>
      </c>
      <c r="I139">
        <v>35.960782597860067</v>
      </c>
    </row>
    <row r="140" spans="1:9" x14ac:dyDescent="0.2">
      <c r="A140">
        <v>135</v>
      </c>
      <c r="B140">
        <v>949665.808336952</v>
      </c>
      <c r="C140">
        <v>120164.4545167663</v>
      </c>
      <c r="D140">
        <v>31367.330480642911</v>
      </c>
      <c r="E140">
        <v>79185.85738483294</v>
      </c>
      <c r="F140">
        <v>41482.097818949973</v>
      </c>
      <c r="G140">
        <v>10000</v>
      </c>
      <c r="H140">
        <v>262199.74020119209</v>
      </c>
      <c r="I140">
        <v>34.735432947296459</v>
      </c>
    </row>
    <row r="141" spans="1:9" x14ac:dyDescent="0.2">
      <c r="A141">
        <v>136</v>
      </c>
      <c r="B141">
        <v>1227572.1905964795</v>
      </c>
      <c r="C141">
        <v>114981.35235412224</v>
      </c>
      <c r="D141">
        <v>100120.51948123281</v>
      </c>
      <c r="E141">
        <v>90964.22923977251</v>
      </c>
      <c r="F141">
        <v>42297.523562753478</v>
      </c>
      <c r="G141">
        <v>10000</v>
      </c>
      <c r="H141">
        <v>338363.62463788106</v>
      </c>
      <c r="I141">
        <v>29.780491764839581</v>
      </c>
    </row>
    <row r="142" spans="1:9" x14ac:dyDescent="0.2">
      <c r="A142">
        <v>137</v>
      </c>
      <c r="B142">
        <v>1430126.7829029982</v>
      </c>
      <c r="C142">
        <v>113526.78479369286</v>
      </c>
      <c r="D142">
        <v>61354.23096505057</v>
      </c>
      <c r="E142">
        <v>180499.2465401204</v>
      </c>
      <c r="F142">
        <v>48496.101683546804</v>
      </c>
      <c r="G142">
        <v>10000</v>
      </c>
      <c r="H142">
        <v>393876.36398241064</v>
      </c>
      <c r="I142">
        <v>35.264628122930205</v>
      </c>
    </row>
    <row r="143" spans="1:9" x14ac:dyDescent="0.2">
      <c r="A143">
        <v>138</v>
      </c>
      <c r="B143">
        <v>961215.42905296478</v>
      </c>
      <c r="C143">
        <v>87517.712864021974</v>
      </c>
      <c r="D143">
        <v>58302.033210204325</v>
      </c>
      <c r="E143">
        <v>87488.427819383913</v>
      </c>
      <c r="F143">
        <v>42056.891156726582</v>
      </c>
      <c r="G143">
        <v>10000</v>
      </c>
      <c r="H143">
        <v>265365.06505033682</v>
      </c>
      <c r="I143">
        <v>46.529795289573968</v>
      </c>
    </row>
    <row r="144" spans="1:9" x14ac:dyDescent="0.2">
      <c r="A144">
        <v>139</v>
      </c>
      <c r="B144">
        <v>1043753.6415549186</v>
      </c>
      <c r="C144">
        <v>118091.70523678832</v>
      </c>
      <c r="D144">
        <v>96082.792987958732</v>
      </c>
      <c r="E144">
        <v>44715.553022079039</v>
      </c>
      <c r="F144">
        <v>39095.69213229778</v>
      </c>
      <c r="G144">
        <v>10000</v>
      </c>
      <c r="H144">
        <v>287985.74337912386</v>
      </c>
      <c r="I144">
        <v>26.46368880315466</v>
      </c>
    </row>
    <row r="145" spans="1:9" x14ac:dyDescent="0.2">
      <c r="A145">
        <v>140</v>
      </c>
      <c r="B145">
        <v>1217519.1187366277</v>
      </c>
      <c r="C145">
        <v>167733.30986608719</v>
      </c>
      <c r="D145">
        <v>86837.719288759501</v>
      </c>
      <c r="E145">
        <v>51473.84553032933</v>
      </c>
      <c r="F145">
        <v>39563.573921330491</v>
      </c>
      <c r="G145">
        <v>10000</v>
      </c>
      <c r="H145">
        <v>335608.44860650651</v>
      </c>
      <c r="I145">
        <v>31.319443230834136</v>
      </c>
    </row>
    <row r="146" spans="1:9" x14ac:dyDescent="0.2">
      <c r="A146">
        <v>141</v>
      </c>
      <c r="B146">
        <v>1420678.5742961429</v>
      </c>
      <c r="C146">
        <v>127428.11692316075</v>
      </c>
      <c r="D146">
        <v>144348.0524528524</v>
      </c>
      <c r="E146">
        <v>87456.133852250074</v>
      </c>
      <c r="F146">
        <v>42054.655420540388</v>
      </c>
      <c r="G146">
        <v>10000</v>
      </c>
      <c r="H146">
        <v>391286.95864880359</v>
      </c>
      <c r="I146">
        <v>30.450881069758353</v>
      </c>
    </row>
    <row r="147" spans="1:9" x14ac:dyDescent="0.2">
      <c r="A147">
        <v>142</v>
      </c>
      <c r="B147">
        <v>989195.56446469377</v>
      </c>
      <c r="C147">
        <v>103844.79355260514</v>
      </c>
      <c r="D147">
        <v>45764.183722372363</v>
      </c>
      <c r="E147">
        <v>91116.355055101638</v>
      </c>
      <c r="F147">
        <v>42308.055349968578</v>
      </c>
      <c r="G147">
        <v>10000</v>
      </c>
      <c r="H147">
        <v>273033.38768004777</v>
      </c>
      <c r="I147">
        <v>31.248242555711311</v>
      </c>
    </row>
    <row r="148" spans="1:9" x14ac:dyDescent="0.2">
      <c r="A148">
        <v>143</v>
      </c>
      <c r="B148">
        <v>1450271.2651930035</v>
      </c>
      <c r="C148">
        <v>118285.92097848018</v>
      </c>
      <c r="D148">
        <v>127410.74506373343</v>
      </c>
      <c r="E148">
        <v>119432.17578953206</v>
      </c>
      <c r="F148">
        <v>44268.381400813756</v>
      </c>
      <c r="G148">
        <v>10000</v>
      </c>
      <c r="H148">
        <v>399397.22323255945</v>
      </c>
      <c r="I148">
        <v>36.804780299223182</v>
      </c>
    </row>
    <row r="149" spans="1:9" x14ac:dyDescent="0.2">
      <c r="A149">
        <v>144</v>
      </c>
      <c r="B149">
        <v>1439685.3026956839</v>
      </c>
      <c r="C149">
        <v>100806.47188247215</v>
      </c>
      <c r="D149">
        <v>71279.717943054347</v>
      </c>
      <c r="E149">
        <v>185563.13325953754</v>
      </c>
      <c r="F149">
        <v>48846.678456429516</v>
      </c>
      <c r="G149">
        <v>10000</v>
      </c>
      <c r="H149">
        <v>396496.00154149358</v>
      </c>
      <c r="I149">
        <v>35.125030393833804</v>
      </c>
    </row>
    <row r="150" spans="1:9" x14ac:dyDescent="0.2">
      <c r="A150">
        <v>145</v>
      </c>
      <c r="B150">
        <v>1324624.946960181</v>
      </c>
      <c r="C150">
        <v>115714.51827603225</v>
      </c>
      <c r="D150">
        <v>66026.142992101959</v>
      </c>
      <c r="E150">
        <v>147041.73046505902</v>
      </c>
      <c r="F150">
        <v>46179.812109119477</v>
      </c>
      <c r="G150">
        <v>10000</v>
      </c>
      <c r="H150">
        <v>364962.20384231268</v>
      </c>
      <c r="I150">
        <v>38.889862869617829</v>
      </c>
    </row>
    <row r="151" spans="1:9" x14ac:dyDescent="0.2">
      <c r="A151">
        <v>146</v>
      </c>
      <c r="B151">
        <v>1264458.3229878973</v>
      </c>
      <c r="C151">
        <v>132370.26693532354</v>
      </c>
      <c r="D151">
        <v>55755.533152136115</v>
      </c>
      <c r="E151">
        <v>125648.22878355379</v>
      </c>
      <c r="F151">
        <v>44698.723531169111</v>
      </c>
      <c r="G151">
        <v>10000</v>
      </c>
      <c r="H151">
        <v>348472.75240218255</v>
      </c>
      <c r="I151">
        <v>42.145678505298875</v>
      </c>
    </row>
    <row r="152" spans="1:9" x14ac:dyDescent="0.2">
      <c r="A152">
        <v>147</v>
      </c>
      <c r="B152">
        <v>1161230.7165458545</v>
      </c>
      <c r="C152">
        <v>113048.86243370964</v>
      </c>
      <c r="D152">
        <v>150124.82484211648</v>
      </c>
      <c r="E152">
        <v>29000.463009555311</v>
      </c>
      <c r="F152">
        <v>38007.724362199981</v>
      </c>
      <c r="G152">
        <v>10000</v>
      </c>
      <c r="H152">
        <v>320181.87464758137</v>
      </c>
      <c r="I152">
        <v>38.3122226263866</v>
      </c>
    </row>
    <row r="153" spans="1:9" x14ac:dyDescent="0.2">
      <c r="A153">
        <v>148</v>
      </c>
      <c r="B153">
        <v>1088419.0679645378</v>
      </c>
      <c r="C153">
        <v>122485.21792458487</v>
      </c>
      <c r="D153">
        <v>59835.131054295256</v>
      </c>
      <c r="E153">
        <v>85955.75645437339</v>
      </c>
      <c r="F153">
        <v>41950.783139148924</v>
      </c>
      <c r="G153">
        <v>10000</v>
      </c>
      <c r="H153">
        <v>300226.88857240241</v>
      </c>
      <c r="I153">
        <v>27.874362616233867</v>
      </c>
    </row>
    <row r="154" spans="1:9" x14ac:dyDescent="0.2">
      <c r="A154">
        <v>149</v>
      </c>
      <c r="B154">
        <v>1712176.7345736832</v>
      </c>
      <c r="C154">
        <v>144317.13447732796</v>
      </c>
      <c r="D154">
        <v>89446.567752692325</v>
      </c>
      <c r="E154">
        <v>197723.58946998123</v>
      </c>
      <c r="F154">
        <v>49688.556194075623</v>
      </c>
      <c r="G154">
        <v>10000</v>
      </c>
      <c r="H154">
        <v>471175.84789407713</v>
      </c>
      <c r="I154">
        <v>41.05422491445529</v>
      </c>
    </row>
    <row r="155" spans="1:9" x14ac:dyDescent="0.2">
      <c r="A155">
        <v>150</v>
      </c>
      <c r="B155">
        <v>1570671.0947573427</v>
      </c>
      <c r="C155">
        <v>107221.3726763157</v>
      </c>
      <c r="D155">
        <v>104282.50632337699</v>
      </c>
      <c r="E155">
        <v>182271.68567025714</v>
      </c>
      <c r="F155">
        <v>48618.809007940879</v>
      </c>
      <c r="G155">
        <v>10000</v>
      </c>
      <c r="H155">
        <v>432394.37367789069</v>
      </c>
      <c r="I155">
        <v>41.74991591358657</v>
      </c>
    </row>
    <row r="156" spans="1:9" x14ac:dyDescent="0.2">
      <c r="A156">
        <v>151</v>
      </c>
      <c r="B156">
        <v>705896.52073210513</v>
      </c>
      <c r="C156">
        <v>78912.465948639117</v>
      </c>
      <c r="D156">
        <v>35192.110107384418</v>
      </c>
      <c r="E156">
        <v>51707.264008441365</v>
      </c>
      <c r="F156">
        <v>39579.733662122861</v>
      </c>
      <c r="G156">
        <v>10000</v>
      </c>
      <c r="H156">
        <v>195391.57372658775</v>
      </c>
      <c r="I156">
        <v>31.542127996119238</v>
      </c>
    </row>
    <row r="157" spans="1:9" x14ac:dyDescent="0.2">
      <c r="A157">
        <v>152</v>
      </c>
      <c r="B157">
        <v>1464049.5077584693</v>
      </c>
      <c r="C157">
        <v>93618.57652235101</v>
      </c>
      <c r="D157">
        <v>104754.8756694987</v>
      </c>
      <c r="E157">
        <v>167222.90832474947</v>
      </c>
      <c r="F157">
        <v>47576.970576328808</v>
      </c>
      <c r="G157">
        <v>10000</v>
      </c>
      <c r="H157">
        <v>403173.33109292795</v>
      </c>
      <c r="I157">
        <v>32.446530584682179</v>
      </c>
    </row>
    <row r="158" spans="1:9" x14ac:dyDescent="0.2">
      <c r="A158">
        <v>153</v>
      </c>
      <c r="B158">
        <v>964075.23742441414</v>
      </c>
      <c r="C158">
        <v>80572.292895242819</v>
      </c>
      <c r="D158">
        <v>82211.031533979331</v>
      </c>
      <c r="E158">
        <v>72356.231033690288</v>
      </c>
      <c r="F158">
        <v>41009.277533101638</v>
      </c>
      <c r="G158">
        <v>10000</v>
      </c>
      <c r="H158">
        <v>266148.83299601404</v>
      </c>
      <c r="I158">
        <v>47.008950044310495</v>
      </c>
    </row>
    <row r="159" spans="1:9" x14ac:dyDescent="0.2">
      <c r="A159">
        <v>154</v>
      </c>
      <c r="B159">
        <v>1491757.7444610125</v>
      </c>
      <c r="C159">
        <v>129272.55050189808</v>
      </c>
      <c r="D159">
        <v>66130.632129073972</v>
      </c>
      <c r="E159">
        <v>177102.97827003751</v>
      </c>
      <c r="F159">
        <v>48260.975418694899</v>
      </c>
      <c r="G159">
        <v>10000</v>
      </c>
      <c r="H159">
        <v>410767.13631970447</v>
      </c>
      <c r="I159">
        <v>28.405303569767256</v>
      </c>
    </row>
    <row r="160" spans="1:9" x14ac:dyDescent="0.2">
      <c r="A160">
        <v>155</v>
      </c>
      <c r="B160">
        <v>1416761.9097744299</v>
      </c>
      <c r="C160">
        <v>116695.64708376159</v>
      </c>
      <c r="D160">
        <v>74893.211858680108</v>
      </c>
      <c r="E160">
        <v>161447.54851454741</v>
      </c>
      <c r="F160">
        <v>47177.137974084049</v>
      </c>
      <c r="G160">
        <v>10000</v>
      </c>
      <c r="H160">
        <v>390213.54543107317</v>
      </c>
      <c r="I160">
        <v>27.077703046525507</v>
      </c>
    </row>
    <row r="161" spans="1:9" x14ac:dyDescent="0.2">
      <c r="A161">
        <v>156</v>
      </c>
      <c r="B161">
        <v>1078710.3926419753</v>
      </c>
      <c r="C161">
        <v>101583.22638460813</v>
      </c>
      <c r="D161">
        <v>98577.734040823401</v>
      </c>
      <c r="E161">
        <v>66781.784206756274</v>
      </c>
      <c r="F161">
        <v>40623.354291236974</v>
      </c>
      <c r="G161">
        <v>10000</v>
      </c>
      <c r="H161">
        <v>297566.09892342478</v>
      </c>
      <c r="I161">
        <v>33.613454288564313</v>
      </c>
    </row>
    <row r="162" spans="1:9" x14ac:dyDescent="0.2">
      <c r="A162">
        <v>157</v>
      </c>
      <c r="B162">
        <v>1182038.7354494957</v>
      </c>
      <c r="C162">
        <v>92826.172822757639</v>
      </c>
      <c r="D162">
        <v>86944.30521406878</v>
      </c>
      <c r="E162">
        <v>112336.93438147819</v>
      </c>
      <c r="F162">
        <v>43777.172380256176</v>
      </c>
      <c r="G162">
        <v>10000</v>
      </c>
      <c r="H162">
        <v>325884.58479856077</v>
      </c>
      <c r="I162">
        <v>35.379192855587362</v>
      </c>
    </row>
    <row r="163" spans="1:9" x14ac:dyDescent="0.2">
      <c r="A163">
        <v>158</v>
      </c>
      <c r="B163">
        <v>1427844.1206494938</v>
      </c>
      <c r="C163">
        <v>128555.48721045599</v>
      </c>
      <c r="D163">
        <v>64857.624187415262</v>
      </c>
      <c r="E163">
        <v>162581.98332410213</v>
      </c>
      <c r="F163">
        <v>47255.675768591689</v>
      </c>
      <c r="G163">
        <v>10000</v>
      </c>
      <c r="H163">
        <v>393250.7704905651</v>
      </c>
      <c r="I163">
        <v>35.927579758146067</v>
      </c>
    </row>
    <row r="164" spans="1:9" x14ac:dyDescent="0.2">
      <c r="A164">
        <v>159</v>
      </c>
      <c r="B164">
        <v>1623669.7026910069</v>
      </c>
      <c r="C164">
        <v>111068.33614677374</v>
      </c>
      <c r="D164">
        <v>133954.18840228472</v>
      </c>
      <c r="E164">
        <v>164507.80966969972</v>
      </c>
      <c r="F164">
        <v>47389.002207902289</v>
      </c>
      <c r="G164">
        <v>10000</v>
      </c>
      <c r="H164">
        <v>446919.33642666042</v>
      </c>
      <c r="I164">
        <v>28.434921335501603</v>
      </c>
    </row>
    <row r="165" spans="1:9" x14ac:dyDescent="0.2">
      <c r="A165">
        <v>160</v>
      </c>
      <c r="B165">
        <v>1571241.527393938</v>
      </c>
      <c r="C165">
        <v>115321.7175521999</v>
      </c>
      <c r="D165">
        <v>84695.461966550909</v>
      </c>
      <c r="E165">
        <v>193160.85417561547</v>
      </c>
      <c r="F165">
        <v>49372.674519850305</v>
      </c>
      <c r="G165">
        <v>10000</v>
      </c>
      <c r="H165">
        <v>432550.70821421657</v>
      </c>
      <c r="I165">
        <v>26.100712564241526</v>
      </c>
    </row>
    <row r="166" spans="1:9" x14ac:dyDescent="0.2">
      <c r="A166">
        <v>161</v>
      </c>
      <c r="B166">
        <v>1293030.1650403305</v>
      </c>
      <c r="C166">
        <v>95157.063475930467</v>
      </c>
      <c r="D166">
        <v>62452.022127346696</v>
      </c>
      <c r="E166">
        <v>161512.51848904724</v>
      </c>
      <c r="F166">
        <v>47181.635895395579</v>
      </c>
      <c r="G166">
        <v>10000</v>
      </c>
      <c r="H166">
        <v>356303.23998771998</v>
      </c>
      <c r="I166">
        <v>39.070966225650956</v>
      </c>
    </row>
    <row r="167" spans="1:9" x14ac:dyDescent="0.2">
      <c r="A167">
        <v>162</v>
      </c>
      <c r="B167">
        <v>947057.99189229682</v>
      </c>
      <c r="C167">
        <v>105194.16215832125</v>
      </c>
      <c r="D167">
        <v>86492.385903226808</v>
      </c>
      <c r="E167">
        <v>40962.612695790383</v>
      </c>
      <c r="F167">
        <v>38835.873186631645</v>
      </c>
      <c r="G167">
        <v>10000</v>
      </c>
      <c r="H167">
        <v>261485.03394397011</v>
      </c>
      <c r="I167">
        <v>28.198948338934848</v>
      </c>
    </row>
    <row r="168" spans="1:9" x14ac:dyDescent="0.2">
      <c r="A168">
        <v>163</v>
      </c>
      <c r="B168">
        <v>1393007.5839289394</v>
      </c>
      <c r="C168">
        <v>128768.81153512826</v>
      </c>
      <c r="D168">
        <v>134420.79783792191</v>
      </c>
      <c r="E168">
        <v>88394.156448633832</v>
      </c>
      <c r="F168">
        <v>42119.595446443876</v>
      </c>
      <c r="G168">
        <v>10000</v>
      </c>
      <c r="H168">
        <v>383703.36126812786</v>
      </c>
      <c r="I168">
        <v>31.403308982160741</v>
      </c>
    </row>
    <row r="169" spans="1:9" x14ac:dyDescent="0.2">
      <c r="A169">
        <v>164</v>
      </c>
      <c r="B169">
        <v>1533352.50283348</v>
      </c>
      <c r="C169">
        <v>113004.56481425455</v>
      </c>
      <c r="D169">
        <v>152957.52653143942</v>
      </c>
      <c r="E169">
        <v>121774.11753852255</v>
      </c>
      <c r="F169">
        <v>44430.515829590026</v>
      </c>
      <c r="G169">
        <v>10000</v>
      </c>
      <c r="H169">
        <v>422166.72471380653</v>
      </c>
      <c r="I169">
        <v>29.870977135432646</v>
      </c>
    </row>
    <row r="170" spans="1:9" x14ac:dyDescent="0.2">
      <c r="A170">
        <v>165</v>
      </c>
      <c r="B170">
        <v>914204.10667328746</v>
      </c>
      <c r="C170">
        <v>108912.72273193358</v>
      </c>
      <c r="D170">
        <v>34844.612839643254</v>
      </c>
      <c r="E170">
        <v>77367.45251430654</v>
      </c>
      <c r="F170">
        <v>41356.20825099045</v>
      </c>
      <c r="G170">
        <v>10000</v>
      </c>
      <c r="H170">
        <v>252480.9963368738</v>
      </c>
      <c r="I170">
        <v>31.804377551459844</v>
      </c>
    </row>
    <row r="171" spans="1:9" x14ac:dyDescent="0.2">
      <c r="A171">
        <v>166</v>
      </c>
      <c r="B171">
        <v>1451289.1744107823</v>
      </c>
      <c r="C171">
        <v>152375.49986174656</v>
      </c>
      <c r="D171">
        <v>43951.774564208055</v>
      </c>
      <c r="E171">
        <v>165865.89655404529</v>
      </c>
      <c r="F171">
        <v>47483.023607587747</v>
      </c>
      <c r="G171">
        <v>10000</v>
      </c>
      <c r="H171">
        <v>399676.19458758767</v>
      </c>
      <c r="I171">
        <v>25.372439537464338</v>
      </c>
    </row>
    <row r="172" spans="1:9" x14ac:dyDescent="0.2">
      <c r="A172">
        <v>167</v>
      </c>
      <c r="B172">
        <v>1161574.252350955</v>
      </c>
      <c r="C172">
        <v>103200.00250153178</v>
      </c>
      <c r="D172">
        <v>80143.962958002841</v>
      </c>
      <c r="E172">
        <v>103749.40832961586</v>
      </c>
      <c r="F172">
        <v>43182.651345896484</v>
      </c>
      <c r="G172">
        <v>10000</v>
      </c>
      <c r="H172">
        <v>320276.02513504698</v>
      </c>
      <c r="I172">
        <v>36.273731978428998</v>
      </c>
    </row>
    <row r="173" spans="1:9" x14ac:dyDescent="0.2">
      <c r="A173">
        <v>168</v>
      </c>
      <c r="B173">
        <v>1716473.9879990714</v>
      </c>
      <c r="C173">
        <v>130181.92885313128</v>
      </c>
      <c r="D173">
        <v>94316.35764324879</v>
      </c>
      <c r="E173">
        <v>207490.54963086697</v>
      </c>
      <c r="F173">
        <v>50364.73035906002</v>
      </c>
      <c r="G173">
        <v>10000</v>
      </c>
      <c r="H173">
        <v>472353.56648630707</v>
      </c>
      <c r="I173">
        <v>27.213757788718127</v>
      </c>
    </row>
    <row r="174" spans="1:9" x14ac:dyDescent="0.2">
      <c r="A174">
        <v>169</v>
      </c>
      <c r="B174">
        <v>1110597.9688705907</v>
      </c>
      <c r="C174">
        <v>118312.8321579819</v>
      </c>
      <c r="D174">
        <v>98690.190893567677</v>
      </c>
      <c r="E174">
        <v>59203.574816431865</v>
      </c>
      <c r="F174">
        <v>40098.709025752978</v>
      </c>
      <c r="G174">
        <v>10000</v>
      </c>
      <c r="H174">
        <v>306305.30689373438</v>
      </c>
      <c r="I174">
        <v>30.054617317412507</v>
      </c>
    </row>
    <row r="175" spans="1:9" x14ac:dyDescent="0.2">
      <c r="A175">
        <v>170</v>
      </c>
      <c r="B175">
        <v>1085947.0495821633</v>
      </c>
      <c r="C175">
        <v>78165.768100296409</v>
      </c>
      <c r="D175">
        <v>64973.623942391576</v>
      </c>
      <c r="E175">
        <v>121966.1940743998</v>
      </c>
      <c r="F175">
        <v>44443.813435919983</v>
      </c>
      <c r="G175">
        <v>10000</v>
      </c>
      <c r="H175">
        <v>299549.39955300774</v>
      </c>
      <c r="I175">
        <v>35.408801900077293</v>
      </c>
    </row>
    <row r="176" spans="1:9" x14ac:dyDescent="0.2">
      <c r="A176">
        <v>171</v>
      </c>
      <c r="B176">
        <v>1203119.0162116927</v>
      </c>
      <c r="C176">
        <v>112117.01291143647</v>
      </c>
      <c r="D176">
        <v>69919.386670455206</v>
      </c>
      <c r="E176">
        <v>115620.98272327501</v>
      </c>
      <c r="F176">
        <v>44004.529573149812</v>
      </c>
      <c r="G176">
        <v>10000</v>
      </c>
      <c r="H176">
        <v>331661.91187831649</v>
      </c>
      <c r="I176">
        <v>30.651210182085741</v>
      </c>
    </row>
    <row r="177" spans="1:9" x14ac:dyDescent="0.2">
      <c r="A177">
        <v>172</v>
      </c>
      <c r="B177">
        <v>1555394.0649240238</v>
      </c>
      <c r="C177">
        <v>112191.23049188018</v>
      </c>
      <c r="D177">
        <v>122934.15581918949</v>
      </c>
      <c r="E177">
        <v>156263.85063987592</v>
      </c>
      <c r="F177">
        <v>46818.26658276064</v>
      </c>
      <c r="G177">
        <v>10000</v>
      </c>
      <c r="H177">
        <v>428207.50353370619</v>
      </c>
      <c r="I177">
        <v>34.266801861324247</v>
      </c>
    </row>
    <row r="178" spans="1:9" x14ac:dyDescent="0.2">
      <c r="A178">
        <v>173</v>
      </c>
      <c r="B178">
        <v>1649650.4372335644</v>
      </c>
      <c r="C178">
        <v>100311.83063021439</v>
      </c>
      <c r="D178">
        <v>115072.71687931541</v>
      </c>
      <c r="E178">
        <v>198886.11108796185</v>
      </c>
      <c r="F178">
        <v>49769.038459935815</v>
      </c>
      <c r="G178">
        <v>10000</v>
      </c>
      <c r="H178">
        <v>454039.69705742749</v>
      </c>
      <c r="I178">
        <v>35.940834922121745</v>
      </c>
    </row>
    <row r="179" spans="1:9" x14ac:dyDescent="0.2">
      <c r="A179">
        <v>174</v>
      </c>
      <c r="B179">
        <v>989176.3285145089</v>
      </c>
      <c r="C179">
        <v>100280.3721150796</v>
      </c>
      <c r="D179">
        <v>69596.779055580715</v>
      </c>
      <c r="E179">
        <v>72155.57844520887</v>
      </c>
      <c r="F179">
        <v>40995.386200052919</v>
      </c>
      <c r="G179">
        <v>10000</v>
      </c>
      <c r="H179">
        <v>273028.11581592215</v>
      </c>
      <c r="I179">
        <v>35.48903963450126</v>
      </c>
    </row>
    <row r="180" spans="1:9" x14ac:dyDescent="0.2">
      <c r="A180">
        <v>175</v>
      </c>
      <c r="B180">
        <v>1233466.1736177744</v>
      </c>
      <c r="C180">
        <v>110887.96720793234</v>
      </c>
      <c r="D180">
        <v>114361.41878928078</v>
      </c>
      <c r="E180">
        <v>82984.482347554353</v>
      </c>
      <c r="F180">
        <v>41745.079547138375</v>
      </c>
      <c r="G180">
        <v>10000</v>
      </c>
      <c r="H180">
        <v>339978.94789190585</v>
      </c>
      <c r="I180">
        <v>44.269066378055996</v>
      </c>
    </row>
    <row r="181" spans="1:9" x14ac:dyDescent="0.2">
      <c r="A181">
        <v>176</v>
      </c>
      <c r="B181">
        <v>1201657.7717084838</v>
      </c>
      <c r="C181">
        <v>122619.69230034717</v>
      </c>
      <c r="D181">
        <v>125295.1074618081</v>
      </c>
      <c r="E181">
        <v>53633.547190225785</v>
      </c>
      <c r="F181">
        <v>39713.091728554085</v>
      </c>
      <c r="G181">
        <v>10000</v>
      </c>
      <c r="H181">
        <v>331261.43868093519</v>
      </c>
      <c r="I181">
        <v>36.948587851094771</v>
      </c>
    </row>
    <row r="182" spans="1:9" x14ac:dyDescent="0.2">
      <c r="A182">
        <v>177</v>
      </c>
      <c r="B182">
        <v>1673924.4065909502</v>
      </c>
      <c r="C182">
        <v>121186.06987543195</v>
      </c>
      <c r="D182">
        <v>164155.06273485886</v>
      </c>
      <c r="E182">
        <v>139680.94448771694</v>
      </c>
      <c r="F182">
        <v>45670.219233765019</v>
      </c>
      <c r="G182">
        <v>10000</v>
      </c>
      <c r="H182">
        <v>460692.29633177276</v>
      </c>
      <c r="I182">
        <v>33.330790214758807</v>
      </c>
    </row>
    <row r="183" spans="1:9" x14ac:dyDescent="0.2">
      <c r="A183">
        <v>178</v>
      </c>
      <c r="B183">
        <v>1201759.996299929</v>
      </c>
      <c r="C183">
        <v>153438.77081718636</v>
      </c>
      <c r="D183">
        <v>78587.767270616081</v>
      </c>
      <c r="E183">
        <v>68519.274500672909</v>
      </c>
      <c r="F183">
        <v>40743.642080815822</v>
      </c>
      <c r="G183">
        <v>10000</v>
      </c>
      <c r="H183">
        <v>331289.45466929115</v>
      </c>
      <c r="I183">
        <v>27.979603857726751</v>
      </c>
    </row>
    <row r="184" spans="1:9" x14ac:dyDescent="0.2">
      <c r="A184">
        <v>179</v>
      </c>
      <c r="B184">
        <v>1211853.6027821214</v>
      </c>
      <c r="C184">
        <v>90115.405599021775</v>
      </c>
      <c r="D184">
        <v>46901.899297237309</v>
      </c>
      <c r="E184">
        <v>159964.00381526939</v>
      </c>
      <c r="F184">
        <v>47074.43103336481</v>
      </c>
      <c r="G184">
        <v>10000</v>
      </c>
      <c r="H184">
        <v>334055.73974489328</v>
      </c>
      <c r="I184">
        <v>32.910538330053157</v>
      </c>
    </row>
    <row r="185" spans="1:9" x14ac:dyDescent="0.2">
      <c r="A185">
        <v>180</v>
      </c>
      <c r="B185">
        <v>1594632.8387838316</v>
      </c>
      <c r="C185">
        <v>93263.306942986601</v>
      </c>
      <c r="D185">
        <v>118110.50372624699</v>
      </c>
      <c r="E185">
        <v>188535.15877228687</v>
      </c>
      <c r="F185">
        <v>49052.434068850627</v>
      </c>
      <c r="G185">
        <v>10000</v>
      </c>
      <c r="H185">
        <v>438961.40351037111</v>
      </c>
      <c r="I185">
        <v>36.043145987079875</v>
      </c>
    </row>
    <row r="186" spans="1:9" x14ac:dyDescent="0.2">
      <c r="A186">
        <v>181</v>
      </c>
      <c r="B186">
        <v>1039242.7218039874</v>
      </c>
      <c r="C186">
        <v>81612.820679385055</v>
      </c>
      <c r="D186">
        <v>65858.482389272758</v>
      </c>
      <c r="E186">
        <v>105943.60630337746</v>
      </c>
      <c r="F186">
        <v>43334.557359464598</v>
      </c>
      <c r="G186">
        <v>10000</v>
      </c>
      <c r="H186">
        <v>286749.46673149988</v>
      </c>
      <c r="I186">
        <v>36.595411833030411</v>
      </c>
    </row>
    <row r="187" spans="1:9" x14ac:dyDescent="0.2">
      <c r="A187">
        <v>182</v>
      </c>
      <c r="B187">
        <v>1830562.7783593738</v>
      </c>
      <c r="C187">
        <v>120468.4783547922</v>
      </c>
      <c r="D187">
        <v>140559.72251438178</v>
      </c>
      <c r="E187">
        <v>202568.8928258568</v>
      </c>
      <c r="F187">
        <v>50024.000272559315</v>
      </c>
      <c r="G187">
        <v>10000</v>
      </c>
      <c r="H187">
        <v>503621.09396759007</v>
      </c>
      <c r="I187">
        <v>38.642231024792707</v>
      </c>
    </row>
    <row r="188" spans="1:9" x14ac:dyDescent="0.2">
      <c r="A188">
        <v>183</v>
      </c>
      <c r="B188">
        <v>1357507.9923350785</v>
      </c>
      <c r="C188">
        <v>96797.080613707265</v>
      </c>
      <c r="D188">
        <v>99562.224322139038</v>
      </c>
      <c r="E188">
        <v>141798.13432168341</v>
      </c>
      <c r="F188">
        <v>45816.793914578084</v>
      </c>
      <c r="G188">
        <v>10000</v>
      </c>
      <c r="H188">
        <v>373974.23317210778</v>
      </c>
      <c r="I188">
        <v>44.833237227128436</v>
      </c>
    </row>
    <row r="189" spans="1:9" x14ac:dyDescent="0.2">
      <c r="A189">
        <v>184</v>
      </c>
      <c r="B189">
        <v>1422598.8140327909</v>
      </c>
      <c r="C189">
        <v>128452.20042257088</v>
      </c>
      <c r="D189">
        <v>76333.704426713593</v>
      </c>
      <c r="E189">
        <v>150601.09125833208</v>
      </c>
      <c r="F189">
        <v>46426.229394807604</v>
      </c>
      <c r="G189">
        <v>10000</v>
      </c>
      <c r="H189">
        <v>391813.22550242417</v>
      </c>
      <c r="I189">
        <v>43.861092052558163</v>
      </c>
    </row>
    <row r="190" spans="1:9" x14ac:dyDescent="0.2">
      <c r="A190">
        <v>185</v>
      </c>
      <c r="B190">
        <v>1319862.5012086397</v>
      </c>
      <c r="C190">
        <v>112137.74134514047</v>
      </c>
      <c r="D190">
        <v>84092.690566553429</v>
      </c>
      <c r="E190">
        <v>132269.44580865308</v>
      </c>
      <c r="F190">
        <v>45157.115479060602</v>
      </c>
      <c r="G190">
        <v>10000</v>
      </c>
      <c r="H190">
        <v>363656.99319940759</v>
      </c>
      <c r="I190">
        <v>24.580870209694211</v>
      </c>
    </row>
    <row r="191" spans="1:9" x14ac:dyDescent="0.2">
      <c r="A191">
        <v>186</v>
      </c>
      <c r="B191">
        <v>1275182.7102396702</v>
      </c>
      <c r="C191">
        <v>101000.17600722675</v>
      </c>
      <c r="D191">
        <v>65008.98131099061</v>
      </c>
      <c r="E191">
        <v>149081.71227333296</v>
      </c>
      <c r="F191">
        <v>46321.041618923045</v>
      </c>
      <c r="G191">
        <v>10000</v>
      </c>
      <c r="H191">
        <v>351411.91121047339</v>
      </c>
      <c r="I191">
        <v>27.822636464796641</v>
      </c>
    </row>
    <row r="192" spans="1:9" x14ac:dyDescent="0.2">
      <c r="A192">
        <v>187</v>
      </c>
      <c r="B192">
        <v>1361609.0120405974</v>
      </c>
      <c r="C192">
        <v>131112.07210992969</v>
      </c>
      <c r="D192">
        <v>37009.42004796509</v>
      </c>
      <c r="E192">
        <v>169258.76470538534</v>
      </c>
      <c r="F192">
        <v>47717.914479603598</v>
      </c>
      <c r="G192">
        <v>10000</v>
      </c>
      <c r="H192">
        <v>375098.17134288367</v>
      </c>
      <c r="I192">
        <v>34.661269589964789</v>
      </c>
    </row>
    <row r="193" spans="1:9" x14ac:dyDescent="0.2">
      <c r="A193">
        <v>188</v>
      </c>
      <c r="B193">
        <v>1579838.30833344</v>
      </c>
      <c r="C193">
        <v>107273.63700497017</v>
      </c>
      <c r="D193">
        <v>119133.0629255175</v>
      </c>
      <c r="E193">
        <v>170683.51750042531</v>
      </c>
      <c r="F193">
        <v>47816.551211567908</v>
      </c>
      <c r="G193">
        <v>10000</v>
      </c>
      <c r="H193">
        <v>434906.76864248089</v>
      </c>
      <c r="I193">
        <v>39.14336636942744</v>
      </c>
    </row>
    <row r="194" spans="1:9" x14ac:dyDescent="0.2">
      <c r="A194">
        <v>189</v>
      </c>
      <c r="B194">
        <v>1005381.4367776314</v>
      </c>
      <c r="C194">
        <v>94058.414874716676</v>
      </c>
      <c r="D194">
        <v>98236.227984930767</v>
      </c>
      <c r="E194">
        <v>55343.240069582374</v>
      </c>
      <c r="F194">
        <v>39831.455081740321</v>
      </c>
      <c r="G194">
        <v>10000</v>
      </c>
      <c r="H194">
        <v>277469.33801097015</v>
      </c>
      <c r="I194">
        <v>37.731959754962134</v>
      </c>
    </row>
    <row r="195" spans="1:9" x14ac:dyDescent="0.2">
      <c r="A195">
        <v>190</v>
      </c>
      <c r="B195">
        <v>1187163.5833619791</v>
      </c>
      <c r="C195">
        <v>114117.363036961</v>
      </c>
      <c r="D195">
        <v>130032.16660823129</v>
      </c>
      <c r="E195">
        <v>53439.9013758285</v>
      </c>
      <c r="F195">
        <v>39699.685479865053</v>
      </c>
      <c r="G195">
        <v>10000</v>
      </c>
      <c r="H195">
        <v>327289.11650088587</v>
      </c>
      <c r="I195">
        <v>42.884182493692023</v>
      </c>
    </row>
    <row r="196" spans="1:9" x14ac:dyDescent="0.2">
      <c r="A196">
        <v>191</v>
      </c>
      <c r="B196">
        <v>1607196.5020113005</v>
      </c>
      <c r="C196">
        <v>159668.28972445556</v>
      </c>
      <c r="D196">
        <v>120358.88962019999</v>
      </c>
      <c r="E196">
        <v>127547.26535459039</v>
      </c>
      <c r="F196">
        <v>44830.195293779332</v>
      </c>
      <c r="G196">
        <v>10000</v>
      </c>
      <c r="H196">
        <v>442404.63999302522</v>
      </c>
      <c r="I196">
        <v>32.939021422234923</v>
      </c>
    </row>
    <row r="197" spans="1:9" x14ac:dyDescent="0.2">
      <c r="A197">
        <v>192</v>
      </c>
      <c r="B197">
        <v>1638730.6670964761</v>
      </c>
      <c r="C197">
        <v>166532.68799367835</v>
      </c>
      <c r="D197">
        <v>137922.07088342216</v>
      </c>
      <c r="E197">
        <v>112784.10199483304</v>
      </c>
      <c r="F197">
        <v>43808.130138103821</v>
      </c>
      <c r="G197">
        <v>10000</v>
      </c>
      <c r="H197">
        <v>451046.99101003737</v>
      </c>
      <c r="I197">
        <v>49.561210682813204</v>
      </c>
    </row>
    <row r="198" spans="1:9" x14ac:dyDescent="0.2">
      <c r="A198">
        <v>193</v>
      </c>
      <c r="B198">
        <v>980665.45399048133</v>
      </c>
      <c r="C198">
        <v>88092.980781259583</v>
      </c>
      <c r="D198">
        <v>95524.375894433862</v>
      </c>
      <c r="E198">
        <v>57123.53614213712</v>
      </c>
      <c r="F198">
        <v>39954.706348301799</v>
      </c>
      <c r="G198">
        <v>10000</v>
      </c>
      <c r="H198">
        <v>270695.59916613234</v>
      </c>
      <c r="I198">
        <v>41.410695648559312</v>
      </c>
    </row>
    <row r="199" spans="1:9" x14ac:dyDescent="0.2">
      <c r="A199">
        <v>194</v>
      </c>
      <c r="B199">
        <v>1060530.3671942917</v>
      </c>
      <c r="C199">
        <v>99268.541890485343</v>
      </c>
      <c r="D199">
        <v>109850.8122526371</v>
      </c>
      <c r="E199">
        <v>53743.562488515236</v>
      </c>
      <c r="F199">
        <v>39720.708172281818</v>
      </c>
      <c r="G199">
        <v>10000</v>
      </c>
      <c r="H199">
        <v>292583.62480391946</v>
      </c>
      <c r="I199">
        <v>48.655310495721466</v>
      </c>
    </row>
    <row r="200" spans="1:9" x14ac:dyDescent="0.2">
      <c r="A200">
        <v>195</v>
      </c>
      <c r="B200">
        <v>1005797.494118216</v>
      </c>
      <c r="C200">
        <v>88233.327442633745</v>
      </c>
      <c r="D200">
        <v>77383.850146409983</v>
      </c>
      <c r="E200">
        <v>80400.030433111082</v>
      </c>
      <c r="F200">
        <v>41566.155953061534</v>
      </c>
      <c r="G200">
        <v>10000</v>
      </c>
      <c r="H200">
        <v>277583.36397521634</v>
      </c>
      <c r="I200">
        <v>35.896210721225827</v>
      </c>
    </row>
    <row r="201" spans="1:9" x14ac:dyDescent="0.2">
      <c r="A201">
        <v>196</v>
      </c>
      <c r="B201">
        <v>1072135.3768579194</v>
      </c>
      <c r="C201">
        <v>76869.391748856113</v>
      </c>
      <c r="D201">
        <v>73440.097813392014</v>
      </c>
      <c r="E201">
        <v>111720.16705374546</v>
      </c>
      <c r="F201">
        <v>43734.47310372084</v>
      </c>
      <c r="G201">
        <v>10000</v>
      </c>
      <c r="H201">
        <v>295764.1297197144</v>
      </c>
      <c r="I201">
        <v>29.436036265934419</v>
      </c>
    </row>
    <row r="202" spans="1:9" x14ac:dyDescent="0.2">
      <c r="A202">
        <v>197</v>
      </c>
      <c r="B202">
        <v>1186203.0268241502</v>
      </c>
      <c r="C202">
        <v>143383.93818023946</v>
      </c>
      <c r="D202">
        <v>58965.911532689293</v>
      </c>
      <c r="E202">
        <v>92286.91927481562</v>
      </c>
      <c r="F202">
        <v>42389.09441133339</v>
      </c>
      <c r="G202">
        <v>10000</v>
      </c>
      <c r="H202">
        <v>327025.86339907773</v>
      </c>
      <c r="I202">
        <v>30.472096824187815</v>
      </c>
    </row>
    <row r="203" spans="1:9" x14ac:dyDescent="0.2">
      <c r="A203">
        <v>198</v>
      </c>
      <c r="B203">
        <v>1217235.7497351859</v>
      </c>
      <c r="C203">
        <v>158190.06025291767</v>
      </c>
      <c r="D203">
        <v>114830.6711065791</v>
      </c>
      <c r="E203">
        <v>34146.095782948607</v>
      </c>
      <c r="F203">
        <v>38363.960477281056</v>
      </c>
      <c r="G203">
        <v>10000</v>
      </c>
      <c r="H203">
        <v>335530.78761972644</v>
      </c>
      <c r="I203">
        <v>26.755558817460212</v>
      </c>
    </row>
    <row r="204" spans="1:9" x14ac:dyDescent="0.2">
      <c r="A204">
        <v>199</v>
      </c>
      <c r="B204">
        <v>1251965.3209968891</v>
      </c>
      <c r="C204">
        <v>117989.37108723534</v>
      </c>
      <c r="D204">
        <v>70941.469963183743</v>
      </c>
      <c r="E204">
        <v>121693.13140902601</v>
      </c>
      <c r="F204">
        <v>44424.909097547956</v>
      </c>
      <c r="G204">
        <v>10000</v>
      </c>
      <c r="H204">
        <v>345048.88155699306</v>
      </c>
      <c r="I204">
        <v>42.814565106731266</v>
      </c>
    </row>
    <row r="205" spans="1:9" x14ac:dyDescent="0.2">
      <c r="A205">
        <v>200</v>
      </c>
      <c r="B205">
        <v>1721262.5921961737</v>
      </c>
      <c r="C205">
        <v>112979.53130691401</v>
      </c>
      <c r="D205">
        <v>115411.43010910142</v>
      </c>
      <c r="E205">
        <v>205077.32389296265</v>
      </c>
      <c r="F205">
        <v>50197.660884897407</v>
      </c>
      <c r="G205">
        <v>10000</v>
      </c>
      <c r="H205">
        <v>473665.94619387545</v>
      </c>
      <c r="I205">
        <v>34.128838014893944</v>
      </c>
    </row>
    <row r="206" spans="1:9" x14ac:dyDescent="0.2">
      <c r="A206">
        <v>201</v>
      </c>
      <c r="B206">
        <v>1267028.1899535393</v>
      </c>
      <c r="C206">
        <v>105289.73934386688</v>
      </c>
      <c r="D206">
        <v>111647.55460531102</v>
      </c>
      <c r="E206">
        <v>99360.930507848199</v>
      </c>
      <c r="F206">
        <v>42878.83365054334</v>
      </c>
      <c r="G206">
        <v>10000</v>
      </c>
      <c r="H206">
        <v>349177.05810756946</v>
      </c>
      <c r="I206">
        <v>27.138786802101684</v>
      </c>
    </row>
    <row r="207" spans="1:9" x14ac:dyDescent="0.2">
      <c r="A207">
        <v>202</v>
      </c>
      <c r="B207">
        <v>1446290.8518149802</v>
      </c>
      <c r="C207">
        <v>90794.449708319793</v>
      </c>
      <c r="D207">
        <v>122161.35797430841</v>
      </c>
      <c r="E207">
        <v>149032.87083451991</v>
      </c>
      <c r="F207">
        <v>46317.660288543681</v>
      </c>
      <c r="G207">
        <v>10000</v>
      </c>
      <c r="H207">
        <v>398306.3388056918</v>
      </c>
      <c r="I207">
        <v>34.355237340501354</v>
      </c>
    </row>
    <row r="208" spans="1:9" x14ac:dyDescent="0.2">
      <c r="A208">
        <v>203</v>
      </c>
      <c r="B208">
        <v>805420.87112104392</v>
      </c>
      <c r="C208">
        <v>74427.733509039826</v>
      </c>
      <c r="D208">
        <v>63062.567998436032</v>
      </c>
      <c r="E208">
        <v>55345.605312948079</v>
      </c>
      <c r="F208">
        <v>39831.618829357947</v>
      </c>
      <c r="G208">
        <v>10000</v>
      </c>
      <c r="H208">
        <v>222667.52564978186</v>
      </c>
      <c r="I208">
        <v>35.019355749249584</v>
      </c>
    </row>
    <row r="209" spans="1:9" x14ac:dyDescent="0.2">
      <c r="A209">
        <v>204</v>
      </c>
      <c r="B209">
        <v>1496856.039125754</v>
      </c>
      <c r="C209">
        <v>108365.3439598081</v>
      </c>
      <c r="D209">
        <v>100467.58098298604</v>
      </c>
      <c r="E209">
        <v>165849.57234390042</v>
      </c>
      <c r="F209">
        <v>47481.893469962335</v>
      </c>
      <c r="G209">
        <v>10000</v>
      </c>
      <c r="H209">
        <v>412164.39075665694</v>
      </c>
      <c r="I209">
        <v>27.231837685197345</v>
      </c>
    </row>
    <row r="210" spans="1:9" x14ac:dyDescent="0.2">
      <c r="A210">
        <v>205</v>
      </c>
      <c r="B210">
        <v>1156184.2382249672</v>
      </c>
      <c r="C210">
        <v>152900.77665344841</v>
      </c>
      <c r="D210">
        <v>74455.49893096718</v>
      </c>
      <c r="E210">
        <v>61205.258450507448</v>
      </c>
      <c r="F210">
        <v>40237.287123496673</v>
      </c>
      <c r="G210">
        <v>10000</v>
      </c>
      <c r="H210">
        <v>318798.82115841971</v>
      </c>
      <c r="I210">
        <v>52.298983302693166</v>
      </c>
    </row>
    <row r="211" spans="1:9" x14ac:dyDescent="0.2">
      <c r="A211">
        <v>206</v>
      </c>
      <c r="B211">
        <v>1537394.2001147808</v>
      </c>
      <c r="C211">
        <v>116367.30131313131</v>
      </c>
      <c r="D211">
        <v>112069.14011956869</v>
      </c>
      <c r="E211">
        <v>157906.00890199744</v>
      </c>
      <c r="F211">
        <v>46931.954462445981</v>
      </c>
      <c r="G211">
        <v>10000</v>
      </c>
      <c r="H211">
        <v>423274.40479714342</v>
      </c>
      <c r="I211">
        <v>30.656249166059229</v>
      </c>
    </row>
    <row r="212" spans="1:9" x14ac:dyDescent="0.2">
      <c r="A212">
        <v>207</v>
      </c>
      <c r="B212">
        <v>1292311.1870665436</v>
      </c>
      <c r="C212">
        <v>132817.69793724682</v>
      </c>
      <c r="D212">
        <v>114155.63362641107</v>
      </c>
      <c r="E212">
        <v>77750.159726554644</v>
      </c>
      <c r="F212">
        <v>41382.703365684552</v>
      </c>
      <c r="G212">
        <v>10000</v>
      </c>
      <c r="H212">
        <v>356106.1946558971</v>
      </c>
      <c r="I212">
        <v>33.169236099875903</v>
      </c>
    </row>
    <row r="213" spans="1:9" x14ac:dyDescent="0.2">
      <c r="A213">
        <v>208</v>
      </c>
      <c r="B213">
        <v>972590.18298965867</v>
      </c>
      <c r="C213">
        <v>113305.80417947352</v>
      </c>
      <c r="D213">
        <v>83285.565859499591</v>
      </c>
      <c r="E213">
        <v>42919.729444392244</v>
      </c>
      <c r="F213">
        <v>38971.365884611769</v>
      </c>
      <c r="G213">
        <v>10000</v>
      </c>
      <c r="H213">
        <v>268482.46536797716</v>
      </c>
      <c r="I213">
        <v>51.742441413167803</v>
      </c>
    </row>
    <row r="214" spans="1:9" x14ac:dyDescent="0.2">
      <c r="A214">
        <v>209</v>
      </c>
      <c r="B214">
        <v>1142884.6372666748</v>
      </c>
      <c r="C214">
        <v>89806.021143546619</v>
      </c>
      <c r="D214">
        <v>51947.520209347662</v>
      </c>
      <c r="E214">
        <v>137856.44239691595</v>
      </c>
      <c r="F214">
        <v>45543.907550555719</v>
      </c>
      <c r="G214">
        <v>10000</v>
      </c>
      <c r="H214">
        <v>315153.89130036597</v>
      </c>
      <c r="I214">
        <v>48.307410628147238</v>
      </c>
    </row>
    <row r="215" spans="1:9" x14ac:dyDescent="0.2">
      <c r="A215">
        <v>210</v>
      </c>
      <c r="B215">
        <v>1509917.5559249828</v>
      </c>
      <c r="C215">
        <v>91841.699544400632</v>
      </c>
      <c r="D215">
        <v>127483.78049761076</v>
      </c>
      <c r="E215">
        <v>159384.29326419029</v>
      </c>
      <c r="F215">
        <v>47034.297225982402</v>
      </c>
      <c r="G215">
        <v>10000</v>
      </c>
      <c r="H215">
        <v>415744.07053218409</v>
      </c>
      <c r="I215">
        <v>47.589067863301551</v>
      </c>
    </row>
    <row r="216" spans="1:9" x14ac:dyDescent="0.2">
      <c r="A216">
        <v>211</v>
      </c>
      <c r="B216">
        <v>1363010.952320219</v>
      </c>
      <c r="C216">
        <v>95833.362754861751</v>
      </c>
      <c r="D216">
        <v>88396.029225171806</v>
      </c>
      <c r="E216">
        <v>154553.16496344443</v>
      </c>
      <c r="F216">
        <v>46699.834497469223</v>
      </c>
      <c r="G216">
        <v>10000</v>
      </c>
      <c r="H216">
        <v>375482.39144094719</v>
      </c>
      <c r="I216">
        <v>37.351384059428625</v>
      </c>
    </row>
    <row r="217" spans="1:9" x14ac:dyDescent="0.2">
      <c r="A217">
        <v>212</v>
      </c>
      <c r="B217">
        <v>1278831.8100531718</v>
      </c>
      <c r="C217">
        <v>103802.78764371604</v>
      </c>
      <c r="D217">
        <v>79158.880309726315</v>
      </c>
      <c r="E217">
        <v>134162.1762014649</v>
      </c>
      <c r="F217">
        <v>45288.150660101419</v>
      </c>
      <c r="G217">
        <v>10000</v>
      </c>
      <c r="H217">
        <v>352411.99481500871</v>
      </c>
      <c r="I217">
        <v>33.067464700327719</v>
      </c>
    </row>
    <row r="218" spans="1:9" x14ac:dyDescent="0.2">
      <c r="A218">
        <v>213</v>
      </c>
      <c r="B218">
        <v>1314795.1798403286</v>
      </c>
      <c r="C218">
        <v>75877.321224437634</v>
      </c>
      <c r="D218">
        <v>61566.731741942647</v>
      </c>
      <c r="E218">
        <v>185950.66673654455</v>
      </c>
      <c r="F218">
        <v>48873.507697145389</v>
      </c>
      <c r="G218">
        <v>10000</v>
      </c>
      <c r="H218">
        <v>362268.22740007023</v>
      </c>
      <c r="I218">
        <v>32.373553845491202</v>
      </c>
    </row>
    <row r="219" spans="1:9" x14ac:dyDescent="0.2">
      <c r="A219">
        <v>214</v>
      </c>
      <c r="B219">
        <v>1461881.5312023605</v>
      </c>
      <c r="C219">
        <v>77836.836421379441</v>
      </c>
      <c r="D219">
        <v>89918.394216409797</v>
      </c>
      <c r="E219">
        <v>195302.96367284647</v>
      </c>
      <c r="F219">
        <v>49520.974408120135</v>
      </c>
      <c r="G219">
        <v>10000</v>
      </c>
      <c r="H219">
        <v>402579.16871875583</v>
      </c>
      <c r="I219">
        <v>43.690433624089493</v>
      </c>
    </row>
    <row r="220" spans="1:9" x14ac:dyDescent="0.2">
      <c r="A220">
        <v>215</v>
      </c>
      <c r="B220">
        <v>1554456.6967054061</v>
      </c>
      <c r="C220">
        <v>109800.43770918407</v>
      </c>
      <c r="D220">
        <v>139201.78753777113</v>
      </c>
      <c r="E220">
        <v>143045.24771355779</v>
      </c>
      <c r="F220">
        <v>45903.132534015538</v>
      </c>
      <c r="G220">
        <v>10000</v>
      </c>
      <c r="H220">
        <v>427950.60549452848</v>
      </c>
      <c r="I220">
        <v>55.764547923393472</v>
      </c>
    </row>
    <row r="221" spans="1:9" x14ac:dyDescent="0.2">
      <c r="A221">
        <v>216</v>
      </c>
      <c r="B221">
        <v>1521711.9512391395</v>
      </c>
      <c r="C221">
        <v>98501.758727702167</v>
      </c>
      <c r="D221">
        <v>95601.676315269666</v>
      </c>
      <c r="E221">
        <v>185996.37210817254</v>
      </c>
      <c r="F221">
        <v>48876.671915181178</v>
      </c>
      <c r="G221">
        <v>10000</v>
      </c>
      <c r="H221">
        <v>418976.47906632553</v>
      </c>
      <c r="I221">
        <v>36.747188553539743</v>
      </c>
    </row>
    <row r="222" spans="1:9" x14ac:dyDescent="0.2">
      <c r="A222">
        <v>217</v>
      </c>
      <c r="B222">
        <v>1068379.6700476713</v>
      </c>
      <c r="C222">
        <v>85075.926594418983</v>
      </c>
      <c r="D222">
        <v>79896.002052050972</v>
      </c>
      <c r="E222">
        <v>97044.439246191425</v>
      </c>
      <c r="F222">
        <v>42718.461178582482</v>
      </c>
      <c r="G222">
        <v>10000</v>
      </c>
      <c r="H222">
        <v>294734.82907124388</v>
      </c>
      <c r="I222">
        <v>30.564745284316377</v>
      </c>
    </row>
    <row r="223" spans="1:9" x14ac:dyDescent="0.2">
      <c r="A223">
        <v>218</v>
      </c>
      <c r="B223">
        <v>1667646.6080337078</v>
      </c>
      <c r="C223">
        <v>167141.06084311943</v>
      </c>
      <c r="D223">
        <v>171598.50372660442</v>
      </c>
      <c r="E223">
        <v>88130.852145675439</v>
      </c>
      <c r="F223">
        <v>42101.366687008296</v>
      </c>
      <c r="G223">
        <v>10000</v>
      </c>
      <c r="H223">
        <v>458971.7834024076</v>
      </c>
      <c r="I223">
        <v>43.906113621352958</v>
      </c>
    </row>
    <row r="224" spans="1:9" x14ac:dyDescent="0.2">
      <c r="A224">
        <v>219</v>
      </c>
      <c r="B224">
        <v>1172238.6037580003</v>
      </c>
      <c r="C224">
        <v>118100.42470521298</v>
      </c>
      <c r="D224">
        <v>75541.832821823904</v>
      </c>
      <c r="E224">
        <v>96851.37744504583</v>
      </c>
      <c r="F224">
        <v>42705.095361580097</v>
      </c>
      <c r="G224">
        <v>10000</v>
      </c>
      <c r="H224">
        <v>323198.73033366277</v>
      </c>
      <c r="I224">
        <v>31.324134819640165</v>
      </c>
    </row>
    <row r="225" spans="1:9" x14ac:dyDescent="0.2">
      <c r="A225">
        <v>220</v>
      </c>
      <c r="B225">
        <v>1158113.526934701</v>
      </c>
      <c r="C225">
        <v>113363.35092222954</v>
      </c>
      <c r="D225">
        <v>36640.060960588555</v>
      </c>
      <c r="E225">
        <v>134044.17478739639</v>
      </c>
      <c r="F225">
        <v>45279.981331435134</v>
      </c>
      <c r="G225">
        <v>10000</v>
      </c>
      <c r="H225">
        <v>319327.56800164963</v>
      </c>
      <c r="I225">
        <v>39.009607544259971</v>
      </c>
    </row>
    <row r="226" spans="1:9" x14ac:dyDescent="0.2">
      <c r="A226">
        <v>221</v>
      </c>
      <c r="B226">
        <v>1144074.8614652059</v>
      </c>
      <c r="C226">
        <v>77054.473883133731</v>
      </c>
      <c r="D226">
        <v>55057.438232072549</v>
      </c>
      <c r="E226">
        <v>147178.86937642368</v>
      </c>
      <c r="F226">
        <v>46189.30634144471</v>
      </c>
      <c r="G226">
        <v>10000</v>
      </c>
      <c r="H226">
        <v>315480.08783307468</v>
      </c>
      <c r="I226">
        <v>36.274130477050022</v>
      </c>
    </row>
    <row r="227" spans="1:9" x14ac:dyDescent="0.2">
      <c r="A227">
        <v>222</v>
      </c>
      <c r="B227">
        <v>1315398.8007576917</v>
      </c>
      <c r="C227">
        <v>83596.960794583545</v>
      </c>
      <c r="D227">
        <v>54959.535068903861</v>
      </c>
      <c r="E227">
        <v>185064.9714264714</v>
      </c>
      <c r="F227">
        <v>48812.190329524943</v>
      </c>
      <c r="G227">
        <v>10000</v>
      </c>
      <c r="H227">
        <v>362433.65761948377</v>
      </c>
      <c r="I227">
        <v>29.924261045060934</v>
      </c>
    </row>
    <row r="228" spans="1:9" x14ac:dyDescent="0.2">
      <c r="A228">
        <v>223</v>
      </c>
      <c r="B228">
        <v>1415306.7253145059</v>
      </c>
      <c r="C228">
        <v>77136.095238132039</v>
      </c>
      <c r="D228">
        <v>134116.54038194031</v>
      </c>
      <c r="E228">
        <v>142683.97603037645</v>
      </c>
      <c r="F228">
        <v>45878.121417487593</v>
      </c>
      <c r="G228">
        <v>10000</v>
      </c>
      <c r="H228">
        <v>389814.73306793638</v>
      </c>
      <c r="I228">
        <v>33.210612975955769</v>
      </c>
    </row>
    <row r="229" spans="1:9" x14ac:dyDescent="0.2">
      <c r="A229">
        <v>224</v>
      </c>
      <c r="B229">
        <v>1338556.4003437639</v>
      </c>
      <c r="C229">
        <v>136865.84327792653</v>
      </c>
      <c r="D229">
        <v>63695.206942382421</v>
      </c>
      <c r="E229">
        <v>133010.81020736761</v>
      </c>
      <c r="F229">
        <v>45208.440706663911</v>
      </c>
      <c r="G229">
        <v>10000</v>
      </c>
      <c r="H229">
        <v>368780.30113434047</v>
      </c>
      <c r="I229">
        <v>34.343301713219205</v>
      </c>
    </row>
    <row r="230" spans="1:9" x14ac:dyDescent="0.2">
      <c r="A230">
        <v>225</v>
      </c>
      <c r="B230">
        <v>1527623.6602917754</v>
      </c>
      <c r="C230">
        <v>132435.87508093184</v>
      </c>
      <c r="D230">
        <v>120520.78250184079</v>
      </c>
      <c r="E230">
        <v>132469.0673563056</v>
      </c>
      <c r="F230">
        <v>45170.935432359613</v>
      </c>
      <c r="G230">
        <v>10000</v>
      </c>
      <c r="H230">
        <v>420596.66037143784</v>
      </c>
      <c r="I230">
        <v>29.50903583740272</v>
      </c>
    </row>
    <row r="231" spans="1:9" x14ac:dyDescent="0.2">
      <c r="A231">
        <v>226</v>
      </c>
      <c r="B231">
        <v>1699430.511475106</v>
      </c>
      <c r="C231">
        <v>150940.32561573965</v>
      </c>
      <c r="D231">
        <v>87455.307083508844</v>
      </c>
      <c r="E231">
        <v>190124.48167231545</v>
      </c>
      <c r="F231">
        <v>49162.464115775685</v>
      </c>
      <c r="G231">
        <v>10000</v>
      </c>
      <c r="H231">
        <v>467682.57848733966</v>
      </c>
      <c r="I231">
        <v>28.319727177754661</v>
      </c>
    </row>
    <row r="232" spans="1:9" x14ac:dyDescent="0.2">
      <c r="A232">
        <v>227</v>
      </c>
      <c r="B232">
        <v>1032165.2020791819</v>
      </c>
      <c r="C232">
        <v>98537.866854113934</v>
      </c>
      <c r="D232">
        <v>54529.207566560101</v>
      </c>
      <c r="E232">
        <v>98896.055334975244</v>
      </c>
      <c r="F232">
        <v>42846.649984729054</v>
      </c>
      <c r="G232">
        <v>10000</v>
      </c>
      <c r="H232">
        <v>284809.77974037832</v>
      </c>
      <c r="I232">
        <v>30.898677187478462</v>
      </c>
    </row>
    <row r="233" spans="1:9" x14ac:dyDescent="0.2">
      <c r="A233">
        <v>228</v>
      </c>
      <c r="B233">
        <v>1420660.1648849817</v>
      </c>
      <c r="C233">
        <v>101204.99020001922</v>
      </c>
      <c r="D233">
        <v>71226.707386451744</v>
      </c>
      <c r="E233">
        <v>180363.51110695652</v>
      </c>
      <c r="F233">
        <v>48486.704615096991</v>
      </c>
      <c r="G233">
        <v>10000</v>
      </c>
      <c r="H233">
        <v>391281.91330852447</v>
      </c>
      <c r="I233">
        <v>39.449980433048118</v>
      </c>
    </row>
    <row r="234" spans="1:9" x14ac:dyDescent="0.2">
      <c r="A234">
        <v>229</v>
      </c>
      <c r="B234">
        <v>1290022.0780550356</v>
      </c>
      <c r="C234">
        <v>80439.450524616623</v>
      </c>
      <c r="D234">
        <v>81014.574226045239</v>
      </c>
      <c r="E234">
        <v>157145.50537653523</v>
      </c>
      <c r="F234">
        <v>46879.304218375517</v>
      </c>
      <c r="G234">
        <v>10000</v>
      </c>
      <c r="H234">
        <v>355478.83434557263</v>
      </c>
      <c r="I234">
        <v>36.321092287742033</v>
      </c>
    </row>
    <row r="235" spans="1:9" x14ac:dyDescent="0.2">
      <c r="A235">
        <v>230</v>
      </c>
      <c r="B235">
        <v>1179155.3945841766</v>
      </c>
      <c r="C235">
        <v>80133.721762742178</v>
      </c>
      <c r="D235">
        <v>32992.318908818146</v>
      </c>
      <c r="E235">
        <v>173927.21210867251</v>
      </c>
      <c r="F235">
        <v>48041.114684446555</v>
      </c>
      <c r="G235">
        <v>10000</v>
      </c>
      <c r="H235">
        <v>325094.36746467935</v>
      </c>
      <c r="I235">
        <v>28.262257927250033</v>
      </c>
    </row>
    <row r="236" spans="1:9" x14ac:dyDescent="0.2">
      <c r="A236">
        <v>231</v>
      </c>
      <c r="B236">
        <v>1251857.1120300668</v>
      </c>
      <c r="C236">
        <v>77076.245800904362</v>
      </c>
      <c r="D236">
        <v>80023.68843480412</v>
      </c>
      <c r="E236">
        <v>151435.30835065112</v>
      </c>
      <c r="F236">
        <v>46483.982885814308</v>
      </c>
      <c r="G236">
        <v>10000</v>
      </c>
      <c r="H236">
        <v>345019.22547217394</v>
      </c>
      <c r="I236">
        <v>54.3324214758984</v>
      </c>
    </row>
    <row r="237" spans="1:9" x14ac:dyDescent="0.2">
      <c r="A237">
        <v>232</v>
      </c>
      <c r="B237">
        <v>1347454.4358160936</v>
      </c>
      <c r="C237">
        <v>81240.223957345326</v>
      </c>
      <c r="D237">
        <v>102772.43739858999</v>
      </c>
      <c r="E237">
        <v>150768.44737043002</v>
      </c>
      <c r="F237">
        <v>46437.815587183621</v>
      </c>
      <c r="G237">
        <v>10000</v>
      </c>
      <c r="H237">
        <v>371218.92431354901</v>
      </c>
      <c r="I237">
        <v>26.402454914365961</v>
      </c>
    </row>
    <row r="238" spans="1:9" x14ac:dyDescent="0.2">
      <c r="A238">
        <v>233</v>
      </c>
      <c r="B238">
        <v>1573360.2576941883</v>
      </c>
      <c r="C238">
        <v>96451.410726227885</v>
      </c>
      <c r="D238">
        <v>127082.30890801027</v>
      </c>
      <c r="E238">
        <v>171710.03646362128</v>
      </c>
      <c r="F238">
        <v>47887.617909019937</v>
      </c>
      <c r="G238">
        <v>10000</v>
      </c>
      <c r="H238">
        <v>433131.3740068794</v>
      </c>
      <c r="I238">
        <v>35.161329916401236</v>
      </c>
    </row>
    <row r="239" spans="1:9" x14ac:dyDescent="0.2">
      <c r="A239">
        <v>234</v>
      </c>
      <c r="B239">
        <v>1076250.6601622808</v>
      </c>
      <c r="C239">
        <v>113782.5113136599</v>
      </c>
      <c r="D239">
        <v>127557.1062956947</v>
      </c>
      <c r="E239">
        <v>27638.8972873483</v>
      </c>
      <c r="F239">
        <v>37913.462119893346</v>
      </c>
      <c r="G239">
        <v>10000</v>
      </c>
      <c r="H239">
        <v>296891.97701659624</v>
      </c>
      <c r="I239">
        <v>41.27547442510793</v>
      </c>
    </row>
    <row r="240" spans="1:9" x14ac:dyDescent="0.2">
      <c r="A240">
        <v>235</v>
      </c>
      <c r="B240">
        <v>1436606.602012899</v>
      </c>
      <c r="C240">
        <v>100512.03910225449</v>
      </c>
      <c r="D240">
        <v>111829.86768101093</v>
      </c>
      <c r="E240">
        <v>147124.7751507065</v>
      </c>
      <c r="F240">
        <v>46185.561356587365</v>
      </c>
      <c r="G240">
        <v>10000</v>
      </c>
      <c r="H240">
        <v>395652.24329055927</v>
      </c>
      <c r="I240">
        <v>38.35932249751275</v>
      </c>
    </row>
    <row r="241" spans="1:9" x14ac:dyDescent="0.2">
      <c r="A241">
        <v>236</v>
      </c>
      <c r="B241">
        <v>1405469.1853844151</v>
      </c>
      <c r="C241">
        <v>132361.28524343285</v>
      </c>
      <c r="D241">
        <v>88495.180128972395</v>
      </c>
      <c r="E241">
        <v>131180.43835731782</v>
      </c>
      <c r="F241">
        <v>45081.722655506623</v>
      </c>
      <c r="G241">
        <v>10000</v>
      </c>
      <c r="H241">
        <v>387118.6263852297</v>
      </c>
      <c r="I241">
        <v>27.048772748417715</v>
      </c>
    </row>
    <row r="242" spans="1:9" x14ac:dyDescent="0.2">
      <c r="A242">
        <v>237</v>
      </c>
      <c r="B242">
        <v>986702.54054847523</v>
      </c>
      <c r="C242">
        <v>95149.031156556157</v>
      </c>
      <c r="D242">
        <v>70645.834590074985</v>
      </c>
      <c r="E242">
        <v>75339.466830221936</v>
      </c>
      <c r="F242">
        <v>41215.809242092291</v>
      </c>
      <c r="G242">
        <v>10000</v>
      </c>
      <c r="H242">
        <v>272350.14181894535</v>
      </c>
      <c r="I242">
        <v>32.828544409176359</v>
      </c>
    </row>
    <row r="243" spans="1:9" x14ac:dyDescent="0.2">
      <c r="A243">
        <v>238</v>
      </c>
      <c r="B243">
        <v>1054134.3454291231</v>
      </c>
      <c r="C243">
        <v>96540.138546490343</v>
      </c>
      <c r="D243">
        <v>63054.563330982259</v>
      </c>
      <c r="E243">
        <v>98422.167044461181</v>
      </c>
      <c r="F243">
        <v>42813.842333847308</v>
      </c>
      <c r="G243">
        <v>10000</v>
      </c>
      <c r="H243">
        <v>290830.71125578112</v>
      </c>
      <c r="I243">
        <v>36.555777352280941</v>
      </c>
    </row>
    <row r="244" spans="1:9" x14ac:dyDescent="0.2">
      <c r="A244">
        <v>239</v>
      </c>
      <c r="B244">
        <v>1088262.857137213</v>
      </c>
      <c r="C244">
        <v>116443.3661233157</v>
      </c>
      <c r="D244">
        <v>104717.57838750214</v>
      </c>
      <c r="E244">
        <v>49589.979978082934</v>
      </c>
      <c r="F244">
        <v>39433.152460021127</v>
      </c>
      <c r="G244">
        <v>10000</v>
      </c>
      <c r="H244">
        <v>300184.07694892195</v>
      </c>
      <c r="I244">
        <v>47.709187401017893</v>
      </c>
    </row>
    <row r="245" spans="1:9" x14ac:dyDescent="0.2">
      <c r="A245">
        <v>240</v>
      </c>
      <c r="B245">
        <v>1315584.8688009847</v>
      </c>
      <c r="C245">
        <v>110142.0656016907</v>
      </c>
      <c r="D245">
        <v>58194.50025267098</v>
      </c>
      <c r="E245">
        <v>157260.79999616643</v>
      </c>
      <c r="F245">
        <v>46887.286153580753</v>
      </c>
      <c r="G245">
        <v>10000</v>
      </c>
      <c r="H245">
        <v>362484.65200410888</v>
      </c>
      <c r="I245">
        <v>52.059272558941636</v>
      </c>
    </row>
    <row r="246" spans="1:9" x14ac:dyDescent="0.2">
      <c r="A246">
        <v>241</v>
      </c>
      <c r="B246">
        <v>1409843.7831211598</v>
      </c>
      <c r="C246">
        <v>98962.860139778961</v>
      </c>
      <c r="D246">
        <v>138400.49926425467</v>
      </c>
      <c r="E246">
        <v>116863.624196865</v>
      </c>
      <c r="F246">
        <v>44090.558598244505</v>
      </c>
      <c r="G246">
        <v>10000</v>
      </c>
      <c r="H246">
        <v>388317.54219914315</v>
      </c>
      <c r="I246">
        <v>34.996233190141837</v>
      </c>
    </row>
    <row r="247" spans="1:9" x14ac:dyDescent="0.2">
      <c r="A247">
        <v>242</v>
      </c>
      <c r="B247">
        <v>1169302.3920365437</v>
      </c>
      <c r="C247">
        <v>114933.65384140103</v>
      </c>
      <c r="D247">
        <v>63225.316932609567</v>
      </c>
      <c r="E247">
        <v>110579.54529323585</v>
      </c>
      <c r="F247">
        <v>43655.506981839404</v>
      </c>
      <c r="G247">
        <v>10000</v>
      </c>
      <c r="H247">
        <v>322394.02304908587</v>
      </c>
      <c r="I247">
        <v>28.465657181862309</v>
      </c>
    </row>
    <row r="248" spans="1:9" x14ac:dyDescent="0.2">
      <c r="A248">
        <v>243</v>
      </c>
      <c r="B248">
        <v>1631373.3327891473</v>
      </c>
      <c r="C248">
        <v>95656.97999510348</v>
      </c>
      <c r="D248">
        <v>124818.77479958956</v>
      </c>
      <c r="E248">
        <v>189439.79934119422</v>
      </c>
      <c r="F248">
        <v>49115.063031313446</v>
      </c>
      <c r="G248">
        <v>10000</v>
      </c>
      <c r="H248">
        <v>449030.61716720066</v>
      </c>
      <c r="I248">
        <v>37.904817508261146</v>
      </c>
    </row>
    <row r="249" spans="1:9" x14ac:dyDescent="0.2">
      <c r="A249">
        <v>244</v>
      </c>
      <c r="B249">
        <v>1475544.3579330773</v>
      </c>
      <c r="C249">
        <v>114606.00508752189</v>
      </c>
      <c r="D249">
        <v>88727.675011619242</v>
      </c>
      <c r="E249">
        <v>165530.18333538497</v>
      </c>
      <c r="F249">
        <v>47459.781923218958</v>
      </c>
      <c r="G249">
        <v>10000</v>
      </c>
      <c r="H249">
        <v>406323.64535774512</v>
      </c>
      <c r="I249">
        <v>29.476056436997034</v>
      </c>
    </row>
    <row r="250" spans="1:9" x14ac:dyDescent="0.2">
      <c r="A250">
        <v>245</v>
      </c>
      <c r="B250">
        <v>1207088.4546186812</v>
      </c>
      <c r="C250">
        <v>116310.98745669739</v>
      </c>
      <c r="D250">
        <v>88233.315216881732</v>
      </c>
      <c r="E250">
        <v>95587.864414486961</v>
      </c>
      <c r="F250">
        <v>42617.621382541409</v>
      </c>
      <c r="G250">
        <v>10000</v>
      </c>
      <c r="H250">
        <v>332749.78847060754</v>
      </c>
      <c r="I250">
        <v>35.369947495824135</v>
      </c>
    </row>
    <row r="251" spans="1:9" x14ac:dyDescent="0.2">
      <c r="A251">
        <v>246</v>
      </c>
      <c r="B251">
        <v>1253198.1921745993</v>
      </c>
      <c r="C251">
        <v>112778.56003043272</v>
      </c>
      <c r="D251">
        <v>83162.293919589996</v>
      </c>
      <c r="E251">
        <v>115453.01131932308</v>
      </c>
      <c r="F251">
        <v>43992.90078364544</v>
      </c>
      <c r="G251">
        <v>10000</v>
      </c>
      <c r="H251">
        <v>345386.76605299127</v>
      </c>
      <c r="I251">
        <v>37.050170012846209</v>
      </c>
    </row>
    <row r="252" spans="1:9" x14ac:dyDescent="0.2">
      <c r="A252">
        <v>247</v>
      </c>
      <c r="B252">
        <v>1622254.8086868059</v>
      </c>
      <c r="C252">
        <v>162909.51348900539</v>
      </c>
      <c r="D252">
        <v>154810.60718861816</v>
      </c>
      <c r="E252">
        <v>96154.589328768328</v>
      </c>
      <c r="F252">
        <v>42656.856184299344</v>
      </c>
      <c r="G252">
        <v>10000</v>
      </c>
      <c r="H252">
        <v>446531.5661906912</v>
      </c>
      <c r="I252">
        <v>34.592583941619353</v>
      </c>
    </row>
    <row r="253" spans="1:9" x14ac:dyDescent="0.2">
      <c r="A253">
        <v>248</v>
      </c>
      <c r="B253">
        <v>1953623.418575793</v>
      </c>
      <c r="C253">
        <v>145243.98298040149</v>
      </c>
      <c r="D253">
        <v>146910.71950642139</v>
      </c>
      <c r="E253">
        <v>205000.43418853809</v>
      </c>
      <c r="F253">
        <v>50192.337751514176</v>
      </c>
      <c r="G253">
        <v>10000</v>
      </c>
      <c r="H253">
        <v>537347.47442687512</v>
      </c>
      <c r="I253">
        <v>37.202267172811744</v>
      </c>
    </row>
    <row r="254" spans="1:9" x14ac:dyDescent="0.2">
      <c r="A254">
        <v>249</v>
      </c>
      <c r="B254">
        <v>1437858.4741603686</v>
      </c>
      <c r="C254">
        <v>104935.3763616449</v>
      </c>
      <c r="D254">
        <v>46913.828606147566</v>
      </c>
      <c r="E254">
        <v>204021.56069673016</v>
      </c>
      <c r="F254">
        <v>50124.5695866967</v>
      </c>
      <c r="G254">
        <v>10000</v>
      </c>
      <c r="H254">
        <v>395995.33525121934</v>
      </c>
      <c r="I254">
        <v>35.115293607199121</v>
      </c>
    </row>
    <row r="255" spans="1:9" x14ac:dyDescent="0.2">
      <c r="A255">
        <v>250</v>
      </c>
      <c r="B255">
        <v>1320100.0795639553</v>
      </c>
      <c r="C255">
        <v>135379.57984835596</v>
      </c>
      <c r="D255">
        <v>102816.14256348697</v>
      </c>
      <c r="E255">
        <v>93082.22800167845</v>
      </c>
      <c r="F255">
        <v>42444.154246270045</v>
      </c>
      <c r="G255">
        <v>10000</v>
      </c>
      <c r="H255">
        <v>363722.10465979145</v>
      </c>
      <c r="I255">
        <v>41.982862935325002</v>
      </c>
    </row>
    <row r="256" spans="1:9" x14ac:dyDescent="0.2">
      <c r="A256">
        <v>251</v>
      </c>
      <c r="B256">
        <v>1191956.4678755812</v>
      </c>
      <c r="C256">
        <v>130171.73749123944</v>
      </c>
      <c r="D256">
        <v>66423.636801926827</v>
      </c>
      <c r="E256">
        <v>99143.513301958286</v>
      </c>
      <c r="F256">
        <v>42863.781690135569</v>
      </c>
      <c r="G256">
        <v>10000</v>
      </c>
      <c r="H256">
        <v>328602.66928526014</v>
      </c>
      <c r="I256">
        <v>40.749862258924004</v>
      </c>
    </row>
    <row r="257" spans="1:9" x14ac:dyDescent="0.2">
      <c r="A257">
        <v>252</v>
      </c>
      <c r="B257">
        <v>1108364.4579782926</v>
      </c>
      <c r="C257">
        <v>101476.37351942383</v>
      </c>
      <c r="D257">
        <v>41466.609748266615</v>
      </c>
      <c r="E257">
        <v>127895.87116630279</v>
      </c>
      <c r="F257">
        <v>44854.329542282503</v>
      </c>
      <c r="G257">
        <v>10000</v>
      </c>
      <c r="H257">
        <v>305693.18397627573</v>
      </c>
      <c r="I257">
        <v>43.467719389843907</v>
      </c>
    </row>
    <row r="258" spans="1:9" x14ac:dyDescent="0.2">
      <c r="A258">
        <v>253</v>
      </c>
      <c r="B258">
        <v>1186325.6525090961</v>
      </c>
      <c r="C258">
        <v>123498.69213552984</v>
      </c>
      <c r="D258">
        <v>74493.321087634598</v>
      </c>
      <c r="E258">
        <v>96394.024860818696</v>
      </c>
      <c r="F258">
        <v>42673.432490364372</v>
      </c>
      <c r="G258">
        <v>10000</v>
      </c>
      <c r="H258">
        <v>327059.47057434748</v>
      </c>
      <c r="I258">
        <v>31.837611678329043</v>
      </c>
    </row>
    <row r="259" spans="1:9" x14ac:dyDescent="0.2">
      <c r="A259">
        <v>254</v>
      </c>
      <c r="B259">
        <v>1175335.2260556468</v>
      </c>
      <c r="C259">
        <v>96766.247826832012</v>
      </c>
      <c r="D259">
        <v>69876.984634306849</v>
      </c>
      <c r="E259">
        <v>122895.98425165695</v>
      </c>
      <c r="F259">
        <v>44508.183525114713</v>
      </c>
      <c r="G259">
        <v>10000</v>
      </c>
      <c r="H259">
        <v>324047.40023791051</v>
      </c>
      <c r="I259">
        <v>31.300404394049007</v>
      </c>
    </row>
    <row r="260" spans="1:9" x14ac:dyDescent="0.2">
      <c r="A260">
        <v>255</v>
      </c>
      <c r="B260">
        <v>1349772.6325880429</v>
      </c>
      <c r="C260">
        <v>125868.8867514884</v>
      </c>
      <c r="D260">
        <v>75160.273064625537</v>
      </c>
      <c r="E260">
        <v>135447.93215568271</v>
      </c>
      <c r="F260">
        <v>45377.164533854957</v>
      </c>
      <c r="G260">
        <v>10000</v>
      </c>
      <c r="H260">
        <v>371854.25650565163</v>
      </c>
      <c r="I260">
        <v>26.822888251444439</v>
      </c>
    </row>
    <row r="261" spans="1:9" x14ac:dyDescent="0.2">
      <c r="A261">
        <v>256</v>
      </c>
      <c r="B261">
        <v>1101319.2077717735</v>
      </c>
      <c r="C261">
        <v>89344.632072832828</v>
      </c>
      <c r="D261">
        <v>62125.905845292516</v>
      </c>
      <c r="E261">
        <v>118114.63585366201</v>
      </c>
      <c r="F261">
        <v>44177.167097561214</v>
      </c>
      <c r="G261">
        <v>10000</v>
      </c>
      <c r="H261">
        <v>303762.34086934855</v>
      </c>
      <c r="I261">
        <v>38.316410209675951</v>
      </c>
    </row>
    <row r="262" spans="1:9" x14ac:dyDescent="0.2">
      <c r="A262">
        <v>257</v>
      </c>
      <c r="B262">
        <v>774716.25435849582</v>
      </c>
      <c r="C262">
        <v>95365.163176915419</v>
      </c>
      <c r="D262">
        <v>52153.103483560561</v>
      </c>
      <c r="E262">
        <v>38096.786707621162</v>
      </c>
      <c r="F262">
        <v>38637.46984898916</v>
      </c>
      <c r="G262">
        <v>10000</v>
      </c>
      <c r="H262">
        <v>214252.5232170863</v>
      </c>
      <c r="I262">
        <v>28.098059342541514</v>
      </c>
    </row>
    <row r="263" spans="1:9" x14ac:dyDescent="0.2">
      <c r="A263">
        <v>258</v>
      </c>
      <c r="B263">
        <v>1494007.1577625785</v>
      </c>
      <c r="C263">
        <v>101566.082828021</v>
      </c>
      <c r="D263">
        <v>138270.14722837094</v>
      </c>
      <c r="E263">
        <v>136123.45588319702</v>
      </c>
      <c r="F263">
        <v>45423.931561144404</v>
      </c>
      <c r="G263">
        <v>10000</v>
      </c>
      <c r="H263">
        <v>411383.61750073335</v>
      </c>
      <c r="I263">
        <v>31.571243878462049</v>
      </c>
    </row>
    <row r="264" spans="1:9" x14ac:dyDescent="0.2">
      <c r="A264">
        <v>259</v>
      </c>
      <c r="B264">
        <v>1061909.0651028247</v>
      </c>
      <c r="C264">
        <v>113746.27390304186</v>
      </c>
      <c r="D264">
        <v>98622.772248635709</v>
      </c>
      <c r="E264">
        <v>51057.667292276899</v>
      </c>
      <c r="F264">
        <v>39534.761581773018</v>
      </c>
      <c r="G264">
        <v>10000</v>
      </c>
      <c r="H264">
        <v>292961.47502572747</v>
      </c>
      <c r="I264">
        <v>29.455081556608512</v>
      </c>
    </row>
    <row r="265" spans="1:9" x14ac:dyDescent="0.2">
      <c r="A265">
        <v>260</v>
      </c>
      <c r="B265">
        <v>931950.87497600773</v>
      </c>
      <c r="C265">
        <v>96522.240985037133</v>
      </c>
      <c r="D265">
        <v>97685.073643677024</v>
      </c>
      <c r="E265">
        <v>34732.835137583024</v>
      </c>
      <c r="F265">
        <v>38404.580894140359</v>
      </c>
      <c r="G265">
        <v>10000</v>
      </c>
      <c r="H265">
        <v>257344.73066043755</v>
      </c>
      <c r="I265">
        <v>38.099675569379329</v>
      </c>
    </row>
    <row r="266" spans="1:9" x14ac:dyDescent="0.2">
      <c r="A266">
        <v>261</v>
      </c>
      <c r="B266">
        <v>1131004.7638649782</v>
      </c>
      <c r="C266">
        <v>107796.4727848411</v>
      </c>
      <c r="D266">
        <v>70644.464492138752</v>
      </c>
      <c r="E266">
        <v>100499.46390614883</v>
      </c>
      <c r="F266">
        <v>42957.655193502607</v>
      </c>
      <c r="G266">
        <v>10000</v>
      </c>
      <c r="H266">
        <v>311898.05637663131</v>
      </c>
      <c r="I266">
        <v>45.442005965545036</v>
      </c>
    </row>
    <row r="267" spans="1:9" x14ac:dyDescent="0.2">
      <c r="A267">
        <v>262</v>
      </c>
      <c r="B267">
        <v>1526157.4707304949</v>
      </c>
      <c r="C267">
        <v>114117.54987141913</v>
      </c>
      <c r="D267">
        <v>93008.99226352782</v>
      </c>
      <c r="E267">
        <v>174955.95447159617</v>
      </c>
      <c r="F267">
        <v>48112.335309572038</v>
      </c>
      <c r="G267">
        <v>10000</v>
      </c>
      <c r="H267">
        <v>420194.83191611519</v>
      </c>
      <c r="I267">
        <v>34.273501551648742</v>
      </c>
    </row>
    <row r="268" spans="1:9" x14ac:dyDescent="0.2">
      <c r="A268">
        <v>263</v>
      </c>
      <c r="B268">
        <v>1627620.2073552692</v>
      </c>
      <c r="C268">
        <v>104641.27737630295</v>
      </c>
      <c r="D268">
        <v>143099.17645914076</v>
      </c>
      <c r="E268">
        <v>162978.44689660668</v>
      </c>
      <c r="F268">
        <v>47283.123246688163</v>
      </c>
      <c r="G268">
        <v>10000</v>
      </c>
      <c r="H268">
        <v>448002.02397873858</v>
      </c>
      <c r="I268">
        <v>30.147349851901676</v>
      </c>
    </row>
    <row r="269" spans="1:9" x14ac:dyDescent="0.2">
      <c r="A269">
        <v>264</v>
      </c>
      <c r="B269">
        <v>1086763.3313110678</v>
      </c>
      <c r="C269">
        <v>87578.104200435526</v>
      </c>
      <c r="D269">
        <v>62603.713613780681</v>
      </c>
      <c r="E269">
        <v>115588.98041087044</v>
      </c>
      <c r="F269">
        <v>44002.314028444882</v>
      </c>
      <c r="G269">
        <v>10000</v>
      </c>
      <c r="H269">
        <v>299773.11225353152</v>
      </c>
      <c r="I269">
        <v>27.691754736284459</v>
      </c>
    </row>
    <row r="270" spans="1:9" x14ac:dyDescent="0.2">
      <c r="A270">
        <v>265</v>
      </c>
      <c r="B270">
        <v>1619399.3415478272</v>
      </c>
      <c r="C270">
        <v>112017.24308242764</v>
      </c>
      <c r="D270">
        <v>105675.51545936288</v>
      </c>
      <c r="E270">
        <v>188973.4520268373</v>
      </c>
      <c r="F270">
        <v>49082.77744801181</v>
      </c>
      <c r="G270">
        <v>10000</v>
      </c>
      <c r="H270">
        <v>445748.9880166396</v>
      </c>
      <c r="I270">
        <v>37.094644054238657</v>
      </c>
    </row>
    <row r="271" spans="1:9" x14ac:dyDescent="0.2">
      <c r="A271">
        <v>266</v>
      </c>
      <c r="B271">
        <v>1345422.8946888482</v>
      </c>
      <c r="C271">
        <v>127125.81892342864</v>
      </c>
      <c r="D271">
        <v>99070.486453916499</v>
      </c>
      <c r="E271">
        <v>110795.39785760867</v>
      </c>
      <c r="F271">
        <v>43670.450620911368</v>
      </c>
      <c r="G271">
        <v>10000</v>
      </c>
      <c r="H271">
        <v>370662.15385586518</v>
      </c>
      <c r="I271">
        <v>38.434857786515579</v>
      </c>
    </row>
    <row r="272" spans="1:9" x14ac:dyDescent="0.2">
      <c r="A272">
        <v>267</v>
      </c>
      <c r="B272">
        <v>1139770.6426997359</v>
      </c>
      <c r="C272">
        <v>145453.10136753073</v>
      </c>
      <c r="D272">
        <v>114078.95311319064</v>
      </c>
      <c r="E272">
        <v>26905.703282491122</v>
      </c>
      <c r="F272">
        <v>37862.702534941694</v>
      </c>
      <c r="G272">
        <v>10000</v>
      </c>
      <c r="H272">
        <v>314300.46029815415</v>
      </c>
      <c r="I272">
        <v>42.631120844574369</v>
      </c>
    </row>
    <row r="273" spans="1:9" x14ac:dyDescent="0.2">
      <c r="A273">
        <v>268</v>
      </c>
      <c r="B273">
        <v>1366904.7886592916</v>
      </c>
      <c r="C273">
        <v>111227.69229707311</v>
      </c>
      <c r="D273">
        <v>68401.298404219488</v>
      </c>
      <c r="E273">
        <v>159853.75890170434</v>
      </c>
      <c r="F273">
        <v>47066.79869319492</v>
      </c>
      <c r="G273">
        <v>10000</v>
      </c>
      <c r="H273">
        <v>376549.54829619185</v>
      </c>
      <c r="I273">
        <v>38.811591146125366</v>
      </c>
    </row>
    <row r="274" spans="1:9" x14ac:dyDescent="0.2">
      <c r="A274">
        <v>269</v>
      </c>
      <c r="B274">
        <v>1457824.0376062794</v>
      </c>
      <c r="C274">
        <v>155715.88691451313</v>
      </c>
      <c r="D274">
        <v>48313.753863538135</v>
      </c>
      <c r="E274">
        <v>160337.24767733525</v>
      </c>
      <c r="F274">
        <v>47100.270993046281</v>
      </c>
      <c r="G274">
        <v>10000</v>
      </c>
      <c r="H274">
        <v>401467.15944843279</v>
      </c>
      <c r="I274">
        <v>54.031875238783208</v>
      </c>
    </row>
    <row r="275" spans="1:9" x14ac:dyDescent="0.2">
      <c r="A275">
        <v>270</v>
      </c>
      <c r="B275">
        <v>1171282.5572229039</v>
      </c>
      <c r="C275">
        <v>83825.074404729603</v>
      </c>
      <c r="D275">
        <v>104813.73879556845</v>
      </c>
      <c r="E275">
        <v>101285.80580859591</v>
      </c>
      <c r="F275">
        <v>43012.094248287402</v>
      </c>
      <c r="G275">
        <v>10000</v>
      </c>
      <c r="H275">
        <v>322936.71325718134</v>
      </c>
      <c r="I275">
        <v>30.266791842721751</v>
      </c>
    </row>
    <row r="276" spans="1:9" x14ac:dyDescent="0.2">
      <c r="A276">
        <v>271</v>
      </c>
      <c r="B276">
        <v>1177150.889913409</v>
      </c>
      <c r="C276">
        <v>102152.69242634618</v>
      </c>
      <c r="D276">
        <v>58967.393212752148</v>
      </c>
      <c r="E276">
        <v>128526.90459125151</v>
      </c>
      <c r="F276">
        <v>44898.016471702031</v>
      </c>
      <c r="G276">
        <v>10000</v>
      </c>
      <c r="H276">
        <v>324545.00670205185</v>
      </c>
      <c r="I276">
        <v>32.317687048231058</v>
      </c>
    </row>
    <row r="277" spans="1:9" x14ac:dyDescent="0.2">
      <c r="A277">
        <v>272</v>
      </c>
      <c r="B277">
        <v>1439271.2304314109</v>
      </c>
      <c r="C277">
        <v>92580.13345206705</v>
      </c>
      <c r="D277">
        <v>64045.006120307306</v>
      </c>
      <c r="E277">
        <v>199916.97413910148</v>
      </c>
      <c r="F277">
        <v>49840.405901937796</v>
      </c>
      <c r="G277">
        <v>10000</v>
      </c>
      <c r="H277">
        <v>396382.51961341366</v>
      </c>
      <c r="I277">
        <v>30.80908369732083</v>
      </c>
    </row>
    <row r="278" spans="1:9" x14ac:dyDescent="0.2">
      <c r="A278">
        <v>273</v>
      </c>
      <c r="B278">
        <v>1087497.4933162334</v>
      </c>
      <c r="C278">
        <v>82969.345654920588</v>
      </c>
      <c r="D278">
        <v>117603.12808216209</v>
      </c>
      <c r="E278">
        <v>68649.207769973073</v>
      </c>
      <c r="F278">
        <v>40752.637460998136</v>
      </c>
      <c r="G278">
        <v>10000</v>
      </c>
      <c r="H278">
        <v>299974.31896805391</v>
      </c>
      <c r="I278">
        <v>28.747496508574599</v>
      </c>
    </row>
    <row r="279" spans="1:9" x14ac:dyDescent="0.2">
      <c r="A279">
        <v>274</v>
      </c>
      <c r="B279">
        <v>1135120.3334508527</v>
      </c>
      <c r="C279">
        <v>125850.92317605476</v>
      </c>
      <c r="D279">
        <v>50314.701164060571</v>
      </c>
      <c r="E279">
        <v>103682.34901465868</v>
      </c>
      <c r="F279">
        <v>43178.00877793791</v>
      </c>
      <c r="G279">
        <v>10000</v>
      </c>
      <c r="H279">
        <v>313025.98213271191</v>
      </c>
      <c r="I279">
        <v>31.842906861174921</v>
      </c>
    </row>
    <row r="280" spans="1:9" x14ac:dyDescent="0.2">
      <c r="A280">
        <v>275</v>
      </c>
      <c r="B280">
        <v>1070583.4229174473</v>
      </c>
      <c r="C280">
        <v>83919.59915898733</v>
      </c>
      <c r="D280">
        <v>44837.834465280561</v>
      </c>
      <c r="E280">
        <v>131478.97239217209</v>
      </c>
      <c r="F280">
        <v>45102.390396381146</v>
      </c>
      <c r="G280">
        <v>10000</v>
      </c>
      <c r="H280">
        <v>295338.79641282116</v>
      </c>
      <c r="I280">
        <v>30.901772292474419</v>
      </c>
    </row>
    <row r="281" spans="1:9" x14ac:dyDescent="0.2">
      <c r="A281">
        <v>276</v>
      </c>
      <c r="B281">
        <v>1501885.9054120302</v>
      </c>
      <c r="C281">
        <v>105531.19359693467</v>
      </c>
      <c r="D281">
        <v>160048.08650271303</v>
      </c>
      <c r="E281">
        <v>114066.68692131198</v>
      </c>
      <c r="F281">
        <v>43896.924479167756</v>
      </c>
      <c r="G281">
        <v>10000</v>
      </c>
      <c r="H281">
        <v>413542.89150012744</v>
      </c>
      <c r="I281">
        <v>33.532242652150472</v>
      </c>
    </row>
    <row r="282" spans="1:9" x14ac:dyDescent="0.2">
      <c r="A282">
        <v>277</v>
      </c>
      <c r="B282">
        <v>1524610.5620068947</v>
      </c>
      <c r="C282">
        <v>170965.11241762919</v>
      </c>
      <c r="D282">
        <v>92902.928030030205</v>
      </c>
      <c r="E282">
        <v>121491.86556124865</v>
      </c>
      <c r="F282">
        <v>44410.975308086439</v>
      </c>
      <c r="G282">
        <v>10000</v>
      </c>
      <c r="H282">
        <v>419770.88131699449</v>
      </c>
      <c r="I282">
        <v>30.427479542356906</v>
      </c>
    </row>
    <row r="283" spans="1:9" x14ac:dyDescent="0.2">
      <c r="A283">
        <v>278</v>
      </c>
      <c r="B283">
        <v>1275347.1421322648</v>
      </c>
      <c r="C283">
        <v>111584.18384290078</v>
      </c>
      <c r="D283">
        <v>150507.74712794562</v>
      </c>
      <c r="E283">
        <v>59262.272258888697</v>
      </c>
      <c r="F283">
        <v>40102.772694846135</v>
      </c>
      <c r="G283">
        <v>10000</v>
      </c>
      <c r="H283">
        <v>351456.97592458123</v>
      </c>
      <c r="I283">
        <v>35.068847550041909</v>
      </c>
    </row>
    <row r="284" spans="1:9" x14ac:dyDescent="0.2">
      <c r="A284">
        <v>279</v>
      </c>
      <c r="B284">
        <v>946432.53526839975</v>
      </c>
      <c r="C284">
        <v>111753.37081148714</v>
      </c>
      <c r="D284">
        <v>56488.93410600481</v>
      </c>
      <c r="E284">
        <v>62728.567467160879</v>
      </c>
      <c r="F284">
        <v>40342.74697849575</v>
      </c>
      <c r="G284">
        <v>10000</v>
      </c>
      <c r="H284">
        <v>261313.61936314858</v>
      </c>
      <c r="I284">
        <v>28.076627163503552</v>
      </c>
    </row>
    <row r="285" spans="1:9" x14ac:dyDescent="0.2">
      <c r="A285">
        <v>280</v>
      </c>
      <c r="B285">
        <v>1610009.0226021851</v>
      </c>
      <c r="C285">
        <v>116778.14394382785</v>
      </c>
      <c r="D285">
        <v>110438.32121317198</v>
      </c>
      <c r="E285">
        <v>177659.48045309557</v>
      </c>
      <c r="F285">
        <v>48299.50249290662</v>
      </c>
      <c r="G285">
        <v>10000</v>
      </c>
      <c r="H285">
        <v>443175.44810300204</v>
      </c>
      <c r="I285">
        <v>37.49513197504028</v>
      </c>
    </row>
    <row r="286" spans="1:9" x14ac:dyDescent="0.2">
      <c r="A286">
        <v>281</v>
      </c>
      <c r="B286">
        <v>1085725.1613235874</v>
      </c>
      <c r="C286">
        <v>91541.6144803879</v>
      </c>
      <c r="D286">
        <v>55774.476006886965</v>
      </c>
      <c r="E286">
        <v>118003.0553859401</v>
      </c>
      <c r="F286">
        <v>44169.442295949695</v>
      </c>
      <c r="G286">
        <v>10000</v>
      </c>
      <c r="H286">
        <v>299488.58816916461</v>
      </c>
      <c r="I286">
        <v>35.676633275327866</v>
      </c>
    </row>
    <row r="287" spans="1:9" x14ac:dyDescent="0.2">
      <c r="A287">
        <v>282</v>
      </c>
      <c r="B287">
        <v>1364063.2981748041</v>
      </c>
      <c r="C287">
        <v>105790.71236517701</v>
      </c>
      <c r="D287">
        <v>101132.0610519021</v>
      </c>
      <c r="E287">
        <v>133598.87435064855</v>
      </c>
      <c r="F287">
        <v>45249.152839660288</v>
      </c>
      <c r="G287">
        <v>10000</v>
      </c>
      <c r="H287">
        <v>375770.80060738797</v>
      </c>
      <c r="I287">
        <v>39.299858447208855</v>
      </c>
    </row>
    <row r="288" spans="1:9" x14ac:dyDescent="0.2">
      <c r="A288">
        <v>283</v>
      </c>
      <c r="B288">
        <v>812005.65955764952</v>
      </c>
      <c r="C288">
        <v>100033.41245956342</v>
      </c>
      <c r="D288">
        <v>58724.113082170697</v>
      </c>
      <c r="E288">
        <v>37143.195630047187</v>
      </c>
      <c r="F288">
        <v>38571.452005157109</v>
      </c>
      <c r="G288">
        <v>10000</v>
      </c>
      <c r="H288">
        <v>224472.17317693841</v>
      </c>
      <c r="I288">
        <v>31.692629973067035</v>
      </c>
    </row>
    <row r="289" spans="1:9" x14ac:dyDescent="0.2">
      <c r="A289">
        <v>284</v>
      </c>
      <c r="B289">
        <v>925237.3649142147</v>
      </c>
      <c r="C289">
        <v>102599.91688408957</v>
      </c>
      <c r="D289">
        <v>69199.18620979866</v>
      </c>
      <c r="E289">
        <v>53969.361762159271</v>
      </c>
      <c r="F289">
        <v>39736.340429687953</v>
      </c>
      <c r="G289">
        <v>10000</v>
      </c>
      <c r="H289">
        <v>255504.80528573546</v>
      </c>
      <c r="I289">
        <v>47.017941984361684</v>
      </c>
    </row>
    <row r="290" spans="1:9" x14ac:dyDescent="0.2">
      <c r="A290">
        <v>285</v>
      </c>
      <c r="B290">
        <v>979888.22729158087</v>
      </c>
      <c r="C290">
        <v>123809.6347233643</v>
      </c>
      <c r="D290">
        <v>58942.05338505363</v>
      </c>
      <c r="E290">
        <v>57733.937028549495</v>
      </c>
      <c r="F290">
        <v>39996.964871207274</v>
      </c>
      <c r="G290">
        <v>10000</v>
      </c>
      <c r="H290">
        <v>270482.59000817471</v>
      </c>
      <c r="I290">
        <v>37.91058666821521</v>
      </c>
    </row>
    <row r="291" spans="1:9" x14ac:dyDescent="0.2">
      <c r="A291">
        <v>286</v>
      </c>
      <c r="B291">
        <v>1186318.7947519859</v>
      </c>
      <c r="C291">
        <v>85795.68002557708</v>
      </c>
      <c r="D291">
        <v>83334.94758839329</v>
      </c>
      <c r="E291">
        <v>123384.92989415258</v>
      </c>
      <c r="F291">
        <v>44542.033608056721</v>
      </c>
      <c r="G291">
        <v>10000</v>
      </c>
      <c r="H291">
        <v>327057.59111617965</v>
      </c>
      <c r="I291">
        <v>34.566118780126999</v>
      </c>
    </row>
    <row r="292" spans="1:9" x14ac:dyDescent="0.2">
      <c r="A292">
        <v>287</v>
      </c>
      <c r="B292">
        <v>1113426.9550907039</v>
      </c>
      <c r="C292">
        <v>107171.22579426647</v>
      </c>
      <c r="D292">
        <v>61193.741467552049</v>
      </c>
      <c r="E292">
        <v>105417.52408075702</v>
      </c>
      <c r="F292">
        <v>43298.136282513944</v>
      </c>
      <c r="G292">
        <v>10000</v>
      </c>
      <c r="H292">
        <v>307080.62762508949</v>
      </c>
      <c r="I292">
        <v>31.951243858250518</v>
      </c>
    </row>
    <row r="293" spans="1:9" x14ac:dyDescent="0.2">
      <c r="A293">
        <v>288</v>
      </c>
      <c r="B293">
        <v>1080041.2826940604</v>
      </c>
      <c r="C293">
        <v>122469.4293510282</v>
      </c>
      <c r="D293">
        <v>92124.229986845952</v>
      </c>
      <c r="E293">
        <v>53624.707675873811</v>
      </c>
      <c r="F293">
        <v>39712.479762175877</v>
      </c>
      <c r="G293">
        <v>10000</v>
      </c>
      <c r="H293">
        <v>297930.84677592386</v>
      </c>
      <c r="I293">
        <v>26.970372456145896</v>
      </c>
    </row>
    <row r="294" spans="1:9" x14ac:dyDescent="0.2">
      <c r="A294">
        <v>289</v>
      </c>
      <c r="B294">
        <v>1394218.5040132436</v>
      </c>
      <c r="C294">
        <v>150586.56846415831</v>
      </c>
      <c r="D294">
        <v>58381.04600858123</v>
      </c>
      <c r="E294">
        <v>139415.75532280799</v>
      </c>
      <c r="F294">
        <v>45651.859983886709</v>
      </c>
      <c r="G294">
        <v>10000</v>
      </c>
      <c r="H294">
        <v>384035.22977943427</v>
      </c>
      <c r="I294">
        <v>27.775167386067487</v>
      </c>
    </row>
    <row r="295" spans="1:9" x14ac:dyDescent="0.2">
      <c r="A295">
        <v>290</v>
      </c>
      <c r="B295">
        <v>1351319.7583491178</v>
      </c>
      <c r="C295">
        <v>123950.99859849211</v>
      </c>
      <c r="D295">
        <v>82077.150991591581</v>
      </c>
      <c r="E295">
        <v>131169.17416953022</v>
      </c>
      <c r="F295">
        <v>45080.942827121326</v>
      </c>
      <c r="G295">
        <v>10000</v>
      </c>
      <c r="H295">
        <v>372278.26658673526</v>
      </c>
      <c r="I295">
        <v>37.513546001690074</v>
      </c>
    </row>
    <row r="296" spans="1:9" x14ac:dyDescent="0.2">
      <c r="A296">
        <v>291</v>
      </c>
      <c r="B296">
        <v>1711091.3323433702</v>
      </c>
      <c r="C296">
        <v>155195.27585656775</v>
      </c>
      <c r="D296">
        <v>127191.94775917742</v>
      </c>
      <c r="E296">
        <v>151970.14550564007</v>
      </c>
      <c r="F296">
        <v>46521.010073467391</v>
      </c>
      <c r="G296">
        <v>10000</v>
      </c>
      <c r="H296">
        <v>470878.37919485266</v>
      </c>
      <c r="I296">
        <v>47.290866977492115</v>
      </c>
    </row>
    <row r="297" spans="1:9" x14ac:dyDescent="0.2">
      <c r="A297">
        <v>292</v>
      </c>
      <c r="B297">
        <v>1003762.9480604675</v>
      </c>
      <c r="C297">
        <v>109570.81217148845</v>
      </c>
      <c r="D297">
        <v>68378.734348585815</v>
      </c>
      <c r="E297">
        <v>68344.669420114267</v>
      </c>
      <c r="F297">
        <v>40731.554036777139</v>
      </c>
      <c r="G297">
        <v>10000</v>
      </c>
      <c r="H297">
        <v>277025.76997696562</v>
      </c>
      <c r="I297">
        <v>41.812352365505035</v>
      </c>
    </row>
    <row r="298" spans="1:9" x14ac:dyDescent="0.2">
      <c r="A298">
        <v>293</v>
      </c>
      <c r="B298">
        <v>1317770.445940013</v>
      </c>
      <c r="C298">
        <v>85400.745343607909</v>
      </c>
      <c r="D298">
        <v>140803.63362765545</v>
      </c>
      <c r="E298">
        <v>103700.02647519327</v>
      </c>
      <c r="F298">
        <v>43179.232602128766</v>
      </c>
      <c r="G298">
        <v>10000</v>
      </c>
      <c r="H298">
        <v>363083.63804858539</v>
      </c>
      <c r="I298">
        <v>27.979116189632727</v>
      </c>
    </row>
    <row r="299" spans="1:9" x14ac:dyDescent="0.2">
      <c r="A299">
        <v>294</v>
      </c>
      <c r="B299">
        <v>1310765.5763345028</v>
      </c>
      <c r="C299">
        <v>108177.56438457523</v>
      </c>
      <c r="D299">
        <v>151798.72825954703</v>
      </c>
      <c r="E299">
        <v>70319.309258460402</v>
      </c>
      <c r="F299">
        <v>40868.259871739567</v>
      </c>
      <c r="G299">
        <v>10000</v>
      </c>
      <c r="H299">
        <v>361163.86177432223</v>
      </c>
      <c r="I299">
        <v>39.631594263379412</v>
      </c>
    </row>
    <row r="300" spans="1:9" x14ac:dyDescent="0.2">
      <c r="A300">
        <v>295</v>
      </c>
      <c r="B300">
        <v>1348696.683143839</v>
      </c>
      <c r="C300">
        <v>110305.66633696402</v>
      </c>
      <c r="D300">
        <v>61111.494494653554</v>
      </c>
      <c r="E300">
        <v>162866.82224825048</v>
      </c>
      <c r="F300">
        <v>47275.395386417338</v>
      </c>
      <c r="G300">
        <v>10000</v>
      </c>
      <c r="H300">
        <v>371559.37846628536</v>
      </c>
      <c r="I300">
        <v>46.525870098647985</v>
      </c>
    </row>
    <row r="301" spans="1:9" x14ac:dyDescent="0.2">
      <c r="A301">
        <v>296</v>
      </c>
      <c r="B301">
        <v>1222124.2656122239</v>
      </c>
      <c r="C301">
        <v>143583.99023402861</v>
      </c>
      <c r="D301">
        <v>89656.037032537308</v>
      </c>
      <c r="E301">
        <v>72604.085478420559</v>
      </c>
      <c r="F301">
        <v>41026.43668696758</v>
      </c>
      <c r="G301">
        <v>10000</v>
      </c>
      <c r="H301">
        <v>336870.54943195404</v>
      </c>
      <c r="I301">
        <v>49.277248127876504</v>
      </c>
    </row>
    <row r="302" spans="1:9" x14ac:dyDescent="0.2">
      <c r="A302">
        <v>297</v>
      </c>
      <c r="B302">
        <v>1077921.1322098076</v>
      </c>
      <c r="C302">
        <v>109287.42338698503</v>
      </c>
      <c r="D302">
        <v>71311.170127100675</v>
      </c>
      <c r="E302">
        <v>84875.221384093456</v>
      </c>
      <c r="F302">
        <v>41875.976865052624</v>
      </c>
      <c r="G302">
        <v>10000</v>
      </c>
      <c r="H302">
        <v>297349.79176323174</v>
      </c>
      <c r="I302">
        <v>40.866418063558953</v>
      </c>
    </row>
    <row r="303" spans="1:9" x14ac:dyDescent="0.2">
      <c r="A303">
        <v>298</v>
      </c>
      <c r="B303">
        <v>1625362.7907230428</v>
      </c>
      <c r="C303">
        <v>141446.73953492599</v>
      </c>
      <c r="D303">
        <v>107594.62099651121</v>
      </c>
      <c r="E303">
        <v>161183.15503832165</v>
      </c>
      <c r="F303">
        <v>47158.833810345342</v>
      </c>
      <c r="G303">
        <v>10000</v>
      </c>
      <c r="H303">
        <v>447383.34938010416</v>
      </c>
      <c r="I303">
        <v>30.212648985726897</v>
      </c>
    </row>
    <row r="304" spans="1:9" x14ac:dyDescent="0.2">
      <c r="A304">
        <v>299</v>
      </c>
      <c r="B304">
        <v>1358183.1703181767</v>
      </c>
      <c r="C304">
        <v>152131.72424788855</v>
      </c>
      <c r="D304">
        <v>47192.404900712332</v>
      </c>
      <c r="E304">
        <v>139198.33741897272</v>
      </c>
      <c r="F304">
        <v>45636.807975159652</v>
      </c>
      <c r="G304">
        <v>10000</v>
      </c>
      <c r="H304">
        <v>374159.27454273327</v>
      </c>
      <c r="I304">
        <v>33.621213711830229</v>
      </c>
    </row>
    <row r="305" spans="1:9" x14ac:dyDescent="0.2">
      <c r="A305">
        <v>300</v>
      </c>
      <c r="B305">
        <v>1509781.9434602666</v>
      </c>
      <c r="C305">
        <v>104772.98380562205</v>
      </c>
      <c r="D305">
        <v>71490.858350305774</v>
      </c>
      <c r="E305">
        <v>199623.00762952128</v>
      </c>
      <c r="F305">
        <v>49820.054374351472</v>
      </c>
      <c r="G305">
        <v>10000</v>
      </c>
      <c r="H305">
        <v>415706.90415980056</v>
      </c>
      <c r="I305">
        <v>33.016457961831442</v>
      </c>
    </row>
    <row r="306" spans="1:9" x14ac:dyDescent="0.2">
      <c r="A306">
        <v>301</v>
      </c>
      <c r="B306">
        <v>1460866.9058529697</v>
      </c>
      <c r="C306">
        <v>124492.69023494099</v>
      </c>
      <c r="D306">
        <v>93175.284985056394</v>
      </c>
      <c r="E306">
        <v>148361.91278427464</v>
      </c>
      <c r="F306">
        <v>46271.209346603624</v>
      </c>
      <c r="G306">
        <v>10000</v>
      </c>
      <c r="H306">
        <v>402301.09735087561</v>
      </c>
      <c r="I306">
        <v>29.972627070772624</v>
      </c>
    </row>
    <row r="307" spans="1:9" x14ac:dyDescent="0.2">
      <c r="A307">
        <v>302</v>
      </c>
      <c r="B307">
        <v>1127072.3051763005</v>
      </c>
      <c r="C307">
        <v>137764.10314999204</v>
      </c>
      <c r="D307">
        <v>76121.162916491114</v>
      </c>
      <c r="E307">
        <v>66342.131685100103</v>
      </c>
      <c r="F307">
        <v>40592.916808968468</v>
      </c>
      <c r="G307">
        <v>10000</v>
      </c>
      <c r="H307">
        <v>310820.31456055172</v>
      </c>
      <c r="I307">
        <v>43.88965418960484</v>
      </c>
    </row>
    <row r="308" spans="1:9" x14ac:dyDescent="0.2">
      <c r="A308">
        <v>303</v>
      </c>
      <c r="B308">
        <v>1320674.4105764225</v>
      </c>
      <c r="C308">
        <v>155959.15351301114</v>
      </c>
      <c r="D308">
        <v>75959.123844986781</v>
      </c>
      <c r="E308">
        <v>99100.431158864114</v>
      </c>
      <c r="F308">
        <v>42860.799080229051</v>
      </c>
      <c r="G308">
        <v>10000</v>
      </c>
      <c r="H308">
        <v>363879.50759709108</v>
      </c>
      <c r="I308">
        <v>33.420009219764026</v>
      </c>
    </row>
    <row r="309" spans="1:9" x14ac:dyDescent="0.2">
      <c r="A309">
        <v>304</v>
      </c>
      <c r="B309">
        <v>1294370.0510370764</v>
      </c>
      <c r="C309">
        <v>123630.70940830647</v>
      </c>
      <c r="D309">
        <v>125560.85787533385</v>
      </c>
      <c r="E309">
        <v>76203.274688467369</v>
      </c>
      <c r="F309">
        <v>41275.6113245862</v>
      </c>
      <c r="G309">
        <v>10000</v>
      </c>
      <c r="H309">
        <v>356670.45329669392</v>
      </c>
      <c r="I309">
        <v>36.004056008895887</v>
      </c>
    </row>
    <row r="310" spans="1:9" x14ac:dyDescent="0.2">
      <c r="A310">
        <v>305</v>
      </c>
      <c r="B310">
        <v>1802223.8819663301</v>
      </c>
      <c r="C310">
        <v>119883.12159726712</v>
      </c>
      <c r="D310">
        <v>130890.47423740081</v>
      </c>
      <c r="E310">
        <v>204895.7611969744</v>
      </c>
      <c r="F310">
        <v>50185.091159790536</v>
      </c>
      <c r="G310">
        <v>10000</v>
      </c>
      <c r="H310">
        <v>495854.44819143286</v>
      </c>
      <c r="I310">
        <v>35.921912572192596</v>
      </c>
    </row>
    <row r="311" spans="1:9" x14ac:dyDescent="0.2">
      <c r="A311">
        <v>306</v>
      </c>
      <c r="B311">
        <v>1299296.4855281878</v>
      </c>
      <c r="C311">
        <v>114899.9764983818</v>
      </c>
      <c r="D311">
        <v>86707.418269436632</v>
      </c>
      <c r="E311">
        <v>121969.19148503328</v>
      </c>
      <c r="F311">
        <v>44444.020948963844</v>
      </c>
      <c r="G311">
        <v>10000</v>
      </c>
      <c r="H311">
        <v>358020.60720181558</v>
      </c>
      <c r="I311">
        <v>37.406874670367522</v>
      </c>
    </row>
    <row r="312" spans="1:9" x14ac:dyDescent="0.2">
      <c r="A312">
        <v>307</v>
      </c>
      <c r="B312">
        <v>1312804.8852102535</v>
      </c>
      <c r="C312">
        <v>128182.58160858479</v>
      </c>
      <c r="D312">
        <v>67997.947430549524</v>
      </c>
      <c r="E312">
        <v>130507.12349635415</v>
      </c>
      <c r="F312">
        <v>45035.108549747594</v>
      </c>
      <c r="G312">
        <v>10000</v>
      </c>
      <c r="H312">
        <v>361722.7610852361</v>
      </c>
      <c r="I312">
        <v>31.148290143167923</v>
      </c>
    </row>
    <row r="313" spans="1:9" x14ac:dyDescent="0.2">
      <c r="A313">
        <v>308</v>
      </c>
      <c r="B313">
        <v>1417561.8225437873</v>
      </c>
      <c r="C313">
        <v>145165.03030767539</v>
      </c>
      <c r="D313">
        <v>138214.88549154327</v>
      </c>
      <c r="E313">
        <v>75804.82954386338</v>
      </c>
      <c r="F313">
        <v>41248.026660729003</v>
      </c>
      <c r="G313">
        <v>10000</v>
      </c>
      <c r="H313">
        <v>390432.77200381109</v>
      </c>
      <c r="I313">
        <v>27.206511271026351</v>
      </c>
    </row>
    <row r="314" spans="1:9" x14ac:dyDescent="0.2">
      <c r="A314">
        <v>309</v>
      </c>
      <c r="B314">
        <v>1608083.4260959064</v>
      </c>
      <c r="C314">
        <v>135285.36407462301</v>
      </c>
      <c r="D314">
        <v>66076.235175169335</v>
      </c>
      <c r="E314">
        <v>201346.72523648373</v>
      </c>
      <c r="F314">
        <v>49939.388670218104</v>
      </c>
      <c r="G314">
        <v>10000</v>
      </c>
      <c r="H314">
        <v>442647.7131564942</v>
      </c>
      <c r="I314">
        <v>30.170505164009057</v>
      </c>
    </row>
    <row r="315" spans="1:9" x14ac:dyDescent="0.2">
      <c r="A315">
        <v>310</v>
      </c>
      <c r="B315">
        <v>1296905.7785931907</v>
      </c>
      <c r="C315">
        <v>104778.85744974064</v>
      </c>
      <c r="D315">
        <v>94333.081491347504</v>
      </c>
      <c r="E315">
        <v>123690.2897994188</v>
      </c>
      <c r="F315">
        <v>44563.173909190533</v>
      </c>
      <c r="G315">
        <v>10000</v>
      </c>
      <c r="H315">
        <v>357365.40264969744</v>
      </c>
      <c r="I315">
        <v>41.88010175376057</v>
      </c>
    </row>
    <row r="316" spans="1:9" x14ac:dyDescent="0.2">
      <c r="A316">
        <v>311</v>
      </c>
      <c r="B316">
        <v>1271018.4929396373</v>
      </c>
      <c r="C316">
        <v>119819.15930721578</v>
      </c>
      <c r="D316">
        <v>120863.89674342763</v>
      </c>
      <c r="E316">
        <v>78175.450301124671</v>
      </c>
      <c r="F316">
        <v>41412.146559308632</v>
      </c>
      <c r="G316">
        <v>10000</v>
      </c>
      <c r="H316">
        <v>350270.65291107673</v>
      </c>
      <c r="I316">
        <v>36.031342146624056</v>
      </c>
    </row>
    <row r="317" spans="1:9" x14ac:dyDescent="0.2">
      <c r="A317">
        <v>312</v>
      </c>
      <c r="B317">
        <v>1623682.4437276325</v>
      </c>
      <c r="C317">
        <v>114151.02245045851</v>
      </c>
      <c r="D317">
        <v>120857.04098441158</v>
      </c>
      <c r="E317">
        <v>173877.11819547418</v>
      </c>
      <c r="F317">
        <v>48037.646644302054</v>
      </c>
      <c r="G317">
        <v>10000</v>
      </c>
      <c r="H317">
        <v>446922.82827464631</v>
      </c>
      <c r="I317">
        <v>44.517712636149426</v>
      </c>
    </row>
    <row r="318" spans="1:9" x14ac:dyDescent="0.2">
      <c r="A318">
        <v>313</v>
      </c>
      <c r="B318">
        <v>1373049.2327424088</v>
      </c>
      <c r="C318">
        <v>132896.86321208102</v>
      </c>
      <c r="D318">
        <v>111345.52115692777</v>
      </c>
      <c r="E318">
        <v>100998.89792149898</v>
      </c>
      <c r="F318">
        <v>42992.231394565315</v>
      </c>
      <c r="G318">
        <v>10000</v>
      </c>
      <c r="H318">
        <v>378233.51368507312</v>
      </c>
      <c r="I318">
        <v>24.876554441090022</v>
      </c>
    </row>
    <row r="319" spans="1:9" x14ac:dyDescent="0.2">
      <c r="A319">
        <v>314</v>
      </c>
      <c r="B319">
        <v>1306978.2209871646</v>
      </c>
      <c r="C319">
        <v>133647.54711163914</v>
      </c>
      <c r="D319">
        <v>89231.131988089503</v>
      </c>
      <c r="E319">
        <v>104044.15167550214</v>
      </c>
      <c r="F319">
        <v>43203.05665445784</v>
      </c>
      <c r="G319">
        <v>10000</v>
      </c>
      <c r="H319">
        <v>360125.88742968859</v>
      </c>
      <c r="I319">
        <v>35.36124776933876</v>
      </c>
    </row>
    <row r="320" spans="1:9" x14ac:dyDescent="0.2">
      <c r="A320">
        <v>315</v>
      </c>
      <c r="B320">
        <v>1722922.8395849913</v>
      </c>
      <c r="C320">
        <v>114369.73017550763</v>
      </c>
      <c r="D320">
        <v>148239.5082046983</v>
      </c>
      <c r="E320">
        <v>173500.17011960072</v>
      </c>
      <c r="F320">
        <v>48011.550239049284</v>
      </c>
      <c r="G320">
        <v>10000</v>
      </c>
      <c r="H320">
        <v>474120.95873885596</v>
      </c>
      <c r="I320">
        <v>28.935816306642476</v>
      </c>
    </row>
    <row r="321" spans="1:9" x14ac:dyDescent="0.2">
      <c r="A321">
        <v>316</v>
      </c>
      <c r="B321">
        <v>1557049.5615460279</v>
      </c>
      <c r="C321">
        <v>123126.49108292442</v>
      </c>
      <c r="D321">
        <v>155995.0249674198</v>
      </c>
      <c r="E321">
        <v>115540.72476547127</v>
      </c>
      <c r="F321">
        <v>43998.973252994161</v>
      </c>
      <c r="G321">
        <v>10000</v>
      </c>
      <c r="H321">
        <v>428661.2140688097</v>
      </c>
      <c r="I321">
        <v>36.142908657432152</v>
      </c>
    </row>
    <row r="322" spans="1:9" x14ac:dyDescent="0.2">
      <c r="A322">
        <v>317</v>
      </c>
      <c r="B322">
        <v>1359630.9204679339</v>
      </c>
      <c r="C322">
        <v>109949.06125991953</v>
      </c>
      <c r="D322">
        <v>123453.39462663338</v>
      </c>
      <c r="E322">
        <v>107697.60547769867</v>
      </c>
      <c r="F322">
        <v>43455.988071532985</v>
      </c>
      <c r="G322">
        <v>10000</v>
      </c>
      <c r="H322">
        <v>374556.04943578457</v>
      </c>
      <c r="I322">
        <v>47.738439915973416</v>
      </c>
    </row>
    <row r="323" spans="1:9" x14ac:dyDescent="0.2">
      <c r="A323">
        <v>318</v>
      </c>
      <c r="B323">
        <v>1700564.6718881731</v>
      </c>
      <c r="C323">
        <v>108757.64136505524</v>
      </c>
      <c r="D323">
        <v>122416.7287824681</v>
      </c>
      <c r="E323">
        <v>197168.88619786975</v>
      </c>
      <c r="F323">
        <v>49650.15365985252</v>
      </c>
      <c r="G323">
        <v>10000</v>
      </c>
      <c r="H323">
        <v>467993.41000524565</v>
      </c>
      <c r="I323">
        <v>46.8281179373909</v>
      </c>
    </row>
    <row r="324" spans="1:9" x14ac:dyDescent="0.2">
      <c r="A324">
        <v>319</v>
      </c>
      <c r="B324">
        <v>1712248.3900829863</v>
      </c>
      <c r="C324">
        <v>94408.877477703238</v>
      </c>
      <c r="D324">
        <v>128785.69954618847</v>
      </c>
      <c r="E324">
        <v>207626.74942553299</v>
      </c>
      <c r="F324">
        <v>50374.159575613819</v>
      </c>
      <c r="G324">
        <v>10000</v>
      </c>
      <c r="H324">
        <v>471195.48602503852</v>
      </c>
      <c r="I324">
        <v>29.230886222883235</v>
      </c>
    </row>
    <row r="325" spans="1:9" x14ac:dyDescent="0.2">
      <c r="A325">
        <v>320</v>
      </c>
      <c r="B325">
        <v>1488776.2342829686</v>
      </c>
      <c r="C325">
        <v>116888.20493304274</v>
      </c>
      <c r="D325">
        <v>55605.902960218817</v>
      </c>
      <c r="E325">
        <v>197764.51687654553</v>
      </c>
      <c r="F325">
        <v>49691.389629914687</v>
      </c>
      <c r="G325">
        <v>10000</v>
      </c>
      <c r="H325">
        <v>409950.01439972175</v>
      </c>
      <c r="I325">
        <v>34.319683917694675</v>
      </c>
    </row>
    <row r="326" spans="1:9" x14ac:dyDescent="0.2">
      <c r="A326">
        <v>321</v>
      </c>
      <c r="B326">
        <v>1782332.2755559464</v>
      </c>
      <c r="C326">
        <v>163362.63698421264</v>
      </c>
      <c r="D326">
        <v>95344.893389693665</v>
      </c>
      <c r="E326">
        <v>192376.95774754669</v>
      </c>
      <c r="F326">
        <v>49318.404767137843</v>
      </c>
      <c r="G326">
        <v>10000</v>
      </c>
      <c r="H326">
        <v>490402.89288859081</v>
      </c>
      <c r="I326">
        <v>31.817196318341672</v>
      </c>
    </row>
    <row r="327" spans="1:9" x14ac:dyDescent="0.2">
      <c r="A327">
        <v>322</v>
      </c>
      <c r="B327">
        <v>1672628.9724973217</v>
      </c>
      <c r="C327">
        <v>152258.87970286098</v>
      </c>
      <c r="D327">
        <v>114959.30144391289</v>
      </c>
      <c r="E327">
        <v>156298.42435472793</v>
      </c>
      <c r="F327">
        <v>46820.660147635012</v>
      </c>
      <c r="G327">
        <v>10000</v>
      </c>
      <c r="H327">
        <v>460337.26564913685</v>
      </c>
      <c r="I327">
        <v>24.654996441957714</v>
      </c>
    </row>
    <row r="328" spans="1:9" x14ac:dyDescent="0.2">
      <c r="A328">
        <v>323</v>
      </c>
      <c r="B328">
        <v>981282.99412277865</v>
      </c>
      <c r="C328">
        <v>117638.15394962403</v>
      </c>
      <c r="D328">
        <v>63147.676201177848</v>
      </c>
      <c r="E328">
        <v>59930.013072882939</v>
      </c>
      <c r="F328">
        <v>40149.000905045745</v>
      </c>
      <c r="G328">
        <v>10000</v>
      </c>
      <c r="H328">
        <v>270864.84412873059</v>
      </c>
      <c r="I328">
        <v>37.01147949011397</v>
      </c>
    </row>
    <row r="329" spans="1:9" x14ac:dyDescent="0.2">
      <c r="A329">
        <v>324</v>
      </c>
      <c r="B329">
        <v>1896550.8409496881</v>
      </c>
      <c r="C329">
        <v>153962.54642228599</v>
      </c>
      <c r="D329">
        <v>124727.19875214355</v>
      </c>
      <c r="E329">
        <v>202964.83040742177</v>
      </c>
      <c r="F329">
        <v>50051.411335898425</v>
      </c>
      <c r="G329">
        <v>10000</v>
      </c>
      <c r="H329">
        <v>521705.98691774975</v>
      </c>
      <c r="I329">
        <v>40.824513072359061</v>
      </c>
    </row>
    <row r="330" spans="1:9" x14ac:dyDescent="0.2">
      <c r="A330">
        <v>325</v>
      </c>
      <c r="B330">
        <v>1722955.9647783516</v>
      </c>
      <c r="C330">
        <v>142503.46753169043</v>
      </c>
      <c r="D330">
        <v>115750.77435987393</v>
      </c>
      <c r="E330">
        <v>177581.67900185849</v>
      </c>
      <c r="F330">
        <v>48294.116238590206</v>
      </c>
      <c r="G330">
        <v>10000</v>
      </c>
      <c r="H330">
        <v>474130.03713201307</v>
      </c>
      <c r="I330">
        <v>27.283515505621146</v>
      </c>
    </row>
    <row r="331" spans="1:9" x14ac:dyDescent="0.2">
      <c r="A331">
        <v>326</v>
      </c>
      <c r="B331">
        <v>1510905.1645960032</v>
      </c>
      <c r="C331">
        <v>129516.13981768653</v>
      </c>
      <c r="D331">
        <v>133979.82971111994</v>
      </c>
      <c r="E331">
        <v>118326.90541413393</v>
      </c>
      <c r="F331">
        <v>44191.862682516963</v>
      </c>
      <c r="G331">
        <v>10000</v>
      </c>
      <c r="H331">
        <v>416014.73762545735</v>
      </c>
      <c r="I331">
        <v>56.718665733501886</v>
      </c>
    </row>
    <row r="332" spans="1:9" x14ac:dyDescent="0.2">
      <c r="A332">
        <v>327</v>
      </c>
      <c r="B332">
        <v>1520972.5470168092</v>
      </c>
      <c r="C332">
        <v>161333.77807710279</v>
      </c>
      <c r="D332">
        <v>97269.551069006076</v>
      </c>
      <c r="E332">
        <v>125483.20752491668</v>
      </c>
      <c r="F332">
        <v>44687.298982494227</v>
      </c>
      <c r="G332">
        <v>10000</v>
      </c>
      <c r="H332">
        <v>418773.83565351978</v>
      </c>
      <c r="I332">
        <v>30.974954662686454</v>
      </c>
    </row>
    <row r="333" spans="1:9" x14ac:dyDescent="0.2">
      <c r="A333">
        <v>328</v>
      </c>
      <c r="B333">
        <v>1296996.5250699827</v>
      </c>
      <c r="C333">
        <v>102449.43614227671</v>
      </c>
      <c r="D333">
        <v>32137.920539142906</v>
      </c>
      <c r="E333">
        <v>184060.28136521237</v>
      </c>
      <c r="F333">
        <v>48742.634863745472</v>
      </c>
      <c r="G333">
        <v>10000</v>
      </c>
      <c r="H333">
        <v>357390.27291037748</v>
      </c>
      <c r="I333">
        <v>40.527614975352797</v>
      </c>
    </row>
    <row r="334" spans="1:9" x14ac:dyDescent="0.2">
      <c r="A334">
        <v>329</v>
      </c>
      <c r="B334">
        <v>936536.69952928205</v>
      </c>
      <c r="C334">
        <v>117531.72236675597</v>
      </c>
      <c r="D334">
        <v>64428.062356062292</v>
      </c>
      <c r="E334">
        <v>47362.788917829712</v>
      </c>
      <c r="F334">
        <v>39278.962309695904</v>
      </c>
      <c r="G334">
        <v>10000</v>
      </c>
      <c r="H334">
        <v>258601.53595034388</v>
      </c>
      <c r="I334">
        <v>41.67116105441167</v>
      </c>
    </row>
    <row r="335" spans="1:9" x14ac:dyDescent="0.2">
      <c r="A335">
        <v>330</v>
      </c>
      <c r="B335">
        <v>1044108.1998565359</v>
      </c>
      <c r="C335">
        <v>140321.82809379578</v>
      </c>
      <c r="D335">
        <v>63602.751862745936</v>
      </c>
      <c r="E335">
        <v>54392.687194594742</v>
      </c>
      <c r="F335">
        <v>39765.647575010407</v>
      </c>
      <c r="G335">
        <v>10000</v>
      </c>
      <c r="H335">
        <v>288082.91472614685</v>
      </c>
      <c r="I335">
        <v>37.271180406155096</v>
      </c>
    </row>
    <row r="336" spans="1:9" x14ac:dyDescent="0.2">
      <c r="A336">
        <v>331</v>
      </c>
      <c r="B336">
        <v>1475273.7574430683</v>
      </c>
      <c r="C336">
        <v>106079.52567679352</v>
      </c>
      <c r="D336">
        <v>66130.861446757393</v>
      </c>
      <c r="E336">
        <v>194568.93928978418</v>
      </c>
      <c r="F336">
        <v>49470.157335446595</v>
      </c>
      <c r="G336">
        <v>10000</v>
      </c>
      <c r="H336">
        <v>406249.48374878173</v>
      </c>
      <c r="I336">
        <v>37.322769627752521</v>
      </c>
    </row>
    <row r="337" spans="1:9" x14ac:dyDescent="0.2">
      <c r="A337">
        <v>332</v>
      </c>
      <c r="B337">
        <v>1426284.1824537592</v>
      </c>
      <c r="C337">
        <v>102756.39492003513</v>
      </c>
      <c r="D337">
        <v>80762.329094441913</v>
      </c>
      <c r="E337">
        <v>171435.88667142991</v>
      </c>
      <c r="F337">
        <v>47868.638308022069</v>
      </c>
      <c r="G337">
        <v>10000</v>
      </c>
      <c r="H337">
        <v>392823.24899392901</v>
      </c>
      <c r="I337">
        <v>51.843290903598458</v>
      </c>
    </row>
    <row r="338" spans="1:9" x14ac:dyDescent="0.2">
      <c r="A338">
        <v>333</v>
      </c>
      <c r="B338">
        <v>1399399.8069141502</v>
      </c>
      <c r="C338">
        <v>102142.71981590436</v>
      </c>
      <c r="D338">
        <v>145218.5767294156</v>
      </c>
      <c r="E338">
        <v>104836.05634186958</v>
      </c>
      <c r="F338">
        <v>43257.880823667896</v>
      </c>
      <c r="G338">
        <v>10000</v>
      </c>
      <c r="H338">
        <v>385455.23371085746</v>
      </c>
      <c r="I338">
        <v>26.531120048524713</v>
      </c>
    </row>
    <row r="339" spans="1:9" x14ac:dyDescent="0.2">
      <c r="A339">
        <v>334</v>
      </c>
      <c r="B339">
        <v>1228717.0891384091</v>
      </c>
      <c r="C339">
        <v>102997.00585214474</v>
      </c>
      <c r="D339">
        <v>84424.122496134034</v>
      </c>
      <c r="E339">
        <v>117146.1524835257</v>
      </c>
      <c r="F339">
        <v>44110.118248859471</v>
      </c>
      <c r="G339">
        <v>10000</v>
      </c>
      <c r="H339">
        <v>338677.39908066392</v>
      </c>
      <c r="I339">
        <v>29.009748451142329</v>
      </c>
    </row>
    <row r="340" spans="1:9" x14ac:dyDescent="0.2">
      <c r="A340">
        <v>335</v>
      </c>
      <c r="B340">
        <v>1762494.3551125093</v>
      </c>
      <c r="C340">
        <v>159533.42714461105</v>
      </c>
      <c r="D340">
        <v>136796.63840123027</v>
      </c>
      <c r="E340">
        <v>152105.59783965253</v>
      </c>
      <c r="F340">
        <v>46530.387542745171</v>
      </c>
      <c r="G340">
        <v>10000</v>
      </c>
      <c r="H340">
        <v>484966.05092823907</v>
      </c>
      <c r="I340">
        <v>29.229737624787433</v>
      </c>
    </row>
    <row r="341" spans="1:9" x14ac:dyDescent="0.2">
      <c r="A341">
        <v>336</v>
      </c>
      <c r="B341">
        <v>1442292.1850612124</v>
      </c>
      <c r="C341">
        <v>157080.95236625968</v>
      </c>
      <c r="D341">
        <v>122462.57159349089</v>
      </c>
      <c r="E341">
        <v>85731.659133127978</v>
      </c>
      <c r="F341">
        <v>41935.268709216551</v>
      </c>
      <c r="G341">
        <v>10000</v>
      </c>
      <c r="H341">
        <v>397210.45180209511</v>
      </c>
      <c r="I341">
        <v>34.032597221344346</v>
      </c>
    </row>
    <row r="342" spans="1:9" x14ac:dyDescent="0.2">
      <c r="A342">
        <v>337</v>
      </c>
      <c r="B342">
        <v>889425.8300573898</v>
      </c>
      <c r="C342">
        <v>95678.405232434452</v>
      </c>
      <c r="D342">
        <v>89418.931818680954</v>
      </c>
      <c r="E342">
        <v>32353.023310425175</v>
      </c>
      <c r="F342">
        <v>38239.824690721747</v>
      </c>
      <c r="G342">
        <v>10000</v>
      </c>
      <c r="H342">
        <v>245690.18505226233</v>
      </c>
      <c r="I342">
        <v>35.323593122655865</v>
      </c>
    </row>
    <row r="343" spans="1:9" x14ac:dyDescent="0.2">
      <c r="A343">
        <v>338</v>
      </c>
      <c r="B343">
        <v>1687724.7780260751</v>
      </c>
      <c r="C343">
        <v>103670.80438805197</v>
      </c>
      <c r="D343">
        <v>115447.26622736204</v>
      </c>
      <c r="E343">
        <v>205153.4660203807</v>
      </c>
      <c r="F343">
        <v>50202.932262949435</v>
      </c>
      <c r="G343">
        <v>10000</v>
      </c>
      <c r="H343">
        <v>464474.46889874409</v>
      </c>
      <c r="I343">
        <v>50.179659188272915</v>
      </c>
    </row>
    <row r="344" spans="1:9" x14ac:dyDescent="0.2">
      <c r="A344">
        <v>339</v>
      </c>
      <c r="B344">
        <v>1419225.3371274329</v>
      </c>
      <c r="C344">
        <v>152409.22973916421</v>
      </c>
      <c r="D344">
        <v>108654.75847353421</v>
      </c>
      <c r="E344">
        <v>97102.229697643052</v>
      </c>
      <c r="F344">
        <v>42722.462055990676</v>
      </c>
      <c r="G344">
        <v>10000</v>
      </c>
      <c r="H344">
        <v>390888.67996633216</v>
      </c>
      <c r="I344">
        <v>30.509982382314959</v>
      </c>
    </row>
    <row r="345" spans="1:9" x14ac:dyDescent="0.2">
      <c r="A345">
        <v>340</v>
      </c>
      <c r="B345">
        <v>1521576.634866084</v>
      </c>
      <c r="C345">
        <v>109963.1849282053</v>
      </c>
      <c r="D345">
        <v>61302.925681322078</v>
      </c>
      <c r="E345">
        <v>207320.33683588245</v>
      </c>
      <c r="F345">
        <v>50352.946396330321</v>
      </c>
      <c r="G345">
        <v>10000</v>
      </c>
      <c r="H345">
        <v>418939.39384174015</v>
      </c>
      <c r="I345">
        <v>39.469563227103464</v>
      </c>
    </row>
    <row r="346" spans="1:9" x14ac:dyDescent="0.2">
      <c r="A346">
        <v>341</v>
      </c>
      <c r="B346">
        <v>1503073.2660711999</v>
      </c>
      <c r="C346">
        <v>87647.574312827521</v>
      </c>
      <c r="D346">
        <v>120873.04492311136</v>
      </c>
      <c r="E346">
        <v>167735.24403478589</v>
      </c>
      <c r="F346">
        <v>47612.439971639025</v>
      </c>
      <c r="G346">
        <v>10000</v>
      </c>
      <c r="H346">
        <v>413868.30324236379</v>
      </c>
      <c r="I346">
        <v>43.00772105648862</v>
      </c>
    </row>
    <row r="347" spans="1:9" x14ac:dyDescent="0.2">
      <c r="A347">
        <v>342</v>
      </c>
      <c r="B347">
        <v>1344970.578432377</v>
      </c>
      <c r="C347">
        <v>139657.37354524425</v>
      </c>
      <c r="D347">
        <v>116340.37108850839</v>
      </c>
      <c r="E347">
        <v>82807.611392159422</v>
      </c>
      <c r="F347">
        <v>41732.834634841805</v>
      </c>
      <c r="G347">
        <v>10000</v>
      </c>
      <c r="H347">
        <v>370538.19066075387</v>
      </c>
      <c r="I347">
        <v>35.682413348792963</v>
      </c>
    </row>
    <row r="348" spans="1:9" x14ac:dyDescent="0.2">
      <c r="A348">
        <v>343</v>
      </c>
      <c r="B348">
        <v>1098740.9104204839</v>
      </c>
      <c r="C348">
        <v>109521.06730947043</v>
      </c>
      <c r="D348">
        <v>57430.898780526142</v>
      </c>
      <c r="E348">
        <v>102974.73827428065</v>
      </c>
      <c r="F348">
        <v>43129.020342065582</v>
      </c>
      <c r="G348">
        <v>10000</v>
      </c>
      <c r="H348">
        <v>303055.72470634279</v>
      </c>
      <c r="I348">
        <v>37.172494261036178</v>
      </c>
    </row>
    <row r="349" spans="1:9" x14ac:dyDescent="0.2">
      <c r="A349">
        <v>344</v>
      </c>
      <c r="B349">
        <v>1550043.8698603178</v>
      </c>
      <c r="C349">
        <v>135975.34488773867</v>
      </c>
      <c r="D349">
        <v>167475.35761732655</v>
      </c>
      <c r="E349">
        <v>90991.124448866147</v>
      </c>
      <c r="F349">
        <v>42299.385538767659</v>
      </c>
      <c r="G349">
        <v>10000</v>
      </c>
      <c r="H349">
        <v>426741.21249269904</v>
      </c>
      <c r="I349">
        <v>39.557498066657416</v>
      </c>
    </row>
    <row r="350" spans="1:9" x14ac:dyDescent="0.2">
      <c r="A350">
        <v>345</v>
      </c>
      <c r="B350">
        <v>798668.47042393824</v>
      </c>
      <c r="C350">
        <v>88935.86349269608</v>
      </c>
      <c r="D350">
        <v>77099.823959184345</v>
      </c>
      <c r="E350">
        <v>26917.719881796787</v>
      </c>
      <c r="F350">
        <v>37863.534453355162</v>
      </c>
      <c r="G350">
        <v>10000</v>
      </c>
      <c r="H350">
        <v>220816.94178703238</v>
      </c>
      <c r="I350">
        <v>39.052810071956785</v>
      </c>
    </row>
    <row r="351" spans="1:9" x14ac:dyDescent="0.2">
      <c r="A351">
        <v>346</v>
      </c>
      <c r="B351">
        <v>948532.45086804568</v>
      </c>
      <c r="C351">
        <v>105394.37257164238</v>
      </c>
      <c r="D351">
        <v>51674.526440293106</v>
      </c>
      <c r="E351">
        <v>73716.761616784628</v>
      </c>
      <c r="F351">
        <v>41103.468111931244</v>
      </c>
      <c r="G351">
        <v>10000</v>
      </c>
      <c r="H351">
        <v>261889.12874065136</v>
      </c>
      <c r="I351">
        <v>36.712791772996624</v>
      </c>
    </row>
    <row r="352" spans="1:9" x14ac:dyDescent="0.2">
      <c r="A352">
        <v>347</v>
      </c>
      <c r="B352">
        <v>1423765.3202112608</v>
      </c>
      <c r="C352">
        <v>97084.069061480186</v>
      </c>
      <c r="D352">
        <v>63145.006774925605</v>
      </c>
      <c r="E352">
        <v>192571.94226908774</v>
      </c>
      <c r="F352">
        <v>49331.903695552224</v>
      </c>
      <c r="G352">
        <v>10000</v>
      </c>
      <c r="H352">
        <v>392132.92180104571</v>
      </c>
      <c r="I352">
        <v>40.556483841451943</v>
      </c>
    </row>
    <row r="353" spans="1:9" x14ac:dyDescent="0.2">
      <c r="A353">
        <v>348</v>
      </c>
      <c r="B353">
        <v>1018027.8991659632</v>
      </c>
      <c r="C353">
        <v>113618.17203736086</v>
      </c>
      <c r="D353">
        <v>78778.335003570086</v>
      </c>
      <c r="E353">
        <v>58489.487439956953</v>
      </c>
      <c r="F353">
        <v>40049.27220738164</v>
      </c>
      <c r="G353">
        <v>10000</v>
      </c>
      <c r="H353">
        <v>280935.26668826956</v>
      </c>
      <c r="I353">
        <v>43.296174531467436</v>
      </c>
    </row>
    <row r="354" spans="1:9" x14ac:dyDescent="0.2">
      <c r="A354">
        <v>349</v>
      </c>
      <c r="B354">
        <v>1493146.1104422403</v>
      </c>
      <c r="C354">
        <v>125088.23964338269</v>
      </c>
      <c r="D354">
        <v>159467.3285615739</v>
      </c>
      <c r="E354">
        <v>94078.912516604018</v>
      </c>
      <c r="F354">
        <v>42513.155481918737</v>
      </c>
      <c r="G354">
        <v>10000</v>
      </c>
      <c r="H354">
        <v>411147.63620347931</v>
      </c>
      <c r="I354">
        <v>47.568045124769675</v>
      </c>
    </row>
    <row r="355" spans="1:9" x14ac:dyDescent="0.2">
      <c r="A355">
        <v>350</v>
      </c>
      <c r="B355">
        <v>1632524.2818516255</v>
      </c>
      <c r="C355">
        <v>82478.009734804684</v>
      </c>
      <c r="D355">
        <v>128861.86366014995</v>
      </c>
      <c r="E355">
        <v>198279.1578210615</v>
      </c>
      <c r="F355">
        <v>49727.018618381182</v>
      </c>
      <c r="G355">
        <v>10000</v>
      </c>
      <c r="H355">
        <v>449346.04983439733</v>
      </c>
      <c r="I355">
        <v>31.700831988928702</v>
      </c>
    </row>
    <row r="356" spans="1:9" x14ac:dyDescent="0.2">
      <c r="A356">
        <v>351</v>
      </c>
      <c r="B356">
        <v>1336555.4106230221</v>
      </c>
      <c r="C356">
        <v>100983.98342052275</v>
      </c>
      <c r="D356">
        <v>97043.779108295814</v>
      </c>
      <c r="E356">
        <v>134867.18238078419</v>
      </c>
      <c r="F356">
        <v>45336.958780208137</v>
      </c>
      <c r="G356">
        <v>10000</v>
      </c>
      <c r="H356">
        <v>368231.90368981089</v>
      </c>
      <c r="I356">
        <v>31.314589495853561</v>
      </c>
    </row>
    <row r="357" spans="1:9" x14ac:dyDescent="0.2">
      <c r="A357">
        <v>352</v>
      </c>
      <c r="B357">
        <v>1332772.5978346011</v>
      </c>
      <c r="C357">
        <v>125573.03316089755</v>
      </c>
      <c r="D357">
        <v>40355.443009206538</v>
      </c>
      <c r="E357">
        <v>163918.49464726856</v>
      </c>
      <c r="F357">
        <v>47348.203475580129</v>
      </c>
      <c r="G357">
        <v>10000</v>
      </c>
      <c r="H357">
        <v>367195.17429295281</v>
      </c>
      <c r="I357">
        <v>50.137845196146912</v>
      </c>
    </row>
    <row r="358" spans="1:9" x14ac:dyDescent="0.2">
      <c r="A358">
        <v>353</v>
      </c>
      <c r="B358">
        <v>1722192.5949866858</v>
      </c>
      <c r="C358">
        <v>134230.31565078857</v>
      </c>
      <c r="D358">
        <v>105485.59119367541</v>
      </c>
      <c r="E358">
        <v>194724.02477373759</v>
      </c>
      <c r="F358">
        <v>49480.894022797213</v>
      </c>
      <c r="G358">
        <v>10000</v>
      </c>
      <c r="H358">
        <v>473920.82564099878</v>
      </c>
      <c r="I358">
        <v>36.298249834264837</v>
      </c>
    </row>
    <row r="359" spans="1:9" x14ac:dyDescent="0.2">
      <c r="A359">
        <v>354</v>
      </c>
      <c r="B359">
        <v>1452914.8444748283</v>
      </c>
      <c r="C359">
        <v>122982.24051428513</v>
      </c>
      <c r="D359">
        <v>151811.90187731385</v>
      </c>
      <c r="E359">
        <v>92896.305671820024</v>
      </c>
      <c r="F359">
        <v>42431.282700356765</v>
      </c>
      <c r="G359">
        <v>10000</v>
      </c>
      <c r="H359">
        <v>400121.73076377576</v>
      </c>
      <c r="I359">
        <v>41.907913695864806</v>
      </c>
    </row>
    <row r="360" spans="1:9" x14ac:dyDescent="0.2">
      <c r="A360">
        <v>355</v>
      </c>
      <c r="B360">
        <v>1155097.1839210228</v>
      </c>
      <c r="C360">
        <v>146919.01194893499</v>
      </c>
      <c r="D360">
        <v>61760.444568766696</v>
      </c>
      <c r="E360">
        <v>78394.155481867798</v>
      </c>
      <c r="F360">
        <v>41427.287687206233</v>
      </c>
      <c r="G360">
        <v>10000</v>
      </c>
      <c r="H360">
        <v>318500.89968677569</v>
      </c>
      <c r="I360">
        <v>44.83437891000402</v>
      </c>
    </row>
    <row r="361" spans="1:9" x14ac:dyDescent="0.2">
      <c r="A361">
        <v>356</v>
      </c>
      <c r="B361">
        <v>1744300.2453788673</v>
      </c>
      <c r="C361">
        <v>102562.02308334218</v>
      </c>
      <c r="D361">
        <v>152199.87149089322</v>
      </c>
      <c r="E361">
        <v>186318.82656609232</v>
      </c>
      <c r="F361">
        <v>48898.995685344853</v>
      </c>
      <c r="G361">
        <v>10000</v>
      </c>
      <c r="H361">
        <v>479979.7168256726</v>
      </c>
      <c r="I361">
        <v>44.032448122703997</v>
      </c>
    </row>
    <row r="362" spans="1:9" x14ac:dyDescent="0.2">
      <c r="A362">
        <v>357</v>
      </c>
      <c r="B362">
        <v>1455037.936753155</v>
      </c>
      <c r="C362">
        <v>104394.38065940331</v>
      </c>
      <c r="D362">
        <v>81320.566942928752</v>
      </c>
      <c r="E362">
        <v>176751.96959333701</v>
      </c>
      <c r="F362">
        <v>48236.674818000254</v>
      </c>
      <c r="G362">
        <v>10000</v>
      </c>
      <c r="H362">
        <v>400703.59201366926</v>
      </c>
      <c r="I362">
        <v>52.799555992906299</v>
      </c>
    </row>
    <row r="363" spans="1:9" x14ac:dyDescent="0.2">
      <c r="A363">
        <v>358</v>
      </c>
      <c r="B363">
        <v>1802108.9162123548</v>
      </c>
      <c r="C363">
        <v>146028.00882651162</v>
      </c>
      <c r="D363">
        <v>117420.31465909415</v>
      </c>
      <c r="E363">
        <v>193012.231572283</v>
      </c>
      <c r="F363">
        <v>49362.385262696509</v>
      </c>
      <c r="G363">
        <v>10000</v>
      </c>
      <c r="H363">
        <v>495822.94032058527</v>
      </c>
      <c r="I363">
        <v>36.112710368096586</v>
      </c>
    </row>
    <row r="364" spans="1:9" x14ac:dyDescent="0.2">
      <c r="A364">
        <v>359</v>
      </c>
      <c r="B364">
        <v>1221962.4965793341</v>
      </c>
      <c r="C364">
        <v>100088.54735823077</v>
      </c>
      <c r="D364">
        <v>83629.164902472417</v>
      </c>
      <c r="E364">
        <v>118878.4553405357</v>
      </c>
      <c r="F364">
        <v>44230.046908190932</v>
      </c>
      <c r="G364">
        <v>10000</v>
      </c>
      <c r="H364">
        <v>336826.21450942988</v>
      </c>
      <c r="I364">
        <v>35.766318820842073</v>
      </c>
    </row>
    <row r="365" spans="1:9" x14ac:dyDescent="0.2">
      <c r="A365">
        <v>360</v>
      </c>
      <c r="B365">
        <v>1501400.2721923548</v>
      </c>
      <c r="C365">
        <v>130326.78303557693</v>
      </c>
      <c r="D365">
        <v>85703.005334482223</v>
      </c>
      <c r="E365">
        <v>160283.46164042494</v>
      </c>
      <c r="F365">
        <v>47096.547344337108</v>
      </c>
      <c r="G365">
        <v>10000</v>
      </c>
      <c r="H365">
        <v>413409.79735482123</v>
      </c>
      <c r="I365">
        <v>36.604964726208948</v>
      </c>
    </row>
    <row r="366" spans="1:9" x14ac:dyDescent="0.2">
      <c r="A366">
        <v>361</v>
      </c>
      <c r="B366">
        <v>1983220.18620147</v>
      </c>
      <c r="C366">
        <v>167006.2362175165</v>
      </c>
      <c r="D366">
        <v>155519.5448788318</v>
      </c>
      <c r="E366">
        <v>184182.01277250508</v>
      </c>
      <c r="F366">
        <v>48751.06242271189</v>
      </c>
      <c r="G366">
        <v>10000</v>
      </c>
      <c r="H366">
        <v>545458.85629156523</v>
      </c>
      <c r="I366">
        <v>38.64785238009452</v>
      </c>
    </row>
    <row r="367" spans="1:9" x14ac:dyDescent="0.2">
      <c r="A367">
        <v>362</v>
      </c>
      <c r="B367">
        <v>1407252.4152125972</v>
      </c>
      <c r="C367">
        <v>124326.11072946087</v>
      </c>
      <c r="D367">
        <v>129160.44242046621</v>
      </c>
      <c r="E367">
        <v>101120.1639909402</v>
      </c>
      <c r="F367">
        <v>43000.626737834325</v>
      </c>
      <c r="G367">
        <v>10000</v>
      </c>
      <c r="H367">
        <v>387607.34387870156</v>
      </c>
      <c r="I367">
        <v>32.68626209882315</v>
      </c>
    </row>
    <row r="368" spans="1:9" x14ac:dyDescent="0.2">
      <c r="A368">
        <v>363</v>
      </c>
      <c r="B368">
        <v>947573.80978502275</v>
      </c>
      <c r="C368">
        <v>104557.23674728007</v>
      </c>
      <c r="D368">
        <v>39179.265344736261</v>
      </c>
      <c r="E368">
        <v>85940.192843884768</v>
      </c>
      <c r="F368">
        <v>41949.705658422798</v>
      </c>
      <c r="G368">
        <v>10000</v>
      </c>
      <c r="H368">
        <v>261626.40059432387</v>
      </c>
      <c r="I368">
        <v>31.997681662692248</v>
      </c>
    </row>
    <row r="369" spans="1:9" x14ac:dyDescent="0.2">
      <c r="A369">
        <v>364</v>
      </c>
      <c r="B369">
        <v>1149611.6760093407</v>
      </c>
      <c r="C369">
        <v>107902.54638981429</v>
      </c>
      <c r="D369">
        <v>89510.467264617226</v>
      </c>
      <c r="E369">
        <v>87525.081980359493</v>
      </c>
      <c r="F369">
        <v>42059.428752486427</v>
      </c>
      <c r="G369">
        <v>10000</v>
      </c>
      <c r="H369">
        <v>316997.52438727743</v>
      </c>
      <c r="I369">
        <v>25.252592132211817</v>
      </c>
    </row>
    <row r="370" spans="1:9" x14ac:dyDescent="0.2">
      <c r="A370">
        <v>365</v>
      </c>
      <c r="B370">
        <v>1033465.3937247703</v>
      </c>
      <c r="C370">
        <v>162054.6127623565</v>
      </c>
      <c r="D370">
        <v>50521.381418237448</v>
      </c>
      <c r="E370">
        <v>43573.493629792894</v>
      </c>
      <c r="F370">
        <v>39016.626482062587</v>
      </c>
      <c r="G370">
        <v>10000</v>
      </c>
      <c r="H370">
        <v>285166.11429244938</v>
      </c>
      <c r="I370">
        <v>38.033117040053995</v>
      </c>
    </row>
    <row r="371" spans="1:9" x14ac:dyDescent="0.2">
      <c r="A371">
        <v>366</v>
      </c>
      <c r="B371">
        <v>1094641.4348966877</v>
      </c>
      <c r="C371">
        <v>136678.75679159255</v>
      </c>
      <c r="D371">
        <v>44223.915783501434</v>
      </c>
      <c r="E371">
        <v>88876.545548785754</v>
      </c>
      <c r="F371">
        <v>42152.99161491594</v>
      </c>
      <c r="G371">
        <v>10000</v>
      </c>
      <c r="H371">
        <v>301932.2097387957</v>
      </c>
      <c r="I371">
        <v>27.269031761088492</v>
      </c>
    </row>
    <row r="372" spans="1:9" x14ac:dyDescent="0.2">
      <c r="A372">
        <v>367</v>
      </c>
      <c r="B372">
        <v>1224478.5196680457</v>
      </c>
      <c r="C372">
        <v>107535.29006280603</v>
      </c>
      <c r="D372">
        <v>110771.0901252265</v>
      </c>
      <c r="E372">
        <v>87174.243474167495</v>
      </c>
      <c r="F372">
        <v>42035.139932826984</v>
      </c>
      <c r="G372">
        <v>10000</v>
      </c>
      <c r="H372">
        <v>337515.76359502698</v>
      </c>
      <c r="I372">
        <v>39.115575545534696</v>
      </c>
    </row>
    <row r="373" spans="1:9" x14ac:dyDescent="0.2">
      <c r="A373">
        <v>368</v>
      </c>
      <c r="B373">
        <v>1394294.5112868247</v>
      </c>
      <c r="C373">
        <v>86580.456236437021</v>
      </c>
      <c r="D373">
        <v>84529.126735390731</v>
      </c>
      <c r="E373">
        <v>174842.02940686714</v>
      </c>
      <c r="F373">
        <v>48104.448189706185</v>
      </c>
      <c r="G373">
        <v>10000</v>
      </c>
      <c r="H373">
        <v>384056.06056840112</v>
      </c>
      <c r="I373">
        <v>32.639947226360889</v>
      </c>
    </row>
    <row r="374" spans="1:9" x14ac:dyDescent="0.2">
      <c r="A374">
        <v>369</v>
      </c>
      <c r="B374">
        <v>1309062.5481201652</v>
      </c>
      <c r="C374">
        <v>84088.60796979419</v>
      </c>
      <c r="D374">
        <v>57782.294366972303</v>
      </c>
      <c r="E374">
        <v>180341.07116620551</v>
      </c>
      <c r="F374">
        <v>48485.151080737305</v>
      </c>
      <c r="G374">
        <v>10000</v>
      </c>
      <c r="H374">
        <v>360697.12458370929</v>
      </c>
      <c r="I374">
        <v>34.78388108964468</v>
      </c>
    </row>
    <row r="375" spans="1:9" x14ac:dyDescent="0.2">
      <c r="A375">
        <v>370</v>
      </c>
      <c r="B375">
        <v>1476942.0562170404</v>
      </c>
      <c r="C375">
        <v>144195.13098935483</v>
      </c>
      <c r="D375">
        <v>105565.98513543518</v>
      </c>
      <c r="E375">
        <v>122467.09552770051</v>
      </c>
      <c r="F375">
        <v>44478.491228840809</v>
      </c>
      <c r="G375">
        <v>10000</v>
      </c>
      <c r="H375">
        <v>406706.70288133132</v>
      </c>
      <c r="I375">
        <v>38.238780444509011</v>
      </c>
    </row>
    <row r="376" spans="1:9" x14ac:dyDescent="0.2">
      <c r="A376">
        <v>371</v>
      </c>
      <c r="B376">
        <v>1502064.4536129544</v>
      </c>
      <c r="C376">
        <v>148827.58348578078</v>
      </c>
      <c r="D376">
        <v>68130.191605046159</v>
      </c>
      <c r="E376">
        <v>159585.80204849341</v>
      </c>
      <c r="F376">
        <v>47048.247834126465</v>
      </c>
      <c r="G376">
        <v>10000</v>
      </c>
      <c r="H376">
        <v>413591.82497344678</v>
      </c>
      <c r="I376">
        <v>51.829866776797942</v>
      </c>
    </row>
    <row r="377" spans="1:9" x14ac:dyDescent="0.2">
      <c r="A377">
        <v>372</v>
      </c>
      <c r="B377">
        <v>1426959.354105172</v>
      </c>
      <c r="C377">
        <v>104931.60785426923</v>
      </c>
      <c r="D377">
        <v>106301.78298827725</v>
      </c>
      <c r="E377">
        <v>145688.75332571572</v>
      </c>
      <c r="F377">
        <v>46086.144461011092</v>
      </c>
      <c r="G377">
        <v>10000</v>
      </c>
      <c r="H377">
        <v>393008.2886292733</v>
      </c>
      <c r="I377">
        <v>43.562604878759743</v>
      </c>
    </row>
    <row r="378" spans="1:9" x14ac:dyDescent="0.2">
      <c r="A378">
        <v>373</v>
      </c>
      <c r="B378">
        <v>1108926.6879905979</v>
      </c>
      <c r="C378">
        <v>95282.132093855922</v>
      </c>
      <c r="D378">
        <v>77317.001713323261</v>
      </c>
      <c r="E378">
        <v>100304.01271181541</v>
      </c>
      <c r="F378">
        <v>42944.123956971831</v>
      </c>
      <c r="G378">
        <v>10000</v>
      </c>
      <c r="H378">
        <v>305847.27047596639</v>
      </c>
      <c r="I378">
        <v>26.430599572672484</v>
      </c>
    </row>
    <row r="379" spans="1:9" x14ac:dyDescent="0.2">
      <c r="A379">
        <v>374</v>
      </c>
      <c r="B379">
        <v>1612890.0588438257</v>
      </c>
      <c r="C379">
        <v>120797.4556744381</v>
      </c>
      <c r="D379">
        <v>167801.27068303654</v>
      </c>
      <c r="E379">
        <v>120990.07173182075</v>
      </c>
      <c r="F379">
        <v>44376.235735279894</v>
      </c>
      <c r="G379">
        <v>10000</v>
      </c>
      <c r="H379">
        <v>443965.03382457531</v>
      </c>
      <c r="I379">
        <v>50.255389771983097</v>
      </c>
    </row>
    <row r="380" spans="1:9" x14ac:dyDescent="0.2">
      <c r="A380">
        <v>375</v>
      </c>
      <c r="B380">
        <v>1366296.7776032672</v>
      </c>
      <c r="C380">
        <v>83603.518786465764</v>
      </c>
      <c r="D380">
        <v>116106.97194876691</v>
      </c>
      <c r="E380">
        <v>140916.65569532322</v>
      </c>
      <c r="F380">
        <v>45755.768471214687</v>
      </c>
      <c r="G380">
        <v>10000</v>
      </c>
      <c r="H380">
        <v>376382.91490177053</v>
      </c>
      <c r="I380">
        <v>29.032867054113112</v>
      </c>
    </row>
    <row r="381" spans="1:9" x14ac:dyDescent="0.2">
      <c r="A381">
        <v>376</v>
      </c>
      <c r="B381">
        <v>1410710.8864414676</v>
      </c>
      <c r="C381">
        <v>96631.704740236106</v>
      </c>
      <c r="D381">
        <v>149403.10010396136</v>
      </c>
      <c r="E381">
        <v>108975.89344735022</v>
      </c>
      <c r="F381">
        <v>43544.4849309704</v>
      </c>
      <c r="G381">
        <v>10000</v>
      </c>
      <c r="H381">
        <v>388555.18322251813</v>
      </c>
      <c r="I381">
        <v>44.45372356817991</v>
      </c>
    </row>
    <row r="382" spans="1:9" x14ac:dyDescent="0.2">
      <c r="A382">
        <v>377</v>
      </c>
      <c r="B382">
        <v>1197296.3887902794</v>
      </c>
      <c r="C382">
        <v>120570.4293082113</v>
      </c>
      <c r="D382">
        <v>131796.26375189362</v>
      </c>
      <c r="E382">
        <v>48352.005000975128</v>
      </c>
      <c r="F382">
        <v>39347.446500067512</v>
      </c>
      <c r="G382">
        <v>10000</v>
      </c>
      <c r="H382">
        <v>330066.14456114755</v>
      </c>
      <c r="I382">
        <v>42.130409192293989</v>
      </c>
    </row>
    <row r="383" spans="1:9" x14ac:dyDescent="0.2">
      <c r="A383">
        <v>378</v>
      </c>
      <c r="B383">
        <v>1355045.0158277468</v>
      </c>
      <c r="C383">
        <v>99830.210418069444</v>
      </c>
      <c r="D383">
        <v>49534.206254972531</v>
      </c>
      <c r="E383">
        <v>185118.88286414347</v>
      </c>
      <c r="F383">
        <v>48815.922659825315</v>
      </c>
      <c r="G383">
        <v>10000</v>
      </c>
      <c r="H383">
        <v>373299.22219701076</v>
      </c>
      <c r="I383">
        <v>40.860306314023077</v>
      </c>
    </row>
    <row r="384" spans="1:9" x14ac:dyDescent="0.2">
      <c r="A384">
        <v>379</v>
      </c>
      <c r="B384">
        <v>1085394.970614532</v>
      </c>
      <c r="C384">
        <v>93306.388302784588</v>
      </c>
      <c r="D384">
        <v>82273.411102038968</v>
      </c>
      <c r="E384">
        <v>91484.736962471521</v>
      </c>
      <c r="F384">
        <v>42333.558712786486</v>
      </c>
      <c r="G384">
        <v>10000</v>
      </c>
      <c r="H384">
        <v>299398.09508008155</v>
      </c>
      <c r="I384">
        <v>25.651161850158843</v>
      </c>
    </row>
    <row r="385" spans="1:9" x14ac:dyDescent="0.2">
      <c r="A385">
        <v>380</v>
      </c>
      <c r="B385">
        <v>1380261.1519906339</v>
      </c>
      <c r="C385">
        <v>149103.85873374873</v>
      </c>
      <c r="D385">
        <v>76350.119224358728</v>
      </c>
      <c r="E385">
        <v>120419.33357440698</v>
      </c>
      <c r="F385">
        <v>44336.723093612796</v>
      </c>
      <c r="G385">
        <v>10000</v>
      </c>
      <c r="H385">
        <v>380210.03462612722</v>
      </c>
      <c r="I385">
        <v>40.81009459680439</v>
      </c>
    </row>
    <row r="386" spans="1:9" x14ac:dyDescent="0.2">
      <c r="A386">
        <v>381</v>
      </c>
      <c r="B386">
        <v>1365805.224096339</v>
      </c>
      <c r="C386">
        <v>88654.094104092786</v>
      </c>
      <c r="D386">
        <v>65383.207752620852</v>
      </c>
      <c r="E386">
        <v>183506.59372497894</v>
      </c>
      <c r="F386">
        <v>48704.302642498544</v>
      </c>
      <c r="G386">
        <v>10000</v>
      </c>
      <c r="H386">
        <v>376248.19822419109</v>
      </c>
      <c r="I386">
        <v>33.069652706621682</v>
      </c>
    </row>
    <row r="387" spans="1:9" x14ac:dyDescent="0.2">
      <c r="A387">
        <v>382</v>
      </c>
      <c r="B387">
        <v>1191048.6965840007</v>
      </c>
      <c r="C387">
        <v>104067.23980926424</v>
      </c>
      <c r="D387">
        <v>162131.0305170033</v>
      </c>
      <c r="E387">
        <v>33814.601474085728</v>
      </c>
      <c r="F387">
        <v>38341.010871282851</v>
      </c>
      <c r="G387">
        <v>10000</v>
      </c>
      <c r="H387">
        <v>328353.88267163606</v>
      </c>
      <c r="I387">
        <v>39.303867880351305</v>
      </c>
    </row>
    <row r="388" spans="1:9" x14ac:dyDescent="0.2">
      <c r="A388">
        <v>383</v>
      </c>
      <c r="B388">
        <v>1438417.1416594139</v>
      </c>
      <c r="C388">
        <v>111551.06046588834</v>
      </c>
      <c r="D388">
        <v>120352.84050006547</v>
      </c>
      <c r="E388">
        <v>129293.45882085623</v>
      </c>
      <c r="F388">
        <v>44951.085610674658</v>
      </c>
      <c r="G388">
        <v>10000</v>
      </c>
      <c r="H388">
        <v>396148.4453974847</v>
      </c>
      <c r="I388">
        <v>35.683461977418148</v>
      </c>
    </row>
    <row r="389" spans="1:9" x14ac:dyDescent="0.2">
      <c r="A389">
        <v>384</v>
      </c>
      <c r="B389">
        <v>1209827.213280407</v>
      </c>
      <c r="C389">
        <v>117198.42886461411</v>
      </c>
      <c r="D389">
        <v>105238.90890750979</v>
      </c>
      <c r="E389">
        <v>79555.364317416199</v>
      </c>
      <c r="F389">
        <v>41507.679068128811</v>
      </c>
      <c r="G389">
        <v>10000</v>
      </c>
      <c r="H389">
        <v>333500.38115766889</v>
      </c>
      <c r="I389">
        <v>45.831980313244358</v>
      </c>
    </row>
    <row r="390" spans="1:9" x14ac:dyDescent="0.2">
      <c r="A390">
        <v>385</v>
      </c>
      <c r="B390">
        <v>1628963.9761462801</v>
      </c>
      <c r="C390">
        <v>136994.02091740118</v>
      </c>
      <c r="D390">
        <v>83300.328235803012</v>
      </c>
      <c r="E390">
        <v>188991.89780192813</v>
      </c>
      <c r="F390">
        <v>49084.054463210407</v>
      </c>
      <c r="G390">
        <v>10000</v>
      </c>
      <c r="H390">
        <v>448370.30141834274</v>
      </c>
      <c r="I390">
        <v>33.490405102556586</v>
      </c>
    </row>
    <row r="391" spans="1:9" x14ac:dyDescent="0.2">
      <c r="A391">
        <v>386</v>
      </c>
      <c r="B391">
        <v>1554631.4959444054</v>
      </c>
      <c r="C391">
        <v>140713.70873850209</v>
      </c>
      <c r="D391">
        <v>45018.250646900153</v>
      </c>
      <c r="E391">
        <v>202263.68184850208</v>
      </c>
      <c r="F391">
        <v>50002.870281819371</v>
      </c>
      <c r="G391">
        <v>10000</v>
      </c>
      <c r="H391">
        <v>427998.51151572366</v>
      </c>
      <c r="I391">
        <v>42.636891359083144</v>
      </c>
    </row>
    <row r="392" spans="1:9" x14ac:dyDescent="0.2">
      <c r="A392">
        <v>387</v>
      </c>
      <c r="B392">
        <v>1233818.9195218603</v>
      </c>
      <c r="C392">
        <v>95112.761826589747</v>
      </c>
      <c r="D392">
        <v>71039.771461436816</v>
      </c>
      <c r="E392">
        <v>138345.33526007412</v>
      </c>
      <c r="F392">
        <v>45577.753979543588</v>
      </c>
      <c r="G392">
        <v>10000</v>
      </c>
      <c r="H392">
        <v>340075.62252764427</v>
      </c>
      <c r="I392">
        <v>39.909554035102182</v>
      </c>
    </row>
    <row r="393" spans="1:9" x14ac:dyDescent="0.2">
      <c r="A393">
        <v>388</v>
      </c>
      <c r="B393">
        <v>1536133.1932928537</v>
      </c>
      <c r="C393">
        <v>123213.56062532513</v>
      </c>
      <c r="D393">
        <v>80263.309221683478</v>
      </c>
      <c r="E393">
        <v>180926.27436400446</v>
      </c>
      <c r="F393">
        <v>48525.665148277236</v>
      </c>
      <c r="G393">
        <v>10000</v>
      </c>
      <c r="H393">
        <v>422928.80935929035</v>
      </c>
      <c r="I393">
        <v>48.979674987510322</v>
      </c>
    </row>
    <row r="394" spans="1:9" x14ac:dyDescent="0.2">
      <c r="A394">
        <v>389</v>
      </c>
      <c r="B394">
        <v>1344598.2793444577</v>
      </c>
      <c r="C394">
        <v>91615.114729339257</v>
      </c>
      <c r="D394">
        <v>66448.75135065346</v>
      </c>
      <c r="E394">
        <v>174305.02048958151</v>
      </c>
      <c r="F394">
        <v>48067.270649278718</v>
      </c>
      <c r="G394">
        <v>10000</v>
      </c>
      <c r="H394">
        <v>370436.15721885295</v>
      </c>
      <c r="I394">
        <v>27.059118444390737</v>
      </c>
    </row>
    <row r="395" spans="1:9" x14ac:dyDescent="0.2">
      <c r="A395">
        <v>390</v>
      </c>
      <c r="B395">
        <v>1223108.4993898168</v>
      </c>
      <c r="C395">
        <v>140745.51442407328</v>
      </c>
      <c r="D395">
        <v>116614.12829374587</v>
      </c>
      <c r="E395">
        <v>50298.448586872117</v>
      </c>
      <c r="F395">
        <v>39482.200286783453</v>
      </c>
      <c r="G395">
        <v>10000</v>
      </c>
      <c r="H395">
        <v>337140.29159147473</v>
      </c>
      <c r="I395">
        <v>35.030540888926382</v>
      </c>
    </row>
    <row r="396" spans="1:9" x14ac:dyDescent="0.2">
      <c r="A396">
        <v>391</v>
      </c>
      <c r="B396">
        <v>1212328.6865256408</v>
      </c>
      <c r="C396">
        <v>135915.03046667294</v>
      </c>
      <c r="D396">
        <v>97874.293338986085</v>
      </c>
      <c r="E396">
        <v>69579.571597936636</v>
      </c>
      <c r="F396">
        <v>40817.047264472538</v>
      </c>
      <c r="G396">
        <v>10000</v>
      </c>
      <c r="H396">
        <v>334185.94266806816</v>
      </c>
      <c r="I396">
        <v>36.39361663970638</v>
      </c>
    </row>
    <row r="397" spans="1:9" x14ac:dyDescent="0.2">
      <c r="A397">
        <v>392</v>
      </c>
      <c r="B397">
        <v>831794.20529681852</v>
      </c>
      <c r="C397">
        <v>101999.29831628536</v>
      </c>
      <c r="D397">
        <v>48183.386907936459</v>
      </c>
      <c r="E397">
        <v>50234.991055515609</v>
      </c>
      <c r="F397">
        <v>39477.80707307416</v>
      </c>
      <c r="G397">
        <v>10000</v>
      </c>
      <c r="H397">
        <v>229895.4833528116</v>
      </c>
      <c r="I397">
        <v>30.36299165898415</v>
      </c>
    </row>
    <row r="398" spans="1:9" x14ac:dyDescent="0.2">
      <c r="A398">
        <v>393</v>
      </c>
      <c r="B398">
        <v>1716312.5940920252</v>
      </c>
      <c r="C398">
        <v>117959.72559771835</v>
      </c>
      <c r="D398">
        <v>123725.58801328941</v>
      </c>
      <c r="E398">
        <v>191374.9834454708</v>
      </c>
      <c r="F398">
        <v>49249.037315455673</v>
      </c>
      <c r="G398">
        <v>10000</v>
      </c>
      <c r="H398">
        <v>472309.33437193424</v>
      </c>
      <c r="I398">
        <v>25.215892449050205</v>
      </c>
    </row>
    <row r="399" spans="1:9" x14ac:dyDescent="0.2">
      <c r="A399">
        <v>394</v>
      </c>
      <c r="B399">
        <v>1039307.7175992404</v>
      </c>
      <c r="C399">
        <v>93247.988223555396</v>
      </c>
      <c r="D399">
        <v>58466.586562682751</v>
      </c>
      <c r="E399">
        <v>101991.73839039942</v>
      </c>
      <c r="F399">
        <v>43060.966503950731</v>
      </c>
      <c r="G399">
        <v>10000</v>
      </c>
      <c r="H399">
        <v>286767.27968058828</v>
      </c>
      <c r="I399">
        <v>46.386761561984983</v>
      </c>
    </row>
    <row r="400" spans="1:9" x14ac:dyDescent="0.2">
      <c r="A400">
        <v>395</v>
      </c>
      <c r="B400">
        <v>761913.19676877069</v>
      </c>
      <c r="C400">
        <v>88311.912222606406</v>
      </c>
      <c r="D400">
        <v>65616.733809145371</v>
      </c>
      <c r="E400">
        <v>28819.813672192795</v>
      </c>
      <c r="F400">
        <v>37995.217869613349</v>
      </c>
      <c r="G400">
        <v>10000</v>
      </c>
      <c r="H400">
        <v>210743.67757355791</v>
      </c>
      <c r="I400">
        <v>37.352957443665716</v>
      </c>
    </row>
    <row r="401" spans="1:9" x14ac:dyDescent="0.2">
      <c r="A401">
        <v>396</v>
      </c>
      <c r="B401">
        <v>1335581.8427126706</v>
      </c>
      <c r="C401">
        <v>75726.883077536622</v>
      </c>
      <c r="D401">
        <v>104857.43167203074</v>
      </c>
      <c r="E401">
        <v>150931.65530342612</v>
      </c>
      <c r="F401">
        <v>46449.114597929503</v>
      </c>
      <c r="G401">
        <v>10000</v>
      </c>
      <c r="H401">
        <v>367965.08465092303</v>
      </c>
      <c r="I401">
        <v>40.12969815752119</v>
      </c>
    </row>
    <row r="402" spans="1:9" x14ac:dyDescent="0.2">
      <c r="A402">
        <v>397</v>
      </c>
      <c r="B402">
        <v>1229339.714292347</v>
      </c>
      <c r="C402">
        <v>112165.13674764401</v>
      </c>
      <c r="D402">
        <v>132956.78292483505</v>
      </c>
      <c r="E402">
        <v>63340.973657443115</v>
      </c>
      <c r="F402">
        <v>40385.144330130679</v>
      </c>
      <c r="G402">
        <v>10000</v>
      </c>
      <c r="H402">
        <v>338848.03766005283</v>
      </c>
      <c r="I402">
        <v>43.332345784698177</v>
      </c>
    </row>
    <row r="403" spans="1:9" x14ac:dyDescent="0.2">
      <c r="A403">
        <v>398</v>
      </c>
      <c r="B403">
        <v>791653.82726705016</v>
      </c>
      <c r="C403">
        <v>90461.210688171719</v>
      </c>
      <c r="D403">
        <v>67596.239565806303</v>
      </c>
      <c r="E403">
        <v>32581.401219936837</v>
      </c>
      <c r="F403">
        <v>38255.635469072549</v>
      </c>
      <c r="G403">
        <v>10000</v>
      </c>
      <c r="H403">
        <v>218894.48694298742</v>
      </c>
      <c r="I403">
        <v>43.446991059118886</v>
      </c>
    </row>
    <row r="404" spans="1:9" x14ac:dyDescent="0.2">
      <c r="A404">
        <v>399</v>
      </c>
      <c r="B404">
        <v>1200789.4501830332</v>
      </c>
      <c r="C404">
        <v>135775.32409718912</v>
      </c>
      <c r="D404">
        <v>37763.08646714309</v>
      </c>
      <c r="E404">
        <v>122971.63251553691</v>
      </c>
      <c r="F404">
        <v>44513.420712614097</v>
      </c>
      <c r="G404">
        <v>10000</v>
      </c>
      <c r="H404">
        <v>331023.46379248321</v>
      </c>
      <c r="I404">
        <v>35.334554819939626</v>
      </c>
    </row>
    <row r="405" spans="1:9" x14ac:dyDescent="0.2">
      <c r="A405">
        <v>400</v>
      </c>
      <c r="B405">
        <v>1631111.4412290468</v>
      </c>
      <c r="C405">
        <v>111005.12623325961</v>
      </c>
      <c r="D405">
        <v>168903.74892008092</v>
      </c>
      <c r="E405">
        <v>133787.7391090538</v>
      </c>
      <c r="F405">
        <v>45262.228092165264</v>
      </c>
      <c r="G405">
        <v>10000</v>
      </c>
      <c r="H405">
        <v>448958.84235455957</v>
      </c>
      <c r="I405">
        <v>36.559878475958854</v>
      </c>
    </row>
    <row r="406" spans="1:9" x14ac:dyDescent="0.2">
      <c r="A406">
        <v>401</v>
      </c>
      <c r="B406">
        <v>1032565.6811335479</v>
      </c>
      <c r="C406">
        <v>86527.306061251758</v>
      </c>
      <c r="D406">
        <v>79211.45661160881</v>
      </c>
      <c r="E406">
        <v>87147.486099186659</v>
      </c>
      <c r="F406">
        <v>42033.287499174461</v>
      </c>
      <c r="G406">
        <v>10000</v>
      </c>
      <c r="H406">
        <v>284919.5362712217</v>
      </c>
      <c r="I406">
        <v>36.94768532413255</v>
      </c>
    </row>
    <row r="407" spans="1:9" x14ac:dyDescent="0.2">
      <c r="A407">
        <v>402</v>
      </c>
      <c r="B407">
        <v>1313747.9263438033</v>
      </c>
      <c r="C407">
        <v>103605.92428227741</v>
      </c>
      <c r="D407">
        <v>96631.24837407266</v>
      </c>
      <c r="E407">
        <v>126954.85868066577</v>
      </c>
      <c r="F407">
        <v>44789.182524046097</v>
      </c>
      <c r="G407">
        <v>10000</v>
      </c>
      <c r="H407">
        <v>361981.21386106196</v>
      </c>
      <c r="I407">
        <v>34.806980391570988</v>
      </c>
    </row>
    <row r="408" spans="1:9" x14ac:dyDescent="0.2">
      <c r="A408">
        <v>403</v>
      </c>
      <c r="B408">
        <v>1382075.5059786662</v>
      </c>
      <c r="C408">
        <v>106994.83773026885</v>
      </c>
      <c r="D408">
        <v>57638.024505735259</v>
      </c>
      <c r="E408">
        <v>177767.44304136588</v>
      </c>
      <c r="F408">
        <v>48306.976825940714</v>
      </c>
      <c r="G408">
        <v>10000</v>
      </c>
      <c r="H408">
        <v>380707.28210331069</v>
      </c>
      <c r="I408">
        <v>29.202425908602731</v>
      </c>
    </row>
    <row r="409" spans="1:9" x14ac:dyDescent="0.2">
      <c r="A409">
        <v>404</v>
      </c>
      <c r="B409">
        <v>1301637.5185999388</v>
      </c>
      <c r="C409">
        <v>117292.36912525645</v>
      </c>
      <c r="D409">
        <v>94179.673333578772</v>
      </c>
      <c r="E409">
        <v>113343.31092002736</v>
      </c>
      <c r="F409">
        <v>43846.844602155739</v>
      </c>
      <c r="G409">
        <v>10000</v>
      </c>
      <c r="H409">
        <v>358662.19798101834</v>
      </c>
      <c r="I409">
        <v>32.549212296751108</v>
      </c>
    </row>
    <row r="410" spans="1:9" x14ac:dyDescent="0.2">
      <c r="A410">
        <v>405</v>
      </c>
      <c r="B410">
        <v>1078025.3500351773</v>
      </c>
      <c r="C410">
        <v>150373.12035056861</v>
      </c>
      <c r="D410">
        <v>56102.016495714648</v>
      </c>
      <c r="E410">
        <v>60700.850597354576</v>
      </c>
      <c r="F410">
        <v>40202.366579816851</v>
      </c>
      <c r="G410">
        <v>10000</v>
      </c>
      <c r="H410">
        <v>297378.35402345471</v>
      </c>
      <c r="I410">
        <v>54.864892911202531</v>
      </c>
    </row>
    <row r="411" spans="1:9" x14ac:dyDescent="0.2">
      <c r="A411">
        <v>406</v>
      </c>
      <c r="B411">
        <v>1771738.2846284895</v>
      </c>
      <c r="C411">
        <v>151161.73090423556</v>
      </c>
      <c r="D411">
        <v>152485.60848920885</v>
      </c>
      <c r="E411">
        <v>147631.4898992267</v>
      </c>
      <c r="F411">
        <v>46220.641608408005</v>
      </c>
      <c r="G411">
        <v>10000</v>
      </c>
      <c r="H411">
        <v>487499.47090107913</v>
      </c>
      <c r="I411">
        <v>34.583919791311658</v>
      </c>
    </row>
    <row r="412" spans="1:9" x14ac:dyDescent="0.2">
      <c r="A412">
        <v>407</v>
      </c>
      <c r="B412">
        <v>1096402.0199186059</v>
      </c>
      <c r="C412">
        <v>117497.01633575377</v>
      </c>
      <c r="D412">
        <v>65167.381874458697</v>
      </c>
      <c r="E412">
        <v>87680.158123127811</v>
      </c>
      <c r="F412">
        <v>42070.164793139622</v>
      </c>
      <c r="G412">
        <v>10000</v>
      </c>
      <c r="H412">
        <v>302414.72112647991</v>
      </c>
      <c r="I412">
        <v>35.842470575610882</v>
      </c>
    </row>
    <row r="413" spans="1:9" x14ac:dyDescent="0.2">
      <c r="A413">
        <v>408</v>
      </c>
      <c r="B413">
        <v>1178805.6223897394</v>
      </c>
      <c r="C413">
        <v>143692.45884001156</v>
      </c>
      <c r="D413">
        <v>64414.592609484411</v>
      </c>
      <c r="E413">
        <v>85006.398037831648</v>
      </c>
      <c r="F413">
        <v>41885.058325696031</v>
      </c>
      <c r="G413">
        <v>10000</v>
      </c>
      <c r="H413">
        <v>324998.50781302364</v>
      </c>
      <c r="I413">
        <v>33.800332917672264</v>
      </c>
    </row>
    <row r="414" spans="1:9" x14ac:dyDescent="0.2">
      <c r="A414">
        <v>409</v>
      </c>
      <c r="B414">
        <v>1067439.1366600827</v>
      </c>
      <c r="C414">
        <v>87862.459239150281</v>
      </c>
      <c r="D414">
        <v>149327.0090674801</v>
      </c>
      <c r="E414">
        <v>29261.779748376415</v>
      </c>
      <c r="F414">
        <v>38025.815521041448</v>
      </c>
      <c r="G414">
        <v>10000</v>
      </c>
      <c r="H414">
        <v>294477.06357604824</v>
      </c>
      <c r="I414">
        <v>39.022419824437065</v>
      </c>
    </row>
    <row r="415" spans="1:9" x14ac:dyDescent="0.2">
      <c r="A415">
        <v>410</v>
      </c>
      <c r="B415">
        <v>1637755.7522639339</v>
      </c>
      <c r="C415">
        <v>129222.17434143214</v>
      </c>
      <c r="D415">
        <v>158963.80887915535</v>
      </c>
      <c r="E415">
        <v>127749.61546155362</v>
      </c>
      <c r="F415">
        <v>44844.204147338329</v>
      </c>
      <c r="G415">
        <v>10000</v>
      </c>
      <c r="H415">
        <v>450779.80282947945</v>
      </c>
      <c r="I415">
        <v>52.072750175753349</v>
      </c>
    </row>
    <row r="416" spans="1:9" x14ac:dyDescent="0.2">
      <c r="A416">
        <v>411</v>
      </c>
      <c r="B416">
        <v>1771588.0161003075</v>
      </c>
      <c r="C416">
        <v>129225.21959971903</v>
      </c>
      <c r="D416">
        <v>155070.2830867552</v>
      </c>
      <c r="E416">
        <v>165691.81345529336</v>
      </c>
      <c r="F416">
        <v>47470.971700751077</v>
      </c>
      <c r="G416">
        <v>10000</v>
      </c>
      <c r="H416">
        <v>487458.28784251865</v>
      </c>
      <c r="I416">
        <v>43.570932498051206</v>
      </c>
    </row>
    <row r="417" spans="1:9" x14ac:dyDescent="0.2">
      <c r="A417">
        <v>412</v>
      </c>
      <c r="B417">
        <v>1417276.6292318583</v>
      </c>
      <c r="C417">
        <v>103332.62103716968</v>
      </c>
      <c r="D417">
        <v>58324.491093377976</v>
      </c>
      <c r="E417">
        <v>189573.20041970245</v>
      </c>
      <c r="F417">
        <v>49124.298490594781</v>
      </c>
      <c r="G417">
        <v>10000</v>
      </c>
      <c r="H417">
        <v>390354.61104084487</v>
      </c>
      <c r="I417">
        <v>26.418667388180854</v>
      </c>
    </row>
    <row r="418" spans="1:9" x14ac:dyDescent="0.2">
      <c r="A418">
        <v>413</v>
      </c>
      <c r="B418">
        <v>830222.5384011456</v>
      </c>
      <c r="C418">
        <v>90107.03845320447</v>
      </c>
      <c r="D418">
        <v>71081.716859530483</v>
      </c>
      <c r="E418">
        <v>39538.697684503728</v>
      </c>
      <c r="F418">
        <v>38737.294455081028</v>
      </c>
      <c r="G418">
        <v>10000</v>
      </c>
      <c r="H418">
        <v>229464.74745231969</v>
      </c>
      <c r="I418">
        <v>30.400264978502769</v>
      </c>
    </row>
    <row r="419" spans="1:9" x14ac:dyDescent="0.2">
      <c r="A419">
        <v>414</v>
      </c>
      <c r="B419">
        <v>1149915.0316287908</v>
      </c>
      <c r="C419">
        <v>73791.204608163272</v>
      </c>
      <c r="D419">
        <v>104523.19359374866</v>
      </c>
      <c r="E419">
        <v>105464.85194000561</v>
      </c>
      <c r="F419">
        <v>43301.412826615771</v>
      </c>
      <c r="G419">
        <v>10000</v>
      </c>
      <c r="H419">
        <v>317080.66296853335</v>
      </c>
      <c r="I419">
        <v>25.226018503521015</v>
      </c>
    </row>
    <row r="420" spans="1:9" x14ac:dyDescent="0.2">
      <c r="A420">
        <v>415</v>
      </c>
      <c r="B420">
        <v>1077035.9410202305</v>
      </c>
      <c r="C420">
        <v>105871.05907183142</v>
      </c>
      <c r="D420">
        <v>111655.23712616772</v>
      </c>
      <c r="E420">
        <v>50111.630591114976</v>
      </c>
      <c r="F420">
        <v>39469.266733231038</v>
      </c>
      <c r="G420">
        <v>10000</v>
      </c>
      <c r="H420">
        <v>297107.19352234516</v>
      </c>
      <c r="I420">
        <v>33.407874594030169</v>
      </c>
    </row>
    <row r="421" spans="1:9" x14ac:dyDescent="0.2">
      <c r="A421">
        <v>416</v>
      </c>
      <c r="B421">
        <v>1241992.4192955496</v>
      </c>
      <c r="C421">
        <v>102342.60442378106</v>
      </c>
      <c r="D421">
        <v>44847.238797493308</v>
      </c>
      <c r="E421">
        <v>158175.24041898866</v>
      </c>
      <c r="F421">
        <v>46950.593567468444</v>
      </c>
      <c r="G421">
        <v>10000</v>
      </c>
      <c r="H421">
        <v>342315.67720773153</v>
      </c>
      <c r="I421">
        <v>57.403396582202681</v>
      </c>
    </row>
    <row r="422" spans="1:9" x14ac:dyDescent="0.2">
      <c r="A422">
        <v>417</v>
      </c>
      <c r="B422">
        <v>1221284.221532587</v>
      </c>
      <c r="C422">
        <v>96541.671239428411</v>
      </c>
      <c r="D422">
        <v>73177.515673026239</v>
      </c>
      <c r="E422">
        <v>131796.74724182268</v>
      </c>
      <c r="F422">
        <v>45124.390193664651</v>
      </c>
      <c r="G422">
        <v>10000</v>
      </c>
      <c r="H422">
        <v>336640.32434794196</v>
      </c>
      <c r="I422">
        <v>48.987562830439259</v>
      </c>
    </row>
    <row r="423" spans="1:9" x14ac:dyDescent="0.2">
      <c r="A423">
        <v>418</v>
      </c>
      <c r="B423">
        <v>1058510.079616843</v>
      </c>
      <c r="C423">
        <v>93877.768736283237</v>
      </c>
      <c r="D423">
        <v>138301.22994764397</v>
      </c>
      <c r="E423">
        <v>31659.152373062621</v>
      </c>
      <c r="F423">
        <v>38191.787471981261</v>
      </c>
      <c r="G423">
        <v>10000</v>
      </c>
      <c r="H423">
        <v>292029.93852897105</v>
      </c>
      <c r="I423">
        <v>34.066334830572075</v>
      </c>
    </row>
    <row r="424" spans="1:9" x14ac:dyDescent="0.2">
      <c r="A424">
        <v>419</v>
      </c>
      <c r="B424">
        <v>1461772.6186245568</v>
      </c>
      <c r="C424">
        <v>155341.4578544503</v>
      </c>
      <c r="D424">
        <v>49273.413693210205</v>
      </c>
      <c r="E424">
        <v>160802.00196274166</v>
      </c>
      <c r="F424">
        <v>47132.446289728272</v>
      </c>
      <c r="G424">
        <v>10000</v>
      </c>
      <c r="H424">
        <v>402549.31980013044</v>
      </c>
      <c r="I424">
        <v>27.272441742302959</v>
      </c>
    </row>
    <row r="425" spans="1:9" x14ac:dyDescent="0.2">
      <c r="A425">
        <v>420</v>
      </c>
      <c r="B425">
        <v>1411404.9149374054</v>
      </c>
      <c r="C425">
        <v>127927.86192136095</v>
      </c>
      <c r="D425">
        <v>69806.222087064918</v>
      </c>
      <c r="E425">
        <v>154327.12148136471</v>
      </c>
      <c r="F425">
        <v>46684.185333325251</v>
      </c>
      <c r="G425">
        <v>10000</v>
      </c>
      <c r="H425">
        <v>388745.39082311583</v>
      </c>
      <c r="I425">
        <v>26.182219236656991</v>
      </c>
    </row>
    <row r="426" spans="1:9" x14ac:dyDescent="0.2">
      <c r="A426">
        <v>421</v>
      </c>
      <c r="B426">
        <v>1481497.099313993</v>
      </c>
      <c r="C426">
        <v>133250.92357367021</v>
      </c>
      <c r="D426">
        <v>154460.62588499597</v>
      </c>
      <c r="E426">
        <v>88141.424062321137</v>
      </c>
      <c r="F426">
        <v>42102.098588929926</v>
      </c>
      <c r="G426">
        <v>10000</v>
      </c>
      <c r="H426">
        <v>407955.07210991724</v>
      </c>
      <c r="I426">
        <v>25.884112487186041</v>
      </c>
    </row>
    <row r="427" spans="1:9" x14ac:dyDescent="0.2">
      <c r="A427">
        <v>422</v>
      </c>
      <c r="B427">
        <v>1288012.957585013</v>
      </c>
      <c r="C427">
        <v>91163.687510219403</v>
      </c>
      <c r="D427">
        <v>50764.329682615993</v>
      </c>
      <c r="E427">
        <v>174892.2653099412</v>
      </c>
      <c r="F427">
        <v>48107.926059919009</v>
      </c>
      <c r="G427">
        <v>10000</v>
      </c>
      <c r="H427">
        <v>354928.2085626956</v>
      </c>
      <c r="I427">
        <v>24.137470960177385</v>
      </c>
    </row>
    <row r="428" spans="1:9" x14ac:dyDescent="0.2">
      <c r="A428">
        <v>423</v>
      </c>
      <c r="B428">
        <v>1571553.2639986114</v>
      </c>
      <c r="C428">
        <v>143333.82573677506</v>
      </c>
      <c r="D428">
        <v>93713.482534499024</v>
      </c>
      <c r="E428">
        <v>158608.26336394186</v>
      </c>
      <c r="F428">
        <v>46980.572079042126</v>
      </c>
      <c r="G428">
        <v>10000</v>
      </c>
      <c r="H428">
        <v>432636.1437142581</v>
      </c>
      <c r="I428">
        <v>34.262159236255144</v>
      </c>
    </row>
    <row r="429" spans="1:9" x14ac:dyDescent="0.2">
      <c r="A429">
        <v>424</v>
      </c>
      <c r="B429">
        <v>1071589.5784792919</v>
      </c>
      <c r="C429">
        <v>103838.74140030945</v>
      </c>
      <c r="D429">
        <v>66196.756567526536</v>
      </c>
      <c r="E429">
        <v>93131.484261605801</v>
      </c>
      <c r="F429">
        <v>42447.564295034252</v>
      </c>
      <c r="G429">
        <v>10000</v>
      </c>
      <c r="H429">
        <v>295614.54652447603</v>
      </c>
      <c r="I429">
        <v>34.995142375398672</v>
      </c>
    </row>
    <row r="430" spans="1:9" x14ac:dyDescent="0.2">
      <c r="A430">
        <v>425</v>
      </c>
      <c r="B430">
        <v>1672518.1758682111</v>
      </c>
      <c r="C430">
        <v>116686.9194946213</v>
      </c>
      <c r="D430">
        <v>129423.24557011256</v>
      </c>
      <c r="E430">
        <v>176011.33518840888</v>
      </c>
      <c r="F430">
        <v>48185.400128428308</v>
      </c>
      <c r="G430">
        <v>10000</v>
      </c>
      <c r="H430">
        <v>460306.90038157103</v>
      </c>
      <c r="I430">
        <v>25.515376571841912</v>
      </c>
    </row>
    <row r="431" spans="1:9" x14ac:dyDescent="0.2">
      <c r="A431">
        <v>426</v>
      </c>
      <c r="B431">
        <v>1437222.9244906891</v>
      </c>
      <c r="C431">
        <v>140257.72282913516</v>
      </c>
      <c r="D431">
        <v>53493.259217481696</v>
      </c>
      <c r="E431">
        <v>164669.94549646345</v>
      </c>
      <c r="F431">
        <v>47400.226995909004</v>
      </c>
      <c r="G431">
        <v>10000</v>
      </c>
      <c r="H431">
        <v>395821.1545389893</v>
      </c>
      <c r="I431">
        <v>26.363317609941902</v>
      </c>
    </row>
    <row r="432" spans="1:9" x14ac:dyDescent="0.2">
      <c r="A432">
        <v>427</v>
      </c>
      <c r="B432">
        <v>1373356.7546943447</v>
      </c>
      <c r="C432">
        <v>108575.69612662536</v>
      </c>
      <c r="D432">
        <v>99278.26202271253</v>
      </c>
      <c r="E432">
        <v>135110.06240394269</v>
      </c>
      <c r="F432">
        <v>45353.773551042184</v>
      </c>
      <c r="G432">
        <v>10000</v>
      </c>
      <c r="H432">
        <v>378317.79410432279</v>
      </c>
      <c r="I432">
        <v>35.616315402521181</v>
      </c>
    </row>
    <row r="433" spans="1:9" x14ac:dyDescent="0.2">
      <c r="A433">
        <v>428</v>
      </c>
      <c r="B433">
        <v>915131.25554591895</v>
      </c>
      <c r="C433">
        <v>101330.27282672649</v>
      </c>
      <c r="D433">
        <v>71094.105896594527</v>
      </c>
      <c r="E433">
        <v>50794.193798004068</v>
      </c>
      <c r="F433">
        <v>39516.521109092588</v>
      </c>
      <c r="G433">
        <v>10000</v>
      </c>
      <c r="H433">
        <v>252735.09363041766</v>
      </c>
      <c r="I433">
        <v>40.309326008974324</v>
      </c>
    </row>
    <row r="434" spans="1:9" x14ac:dyDescent="0.2">
      <c r="A434">
        <v>429</v>
      </c>
      <c r="B434">
        <v>1139449.1004983906</v>
      </c>
      <c r="C434">
        <v>81092.048240759279</v>
      </c>
      <c r="D434">
        <v>30593.572750176008</v>
      </c>
      <c r="E434">
        <v>165096.92905859862</v>
      </c>
      <c r="F434">
        <v>47429.787396364518</v>
      </c>
      <c r="G434">
        <v>10000</v>
      </c>
      <c r="H434">
        <v>314212.33744589839</v>
      </c>
      <c r="I434">
        <v>27.935085001760946</v>
      </c>
    </row>
    <row r="435" spans="1:9" x14ac:dyDescent="0.2">
      <c r="A435">
        <v>430</v>
      </c>
      <c r="B435">
        <v>1642717.4056807435</v>
      </c>
      <c r="C435">
        <v>141543.62796536114</v>
      </c>
      <c r="D435">
        <v>96048.245541324839</v>
      </c>
      <c r="E435">
        <v>176339.60868100688</v>
      </c>
      <c r="F435">
        <v>48208.126754838937</v>
      </c>
      <c r="G435">
        <v>10000</v>
      </c>
      <c r="H435">
        <v>452139.60894253181</v>
      </c>
      <c r="I435">
        <v>31.45435949635969</v>
      </c>
    </row>
    <row r="436" spans="1:9" x14ac:dyDescent="0.2">
      <c r="A436">
        <v>431</v>
      </c>
      <c r="B436">
        <v>1496094.6886566891</v>
      </c>
      <c r="C436">
        <v>120333.89992206368</v>
      </c>
      <c r="D436">
        <v>94453.687241974403</v>
      </c>
      <c r="E436">
        <v>160085.31595715089</v>
      </c>
      <c r="F436">
        <v>47082.829566264292</v>
      </c>
      <c r="G436">
        <v>10000</v>
      </c>
      <c r="H436">
        <v>411955.73268745327</v>
      </c>
      <c r="I436">
        <v>34.21879974158287</v>
      </c>
    </row>
    <row r="437" spans="1:9" x14ac:dyDescent="0.2">
      <c r="A437">
        <v>432</v>
      </c>
      <c r="B437">
        <v>1303115.7344048466</v>
      </c>
      <c r="C437">
        <v>102244.33473950665</v>
      </c>
      <c r="D437">
        <v>74684.988574027302</v>
      </c>
      <c r="E437">
        <v>146028.34445620925</v>
      </c>
      <c r="F437">
        <v>46109.654616199099</v>
      </c>
      <c r="G437">
        <v>10000</v>
      </c>
      <c r="H437">
        <v>359067.32238594233</v>
      </c>
      <c r="I437">
        <v>36.106015853133727</v>
      </c>
    </row>
    <row r="438" spans="1:9" x14ac:dyDescent="0.2">
      <c r="A438">
        <v>433</v>
      </c>
      <c r="B438">
        <v>1387589.744125101</v>
      </c>
      <c r="C438">
        <v>136739.72983765166</v>
      </c>
      <c r="D438">
        <v>53018.494268564427</v>
      </c>
      <c r="E438">
        <v>155682.30169201776</v>
      </c>
      <c r="F438">
        <v>46778.005501755077</v>
      </c>
      <c r="G438">
        <v>10000</v>
      </c>
      <c r="H438">
        <v>382218.53129998886</v>
      </c>
      <c r="I438">
        <v>45.494157883611472</v>
      </c>
    </row>
    <row r="439" spans="1:9" x14ac:dyDescent="0.2">
      <c r="A439">
        <v>434</v>
      </c>
      <c r="B439">
        <v>1349631.7709444161</v>
      </c>
      <c r="C439">
        <v>122475.07563336042</v>
      </c>
      <c r="D439">
        <v>109031.96176081005</v>
      </c>
      <c r="E439">
        <v>106907.33695878676</v>
      </c>
      <c r="F439">
        <v>43401.277174069852</v>
      </c>
      <c r="G439">
        <v>10000</v>
      </c>
      <c r="H439">
        <v>371815.65152702708</v>
      </c>
      <c r="I439">
        <v>36.910079096482335</v>
      </c>
    </row>
    <row r="440" spans="1:9" x14ac:dyDescent="0.2">
      <c r="A440">
        <v>435</v>
      </c>
      <c r="B440">
        <v>1512154.4164070692</v>
      </c>
      <c r="C440">
        <v>128903.7135767492</v>
      </c>
      <c r="D440">
        <v>91170.00562824306</v>
      </c>
      <c r="E440">
        <v>159257.84886092952</v>
      </c>
      <c r="F440">
        <v>47025.543382679738</v>
      </c>
      <c r="G440">
        <v>10000</v>
      </c>
      <c r="H440">
        <v>416357.11144860153</v>
      </c>
      <c r="I440">
        <v>33.89228742102884</v>
      </c>
    </row>
    <row r="441" spans="1:9" x14ac:dyDescent="0.2">
      <c r="A441">
        <v>436</v>
      </c>
      <c r="B441">
        <v>1609237.8656980994</v>
      </c>
      <c r="C441">
        <v>111180.14850581773</v>
      </c>
      <c r="D441">
        <v>109838.99256971621</v>
      </c>
      <c r="E441">
        <v>183257.87754616988</v>
      </c>
      <c r="F441">
        <v>48687.083830119453</v>
      </c>
      <c r="G441">
        <v>10000</v>
      </c>
      <c r="H441">
        <v>442964.1024518233</v>
      </c>
      <c r="I441">
        <v>50.35079478004841</v>
      </c>
    </row>
    <row r="442" spans="1:9" x14ac:dyDescent="0.2">
      <c r="A442">
        <v>437</v>
      </c>
      <c r="B442">
        <v>1064957.9656441254</v>
      </c>
      <c r="C442">
        <v>74959.296002419738</v>
      </c>
      <c r="D442">
        <v>95709.993928774915</v>
      </c>
      <c r="E442">
        <v>90838.927405922412</v>
      </c>
      <c r="F442">
        <v>42288.848820410014</v>
      </c>
      <c r="G442">
        <v>10000</v>
      </c>
      <c r="H442">
        <v>293797.06615752709</v>
      </c>
      <c r="I442">
        <v>30.369883972345328</v>
      </c>
    </row>
    <row r="443" spans="1:9" x14ac:dyDescent="0.2">
      <c r="A443">
        <v>438</v>
      </c>
      <c r="B443">
        <v>1309399.9578925839</v>
      </c>
      <c r="C443">
        <v>120191.2091506591</v>
      </c>
      <c r="D443">
        <v>73669.544879247434</v>
      </c>
      <c r="E443">
        <v>131803.95306352142</v>
      </c>
      <c r="F443">
        <v>45124.889058243789</v>
      </c>
      <c r="G443">
        <v>10000</v>
      </c>
      <c r="H443">
        <v>360789.59615167172</v>
      </c>
      <c r="I443">
        <v>31.823862800632806</v>
      </c>
    </row>
    <row r="444" spans="1:9" x14ac:dyDescent="0.2">
      <c r="A444">
        <v>439</v>
      </c>
      <c r="B444">
        <v>1571003.2407787126</v>
      </c>
      <c r="C444">
        <v>87379.124962866292</v>
      </c>
      <c r="D444">
        <v>107538.40062359971</v>
      </c>
      <c r="E444">
        <v>197869.23753762522</v>
      </c>
      <c r="F444">
        <v>49698.639521835597</v>
      </c>
      <c r="G444">
        <v>10000</v>
      </c>
      <c r="H444">
        <v>432485.40264592681</v>
      </c>
      <c r="I444">
        <v>36.112311692332312</v>
      </c>
    </row>
    <row r="445" spans="1:9" x14ac:dyDescent="0.2">
      <c r="A445">
        <v>440</v>
      </c>
      <c r="B445">
        <v>1417775.4645422627</v>
      </c>
      <c r="C445">
        <v>116140.10959417895</v>
      </c>
      <c r="D445">
        <v>149266.435887523</v>
      </c>
      <c r="E445">
        <v>92669.216750688473</v>
      </c>
      <c r="F445">
        <v>42415.561159663048</v>
      </c>
      <c r="G445">
        <v>10000</v>
      </c>
      <c r="H445">
        <v>390491.32339205348</v>
      </c>
      <c r="I445">
        <v>39.870390374844419</v>
      </c>
    </row>
    <row r="446" spans="1:9" x14ac:dyDescent="0.2">
      <c r="A446">
        <v>441</v>
      </c>
      <c r="B446">
        <v>1146987.829834362</v>
      </c>
      <c r="C446">
        <v>88099.818090261819</v>
      </c>
      <c r="D446">
        <v>53301.490184806498</v>
      </c>
      <c r="E446">
        <v>139237.59115585461</v>
      </c>
      <c r="F446">
        <v>45639.525541559167</v>
      </c>
      <c r="G446">
        <v>10000</v>
      </c>
      <c r="H446">
        <v>316278.42497248208</v>
      </c>
      <c r="I446">
        <v>37.773746801357404</v>
      </c>
    </row>
    <row r="447" spans="1:9" x14ac:dyDescent="0.2">
      <c r="A447">
        <v>442</v>
      </c>
      <c r="B447">
        <v>1193989.7176071941</v>
      </c>
      <c r="C447">
        <v>127918.29657861368</v>
      </c>
      <c r="D447">
        <v>77863.722713195428</v>
      </c>
      <c r="E447">
        <v>91072.845562234754</v>
      </c>
      <c r="F447">
        <v>42305.043154308558</v>
      </c>
      <c r="G447">
        <v>10000</v>
      </c>
      <c r="H447">
        <v>329159.90800835245</v>
      </c>
      <c r="I447">
        <v>52.330455451404667</v>
      </c>
    </row>
    <row r="448" spans="1:9" x14ac:dyDescent="0.2">
      <c r="A448">
        <v>443</v>
      </c>
      <c r="B448">
        <v>993476.89647317852</v>
      </c>
      <c r="C448">
        <v>126942.22647278686</v>
      </c>
      <c r="D448">
        <v>65794.518086235723</v>
      </c>
      <c r="E448">
        <v>51878.415620511885</v>
      </c>
      <c r="F448">
        <v>39591.582619881592</v>
      </c>
      <c r="G448">
        <v>10000</v>
      </c>
      <c r="H448">
        <v>274206.74279941607</v>
      </c>
      <c r="I448">
        <v>31.884815089079495</v>
      </c>
    </row>
    <row r="449" spans="1:9" x14ac:dyDescent="0.2">
      <c r="A449">
        <v>444</v>
      </c>
      <c r="B449">
        <v>1387393.0199894663</v>
      </c>
      <c r="C449">
        <v>124741.79987034114</v>
      </c>
      <c r="D449">
        <v>110170.8446901141</v>
      </c>
      <c r="E449">
        <v>113401.12481092048</v>
      </c>
      <c r="F449">
        <v>43850.847102294501</v>
      </c>
      <c r="G449">
        <v>10000</v>
      </c>
      <c r="H449">
        <v>382164.61647367018</v>
      </c>
      <c r="I449">
        <v>28.749678647631036</v>
      </c>
    </row>
    <row r="450" spans="1:9" x14ac:dyDescent="0.2">
      <c r="A450">
        <v>445</v>
      </c>
      <c r="B450">
        <v>1441640.6697319935</v>
      </c>
      <c r="C450">
        <v>148274.18777191296</v>
      </c>
      <c r="D450">
        <v>68126.650464815873</v>
      </c>
      <c r="E450">
        <v>144618.97441115155</v>
      </c>
      <c r="F450">
        <v>46012.082843848955</v>
      </c>
      <c r="G450">
        <v>10000</v>
      </c>
      <c r="H450">
        <v>397031.89549172937</v>
      </c>
      <c r="I450">
        <v>24.43186443271734</v>
      </c>
    </row>
    <row r="451" spans="1:9" x14ac:dyDescent="0.2">
      <c r="A451">
        <v>446</v>
      </c>
      <c r="B451">
        <v>1035996.7304229869</v>
      </c>
      <c r="C451">
        <v>141562.66680376432</v>
      </c>
      <c r="D451">
        <v>44966.708266728827</v>
      </c>
      <c r="E451">
        <v>68582.468175314003</v>
      </c>
      <c r="F451">
        <v>40748.017027521739</v>
      </c>
      <c r="G451">
        <v>10000</v>
      </c>
      <c r="H451">
        <v>285859.8602733289</v>
      </c>
      <c r="I451">
        <v>35.927904471372358</v>
      </c>
    </row>
    <row r="452" spans="1:9" x14ac:dyDescent="0.2">
      <c r="A452">
        <v>447</v>
      </c>
      <c r="B452">
        <v>1183699.0318018245</v>
      </c>
      <c r="C452">
        <v>116713.36147306144</v>
      </c>
      <c r="D452">
        <v>131460.6040602662</v>
      </c>
      <c r="E452">
        <v>48788.013523810572</v>
      </c>
      <c r="F452">
        <v>39377.631705494576</v>
      </c>
      <c r="G452">
        <v>10000</v>
      </c>
      <c r="H452">
        <v>326339.6107626328</v>
      </c>
      <c r="I452">
        <v>36.110261874685207</v>
      </c>
    </row>
    <row r="453" spans="1:9" x14ac:dyDescent="0.2">
      <c r="A453">
        <v>448</v>
      </c>
      <c r="B453">
        <v>1232184.4898458296</v>
      </c>
      <c r="C453">
        <v>136582.00352573709</v>
      </c>
      <c r="D453">
        <v>77920.335166919685</v>
      </c>
      <c r="E453">
        <v>92707.159038926053</v>
      </c>
      <c r="F453">
        <v>42418.187933464113</v>
      </c>
      <c r="G453">
        <v>10000</v>
      </c>
      <c r="H453">
        <v>339627.68566504697</v>
      </c>
      <c r="I453">
        <v>37.584911305482095</v>
      </c>
    </row>
    <row r="454" spans="1:9" x14ac:dyDescent="0.2">
      <c r="A454">
        <v>449</v>
      </c>
      <c r="B454">
        <v>1455279.5436556367</v>
      </c>
      <c r="C454">
        <v>96976.102102560748</v>
      </c>
      <c r="D454">
        <v>103178.33826002786</v>
      </c>
      <c r="E454">
        <v>163309.33621860616</v>
      </c>
      <c r="F454">
        <v>47306.030968980427</v>
      </c>
      <c r="G454">
        <v>10000</v>
      </c>
      <c r="H454">
        <v>400769.80755017523</v>
      </c>
      <c r="I454">
        <v>35.913302168426725</v>
      </c>
    </row>
    <row r="455" spans="1:9" x14ac:dyDescent="0.2">
      <c r="A455">
        <v>450</v>
      </c>
      <c r="B455">
        <v>1355927.4152648367</v>
      </c>
      <c r="C455">
        <v>117152.34670199225</v>
      </c>
      <c r="D455">
        <v>146784.76050737622</v>
      </c>
      <c r="E455">
        <v>78190.742838738646</v>
      </c>
      <c r="F455">
        <v>41413.205273451138</v>
      </c>
      <c r="G455">
        <v>10000</v>
      </c>
      <c r="H455">
        <v>373541.05532155826</v>
      </c>
      <c r="I455">
        <v>35.688933379718854</v>
      </c>
    </row>
    <row r="456" spans="1:9" x14ac:dyDescent="0.2">
      <c r="A456">
        <v>451</v>
      </c>
      <c r="B456">
        <v>1531999.5763964837</v>
      </c>
      <c r="C456">
        <v>122757.96064369949</v>
      </c>
      <c r="D456">
        <v>78403.254017492276</v>
      </c>
      <c r="E456">
        <v>182032.4745987198</v>
      </c>
      <c r="F456">
        <v>48602.24824144983</v>
      </c>
      <c r="G456">
        <v>10000</v>
      </c>
      <c r="H456">
        <v>421795.93750136136</v>
      </c>
      <c r="I456">
        <v>24.929516272243855</v>
      </c>
    </row>
    <row r="457" spans="1:9" x14ac:dyDescent="0.2">
      <c r="A457">
        <v>452</v>
      </c>
      <c r="B457">
        <v>1156788.1702753562</v>
      </c>
      <c r="C457">
        <v>140848.33727748666</v>
      </c>
      <c r="D457">
        <v>30886.342281302361</v>
      </c>
      <c r="E457">
        <v>113380.25483155635</v>
      </c>
      <c r="F457">
        <v>43849.402257569287</v>
      </c>
      <c r="G457">
        <v>10000</v>
      </c>
      <c r="H457">
        <v>318964.33664791466</v>
      </c>
      <c r="I457">
        <v>34.345114628233063</v>
      </c>
    </row>
    <row r="458" spans="1:9" x14ac:dyDescent="0.2">
      <c r="A458">
        <v>453</v>
      </c>
      <c r="B458">
        <v>1071289.6535467126</v>
      </c>
      <c r="C458">
        <v>116781.28666384588</v>
      </c>
      <c r="D458">
        <v>63117.474380474385</v>
      </c>
      <c r="E458">
        <v>83829.973568812391</v>
      </c>
      <c r="F458">
        <v>41803.613554763935</v>
      </c>
      <c r="G458">
        <v>10000</v>
      </c>
      <c r="H458">
        <v>295532.34816789662</v>
      </c>
      <c r="I458">
        <v>31.19017371881322</v>
      </c>
    </row>
    <row r="459" spans="1:9" x14ac:dyDescent="0.2">
      <c r="A459">
        <v>454</v>
      </c>
      <c r="B459">
        <v>1685827.0964812837</v>
      </c>
      <c r="C459">
        <v>125197.66300992106</v>
      </c>
      <c r="D459">
        <v>109629.33489593325</v>
      </c>
      <c r="E459">
        <v>189975.253567926</v>
      </c>
      <c r="F459">
        <v>49152.132939317955</v>
      </c>
      <c r="G459">
        <v>10000</v>
      </c>
      <c r="H459">
        <v>463954.38441309828</v>
      </c>
      <c r="I459">
        <v>49.955958148423399</v>
      </c>
    </row>
    <row r="460" spans="1:9" x14ac:dyDescent="0.2">
      <c r="A460">
        <v>455</v>
      </c>
      <c r="B460">
        <v>1032346.1618610859</v>
      </c>
      <c r="C460">
        <v>137836.1907289518</v>
      </c>
      <c r="D460">
        <v>86716.64176507268</v>
      </c>
      <c r="E460">
        <v>32085.254775927991</v>
      </c>
      <c r="F460">
        <v>38221.286869102703</v>
      </c>
      <c r="G460">
        <v>10000</v>
      </c>
      <c r="H460">
        <v>284859.37413905514</v>
      </c>
      <c r="I460">
        <v>52.559890679311522</v>
      </c>
    </row>
    <row r="461" spans="1:9" x14ac:dyDescent="0.2">
      <c r="A461">
        <v>456</v>
      </c>
      <c r="B461">
        <v>1319749.8858270692</v>
      </c>
      <c r="C461">
        <v>103234.27998882858</v>
      </c>
      <c r="D461">
        <v>122086.5949777792</v>
      </c>
      <c r="E461">
        <v>105033.69127049459</v>
      </c>
      <c r="F461">
        <v>43271.563241803466</v>
      </c>
      <c r="G461">
        <v>10000</v>
      </c>
      <c r="H461">
        <v>363626.12947890582</v>
      </c>
      <c r="I461">
        <v>40.164588302677643</v>
      </c>
    </row>
    <row r="462" spans="1:9" x14ac:dyDescent="0.2">
      <c r="A462">
        <v>457</v>
      </c>
      <c r="B462">
        <v>1097817.4661776421</v>
      </c>
      <c r="C462">
        <v>144177.57463073119</v>
      </c>
      <c r="D462">
        <v>84380.883521499054</v>
      </c>
      <c r="E462">
        <v>45120.460382559591</v>
      </c>
      <c r="F462">
        <v>39123.724180331046</v>
      </c>
      <c r="G462">
        <v>10000</v>
      </c>
      <c r="H462">
        <v>302802.64271512086</v>
      </c>
      <c r="I462">
        <v>40.732700824186352</v>
      </c>
    </row>
    <row r="463" spans="1:9" x14ac:dyDescent="0.2">
      <c r="A463">
        <v>458</v>
      </c>
      <c r="B463">
        <v>1789775.380597356</v>
      </c>
      <c r="C463">
        <v>112367.08119209622</v>
      </c>
      <c r="D463">
        <v>149103.16628386884</v>
      </c>
      <c r="E463">
        <v>191700.92345559411</v>
      </c>
      <c r="F463">
        <v>49271.602393079585</v>
      </c>
      <c r="G463">
        <v>10000</v>
      </c>
      <c r="H463">
        <v>492442.77332463878</v>
      </c>
      <c r="I463">
        <v>27.281943751665548</v>
      </c>
    </row>
    <row r="464" spans="1:9" x14ac:dyDescent="0.2">
      <c r="A464">
        <v>459</v>
      </c>
      <c r="B464">
        <v>1655715.9700470818</v>
      </c>
      <c r="C464">
        <v>151287.97060861622</v>
      </c>
      <c r="D464">
        <v>57337.147889207088</v>
      </c>
      <c r="E464">
        <v>206762.58450775547</v>
      </c>
      <c r="F464">
        <v>50314.332773613845</v>
      </c>
      <c r="G464">
        <v>10000</v>
      </c>
      <c r="H464">
        <v>455702.03577919264</v>
      </c>
      <c r="I464">
        <v>32.588531449781222</v>
      </c>
    </row>
    <row r="465" spans="1:9" x14ac:dyDescent="0.2">
      <c r="A465">
        <v>460</v>
      </c>
      <c r="B465">
        <v>1312330.7275158791</v>
      </c>
      <c r="C465">
        <v>91780.254107412009</v>
      </c>
      <c r="D465">
        <v>56526.869230258177</v>
      </c>
      <c r="E465">
        <v>175159.27712688968</v>
      </c>
      <c r="F465">
        <v>48126.411493400061</v>
      </c>
      <c r="G465">
        <v>10000</v>
      </c>
      <c r="H465">
        <v>361592.8119579599</v>
      </c>
      <c r="I465">
        <v>29.923210336581818</v>
      </c>
    </row>
    <row r="466" spans="1:9" x14ac:dyDescent="0.2">
      <c r="A466">
        <v>461</v>
      </c>
      <c r="B466">
        <v>1433222.9878204246</v>
      </c>
      <c r="C466">
        <v>100104.88071655593</v>
      </c>
      <c r="D466">
        <v>63663.733120394943</v>
      </c>
      <c r="E466">
        <v>191685.75349607778</v>
      </c>
      <c r="F466">
        <v>49270.552165113077</v>
      </c>
      <c r="G466">
        <v>10000</v>
      </c>
      <c r="H466">
        <v>394724.91949814174</v>
      </c>
      <c r="I466">
        <v>43.209953586652816</v>
      </c>
    </row>
    <row r="467" spans="1:9" x14ac:dyDescent="0.2">
      <c r="A467">
        <v>462</v>
      </c>
      <c r="B467">
        <v>1745872.2912900608</v>
      </c>
      <c r="C467">
        <v>115771.50829948616</v>
      </c>
      <c r="D467">
        <v>123581.17889911817</v>
      </c>
      <c r="E467">
        <v>201133.25915269559</v>
      </c>
      <c r="F467">
        <v>49924.610249032776</v>
      </c>
      <c r="G467">
        <v>10000</v>
      </c>
      <c r="H467">
        <v>480410.55660033273</v>
      </c>
      <c r="I467">
        <v>44.155056677496646</v>
      </c>
    </row>
    <row r="468" spans="1:9" x14ac:dyDescent="0.2">
      <c r="A468">
        <v>463</v>
      </c>
      <c r="B468">
        <v>1590008.5667438386</v>
      </c>
      <c r="C468">
        <v>146468.78038230131</v>
      </c>
      <c r="D468">
        <v>61167.660546601532</v>
      </c>
      <c r="E468">
        <v>190845.25635284101</v>
      </c>
      <c r="F468">
        <v>49212.363901350531</v>
      </c>
      <c r="G468">
        <v>10000</v>
      </c>
      <c r="H468">
        <v>437694.0611830944</v>
      </c>
      <c r="I468">
        <v>32.657139576326948</v>
      </c>
    </row>
    <row r="469" spans="1:9" x14ac:dyDescent="0.2">
      <c r="A469">
        <v>464</v>
      </c>
      <c r="B469">
        <v>1329543.7704412672</v>
      </c>
      <c r="C469">
        <v>106320.39684583973</v>
      </c>
      <c r="D469">
        <v>129083.90559182965</v>
      </c>
      <c r="E469">
        <v>98113.496573092998</v>
      </c>
      <c r="F469">
        <v>42792.472839675676</v>
      </c>
      <c r="G469">
        <v>10000</v>
      </c>
      <c r="H469">
        <v>366310.27185043803</v>
      </c>
      <c r="I469">
        <v>37.284048737329435</v>
      </c>
    </row>
    <row r="470" spans="1:9" x14ac:dyDescent="0.2">
      <c r="A470">
        <v>465</v>
      </c>
      <c r="B470">
        <v>1076697.5109651762</v>
      </c>
      <c r="C470">
        <v>113394.86722571161</v>
      </c>
      <c r="D470">
        <v>124792.00493174864</v>
      </c>
      <c r="E470">
        <v>30702.044048655764</v>
      </c>
      <c r="F470">
        <v>38125.526126445402</v>
      </c>
      <c r="G470">
        <v>10000</v>
      </c>
      <c r="H470">
        <v>297014.44233256142</v>
      </c>
      <c r="I470">
        <v>27.719353025371589</v>
      </c>
    </row>
    <row r="471" spans="1:9" x14ac:dyDescent="0.2">
      <c r="A471">
        <v>466</v>
      </c>
      <c r="B471">
        <v>1074154.3819681171</v>
      </c>
      <c r="C471">
        <v>115929.93498360677</v>
      </c>
      <c r="D471">
        <v>61360.584853268214</v>
      </c>
      <c r="E471">
        <v>87003.617327402782</v>
      </c>
      <c r="F471">
        <v>42023.327353435576</v>
      </c>
      <c r="G471">
        <v>10000</v>
      </c>
      <c r="H471">
        <v>296317.46451771329</v>
      </c>
      <c r="I471">
        <v>30.306056916490931</v>
      </c>
    </row>
    <row r="472" spans="1:9" x14ac:dyDescent="0.2">
      <c r="A472">
        <v>467</v>
      </c>
      <c r="B472">
        <v>1474992.8521234086</v>
      </c>
      <c r="C472">
        <v>119785.59963238031</v>
      </c>
      <c r="D472">
        <v>66616.612283409122</v>
      </c>
      <c r="E472">
        <v>181224.00853641747</v>
      </c>
      <c r="F472">
        <v>48546.277514059671</v>
      </c>
      <c r="G472">
        <v>10000</v>
      </c>
      <c r="H472">
        <v>406172.49796626659</v>
      </c>
      <c r="I472">
        <v>36.822091587695596</v>
      </c>
    </row>
    <row r="473" spans="1:9" x14ac:dyDescent="0.2">
      <c r="A473">
        <v>468</v>
      </c>
      <c r="B473">
        <v>1575567.6817419827</v>
      </c>
      <c r="C473">
        <v>103198.48915417504</v>
      </c>
      <c r="D473">
        <v>112652.90221820162</v>
      </c>
      <c r="E473">
        <v>179460.75031917813</v>
      </c>
      <c r="F473">
        <v>48424.205791327717</v>
      </c>
      <c r="G473">
        <v>10000</v>
      </c>
      <c r="H473">
        <v>433736.3474828825</v>
      </c>
      <c r="I473">
        <v>29.969457342998986</v>
      </c>
    </row>
    <row r="474" spans="1:9" x14ac:dyDescent="0.2">
      <c r="A474">
        <v>469</v>
      </c>
      <c r="B474">
        <v>1069200.4818852181</v>
      </c>
      <c r="C474">
        <v>86239.010902049413</v>
      </c>
      <c r="D474">
        <v>89137.456662822835</v>
      </c>
      <c r="E474">
        <v>87523.964363498555</v>
      </c>
      <c r="F474">
        <v>42059.351379011438</v>
      </c>
      <c r="G474">
        <v>10000</v>
      </c>
      <c r="H474">
        <v>294959.78330738225</v>
      </c>
      <c r="I474">
        <v>39.269333891540171</v>
      </c>
    </row>
    <row r="475" spans="1:9" x14ac:dyDescent="0.2">
      <c r="A475">
        <v>470</v>
      </c>
      <c r="B475">
        <v>1044325.3133018642</v>
      </c>
      <c r="C475">
        <v>82320.641723755136</v>
      </c>
      <c r="D475">
        <v>102650.3832028217</v>
      </c>
      <c r="E475">
        <v>72174.683710996149</v>
      </c>
      <c r="F475">
        <v>40996.708872299736</v>
      </c>
      <c r="G475">
        <v>10000</v>
      </c>
      <c r="H475">
        <v>288142.4175098727</v>
      </c>
      <c r="I475">
        <v>27.173698779362986</v>
      </c>
    </row>
    <row r="476" spans="1:9" x14ac:dyDescent="0.2">
      <c r="A476">
        <v>471</v>
      </c>
      <c r="B476">
        <v>1165610.0214678759</v>
      </c>
      <c r="C476">
        <v>134560.3396851655</v>
      </c>
      <c r="D476">
        <v>94540.182695638287</v>
      </c>
      <c r="E476">
        <v>61989.946467928108</v>
      </c>
      <c r="F476">
        <v>40291.611678548863</v>
      </c>
      <c r="G476">
        <v>10000</v>
      </c>
      <c r="H476">
        <v>321382.08052728075</v>
      </c>
      <c r="I476">
        <v>43.699090843156569</v>
      </c>
    </row>
    <row r="477" spans="1:9" x14ac:dyDescent="0.2">
      <c r="A477">
        <v>472</v>
      </c>
      <c r="B477">
        <v>1344749.9873000088</v>
      </c>
      <c r="C477">
        <v>124767.47384560331</v>
      </c>
      <c r="D477">
        <v>91071.563308608413</v>
      </c>
      <c r="E477">
        <v>120309.57331098273</v>
      </c>
      <c r="F477">
        <v>44329.124306144964</v>
      </c>
      <c r="G477">
        <v>10000</v>
      </c>
      <c r="H477">
        <v>370477.7347713394</v>
      </c>
      <c r="I477">
        <v>36.427296614092278</v>
      </c>
    </row>
    <row r="478" spans="1:9" x14ac:dyDescent="0.2">
      <c r="A478">
        <v>473</v>
      </c>
      <c r="B478">
        <v>1068257.0282227765</v>
      </c>
      <c r="C478">
        <v>152352.19791923894</v>
      </c>
      <c r="D478">
        <v>80742.277081237014</v>
      </c>
      <c r="E478">
        <v>33301.26993796679</v>
      </c>
      <c r="F478">
        <v>38305.472534166933</v>
      </c>
      <c r="G478">
        <v>10000</v>
      </c>
      <c r="H478">
        <v>294701.21747260966</v>
      </c>
      <c r="I478">
        <v>50.154502293585274</v>
      </c>
    </row>
    <row r="479" spans="1:9" x14ac:dyDescent="0.2">
      <c r="A479">
        <v>474</v>
      </c>
      <c r="B479">
        <v>1408840.2268489685</v>
      </c>
      <c r="C479">
        <v>121497.05783990017</v>
      </c>
      <c r="D479">
        <v>46981.896419393161</v>
      </c>
      <c r="E479">
        <v>181030.6584581621</v>
      </c>
      <c r="F479">
        <v>48532.891739411221</v>
      </c>
      <c r="G479">
        <v>10000</v>
      </c>
      <c r="H479">
        <v>388042.50445686665</v>
      </c>
      <c r="I479">
        <v>28.284754574262081</v>
      </c>
    </row>
    <row r="480" spans="1:9" x14ac:dyDescent="0.2">
      <c r="A480">
        <v>475</v>
      </c>
      <c r="B480">
        <v>1576925.1531416795</v>
      </c>
      <c r="C480">
        <v>126605.66299564271</v>
      </c>
      <c r="D480">
        <v>108253.05758552359</v>
      </c>
      <c r="E480">
        <v>162032.05585391569</v>
      </c>
      <c r="F480">
        <v>47217.60386680955</v>
      </c>
      <c r="G480">
        <v>10000</v>
      </c>
      <c r="H480">
        <v>434108.38030189154</v>
      </c>
      <c r="I480">
        <v>36.348005784576635</v>
      </c>
    </row>
    <row r="481" spans="1:9" x14ac:dyDescent="0.2">
      <c r="A481">
        <v>476</v>
      </c>
      <c r="B481">
        <v>1180248.2971121471</v>
      </c>
      <c r="C481">
        <v>142235.64968583119</v>
      </c>
      <c r="D481">
        <v>92119.279705653418</v>
      </c>
      <c r="E481">
        <v>60827.806493102864</v>
      </c>
      <c r="F481">
        <v>40211.155834137891</v>
      </c>
      <c r="G481">
        <v>10000</v>
      </c>
      <c r="H481">
        <v>325393.89171872532</v>
      </c>
      <c r="I481">
        <v>36.730062833615882</v>
      </c>
    </row>
    <row r="482" spans="1:9" x14ac:dyDescent="0.2">
      <c r="A482">
        <v>477</v>
      </c>
      <c r="B482">
        <v>1129704.467558739</v>
      </c>
      <c r="C482">
        <v>105890.30494474285</v>
      </c>
      <c r="D482">
        <v>70417.632459278509</v>
      </c>
      <c r="E482">
        <v>102161.06651654067</v>
      </c>
      <c r="F482">
        <v>43072.689220375891</v>
      </c>
      <c r="G482">
        <v>10000</v>
      </c>
      <c r="H482">
        <v>311541.69314093795</v>
      </c>
      <c r="I482">
        <v>39.766686958746035</v>
      </c>
    </row>
    <row r="483" spans="1:9" x14ac:dyDescent="0.2">
      <c r="A483">
        <v>478</v>
      </c>
      <c r="B483">
        <v>1294989.2397570969</v>
      </c>
      <c r="C483">
        <v>149484.08693890725</v>
      </c>
      <c r="D483">
        <v>87352.445473758504</v>
      </c>
      <c r="E483">
        <v>87917.052491218201</v>
      </c>
      <c r="F483">
        <v>42086.565172468952</v>
      </c>
      <c r="G483">
        <v>10000</v>
      </c>
      <c r="H483">
        <v>356840.15007635293</v>
      </c>
      <c r="I483">
        <v>39.628038298915413</v>
      </c>
    </row>
    <row r="484" spans="1:9" x14ac:dyDescent="0.2">
      <c r="A484">
        <v>479</v>
      </c>
      <c r="B484">
        <v>1596400.8978409425</v>
      </c>
      <c r="C484">
        <v>116844.75281208249</v>
      </c>
      <c r="D484">
        <v>101393.19582367582</v>
      </c>
      <c r="E484">
        <v>182568.6467664821</v>
      </c>
      <c r="F484">
        <v>48639.367853064141</v>
      </c>
      <c r="G484">
        <v>10000</v>
      </c>
      <c r="H484">
        <v>439445.96325530455</v>
      </c>
      <c r="I484">
        <v>26.774801833407949</v>
      </c>
    </row>
    <row r="485" spans="1:9" x14ac:dyDescent="0.2">
      <c r="A485">
        <v>480</v>
      </c>
      <c r="B485">
        <v>1178981.429176525</v>
      </c>
      <c r="C485">
        <v>96756.340331896528</v>
      </c>
      <c r="D485">
        <v>89053.326012515245</v>
      </c>
      <c r="E485">
        <v>105905.13000569696</v>
      </c>
      <c r="F485">
        <v>43331.893615779023</v>
      </c>
      <c r="G485">
        <v>10000</v>
      </c>
      <c r="H485">
        <v>325046.68996588775</v>
      </c>
      <c r="I485">
        <v>31.008247848514586</v>
      </c>
    </row>
    <row r="486" spans="1:9" x14ac:dyDescent="0.2">
      <c r="A486">
        <v>481</v>
      </c>
      <c r="B486">
        <v>1569593.7185687723</v>
      </c>
      <c r="C486">
        <v>118185.14606421944</v>
      </c>
      <c r="D486">
        <v>106030.10216177894</v>
      </c>
      <c r="E486">
        <v>170107.20382223453</v>
      </c>
      <c r="F486">
        <v>47776.652572308543</v>
      </c>
      <c r="G486">
        <v>10000</v>
      </c>
      <c r="H486">
        <v>432099.10462054145</v>
      </c>
      <c r="I486">
        <v>36.23184041483772</v>
      </c>
    </row>
    <row r="487" spans="1:9" x14ac:dyDescent="0.2">
      <c r="A487">
        <v>482</v>
      </c>
      <c r="B487">
        <v>1689793.562002524</v>
      </c>
      <c r="C487">
        <v>138678.02797774522</v>
      </c>
      <c r="D487">
        <v>88262.647114957421</v>
      </c>
      <c r="E487">
        <v>198367.62769836411</v>
      </c>
      <c r="F487">
        <v>49733.143456040591</v>
      </c>
      <c r="G487">
        <v>10000</v>
      </c>
      <c r="H487">
        <v>465041.44624710735</v>
      </c>
      <c r="I487">
        <v>32.516328607902309</v>
      </c>
    </row>
    <row r="488" spans="1:9" x14ac:dyDescent="0.2">
      <c r="A488">
        <v>483</v>
      </c>
      <c r="B488">
        <v>1396414.2501725215</v>
      </c>
      <c r="C488">
        <v>101899.12215597779</v>
      </c>
      <c r="D488">
        <v>82328.430467225757</v>
      </c>
      <c r="E488">
        <v>163116.75194250915</v>
      </c>
      <c r="F488">
        <v>47292.69821140448</v>
      </c>
      <c r="G488">
        <v>10000</v>
      </c>
      <c r="H488">
        <v>384637.00277711719</v>
      </c>
      <c r="I488">
        <v>48.285506873544989</v>
      </c>
    </row>
    <row r="489" spans="1:9" x14ac:dyDescent="0.2">
      <c r="A489">
        <v>484</v>
      </c>
      <c r="B489">
        <v>1351902.9848854989</v>
      </c>
      <c r="C489">
        <v>118279.1608647289</v>
      </c>
      <c r="D489">
        <v>24640.954358895207</v>
      </c>
      <c r="E489">
        <v>190340.56827758555</v>
      </c>
      <c r="F489">
        <v>49177.423957678999</v>
      </c>
      <c r="G489">
        <v>10000</v>
      </c>
      <c r="H489">
        <v>372438.10745888867</v>
      </c>
      <c r="I489">
        <v>34.567351748718607</v>
      </c>
    </row>
    <row r="490" spans="1:9" x14ac:dyDescent="0.2">
      <c r="A490">
        <v>485</v>
      </c>
      <c r="B490">
        <v>1283522.8458828779</v>
      </c>
      <c r="C490">
        <v>114850.99754137405</v>
      </c>
      <c r="D490">
        <v>73984.408046857221</v>
      </c>
      <c r="E490">
        <v>129871.14946671862</v>
      </c>
      <c r="F490">
        <v>44991.079578465135</v>
      </c>
      <c r="G490">
        <v>10000</v>
      </c>
      <c r="H490">
        <v>353697.63463341503</v>
      </c>
      <c r="I490">
        <v>40.39126499303427</v>
      </c>
    </row>
    <row r="491" spans="1:9" x14ac:dyDescent="0.2">
      <c r="A491">
        <v>486</v>
      </c>
      <c r="B491">
        <v>1518136.5805023904</v>
      </c>
      <c r="C491">
        <v>97618.74512014541</v>
      </c>
      <c r="D491">
        <v>110568.71194196335</v>
      </c>
      <c r="E491">
        <v>171907.83328392368</v>
      </c>
      <c r="F491">
        <v>47901.311535040863</v>
      </c>
      <c r="G491">
        <v>10000</v>
      </c>
      <c r="H491">
        <v>417996.60188107332</v>
      </c>
      <c r="I491">
        <v>29.692556879447874</v>
      </c>
    </row>
    <row r="492" spans="1:9" x14ac:dyDescent="0.2">
      <c r="A492">
        <v>487</v>
      </c>
      <c r="B492">
        <v>1255483.2352768935</v>
      </c>
      <c r="C492">
        <v>131397.15995131806</v>
      </c>
      <c r="D492">
        <v>53649.494951069515</v>
      </c>
      <c r="E492">
        <v>126227.52826533935</v>
      </c>
      <c r="F492">
        <v>44738.828879908113</v>
      </c>
      <c r="G492">
        <v>10000</v>
      </c>
      <c r="H492">
        <v>346013.0120476351</v>
      </c>
      <c r="I492">
        <v>43.842755146779801</v>
      </c>
    </row>
    <row r="493" spans="1:9" x14ac:dyDescent="0.2">
      <c r="A493">
        <v>488</v>
      </c>
      <c r="B493">
        <v>1362090.6115776005</v>
      </c>
      <c r="C493">
        <v>97843.948879880671</v>
      </c>
      <c r="D493">
        <v>99967.230193301366</v>
      </c>
      <c r="E493">
        <v>141614.87425241948</v>
      </c>
      <c r="F493">
        <v>45804.106679013654</v>
      </c>
      <c r="G493">
        <v>10000</v>
      </c>
      <c r="H493">
        <v>375230.16000461514</v>
      </c>
      <c r="I493">
        <v>33.221135808076525</v>
      </c>
    </row>
    <row r="494" spans="1:9" x14ac:dyDescent="0.2">
      <c r="A494">
        <v>489</v>
      </c>
      <c r="B494">
        <v>1776777.6617197436</v>
      </c>
      <c r="C494">
        <v>109442.6064502912</v>
      </c>
      <c r="D494">
        <v>147462.05353425108</v>
      </c>
      <c r="E494">
        <v>192639.34797619077</v>
      </c>
      <c r="F494">
        <v>49336.570244505514</v>
      </c>
      <c r="G494">
        <v>10000</v>
      </c>
      <c r="H494">
        <v>488880.57820523856</v>
      </c>
      <c r="I494">
        <v>33.600629984978838</v>
      </c>
    </row>
    <row r="495" spans="1:9" x14ac:dyDescent="0.2">
      <c r="A495">
        <v>490</v>
      </c>
      <c r="B495">
        <v>1054424.5592768276</v>
      </c>
      <c r="C495">
        <v>87286.580885101081</v>
      </c>
      <c r="D495">
        <v>62087.442608304278</v>
      </c>
      <c r="E495">
        <v>108055.46192058841</v>
      </c>
      <c r="F495">
        <v>43480.762748348425</v>
      </c>
      <c r="G495">
        <v>10000</v>
      </c>
      <c r="H495">
        <v>290910.24816234218</v>
      </c>
      <c r="I495">
        <v>30.73919494242266</v>
      </c>
    </row>
    <row r="496" spans="1:9" x14ac:dyDescent="0.2">
      <c r="A496">
        <v>491</v>
      </c>
      <c r="B496">
        <v>1038693.2871544705</v>
      </c>
      <c r="C496">
        <v>113579.82700878249</v>
      </c>
      <c r="D496">
        <v>59070.977043890154</v>
      </c>
      <c r="E496">
        <v>82253.60272711853</v>
      </c>
      <c r="F496">
        <v>41694.480188800509</v>
      </c>
      <c r="G496">
        <v>10000</v>
      </c>
      <c r="H496">
        <v>286598.88696859166</v>
      </c>
      <c r="I496">
        <v>25.123975905512417</v>
      </c>
    </row>
    <row r="497" spans="1:9" x14ac:dyDescent="0.2">
      <c r="A497">
        <v>492</v>
      </c>
      <c r="B497">
        <v>1163864.9898208897</v>
      </c>
      <c r="C497">
        <v>132116.06388786563</v>
      </c>
      <c r="D497">
        <v>71482.998029847033</v>
      </c>
      <c r="E497">
        <v>85392.950198869687</v>
      </c>
      <c r="F497">
        <v>41911.819629152516</v>
      </c>
      <c r="G497">
        <v>10000</v>
      </c>
      <c r="H497">
        <v>320903.8317457349</v>
      </c>
      <c r="I497">
        <v>37.414983570040988</v>
      </c>
    </row>
    <row r="498" spans="1:9" x14ac:dyDescent="0.2">
      <c r="A498">
        <v>493</v>
      </c>
      <c r="B498">
        <v>959236.23928818363</v>
      </c>
      <c r="C498">
        <v>127352.13825328115</v>
      </c>
      <c r="D498">
        <v>73215.541505384943</v>
      </c>
      <c r="E498">
        <v>35778.022398436871</v>
      </c>
      <c r="F498">
        <v>38476.940012199477</v>
      </c>
      <c r="G498">
        <v>10000</v>
      </c>
      <c r="H498">
        <v>264822.64216930245</v>
      </c>
      <c r="I498">
        <v>24.406263720190488</v>
      </c>
    </row>
    <row r="499" spans="1:9" x14ac:dyDescent="0.2">
      <c r="A499">
        <v>494</v>
      </c>
      <c r="B499">
        <v>1031932.5867237127</v>
      </c>
      <c r="C499">
        <v>95299.072390524612</v>
      </c>
      <c r="D499">
        <v>125753.21356169683</v>
      </c>
      <c r="E499">
        <v>35253.140470331309</v>
      </c>
      <c r="F499">
        <v>38440.602032561401</v>
      </c>
      <c r="G499">
        <v>10000</v>
      </c>
      <c r="H499">
        <v>284746.02845511411</v>
      </c>
      <c r="I499">
        <v>38.130377753009654</v>
      </c>
    </row>
    <row r="500" spans="1:9" x14ac:dyDescent="0.2">
      <c r="A500">
        <v>495</v>
      </c>
      <c r="B500">
        <v>1360195.4684878364</v>
      </c>
      <c r="C500">
        <v>103007.66167851006</v>
      </c>
      <c r="D500">
        <v>140738.81146905277</v>
      </c>
      <c r="E500">
        <v>98168.04855304776</v>
      </c>
      <c r="F500">
        <v>42796.249515211006</v>
      </c>
      <c r="G500">
        <v>10000</v>
      </c>
      <c r="H500">
        <v>374710.77121582162</v>
      </c>
      <c r="I500">
        <v>36.090232758389917</v>
      </c>
    </row>
    <row r="501" spans="1:9" x14ac:dyDescent="0.2">
      <c r="A501">
        <v>496</v>
      </c>
      <c r="B501">
        <v>895042.31139090436</v>
      </c>
      <c r="C501">
        <v>93043.962078953889</v>
      </c>
      <c r="D501">
        <v>82989.424339359073</v>
      </c>
      <c r="E501">
        <v>42269.704740984846</v>
      </c>
      <c r="F501">
        <v>38926.364174375871</v>
      </c>
      <c r="G501">
        <v>10000</v>
      </c>
      <c r="H501">
        <v>247229.45533367366</v>
      </c>
      <c r="I501">
        <v>25.215880211135463</v>
      </c>
    </row>
    <row r="502" spans="1:9" x14ac:dyDescent="0.2">
      <c r="A502">
        <v>497</v>
      </c>
      <c r="B502">
        <v>960973.57605005405</v>
      </c>
      <c r="C502">
        <v>90164.943741787283</v>
      </c>
      <c r="D502">
        <v>96958.163895801394</v>
      </c>
      <c r="E502">
        <v>48797.393351046579</v>
      </c>
      <c r="F502">
        <v>39378.281078149375</v>
      </c>
      <c r="G502">
        <v>10000</v>
      </c>
      <c r="H502">
        <v>265298.78206678462</v>
      </c>
      <c r="I502">
        <v>37.334124132344556</v>
      </c>
    </row>
    <row r="503" spans="1:9" x14ac:dyDescent="0.2">
      <c r="A503">
        <v>498</v>
      </c>
      <c r="B503">
        <v>1189433.3133175331</v>
      </c>
      <c r="C503">
        <v>105194.45016751756</v>
      </c>
      <c r="D503">
        <v>57933.675869469051</v>
      </c>
      <c r="E503">
        <v>129797.08747993792</v>
      </c>
      <c r="F503">
        <v>44985.952210149546</v>
      </c>
      <c r="G503">
        <v>10000</v>
      </c>
      <c r="H503">
        <v>327911.16572707408</v>
      </c>
      <c r="I503">
        <v>44.891629614319299</v>
      </c>
    </row>
    <row r="504" spans="1:9" x14ac:dyDescent="0.2">
      <c r="A504">
        <v>499</v>
      </c>
      <c r="B504">
        <v>1606838.4589640992</v>
      </c>
      <c r="C504">
        <v>117589.06214405216</v>
      </c>
      <c r="D504">
        <v>130350.44259908433</v>
      </c>
      <c r="E504">
        <v>157465.54785719275</v>
      </c>
      <c r="F504">
        <v>46901.461005497957</v>
      </c>
      <c r="G504">
        <v>10000</v>
      </c>
      <c r="H504">
        <v>442306.51360582723</v>
      </c>
      <c r="I504">
        <v>33.765190890926235</v>
      </c>
    </row>
    <row r="505" spans="1:9" x14ac:dyDescent="0.2">
      <c r="A505">
        <v>500</v>
      </c>
      <c r="B505">
        <v>1349673.2970051779</v>
      </c>
      <c r="C505">
        <v>107061.0937988096</v>
      </c>
      <c r="D505">
        <v>107535.09911039058</v>
      </c>
      <c r="E505">
        <v>122733.87855565696</v>
      </c>
      <c r="F505">
        <v>44496.960823083944</v>
      </c>
      <c r="G505">
        <v>10000</v>
      </c>
      <c r="H505">
        <v>371827.03228794108</v>
      </c>
      <c r="I505">
        <v>33.867095311901544</v>
      </c>
    </row>
    <row r="506" spans="1:9" x14ac:dyDescent="0.2">
      <c r="A506">
        <v>501</v>
      </c>
      <c r="B506">
        <v>1531747.2891955478</v>
      </c>
      <c r="C506">
        <v>149401.24152164112</v>
      </c>
      <c r="D506">
        <v>75106.205842108713</v>
      </c>
      <c r="E506">
        <v>160133.20272160642</v>
      </c>
      <c r="F506">
        <v>47086.144803803523</v>
      </c>
      <c r="G506">
        <v>10000</v>
      </c>
      <c r="H506">
        <v>421726.79488915979</v>
      </c>
      <c r="I506">
        <v>41.045172751497475</v>
      </c>
    </row>
    <row r="507" spans="1:9" x14ac:dyDescent="0.2">
      <c r="A507">
        <v>502</v>
      </c>
      <c r="B507">
        <v>1270431.9769602041</v>
      </c>
      <c r="C507">
        <v>124795.08223110103</v>
      </c>
      <c r="D507">
        <v>27034.046638388401</v>
      </c>
      <c r="E507">
        <v>161125.91089986981</v>
      </c>
      <c r="F507">
        <v>47154.870754606367</v>
      </c>
      <c r="G507">
        <v>10000</v>
      </c>
      <c r="H507">
        <v>350109.91052396561</v>
      </c>
      <c r="I507">
        <v>34.30905351279921</v>
      </c>
    </row>
    <row r="508" spans="1:9" x14ac:dyDescent="0.2">
      <c r="A508">
        <v>503</v>
      </c>
      <c r="B508">
        <v>1636458.0543125651</v>
      </c>
      <c r="C508">
        <v>101662.25222280371</v>
      </c>
      <c r="D508">
        <v>124829.832515216</v>
      </c>
      <c r="E508">
        <v>185116.32162564152</v>
      </c>
      <c r="F508">
        <v>48815.74534331364</v>
      </c>
      <c r="G508">
        <v>10000</v>
      </c>
      <c r="H508">
        <v>450424.15170697484</v>
      </c>
      <c r="I508">
        <v>42.541189385523538</v>
      </c>
    </row>
    <row r="509" spans="1:9" x14ac:dyDescent="0.2">
      <c r="A509">
        <v>504</v>
      </c>
      <c r="B509">
        <v>1410144.9011659294</v>
      </c>
      <c r="C509">
        <v>84988.591767622318</v>
      </c>
      <c r="D509">
        <v>135950.18378731445</v>
      </c>
      <c r="E509">
        <v>132301.92775931908</v>
      </c>
      <c r="F509">
        <v>45159.364229491322</v>
      </c>
      <c r="G509">
        <v>10000</v>
      </c>
      <c r="H509">
        <v>388400.06754374719</v>
      </c>
      <c r="I509">
        <v>36.271199546085185</v>
      </c>
    </row>
    <row r="510" spans="1:9" x14ac:dyDescent="0.2">
      <c r="A510">
        <v>505</v>
      </c>
      <c r="B510">
        <v>951079.68513608817</v>
      </c>
      <c r="C510">
        <v>78777.562062542114</v>
      </c>
      <c r="D510">
        <v>108136.98254331292</v>
      </c>
      <c r="E510">
        <v>46456.469905621416</v>
      </c>
      <c r="F510">
        <v>39216.217147312251</v>
      </c>
      <c r="G510">
        <v>10000</v>
      </c>
      <c r="H510">
        <v>262587.23165878869</v>
      </c>
      <c r="I510">
        <v>42.094234856879055</v>
      </c>
    </row>
    <row r="511" spans="1:9" x14ac:dyDescent="0.2">
      <c r="A511">
        <v>506</v>
      </c>
      <c r="B511">
        <v>1235281.1202273155</v>
      </c>
      <c r="C511">
        <v>163987.18928442168</v>
      </c>
      <c r="D511">
        <v>59657.961255812748</v>
      </c>
      <c r="E511">
        <v>84950.049940938829</v>
      </c>
      <c r="F511">
        <v>41881.157303603453</v>
      </c>
      <c r="G511">
        <v>10000</v>
      </c>
      <c r="H511">
        <v>340476.35778477672</v>
      </c>
      <c r="I511">
        <v>36.094103614211377</v>
      </c>
    </row>
    <row r="512" spans="1:9" x14ac:dyDescent="0.2">
      <c r="A512">
        <v>507</v>
      </c>
      <c r="B512">
        <v>1595774.9492397432</v>
      </c>
      <c r="C512">
        <v>135649.85292823461</v>
      </c>
      <c r="D512">
        <v>58234.105051334795</v>
      </c>
      <c r="E512">
        <v>205185.31843216991</v>
      </c>
      <c r="F512">
        <v>50205.137429919458</v>
      </c>
      <c r="G512">
        <v>10000</v>
      </c>
      <c r="H512">
        <v>439274.41384165874</v>
      </c>
      <c r="I512">
        <v>24.282936241990157</v>
      </c>
    </row>
    <row r="513" spans="1:9" x14ac:dyDescent="0.2">
      <c r="A513">
        <v>508</v>
      </c>
      <c r="B513">
        <v>1557153.0449844422</v>
      </c>
      <c r="C513">
        <v>129014.70221066065</v>
      </c>
      <c r="D513">
        <v>109979.5770812126</v>
      </c>
      <c r="E513">
        <v>153096.31978376437</v>
      </c>
      <c r="F513">
        <v>46598.975985029836</v>
      </c>
      <c r="G513">
        <v>10000</v>
      </c>
      <c r="H513">
        <v>428689.57506066747</v>
      </c>
      <c r="I513">
        <v>38.572604733563111</v>
      </c>
    </row>
    <row r="514" spans="1:9" x14ac:dyDescent="0.2">
      <c r="A514">
        <v>509</v>
      </c>
      <c r="B514">
        <v>1090332.7592464159</v>
      </c>
      <c r="C514">
        <v>95990.85875219194</v>
      </c>
      <c r="D514">
        <v>140561.42077297613</v>
      </c>
      <c r="E514">
        <v>35725.759406013436</v>
      </c>
      <c r="F514">
        <v>38473.321805031701</v>
      </c>
      <c r="G514">
        <v>10000</v>
      </c>
      <c r="H514">
        <v>300751.36073621316</v>
      </c>
      <c r="I514">
        <v>39.185050676394027</v>
      </c>
    </row>
    <row r="515" spans="1:9" x14ac:dyDescent="0.2">
      <c r="A515">
        <v>510</v>
      </c>
      <c r="B515">
        <v>1290698.5158230038</v>
      </c>
      <c r="C515">
        <v>100555.91885343958</v>
      </c>
      <c r="D515">
        <v>95805.28981310282</v>
      </c>
      <c r="E515">
        <v>124671.88201673534</v>
      </c>
      <c r="F515">
        <v>44631.130293466296</v>
      </c>
      <c r="G515">
        <v>10000</v>
      </c>
      <c r="H515">
        <v>355664.22097674408</v>
      </c>
      <c r="I515">
        <v>24.961172420335593</v>
      </c>
    </row>
    <row r="516" spans="1:9" x14ac:dyDescent="0.2">
      <c r="A516">
        <v>511</v>
      </c>
      <c r="B516">
        <v>1279418.7002278955</v>
      </c>
      <c r="C516">
        <v>108521.26932185655</v>
      </c>
      <c r="D516">
        <v>103323.73393101143</v>
      </c>
      <c r="E516">
        <v>107299.41543387392</v>
      </c>
      <c r="F516">
        <v>43428.421068498959</v>
      </c>
      <c r="G516">
        <v>10000</v>
      </c>
      <c r="H516">
        <v>352572.83975524089</v>
      </c>
      <c r="I516">
        <v>28.487328907916641</v>
      </c>
    </row>
    <row r="517" spans="1:9" x14ac:dyDescent="0.2">
      <c r="A517">
        <v>512</v>
      </c>
      <c r="B517">
        <v>1208054.6626702081</v>
      </c>
      <c r="C517">
        <v>89709.625001100794</v>
      </c>
      <c r="D517">
        <v>34994.665940943443</v>
      </c>
      <c r="E517">
        <v>170506.03550521631</v>
      </c>
      <c r="F517">
        <v>47804.263996514979</v>
      </c>
      <c r="G517">
        <v>10000</v>
      </c>
      <c r="H517">
        <v>333014.59044377552</v>
      </c>
      <c r="I517">
        <v>37.530334544127498</v>
      </c>
    </row>
    <row r="518" spans="1:9" x14ac:dyDescent="0.2">
      <c r="A518">
        <v>513</v>
      </c>
      <c r="B518">
        <v>1118836.1146127854</v>
      </c>
      <c r="C518">
        <v>135787.15373183179</v>
      </c>
      <c r="D518">
        <v>91561.518702171365</v>
      </c>
      <c r="E518">
        <v>51639.372718414001</v>
      </c>
      <c r="F518">
        <v>39575.033495890195</v>
      </c>
      <c r="G518">
        <v>10000</v>
      </c>
      <c r="H518">
        <v>308563.07864830736</v>
      </c>
      <c r="I518">
        <v>27.214585305657046</v>
      </c>
    </row>
    <row r="519" spans="1:9" x14ac:dyDescent="0.2">
      <c r="A519">
        <v>514</v>
      </c>
      <c r="B519">
        <v>1096274.0813921224</v>
      </c>
      <c r="C519">
        <v>78857.497211435155</v>
      </c>
      <c r="D519">
        <v>149721.40890338656</v>
      </c>
      <c r="E519">
        <v>44705.739077224287</v>
      </c>
      <c r="F519">
        <v>39095.0127053463</v>
      </c>
      <c r="G519">
        <v>10000</v>
      </c>
      <c r="H519">
        <v>302379.65789739229</v>
      </c>
      <c r="I519">
        <v>34.745991612854979</v>
      </c>
    </row>
    <row r="520" spans="1:9" x14ac:dyDescent="0.2">
      <c r="A520">
        <v>515</v>
      </c>
      <c r="B520">
        <v>991128.3105394186</v>
      </c>
      <c r="C520">
        <v>116069.60901291262</v>
      </c>
      <c r="D520">
        <v>50018.121557206105</v>
      </c>
      <c r="E520">
        <v>76199.969018792079</v>
      </c>
      <c r="F520">
        <v>41275.38247053176</v>
      </c>
      <c r="G520">
        <v>10000</v>
      </c>
      <c r="H520">
        <v>273563.08205944253</v>
      </c>
      <c r="I520">
        <v>39.443228450027675</v>
      </c>
    </row>
    <row r="521" spans="1:9" x14ac:dyDescent="0.2">
      <c r="A521">
        <v>516</v>
      </c>
      <c r="B521">
        <v>1342912.3576529617</v>
      </c>
      <c r="C521">
        <v>134331.17987196095</v>
      </c>
      <c r="D521">
        <v>75170.67100364319</v>
      </c>
      <c r="E521">
        <v>125765.4206079822</v>
      </c>
      <c r="F521">
        <v>44706.836811321846</v>
      </c>
      <c r="G521">
        <v>10000</v>
      </c>
      <c r="H521">
        <v>369974.10829490819</v>
      </c>
      <c r="I521">
        <v>34.660317033279142</v>
      </c>
    </row>
    <row r="522" spans="1:9" x14ac:dyDescent="0.2">
      <c r="A522">
        <v>517</v>
      </c>
      <c r="B522">
        <v>1440599.7921340144</v>
      </c>
      <c r="C522">
        <v>127171.77626546085</v>
      </c>
      <c r="D522">
        <v>88987.779290596722</v>
      </c>
      <c r="E522">
        <v>144577.83880124742</v>
      </c>
      <c r="F522">
        <v>46009.234993932514</v>
      </c>
      <c r="G522">
        <v>10000</v>
      </c>
      <c r="H522">
        <v>396746.62935123756</v>
      </c>
      <c r="I522">
        <v>31.461217660661077</v>
      </c>
    </row>
    <row r="523" spans="1:9" x14ac:dyDescent="0.2">
      <c r="A523">
        <v>518</v>
      </c>
      <c r="B523">
        <v>1560361.1439548549</v>
      </c>
      <c r="C523">
        <v>107374.3803913882</v>
      </c>
      <c r="D523">
        <v>86441.548905700081</v>
      </c>
      <c r="E523">
        <v>196171.74640528348</v>
      </c>
      <c r="F523">
        <v>49581.120904981166</v>
      </c>
      <c r="G523">
        <v>10000</v>
      </c>
      <c r="H523">
        <v>429568.79660735291</v>
      </c>
      <c r="I523">
        <v>33.191201242320609</v>
      </c>
    </row>
    <row r="524" spans="1:9" x14ac:dyDescent="0.2">
      <c r="A524">
        <v>519</v>
      </c>
      <c r="B524">
        <v>1175735.4321928797</v>
      </c>
      <c r="C524">
        <v>134550.10475224571</v>
      </c>
      <c r="D524">
        <v>93892.522289943052</v>
      </c>
      <c r="E524">
        <v>65200.569359039429</v>
      </c>
      <c r="F524">
        <v>40513.885571010425</v>
      </c>
      <c r="G524">
        <v>10000</v>
      </c>
      <c r="H524">
        <v>324157.08197223861</v>
      </c>
      <c r="I524">
        <v>38.43098266242108</v>
      </c>
    </row>
    <row r="525" spans="1:9" x14ac:dyDescent="0.2">
      <c r="A525">
        <v>520</v>
      </c>
      <c r="B525">
        <v>1516653.560050857</v>
      </c>
      <c r="C525">
        <v>97032.060458675682</v>
      </c>
      <c r="D525">
        <v>72837.920719457732</v>
      </c>
      <c r="E525">
        <v>207364.19667494373</v>
      </c>
      <c r="F525">
        <v>50355.982846726874</v>
      </c>
      <c r="G525">
        <v>10000</v>
      </c>
      <c r="H525">
        <v>417590.16069980402</v>
      </c>
      <c r="I525">
        <v>33.986191240645972</v>
      </c>
    </row>
    <row r="526" spans="1:9" x14ac:dyDescent="0.2">
      <c r="A526">
        <v>521</v>
      </c>
      <c r="B526">
        <v>1498603.8049036264</v>
      </c>
      <c r="C526">
        <v>142874.88857584633</v>
      </c>
      <c r="D526">
        <v>106796.18422134758</v>
      </c>
      <c r="E526">
        <v>128103.60495324568</v>
      </c>
      <c r="F526">
        <v>44868.711112147772</v>
      </c>
      <c r="G526">
        <v>10000</v>
      </c>
      <c r="H526">
        <v>412643.38886258734</v>
      </c>
      <c r="I526">
        <v>30.401204784138656</v>
      </c>
    </row>
    <row r="527" spans="1:9" x14ac:dyDescent="0.2">
      <c r="A527">
        <v>522</v>
      </c>
      <c r="B527">
        <v>1201456.7345186386</v>
      </c>
      <c r="C527">
        <v>104980.00414916783</v>
      </c>
      <c r="D527">
        <v>67133.1866616443</v>
      </c>
      <c r="E527">
        <v>124475.60884405745</v>
      </c>
      <c r="F527">
        <v>44617.54215074244</v>
      </c>
      <c r="G527">
        <v>10000</v>
      </c>
      <c r="H527">
        <v>331206.34180561203</v>
      </c>
      <c r="I527">
        <v>34.945612076316323</v>
      </c>
    </row>
    <row r="528" spans="1:9" x14ac:dyDescent="0.2">
      <c r="A528">
        <v>523</v>
      </c>
      <c r="B528">
        <v>1817993.275135681</v>
      </c>
      <c r="C528">
        <v>115971.49370256017</v>
      </c>
      <c r="D528">
        <v>140199.06376029464</v>
      </c>
      <c r="E528">
        <v>203890.22254892159</v>
      </c>
      <c r="F528">
        <v>50115.476945694572</v>
      </c>
      <c r="G528">
        <v>10000</v>
      </c>
      <c r="H528">
        <v>500176.25695747096</v>
      </c>
      <c r="I528">
        <v>36.402942519771962</v>
      </c>
    </row>
    <row r="529" spans="1:9" x14ac:dyDescent="0.2">
      <c r="A529">
        <v>524</v>
      </c>
      <c r="B529">
        <v>1725647.3777447538</v>
      </c>
      <c r="C529">
        <v>129346.97884002626</v>
      </c>
      <c r="D529">
        <v>110199.39348183452</v>
      </c>
      <c r="E529">
        <v>195768.10527048865</v>
      </c>
      <c r="F529">
        <v>49553.176518726134</v>
      </c>
      <c r="G529">
        <v>10000</v>
      </c>
      <c r="H529">
        <v>474867.65411107556</v>
      </c>
      <c r="I529">
        <v>31.298592383542065</v>
      </c>
    </row>
    <row r="530" spans="1:9" x14ac:dyDescent="0.2">
      <c r="A530">
        <v>525</v>
      </c>
      <c r="B530">
        <v>1653132.1803824576</v>
      </c>
      <c r="C530">
        <v>166198.74487012258</v>
      </c>
      <c r="D530">
        <v>64074.393130194367</v>
      </c>
      <c r="E530">
        <v>185853.96351661265</v>
      </c>
      <c r="F530">
        <v>48866.812858842415</v>
      </c>
      <c r="G530">
        <v>10000</v>
      </c>
      <c r="H530">
        <v>454993.914375772</v>
      </c>
      <c r="I530">
        <v>28.517253123064108</v>
      </c>
    </row>
    <row r="531" spans="1:9" x14ac:dyDescent="0.2">
      <c r="A531">
        <v>526</v>
      </c>
      <c r="B531">
        <v>1223703.3689408484</v>
      </c>
      <c r="C531">
        <v>128815.21810709928</v>
      </c>
      <c r="D531">
        <v>118427.33284698687</v>
      </c>
      <c r="E531">
        <v>59912.952632581902</v>
      </c>
      <c r="F531">
        <v>40147.819797640281</v>
      </c>
      <c r="G531">
        <v>10000</v>
      </c>
      <c r="H531">
        <v>337303.32338430831</v>
      </c>
      <c r="I531">
        <v>40.96669798400967</v>
      </c>
    </row>
    <row r="532" spans="1:9" x14ac:dyDescent="0.2">
      <c r="A532">
        <v>527</v>
      </c>
      <c r="B532">
        <v>1457537.4711949572</v>
      </c>
      <c r="C532">
        <v>112367.61392690284</v>
      </c>
      <c r="D532">
        <v>67484.134823280736</v>
      </c>
      <c r="E532">
        <v>182876.21255052509</v>
      </c>
      <c r="F532">
        <v>48660.6608688825</v>
      </c>
      <c r="G532">
        <v>10000</v>
      </c>
      <c r="H532">
        <v>401388.62216959114</v>
      </c>
      <c r="I532">
        <v>34.64612176564097</v>
      </c>
    </row>
    <row r="533" spans="1:9" x14ac:dyDescent="0.2">
      <c r="A533">
        <v>528</v>
      </c>
      <c r="B533">
        <v>762992.80551637767</v>
      </c>
      <c r="C533">
        <v>75102.518261683261</v>
      </c>
      <c r="D533">
        <v>68852.582945483111</v>
      </c>
      <c r="E533">
        <v>38424.312569443609</v>
      </c>
      <c r="F533">
        <v>38660.144716346098</v>
      </c>
      <c r="G533">
        <v>10000</v>
      </c>
      <c r="H533">
        <v>211039.5584929561</v>
      </c>
      <c r="I533">
        <v>27.248674955981659</v>
      </c>
    </row>
    <row r="534" spans="1:9" x14ac:dyDescent="0.2">
      <c r="A534">
        <v>529</v>
      </c>
      <c r="B534">
        <v>1087328.3214095887</v>
      </c>
      <c r="C534">
        <v>115862.44464499623</v>
      </c>
      <c r="D534">
        <v>73456.497431421172</v>
      </c>
      <c r="E534">
        <v>79130.731689901833</v>
      </c>
      <c r="F534">
        <v>41478.281424685512</v>
      </c>
      <c r="G534">
        <v>10000</v>
      </c>
      <c r="H534">
        <v>299927.95519100473</v>
      </c>
      <c r="I534">
        <v>32.022391243370556</v>
      </c>
    </row>
    <row r="535" spans="1:9" x14ac:dyDescent="0.2">
      <c r="A535">
        <v>530</v>
      </c>
      <c r="B535">
        <v>963768.06690191105</v>
      </c>
      <c r="C535">
        <v>93416.109604005745</v>
      </c>
      <c r="D535">
        <v>65173.275318551983</v>
      </c>
      <c r="E535">
        <v>76199.887164359752</v>
      </c>
      <c r="F535">
        <v>41275.376803686449</v>
      </c>
      <c r="G535">
        <v>10000</v>
      </c>
      <c r="H535">
        <v>266064.64889060392</v>
      </c>
      <c r="I535">
        <v>37.784411549841423</v>
      </c>
    </row>
    <row r="536" spans="1:9" x14ac:dyDescent="0.2">
      <c r="A536">
        <v>531</v>
      </c>
      <c r="B536">
        <v>1651990.9134453505</v>
      </c>
      <c r="C536">
        <v>162021.35013370382</v>
      </c>
      <c r="D536">
        <v>116494.38251645477</v>
      </c>
      <c r="E536">
        <v>140442.46283684531</v>
      </c>
      <c r="F536">
        <v>45722.939734858519</v>
      </c>
      <c r="G536">
        <v>10000</v>
      </c>
      <c r="H536">
        <v>454681.13522186241</v>
      </c>
      <c r="I536">
        <v>42.609480484774082</v>
      </c>
    </row>
    <row r="537" spans="1:9" x14ac:dyDescent="0.2">
      <c r="A537">
        <v>532</v>
      </c>
      <c r="B537">
        <v>862847.81064129062</v>
      </c>
      <c r="C537">
        <v>97436.844013761496</v>
      </c>
      <c r="D537">
        <v>50474.27940489204</v>
      </c>
      <c r="E537">
        <v>60319.071537414246</v>
      </c>
      <c r="F537">
        <v>40175.935721820984</v>
      </c>
      <c r="G537">
        <v>10000</v>
      </c>
      <c r="H537">
        <v>238406.13067788875</v>
      </c>
      <c r="I537">
        <v>39.607275023177408</v>
      </c>
    </row>
    <row r="538" spans="1:9" x14ac:dyDescent="0.2">
      <c r="A538">
        <v>533</v>
      </c>
      <c r="B538">
        <v>1411919.1814574399</v>
      </c>
      <c r="C538">
        <v>109121.70054361214</v>
      </c>
      <c r="D538">
        <v>80325.946963285591</v>
      </c>
      <c r="E538">
        <v>162208.8418923259</v>
      </c>
      <c r="F538">
        <v>47229.842900237949</v>
      </c>
      <c r="G538">
        <v>10000</v>
      </c>
      <c r="H538">
        <v>388886.33229946159</v>
      </c>
      <c r="I538">
        <v>38.916593102970886</v>
      </c>
    </row>
    <row r="539" spans="1:9" x14ac:dyDescent="0.2">
      <c r="A539">
        <v>534</v>
      </c>
      <c r="B539">
        <v>959221.81732713047</v>
      </c>
      <c r="C539">
        <v>132815.7255897423</v>
      </c>
      <c r="D539">
        <v>50268.098396123947</v>
      </c>
      <c r="E539">
        <v>52126.133347424147</v>
      </c>
      <c r="F539">
        <v>39608.732308667823</v>
      </c>
      <c r="G539">
        <v>10000</v>
      </c>
      <c r="H539">
        <v>264818.68964195822</v>
      </c>
      <c r="I539">
        <v>29.541463088422859</v>
      </c>
    </row>
    <row r="540" spans="1:9" x14ac:dyDescent="0.2">
      <c r="A540">
        <v>535</v>
      </c>
      <c r="B540">
        <v>1200488.6230900523</v>
      </c>
      <c r="C540">
        <v>101171.68240163873</v>
      </c>
      <c r="D540">
        <v>118471.67748915628</v>
      </c>
      <c r="E540">
        <v>79774.788334606477</v>
      </c>
      <c r="F540">
        <v>41522.869961626609</v>
      </c>
      <c r="G540">
        <v>10000</v>
      </c>
      <c r="H540">
        <v>330941.01818702812</v>
      </c>
      <c r="I540">
        <v>47.107386155213888</v>
      </c>
    </row>
    <row r="541" spans="1:9" x14ac:dyDescent="0.2">
      <c r="A541">
        <v>536</v>
      </c>
      <c r="B541">
        <v>1633287.3270770954</v>
      </c>
      <c r="C541">
        <v>139419.71286150205</v>
      </c>
      <c r="D541">
        <v>78249.53444401981</v>
      </c>
      <c r="E541">
        <v>192555.18171852789</v>
      </c>
      <c r="F541">
        <v>49330.74334974424</v>
      </c>
      <c r="G541">
        <v>10000</v>
      </c>
      <c r="H541">
        <v>449555.17237379402</v>
      </c>
      <c r="I541">
        <v>37.322831659254824</v>
      </c>
    </row>
    <row r="542" spans="1:9" x14ac:dyDescent="0.2">
      <c r="A542">
        <v>537</v>
      </c>
      <c r="B542">
        <v>1069068.520949065</v>
      </c>
      <c r="C542">
        <v>117692.01422696859</v>
      </c>
      <c r="D542">
        <v>67410.263250319986</v>
      </c>
      <c r="E542">
        <v>78394.059186351762</v>
      </c>
      <c r="F542">
        <v>41427.281020593582</v>
      </c>
      <c r="G542">
        <v>10000</v>
      </c>
      <c r="H542">
        <v>294923.61768423393</v>
      </c>
      <c r="I542">
        <v>30.393322185385671</v>
      </c>
    </row>
    <row r="543" spans="1:9" x14ac:dyDescent="0.2">
      <c r="A543">
        <v>538</v>
      </c>
      <c r="B543">
        <v>1406587.8344566314</v>
      </c>
      <c r="C543">
        <v>128388.18282301966</v>
      </c>
      <c r="D543">
        <v>59098.506518351496</v>
      </c>
      <c r="E543">
        <v>162676.31130813074</v>
      </c>
      <c r="F543">
        <v>47262.20616748598</v>
      </c>
      <c r="G543">
        <v>10000</v>
      </c>
      <c r="H543">
        <v>387425.20681698789</v>
      </c>
      <c r="I543">
        <v>35.756921098465931</v>
      </c>
    </row>
    <row r="544" spans="1:9" x14ac:dyDescent="0.2">
      <c r="A544">
        <v>539</v>
      </c>
      <c r="B544">
        <v>887059.94978760148</v>
      </c>
      <c r="C544">
        <v>131624.41690592672</v>
      </c>
      <c r="D544">
        <v>45300.247452962758</v>
      </c>
      <c r="E544">
        <v>39390.112430422516</v>
      </c>
      <c r="F544">
        <v>38727.007783644629</v>
      </c>
      <c r="G544">
        <v>10000</v>
      </c>
      <c r="H544">
        <v>245041.78457295662</v>
      </c>
      <c r="I544">
        <v>30.790172535563798</v>
      </c>
    </row>
    <row r="545" spans="1:9" x14ac:dyDescent="0.2">
      <c r="A545">
        <v>540</v>
      </c>
      <c r="B545">
        <v>1565361.5645671892</v>
      </c>
      <c r="C545">
        <v>89950.929269783752</v>
      </c>
      <c r="D545">
        <v>122158.1292991324</v>
      </c>
      <c r="E545">
        <v>180344.76219569743</v>
      </c>
      <c r="F545">
        <v>48485.406613548279</v>
      </c>
      <c r="G545">
        <v>10000</v>
      </c>
      <c r="H545">
        <v>430939.22737816186</v>
      </c>
      <c r="I545">
        <v>32.47280355868665</v>
      </c>
    </row>
    <row r="546" spans="1:9" x14ac:dyDescent="0.2">
      <c r="A546">
        <v>541</v>
      </c>
      <c r="B546">
        <v>1531309.3660636265</v>
      </c>
      <c r="C546">
        <v>120138.00846092151</v>
      </c>
      <c r="D546">
        <v>92571.401358339819</v>
      </c>
      <c r="E546">
        <v>171055.09097039051</v>
      </c>
      <c r="F546">
        <v>47842.275528719336</v>
      </c>
      <c r="G546">
        <v>10000</v>
      </c>
      <c r="H546">
        <v>421606.77631837124</v>
      </c>
      <c r="I546">
        <v>27.265746864299778</v>
      </c>
    </row>
    <row r="547" spans="1:9" x14ac:dyDescent="0.2">
      <c r="A547">
        <v>542</v>
      </c>
      <c r="B547">
        <v>826679.05579276185</v>
      </c>
      <c r="C547">
        <v>91473.100758058674</v>
      </c>
      <c r="D547">
        <v>77482.961618086498</v>
      </c>
      <c r="E547">
        <v>31366.051385091279</v>
      </c>
      <c r="F547">
        <v>38171.495865121702</v>
      </c>
      <c r="G547">
        <v>10000</v>
      </c>
      <c r="H547">
        <v>228493.60962635814</v>
      </c>
      <c r="I547">
        <v>33.462201133748323</v>
      </c>
    </row>
    <row r="548" spans="1:9" x14ac:dyDescent="0.2">
      <c r="A548">
        <v>543</v>
      </c>
      <c r="B548">
        <v>1136645.3668757451</v>
      </c>
      <c r="C548">
        <v>99421.027063147922</v>
      </c>
      <c r="D548">
        <v>84645.116513539833</v>
      </c>
      <c r="E548">
        <v>96684.267716458882</v>
      </c>
      <c r="F548">
        <v>42693.526226524074</v>
      </c>
      <c r="G548">
        <v>10000</v>
      </c>
      <c r="H548">
        <v>313443.93751967076</v>
      </c>
      <c r="I548">
        <v>36.63467470391484</v>
      </c>
    </row>
    <row r="549" spans="1:9" x14ac:dyDescent="0.2">
      <c r="A549">
        <v>544</v>
      </c>
      <c r="B549">
        <v>1807109.9186705274</v>
      </c>
      <c r="C549">
        <v>112188.09172563284</v>
      </c>
      <c r="D549">
        <v>137497.2693712055</v>
      </c>
      <c r="E549">
        <v>207165.91388067525</v>
      </c>
      <c r="F549">
        <v>50342.255576354437</v>
      </c>
      <c r="G549">
        <v>10000</v>
      </c>
      <c r="H549">
        <v>497193.53055386804</v>
      </c>
      <c r="I549">
        <v>28.158703090876255</v>
      </c>
    </row>
    <row r="550" spans="1:9" x14ac:dyDescent="0.2">
      <c r="A550">
        <v>545</v>
      </c>
      <c r="B550">
        <v>805219.55897484312</v>
      </c>
      <c r="C550">
        <v>103603.12674060774</v>
      </c>
      <c r="D550">
        <v>46910.544766601095</v>
      </c>
      <c r="E550">
        <v>43113.875169364452</v>
      </c>
      <c r="F550">
        <v>38984.80674249446</v>
      </c>
      <c r="G550">
        <v>10000</v>
      </c>
      <c r="H550">
        <v>222612.35341906775</v>
      </c>
      <c r="I550">
        <v>35.259473459081477</v>
      </c>
    </row>
    <row r="551" spans="1:9" x14ac:dyDescent="0.2">
      <c r="A551">
        <v>546</v>
      </c>
      <c r="B551">
        <v>1655338.2529001576</v>
      </c>
      <c r="C551">
        <v>106667.40846670065</v>
      </c>
      <c r="D551">
        <v>107982.57034592908</v>
      </c>
      <c r="E551">
        <v>201031.00735611838</v>
      </c>
      <c r="F551">
        <v>49917.531278500501</v>
      </c>
      <c r="G551">
        <v>10000</v>
      </c>
      <c r="H551">
        <v>455598.51744724863</v>
      </c>
      <c r="I551">
        <v>44.785857164798415</v>
      </c>
    </row>
    <row r="552" spans="1:9" x14ac:dyDescent="0.2">
      <c r="A552">
        <v>547</v>
      </c>
      <c r="B552">
        <v>897050.81577052106</v>
      </c>
      <c r="C552">
        <v>118749.02763624568</v>
      </c>
      <c r="D552">
        <v>70484.216149151776</v>
      </c>
      <c r="E552">
        <v>30439.330236373669</v>
      </c>
      <c r="F552">
        <v>38107.338247133564</v>
      </c>
      <c r="G552">
        <v>10000</v>
      </c>
      <c r="H552">
        <v>247779.91226890468</v>
      </c>
      <c r="I552">
        <v>27.262476613610339</v>
      </c>
    </row>
    <row r="553" spans="1:9" x14ac:dyDescent="0.2">
      <c r="A553">
        <v>548</v>
      </c>
      <c r="B553">
        <v>1409291.3683845089</v>
      </c>
      <c r="C553">
        <v>144465.42301980281</v>
      </c>
      <c r="D553">
        <v>131533.82392964821</v>
      </c>
      <c r="E553">
        <v>80587.74703692671</v>
      </c>
      <c r="F553">
        <v>41579.15171794108</v>
      </c>
      <c r="G553">
        <v>10000</v>
      </c>
      <c r="H553">
        <v>388166.14570431883</v>
      </c>
      <c r="I553">
        <v>35.661150579341985</v>
      </c>
    </row>
    <row r="554" spans="1:9" x14ac:dyDescent="0.2">
      <c r="A554">
        <v>549</v>
      </c>
      <c r="B554">
        <v>1062634.5347880051</v>
      </c>
      <c r="C554">
        <v>129243.0692844335</v>
      </c>
      <c r="D554">
        <v>101385.03408842845</v>
      </c>
      <c r="E554">
        <v>34166.802129642027</v>
      </c>
      <c r="F554">
        <v>38365.393993590602</v>
      </c>
      <c r="G554">
        <v>10000</v>
      </c>
      <c r="H554">
        <v>293160.29949609458</v>
      </c>
      <c r="I554">
        <v>48.44303188017247</v>
      </c>
    </row>
    <row r="555" spans="1:9" x14ac:dyDescent="0.2">
      <c r="A555">
        <v>550</v>
      </c>
      <c r="B555">
        <v>1106204.5762512099</v>
      </c>
      <c r="C555">
        <v>113604.09960037604</v>
      </c>
      <c r="D555">
        <v>40773.010754162402</v>
      </c>
      <c r="E555">
        <v>116648.46666470877</v>
      </c>
      <c r="F555">
        <v>44075.663076787532</v>
      </c>
      <c r="G555">
        <v>10000</v>
      </c>
      <c r="H555">
        <v>305101.24009603477</v>
      </c>
      <c r="I555">
        <v>45.372448777488117</v>
      </c>
    </row>
    <row r="556" spans="1:9" x14ac:dyDescent="0.2">
      <c r="A556">
        <v>551</v>
      </c>
      <c r="B556">
        <v>1226809.5493164356</v>
      </c>
      <c r="C556">
        <v>103690.46855649191</v>
      </c>
      <c r="D556">
        <v>84146.327864498715</v>
      </c>
      <c r="E556">
        <v>116268.46136635829</v>
      </c>
      <c r="F556">
        <v>44049.355017670961</v>
      </c>
      <c r="G556">
        <v>10000</v>
      </c>
      <c r="H556">
        <v>338154.61280501983</v>
      </c>
      <c r="I556">
        <v>43.582657185156307</v>
      </c>
    </row>
    <row r="557" spans="1:9" x14ac:dyDescent="0.2">
      <c r="A557">
        <v>552</v>
      </c>
      <c r="B557">
        <v>882916.38468751009</v>
      </c>
      <c r="C557">
        <v>102563.00307490438</v>
      </c>
      <c r="D557">
        <v>53590.098850540278</v>
      </c>
      <c r="E557">
        <v>57754.683208813127</v>
      </c>
      <c r="F557">
        <v>39998.401145225522</v>
      </c>
      <c r="G557">
        <v>10000</v>
      </c>
      <c r="H557">
        <v>243906.18627948331</v>
      </c>
      <c r="I557">
        <v>23.808898268189104</v>
      </c>
    </row>
    <row r="558" spans="1:9" x14ac:dyDescent="0.2">
      <c r="A558">
        <v>553</v>
      </c>
      <c r="B558">
        <v>984867.46883453149</v>
      </c>
      <c r="C558">
        <v>89983.799806306022</v>
      </c>
      <c r="D558">
        <v>109978.56042581615</v>
      </c>
      <c r="E558">
        <v>42913.894236766733</v>
      </c>
      <c r="F558">
        <v>38970.961908699239</v>
      </c>
      <c r="G558">
        <v>10000</v>
      </c>
      <c r="H558">
        <v>271847.21637758816</v>
      </c>
      <c r="I558">
        <v>25.509897094186016</v>
      </c>
    </row>
    <row r="559" spans="1:9" x14ac:dyDescent="0.2">
      <c r="A559">
        <v>554</v>
      </c>
      <c r="B559">
        <v>1438536.9567378168</v>
      </c>
      <c r="C559">
        <v>101079.71165812791</v>
      </c>
      <c r="D559">
        <v>94928.381385188099</v>
      </c>
      <c r="E559">
        <v>162895.78850335817</v>
      </c>
      <c r="F559">
        <v>47277.40074254018</v>
      </c>
      <c r="G559">
        <v>10000</v>
      </c>
      <c r="H559">
        <v>396181.28228921437</v>
      </c>
      <c r="I559">
        <v>27.543466751769216</v>
      </c>
    </row>
    <row r="560" spans="1:9" x14ac:dyDescent="0.2">
      <c r="A560">
        <v>555</v>
      </c>
      <c r="B560">
        <v>1204379.673633263</v>
      </c>
      <c r="C560">
        <v>108292.36595933288</v>
      </c>
      <c r="D560">
        <v>75509.306509643007</v>
      </c>
      <c r="E560">
        <v>114293.13727790194</v>
      </c>
      <c r="F560">
        <v>43912.601811547058</v>
      </c>
      <c r="G560">
        <v>10000</v>
      </c>
      <c r="H560">
        <v>332007.41155842488</v>
      </c>
      <c r="I560">
        <v>34.10560208621844</v>
      </c>
    </row>
    <row r="561" spans="1:9" x14ac:dyDescent="0.2">
      <c r="A561">
        <v>556</v>
      </c>
      <c r="B561">
        <v>1395035.1466512685</v>
      </c>
      <c r="C561">
        <v>92540.351304379554</v>
      </c>
      <c r="D561">
        <v>93195.588370345271</v>
      </c>
      <c r="E561">
        <v>161352.54117427111</v>
      </c>
      <c r="F561">
        <v>47170.560542834151</v>
      </c>
      <c r="G561">
        <v>10000</v>
      </c>
      <c r="H561">
        <v>384259.04139183013</v>
      </c>
      <c r="I561">
        <v>50.054155221770749</v>
      </c>
    </row>
    <row r="562" spans="1:9" x14ac:dyDescent="0.2">
      <c r="A562">
        <v>557</v>
      </c>
      <c r="B562">
        <v>1103745.3795293809</v>
      </c>
      <c r="C562">
        <v>102573.36686096534</v>
      </c>
      <c r="D562">
        <v>95810.762993373937</v>
      </c>
      <c r="E562">
        <v>74860.486126781587</v>
      </c>
      <c r="F562">
        <v>41182.649039546421</v>
      </c>
      <c r="G562">
        <v>10000</v>
      </c>
      <c r="H562">
        <v>304427.26502066728</v>
      </c>
      <c r="I562">
        <v>34.62741810421069</v>
      </c>
    </row>
    <row r="563" spans="1:9" x14ac:dyDescent="0.2">
      <c r="A563">
        <v>558</v>
      </c>
      <c r="B563">
        <v>1009704.1294102569</v>
      </c>
      <c r="C563">
        <v>76555.595885771472</v>
      </c>
      <c r="D563">
        <v>84028.943814701794</v>
      </c>
      <c r="E563">
        <v>86108.155040228667</v>
      </c>
      <c r="F563">
        <v>41961.333810477365</v>
      </c>
      <c r="G563">
        <v>10000</v>
      </c>
      <c r="H563">
        <v>278654.02855117928</v>
      </c>
      <c r="I563">
        <v>28.683785529880101</v>
      </c>
    </row>
    <row r="564" spans="1:9" x14ac:dyDescent="0.2">
      <c r="A564">
        <v>559</v>
      </c>
      <c r="B564">
        <v>967404.23012498254</v>
      </c>
      <c r="C564">
        <v>101726.46300364201</v>
      </c>
      <c r="D564">
        <v>75587.160629594204</v>
      </c>
      <c r="E564">
        <v>59620.023342292166</v>
      </c>
      <c r="F564">
        <v>40127.540077543308</v>
      </c>
      <c r="G564">
        <v>10000</v>
      </c>
      <c r="H564">
        <v>267061.18705307168</v>
      </c>
      <c r="I564">
        <v>37.954336101583806</v>
      </c>
    </row>
    <row r="565" spans="1:9" x14ac:dyDescent="0.2">
      <c r="A565">
        <v>560</v>
      </c>
      <c r="B565">
        <v>791490.95587609557</v>
      </c>
      <c r="C565">
        <v>94889.660750635856</v>
      </c>
      <c r="D565">
        <v>46854.071254500021</v>
      </c>
      <c r="E565">
        <v>47797.088683134869</v>
      </c>
      <c r="F565">
        <v>39309.029216524716</v>
      </c>
      <c r="G565">
        <v>10000</v>
      </c>
      <c r="H565">
        <v>218849.84990479547</v>
      </c>
      <c r="I565">
        <v>29.959658916701386</v>
      </c>
    </row>
    <row r="566" spans="1:9" x14ac:dyDescent="0.2">
      <c r="A566">
        <v>561</v>
      </c>
      <c r="B566">
        <v>1430047.4234249759</v>
      </c>
      <c r="C566">
        <v>100874.16727714056</v>
      </c>
      <c r="D566">
        <v>93698.993584485608</v>
      </c>
      <c r="E566">
        <v>162061.79115191568</v>
      </c>
      <c r="F566">
        <v>47219.662464363384</v>
      </c>
      <c r="G566">
        <v>10000</v>
      </c>
      <c r="H566">
        <v>393854.61447790521</v>
      </c>
      <c r="I566">
        <v>42.519761112190778</v>
      </c>
    </row>
    <row r="567" spans="1:9" x14ac:dyDescent="0.2">
      <c r="A567">
        <v>562</v>
      </c>
      <c r="B567">
        <v>1263807.0932614731</v>
      </c>
      <c r="C567">
        <v>141810.94008057917</v>
      </c>
      <c r="D567">
        <v>80851.39502660025</v>
      </c>
      <c r="E567">
        <v>93180.950385015705</v>
      </c>
      <c r="F567">
        <v>42450.988872808775</v>
      </c>
      <c r="G567">
        <v>10000</v>
      </c>
      <c r="H567">
        <v>348294.27436500386</v>
      </c>
      <c r="I567">
        <v>35.332904000540346</v>
      </c>
    </row>
    <row r="568" spans="1:9" x14ac:dyDescent="0.2">
      <c r="A568">
        <v>563</v>
      </c>
      <c r="B568">
        <v>1346977.9479777045</v>
      </c>
      <c r="C568">
        <v>112786.41386203282</v>
      </c>
      <c r="D568">
        <v>78135.080253754713</v>
      </c>
      <c r="E568">
        <v>144184.81669294482</v>
      </c>
      <c r="F568">
        <v>45982.02577105003</v>
      </c>
      <c r="G568">
        <v>10000</v>
      </c>
      <c r="H568">
        <v>371088.33657978236</v>
      </c>
      <c r="I568">
        <v>31.339578886819883</v>
      </c>
    </row>
    <row r="569" spans="1:9" x14ac:dyDescent="0.2">
      <c r="A569">
        <v>564</v>
      </c>
      <c r="B569">
        <v>1858886.2881464926</v>
      </c>
      <c r="C569">
        <v>104987.53658486503</v>
      </c>
      <c r="D569">
        <v>168304.35824313131</v>
      </c>
      <c r="E569">
        <v>198359.07656064499</v>
      </c>
      <c r="F569">
        <v>49732.551454198496</v>
      </c>
      <c r="G569">
        <v>10000</v>
      </c>
      <c r="H569">
        <v>511383.52284283977</v>
      </c>
      <c r="I569">
        <v>42.728825864408947</v>
      </c>
    </row>
    <row r="570" spans="1:9" x14ac:dyDescent="0.2">
      <c r="A570">
        <v>565</v>
      </c>
      <c r="B570">
        <v>1505656.9341869969</v>
      </c>
      <c r="C570">
        <v>107660.91804790166</v>
      </c>
      <c r="D570">
        <v>102934.63937204084</v>
      </c>
      <c r="E570">
        <v>166456.89502728885</v>
      </c>
      <c r="F570">
        <v>47523.938886504613</v>
      </c>
      <c r="G570">
        <v>10000</v>
      </c>
      <c r="H570">
        <v>414576.39133373601</v>
      </c>
      <c r="I570">
        <v>35.477081164306973</v>
      </c>
    </row>
    <row r="571" spans="1:9" x14ac:dyDescent="0.2">
      <c r="A571">
        <v>566</v>
      </c>
      <c r="B571">
        <v>1331041.6212897783</v>
      </c>
      <c r="C571">
        <v>109535.13550309947</v>
      </c>
      <c r="D571">
        <v>91271.934315982959</v>
      </c>
      <c r="E571">
        <v>130854.54674844592</v>
      </c>
      <c r="F571">
        <v>45059.160928738565</v>
      </c>
      <c r="G571">
        <v>10000</v>
      </c>
      <c r="H571">
        <v>366720.77749626688</v>
      </c>
      <c r="I571">
        <v>42.698788864322481</v>
      </c>
    </row>
    <row r="572" spans="1:9" x14ac:dyDescent="0.2">
      <c r="A572">
        <v>567</v>
      </c>
      <c r="B572">
        <v>1501020.2420832</v>
      </c>
      <c r="C572">
        <v>87386.521010485347</v>
      </c>
      <c r="D572">
        <v>99288.63059542705</v>
      </c>
      <c r="E572">
        <v>187640.02991019972</v>
      </c>
      <c r="F572">
        <v>48990.463609167673</v>
      </c>
      <c r="G572">
        <v>10000</v>
      </c>
      <c r="H572">
        <v>413305.64512527979</v>
      </c>
      <c r="I572">
        <v>35.296254046597873</v>
      </c>
    </row>
    <row r="573" spans="1:9" x14ac:dyDescent="0.2">
      <c r="A573">
        <v>568</v>
      </c>
      <c r="B573">
        <v>994938.82392966887</v>
      </c>
      <c r="C573">
        <v>84788.943117553601</v>
      </c>
      <c r="D573">
        <v>48073.930755734516</v>
      </c>
      <c r="E573">
        <v>108250.27919751292</v>
      </c>
      <c r="F573">
        <v>43494.250098289354</v>
      </c>
      <c r="G573">
        <v>10000</v>
      </c>
      <c r="H573">
        <v>274607.40316909039</v>
      </c>
      <c r="I573">
        <v>50.971499302602943</v>
      </c>
    </row>
    <row r="574" spans="1:9" x14ac:dyDescent="0.2">
      <c r="A574">
        <v>569</v>
      </c>
      <c r="B574">
        <v>1259008.7670773882</v>
      </c>
      <c r="C574">
        <v>100620.7625728718</v>
      </c>
      <c r="D574">
        <v>70144.516839706659</v>
      </c>
      <c r="E574">
        <v>140487.86766119799</v>
      </c>
      <c r="F574">
        <v>45726.08314577525</v>
      </c>
      <c r="G574">
        <v>10000</v>
      </c>
      <c r="H574">
        <v>346979.23021955171</v>
      </c>
      <c r="I574">
        <v>41.766532225419468</v>
      </c>
    </row>
    <row r="575" spans="1:9" x14ac:dyDescent="0.2">
      <c r="A575">
        <v>570</v>
      </c>
      <c r="B575">
        <v>1563359.1461602903</v>
      </c>
      <c r="C575">
        <v>143162.56315484256</v>
      </c>
      <c r="D575">
        <v>73365.417646968461</v>
      </c>
      <c r="E575">
        <v>175698.70133537031</v>
      </c>
      <c r="F575">
        <v>48163.75624629487</v>
      </c>
      <c r="G575">
        <v>10000</v>
      </c>
      <c r="H575">
        <v>430390.43838347623</v>
      </c>
      <c r="I575">
        <v>34.18388485796406</v>
      </c>
    </row>
    <row r="576" spans="1:9" x14ac:dyDescent="0.2">
      <c r="A576">
        <v>571</v>
      </c>
      <c r="B576">
        <v>1228380.8381493594</v>
      </c>
      <c r="C576">
        <v>87466.975853023891</v>
      </c>
      <c r="D576">
        <v>92426.580967040747</v>
      </c>
      <c r="E576">
        <v>124100.14011087609</v>
      </c>
      <c r="F576">
        <v>44591.548161522187</v>
      </c>
      <c r="G576">
        <v>10000</v>
      </c>
      <c r="H576">
        <v>338585.24509246292</v>
      </c>
      <c r="I576">
        <v>40.426977089248098</v>
      </c>
    </row>
    <row r="577" spans="1:9" x14ac:dyDescent="0.2">
      <c r="A577">
        <v>572</v>
      </c>
      <c r="B577">
        <v>1301765.7787215232</v>
      </c>
      <c r="C577">
        <v>102449.97401765513</v>
      </c>
      <c r="D577">
        <v>67326.072387835069</v>
      </c>
      <c r="E577">
        <v>152372.44160039967</v>
      </c>
      <c r="F577">
        <v>46548.861341566131</v>
      </c>
      <c r="G577">
        <v>10000</v>
      </c>
      <c r="H577">
        <v>358697.34934745601</v>
      </c>
      <c r="I577">
        <v>28.491414031349706</v>
      </c>
    </row>
    <row r="578" spans="1:9" x14ac:dyDescent="0.2">
      <c r="A578">
        <v>573</v>
      </c>
      <c r="B578">
        <v>1013342.3233405795</v>
      </c>
      <c r="C578">
        <v>102853.24567569712</v>
      </c>
      <c r="D578">
        <v>117660.0841487414</v>
      </c>
      <c r="E578">
        <v>30992.180906813606</v>
      </c>
      <c r="F578">
        <v>38145.612524317869</v>
      </c>
      <c r="G578">
        <v>10000</v>
      </c>
      <c r="H578">
        <v>279651.12325557001</v>
      </c>
      <c r="I578">
        <v>40.422566617284815</v>
      </c>
    </row>
    <row r="579" spans="1:9" x14ac:dyDescent="0.2">
      <c r="A579">
        <v>574</v>
      </c>
      <c r="B579">
        <v>1160865.4668827276</v>
      </c>
      <c r="C579">
        <v>83206.997988463219</v>
      </c>
      <c r="D579">
        <v>86635.961165494766</v>
      </c>
      <c r="E579">
        <v>116194.57428101303</v>
      </c>
      <c r="F579">
        <v>44044.239757916286</v>
      </c>
      <c r="G579">
        <v>10000</v>
      </c>
      <c r="H579">
        <v>320081.77319288731</v>
      </c>
      <c r="I579">
        <v>43.544830455129762</v>
      </c>
    </row>
    <row r="580" spans="1:9" x14ac:dyDescent="0.2">
      <c r="A580">
        <v>575</v>
      </c>
      <c r="B580">
        <v>809313.88731048768</v>
      </c>
      <c r="C580">
        <v>99750.808876257084</v>
      </c>
      <c r="D580">
        <v>41825.69309596021</v>
      </c>
      <c r="E580">
        <v>52521.829128113764</v>
      </c>
      <c r="F580">
        <v>39636.126631946339</v>
      </c>
      <c r="G580">
        <v>10000</v>
      </c>
      <c r="H580">
        <v>223734.45773227737</v>
      </c>
      <c r="I580">
        <v>30.40522214095774</v>
      </c>
    </row>
    <row r="581" spans="1:9" x14ac:dyDescent="0.2">
      <c r="A581">
        <v>576</v>
      </c>
      <c r="B581">
        <v>1151386.0908635054</v>
      </c>
      <c r="C581">
        <v>76661.579438028421</v>
      </c>
      <c r="D581">
        <v>129209.83856185796</v>
      </c>
      <c r="E581">
        <v>80069.158581505399</v>
      </c>
      <c r="F581">
        <v>41543.249440258063</v>
      </c>
      <c r="G581">
        <v>10000</v>
      </c>
      <c r="H581">
        <v>317483.82602164987</v>
      </c>
      <c r="I581">
        <v>30.82577161414023</v>
      </c>
    </row>
    <row r="582" spans="1:9" x14ac:dyDescent="0.2">
      <c r="A582">
        <v>577</v>
      </c>
      <c r="B582">
        <v>1018444.7421652692</v>
      </c>
      <c r="C582">
        <v>118092.71316371414</v>
      </c>
      <c r="D582">
        <v>77617.469700599628</v>
      </c>
      <c r="E582">
        <v>55497.210532910816</v>
      </c>
      <c r="F582">
        <v>39842.114575355365</v>
      </c>
      <c r="G582">
        <v>10000</v>
      </c>
      <c r="H582">
        <v>281049.50797257997</v>
      </c>
      <c r="I582">
        <v>34.880161834620665</v>
      </c>
    </row>
    <row r="583" spans="1:9" x14ac:dyDescent="0.2">
      <c r="A583">
        <v>578</v>
      </c>
      <c r="B583">
        <v>1060417.0946705448</v>
      </c>
      <c r="C583">
        <v>109579.0280516826</v>
      </c>
      <c r="D583">
        <v>53657.617317120435</v>
      </c>
      <c r="E583">
        <v>96626.414605072714</v>
      </c>
      <c r="F583">
        <v>42689.521011120421</v>
      </c>
      <c r="G583">
        <v>10000</v>
      </c>
      <c r="H583">
        <v>292552.58098499617</v>
      </c>
      <c r="I583">
        <v>40.071889606419049</v>
      </c>
    </row>
    <row r="584" spans="1:9" x14ac:dyDescent="0.2">
      <c r="A584">
        <v>579</v>
      </c>
      <c r="B584">
        <v>1160683.4427109468</v>
      </c>
      <c r="C584">
        <v>159061.19186649457</v>
      </c>
      <c r="D584">
        <v>96377.800881251867</v>
      </c>
      <c r="E584">
        <v>36094.073839869146</v>
      </c>
      <c r="F584">
        <v>38498.82049660632</v>
      </c>
      <c r="G584">
        <v>10000</v>
      </c>
      <c r="H584">
        <v>320031.88708422193</v>
      </c>
      <c r="I584">
        <v>25.675844604983475</v>
      </c>
    </row>
    <row r="585" spans="1:9" x14ac:dyDescent="0.2">
      <c r="A585">
        <v>580</v>
      </c>
      <c r="B585">
        <v>1331896.1057006698</v>
      </c>
      <c r="C585">
        <v>105165.04904712744</v>
      </c>
      <c r="D585">
        <v>57202.234420249893</v>
      </c>
      <c r="E585">
        <v>167024.44581100158</v>
      </c>
      <c r="F585">
        <v>47563.230863838573</v>
      </c>
      <c r="G585">
        <v>10000</v>
      </c>
      <c r="H585">
        <v>366954.96014221746</v>
      </c>
      <c r="I585">
        <v>35.389445803698557</v>
      </c>
    </row>
    <row r="586" spans="1:9" x14ac:dyDescent="0.2">
      <c r="A586">
        <v>581</v>
      </c>
      <c r="B586">
        <v>1383422.4121342616</v>
      </c>
      <c r="C586">
        <v>135914.6733408054</v>
      </c>
      <c r="D586">
        <v>57247.938314363026</v>
      </c>
      <c r="E586">
        <v>151430.17988538882</v>
      </c>
      <c r="F586">
        <v>46483.627838219225</v>
      </c>
      <c r="G586">
        <v>10000</v>
      </c>
      <c r="H586">
        <v>381076.41937877645</v>
      </c>
      <c r="I586">
        <v>28.114182925113475</v>
      </c>
    </row>
    <row r="587" spans="1:9" x14ac:dyDescent="0.2">
      <c r="A587">
        <v>582</v>
      </c>
      <c r="B587">
        <v>1576044.701133288</v>
      </c>
      <c r="C587">
        <v>132664.16675124015</v>
      </c>
      <c r="D587">
        <v>110158.7815417731</v>
      </c>
      <c r="E587">
        <v>154357.82185861733</v>
      </c>
      <c r="F587">
        <v>46686.310744058123</v>
      </c>
      <c r="G587">
        <v>10000</v>
      </c>
      <c r="H587">
        <v>433867.08089568873</v>
      </c>
      <c r="I587">
        <v>39.672344821705821</v>
      </c>
    </row>
    <row r="588" spans="1:9" x14ac:dyDescent="0.2">
      <c r="A588">
        <v>583</v>
      </c>
      <c r="B588">
        <v>1700972.5719066355</v>
      </c>
      <c r="C588">
        <v>141465.37187735926</v>
      </c>
      <c r="D588">
        <v>81400.736113673353</v>
      </c>
      <c r="E588">
        <v>205043.75544224423</v>
      </c>
      <c r="F588">
        <v>50195.336915232292</v>
      </c>
      <c r="G588">
        <v>10000</v>
      </c>
      <c r="H588">
        <v>468105.20034850913</v>
      </c>
      <c r="I588">
        <v>30.702001320912281</v>
      </c>
    </row>
    <row r="589" spans="1:9" x14ac:dyDescent="0.2">
      <c r="A589">
        <v>584</v>
      </c>
      <c r="B589">
        <v>1199695.5059537189</v>
      </c>
      <c r="C589">
        <v>151098.14592609322</v>
      </c>
      <c r="D589">
        <v>102250.873134272</v>
      </c>
      <c r="E589">
        <v>48048.219771241078</v>
      </c>
      <c r="F589">
        <v>39326.415214932073</v>
      </c>
      <c r="G589">
        <v>10000</v>
      </c>
      <c r="H589">
        <v>330723.65404653834</v>
      </c>
      <c r="I589">
        <v>27.597016730821316</v>
      </c>
    </row>
    <row r="590" spans="1:9" x14ac:dyDescent="0.2">
      <c r="A590">
        <v>585</v>
      </c>
      <c r="B590">
        <v>1462399.4319476788</v>
      </c>
      <c r="C590">
        <v>109252.24589233636</v>
      </c>
      <c r="D590">
        <v>124368.91332837022</v>
      </c>
      <c r="E590">
        <v>133834.48278839691</v>
      </c>
      <c r="F590">
        <v>45265.464193042862</v>
      </c>
      <c r="G590">
        <v>10000</v>
      </c>
      <c r="H590">
        <v>402721.10620214639</v>
      </c>
      <c r="I590">
        <v>39.106654109556004</v>
      </c>
    </row>
    <row r="591" spans="1:9" x14ac:dyDescent="0.2">
      <c r="A591">
        <v>586</v>
      </c>
      <c r="B591">
        <v>1353061.4638762935</v>
      </c>
      <c r="C591">
        <v>147457.0399221181</v>
      </c>
      <c r="D591">
        <v>136158.71809691342</v>
      </c>
      <c r="E591">
        <v>59051.654328999597</v>
      </c>
      <c r="F591">
        <v>40088.191453546126</v>
      </c>
      <c r="G591">
        <v>10000</v>
      </c>
      <c r="H591">
        <v>372755.60380157718</v>
      </c>
      <c r="I591">
        <v>39.750692176625336</v>
      </c>
    </row>
    <row r="592" spans="1:9" x14ac:dyDescent="0.2">
      <c r="A592">
        <v>587</v>
      </c>
      <c r="B592">
        <v>1425513.7659076178</v>
      </c>
      <c r="C592">
        <v>75943.563809738</v>
      </c>
      <c r="D592">
        <v>129970.74026917256</v>
      </c>
      <c r="E592">
        <v>150292.9085030377</v>
      </c>
      <c r="F592">
        <v>46404.893665594922</v>
      </c>
      <c r="G592">
        <v>10000</v>
      </c>
      <c r="H592">
        <v>392612.10624754318</v>
      </c>
      <c r="I592">
        <v>36.451088935982881</v>
      </c>
    </row>
    <row r="593" spans="1:9" x14ac:dyDescent="0.2">
      <c r="A593">
        <v>588</v>
      </c>
      <c r="B593">
        <v>1588247.7153801806</v>
      </c>
      <c r="C593">
        <v>126717.53436347381</v>
      </c>
      <c r="D593">
        <v>87915.749587600018</v>
      </c>
      <c r="E593">
        <v>183850.10842076389</v>
      </c>
      <c r="F593">
        <v>48728.084429129813</v>
      </c>
      <c r="G593">
        <v>10000</v>
      </c>
      <c r="H593">
        <v>437211.47680096759</v>
      </c>
      <c r="I593">
        <v>27.514306055102494</v>
      </c>
    </row>
    <row r="594" spans="1:9" x14ac:dyDescent="0.2">
      <c r="A594">
        <v>589</v>
      </c>
      <c r="B594">
        <v>1496524.658317931</v>
      </c>
      <c r="C594">
        <v>92073.392010110794</v>
      </c>
      <c r="D594">
        <v>145372.18155493075</v>
      </c>
      <c r="E594">
        <v>139004.60239027938</v>
      </c>
      <c r="F594">
        <v>45623.395550096269</v>
      </c>
      <c r="G594">
        <v>10000</v>
      </c>
      <c r="H594">
        <v>412073.57150541723</v>
      </c>
      <c r="I594">
        <v>57.055324455190039</v>
      </c>
    </row>
    <row r="595" spans="1:9" x14ac:dyDescent="0.2">
      <c r="A595">
        <v>590</v>
      </c>
      <c r="B595">
        <v>1246519.7346738596</v>
      </c>
      <c r="C595">
        <v>94372.995711833646</v>
      </c>
      <c r="D595">
        <v>116038.27456944123</v>
      </c>
      <c r="E595">
        <v>100207.71950625569</v>
      </c>
      <c r="F595">
        <v>42937.457504279242</v>
      </c>
      <c r="G595">
        <v>10000</v>
      </c>
      <c r="H595">
        <v>343556.44729180983</v>
      </c>
      <c r="I595">
        <v>42.198587322187734</v>
      </c>
    </row>
    <row r="596" spans="1:9" x14ac:dyDescent="0.2">
      <c r="A596">
        <v>591</v>
      </c>
      <c r="B596">
        <v>1277656.1577100002</v>
      </c>
      <c r="C596">
        <v>108143.74710880285</v>
      </c>
      <c r="D596">
        <v>120407.20862563029</v>
      </c>
      <c r="E596">
        <v>91223.37194418846</v>
      </c>
      <c r="F596">
        <v>42315.464211520739</v>
      </c>
      <c r="G596">
        <v>10000</v>
      </c>
      <c r="H596">
        <v>352089.79189014237</v>
      </c>
      <c r="I596">
        <v>33.199487104688103</v>
      </c>
    </row>
    <row r="597" spans="1:9" x14ac:dyDescent="0.2">
      <c r="A597">
        <v>592</v>
      </c>
      <c r="B597">
        <v>1582630.5777201592</v>
      </c>
      <c r="C597">
        <v>107781.6642164167</v>
      </c>
      <c r="D597">
        <v>88506.654844489269</v>
      </c>
      <c r="E597">
        <v>199567.49630137108</v>
      </c>
      <c r="F597">
        <v>49816.211282402612</v>
      </c>
      <c r="G597">
        <v>10000</v>
      </c>
      <c r="H597">
        <v>435672.02664467966</v>
      </c>
      <c r="I597">
        <v>30.01881736097679</v>
      </c>
    </row>
    <row r="598" spans="1:9" x14ac:dyDescent="0.2">
      <c r="A598">
        <v>593</v>
      </c>
      <c r="B598">
        <v>844500.06725765404</v>
      </c>
      <c r="C598">
        <v>102285.78236480865</v>
      </c>
      <c r="D598">
        <v>76979.27889164316</v>
      </c>
      <c r="E598">
        <v>26292.387774083083</v>
      </c>
      <c r="F598">
        <v>37820.242230513446</v>
      </c>
      <c r="G598">
        <v>10000</v>
      </c>
      <c r="H598">
        <v>233377.69126104837</v>
      </c>
      <c r="I598">
        <v>35.495803255832641</v>
      </c>
    </row>
    <row r="599" spans="1:9" x14ac:dyDescent="0.2">
      <c r="A599">
        <v>594</v>
      </c>
      <c r="B599">
        <v>829831.4580819417</v>
      </c>
      <c r="C599">
        <v>99082.974150495298</v>
      </c>
      <c r="D599">
        <v>43196.295098280178</v>
      </c>
      <c r="E599">
        <v>57123.58760787444</v>
      </c>
      <c r="F599">
        <v>39954.709911314385</v>
      </c>
      <c r="G599">
        <v>10000</v>
      </c>
      <c r="H599">
        <v>229357.56676796431</v>
      </c>
      <c r="I599">
        <v>36.640307726866517</v>
      </c>
    </row>
    <row r="600" spans="1:9" x14ac:dyDescent="0.2">
      <c r="A600">
        <v>595</v>
      </c>
      <c r="B600">
        <v>969819.42049300764</v>
      </c>
      <c r="C600">
        <v>106056.55627594245</v>
      </c>
      <c r="D600">
        <v>45869.758831186868</v>
      </c>
      <c r="E600">
        <v>83982.606082501283</v>
      </c>
      <c r="F600">
        <v>41814.180421096244</v>
      </c>
      <c r="G600">
        <v>10000</v>
      </c>
      <c r="H600">
        <v>267723.10161072679</v>
      </c>
      <c r="I600">
        <v>40.705825141080787</v>
      </c>
    </row>
    <row r="601" spans="1:9" x14ac:dyDescent="0.2">
      <c r="A601">
        <v>596</v>
      </c>
      <c r="B601">
        <v>1515337.4562437185</v>
      </c>
      <c r="C601">
        <v>134784.3786645589</v>
      </c>
      <c r="D601">
        <v>145544.83654317321</v>
      </c>
      <c r="E601">
        <v>103719.65827683231</v>
      </c>
      <c r="F601">
        <v>43180.591726857623</v>
      </c>
      <c r="G601">
        <v>10000</v>
      </c>
      <c r="H601">
        <v>417229.46521142207</v>
      </c>
      <c r="I601">
        <v>33.226045455928357</v>
      </c>
    </row>
    <row r="602" spans="1:9" x14ac:dyDescent="0.2">
      <c r="A602">
        <v>597</v>
      </c>
      <c r="B602">
        <v>987332.71929919545</v>
      </c>
      <c r="C602">
        <v>100307.77626951699</v>
      </c>
      <c r="D602">
        <v>96195.489708127105</v>
      </c>
      <c r="E602">
        <v>46780.906444378255</v>
      </c>
      <c r="F602">
        <v>39238.678138456955</v>
      </c>
      <c r="G602">
        <v>10000</v>
      </c>
      <c r="H602">
        <v>272522.85056047933</v>
      </c>
      <c r="I602">
        <v>36.602609387523756</v>
      </c>
    </row>
    <row r="603" spans="1:9" x14ac:dyDescent="0.2">
      <c r="A603">
        <v>598</v>
      </c>
      <c r="B603">
        <v>1108617.1271175176</v>
      </c>
      <c r="C603">
        <v>156300.38015091355</v>
      </c>
      <c r="D603">
        <v>59434.193097713396</v>
      </c>
      <c r="E603">
        <v>59882.169366585804</v>
      </c>
      <c r="F603">
        <v>40145.688648455944</v>
      </c>
      <c r="G603">
        <v>10000</v>
      </c>
      <c r="H603">
        <v>305762.4312636687</v>
      </c>
      <c r="I603">
        <v>27.166997057034813</v>
      </c>
    </row>
    <row r="604" spans="1:9" x14ac:dyDescent="0.2">
      <c r="A604">
        <v>599</v>
      </c>
      <c r="B604">
        <v>1140811.5956497719</v>
      </c>
      <c r="C604">
        <v>116412.383234718</v>
      </c>
      <c r="D604">
        <v>75887.030938059193</v>
      </c>
      <c r="E604">
        <v>90051.966037563412</v>
      </c>
      <c r="F604">
        <v>42234.366879523615</v>
      </c>
      <c r="G604">
        <v>10000</v>
      </c>
      <c r="H604">
        <v>314585.74708986422</v>
      </c>
      <c r="I604">
        <v>33.869774610954146</v>
      </c>
    </row>
    <row r="605" spans="1:9" x14ac:dyDescent="0.2">
      <c r="A605">
        <v>600</v>
      </c>
      <c r="B605">
        <v>1609049.3463114714</v>
      </c>
      <c r="C605">
        <v>144439.06937875156</v>
      </c>
      <c r="D605">
        <v>96468.206615370436</v>
      </c>
      <c r="E605">
        <v>164609.14268015942</v>
      </c>
      <c r="F605">
        <v>47396.017570164877</v>
      </c>
      <c r="G605">
        <v>10000</v>
      </c>
      <c r="H605">
        <v>442912.43624444632</v>
      </c>
      <c r="I605">
        <v>36.267110008776029</v>
      </c>
    </row>
    <row r="606" spans="1:9" x14ac:dyDescent="0.2">
      <c r="A606">
        <v>601</v>
      </c>
      <c r="B606">
        <v>1014977.8412330701</v>
      </c>
      <c r="C606">
        <v>100235.45584364841</v>
      </c>
      <c r="D606">
        <v>121268.86243006504</v>
      </c>
      <c r="E606">
        <v>30484.569863135581</v>
      </c>
      <c r="F606">
        <v>38110.470221294003</v>
      </c>
      <c r="G606">
        <v>10000</v>
      </c>
      <c r="H606">
        <v>280099.35835814301</v>
      </c>
      <c r="I606">
        <v>26.779460975707025</v>
      </c>
    </row>
    <row r="607" spans="1:9" x14ac:dyDescent="0.2">
      <c r="A607">
        <v>602</v>
      </c>
      <c r="B607">
        <v>1279319.6450640003</v>
      </c>
      <c r="C607">
        <v>164667.62367530167</v>
      </c>
      <c r="D607">
        <v>58215.360295219856</v>
      </c>
      <c r="E607">
        <v>96950.734493058306</v>
      </c>
      <c r="F607">
        <v>42711.973926442501</v>
      </c>
      <c r="G607">
        <v>10000</v>
      </c>
      <c r="H607">
        <v>352545.69239002233</v>
      </c>
      <c r="I607">
        <v>35.962944232169598</v>
      </c>
    </row>
    <row r="608" spans="1:9" x14ac:dyDescent="0.2">
      <c r="A608">
        <v>603</v>
      </c>
      <c r="B608">
        <v>1384471.0853986398</v>
      </c>
      <c r="C608">
        <v>96442.561692616437</v>
      </c>
      <c r="D608">
        <v>71731.403502000394</v>
      </c>
      <c r="E608">
        <v>175069.65027186312</v>
      </c>
      <c r="F608">
        <v>48120.206557282829</v>
      </c>
      <c r="G608">
        <v>10000</v>
      </c>
      <c r="H608">
        <v>381363.82202376274</v>
      </c>
      <c r="I608">
        <v>46.021010040709747</v>
      </c>
    </row>
    <row r="609" spans="1:9" x14ac:dyDescent="0.2">
      <c r="A609">
        <v>604</v>
      </c>
      <c r="B609">
        <v>1567184.3690599422</v>
      </c>
      <c r="C609">
        <v>99569.891848095649</v>
      </c>
      <c r="D609">
        <v>86077.378506557754</v>
      </c>
      <c r="E609">
        <v>205560.41483012104</v>
      </c>
      <c r="F609">
        <v>50231.105642085306</v>
      </c>
      <c r="G609">
        <v>10000</v>
      </c>
      <c r="H609">
        <v>431438.79082685977</v>
      </c>
      <c r="I609">
        <v>27.919903992397117</v>
      </c>
    </row>
    <row r="610" spans="1:9" x14ac:dyDescent="0.2">
      <c r="A610">
        <v>605</v>
      </c>
      <c r="B610">
        <v>1135538.659791477</v>
      </c>
      <c r="C610">
        <v>109550.14746263063</v>
      </c>
      <c r="D610">
        <v>117658.69882678118</v>
      </c>
      <c r="E610">
        <v>56051.308455934086</v>
      </c>
      <c r="F610">
        <v>39880.47520079543</v>
      </c>
      <c r="G610">
        <v>10000</v>
      </c>
      <c r="H610">
        <v>313140.62994614139</v>
      </c>
      <c r="I610">
        <v>39.73084852333686</v>
      </c>
    </row>
    <row r="611" spans="1:9" x14ac:dyDescent="0.2">
      <c r="A611">
        <v>606</v>
      </c>
      <c r="B611">
        <v>1308890.3459123666</v>
      </c>
      <c r="C611">
        <v>83994.603678789106</v>
      </c>
      <c r="D611">
        <v>81662.512577896938</v>
      </c>
      <c r="E611">
        <v>158050.83329001619</v>
      </c>
      <c r="F611">
        <v>46941.980766231893</v>
      </c>
      <c r="G611">
        <v>10000</v>
      </c>
      <c r="H611">
        <v>360649.9303129341</v>
      </c>
      <c r="I611">
        <v>31.381794470222157</v>
      </c>
    </row>
    <row r="612" spans="1:9" x14ac:dyDescent="0.2">
      <c r="A612">
        <v>607</v>
      </c>
      <c r="B612">
        <v>1462528.6384038429</v>
      </c>
      <c r="C612">
        <v>87674.701952916803</v>
      </c>
      <c r="D612">
        <v>70533.438188774846</v>
      </c>
      <c r="E612">
        <v>204397.76245824786</v>
      </c>
      <c r="F612">
        <v>50150.614324032547</v>
      </c>
      <c r="G612">
        <v>10000</v>
      </c>
      <c r="H612">
        <v>402756.51692397206</v>
      </c>
      <c r="I612">
        <v>35.333919256879497</v>
      </c>
    </row>
    <row r="613" spans="1:9" x14ac:dyDescent="0.2">
      <c r="A613">
        <v>608</v>
      </c>
      <c r="B613">
        <v>1198222.9125906988</v>
      </c>
      <c r="C613">
        <v>141698.39536515329</v>
      </c>
      <c r="D613">
        <v>58385.169194808601</v>
      </c>
      <c r="E613">
        <v>97487.37969867076</v>
      </c>
      <c r="F613">
        <v>42749.126286831051</v>
      </c>
      <c r="G613">
        <v>10000</v>
      </c>
      <c r="H613">
        <v>330320.07054546371</v>
      </c>
      <c r="I613">
        <v>44.698220668490919</v>
      </c>
    </row>
    <row r="614" spans="1:9" x14ac:dyDescent="0.2">
      <c r="A614">
        <v>609</v>
      </c>
      <c r="B614">
        <v>947355.10088355583</v>
      </c>
      <c r="C614">
        <v>148990.28812722882</v>
      </c>
      <c r="D614">
        <v>58630.178825863812</v>
      </c>
      <c r="E614">
        <v>26136.540778709743</v>
      </c>
      <c r="F614">
        <v>37809.452823141444</v>
      </c>
      <c r="G614">
        <v>10000</v>
      </c>
      <c r="H614">
        <v>261566.46055494383</v>
      </c>
      <c r="I614">
        <v>28.524871762013202</v>
      </c>
    </row>
    <row r="615" spans="1:9" x14ac:dyDescent="0.2">
      <c r="A615">
        <v>610</v>
      </c>
      <c r="B615">
        <v>1156806.9716107929</v>
      </c>
      <c r="C615">
        <v>143523.16026498473</v>
      </c>
      <c r="D615">
        <v>107963.24250057524</v>
      </c>
      <c r="E615">
        <v>38797.131384892156</v>
      </c>
      <c r="F615">
        <v>38685.955249723302</v>
      </c>
      <c r="G615">
        <v>10000</v>
      </c>
      <c r="H615">
        <v>318969.4894001754</v>
      </c>
      <c r="I615">
        <v>35.279725328917451</v>
      </c>
    </row>
    <row r="616" spans="1:9" x14ac:dyDescent="0.2">
      <c r="A616">
        <v>611</v>
      </c>
      <c r="B616">
        <v>1455688.9941688764</v>
      </c>
      <c r="C616">
        <v>94595.305967676133</v>
      </c>
      <c r="D616">
        <v>66835.402911492551</v>
      </c>
      <c r="E616">
        <v>199630.72527480309</v>
      </c>
      <c r="F616">
        <v>49820.588672870981</v>
      </c>
      <c r="G616">
        <v>10000</v>
      </c>
      <c r="H616">
        <v>400882.02282684273</v>
      </c>
      <c r="I616">
        <v>25.357672547732648</v>
      </c>
    </row>
    <row r="617" spans="1:9" x14ac:dyDescent="0.2">
      <c r="A617">
        <v>612</v>
      </c>
      <c r="B617">
        <v>1293729.6204029797</v>
      </c>
      <c r="C617">
        <v>100866.78206291018</v>
      </c>
      <c r="D617">
        <v>64829.249072403625</v>
      </c>
      <c r="E617">
        <v>154128.47113956013</v>
      </c>
      <c r="F617">
        <v>46670.432617354163</v>
      </c>
      <c r="G617">
        <v>10000</v>
      </c>
      <c r="H617">
        <v>356494.93489222805</v>
      </c>
      <c r="I617">
        <v>43.354566822145784</v>
      </c>
    </row>
    <row r="618" spans="1:9" x14ac:dyDescent="0.2">
      <c r="A618">
        <v>613</v>
      </c>
      <c r="B618">
        <v>1549270.72212038</v>
      </c>
      <c r="C618">
        <v>101863.64238907609</v>
      </c>
      <c r="D618">
        <v>88890.715871675784</v>
      </c>
      <c r="E618">
        <v>196192.41140716698</v>
      </c>
      <c r="F618">
        <v>49582.551558957719</v>
      </c>
      <c r="G618">
        <v>10000</v>
      </c>
      <c r="H618">
        <v>426529.32122687658</v>
      </c>
      <c r="I618">
        <v>47.406412992734658</v>
      </c>
    </row>
    <row r="619" spans="1:9" x14ac:dyDescent="0.2">
      <c r="A619">
        <v>614</v>
      </c>
      <c r="B619">
        <v>1211779.6168753167</v>
      </c>
      <c r="C619">
        <v>153026.2374166215</v>
      </c>
      <c r="D619">
        <v>33437.536441092052</v>
      </c>
      <c r="E619">
        <v>113700.14086642687</v>
      </c>
      <c r="F619">
        <v>43871.548213829556</v>
      </c>
      <c r="G619">
        <v>10000</v>
      </c>
      <c r="H619">
        <v>334035.46293797001</v>
      </c>
      <c r="I619">
        <v>28.632313616342245</v>
      </c>
    </row>
    <row r="620" spans="1:9" x14ac:dyDescent="0.2">
      <c r="A620">
        <v>615</v>
      </c>
      <c r="B620">
        <v>1549900.2594709247</v>
      </c>
      <c r="C620">
        <v>120902.89981397385</v>
      </c>
      <c r="D620">
        <v>87514.539252156726</v>
      </c>
      <c r="E620">
        <v>179834.34507453817</v>
      </c>
      <c r="F620">
        <v>48450.070043621876</v>
      </c>
      <c r="G620">
        <v>10000</v>
      </c>
      <c r="H620">
        <v>426701.85418429063</v>
      </c>
      <c r="I620">
        <v>31.452700588780839</v>
      </c>
    </row>
    <row r="621" spans="1:9" x14ac:dyDescent="0.2">
      <c r="A621">
        <v>616</v>
      </c>
      <c r="B621">
        <v>1023974.7129555605</v>
      </c>
      <c r="C621">
        <v>111324.36359334896</v>
      </c>
      <c r="D621">
        <v>67505.28076377706</v>
      </c>
      <c r="E621">
        <v>72702.195621617167</v>
      </c>
      <c r="F621">
        <v>41033.228927650416</v>
      </c>
      <c r="G621">
        <v>10000</v>
      </c>
      <c r="H621">
        <v>282565.0689063936</v>
      </c>
      <c r="I621">
        <v>25.627270687761659</v>
      </c>
    </row>
    <row r="622" spans="1:9" x14ac:dyDescent="0.2">
      <c r="A622">
        <v>617</v>
      </c>
      <c r="B622">
        <v>805336.18932213006</v>
      </c>
      <c r="C622">
        <v>112564.95011016518</v>
      </c>
      <c r="D622">
        <v>36280.641310153747</v>
      </c>
      <c r="E622">
        <v>44703.844528890666</v>
      </c>
      <c r="F622">
        <v>39094.881544307813</v>
      </c>
      <c r="G622">
        <v>10000</v>
      </c>
      <c r="H622">
        <v>222644.31749351742</v>
      </c>
      <c r="I622">
        <v>32.256147188256584</v>
      </c>
    </row>
    <row r="623" spans="1:9" x14ac:dyDescent="0.2">
      <c r="A623">
        <v>618</v>
      </c>
      <c r="B623">
        <v>1790512.9262910387</v>
      </c>
      <c r="C623">
        <v>161888.0156304508</v>
      </c>
      <c r="D623">
        <v>104302.11800657675</v>
      </c>
      <c r="E623">
        <v>187475.68767639162</v>
      </c>
      <c r="F623">
        <v>48979.086069904035</v>
      </c>
      <c r="G623">
        <v>10000</v>
      </c>
      <c r="H623">
        <v>492644.90738332324</v>
      </c>
      <c r="I623">
        <v>31.729823660182156</v>
      </c>
    </row>
    <row r="624" spans="1:9" x14ac:dyDescent="0.2">
      <c r="A624">
        <v>619</v>
      </c>
      <c r="B624">
        <v>1328772.1875699859</v>
      </c>
      <c r="C624">
        <v>152227.18333997688</v>
      </c>
      <c r="D624">
        <v>56353.076273810286</v>
      </c>
      <c r="E624">
        <v>123002.96028536484</v>
      </c>
      <c r="F624">
        <v>44515.589558217558</v>
      </c>
      <c r="G624">
        <v>10000</v>
      </c>
      <c r="H624">
        <v>366098.80945736956</v>
      </c>
      <c r="I624">
        <v>42.267515442855853</v>
      </c>
    </row>
    <row r="625" spans="1:9" x14ac:dyDescent="0.2">
      <c r="A625">
        <v>620</v>
      </c>
      <c r="B625">
        <v>1247961.9546752037</v>
      </c>
      <c r="C625">
        <v>105473.28807183201</v>
      </c>
      <c r="D625">
        <v>88552.156315812579</v>
      </c>
      <c r="E625">
        <v>115902.25959991635</v>
      </c>
      <c r="F625">
        <v>44024.002587686511</v>
      </c>
      <c r="G625">
        <v>10000</v>
      </c>
      <c r="H625">
        <v>343951.70657524746</v>
      </c>
      <c r="I625">
        <v>38.204638945836834</v>
      </c>
    </row>
    <row r="626" spans="1:9" x14ac:dyDescent="0.2">
      <c r="A626">
        <v>621</v>
      </c>
      <c r="B626">
        <v>1388903.1169860172</v>
      </c>
      <c r="C626">
        <v>115290.52722543353</v>
      </c>
      <c r="D626">
        <v>79701.276042597921</v>
      </c>
      <c r="E626">
        <v>151124.22848156825</v>
      </c>
      <c r="F626">
        <v>46462.446587185492</v>
      </c>
      <c r="G626">
        <v>10000</v>
      </c>
      <c r="H626">
        <v>382578.47833678522</v>
      </c>
      <c r="I626">
        <v>31.540355810282207</v>
      </c>
    </row>
    <row r="627" spans="1:9" x14ac:dyDescent="0.2">
      <c r="A627">
        <v>622</v>
      </c>
      <c r="B627">
        <v>1258608.4259032442</v>
      </c>
      <c r="C627">
        <v>130314.33268372173</v>
      </c>
      <c r="D627">
        <v>89735.803846900555</v>
      </c>
      <c r="E627">
        <v>94291.501748026654</v>
      </c>
      <c r="F627">
        <v>42527.873197940309</v>
      </c>
      <c r="G627">
        <v>10000</v>
      </c>
      <c r="H627">
        <v>346869.51147658925</v>
      </c>
      <c r="I627">
        <v>36.516778122514168</v>
      </c>
    </row>
    <row r="628" spans="1:9" x14ac:dyDescent="0.2">
      <c r="A628">
        <v>623</v>
      </c>
      <c r="B628">
        <v>900608.69502816861</v>
      </c>
      <c r="C628">
        <v>117095.96932765903</v>
      </c>
      <c r="D628">
        <v>47364.362967546898</v>
      </c>
      <c r="E628">
        <v>54520.188781992911</v>
      </c>
      <c r="F628">
        <v>39774.474607984121</v>
      </c>
      <c r="G628">
        <v>10000</v>
      </c>
      <c r="H628">
        <v>248754.99568518295</v>
      </c>
      <c r="I628">
        <v>41.042626112741324</v>
      </c>
    </row>
    <row r="629" spans="1:9" x14ac:dyDescent="0.2">
      <c r="A629">
        <v>624</v>
      </c>
      <c r="B629">
        <v>1521971.0787094878</v>
      </c>
      <c r="C629">
        <v>104899.25031710025</v>
      </c>
      <c r="D629">
        <v>133730.4897659047</v>
      </c>
      <c r="E629">
        <v>144419.4842728379</v>
      </c>
      <c r="F629">
        <v>45998.271988119544</v>
      </c>
      <c r="G629">
        <v>10000</v>
      </c>
      <c r="H629">
        <v>419047.49634396232</v>
      </c>
      <c r="I629">
        <v>45.988069533708412</v>
      </c>
    </row>
    <row r="630" spans="1:9" x14ac:dyDescent="0.2">
      <c r="A630">
        <v>625</v>
      </c>
      <c r="B630">
        <v>1605912.6527519855</v>
      </c>
      <c r="C630">
        <v>125775.22825870619</v>
      </c>
      <c r="D630">
        <v>118432.82876900099</v>
      </c>
      <c r="E630">
        <v>160718.09024155585</v>
      </c>
      <c r="F630">
        <v>47126.637016723093</v>
      </c>
      <c r="G630">
        <v>10000</v>
      </c>
      <c r="H630">
        <v>442052.78428598616</v>
      </c>
      <c r="I630">
        <v>37.058945330969436</v>
      </c>
    </row>
    <row r="631" spans="1:9" x14ac:dyDescent="0.2">
      <c r="A631">
        <v>626</v>
      </c>
      <c r="B631">
        <v>1251952.949510318</v>
      </c>
      <c r="C631">
        <v>89476.257923946192</v>
      </c>
      <c r="D631">
        <v>86269.632744886709</v>
      </c>
      <c r="E631">
        <v>134021.2089325682</v>
      </c>
      <c r="F631">
        <v>45278.391387639334</v>
      </c>
      <c r="G631">
        <v>10000</v>
      </c>
      <c r="H631">
        <v>345045.49098904047</v>
      </c>
      <c r="I631">
        <v>29.924891154510139</v>
      </c>
    </row>
    <row r="632" spans="1:9" x14ac:dyDescent="0.2">
      <c r="A632">
        <v>627</v>
      </c>
      <c r="B632">
        <v>1536499.4504538423</v>
      </c>
      <c r="C632">
        <v>117579.55789995448</v>
      </c>
      <c r="D632">
        <v>72541.760891629558</v>
      </c>
      <c r="E632">
        <v>193510.95581475034</v>
      </c>
      <c r="F632">
        <v>49396.912325636564</v>
      </c>
      <c r="G632">
        <v>10000</v>
      </c>
      <c r="H632">
        <v>423029.18693197094</v>
      </c>
      <c r="I632">
        <v>37.22841871808275</v>
      </c>
    </row>
    <row r="633" spans="1:9" x14ac:dyDescent="0.2">
      <c r="A633">
        <v>628</v>
      </c>
      <c r="B633">
        <v>1424693.6739408905</v>
      </c>
      <c r="C633">
        <v>139755.16048210868</v>
      </c>
      <c r="D633">
        <v>137296.97905694332</v>
      </c>
      <c r="E633">
        <v>83550.915605104208</v>
      </c>
      <c r="F633">
        <v>41784.294157276447</v>
      </c>
      <c r="G633">
        <v>10000</v>
      </c>
      <c r="H633">
        <v>392387.34930143267</v>
      </c>
      <c r="I633">
        <v>33.815739556897768</v>
      </c>
    </row>
    <row r="634" spans="1:9" x14ac:dyDescent="0.2">
      <c r="A634">
        <v>629</v>
      </c>
      <c r="B634">
        <v>1303171.5169377259</v>
      </c>
      <c r="C634">
        <v>92927.138464896285</v>
      </c>
      <c r="D634">
        <v>35512.494565048328</v>
      </c>
      <c r="E634">
        <v>191392.71257323667</v>
      </c>
      <c r="F634">
        <v>49250.26471660869</v>
      </c>
      <c r="G634">
        <v>10000</v>
      </c>
      <c r="H634">
        <v>359082.61031978996</v>
      </c>
      <c r="I634">
        <v>43.787910403865894</v>
      </c>
    </row>
    <row r="635" spans="1:9" x14ac:dyDescent="0.2">
      <c r="A635">
        <v>630</v>
      </c>
      <c r="B635">
        <v>1308071.1584819949</v>
      </c>
      <c r="C635">
        <v>137710.16210590876</v>
      </c>
      <c r="D635">
        <v>54245.029451457558</v>
      </c>
      <c r="E635">
        <v>133245.53857722486</v>
      </c>
      <c r="F635">
        <v>45224.691132269414</v>
      </c>
      <c r="G635">
        <v>10000</v>
      </c>
      <c r="H635">
        <v>360425.42126686056</v>
      </c>
      <c r="I635">
        <v>29.471963335535094</v>
      </c>
    </row>
    <row r="636" spans="1:9" x14ac:dyDescent="0.2">
      <c r="A636">
        <v>631</v>
      </c>
      <c r="B636">
        <v>1493502.7619705899</v>
      </c>
      <c r="C636">
        <v>103833.18576356178</v>
      </c>
      <c r="D636">
        <v>99914.807484362973</v>
      </c>
      <c r="E636">
        <v>169745.75854130817</v>
      </c>
      <c r="F636">
        <v>47751.629437475181</v>
      </c>
      <c r="G636">
        <v>10000</v>
      </c>
      <c r="H636">
        <v>411245.38122670812</v>
      </c>
      <c r="I636">
        <v>36.656995160013963</v>
      </c>
    </row>
    <row r="637" spans="1:9" x14ac:dyDescent="0.2">
      <c r="A637">
        <v>632</v>
      </c>
      <c r="B637">
        <v>1101419.1527704685</v>
      </c>
      <c r="C637">
        <v>115676.21924293503</v>
      </c>
      <c r="D637">
        <v>126042.7110615047</v>
      </c>
      <c r="E637">
        <v>33735.282259937914</v>
      </c>
      <c r="F637">
        <v>38335.519541072623</v>
      </c>
      <c r="G637">
        <v>10000</v>
      </c>
      <c r="H637">
        <v>303789.73210545024</v>
      </c>
      <c r="I637">
        <v>38.934539083147001</v>
      </c>
    </row>
    <row r="638" spans="1:9" x14ac:dyDescent="0.2">
      <c r="A638">
        <v>633</v>
      </c>
      <c r="B638">
        <v>1347061.045273148</v>
      </c>
      <c r="C638">
        <v>92865.579254372453</v>
      </c>
      <c r="D638">
        <v>47224.595478383198</v>
      </c>
      <c r="E638">
        <v>191746.19890227844</v>
      </c>
      <c r="F638">
        <v>49274.736847080814</v>
      </c>
      <c r="G638">
        <v>10000</v>
      </c>
      <c r="H638">
        <v>371111.11048211489</v>
      </c>
      <c r="I638">
        <v>38.729774998830919</v>
      </c>
    </row>
    <row r="639" spans="1:9" x14ac:dyDescent="0.2">
      <c r="A639">
        <v>634</v>
      </c>
      <c r="B639">
        <v>1292296.374377632</v>
      </c>
      <c r="C639">
        <v>110577.26004113625</v>
      </c>
      <c r="D639">
        <v>40512.8958876123</v>
      </c>
      <c r="E639">
        <v>167421.27543196507</v>
      </c>
      <c r="F639">
        <v>47590.703683751424</v>
      </c>
      <c r="G639">
        <v>10000</v>
      </c>
      <c r="H639">
        <v>356102.13504446502</v>
      </c>
      <c r="I639">
        <v>41.255035747641479</v>
      </c>
    </row>
    <row r="640" spans="1:9" x14ac:dyDescent="0.2">
      <c r="A640">
        <v>635</v>
      </c>
      <c r="B640">
        <v>1083584.2139191346</v>
      </c>
      <c r="C640">
        <v>102718.35786367289</v>
      </c>
      <c r="D640">
        <v>110616.04146337755</v>
      </c>
      <c r="E640">
        <v>55710.549934763425</v>
      </c>
      <c r="F640">
        <v>39856.884226252849</v>
      </c>
      <c r="G640">
        <v>10000</v>
      </c>
      <c r="H640">
        <v>298901.83348806668</v>
      </c>
      <c r="I640">
        <v>39.086173323241688</v>
      </c>
    </row>
    <row r="641" spans="1:9" x14ac:dyDescent="0.2">
      <c r="A641">
        <v>636</v>
      </c>
      <c r="B641">
        <v>1284684.2724608639</v>
      </c>
      <c r="C641">
        <v>113081.63329129449</v>
      </c>
      <c r="D641">
        <v>103476.82256552168</v>
      </c>
      <c r="E641">
        <v>104240.81138663244</v>
      </c>
      <c r="F641">
        <v>43216.671557536094</v>
      </c>
      <c r="G641">
        <v>10000</v>
      </c>
      <c r="H641">
        <v>354015.93880098476</v>
      </c>
      <c r="I641">
        <v>35.277880751913521</v>
      </c>
    </row>
    <row r="642" spans="1:9" x14ac:dyDescent="0.2">
      <c r="A642">
        <v>637</v>
      </c>
      <c r="B642">
        <v>1145002.9704885455</v>
      </c>
      <c r="C642">
        <v>98610.145745812217</v>
      </c>
      <c r="D642">
        <v>66464.75652473107</v>
      </c>
      <c r="E642">
        <v>116588.0646024031</v>
      </c>
      <c r="F642">
        <v>44071.481395550982</v>
      </c>
      <c r="G642">
        <v>10000</v>
      </c>
      <c r="H642">
        <v>315734.44826849736</v>
      </c>
      <c r="I642">
        <v>43.166165786096286</v>
      </c>
    </row>
    <row r="643" spans="1:9" x14ac:dyDescent="0.2">
      <c r="A643">
        <v>638</v>
      </c>
      <c r="B643">
        <v>1329571.8454142055</v>
      </c>
      <c r="C643">
        <v>116554.48682574986</v>
      </c>
      <c r="D643">
        <v>149825.24259101183</v>
      </c>
      <c r="E643">
        <v>69150.868900794478</v>
      </c>
      <c r="F643">
        <v>40787.367846978079</v>
      </c>
      <c r="G643">
        <v>10000</v>
      </c>
      <c r="H643">
        <v>366317.96616453421</v>
      </c>
      <c r="I643">
        <v>42.64148176398929</v>
      </c>
    </row>
    <row r="644" spans="1:9" x14ac:dyDescent="0.2">
      <c r="A644">
        <v>639</v>
      </c>
      <c r="B644">
        <v>1389709.0920968056</v>
      </c>
      <c r="C644">
        <v>109812.44215013352</v>
      </c>
      <c r="D644">
        <v>58661.039092820953</v>
      </c>
      <c r="E644">
        <v>176132.12278406144</v>
      </c>
      <c r="F644">
        <v>48193.762346588868</v>
      </c>
      <c r="G644">
        <v>10000</v>
      </c>
      <c r="H644">
        <v>382799.3663736048</v>
      </c>
      <c r="I644">
        <v>32.207699956627202</v>
      </c>
    </row>
    <row r="645" spans="1:9" x14ac:dyDescent="0.2">
      <c r="A645">
        <v>640</v>
      </c>
      <c r="B645">
        <v>1157195.4344013643</v>
      </c>
      <c r="C645">
        <v>121978.13441887264</v>
      </c>
      <c r="D645">
        <v>60033.873862266853</v>
      </c>
      <c r="E645">
        <v>103872.7537884866</v>
      </c>
      <c r="F645">
        <v>43191.190646895229</v>
      </c>
      <c r="G645">
        <v>10000</v>
      </c>
      <c r="H645">
        <v>319075.95271652128</v>
      </c>
      <c r="I645">
        <v>42.128672266730135</v>
      </c>
    </row>
    <row r="646" spans="1:9" x14ac:dyDescent="0.2">
      <c r="A646">
        <v>641</v>
      </c>
      <c r="B646">
        <v>1255166.5165780219</v>
      </c>
      <c r="C646">
        <v>131220.64667170984</v>
      </c>
      <c r="D646">
        <v>136940.60049244185</v>
      </c>
      <c r="E646">
        <v>48413.275660319843</v>
      </c>
      <c r="F646">
        <v>39351.688314945219</v>
      </c>
      <c r="G646">
        <v>10000</v>
      </c>
      <c r="H646">
        <v>345926.21113941673</v>
      </c>
      <c r="I646">
        <v>37.034498034069919</v>
      </c>
    </row>
    <row r="647" spans="1:9" x14ac:dyDescent="0.2">
      <c r="A647">
        <v>642</v>
      </c>
      <c r="B647">
        <v>1230185.9816245637</v>
      </c>
      <c r="C647">
        <v>103782.68901578547</v>
      </c>
      <c r="D647">
        <v>112728.53024342637</v>
      </c>
      <c r="E647">
        <v>90316.096232637195</v>
      </c>
      <c r="F647">
        <v>42252.652816105649</v>
      </c>
      <c r="G647">
        <v>10000</v>
      </c>
      <c r="H647">
        <v>339079.96830795467</v>
      </c>
      <c r="I647">
        <v>38.33269707464293</v>
      </c>
    </row>
    <row r="648" spans="1:9" x14ac:dyDescent="0.2">
      <c r="A648">
        <v>643</v>
      </c>
      <c r="B648">
        <v>1069694.265716207</v>
      </c>
      <c r="C648">
        <v>132190.59255108552</v>
      </c>
      <c r="D648">
        <v>51190.785978490698</v>
      </c>
      <c r="E648">
        <v>80163.922673656896</v>
      </c>
      <c r="F648">
        <v>41549.810031253168</v>
      </c>
      <c r="G648">
        <v>10000</v>
      </c>
      <c r="H648">
        <v>295095.11123448622</v>
      </c>
      <c r="I648">
        <v>32.136851866038931</v>
      </c>
    </row>
    <row r="649" spans="1:9" x14ac:dyDescent="0.2">
      <c r="A649">
        <v>644</v>
      </c>
      <c r="B649">
        <v>911677.64639638306</v>
      </c>
      <c r="C649">
        <v>103743.00617004643</v>
      </c>
      <c r="D649">
        <v>39512.638367327796</v>
      </c>
      <c r="E649">
        <v>77189.082694594152</v>
      </c>
      <c r="F649">
        <v>41343.859571164205</v>
      </c>
      <c r="G649">
        <v>10000</v>
      </c>
      <c r="H649">
        <v>251788.58680313258</v>
      </c>
      <c r="I649">
        <v>32.70171338117661</v>
      </c>
    </row>
    <row r="650" spans="1:9" x14ac:dyDescent="0.2">
      <c r="A650">
        <v>645</v>
      </c>
      <c r="B650">
        <v>1562213.6749448974</v>
      </c>
      <c r="C650">
        <v>154058.4193657086</v>
      </c>
      <c r="D650">
        <v>77549.899675911365</v>
      </c>
      <c r="E650">
        <v>161301.18297520297</v>
      </c>
      <c r="F650">
        <v>47167.004975206357</v>
      </c>
      <c r="G650">
        <v>10000</v>
      </c>
      <c r="H650">
        <v>430076.50699202926</v>
      </c>
      <c r="I650">
        <v>47.812603452053466</v>
      </c>
    </row>
    <row r="651" spans="1:9" x14ac:dyDescent="0.2">
      <c r="A651">
        <v>646</v>
      </c>
      <c r="B651">
        <v>1707507.1602827725</v>
      </c>
      <c r="C651">
        <v>109102.90943735754</v>
      </c>
      <c r="D651">
        <v>154234.0047738209</v>
      </c>
      <c r="E651">
        <v>168868.2938017477</v>
      </c>
      <c r="F651">
        <v>47690.881878582535</v>
      </c>
      <c r="G651">
        <v>10000</v>
      </c>
      <c r="H651">
        <v>469896.08989150869</v>
      </c>
      <c r="I651">
        <v>31.561539619422085</v>
      </c>
    </row>
    <row r="652" spans="1:9" x14ac:dyDescent="0.2">
      <c r="A652">
        <v>647</v>
      </c>
      <c r="B652">
        <v>1425024.7914839964</v>
      </c>
      <c r="C652">
        <v>99609.556027384824</v>
      </c>
      <c r="D652">
        <v>123070.73149833728</v>
      </c>
      <c r="E652">
        <v>134487.15938025035</v>
      </c>
      <c r="F652">
        <v>45310.649495555794</v>
      </c>
      <c r="G652">
        <v>10000</v>
      </c>
      <c r="H652">
        <v>392478.09640152822</v>
      </c>
      <c r="I652">
        <v>36.000125874251474</v>
      </c>
    </row>
    <row r="653" spans="1:9" x14ac:dyDescent="0.2">
      <c r="A653">
        <v>648</v>
      </c>
      <c r="B653">
        <v>1396310.3678488971</v>
      </c>
      <c r="C653">
        <v>161285.25022527252</v>
      </c>
      <c r="D653">
        <v>127199.9745877222</v>
      </c>
      <c r="E653">
        <v>65582.94960310217</v>
      </c>
      <c r="F653">
        <v>40540.358049445538</v>
      </c>
      <c r="G653">
        <v>10000</v>
      </c>
      <c r="H653">
        <v>384608.53246554243</v>
      </c>
      <c r="I653">
        <v>39.246894553327351</v>
      </c>
    </row>
    <row r="654" spans="1:9" x14ac:dyDescent="0.2">
      <c r="A654">
        <v>649</v>
      </c>
      <c r="B654">
        <v>1402453.7764951941</v>
      </c>
      <c r="C654">
        <v>78888.038212154555</v>
      </c>
      <c r="D654">
        <v>151724.91147503976</v>
      </c>
      <c r="E654">
        <v>121282.76525889702</v>
      </c>
      <c r="F654">
        <v>44396.499133308251</v>
      </c>
      <c r="G654">
        <v>10000</v>
      </c>
      <c r="H654">
        <v>386292.21407939959</v>
      </c>
      <c r="I654">
        <v>33.809345096826029</v>
      </c>
    </row>
    <row r="655" spans="1:9" x14ac:dyDescent="0.2">
      <c r="A655">
        <v>650</v>
      </c>
      <c r="B655">
        <v>1383797.5241953998</v>
      </c>
      <c r="C655">
        <v>137665.83477447485</v>
      </c>
      <c r="D655">
        <v>70328.295888547189</v>
      </c>
      <c r="E655">
        <v>137655.12303363901</v>
      </c>
      <c r="F655">
        <v>45529.970056175007</v>
      </c>
      <c r="G655">
        <v>10000</v>
      </c>
      <c r="H655">
        <v>381179.22375283611</v>
      </c>
      <c r="I655">
        <v>30.950138034432499</v>
      </c>
    </row>
    <row r="656" spans="1:9" x14ac:dyDescent="0.2">
      <c r="A656">
        <v>651</v>
      </c>
      <c r="B656">
        <v>1345338.0105349764</v>
      </c>
      <c r="C656">
        <v>119605.85208511459</v>
      </c>
      <c r="D656">
        <v>86945.579249269562</v>
      </c>
      <c r="E656">
        <v>129146.54430168818</v>
      </c>
      <c r="F656">
        <v>44940.914605501486</v>
      </c>
      <c r="G656">
        <v>10000</v>
      </c>
      <c r="H656">
        <v>370638.8902415738</v>
      </c>
      <c r="I656">
        <v>40.089106153771958</v>
      </c>
    </row>
    <row r="657" spans="1:9" x14ac:dyDescent="0.2">
      <c r="A657">
        <v>652</v>
      </c>
      <c r="B657">
        <v>1302137.0907440614</v>
      </c>
      <c r="C657">
        <v>117171.22668133522</v>
      </c>
      <c r="D657">
        <v>84802.452702721013</v>
      </c>
      <c r="E657">
        <v>122354.72140520436</v>
      </c>
      <c r="F657">
        <v>44470.711481898761</v>
      </c>
      <c r="G657">
        <v>10000</v>
      </c>
      <c r="H657">
        <v>358799.11227115942</v>
      </c>
      <c r="I657">
        <v>36.344106486531516</v>
      </c>
    </row>
    <row r="658" spans="1:9" x14ac:dyDescent="0.2">
      <c r="A658">
        <v>653</v>
      </c>
      <c r="B658">
        <v>1374414.525328394</v>
      </c>
      <c r="C658">
        <v>115665.04252286267</v>
      </c>
      <c r="D658">
        <v>40714.608988301348</v>
      </c>
      <c r="E658">
        <v>183522.62592727647</v>
      </c>
      <c r="F658">
        <v>48705.412564196064</v>
      </c>
      <c r="G658">
        <v>10000</v>
      </c>
      <c r="H658">
        <v>378607.69000263652</v>
      </c>
      <c r="I658">
        <v>41.141450879014442</v>
      </c>
    </row>
    <row r="659" spans="1:9" x14ac:dyDescent="0.2">
      <c r="A659">
        <v>654</v>
      </c>
      <c r="B659">
        <v>1504559.8348000625</v>
      </c>
      <c r="C659">
        <v>107221.79583613624</v>
      </c>
      <c r="D659">
        <v>81699.790303834307</v>
      </c>
      <c r="E659">
        <v>186446.30932101281</v>
      </c>
      <c r="F659">
        <v>48907.82141453166</v>
      </c>
      <c r="G659">
        <v>10000</v>
      </c>
      <c r="H659">
        <v>414275.71687551506</v>
      </c>
      <c r="I659">
        <v>36.164448553217767</v>
      </c>
    </row>
    <row r="660" spans="1:9" x14ac:dyDescent="0.2">
      <c r="A660">
        <v>655</v>
      </c>
      <c r="B660">
        <v>1506829.3446284719</v>
      </c>
      <c r="C660">
        <v>95406.089082985665</v>
      </c>
      <c r="D660">
        <v>124750.21186847173</v>
      </c>
      <c r="E660">
        <v>157815.70235106035</v>
      </c>
      <c r="F660">
        <v>46925.702470458025</v>
      </c>
      <c r="G660">
        <v>10000</v>
      </c>
      <c r="H660">
        <v>414897.70577297581</v>
      </c>
      <c r="I660">
        <v>31.19739125860276</v>
      </c>
    </row>
    <row r="661" spans="1:9" x14ac:dyDescent="0.2">
      <c r="A661">
        <v>656</v>
      </c>
      <c r="B661">
        <v>1093911.2545698492</v>
      </c>
      <c r="C661">
        <v>133516.22929263709</v>
      </c>
      <c r="D661">
        <v>63321.976339606423</v>
      </c>
      <c r="E661">
        <v>73785.651230267802</v>
      </c>
      <c r="F661">
        <v>41108.237392864699</v>
      </c>
      <c r="G661">
        <v>10000</v>
      </c>
      <c r="H661">
        <v>301732.09425537603</v>
      </c>
      <c r="I661">
        <v>39.149787187423257</v>
      </c>
    </row>
    <row r="662" spans="1:9" x14ac:dyDescent="0.2">
      <c r="A662">
        <v>657</v>
      </c>
      <c r="B662">
        <v>1538584.8327534231</v>
      </c>
      <c r="C662">
        <v>117444.02135135604</v>
      </c>
      <c r="D662">
        <v>153939.43465795569</v>
      </c>
      <c r="E662">
        <v>118044.91686084465</v>
      </c>
      <c r="F662">
        <v>44172.34039805847</v>
      </c>
      <c r="G662">
        <v>10000</v>
      </c>
      <c r="H662">
        <v>423600.71326821484</v>
      </c>
      <c r="I662">
        <v>32.604515924531107</v>
      </c>
    </row>
    <row r="663" spans="1:9" x14ac:dyDescent="0.2">
      <c r="A663">
        <v>658</v>
      </c>
      <c r="B663">
        <v>1018684.6510160019</v>
      </c>
      <c r="C663">
        <v>106497.82138783058</v>
      </c>
      <c r="D663">
        <v>63175.408231018249</v>
      </c>
      <c r="E663">
        <v>79909.81084315505</v>
      </c>
      <c r="F663">
        <v>41532.217673756888</v>
      </c>
      <c r="G663">
        <v>10000</v>
      </c>
      <c r="H663">
        <v>281115.25813576079</v>
      </c>
      <c r="I663">
        <v>41.287634313697353</v>
      </c>
    </row>
    <row r="664" spans="1:9" x14ac:dyDescent="0.2">
      <c r="A664">
        <v>659</v>
      </c>
      <c r="B664">
        <v>1659490.6518830864</v>
      </c>
      <c r="C664">
        <v>128952.06203277403</v>
      </c>
      <c r="D664">
        <v>96492.566547540933</v>
      </c>
      <c r="E664">
        <v>191999.62637570585</v>
      </c>
      <c r="F664">
        <v>49292.281826010403</v>
      </c>
      <c r="G664">
        <v>10000</v>
      </c>
      <c r="H664">
        <v>456736.53678203124</v>
      </c>
      <c r="I664">
        <v>29.443518438275603</v>
      </c>
    </row>
    <row r="665" spans="1:9" x14ac:dyDescent="0.2">
      <c r="A665">
        <v>660</v>
      </c>
      <c r="B665">
        <v>1224688.3397201872</v>
      </c>
      <c r="C665">
        <v>88978.059775995833</v>
      </c>
      <c r="D665">
        <v>136536.71108308164</v>
      </c>
      <c r="E665">
        <v>80486.36379183775</v>
      </c>
      <c r="F665">
        <v>41572.13287789646</v>
      </c>
      <c r="G665">
        <v>10000</v>
      </c>
      <c r="H665">
        <v>337573.2675288117</v>
      </c>
      <c r="I665">
        <v>46.162056457981379</v>
      </c>
    </row>
    <row r="666" spans="1:9" x14ac:dyDescent="0.2">
      <c r="A666">
        <v>661</v>
      </c>
      <c r="B666">
        <v>1334374.2986962616</v>
      </c>
      <c r="C666">
        <v>151341.50898997113</v>
      </c>
      <c r="D666">
        <v>96889.526877903802</v>
      </c>
      <c r="E666">
        <v>87355.422435672212</v>
      </c>
      <c r="F666">
        <v>42047.68309170039</v>
      </c>
      <c r="G666">
        <v>10000</v>
      </c>
      <c r="H666">
        <v>367634.14139524748</v>
      </c>
      <c r="I666">
        <v>36.063782393087294</v>
      </c>
    </row>
    <row r="667" spans="1:9" x14ac:dyDescent="0.2">
      <c r="A667">
        <v>662</v>
      </c>
      <c r="B667">
        <v>1376909.3256026537</v>
      </c>
      <c r="C667">
        <v>143654.59562639048</v>
      </c>
      <c r="D667">
        <v>36504.482771307936</v>
      </c>
      <c r="E667">
        <v>161922.33639589927</v>
      </c>
      <c r="F667">
        <v>47210.007904331484</v>
      </c>
      <c r="G667">
        <v>10000</v>
      </c>
      <c r="H667">
        <v>379291.42269792914</v>
      </c>
      <c r="I667">
        <v>36.298382690014208</v>
      </c>
    </row>
    <row r="668" spans="1:9" x14ac:dyDescent="0.2">
      <c r="A668">
        <v>663</v>
      </c>
      <c r="B668">
        <v>1138355.5036908551</v>
      </c>
      <c r="C668">
        <v>89278.962609724651</v>
      </c>
      <c r="D668">
        <v>106287.38703215316</v>
      </c>
      <c r="E668">
        <v>86367.018169521398</v>
      </c>
      <c r="F668">
        <v>41979.255104043783</v>
      </c>
      <c r="G668">
        <v>10000</v>
      </c>
      <c r="H668">
        <v>313912.62291544303</v>
      </c>
      <c r="I668">
        <v>36.377998831919797</v>
      </c>
    </row>
    <row r="669" spans="1:9" x14ac:dyDescent="0.2">
      <c r="A669">
        <v>664</v>
      </c>
      <c r="B669">
        <v>1242085.7597317223</v>
      </c>
      <c r="C669">
        <v>96011.672504193586</v>
      </c>
      <c r="D669">
        <v>120759.71647534244</v>
      </c>
      <c r="E669">
        <v>93122.899436438631</v>
      </c>
      <c r="F669">
        <v>42446.969960984214</v>
      </c>
      <c r="G669">
        <v>10000</v>
      </c>
      <c r="H669">
        <v>342341.25837695884</v>
      </c>
      <c r="I669">
        <v>41.720763532656676</v>
      </c>
    </row>
    <row r="670" spans="1:9" x14ac:dyDescent="0.2">
      <c r="A670">
        <v>665</v>
      </c>
      <c r="B670">
        <v>1334761.1030532871</v>
      </c>
      <c r="C670">
        <v>145946.28973458998</v>
      </c>
      <c r="D670">
        <v>105901.36817535391</v>
      </c>
      <c r="E670">
        <v>84072.115087824146</v>
      </c>
      <c r="F670">
        <v>41820.377198387825</v>
      </c>
      <c r="G670">
        <v>10000</v>
      </c>
      <c r="H670">
        <v>367740.15019615582</v>
      </c>
      <c r="I670">
        <v>38.316445304995334</v>
      </c>
    </row>
    <row r="671" spans="1:9" x14ac:dyDescent="0.2">
      <c r="A671">
        <v>666</v>
      </c>
      <c r="B671">
        <v>1283823.7532967881</v>
      </c>
      <c r="C671">
        <v>119349.62627622795</v>
      </c>
      <c r="D671">
        <v>55669.42345700947</v>
      </c>
      <c r="E671">
        <v>142870.04911814834</v>
      </c>
      <c r="F671">
        <v>45891.003400487192</v>
      </c>
      <c r="G671">
        <v>10000</v>
      </c>
      <c r="H671">
        <v>353780.10225187294</v>
      </c>
      <c r="I671">
        <v>51.475224295350898</v>
      </c>
    </row>
    <row r="672" spans="1:9" x14ac:dyDescent="0.2">
      <c r="A672">
        <v>667</v>
      </c>
      <c r="B672">
        <v>994959.82483233395</v>
      </c>
      <c r="C672">
        <v>108362.53013267327</v>
      </c>
      <c r="D672">
        <v>86209.509660055672</v>
      </c>
      <c r="E672">
        <v>50542.053693153954</v>
      </c>
      <c r="F672">
        <v>39499.065255679889</v>
      </c>
      <c r="G672">
        <v>10000</v>
      </c>
      <c r="H672">
        <v>274613.1587415628</v>
      </c>
      <c r="I672">
        <v>29.020861331291243</v>
      </c>
    </row>
    <row r="673" spans="1:9" x14ac:dyDescent="0.2">
      <c r="A673">
        <v>668</v>
      </c>
      <c r="B673">
        <v>1542808.8867404661</v>
      </c>
      <c r="C673">
        <v>134568.87172539337</v>
      </c>
      <c r="D673">
        <v>73228.082418542952</v>
      </c>
      <c r="E673">
        <v>178597.00819211468</v>
      </c>
      <c r="F673">
        <v>48364.408259454089</v>
      </c>
      <c r="G673">
        <v>10000</v>
      </c>
      <c r="H673">
        <v>424758.37059550511</v>
      </c>
      <c r="I673">
        <v>40.852418665485771</v>
      </c>
    </row>
    <row r="674" spans="1:9" x14ac:dyDescent="0.2">
      <c r="A674">
        <v>669</v>
      </c>
      <c r="B674">
        <v>1178359.9890754384</v>
      </c>
      <c r="C674">
        <v>126645.88831610739</v>
      </c>
      <c r="D674">
        <v>41429.218651566604</v>
      </c>
      <c r="E674">
        <v>122332.12227158756</v>
      </c>
      <c r="F674">
        <v>44469.146926494519</v>
      </c>
      <c r="G674">
        <v>10000</v>
      </c>
      <c r="H674">
        <v>324876.37616575602</v>
      </c>
      <c r="I674">
        <v>32.463076022876606</v>
      </c>
    </row>
    <row r="675" spans="1:9" x14ac:dyDescent="0.2">
      <c r="A675">
        <v>670</v>
      </c>
      <c r="B675">
        <v>1318056.9524898035</v>
      </c>
      <c r="C675">
        <v>132741.49970467293</v>
      </c>
      <c r="D675">
        <v>69183.503213399294</v>
      </c>
      <c r="E675">
        <v>126480.79338458519</v>
      </c>
      <c r="F675">
        <v>44756.362618932821</v>
      </c>
      <c r="G675">
        <v>10000</v>
      </c>
      <c r="H675">
        <v>363162.15892159019</v>
      </c>
      <c r="I675">
        <v>29.901148004079243</v>
      </c>
    </row>
    <row r="676" spans="1:9" x14ac:dyDescent="0.2">
      <c r="A676">
        <v>671</v>
      </c>
      <c r="B676">
        <v>1631957.9702926492</v>
      </c>
      <c r="C676">
        <v>83032.753054046334</v>
      </c>
      <c r="D676">
        <v>147431.10203619243</v>
      </c>
      <c r="E676">
        <v>180248.26369502055</v>
      </c>
      <c r="F676">
        <v>48478.725948116808</v>
      </c>
      <c r="G676">
        <v>10000</v>
      </c>
      <c r="H676">
        <v>449190.84473337611</v>
      </c>
      <c r="I676">
        <v>36.822166164395853</v>
      </c>
    </row>
    <row r="677" spans="1:9" x14ac:dyDescent="0.2">
      <c r="A677">
        <v>672</v>
      </c>
      <c r="B677">
        <v>1407139.3707854727</v>
      </c>
      <c r="C677">
        <v>116259.73843235236</v>
      </c>
      <c r="D677">
        <v>73807.121062958351</v>
      </c>
      <c r="E677">
        <v>160404.57122340659</v>
      </c>
      <c r="F677">
        <v>47104.931853928152</v>
      </c>
      <c r="G677">
        <v>10000</v>
      </c>
      <c r="H677">
        <v>387576.36257264542</v>
      </c>
      <c r="I677">
        <v>27.407169152023499</v>
      </c>
    </row>
    <row r="678" spans="1:9" x14ac:dyDescent="0.2">
      <c r="A678">
        <v>673</v>
      </c>
      <c r="B678">
        <v>1513224.0913865408</v>
      </c>
      <c r="C678">
        <v>126816.0709555127</v>
      </c>
      <c r="D678">
        <v>138770.0048203952</v>
      </c>
      <c r="E678">
        <v>116966.51247960537</v>
      </c>
      <c r="F678">
        <v>44097.68163320345</v>
      </c>
      <c r="G678">
        <v>10000</v>
      </c>
      <c r="H678">
        <v>416650.26988871675</v>
      </c>
      <c r="I678">
        <v>28.762135587543931</v>
      </c>
    </row>
    <row r="679" spans="1:9" x14ac:dyDescent="0.2">
      <c r="A679">
        <v>674</v>
      </c>
      <c r="B679">
        <v>1178856.8031689858</v>
      </c>
      <c r="C679">
        <v>112065.12606238412</v>
      </c>
      <c r="D679">
        <v>96608.786006311173</v>
      </c>
      <c r="E679">
        <v>84489.35917950148</v>
      </c>
      <c r="F679">
        <v>41849.263327811641</v>
      </c>
      <c r="G679">
        <v>10000</v>
      </c>
      <c r="H679">
        <v>325012.53457600845</v>
      </c>
      <c r="I679">
        <v>27.609219671042428</v>
      </c>
    </row>
    <row r="680" spans="1:9" x14ac:dyDescent="0.2">
      <c r="A680">
        <v>675</v>
      </c>
      <c r="B680">
        <v>951042.02256335376</v>
      </c>
      <c r="C680">
        <v>107996.81231586059</v>
      </c>
      <c r="D680">
        <v>63263.939811786091</v>
      </c>
      <c r="E680">
        <v>61087.05387960442</v>
      </c>
      <c r="F680">
        <v>40229.103730126459</v>
      </c>
      <c r="G680">
        <v>10000</v>
      </c>
      <c r="H680">
        <v>262576.90973737754</v>
      </c>
      <c r="I680">
        <v>27.064136840858048</v>
      </c>
    </row>
    <row r="681" spans="1:9" x14ac:dyDescent="0.2">
      <c r="A681">
        <v>676</v>
      </c>
      <c r="B681">
        <v>1251862.6085104635</v>
      </c>
      <c r="C681">
        <v>132726.31844696656</v>
      </c>
      <c r="D681">
        <v>45593.751011989043</v>
      </c>
      <c r="E681">
        <v>131590.54756429666</v>
      </c>
      <c r="F681">
        <v>45110.114831374383</v>
      </c>
      <c r="G681">
        <v>10000</v>
      </c>
      <c r="H681">
        <v>345020.73185462668</v>
      </c>
      <c r="I681">
        <v>30.433738123305432</v>
      </c>
    </row>
    <row r="682" spans="1:9" x14ac:dyDescent="0.2">
      <c r="A682">
        <v>677</v>
      </c>
      <c r="B682">
        <v>1164685.0680860125</v>
      </c>
      <c r="C682">
        <v>125071.02452961665</v>
      </c>
      <c r="D682">
        <v>101713.16198307692</v>
      </c>
      <c r="E682">
        <v>63919.221547670408</v>
      </c>
      <c r="F682">
        <v>40425.176876377183</v>
      </c>
      <c r="G682">
        <v>10000</v>
      </c>
      <c r="H682">
        <v>321128.58493674122</v>
      </c>
      <c r="I682">
        <v>56.395785602781551</v>
      </c>
    </row>
    <row r="683" spans="1:9" x14ac:dyDescent="0.2">
      <c r="A683">
        <v>678</v>
      </c>
      <c r="B683">
        <v>962329.19061902282</v>
      </c>
      <c r="C683">
        <v>118788.43334479483</v>
      </c>
      <c r="D683">
        <v>65471.229007141003</v>
      </c>
      <c r="E683">
        <v>51822.904128486138</v>
      </c>
      <c r="F683">
        <v>39587.739516587499</v>
      </c>
      <c r="G683">
        <v>10000</v>
      </c>
      <c r="H683">
        <v>265670.30599700951</v>
      </c>
      <c r="I683">
        <v>33.469130334563161</v>
      </c>
    </row>
    <row r="684" spans="1:9" x14ac:dyDescent="0.2">
      <c r="A684">
        <v>679</v>
      </c>
      <c r="B684">
        <v>1385020.0950522451</v>
      </c>
      <c r="C684">
        <v>105573.53602356359</v>
      </c>
      <c r="D684">
        <v>58184.211968785603</v>
      </c>
      <c r="E684">
        <v>179340.64641310248</v>
      </c>
      <c r="F684">
        <v>48415.890905522479</v>
      </c>
      <c r="G684">
        <v>10000</v>
      </c>
      <c r="H684">
        <v>381514.28531097423</v>
      </c>
      <c r="I684">
        <v>33.130532737456534</v>
      </c>
    </row>
    <row r="685" spans="1:9" x14ac:dyDescent="0.2">
      <c r="A685">
        <v>680</v>
      </c>
      <c r="B685">
        <v>862320.21447664662</v>
      </c>
      <c r="C685">
        <v>110445.00219884336</v>
      </c>
      <c r="D685">
        <v>63038.158964948787</v>
      </c>
      <c r="E685">
        <v>36267.544846221324</v>
      </c>
      <c r="F685">
        <v>38510.830027815318</v>
      </c>
      <c r="G685">
        <v>10000</v>
      </c>
      <c r="H685">
        <v>238261.53603782877</v>
      </c>
      <c r="I685">
        <v>27.052382730447384</v>
      </c>
    </row>
    <row r="686" spans="1:9" x14ac:dyDescent="0.2">
      <c r="A686">
        <v>681</v>
      </c>
      <c r="B686">
        <v>1260929.7619622198</v>
      </c>
      <c r="C686">
        <v>114658.51721895962</v>
      </c>
      <c r="D686">
        <v>138118.99343131989</v>
      </c>
      <c r="E686">
        <v>64278.166471573895</v>
      </c>
      <c r="F686">
        <v>40450.026909570501</v>
      </c>
      <c r="G686">
        <v>10000</v>
      </c>
      <c r="H686">
        <v>347505.7040314239</v>
      </c>
      <c r="I686">
        <v>25.566881997809947</v>
      </c>
    </row>
    <row r="687" spans="1:9" x14ac:dyDescent="0.2">
      <c r="A687">
        <v>682</v>
      </c>
      <c r="B687">
        <v>1038077.049939228</v>
      </c>
      <c r="C687">
        <v>89985.955815389141</v>
      </c>
      <c r="D687">
        <v>67864.783221882521</v>
      </c>
      <c r="E687">
        <v>95937.437457029067</v>
      </c>
      <c r="F687">
        <v>42641.822593178935</v>
      </c>
      <c r="G687">
        <v>10000</v>
      </c>
      <c r="H687">
        <v>286429.99908747966</v>
      </c>
      <c r="I687">
        <v>40.746761181503643</v>
      </c>
    </row>
    <row r="688" spans="1:9" x14ac:dyDescent="0.2">
      <c r="A688">
        <v>683</v>
      </c>
      <c r="B688">
        <v>1138729.7062929473</v>
      </c>
      <c r="C688">
        <v>155193.97081955138</v>
      </c>
      <c r="D688">
        <v>95918.854051291259</v>
      </c>
      <c r="E688">
        <v>34512.992172909078</v>
      </c>
      <c r="F688">
        <v>38389.360996586016</v>
      </c>
      <c r="G688">
        <v>10000</v>
      </c>
      <c r="H688">
        <v>314015.17804033775</v>
      </c>
      <c r="I688">
        <v>43.20050235855139</v>
      </c>
    </row>
    <row r="689" spans="1:9" x14ac:dyDescent="0.2">
      <c r="A689">
        <v>684</v>
      </c>
      <c r="B689">
        <v>1450417.030902406</v>
      </c>
      <c r="C689">
        <v>93961.741147243141</v>
      </c>
      <c r="D689">
        <v>73188.086900045761</v>
      </c>
      <c r="E689">
        <v>192930.60967163232</v>
      </c>
      <c r="F689">
        <v>49356.734515728393</v>
      </c>
      <c r="G689">
        <v>10000</v>
      </c>
      <c r="H689">
        <v>399437.1722346496</v>
      </c>
      <c r="I689">
        <v>30.677569159693959</v>
      </c>
    </row>
    <row r="690" spans="1:9" x14ac:dyDescent="0.2">
      <c r="A690">
        <v>685</v>
      </c>
      <c r="B690">
        <v>1547771.5103235184</v>
      </c>
      <c r="C690">
        <v>104230.96921637176</v>
      </c>
      <c r="D690">
        <v>87483.327064784593</v>
      </c>
      <c r="E690">
        <v>194910.35266792736</v>
      </c>
      <c r="F690">
        <v>49493.793646241131</v>
      </c>
      <c r="G690">
        <v>10000</v>
      </c>
      <c r="H690">
        <v>426118.44259532489</v>
      </c>
      <c r="I690">
        <v>50.284235996737841</v>
      </c>
    </row>
    <row r="691" spans="1:9" x14ac:dyDescent="0.2">
      <c r="A691">
        <v>686</v>
      </c>
      <c r="B691">
        <v>1318038.5343333434</v>
      </c>
      <c r="C691">
        <v>97761.852858856757</v>
      </c>
      <c r="D691">
        <v>119752.80639693013</v>
      </c>
      <c r="E691">
        <v>111895.8183506393</v>
      </c>
      <c r="F691">
        <v>43746.633578121189</v>
      </c>
      <c r="G691">
        <v>10000</v>
      </c>
      <c r="H691">
        <v>363157.11118454736</v>
      </c>
      <c r="I691">
        <v>25.228101757317219</v>
      </c>
    </row>
    <row r="692" spans="1:9" x14ac:dyDescent="0.2">
      <c r="A692">
        <v>687</v>
      </c>
      <c r="B692">
        <v>1320128.4351721429</v>
      </c>
      <c r="C692">
        <v>107244.22278799802</v>
      </c>
      <c r="D692">
        <v>54628.654920984212</v>
      </c>
      <c r="E692">
        <v>164470.57383429725</v>
      </c>
      <c r="F692">
        <v>47386.424342374426</v>
      </c>
      <c r="G692">
        <v>10000</v>
      </c>
      <c r="H692">
        <v>363729.87588565389</v>
      </c>
      <c r="I692">
        <v>27.412922128485235</v>
      </c>
    </row>
    <row r="693" spans="1:9" x14ac:dyDescent="0.2">
      <c r="A693">
        <v>688</v>
      </c>
      <c r="B693">
        <v>1280151.825030975</v>
      </c>
      <c r="C693">
        <v>106756.72043931916</v>
      </c>
      <c r="D693">
        <v>51649.684133794035</v>
      </c>
      <c r="E693">
        <v>157465.87404977076</v>
      </c>
      <c r="F693">
        <v>46901.483588061048</v>
      </c>
      <c r="G693">
        <v>10000</v>
      </c>
      <c r="H693">
        <v>352773.76221094502</v>
      </c>
      <c r="I693">
        <v>38.940132184068446</v>
      </c>
    </row>
    <row r="694" spans="1:9" x14ac:dyDescent="0.2">
      <c r="A694">
        <v>689</v>
      </c>
      <c r="B694">
        <v>1256939.3942380259</v>
      </c>
      <c r="C694">
        <v>80813.060231406664</v>
      </c>
      <c r="D694">
        <v>92236.746120649317</v>
      </c>
      <c r="E694">
        <v>137820.84221122196</v>
      </c>
      <c r="F694">
        <v>45541.442922315364</v>
      </c>
      <c r="G694">
        <v>10000</v>
      </c>
      <c r="H694">
        <v>346412.09148559329</v>
      </c>
      <c r="I694">
        <v>52.205337291094423</v>
      </c>
    </row>
    <row r="695" spans="1:9" x14ac:dyDescent="0.2">
      <c r="A695">
        <v>690</v>
      </c>
      <c r="B695">
        <v>1813401.5860551118</v>
      </c>
      <c r="C695">
        <v>120507.89330011611</v>
      </c>
      <c r="D695">
        <v>150748.60517983168</v>
      </c>
      <c r="E695">
        <v>188604.13648792633</v>
      </c>
      <c r="F695">
        <v>49057.209449164133</v>
      </c>
      <c r="G695">
        <v>10000</v>
      </c>
      <c r="H695">
        <v>498917.84441703826</v>
      </c>
      <c r="I695">
        <v>26.051127743378586</v>
      </c>
    </row>
    <row r="696" spans="1:9" x14ac:dyDescent="0.2">
      <c r="A696">
        <v>691</v>
      </c>
      <c r="B696">
        <v>1519104.4800938023</v>
      </c>
      <c r="C696">
        <v>135130.49970684803</v>
      </c>
      <c r="D696">
        <v>106366.19817567841</v>
      </c>
      <c r="E696">
        <v>141003.39599172078</v>
      </c>
      <c r="F696">
        <v>45761.773568657591</v>
      </c>
      <c r="G696">
        <v>10000</v>
      </c>
      <c r="H696">
        <v>418261.8674429048</v>
      </c>
      <c r="I696">
        <v>34.751769829692492</v>
      </c>
    </row>
    <row r="697" spans="1:9" x14ac:dyDescent="0.2">
      <c r="A697">
        <v>692</v>
      </c>
      <c r="B697">
        <v>1756833.9361970909</v>
      </c>
      <c r="C697">
        <v>168459.31023764404</v>
      </c>
      <c r="D697">
        <v>80746.944271528278</v>
      </c>
      <c r="E697">
        <v>194727.3595741858</v>
      </c>
      <c r="F697">
        <v>49481.124893597473</v>
      </c>
      <c r="G697">
        <v>10000</v>
      </c>
      <c r="H697">
        <v>483414.73897695553</v>
      </c>
      <c r="I697">
        <v>43.393327961060464</v>
      </c>
    </row>
    <row r="698" spans="1:9" x14ac:dyDescent="0.2">
      <c r="A698">
        <v>693</v>
      </c>
      <c r="B698">
        <v>1393173.8587136336</v>
      </c>
      <c r="C698">
        <v>92636.766055858781</v>
      </c>
      <c r="D698">
        <v>83661.414247750741</v>
      </c>
      <c r="E698">
        <v>169702.14098672717</v>
      </c>
      <c r="F698">
        <v>47748.609760619576</v>
      </c>
      <c r="G698">
        <v>10000</v>
      </c>
      <c r="H698">
        <v>383748.93105095625</v>
      </c>
      <c r="I698">
        <v>36.080928250808277</v>
      </c>
    </row>
    <row r="699" spans="1:9" x14ac:dyDescent="0.2">
      <c r="A699">
        <v>694</v>
      </c>
      <c r="B699">
        <v>1413512.5767643307</v>
      </c>
      <c r="C699">
        <v>139993.22134827054</v>
      </c>
      <c r="D699">
        <v>64714.76228502368</v>
      </c>
      <c r="E699">
        <v>148345.00099215435</v>
      </c>
      <c r="F699">
        <v>46270.038530226069</v>
      </c>
      <c r="G699">
        <v>10000</v>
      </c>
      <c r="H699">
        <v>389323.02315567469</v>
      </c>
      <c r="I699">
        <v>51.770725800258205</v>
      </c>
    </row>
    <row r="700" spans="1:9" x14ac:dyDescent="0.2">
      <c r="A700">
        <v>695</v>
      </c>
      <c r="B700">
        <v>1629750.7723243774</v>
      </c>
      <c r="C700">
        <v>122653.35965094389</v>
      </c>
      <c r="D700">
        <v>126240.13349633296</v>
      </c>
      <c r="E700">
        <v>162446.16697208353</v>
      </c>
      <c r="F700">
        <v>47246.273098067315</v>
      </c>
      <c r="G700">
        <v>10000</v>
      </c>
      <c r="H700">
        <v>448585.93321742775</v>
      </c>
      <c r="I700">
        <v>34.703418989325371</v>
      </c>
    </row>
    <row r="701" spans="1:9" x14ac:dyDescent="0.2">
      <c r="A701">
        <v>696</v>
      </c>
      <c r="B701">
        <v>1464647.0931074389</v>
      </c>
      <c r="C701">
        <v>103605.35723474192</v>
      </c>
      <c r="D701">
        <v>138335.27037581222</v>
      </c>
      <c r="E701">
        <v>126629.80104156096</v>
      </c>
      <c r="F701">
        <v>44766.678533646525</v>
      </c>
      <c r="G701">
        <v>10000</v>
      </c>
      <c r="H701">
        <v>403337.10718576162</v>
      </c>
      <c r="I701">
        <v>42.357546341449691</v>
      </c>
    </row>
    <row r="702" spans="1:9" x14ac:dyDescent="0.2">
      <c r="A702">
        <v>697</v>
      </c>
      <c r="B702">
        <v>1148498.0380718196</v>
      </c>
      <c r="C702">
        <v>113735.88344842469</v>
      </c>
      <c r="D702">
        <v>112638.85494795218</v>
      </c>
      <c r="E702">
        <v>60153.131369872222</v>
      </c>
      <c r="F702">
        <v>40164.447556375773</v>
      </c>
      <c r="G702">
        <v>10000</v>
      </c>
      <c r="H702">
        <v>316692.31732262485</v>
      </c>
      <c r="I702">
        <v>33.536179835214583</v>
      </c>
    </row>
    <row r="703" spans="1:9" x14ac:dyDescent="0.2">
      <c r="A703">
        <v>698</v>
      </c>
      <c r="B703">
        <v>1554009.2355441481</v>
      </c>
      <c r="C703">
        <v>151117.97894810035</v>
      </c>
      <c r="D703">
        <v>52708.373964981547</v>
      </c>
      <c r="E703">
        <v>185181.37121252512</v>
      </c>
      <c r="F703">
        <v>48820.248776251741</v>
      </c>
      <c r="G703">
        <v>10000</v>
      </c>
      <c r="H703">
        <v>427827.9729018588</v>
      </c>
      <c r="I703">
        <v>33.176719821748712</v>
      </c>
    </row>
    <row r="704" spans="1:9" x14ac:dyDescent="0.2">
      <c r="A704">
        <v>699</v>
      </c>
      <c r="B704">
        <v>1773292.9688106738</v>
      </c>
      <c r="C704">
        <v>125291.04285439731</v>
      </c>
      <c r="D704">
        <v>128584.02907812488</v>
      </c>
      <c r="E704">
        <v>194579.58611089375</v>
      </c>
      <c r="F704">
        <v>49470.894423061873</v>
      </c>
      <c r="G704">
        <v>10000</v>
      </c>
      <c r="H704">
        <v>487925.55246647779</v>
      </c>
      <c r="I704">
        <v>26.790974506326549</v>
      </c>
    </row>
    <row r="705" spans="1:9" x14ac:dyDescent="0.2">
      <c r="A705">
        <v>700</v>
      </c>
      <c r="B705">
        <v>1176530.3813065484</v>
      </c>
      <c r="C705">
        <v>89375.839593947312</v>
      </c>
      <c r="D705">
        <v>46588.549808562864</v>
      </c>
      <c r="E705">
        <v>151894.76721142861</v>
      </c>
      <c r="F705">
        <v>46515.791576175827</v>
      </c>
      <c r="G705">
        <v>10000</v>
      </c>
      <c r="H705">
        <v>324374.94819011464</v>
      </c>
      <c r="I705">
        <v>31.129346431673536</v>
      </c>
    </row>
    <row r="706" spans="1:9" x14ac:dyDescent="0.2">
      <c r="A706">
        <v>701</v>
      </c>
      <c r="B706">
        <v>1313511.002919737</v>
      </c>
      <c r="C706">
        <v>119038.93691165748</v>
      </c>
      <c r="D706">
        <v>118886.90933648818</v>
      </c>
      <c r="E706">
        <v>91645.731178796181</v>
      </c>
      <c r="F706">
        <v>42344.70446622435</v>
      </c>
      <c r="G706">
        <v>10000</v>
      </c>
      <c r="H706">
        <v>361916.28189316619</v>
      </c>
      <c r="I706">
        <v>41.133079386184534</v>
      </c>
    </row>
    <row r="707" spans="1:9" x14ac:dyDescent="0.2">
      <c r="A707">
        <v>702</v>
      </c>
      <c r="B707">
        <v>845013.20477180497</v>
      </c>
      <c r="C707">
        <v>108769.20889659149</v>
      </c>
      <c r="D707">
        <v>50058.856061951716</v>
      </c>
      <c r="E707">
        <v>45537.651703596479</v>
      </c>
      <c r="F707">
        <v>39152.606656402837</v>
      </c>
      <c r="G707">
        <v>10000</v>
      </c>
      <c r="H707">
        <v>233518.32331854253</v>
      </c>
      <c r="I707">
        <v>32.499258807720736</v>
      </c>
    </row>
    <row r="708" spans="1:9" x14ac:dyDescent="0.2">
      <c r="A708">
        <v>703</v>
      </c>
      <c r="B708">
        <v>1559932.4174425693</v>
      </c>
      <c r="C708">
        <v>97611.367395773268</v>
      </c>
      <c r="D708">
        <v>108539.02430675193</v>
      </c>
      <c r="E708">
        <v>184526.02793133486</v>
      </c>
      <c r="F708">
        <v>48774.878856784715</v>
      </c>
      <c r="G708">
        <v>10000</v>
      </c>
      <c r="H708">
        <v>429451.29849064478</v>
      </c>
      <c r="I708">
        <v>30.615418076910039</v>
      </c>
    </row>
    <row r="709" spans="1:9" x14ac:dyDescent="0.2">
      <c r="A709">
        <v>704</v>
      </c>
      <c r="B709">
        <v>1294549.5127027978</v>
      </c>
      <c r="C709">
        <v>108699.37605991204</v>
      </c>
      <c r="D709">
        <v>65379.184838829555</v>
      </c>
      <c r="E709">
        <v>146498.84826168674</v>
      </c>
      <c r="F709">
        <v>46142.22795657831</v>
      </c>
      <c r="G709">
        <v>10000</v>
      </c>
      <c r="H709">
        <v>356719.63711700664</v>
      </c>
      <c r="I709">
        <v>25.574258440626082</v>
      </c>
    </row>
    <row r="710" spans="1:9" x14ac:dyDescent="0.2">
      <c r="A710">
        <v>705</v>
      </c>
      <c r="B710">
        <v>1500677.1399024883</v>
      </c>
      <c r="C710">
        <v>81278.41507956048</v>
      </c>
      <c r="D710">
        <v>86040.40111278223</v>
      </c>
      <c r="E710">
        <v>205655.13415229501</v>
      </c>
      <c r="F710">
        <v>50237.663133620423</v>
      </c>
      <c r="G710">
        <v>10000</v>
      </c>
      <c r="H710">
        <v>413211.61347825814</v>
      </c>
      <c r="I710">
        <v>38.66120546395414</v>
      </c>
    </row>
    <row r="711" spans="1:9" x14ac:dyDescent="0.2">
      <c r="A711">
        <v>706</v>
      </c>
      <c r="B711">
        <v>1443365.0927272367</v>
      </c>
      <c r="C711">
        <v>113046.58747514818</v>
      </c>
      <c r="D711">
        <v>115992.70432096433</v>
      </c>
      <c r="E711">
        <v>133240.83865327461</v>
      </c>
      <c r="F711">
        <v>45224.36575291901</v>
      </c>
      <c r="G711">
        <v>10000</v>
      </c>
      <c r="H711">
        <v>397504.49620230612</v>
      </c>
      <c r="I711">
        <v>37.647851888324233</v>
      </c>
    </row>
    <row r="712" spans="1:9" x14ac:dyDescent="0.2">
      <c r="A712">
        <v>707</v>
      </c>
      <c r="B712">
        <v>1523137.9738336946</v>
      </c>
      <c r="C712">
        <v>161346.17229037383</v>
      </c>
      <c r="D712">
        <v>110267.73481576351</v>
      </c>
      <c r="E712">
        <v>113870.07897248692</v>
      </c>
      <c r="F712">
        <v>43883.313159633712</v>
      </c>
      <c r="G712">
        <v>10000</v>
      </c>
      <c r="H712">
        <v>419367.29923825798</v>
      </c>
      <c r="I712">
        <v>40.34343429149267</v>
      </c>
    </row>
    <row r="713" spans="1:9" x14ac:dyDescent="0.2">
      <c r="A713">
        <v>708</v>
      </c>
      <c r="B713">
        <v>1545632.4595116954</v>
      </c>
      <c r="C713">
        <v>105356.35768830782</v>
      </c>
      <c r="D713">
        <v>100920.22582195782</v>
      </c>
      <c r="E713">
        <v>180742.67010576988</v>
      </c>
      <c r="F713">
        <v>48512.954084245612</v>
      </c>
      <c r="G713">
        <v>10000</v>
      </c>
      <c r="H713">
        <v>425532.20770028111</v>
      </c>
      <c r="I713">
        <v>26.24174763891347</v>
      </c>
    </row>
    <row r="714" spans="1:9" x14ac:dyDescent="0.2">
      <c r="A714">
        <v>709</v>
      </c>
      <c r="B714">
        <v>1523375.1297590367</v>
      </c>
      <c r="C714">
        <v>98081.35707884701</v>
      </c>
      <c r="D714">
        <v>82292.574928958842</v>
      </c>
      <c r="E714">
        <v>199263.21711789831</v>
      </c>
      <c r="F714">
        <v>49795.145800469887</v>
      </c>
      <c r="G714">
        <v>10000</v>
      </c>
      <c r="H714">
        <v>419432.2949261741</v>
      </c>
      <c r="I714">
        <v>37.928801341844533</v>
      </c>
    </row>
    <row r="715" spans="1:9" x14ac:dyDescent="0.2">
      <c r="A715">
        <v>710</v>
      </c>
      <c r="B715">
        <v>840507.32841734902</v>
      </c>
      <c r="C715">
        <v>96288.202274149909</v>
      </c>
      <c r="D715">
        <v>73292.605009562903</v>
      </c>
      <c r="E715">
        <v>34326.192859638308</v>
      </c>
      <c r="F715">
        <v>38376.428736436501</v>
      </c>
      <c r="G715">
        <v>10000</v>
      </c>
      <c r="H715">
        <v>232283.42887978762</v>
      </c>
      <c r="I715">
        <v>23.560083792944724</v>
      </c>
    </row>
    <row r="716" spans="1:9" x14ac:dyDescent="0.2">
      <c r="A716">
        <v>711</v>
      </c>
      <c r="B716">
        <v>1378691.7007043294</v>
      </c>
      <c r="C716">
        <v>107761.36890122306</v>
      </c>
      <c r="D716">
        <v>104105.37927511994</v>
      </c>
      <c r="E716">
        <v>132724.53604020257</v>
      </c>
      <c r="F716">
        <v>45188.621725860183</v>
      </c>
      <c r="G716">
        <v>10000</v>
      </c>
      <c r="H716">
        <v>379779.90594240569</v>
      </c>
      <c r="I716">
        <v>46.908604809734207</v>
      </c>
    </row>
    <row r="717" spans="1:9" x14ac:dyDescent="0.2">
      <c r="A717">
        <v>712</v>
      </c>
      <c r="B717">
        <v>1438158.6551267733</v>
      </c>
      <c r="C717">
        <v>99262.903417350972</v>
      </c>
      <c r="D717">
        <v>139314.84583921</v>
      </c>
      <c r="E717">
        <v>122985.47545097832</v>
      </c>
      <c r="F717">
        <v>44514.379069683113</v>
      </c>
      <c r="G717">
        <v>10000</v>
      </c>
      <c r="H717">
        <v>396077.60377722245</v>
      </c>
      <c r="I717">
        <v>30.809348787699555</v>
      </c>
    </row>
    <row r="718" spans="1:9" x14ac:dyDescent="0.2">
      <c r="A718">
        <v>713</v>
      </c>
      <c r="B718">
        <v>1483783.098522186</v>
      </c>
      <c r="C718">
        <v>134021.55314363242</v>
      </c>
      <c r="D718">
        <v>115288.20655428455</v>
      </c>
      <c r="E718">
        <v>124642.70976401938</v>
      </c>
      <c r="F718">
        <v>44629.110675970573</v>
      </c>
      <c r="G718">
        <v>10000</v>
      </c>
      <c r="H718">
        <v>408581.58013790695</v>
      </c>
      <c r="I718">
        <v>25.639024627889874</v>
      </c>
    </row>
    <row r="719" spans="1:9" x14ac:dyDescent="0.2">
      <c r="A719">
        <v>714</v>
      </c>
      <c r="B719">
        <v>1175799.3529220901</v>
      </c>
      <c r="C719">
        <v>93635.082614018655</v>
      </c>
      <c r="D719">
        <v>65923.506167699757</v>
      </c>
      <c r="E719">
        <v>129640.87406818707</v>
      </c>
      <c r="F719">
        <v>44975.137435489873</v>
      </c>
      <c r="G719">
        <v>10000</v>
      </c>
      <c r="H719">
        <v>324174.60028539534</v>
      </c>
      <c r="I719">
        <v>28.887613178929481</v>
      </c>
    </row>
    <row r="720" spans="1:9" x14ac:dyDescent="0.2">
      <c r="A720">
        <v>715</v>
      </c>
      <c r="B720">
        <v>1431590.4512208647</v>
      </c>
      <c r="C720">
        <v>162518.9287744558</v>
      </c>
      <c r="D720">
        <v>80046.794305065414</v>
      </c>
      <c r="E720">
        <v>117572.16682874557</v>
      </c>
      <c r="F720">
        <v>44139.611549682384</v>
      </c>
      <c r="G720">
        <v>10000</v>
      </c>
      <c r="H720">
        <v>394277.50145794917</v>
      </c>
      <c r="I720">
        <v>30.155164247563832</v>
      </c>
    </row>
    <row r="721" spans="1:9" x14ac:dyDescent="0.2">
      <c r="A721">
        <v>716</v>
      </c>
      <c r="B721">
        <v>1441283.6360292684</v>
      </c>
      <c r="C721">
        <v>138203.84117909879</v>
      </c>
      <c r="D721">
        <v>64778.037453351324</v>
      </c>
      <c r="E721">
        <v>157077.56634892346</v>
      </c>
      <c r="F721">
        <v>46874.600747233155</v>
      </c>
      <c r="G721">
        <v>10000</v>
      </c>
      <c r="H721">
        <v>396934.04572860675</v>
      </c>
      <c r="I721">
        <v>32.9001714964066</v>
      </c>
    </row>
    <row r="722" spans="1:9" x14ac:dyDescent="0.2">
      <c r="A722">
        <v>717</v>
      </c>
      <c r="B722">
        <v>1418180.8819548308</v>
      </c>
      <c r="C722">
        <v>116484.6311912243</v>
      </c>
      <c r="D722">
        <v>110243.77116122187</v>
      </c>
      <c r="E722">
        <v>128946.93546033568</v>
      </c>
      <c r="F722">
        <v>44927.095531869396</v>
      </c>
      <c r="G722">
        <v>10000</v>
      </c>
      <c r="H722">
        <v>390602.43334465125</v>
      </c>
      <c r="I722">
        <v>43.987265781398207</v>
      </c>
    </row>
    <row r="723" spans="1:9" x14ac:dyDescent="0.2">
      <c r="A723">
        <v>718</v>
      </c>
      <c r="B723">
        <v>1003670.4246319643</v>
      </c>
      <c r="C723">
        <v>142085.43348961871</v>
      </c>
      <c r="D723">
        <v>64818.357314848166</v>
      </c>
      <c r="E723">
        <v>41241.444956405147</v>
      </c>
      <c r="F723">
        <v>38855.176958520358</v>
      </c>
      <c r="G723">
        <v>10000</v>
      </c>
      <c r="H723">
        <v>277000.41271939239</v>
      </c>
      <c r="I723">
        <v>26.614843042781324</v>
      </c>
    </row>
    <row r="724" spans="1:9" x14ac:dyDescent="0.2">
      <c r="A724">
        <v>719</v>
      </c>
      <c r="B724">
        <v>1465942.3868733859</v>
      </c>
      <c r="C724">
        <v>109897.01787695335</v>
      </c>
      <c r="D724">
        <v>51998.14891977948</v>
      </c>
      <c r="E724">
        <v>201824.46935031147</v>
      </c>
      <c r="F724">
        <v>49972.463262713871</v>
      </c>
      <c r="G724">
        <v>10000</v>
      </c>
      <c r="H724">
        <v>403692.09940975817</v>
      </c>
      <c r="I724">
        <v>42.988227841768904</v>
      </c>
    </row>
    <row r="725" spans="1:9" x14ac:dyDescent="0.2">
      <c r="A725">
        <v>720</v>
      </c>
      <c r="B725">
        <v>1215336.8182177155</v>
      </c>
      <c r="C725">
        <v>137893.39978729421</v>
      </c>
      <c r="D725">
        <v>90130.261209106</v>
      </c>
      <c r="E725">
        <v>75742.956428908015</v>
      </c>
      <c r="F725">
        <v>41243.743137385936</v>
      </c>
      <c r="G725">
        <v>10000</v>
      </c>
      <c r="H725">
        <v>335010.36056269414</v>
      </c>
      <c r="I725">
        <v>29.398516304971459</v>
      </c>
    </row>
    <row r="726" spans="1:9" x14ac:dyDescent="0.2">
      <c r="A726">
        <v>721</v>
      </c>
      <c r="B726">
        <v>1316126.9869005904</v>
      </c>
      <c r="C726">
        <v>110165.52621686269</v>
      </c>
      <c r="D726">
        <v>79245.29194226129</v>
      </c>
      <c r="E726">
        <v>137690.02225540485</v>
      </c>
      <c r="F726">
        <v>45532.386156143417</v>
      </c>
      <c r="G726">
        <v>10000</v>
      </c>
      <c r="H726">
        <v>362633.22657067224</v>
      </c>
      <c r="I726">
        <v>38.274096497165957</v>
      </c>
    </row>
    <row r="727" spans="1:9" x14ac:dyDescent="0.2">
      <c r="A727">
        <v>722</v>
      </c>
      <c r="B727">
        <v>1361725.1301843328</v>
      </c>
      <c r="C727">
        <v>101524.77689153558</v>
      </c>
      <c r="D727">
        <v>104305.32473323202</v>
      </c>
      <c r="E727">
        <v>134021.48305137749</v>
      </c>
      <c r="F727">
        <v>45278.410365095369</v>
      </c>
      <c r="G727">
        <v>10000</v>
      </c>
      <c r="H727">
        <v>375129.99504124047</v>
      </c>
      <c r="I727">
        <v>35.958052381321494</v>
      </c>
    </row>
    <row r="728" spans="1:9" x14ac:dyDescent="0.2">
      <c r="A728">
        <v>723</v>
      </c>
      <c r="B728">
        <v>966902.65060714993</v>
      </c>
      <c r="C728">
        <v>77582.056503115688</v>
      </c>
      <c r="D728">
        <v>35883.662491627416</v>
      </c>
      <c r="E728">
        <v>119205.32712767278</v>
      </c>
      <c r="F728">
        <v>44252.676493454273</v>
      </c>
      <c r="G728">
        <v>10000</v>
      </c>
      <c r="H728">
        <v>266923.72261587012</v>
      </c>
      <c r="I728">
        <v>45.5938441627099</v>
      </c>
    </row>
    <row r="729" spans="1:9" x14ac:dyDescent="0.2">
      <c r="A729">
        <v>724</v>
      </c>
      <c r="B729">
        <v>1295356.2205133331</v>
      </c>
      <c r="C729">
        <v>124286.65569540259</v>
      </c>
      <c r="D729">
        <v>42388.930714817085</v>
      </c>
      <c r="E729">
        <v>153629.26720463383</v>
      </c>
      <c r="F729">
        <v>46635.872344936193</v>
      </c>
      <c r="G729">
        <v>10000</v>
      </c>
      <c r="H729">
        <v>356940.72595978965</v>
      </c>
      <c r="I729">
        <v>31.215955169276313</v>
      </c>
    </row>
    <row r="730" spans="1:9" x14ac:dyDescent="0.2">
      <c r="A730">
        <v>725</v>
      </c>
      <c r="B730">
        <v>1078271.275654526</v>
      </c>
      <c r="C730">
        <v>102837.08074230704</v>
      </c>
      <c r="D730">
        <v>37419.086562602424</v>
      </c>
      <c r="E730">
        <v>122695.29612429837</v>
      </c>
      <c r="F730">
        <v>44494.289731682191</v>
      </c>
      <c r="G730">
        <v>10000</v>
      </c>
      <c r="H730">
        <v>297445.75316089008</v>
      </c>
      <c r="I730">
        <v>35.285138199220938</v>
      </c>
    </row>
    <row r="731" spans="1:9" x14ac:dyDescent="0.2">
      <c r="A731">
        <v>726</v>
      </c>
      <c r="B731">
        <v>1218775.1268795282</v>
      </c>
      <c r="C731">
        <v>84425.000793115832</v>
      </c>
      <c r="D731">
        <v>60130.756908346804</v>
      </c>
      <c r="E731">
        <v>154687.76352968314</v>
      </c>
      <c r="F731">
        <v>46709.152859747293</v>
      </c>
      <c r="G731">
        <v>10000</v>
      </c>
      <c r="H731">
        <v>335952.67409089307</v>
      </c>
      <c r="I731">
        <v>44.176277659342446</v>
      </c>
    </row>
    <row r="732" spans="1:9" x14ac:dyDescent="0.2">
      <c r="A732">
        <v>727</v>
      </c>
      <c r="B732">
        <v>1502868.8700214026</v>
      </c>
      <c r="C732">
        <v>146807.73848388222</v>
      </c>
      <c r="D732">
        <v>129640.57693386711</v>
      </c>
      <c r="E732">
        <v>104153.35362060404</v>
      </c>
      <c r="F732">
        <v>43210.616789118736</v>
      </c>
      <c r="G732">
        <v>10000</v>
      </c>
      <c r="H732">
        <v>413812.28582747211</v>
      </c>
      <c r="I732">
        <v>33.526447602310554</v>
      </c>
    </row>
    <row r="733" spans="1:9" x14ac:dyDescent="0.2">
      <c r="A733">
        <v>728</v>
      </c>
      <c r="B733">
        <v>1544286.5747871839</v>
      </c>
      <c r="C733">
        <v>99749.824742866695</v>
      </c>
      <c r="D733">
        <v>115397.74780967442</v>
      </c>
      <c r="E733">
        <v>172101.08715934944</v>
      </c>
      <c r="F733">
        <v>47914.690649493423</v>
      </c>
      <c r="G733">
        <v>10000</v>
      </c>
      <c r="H733">
        <v>425163.35036138393</v>
      </c>
      <c r="I733">
        <v>36.457986136017887</v>
      </c>
    </row>
    <row r="734" spans="1:9" x14ac:dyDescent="0.2">
      <c r="A734">
        <v>729</v>
      </c>
      <c r="B734">
        <v>1282821.8128281562</v>
      </c>
      <c r="C734">
        <v>99959.664094557447</v>
      </c>
      <c r="D734">
        <v>96250.761364514314</v>
      </c>
      <c r="E734">
        <v>122793.96147298769</v>
      </c>
      <c r="F734">
        <v>44501.12040966838</v>
      </c>
      <c r="G734">
        <v>10000</v>
      </c>
      <c r="H734">
        <v>353505.50734172779</v>
      </c>
      <c r="I734">
        <v>25.524770941302219</v>
      </c>
    </row>
    <row r="735" spans="1:9" x14ac:dyDescent="0.2">
      <c r="A735">
        <v>730</v>
      </c>
      <c r="B735">
        <v>1253312.5359450637</v>
      </c>
      <c r="C735">
        <v>131701.14206704588</v>
      </c>
      <c r="D735">
        <v>68151.403659248434</v>
      </c>
      <c r="E735">
        <v>111823.90291745366</v>
      </c>
      <c r="F735">
        <v>43741.654817362178</v>
      </c>
      <c r="G735">
        <v>10000</v>
      </c>
      <c r="H735">
        <v>345418.10346111015</v>
      </c>
      <c r="I735">
        <v>29.466365576417452</v>
      </c>
    </row>
    <row r="736" spans="1:9" x14ac:dyDescent="0.2">
      <c r="A736">
        <v>731</v>
      </c>
      <c r="B736">
        <v>1461968.1210007891</v>
      </c>
      <c r="C736">
        <v>160806.03856059251</v>
      </c>
      <c r="D736">
        <v>63610.815692866912</v>
      </c>
      <c r="E736">
        <v>142332.27280141559</v>
      </c>
      <c r="F736">
        <v>45853.772732405698</v>
      </c>
      <c r="G736">
        <v>10000</v>
      </c>
      <c r="H736">
        <v>402602.89978728071</v>
      </c>
      <c r="I736">
        <v>38.273868425260332</v>
      </c>
    </row>
    <row r="737" spans="1:9" x14ac:dyDescent="0.2">
      <c r="A737">
        <v>732</v>
      </c>
      <c r="B737">
        <v>980614.83526012814</v>
      </c>
      <c r="C737">
        <v>102149.90791641195</v>
      </c>
      <c r="D737">
        <v>80677.429922079566</v>
      </c>
      <c r="E737">
        <v>57849.428188469828</v>
      </c>
      <c r="F737">
        <v>40004.960413047913</v>
      </c>
      <c r="G737">
        <v>10000</v>
      </c>
      <c r="H737">
        <v>270681.72644000925</v>
      </c>
      <c r="I737">
        <v>41.415460939449126</v>
      </c>
    </row>
    <row r="738" spans="1:9" x14ac:dyDescent="0.2">
      <c r="A738">
        <v>733</v>
      </c>
      <c r="B738">
        <v>1635044.8325101906</v>
      </c>
      <c r="C738">
        <v>124489.86549476416</v>
      </c>
      <c r="D738">
        <v>105660.46866252551</v>
      </c>
      <c r="E738">
        <v>181332.70308150395</v>
      </c>
      <c r="F738">
        <v>48553.802521027203</v>
      </c>
      <c r="G738">
        <v>10000</v>
      </c>
      <c r="H738">
        <v>450036.83975982084</v>
      </c>
      <c r="I738">
        <v>39.355830980952334</v>
      </c>
    </row>
    <row r="739" spans="1:9" x14ac:dyDescent="0.2">
      <c r="A739">
        <v>734</v>
      </c>
      <c r="B739">
        <v>1588120.8137431494</v>
      </c>
      <c r="C739">
        <v>133371.36670501268</v>
      </c>
      <c r="D739">
        <v>93291.442573460212</v>
      </c>
      <c r="E739">
        <v>172566.94604784675</v>
      </c>
      <c r="F739">
        <v>47946.942418697086</v>
      </c>
      <c r="G739">
        <v>10000</v>
      </c>
      <c r="H739">
        <v>437176.69774501678</v>
      </c>
      <c r="I739">
        <v>31.101667512754126</v>
      </c>
    </row>
    <row r="740" spans="1:9" x14ac:dyDescent="0.2">
      <c r="A740">
        <v>735</v>
      </c>
      <c r="B740">
        <v>1566078.0823150924</v>
      </c>
      <c r="C740">
        <v>138961.36187299484</v>
      </c>
      <c r="D740">
        <v>79788.782296615434</v>
      </c>
      <c r="E740">
        <v>174317.33134404107</v>
      </c>
      <c r="F740">
        <v>48068.122939202847</v>
      </c>
      <c r="G740">
        <v>10000</v>
      </c>
      <c r="H740">
        <v>431135.5984528542</v>
      </c>
      <c r="I740">
        <v>27.976031258931116</v>
      </c>
    </row>
    <row r="741" spans="1:9" x14ac:dyDescent="0.2">
      <c r="A741">
        <v>736</v>
      </c>
      <c r="B741">
        <v>994326.59084039449</v>
      </c>
      <c r="C741">
        <v>114155.23040607185</v>
      </c>
      <c r="D741">
        <v>87244.0551010489</v>
      </c>
      <c r="E741">
        <v>43994.550585064368</v>
      </c>
      <c r="F741">
        <v>39045.776578965997</v>
      </c>
      <c r="G741">
        <v>10000</v>
      </c>
      <c r="H741">
        <v>274439.61267115112</v>
      </c>
      <c r="I741">
        <v>47.941560108366559</v>
      </c>
    </row>
    <row r="742" spans="1:9" x14ac:dyDescent="0.2">
      <c r="A742">
        <v>737</v>
      </c>
      <c r="B742">
        <v>1298124.4642520705</v>
      </c>
      <c r="C742">
        <v>82638.101607002885</v>
      </c>
      <c r="D742">
        <v>48577.188582030416</v>
      </c>
      <c r="E742">
        <v>187503.12373973269</v>
      </c>
      <c r="F742">
        <v>48980.985489673803</v>
      </c>
      <c r="G742">
        <v>10000</v>
      </c>
      <c r="H742">
        <v>357699.39941843983</v>
      </c>
      <c r="I742">
        <v>26.901732165247381</v>
      </c>
    </row>
    <row r="743" spans="1:9" x14ac:dyDescent="0.2">
      <c r="A743">
        <v>738</v>
      </c>
      <c r="B743">
        <v>961144.43521462684</v>
      </c>
      <c r="C743">
        <v>106022.15701201468</v>
      </c>
      <c r="D743">
        <v>36864.646544502953</v>
      </c>
      <c r="E743">
        <v>90213.270585028207</v>
      </c>
      <c r="F743">
        <v>42245.534117425028</v>
      </c>
      <c r="G743">
        <v>10000</v>
      </c>
      <c r="H743">
        <v>265345.6082589709</v>
      </c>
      <c r="I743">
        <v>34.610913889675196</v>
      </c>
    </row>
    <row r="744" spans="1:9" x14ac:dyDescent="0.2">
      <c r="A744">
        <v>739</v>
      </c>
      <c r="B744">
        <v>1607837.2092870376</v>
      </c>
      <c r="C744">
        <v>86912.483693493486</v>
      </c>
      <c r="D744">
        <v>147595.5245888012</v>
      </c>
      <c r="E744">
        <v>170283.37677136707</v>
      </c>
      <c r="F744">
        <v>47788.849161094651</v>
      </c>
      <c r="G744">
        <v>10000</v>
      </c>
      <c r="H744">
        <v>442580.2342147564</v>
      </c>
      <c r="I744">
        <v>30.412640052251806</v>
      </c>
    </row>
    <row r="745" spans="1:9" x14ac:dyDescent="0.2">
      <c r="A745">
        <v>740</v>
      </c>
      <c r="B745">
        <v>1425987.56768691</v>
      </c>
      <c r="C745">
        <v>127352.1058798634</v>
      </c>
      <c r="D745">
        <v>93548.181217351841</v>
      </c>
      <c r="E745">
        <v>136398.68485952349</v>
      </c>
      <c r="F745">
        <v>45442.985874890088</v>
      </c>
      <c r="G745">
        <v>10000</v>
      </c>
      <c r="H745">
        <v>392741.95783162885</v>
      </c>
      <c r="I745">
        <v>35.204273381396298</v>
      </c>
    </row>
    <row r="746" spans="1:9" x14ac:dyDescent="0.2">
      <c r="A746">
        <v>741</v>
      </c>
      <c r="B746">
        <v>1018457.0313767496</v>
      </c>
      <c r="C746">
        <v>112087.69024691828</v>
      </c>
      <c r="D746">
        <v>96894.435392558924</v>
      </c>
      <c r="E746">
        <v>43087.752128227163</v>
      </c>
      <c r="F746">
        <v>38982.998224261879</v>
      </c>
      <c r="G746">
        <v>10000</v>
      </c>
      <c r="H746">
        <v>281052.87599196623</v>
      </c>
      <c r="I746">
        <v>31.462222557450616</v>
      </c>
    </row>
    <row r="747" spans="1:9" x14ac:dyDescent="0.2">
      <c r="A747">
        <v>742</v>
      </c>
      <c r="B747">
        <v>1213891.6179759807</v>
      </c>
      <c r="C747">
        <v>113968.79588139711</v>
      </c>
      <c r="D747">
        <v>109326.81444099294</v>
      </c>
      <c r="E747">
        <v>79794.443480455302</v>
      </c>
      <c r="F747">
        <v>41524.230702493056</v>
      </c>
      <c r="G747">
        <v>10000</v>
      </c>
      <c r="H747">
        <v>334614.28450533841</v>
      </c>
      <c r="I747">
        <v>53.764042610067101</v>
      </c>
    </row>
    <row r="748" spans="1:9" x14ac:dyDescent="0.2">
      <c r="A748">
        <v>743</v>
      </c>
      <c r="B748">
        <v>1380394.678838206</v>
      </c>
      <c r="C748">
        <v>137905.85525769595</v>
      </c>
      <c r="D748">
        <v>135180.76433541841</v>
      </c>
      <c r="E748">
        <v>75905.045150436883</v>
      </c>
      <c r="F748">
        <v>41254.964664261017</v>
      </c>
      <c r="G748">
        <v>10000</v>
      </c>
      <c r="H748">
        <v>380246.62940781226</v>
      </c>
      <c r="I748">
        <v>49.786242036686367</v>
      </c>
    </row>
    <row r="749" spans="1:9" x14ac:dyDescent="0.2">
      <c r="A749">
        <v>744</v>
      </c>
      <c r="B749">
        <v>1175378.4931114367</v>
      </c>
      <c r="C749">
        <v>130871.5865035531</v>
      </c>
      <c r="D749">
        <v>82120.979576901475</v>
      </c>
      <c r="E749">
        <v>79558.776747569922</v>
      </c>
      <c r="F749">
        <v>41507.915313293299</v>
      </c>
      <c r="G749">
        <v>10000</v>
      </c>
      <c r="H749">
        <v>324059.25814131775</v>
      </c>
      <c r="I749">
        <v>36.146379586523082</v>
      </c>
    </row>
    <row r="750" spans="1:9" x14ac:dyDescent="0.2">
      <c r="A750">
        <v>745</v>
      </c>
      <c r="B750">
        <v>1337893.6930457549</v>
      </c>
      <c r="C750">
        <v>102641.81168246256</v>
      </c>
      <c r="D750">
        <v>115003.46105757506</v>
      </c>
      <c r="E750">
        <v>116862.89655522886</v>
      </c>
      <c r="F750">
        <v>44090.508223054305</v>
      </c>
      <c r="G750">
        <v>10000</v>
      </c>
      <c r="H750">
        <v>368598.67751832079</v>
      </c>
      <c r="I750">
        <v>27.476556847743197</v>
      </c>
    </row>
    <row r="751" spans="1:9" x14ac:dyDescent="0.2">
      <c r="A751">
        <v>746</v>
      </c>
      <c r="B751">
        <v>1584948.7945414938</v>
      </c>
      <c r="C751">
        <v>135600.53516532897</v>
      </c>
      <c r="D751">
        <v>96255.021561843329</v>
      </c>
      <c r="E751">
        <v>166897.3740185097</v>
      </c>
      <c r="F751">
        <v>47554.433585896826</v>
      </c>
      <c r="G751">
        <v>10000</v>
      </c>
      <c r="H751">
        <v>436307.36433157884</v>
      </c>
      <c r="I751">
        <v>30.886858834775055</v>
      </c>
    </row>
    <row r="752" spans="1:9" x14ac:dyDescent="0.2">
      <c r="A752">
        <v>747</v>
      </c>
      <c r="B752">
        <v>1376242.5464113171</v>
      </c>
      <c r="C752">
        <v>127849.72658194952</v>
      </c>
      <c r="D752">
        <v>117836.93141322256</v>
      </c>
      <c r="E752">
        <v>100466.64220887893</v>
      </c>
      <c r="F752">
        <v>42955.382922153156</v>
      </c>
      <c r="G752">
        <v>10000</v>
      </c>
      <c r="H752">
        <v>379108.68312620418</v>
      </c>
      <c r="I752">
        <v>48.309505975431136</v>
      </c>
    </row>
    <row r="753" spans="1:9" x14ac:dyDescent="0.2">
      <c r="A753">
        <v>748</v>
      </c>
      <c r="B753">
        <v>943852.35047427798</v>
      </c>
      <c r="C753">
        <v>88059.795543667293</v>
      </c>
      <c r="D753">
        <v>94115.024936020956</v>
      </c>
      <c r="E753">
        <v>49036.809406207823</v>
      </c>
      <c r="F753">
        <v>39394.856035814388</v>
      </c>
      <c r="G753">
        <v>10000</v>
      </c>
      <c r="H753">
        <v>260606.48592171044</v>
      </c>
      <c r="I753">
        <v>24.762464716617949</v>
      </c>
    </row>
    <row r="754" spans="1:9" x14ac:dyDescent="0.2">
      <c r="A754">
        <v>749</v>
      </c>
      <c r="B754">
        <v>1041940.6399248439</v>
      </c>
      <c r="C754">
        <v>121631.08791623189</v>
      </c>
      <c r="D754">
        <v>105810.12355823637</v>
      </c>
      <c r="E754">
        <v>31843.130630612141</v>
      </c>
      <c r="F754">
        <v>38204.524428273144</v>
      </c>
      <c r="G754">
        <v>10000</v>
      </c>
      <c r="H754">
        <v>287488.86653335358</v>
      </c>
      <c r="I754">
        <v>28.755582501769865</v>
      </c>
    </row>
    <row r="755" spans="1:9" x14ac:dyDescent="0.2">
      <c r="A755">
        <v>750</v>
      </c>
      <c r="B755">
        <v>1747487.0532596109</v>
      </c>
      <c r="C755">
        <v>113840.36139271008</v>
      </c>
      <c r="D755">
        <v>122026.37199212128</v>
      </c>
      <c r="E755">
        <v>204807.39629579562</v>
      </c>
      <c r="F755">
        <v>50178.973589708927</v>
      </c>
      <c r="G755">
        <v>10000</v>
      </c>
      <c r="H755">
        <v>480853.10327033588</v>
      </c>
      <c r="I755">
        <v>30.067384838787387</v>
      </c>
    </row>
    <row r="756" spans="1:9" x14ac:dyDescent="0.2">
      <c r="A756">
        <v>751</v>
      </c>
      <c r="B756">
        <v>1365397.9610252883</v>
      </c>
      <c r="C756">
        <v>108917.98274713404</v>
      </c>
      <c r="D756">
        <v>59978.373071942042</v>
      </c>
      <c r="E756">
        <v>169505.24792325418</v>
      </c>
      <c r="F756">
        <v>47734.978702379136</v>
      </c>
      <c r="G756">
        <v>10000</v>
      </c>
      <c r="H756">
        <v>376136.58244470938</v>
      </c>
      <c r="I756">
        <v>31.900259485787966</v>
      </c>
    </row>
    <row r="757" spans="1:9" x14ac:dyDescent="0.2">
      <c r="A757">
        <v>752</v>
      </c>
      <c r="B757">
        <v>859828.96010558982</v>
      </c>
      <c r="C757">
        <v>104483.56283223644</v>
      </c>
      <c r="D757">
        <v>70864.924409586412</v>
      </c>
      <c r="E757">
        <v>33884.441922672901</v>
      </c>
      <c r="F757">
        <v>38345.845979261969</v>
      </c>
      <c r="G757">
        <v>10000</v>
      </c>
      <c r="H757">
        <v>237578.77514375772</v>
      </c>
      <c r="I757">
        <v>32.304735011310953</v>
      </c>
    </row>
    <row r="758" spans="1:9" x14ac:dyDescent="0.2">
      <c r="A758">
        <v>753</v>
      </c>
      <c r="B758">
        <v>860227.28270923311</v>
      </c>
      <c r="C758">
        <v>100043.83236114607</v>
      </c>
      <c r="D758">
        <v>44997.764212016235</v>
      </c>
      <c r="E758">
        <v>62331.113185058515</v>
      </c>
      <c r="F758">
        <v>40315.230912811749</v>
      </c>
      <c r="G758">
        <v>10000</v>
      </c>
      <c r="H758">
        <v>237687.94067103259</v>
      </c>
      <c r="I758">
        <v>24.586369191877573</v>
      </c>
    </row>
    <row r="759" spans="1:9" x14ac:dyDescent="0.2">
      <c r="A759">
        <v>754</v>
      </c>
      <c r="B759">
        <v>1420295.788149558</v>
      </c>
      <c r="C759">
        <v>130834.34295141586</v>
      </c>
      <c r="D759">
        <v>49107.838261532655</v>
      </c>
      <c r="E759">
        <v>173245.92146877688</v>
      </c>
      <c r="F759">
        <v>47993.948409376862</v>
      </c>
      <c r="G759">
        <v>10000</v>
      </c>
      <c r="H759">
        <v>391182.05109110224</v>
      </c>
      <c r="I759">
        <v>40.719720579416901</v>
      </c>
    </row>
    <row r="760" spans="1:9" x14ac:dyDescent="0.2">
      <c r="A760">
        <v>755</v>
      </c>
      <c r="B760">
        <v>1545205.2002805606</v>
      </c>
      <c r="C760">
        <v>157939.7179928355</v>
      </c>
      <c r="D760">
        <v>72515.370548881547</v>
      </c>
      <c r="E760">
        <v>158020.16555418586</v>
      </c>
      <c r="F760">
        <v>46939.857615289788</v>
      </c>
      <c r="G760">
        <v>10000</v>
      </c>
      <c r="H760">
        <v>425415.1117111927</v>
      </c>
      <c r="I760">
        <v>38.188843078344398</v>
      </c>
    </row>
    <row r="761" spans="1:9" x14ac:dyDescent="0.2">
      <c r="A761">
        <v>756</v>
      </c>
      <c r="B761">
        <v>1411526.0359549497</v>
      </c>
      <c r="C761">
        <v>159896.40188245129</v>
      </c>
      <c r="D761">
        <v>96338.062466962758</v>
      </c>
      <c r="E761">
        <v>99645.581048710912</v>
      </c>
      <c r="F761">
        <v>42898.540226449215</v>
      </c>
      <c r="G761">
        <v>10000</v>
      </c>
      <c r="H761">
        <v>388778.58562457416</v>
      </c>
      <c r="I761">
        <v>32.186844991621996</v>
      </c>
    </row>
    <row r="762" spans="1:9" x14ac:dyDescent="0.2">
      <c r="A762">
        <v>757</v>
      </c>
      <c r="B762">
        <v>1365185.1936935107</v>
      </c>
      <c r="C762">
        <v>84706.723588643348</v>
      </c>
      <c r="D762">
        <v>161157.91812361614</v>
      </c>
      <c r="E762">
        <v>97465.984011147972</v>
      </c>
      <c r="F762">
        <v>42747.645046925631</v>
      </c>
      <c r="G762">
        <v>10000</v>
      </c>
      <c r="H762">
        <v>376078.27077033313</v>
      </c>
      <c r="I762">
        <v>26.545060167127993</v>
      </c>
    </row>
    <row r="763" spans="1:9" x14ac:dyDescent="0.2">
      <c r="A763">
        <v>758</v>
      </c>
      <c r="B763">
        <v>950901.55658940447</v>
      </c>
      <c r="C763">
        <v>118121.21355564728</v>
      </c>
      <c r="D763">
        <v>44421.779829502557</v>
      </c>
      <c r="E763">
        <v>69204.349464517756</v>
      </c>
      <c r="F763">
        <v>40791.070347543537</v>
      </c>
      <c r="G763">
        <v>10000</v>
      </c>
      <c r="H763">
        <v>262538.41319721111</v>
      </c>
      <c r="I763">
        <v>28.847416668753084</v>
      </c>
    </row>
    <row r="764" spans="1:9" x14ac:dyDescent="0.2">
      <c r="A764">
        <v>759</v>
      </c>
      <c r="B764">
        <v>1243095.4760884978</v>
      </c>
      <c r="C764">
        <v>99097.003992733939</v>
      </c>
      <c r="D764">
        <v>91083.065183968356</v>
      </c>
      <c r="E764">
        <v>118251.28759189062</v>
      </c>
      <c r="F764">
        <v>44186.627602515502</v>
      </c>
      <c r="G764">
        <v>10000</v>
      </c>
      <c r="H764">
        <v>342617.98437110841</v>
      </c>
      <c r="I764">
        <v>34.635864961345298</v>
      </c>
    </row>
    <row r="765" spans="1:9" x14ac:dyDescent="0.2">
      <c r="A765">
        <v>760</v>
      </c>
      <c r="B765">
        <v>1385742.2525817358</v>
      </c>
      <c r="C765">
        <v>132285.72152381417</v>
      </c>
      <c r="D765">
        <v>110018.99942177435</v>
      </c>
      <c r="E765">
        <v>106064.55066541655</v>
      </c>
      <c r="F765">
        <v>43342.930430682682</v>
      </c>
      <c r="G765">
        <v>10000</v>
      </c>
      <c r="H765">
        <v>381712.20204168773</v>
      </c>
      <c r="I765">
        <v>44.787911624685734</v>
      </c>
    </row>
    <row r="766" spans="1:9" x14ac:dyDescent="0.2">
      <c r="A766">
        <v>761</v>
      </c>
      <c r="B766">
        <v>1578098.6037181872</v>
      </c>
      <c r="C766">
        <v>137065.71070617862</v>
      </c>
      <c r="D766">
        <v>94096.492232416116</v>
      </c>
      <c r="E766">
        <v>165790.00714008452</v>
      </c>
      <c r="F766">
        <v>47477.769725082777</v>
      </c>
      <c r="G766">
        <v>10000</v>
      </c>
      <c r="H766">
        <v>434429.97980376205</v>
      </c>
      <c r="I766">
        <v>34.095660329051555</v>
      </c>
    </row>
    <row r="767" spans="1:9" x14ac:dyDescent="0.2">
      <c r="A767">
        <v>762</v>
      </c>
      <c r="B767">
        <v>1304808.982684345</v>
      </c>
      <c r="C767">
        <v>110330.73097485495</v>
      </c>
      <c r="D767">
        <v>51860.215105492978</v>
      </c>
      <c r="E767">
        <v>160246.44829499334</v>
      </c>
      <c r="F767">
        <v>47093.984881961078</v>
      </c>
      <c r="G767">
        <v>10000</v>
      </c>
      <c r="H767">
        <v>359531.37925730232</v>
      </c>
      <c r="I767">
        <v>31.479832111212847</v>
      </c>
    </row>
    <row r="768" spans="1:9" x14ac:dyDescent="0.2">
      <c r="A768">
        <v>763</v>
      </c>
      <c r="B768">
        <v>1320927.5994293175</v>
      </c>
      <c r="C768">
        <v>146495.6160788397</v>
      </c>
      <c r="D768">
        <v>82904.224629732402</v>
      </c>
      <c r="E768">
        <v>101520.70042685349</v>
      </c>
      <c r="F768">
        <v>43028.356183397555</v>
      </c>
      <c r="G768">
        <v>10000</v>
      </c>
      <c r="H768">
        <v>363948.89731882315</v>
      </c>
      <c r="I768">
        <v>27.262483186761266</v>
      </c>
    </row>
    <row r="769" spans="1:9" x14ac:dyDescent="0.2">
      <c r="A769">
        <v>764</v>
      </c>
      <c r="B769">
        <v>1128092.1681379115</v>
      </c>
      <c r="C769">
        <v>105613.30367873664</v>
      </c>
      <c r="D769">
        <v>127721.83392177384</v>
      </c>
      <c r="E769">
        <v>48413.013592379233</v>
      </c>
      <c r="F769">
        <v>39351.670171780097</v>
      </c>
      <c r="G769">
        <v>10000</v>
      </c>
      <c r="H769">
        <v>311099.82136466983</v>
      </c>
      <c r="I769">
        <v>38.484307645363501</v>
      </c>
    </row>
    <row r="770" spans="1:9" x14ac:dyDescent="0.2">
      <c r="A770">
        <v>765</v>
      </c>
      <c r="B770">
        <v>1010919.1261344331</v>
      </c>
      <c r="C770">
        <v>139094.49148915193</v>
      </c>
      <c r="D770">
        <v>85951.148042566521</v>
      </c>
      <c r="E770">
        <v>26132.221024117171</v>
      </c>
      <c r="F770">
        <v>37809.153763208116</v>
      </c>
      <c r="G770">
        <v>10000</v>
      </c>
      <c r="H770">
        <v>278987.01431904372</v>
      </c>
      <c r="I770">
        <v>39.849497152123746</v>
      </c>
    </row>
    <row r="771" spans="1:9" x14ac:dyDescent="0.2">
      <c r="A771">
        <v>766</v>
      </c>
      <c r="B771">
        <v>1483427.488610337</v>
      </c>
      <c r="C771">
        <v>127670.3848744463</v>
      </c>
      <c r="D771">
        <v>100993.68813682266</v>
      </c>
      <c r="E771">
        <v>143860.4761465269</v>
      </c>
      <c r="F771">
        <v>45959.571425528782</v>
      </c>
      <c r="G771">
        <v>10000</v>
      </c>
      <c r="H771">
        <v>408484.12058332463</v>
      </c>
      <c r="I771">
        <v>30.9630571074904</v>
      </c>
    </row>
    <row r="772" spans="1:9" x14ac:dyDescent="0.2">
      <c r="A772">
        <v>767</v>
      </c>
      <c r="B772">
        <v>1289179.033620686</v>
      </c>
      <c r="C772">
        <v>120710.5952543036</v>
      </c>
      <c r="D772">
        <v>111069.47815108478</v>
      </c>
      <c r="E772">
        <v>91156.854417668263</v>
      </c>
      <c r="F772">
        <v>42310.859151992416</v>
      </c>
      <c r="G772">
        <v>10000</v>
      </c>
      <c r="H772">
        <v>355247.78697504906</v>
      </c>
      <c r="I772">
        <v>36.537954952689212</v>
      </c>
    </row>
    <row r="773" spans="1:9" x14ac:dyDescent="0.2">
      <c r="A773">
        <v>768</v>
      </c>
      <c r="B773">
        <v>1570042.3139085467</v>
      </c>
      <c r="C773">
        <v>159226.152732446</v>
      </c>
      <c r="D773">
        <v>57877.984229137001</v>
      </c>
      <c r="E773">
        <v>176872.86648528045</v>
      </c>
      <c r="F773">
        <v>48245.044602827111</v>
      </c>
      <c r="G773">
        <v>10000</v>
      </c>
      <c r="H773">
        <v>432222.04804969055</v>
      </c>
      <c r="I773">
        <v>28.593518404872931</v>
      </c>
    </row>
    <row r="774" spans="1:9" x14ac:dyDescent="0.2">
      <c r="A774">
        <v>769</v>
      </c>
      <c r="B774">
        <v>1165619.4902748291</v>
      </c>
      <c r="C774">
        <v>124643.34295666321</v>
      </c>
      <c r="D774">
        <v>77055.839721691475</v>
      </c>
      <c r="E774">
        <v>87619.525733351198</v>
      </c>
      <c r="F774">
        <v>42065.967166155082</v>
      </c>
      <c r="G774">
        <v>10000</v>
      </c>
      <c r="H774">
        <v>321384.67557786091</v>
      </c>
      <c r="I774">
        <v>38.778519710949709</v>
      </c>
    </row>
    <row r="775" spans="1:9" x14ac:dyDescent="0.2">
      <c r="A775">
        <v>770</v>
      </c>
      <c r="B775">
        <v>1444016.1312272644</v>
      </c>
      <c r="C775">
        <v>97319.463050134844</v>
      </c>
      <c r="D775">
        <v>98704.554943942669</v>
      </c>
      <c r="E775">
        <v>164285.30574712294</v>
      </c>
      <c r="F775">
        <v>47373.598090185435</v>
      </c>
      <c r="G775">
        <v>10000</v>
      </c>
      <c r="H775">
        <v>397682.92183138593</v>
      </c>
      <c r="I775">
        <v>25.859700538166067</v>
      </c>
    </row>
    <row r="776" spans="1:9" x14ac:dyDescent="0.2">
      <c r="A776">
        <v>771</v>
      </c>
      <c r="B776">
        <v>923308.42571332585</v>
      </c>
      <c r="C776">
        <v>93154.737883050126</v>
      </c>
      <c r="D776">
        <v>105115.46043569619</v>
      </c>
      <c r="E776">
        <v>28717.800492523351</v>
      </c>
      <c r="F776">
        <v>37988.155418713155</v>
      </c>
      <c r="G776">
        <v>10000</v>
      </c>
      <c r="H776">
        <v>254976.15422998281</v>
      </c>
      <c r="I776">
        <v>32.152227526278047</v>
      </c>
    </row>
    <row r="777" spans="1:9" x14ac:dyDescent="0.2">
      <c r="A777">
        <v>772</v>
      </c>
      <c r="B777">
        <v>1928617.8826444817</v>
      </c>
      <c r="C777">
        <v>150163.20350803394</v>
      </c>
      <c r="D777">
        <v>135285.59254656441</v>
      </c>
      <c r="E777">
        <v>204862.77611794259</v>
      </c>
      <c r="F777">
        <v>50182.80757739603</v>
      </c>
      <c r="G777">
        <v>10000</v>
      </c>
      <c r="H777">
        <v>530494.37974993698</v>
      </c>
      <c r="I777">
        <v>46.629976159867375</v>
      </c>
    </row>
    <row r="778" spans="1:9" x14ac:dyDescent="0.2">
      <c r="A778">
        <v>773</v>
      </c>
      <c r="B778">
        <v>1646216.028340579</v>
      </c>
      <c r="C778">
        <v>113380.69754879398</v>
      </c>
      <c r="D778">
        <v>100293.46745851994</v>
      </c>
      <c r="E778">
        <v>199605.44855830204</v>
      </c>
      <c r="F778">
        <v>49818.838746343987</v>
      </c>
      <c r="G778">
        <v>10000</v>
      </c>
      <c r="H778">
        <v>453098.45231195993</v>
      </c>
      <c r="I778">
        <v>38.368663572531091</v>
      </c>
    </row>
    <row r="779" spans="1:9" x14ac:dyDescent="0.2">
      <c r="A779">
        <v>774</v>
      </c>
      <c r="B779">
        <v>1222939.8951670662</v>
      </c>
      <c r="C779">
        <v>148583.7326550023</v>
      </c>
      <c r="D779">
        <v>70179.783752652016</v>
      </c>
      <c r="E779">
        <v>86352.32883767788</v>
      </c>
      <c r="F779">
        <v>41978.238150300778</v>
      </c>
      <c r="G779">
        <v>10000</v>
      </c>
      <c r="H779">
        <v>337094.08339563303</v>
      </c>
      <c r="I779">
        <v>26.387042579023881</v>
      </c>
    </row>
    <row r="780" spans="1:9" x14ac:dyDescent="0.2">
      <c r="A780">
        <v>775</v>
      </c>
      <c r="B780">
        <v>1401935.126282393</v>
      </c>
      <c r="C780">
        <v>112288.04115143926</v>
      </c>
      <c r="D780">
        <v>96656.367988569196</v>
      </c>
      <c r="E780">
        <v>141415.36738921239</v>
      </c>
      <c r="F780">
        <v>45790.294665407011</v>
      </c>
      <c r="G780">
        <v>10000</v>
      </c>
      <c r="H780">
        <v>386150.0711946279</v>
      </c>
      <c r="I780">
        <v>36.035639037503266</v>
      </c>
    </row>
    <row r="781" spans="1:9" x14ac:dyDescent="0.2">
      <c r="A781">
        <v>776</v>
      </c>
      <c r="B781">
        <v>1365255.23407952</v>
      </c>
      <c r="C781">
        <v>94267.855755770142</v>
      </c>
      <c r="D781">
        <v>102198.98067301678</v>
      </c>
      <c r="E781">
        <v>143683.32285960819</v>
      </c>
      <c r="F781">
        <v>45947.306967203644</v>
      </c>
      <c r="G781">
        <v>10000</v>
      </c>
      <c r="H781">
        <v>376097.4662555987</v>
      </c>
      <c r="I781">
        <v>33.180711389309877</v>
      </c>
    </row>
    <row r="782" spans="1:9" x14ac:dyDescent="0.2">
      <c r="A782">
        <v>777</v>
      </c>
      <c r="B782">
        <v>840491.63843372057</v>
      </c>
      <c r="C782">
        <v>73763.245685627116</v>
      </c>
      <c r="D782">
        <v>43756.293008051813</v>
      </c>
      <c r="E782">
        <v>83012.566318516416</v>
      </c>
      <c r="F782">
        <v>41747.023822051131</v>
      </c>
      <c r="G782">
        <v>10000</v>
      </c>
      <c r="H782">
        <v>232279.12883424648</v>
      </c>
      <c r="I782">
        <v>30.549540709797618</v>
      </c>
    </row>
    <row r="783" spans="1:9" x14ac:dyDescent="0.2">
      <c r="A783">
        <v>778</v>
      </c>
      <c r="B783">
        <v>956848.43487099558</v>
      </c>
      <c r="C783">
        <v>123302.09279500376</v>
      </c>
      <c r="D783">
        <v>77913.246725767531</v>
      </c>
      <c r="E783">
        <v>34560.260172857154</v>
      </c>
      <c r="F783">
        <v>38392.633396582416</v>
      </c>
      <c r="G783">
        <v>10000</v>
      </c>
      <c r="H783">
        <v>264168.23309021082</v>
      </c>
      <c r="I783">
        <v>32.273948593287706</v>
      </c>
    </row>
    <row r="784" spans="1:9" x14ac:dyDescent="0.2">
      <c r="A784">
        <v>779</v>
      </c>
      <c r="B784">
        <v>1325896.1547343258</v>
      </c>
      <c r="C784">
        <v>90891.095539846167</v>
      </c>
      <c r="D784">
        <v>32716.089830394823</v>
      </c>
      <c r="E784">
        <v>201737.00179773886</v>
      </c>
      <c r="F784">
        <v>49966.407816766528</v>
      </c>
      <c r="G784">
        <v>10000</v>
      </c>
      <c r="H784">
        <v>365310.59498474636</v>
      </c>
      <c r="I784">
        <v>28.094570027404899</v>
      </c>
    </row>
    <row r="785" spans="1:9" x14ac:dyDescent="0.2">
      <c r="A785">
        <v>780</v>
      </c>
      <c r="B785">
        <v>1331843.9153618964</v>
      </c>
      <c r="C785">
        <v>125235.09419460055</v>
      </c>
      <c r="D785">
        <v>112666.29696452078</v>
      </c>
      <c r="E785">
        <v>96367.658415991333</v>
      </c>
      <c r="F785">
        <v>42671.607121107096</v>
      </c>
      <c r="G785">
        <v>10000</v>
      </c>
      <c r="H785">
        <v>366940.65669621975</v>
      </c>
      <c r="I785">
        <v>42.477959596877369</v>
      </c>
    </row>
    <row r="786" spans="1:9" x14ac:dyDescent="0.2">
      <c r="A786">
        <v>781</v>
      </c>
      <c r="B786">
        <v>1490857.8821809662</v>
      </c>
      <c r="C786">
        <v>106014.59012616808</v>
      </c>
      <c r="D786">
        <v>97063.325014959599</v>
      </c>
      <c r="E786">
        <v>169694.51998065884</v>
      </c>
      <c r="F786">
        <v>47748.082152507151</v>
      </c>
      <c r="G786">
        <v>10000</v>
      </c>
      <c r="H786">
        <v>410520.5172742937</v>
      </c>
      <c r="I786">
        <v>41.869858348261275</v>
      </c>
    </row>
    <row r="787" spans="1:9" x14ac:dyDescent="0.2">
      <c r="A787">
        <v>782</v>
      </c>
      <c r="B787">
        <v>1570597.5444510647</v>
      </c>
      <c r="C787">
        <v>130616.41987435383</v>
      </c>
      <c r="D787">
        <v>102979.11512612105</v>
      </c>
      <c r="E787">
        <v>161591.57239444598</v>
      </c>
      <c r="F787">
        <v>47187.10885807703</v>
      </c>
      <c r="G787">
        <v>10000</v>
      </c>
      <c r="H787">
        <v>432374.21625299793</v>
      </c>
      <c r="I787">
        <v>40.861502383355386</v>
      </c>
    </row>
    <row r="788" spans="1:9" x14ac:dyDescent="0.2">
      <c r="A788">
        <v>783</v>
      </c>
      <c r="B788">
        <v>1173612.1552239046</v>
      </c>
      <c r="C788">
        <v>97941.79756511368</v>
      </c>
      <c r="D788">
        <v>72161.946878100556</v>
      </c>
      <c r="E788">
        <v>119217.88011576344</v>
      </c>
      <c r="F788">
        <v>44253.545546475929</v>
      </c>
      <c r="G788">
        <v>10000</v>
      </c>
      <c r="H788">
        <v>323575.17010545358</v>
      </c>
      <c r="I788">
        <v>40.773798195568489</v>
      </c>
    </row>
    <row r="789" spans="1:9" x14ac:dyDescent="0.2">
      <c r="A789">
        <v>784</v>
      </c>
      <c r="B789">
        <v>1080453.1561024224</v>
      </c>
      <c r="C789">
        <v>136832.52573388864</v>
      </c>
      <c r="D789">
        <v>89943.083648858694</v>
      </c>
      <c r="E789">
        <v>42337.087557401224</v>
      </c>
      <c r="F789">
        <v>38931.029138589322</v>
      </c>
      <c r="G789">
        <v>10000</v>
      </c>
      <c r="H789">
        <v>298043.72607873788</v>
      </c>
      <c r="I789">
        <v>32.334155361866287</v>
      </c>
    </row>
    <row r="790" spans="1:9" x14ac:dyDescent="0.2">
      <c r="A790">
        <v>785</v>
      </c>
      <c r="B790">
        <v>1706714.2290133096</v>
      </c>
      <c r="C790">
        <v>113870.35366494115</v>
      </c>
      <c r="D790">
        <v>130517.15689104739</v>
      </c>
      <c r="E790">
        <v>186387.51508961525</v>
      </c>
      <c r="F790">
        <v>48903.751044665674</v>
      </c>
      <c r="G790">
        <v>10000</v>
      </c>
      <c r="H790">
        <v>469678.77669026947</v>
      </c>
      <c r="I790">
        <v>35.447261674890925</v>
      </c>
    </row>
    <row r="791" spans="1:9" x14ac:dyDescent="0.2">
      <c r="A791">
        <v>786</v>
      </c>
      <c r="B791">
        <v>906399.84307011601</v>
      </c>
      <c r="C791">
        <v>110477.08682902165</v>
      </c>
      <c r="D791">
        <v>43071.86526118523</v>
      </c>
      <c r="E791">
        <v>66209.452265178479</v>
      </c>
      <c r="F791">
        <v>40583.731310666204</v>
      </c>
      <c r="G791">
        <v>10000</v>
      </c>
      <c r="H791">
        <v>250342.13566605153</v>
      </c>
      <c r="I791">
        <v>29.67442389498364</v>
      </c>
    </row>
    <row r="792" spans="1:9" x14ac:dyDescent="0.2">
      <c r="A792">
        <v>787</v>
      </c>
      <c r="B792">
        <v>1314079.0217824955</v>
      </c>
      <c r="C792">
        <v>85852.747024041091</v>
      </c>
      <c r="D792">
        <v>136360.94676654108</v>
      </c>
      <c r="E792">
        <v>106486.14348657739</v>
      </c>
      <c r="F792">
        <v>43372.117625993822</v>
      </c>
      <c r="G792">
        <v>10000</v>
      </c>
      <c r="H792">
        <v>362071.95490315335</v>
      </c>
      <c r="I792">
        <v>23.82631331237657</v>
      </c>
    </row>
    <row r="793" spans="1:9" x14ac:dyDescent="0.2">
      <c r="A793">
        <v>788</v>
      </c>
      <c r="B793">
        <v>1043010.1803600624</v>
      </c>
      <c r="C793">
        <v>118377.03062321836</v>
      </c>
      <c r="D793">
        <v>33179.047134987093</v>
      </c>
      <c r="E793">
        <v>103088.98089506687</v>
      </c>
      <c r="F793">
        <v>43136.929446581547</v>
      </c>
      <c r="G793">
        <v>10000</v>
      </c>
      <c r="H793">
        <v>287781.98809985386</v>
      </c>
      <c r="I793">
        <v>32.960591487940547</v>
      </c>
    </row>
    <row r="794" spans="1:9" x14ac:dyDescent="0.2">
      <c r="A794">
        <v>789</v>
      </c>
      <c r="B794">
        <v>1266636.3876651472</v>
      </c>
      <c r="C794">
        <v>113846.29795023489</v>
      </c>
      <c r="D794">
        <v>69981.342402991344</v>
      </c>
      <c r="E794">
        <v>130226.3676016812</v>
      </c>
      <c r="F794">
        <v>45015.671603193317</v>
      </c>
      <c r="G794">
        <v>10000</v>
      </c>
      <c r="H794">
        <v>349069.67955810076</v>
      </c>
      <c r="I794">
        <v>34.203302033078003</v>
      </c>
    </row>
    <row r="795" spans="1:9" x14ac:dyDescent="0.2">
      <c r="A795">
        <v>790</v>
      </c>
      <c r="B795">
        <v>899058.91956955614</v>
      </c>
      <c r="C795">
        <v>101768.14408943098</v>
      </c>
      <c r="D795">
        <v>38274.186627316296</v>
      </c>
      <c r="E795">
        <v>76959.933319383097</v>
      </c>
      <c r="F795">
        <v>41327.995383649599</v>
      </c>
      <c r="G795">
        <v>10000</v>
      </c>
      <c r="H795">
        <v>248330.25941977996</v>
      </c>
      <c r="I795">
        <v>31.01953856024986</v>
      </c>
    </row>
    <row r="796" spans="1:9" x14ac:dyDescent="0.2">
      <c r="A796">
        <v>791</v>
      </c>
      <c r="B796">
        <v>1049613.3346591613</v>
      </c>
      <c r="C796">
        <v>108122.961263131</v>
      </c>
      <c r="D796">
        <v>115555.91814938271</v>
      </c>
      <c r="E796">
        <v>37328.508277410627</v>
      </c>
      <c r="F796">
        <v>38584.28134228228</v>
      </c>
      <c r="G796">
        <v>10000</v>
      </c>
      <c r="H796">
        <v>289591.66903220664</v>
      </c>
      <c r="I796">
        <v>41.138618033645557</v>
      </c>
    </row>
    <row r="797" spans="1:9" x14ac:dyDescent="0.2">
      <c r="A797">
        <v>792</v>
      </c>
      <c r="B797">
        <v>1634930.9115907666</v>
      </c>
      <c r="C797">
        <v>164255.73263323819</v>
      </c>
      <c r="D797">
        <v>73481.271369101145</v>
      </c>
      <c r="E797">
        <v>174208.05648086194</v>
      </c>
      <c r="F797">
        <v>48060.557756367365</v>
      </c>
      <c r="G797">
        <v>10000</v>
      </c>
      <c r="H797">
        <v>450005.61823956866</v>
      </c>
      <c r="I797">
        <v>41.731228597995077</v>
      </c>
    </row>
    <row r="798" spans="1:9" x14ac:dyDescent="0.2">
      <c r="A798">
        <v>793</v>
      </c>
      <c r="B798">
        <v>980129.98792362842</v>
      </c>
      <c r="C798">
        <v>108580.23645857367</v>
      </c>
      <c r="D798">
        <v>39378.80600196177</v>
      </c>
      <c r="E798">
        <v>90335.789050698135</v>
      </c>
      <c r="F798">
        <v>42254.016165048335</v>
      </c>
      <c r="G798">
        <v>10000</v>
      </c>
      <c r="H798">
        <v>270548.84767628188</v>
      </c>
      <c r="I798">
        <v>44.637884398695597</v>
      </c>
    </row>
    <row r="799" spans="1:9" x14ac:dyDescent="0.2">
      <c r="A799">
        <v>794</v>
      </c>
      <c r="B799">
        <v>1281825.1473358308</v>
      </c>
      <c r="C799">
        <v>119366.86412772367</v>
      </c>
      <c r="D799">
        <v>69236.180054087235</v>
      </c>
      <c r="E799">
        <v>129653.3151827087</v>
      </c>
      <c r="F799">
        <v>44975.998743418291</v>
      </c>
      <c r="G799">
        <v>10000</v>
      </c>
      <c r="H799">
        <v>353232.35810793791</v>
      </c>
      <c r="I799">
        <v>32.044463378161737</v>
      </c>
    </row>
    <row r="800" spans="1:9" x14ac:dyDescent="0.2">
      <c r="A800">
        <v>795</v>
      </c>
      <c r="B800">
        <v>1629569.3829533828</v>
      </c>
      <c r="C800">
        <v>100898.22529461489</v>
      </c>
      <c r="D800">
        <v>104013.84232164851</v>
      </c>
      <c r="E800">
        <v>203533.38094126675</v>
      </c>
      <c r="F800">
        <v>50090.772526703084</v>
      </c>
      <c r="G800">
        <v>10000</v>
      </c>
      <c r="H800">
        <v>448536.22108423326</v>
      </c>
      <c r="I800">
        <v>29.748247222438657</v>
      </c>
    </row>
    <row r="801" spans="1:9" x14ac:dyDescent="0.2">
      <c r="A801">
        <v>796</v>
      </c>
      <c r="B801">
        <v>1733545.5969265793</v>
      </c>
      <c r="C801">
        <v>133094.43232188514</v>
      </c>
      <c r="D801">
        <v>122678.40299460384</v>
      </c>
      <c r="E801">
        <v>182616.73236635857</v>
      </c>
      <c r="F801">
        <v>48642.696856132519</v>
      </c>
      <c r="G801">
        <v>10000</v>
      </c>
      <c r="H801">
        <v>477032.26453898009</v>
      </c>
      <c r="I801">
        <v>30.59059147133506</v>
      </c>
    </row>
    <row r="802" spans="1:9" x14ac:dyDescent="0.2">
      <c r="A802">
        <v>797</v>
      </c>
      <c r="B802">
        <v>1246442.6799551863</v>
      </c>
      <c r="C802">
        <v>105465.58632945939</v>
      </c>
      <c r="D802">
        <v>91986.351363598311</v>
      </c>
      <c r="E802">
        <v>112308.20810565328</v>
      </c>
      <c r="F802">
        <v>43775.183638083683</v>
      </c>
      <c r="G802">
        <v>10000</v>
      </c>
      <c r="H802">
        <v>343535.32943679468</v>
      </c>
      <c r="I802">
        <v>28.453006520437704</v>
      </c>
    </row>
    <row r="803" spans="1:9" x14ac:dyDescent="0.2">
      <c r="A803">
        <v>798</v>
      </c>
      <c r="B803">
        <v>1248638.0233081626</v>
      </c>
      <c r="C803">
        <v>122700.40459002151</v>
      </c>
      <c r="D803">
        <v>113564.47314906746</v>
      </c>
      <c r="E803">
        <v>76571.042152056732</v>
      </c>
      <c r="F803">
        <v>41301.072148988547</v>
      </c>
      <c r="G803">
        <v>10000</v>
      </c>
      <c r="H803">
        <v>344136.99204013421</v>
      </c>
      <c r="I803">
        <v>28.376733236778687</v>
      </c>
    </row>
    <row r="804" spans="1:9" x14ac:dyDescent="0.2">
      <c r="A804">
        <v>799</v>
      </c>
      <c r="B804">
        <v>1528824.4922131398</v>
      </c>
      <c r="C804">
        <v>111903.05726926739</v>
      </c>
      <c r="D804">
        <v>164121.39489941034</v>
      </c>
      <c r="E804">
        <v>111202.66582526943</v>
      </c>
      <c r="F804">
        <v>43698.646095595577</v>
      </c>
      <c r="G804">
        <v>10000</v>
      </c>
      <c r="H804">
        <v>420925.76408954267</v>
      </c>
      <c r="I804">
        <v>31.536082846423334</v>
      </c>
    </row>
    <row r="805" spans="1:9" x14ac:dyDescent="0.2">
      <c r="A805">
        <v>800</v>
      </c>
      <c r="B805">
        <v>1119724.443263259</v>
      </c>
      <c r="C805">
        <v>135630.30959260944</v>
      </c>
      <c r="D805">
        <v>109158.13114497435</v>
      </c>
      <c r="E805">
        <v>35556.492674840039</v>
      </c>
      <c r="F805">
        <v>38461.603339027388</v>
      </c>
      <c r="G805">
        <v>10000</v>
      </c>
      <c r="H805">
        <v>308806.5367514512</v>
      </c>
      <c r="I805">
        <v>34.403172100110417</v>
      </c>
    </row>
    <row r="806" spans="1:9" x14ac:dyDescent="0.2">
      <c r="A806">
        <v>801</v>
      </c>
      <c r="B806">
        <v>1440105.638885645</v>
      </c>
      <c r="C806">
        <v>136340.18813210839</v>
      </c>
      <c r="D806">
        <v>124913.36286792796</v>
      </c>
      <c r="E806">
        <v>102276.9380824119</v>
      </c>
      <c r="F806">
        <v>43080.711098013133</v>
      </c>
      <c r="G806">
        <v>10000</v>
      </c>
      <c r="H806">
        <v>396611.2001804614</v>
      </c>
      <c r="I806">
        <v>27.722445357396303</v>
      </c>
    </row>
    <row r="807" spans="1:9" x14ac:dyDescent="0.2">
      <c r="A807">
        <v>802</v>
      </c>
      <c r="B807">
        <v>1215822.6411959503</v>
      </c>
      <c r="C807">
        <v>134169.21481989388</v>
      </c>
      <c r="D807">
        <v>41969.838209685455</v>
      </c>
      <c r="E807">
        <v>124392.65452482874</v>
      </c>
      <c r="F807">
        <v>44611.799159411217</v>
      </c>
      <c r="G807">
        <v>10000</v>
      </c>
      <c r="H807">
        <v>335143.50671381934</v>
      </c>
      <c r="I807">
        <v>33.287149536504842</v>
      </c>
    </row>
    <row r="808" spans="1:9" x14ac:dyDescent="0.2">
      <c r="A808">
        <v>803</v>
      </c>
      <c r="B808">
        <v>1170714.7090602305</v>
      </c>
      <c r="C808">
        <v>122975.46606690886</v>
      </c>
      <c r="D808">
        <v>130200.23444875446</v>
      </c>
      <c r="E808">
        <v>40782.016164289802</v>
      </c>
      <c r="F808">
        <v>38823.370349835452</v>
      </c>
      <c r="G808">
        <v>10000</v>
      </c>
      <c r="H808">
        <v>322781.08702978853</v>
      </c>
      <c r="I808">
        <v>36.490267407188128</v>
      </c>
    </row>
    <row r="809" spans="1:9" x14ac:dyDescent="0.2">
      <c r="A809">
        <v>804</v>
      </c>
      <c r="B809">
        <v>1692960.868103998</v>
      </c>
      <c r="C809">
        <v>96193.181581664758</v>
      </c>
      <c r="D809">
        <v>128304.14131773838</v>
      </c>
      <c r="E809">
        <v>201464.61481768976</v>
      </c>
      <c r="F809">
        <v>49947.550256609291</v>
      </c>
      <c r="G809">
        <v>10000</v>
      </c>
      <c r="H809">
        <v>465909.4879737022</v>
      </c>
      <c r="I809">
        <v>30.639746039039586</v>
      </c>
    </row>
    <row r="810" spans="1:9" x14ac:dyDescent="0.2">
      <c r="A810">
        <v>805</v>
      </c>
      <c r="B810">
        <v>1049670.4275645735</v>
      </c>
      <c r="C810">
        <v>85553.698936732078</v>
      </c>
      <c r="D810">
        <v>96184.908752596093</v>
      </c>
      <c r="E810">
        <v>76567.856778365924</v>
      </c>
      <c r="F810">
        <v>41300.85162311764</v>
      </c>
      <c r="G810">
        <v>10000</v>
      </c>
      <c r="H810">
        <v>289607.31609081174</v>
      </c>
      <c r="I810">
        <v>32.515955782908733</v>
      </c>
    </row>
    <row r="811" spans="1:9" x14ac:dyDescent="0.2">
      <c r="A811">
        <v>806</v>
      </c>
      <c r="B811">
        <v>935252.56857003015</v>
      </c>
      <c r="C811">
        <v>90877.01879231754</v>
      </c>
      <c r="D811">
        <v>75638.306187819544</v>
      </c>
      <c r="E811">
        <v>61478.101782369064</v>
      </c>
      <c r="F811">
        <v>40256.176277240935</v>
      </c>
      <c r="G811">
        <v>10000</v>
      </c>
      <c r="H811">
        <v>258249.60303974705</v>
      </c>
      <c r="I811">
        <v>52.717787959623017</v>
      </c>
    </row>
    <row r="812" spans="1:9" x14ac:dyDescent="0.2">
      <c r="A812">
        <v>807</v>
      </c>
      <c r="B812">
        <v>744016.64389997954</v>
      </c>
      <c r="C812">
        <v>83902.765757980189</v>
      </c>
      <c r="D812">
        <v>36786.02047110039</v>
      </c>
      <c r="E812">
        <v>55320.243581339542</v>
      </c>
      <c r="F812">
        <v>39829.863017169664</v>
      </c>
      <c r="G812">
        <v>10000</v>
      </c>
      <c r="H812">
        <v>205838.89282758979</v>
      </c>
      <c r="I812">
        <v>54.19910416112365</v>
      </c>
    </row>
    <row r="813" spans="1:9" x14ac:dyDescent="0.2">
      <c r="A813">
        <v>808</v>
      </c>
      <c r="B813">
        <v>1568025.9840483863</v>
      </c>
      <c r="C813">
        <v>101029.39463802388</v>
      </c>
      <c r="D813">
        <v>97135.721493352234</v>
      </c>
      <c r="E813">
        <v>194068.7981294402</v>
      </c>
      <c r="F813">
        <v>49435.532178192014</v>
      </c>
      <c r="G813">
        <v>10000</v>
      </c>
      <c r="H813">
        <v>431669.44643900829</v>
      </c>
      <c r="I813">
        <v>35.628834262803608</v>
      </c>
    </row>
    <row r="814" spans="1:9" x14ac:dyDescent="0.2">
      <c r="A814">
        <v>809</v>
      </c>
      <c r="B814">
        <v>1621891.086588074</v>
      </c>
      <c r="C814">
        <v>142021.07566428836</v>
      </c>
      <c r="D814">
        <v>147338.8744426698</v>
      </c>
      <c r="E814">
        <v>122585.26133920353</v>
      </c>
      <c r="F814">
        <v>44486.671938867934</v>
      </c>
      <c r="G814">
        <v>10000</v>
      </c>
      <c r="H814">
        <v>446431.88338502962</v>
      </c>
      <c r="I814">
        <v>37.199323457491531</v>
      </c>
    </row>
    <row r="815" spans="1:9" x14ac:dyDescent="0.2">
      <c r="A815">
        <v>810</v>
      </c>
      <c r="B815">
        <v>921392.83416391921</v>
      </c>
      <c r="C815">
        <v>97987.093647697446</v>
      </c>
      <c r="D815">
        <v>85040.775357346211</v>
      </c>
      <c r="E815">
        <v>42482.215790141068</v>
      </c>
      <c r="F815">
        <v>38941.076477779003</v>
      </c>
      <c r="G815">
        <v>10000</v>
      </c>
      <c r="H815">
        <v>254451.16127296374</v>
      </c>
      <c r="I815">
        <v>30.480802860388618</v>
      </c>
    </row>
    <row r="816" spans="1:9" x14ac:dyDescent="0.2">
      <c r="A816">
        <v>811</v>
      </c>
      <c r="B816">
        <v>1735241.6814522112</v>
      </c>
      <c r="C816">
        <v>167425.90575916239</v>
      </c>
      <c r="D816">
        <v>87073.072996989795</v>
      </c>
      <c r="E816">
        <v>184242.84601005164</v>
      </c>
      <c r="F816">
        <v>48755.273954542041</v>
      </c>
      <c r="G816">
        <v>10000</v>
      </c>
      <c r="H816">
        <v>477497.09872074588</v>
      </c>
      <c r="I816">
        <v>36.586066492314387</v>
      </c>
    </row>
    <row r="817" spans="1:9" x14ac:dyDescent="0.2">
      <c r="A817">
        <v>812</v>
      </c>
      <c r="B817">
        <v>1438236.2625822094</v>
      </c>
      <c r="C817">
        <v>113764.30019855849</v>
      </c>
      <c r="D817">
        <v>72481.318972279027</v>
      </c>
      <c r="E817">
        <v>171949.08642445714</v>
      </c>
      <c r="F817">
        <v>47904.167521693191</v>
      </c>
      <c r="G817">
        <v>10000</v>
      </c>
      <c r="H817">
        <v>396098.87311698787</v>
      </c>
      <c r="I817">
        <v>30.509153448495766</v>
      </c>
    </row>
    <row r="818" spans="1:9" x14ac:dyDescent="0.2">
      <c r="A818">
        <v>813</v>
      </c>
      <c r="B818">
        <v>1457963.2260435047</v>
      </c>
      <c r="C818">
        <v>118130.86161501271</v>
      </c>
      <c r="D818">
        <v>100052.71151280901</v>
      </c>
      <c r="E818">
        <v>147135.43349326219</v>
      </c>
      <c r="F818">
        <v>46186.299241841225</v>
      </c>
      <c r="G818">
        <v>10000</v>
      </c>
      <c r="H818">
        <v>401505.30586292519</v>
      </c>
      <c r="I818">
        <v>27.021833241822485</v>
      </c>
    </row>
    <row r="819" spans="1:9" x14ac:dyDescent="0.2">
      <c r="A819">
        <v>814</v>
      </c>
      <c r="B819">
        <v>1014546.4553147838</v>
      </c>
      <c r="C819">
        <v>99888.539146545198</v>
      </c>
      <c r="D819">
        <v>95769.42351637526</v>
      </c>
      <c r="E819">
        <v>54546.848455757296</v>
      </c>
      <c r="F819">
        <v>39776.320277706276</v>
      </c>
      <c r="G819">
        <v>10000</v>
      </c>
      <c r="H819">
        <v>279981.13139638404</v>
      </c>
      <c r="I819">
        <v>36.098515607383789</v>
      </c>
    </row>
    <row r="820" spans="1:9" x14ac:dyDescent="0.2">
      <c r="A820">
        <v>815</v>
      </c>
      <c r="B820">
        <v>1168528.5341457652</v>
      </c>
      <c r="C820">
        <v>104101.85696912653</v>
      </c>
      <c r="D820">
        <v>99423.64122125032</v>
      </c>
      <c r="E820">
        <v>86657.101191920898</v>
      </c>
      <c r="F820">
        <v>41999.33777482529</v>
      </c>
      <c r="G820">
        <v>10000</v>
      </c>
      <c r="H820">
        <v>322181.937157123</v>
      </c>
      <c r="I820">
        <v>32.956987998991096</v>
      </c>
    </row>
    <row r="821" spans="1:9" x14ac:dyDescent="0.2">
      <c r="A821">
        <v>816</v>
      </c>
      <c r="B821">
        <v>1220057.2616820643</v>
      </c>
      <c r="C821">
        <v>115771.91777441144</v>
      </c>
      <c r="D821">
        <v>69044.763733445507</v>
      </c>
      <c r="E821">
        <v>117362.29636471781</v>
      </c>
      <c r="F821">
        <v>44125.082056018924</v>
      </c>
      <c r="G821">
        <v>10000</v>
      </c>
      <c r="H821">
        <v>336304.05992859369</v>
      </c>
      <c r="I821">
        <v>38.950678633035231</v>
      </c>
    </row>
    <row r="822" spans="1:9" x14ac:dyDescent="0.2">
      <c r="A822">
        <v>817</v>
      </c>
      <c r="B822">
        <v>1352551.9314540143</v>
      </c>
      <c r="C822">
        <v>120885.88479125587</v>
      </c>
      <c r="D822">
        <v>118981.03865953391</v>
      </c>
      <c r="E822">
        <v>99837.22820915698</v>
      </c>
      <c r="F822">
        <v>42911.808106787787</v>
      </c>
      <c r="G822">
        <v>10000</v>
      </c>
      <c r="H822">
        <v>372615.95976673457</v>
      </c>
      <c r="I822">
        <v>33.788961767381977</v>
      </c>
    </row>
    <row r="823" spans="1:9" x14ac:dyDescent="0.2">
      <c r="A823">
        <v>818</v>
      </c>
      <c r="B823">
        <v>1136341.3747252864</v>
      </c>
      <c r="C823">
        <v>95370.063908653741</v>
      </c>
      <c r="D823">
        <v>100433.54259506555</v>
      </c>
      <c r="E823">
        <v>85628.865741399117</v>
      </c>
      <c r="F823">
        <v>41928.152243635326</v>
      </c>
      <c r="G823">
        <v>10000</v>
      </c>
      <c r="H823">
        <v>313360.62448875373</v>
      </c>
      <c r="I823">
        <v>27.287784446801691</v>
      </c>
    </row>
    <row r="824" spans="1:9" x14ac:dyDescent="0.2">
      <c r="A824">
        <v>819</v>
      </c>
      <c r="B824">
        <v>1288497.269047214</v>
      </c>
      <c r="C824">
        <v>86238.781879775896</v>
      </c>
      <c r="D824">
        <v>66576.069683072405</v>
      </c>
      <c r="E824">
        <v>164834.47163328389</v>
      </c>
      <c r="F824">
        <v>47411.61726691966</v>
      </c>
      <c r="G824">
        <v>10000</v>
      </c>
      <c r="H824">
        <v>355060.94046305184</v>
      </c>
      <c r="I824">
        <v>33.26583627124289</v>
      </c>
    </row>
    <row r="825" spans="1:9" x14ac:dyDescent="0.2">
      <c r="A825">
        <v>820</v>
      </c>
      <c r="B825">
        <v>1446026.5614814751</v>
      </c>
      <c r="C825">
        <v>134578.18022707282</v>
      </c>
      <c r="D825">
        <v>38028.259159498455</v>
      </c>
      <c r="E825">
        <v>186701.94773278231</v>
      </c>
      <c r="F825">
        <v>48925.519458423383</v>
      </c>
      <c r="G825">
        <v>10000</v>
      </c>
      <c r="H825">
        <v>398233.906577777</v>
      </c>
      <c r="I825">
        <v>36.750303294026274</v>
      </c>
    </row>
    <row r="826" spans="1:9" x14ac:dyDescent="0.2">
      <c r="A826">
        <v>821</v>
      </c>
      <c r="B826">
        <v>1234125.4746094029</v>
      </c>
      <c r="C826">
        <v>94321.660334322252</v>
      </c>
      <c r="D826">
        <v>86002.560186929913</v>
      </c>
      <c r="E826">
        <v>125169.81487548657</v>
      </c>
      <c r="F826">
        <v>44665.602568302915</v>
      </c>
      <c r="G826">
        <v>10000</v>
      </c>
      <c r="H826">
        <v>340159.63796504168</v>
      </c>
      <c r="I826">
        <v>26.7319129348678</v>
      </c>
    </row>
    <row r="827" spans="1:9" x14ac:dyDescent="0.2">
      <c r="A827">
        <v>822</v>
      </c>
      <c r="B827">
        <v>893469.81654536084</v>
      </c>
      <c r="C827">
        <v>93696.393643339848</v>
      </c>
      <c r="D827">
        <v>93460.275832930318</v>
      </c>
      <c r="E827">
        <v>31463.575511025345</v>
      </c>
      <c r="F827">
        <v>38178.247535378672</v>
      </c>
      <c r="G827">
        <v>10000</v>
      </c>
      <c r="H827">
        <v>246798.49252267418</v>
      </c>
      <c r="I827">
        <v>42.581466313494474</v>
      </c>
    </row>
    <row r="828" spans="1:9" x14ac:dyDescent="0.2">
      <c r="A828">
        <v>823</v>
      </c>
      <c r="B828">
        <v>1309836.6925322767</v>
      </c>
      <c r="C828">
        <v>123623.02530007355</v>
      </c>
      <c r="D828">
        <v>61516.650032758262</v>
      </c>
      <c r="E828">
        <v>140072.30055258583</v>
      </c>
      <c r="F828">
        <v>45697.313115179022</v>
      </c>
      <c r="G828">
        <v>10000</v>
      </c>
      <c r="H828">
        <v>360909.28900059668</v>
      </c>
      <c r="I828">
        <v>28.722824471273299</v>
      </c>
    </row>
    <row r="829" spans="1:9" x14ac:dyDescent="0.2">
      <c r="A829">
        <v>824</v>
      </c>
      <c r="B829">
        <v>1125629.6419248693</v>
      </c>
      <c r="C829">
        <v>110406.82323195307</v>
      </c>
      <c r="D829">
        <v>48183.38306084487</v>
      </c>
      <c r="E829">
        <v>117687.15522127376</v>
      </c>
      <c r="F829">
        <v>44147.572284549722</v>
      </c>
      <c r="G829">
        <v>10000</v>
      </c>
      <c r="H829">
        <v>310424.93379862141</v>
      </c>
      <c r="I829">
        <v>34.024269060704086</v>
      </c>
    </row>
    <row r="830" spans="1:9" x14ac:dyDescent="0.2">
      <c r="A830">
        <v>825</v>
      </c>
      <c r="B830">
        <v>1647938.4436542802</v>
      </c>
      <c r="C830">
        <v>104187.51276110677</v>
      </c>
      <c r="D830">
        <v>152711.19615006738</v>
      </c>
      <c r="E830">
        <v>159621.10218986886</v>
      </c>
      <c r="F830">
        <v>47050.691690067848</v>
      </c>
      <c r="G830">
        <v>10000</v>
      </c>
      <c r="H830">
        <v>453570.50279111089</v>
      </c>
      <c r="I830">
        <v>38.420545058810845</v>
      </c>
    </row>
    <row r="831" spans="1:9" x14ac:dyDescent="0.2">
      <c r="A831">
        <v>826</v>
      </c>
      <c r="B831">
        <v>1411086.2948732914</v>
      </c>
      <c r="C831">
        <v>83322.829249742237</v>
      </c>
      <c r="D831">
        <v>62338.432710252971</v>
      </c>
      <c r="E831">
        <v>202946.65389863771</v>
      </c>
      <c r="F831">
        <v>50050.152962213382</v>
      </c>
      <c r="G831">
        <v>10000</v>
      </c>
      <c r="H831">
        <v>388658.06882084627</v>
      </c>
      <c r="I831">
        <v>35.898476980286887</v>
      </c>
    </row>
    <row r="832" spans="1:9" x14ac:dyDescent="0.2">
      <c r="A832">
        <v>827</v>
      </c>
      <c r="B832">
        <v>1274472.9563172837</v>
      </c>
      <c r="C832">
        <v>146595.39166765651</v>
      </c>
      <c r="D832">
        <v>44681.779508938213</v>
      </c>
      <c r="E832">
        <v>125267.83415569908</v>
      </c>
      <c r="F832">
        <v>44672.388518471475</v>
      </c>
      <c r="G832">
        <v>10000</v>
      </c>
      <c r="H832">
        <v>351217.39385076531</v>
      </c>
      <c r="I832">
        <v>41.222910020924729</v>
      </c>
    </row>
    <row r="833" spans="1:9" x14ac:dyDescent="0.2">
      <c r="A833">
        <v>828</v>
      </c>
      <c r="B833">
        <v>1108169.6523240586</v>
      </c>
      <c r="C833">
        <v>123722.27697833217</v>
      </c>
      <c r="D833">
        <v>73786.313690276744</v>
      </c>
      <c r="E833">
        <v>76813.356508056677</v>
      </c>
      <c r="F833">
        <v>41317.847758250078</v>
      </c>
      <c r="G833">
        <v>10000</v>
      </c>
      <c r="H833">
        <v>305639.79493491567</v>
      </c>
      <c r="I833">
        <v>26.081238941963029</v>
      </c>
    </row>
    <row r="834" spans="1:9" x14ac:dyDescent="0.2">
      <c r="A834">
        <v>829</v>
      </c>
      <c r="B834">
        <v>1043221.2420685684</v>
      </c>
      <c r="C834">
        <v>136690.08425420336</v>
      </c>
      <c r="D834">
        <v>70571.698839671473</v>
      </c>
      <c r="E834">
        <v>51044.218706145206</v>
      </c>
      <c r="F834">
        <v>39533.830525810059</v>
      </c>
      <c r="G834">
        <v>10000</v>
      </c>
      <c r="H834">
        <v>287839.83232583012</v>
      </c>
      <c r="I834">
        <v>28.459540008653214</v>
      </c>
    </row>
    <row r="835" spans="1:9" x14ac:dyDescent="0.2">
      <c r="A835">
        <v>830</v>
      </c>
      <c r="B835">
        <v>1643634.8751238182</v>
      </c>
      <c r="C835">
        <v>130958.07994948261</v>
      </c>
      <c r="D835">
        <v>117364.60967830681</v>
      </c>
      <c r="E835">
        <v>166538.75754242387</v>
      </c>
      <c r="F835">
        <v>47529.606291398581</v>
      </c>
      <c r="G835">
        <v>10000</v>
      </c>
      <c r="H835">
        <v>452391.05346161191</v>
      </c>
      <c r="I835">
        <v>26.269243669726038</v>
      </c>
    </row>
    <row r="836" spans="1:9" x14ac:dyDescent="0.2">
      <c r="A836">
        <v>831</v>
      </c>
      <c r="B836">
        <v>1123866.5253363734</v>
      </c>
      <c r="C836">
        <v>73979.65516791126</v>
      </c>
      <c r="D836">
        <v>88943.148907915762</v>
      </c>
      <c r="E836">
        <v>113183.16682299721</v>
      </c>
      <c r="F836">
        <v>43835.757703130577</v>
      </c>
      <c r="G836">
        <v>10000</v>
      </c>
      <c r="H836">
        <v>309941.72860195482</v>
      </c>
      <c r="I836">
        <v>43.844102093529884</v>
      </c>
    </row>
    <row r="837" spans="1:9" x14ac:dyDescent="0.2">
      <c r="A837">
        <v>832</v>
      </c>
      <c r="B837">
        <v>1265835.779242025</v>
      </c>
      <c r="C837">
        <v>84849.238207943941</v>
      </c>
      <c r="D837">
        <v>57063.660411000455</v>
      </c>
      <c r="E837">
        <v>169221.99483986257</v>
      </c>
      <c r="F837">
        <v>47715.368873528947</v>
      </c>
      <c r="G837">
        <v>10000</v>
      </c>
      <c r="H837">
        <v>348850.26233233593</v>
      </c>
      <c r="I837">
        <v>37.773224007819579</v>
      </c>
    </row>
    <row r="838" spans="1:9" x14ac:dyDescent="0.2">
      <c r="A838">
        <v>833</v>
      </c>
      <c r="B838">
        <v>1217996.9862618924</v>
      </c>
      <c r="C838">
        <v>110234.66012149773</v>
      </c>
      <c r="D838">
        <v>83828.145698297667</v>
      </c>
      <c r="E838">
        <v>108186.75628364069</v>
      </c>
      <c r="F838">
        <v>43489.8523580982</v>
      </c>
      <c r="G838">
        <v>10000</v>
      </c>
      <c r="H838">
        <v>335739.4144615343</v>
      </c>
      <c r="I838">
        <v>39.735753467768312</v>
      </c>
    </row>
    <row r="839" spans="1:9" x14ac:dyDescent="0.2">
      <c r="A839">
        <v>834</v>
      </c>
      <c r="B839">
        <v>1065739.1410682236</v>
      </c>
      <c r="C839">
        <v>122083.13385632732</v>
      </c>
      <c r="D839">
        <v>77593.503389263409</v>
      </c>
      <c r="E839">
        <v>63909.98298610645</v>
      </c>
      <c r="F839">
        <v>40424.537283653524</v>
      </c>
      <c r="G839">
        <v>10000</v>
      </c>
      <c r="H839">
        <v>294011.15751535073</v>
      </c>
      <c r="I839">
        <v>26.050885578606106</v>
      </c>
    </row>
    <row r="840" spans="1:9" x14ac:dyDescent="0.2">
      <c r="A840">
        <v>835</v>
      </c>
      <c r="B840">
        <v>1642121.3369954103</v>
      </c>
      <c r="C840">
        <v>146500.22307578879</v>
      </c>
      <c r="D840">
        <v>104883.90460746152</v>
      </c>
      <c r="E840">
        <v>163287.59501897855</v>
      </c>
      <c r="F840">
        <v>47304.525809006213</v>
      </c>
      <c r="G840">
        <v>10000</v>
      </c>
      <c r="H840">
        <v>451976.248511235</v>
      </c>
      <c r="I840">
        <v>38.029671412863621</v>
      </c>
    </row>
    <row r="841" spans="1:9" x14ac:dyDescent="0.2">
      <c r="A841">
        <v>836</v>
      </c>
      <c r="B841">
        <v>1091057.2135298485</v>
      </c>
      <c r="C841">
        <v>124759.15779475174</v>
      </c>
      <c r="D841">
        <v>99195.363904375277</v>
      </c>
      <c r="E841">
        <v>47693.525748413129</v>
      </c>
      <c r="F841">
        <v>39301.859474890138</v>
      </c>
      <c r="G841">
        <v>10000</v>
      </c>
      <c r="H841">
        <v>300949.90692243027</v>
      </c>
      <c r="I841">
        <v>47.887308657444976</v>
      </c>
    </row>
    <row r="842" spans="1:9" x14ac:dyDescent="0.2">
      <c r="A842">
        <v>837</v>
      </c>
      <c r="B842">
        <v>1278859.1153104673</v>
      </c>
      <c r="C842">
        <v>120963.31060652476</v>
      </c>
      <c r="D842">
        <v>111832.21671627968</v>
      </c>
      <c r="E842">
        <v>87561.968426143518</v>
      </c>
      <c r="F842">
        <v>42061.982429502241</v>
      </c>
      <c r="G842">
        <v>10000</v>
      </c>
      <c r="H842">
        <v>352419.4781784502</v>
      </c>
      <c r="I842">
        <v>24.240373916316692</v>
      </c>
    </row>
    <row r="843" spans="1:9" x14ac:dyDescent="0.2">
      <c r="A843">
        <v>838</v>
      </c>
      <c r="B843">
        <v>1147073.5367737249</v>
      </c>
      <c r="C843">
        <v>88304.227774351762</v>
      </c>
      <c r="D843">
        <v>73868.343912597251</v>
      </c>
      <c r="E843">
        <v>119833.19792334971</v>
      </c>
      <c r="F843">
        <v>44296.144471616521</v>
      </c>
      <c r="G843">
        <v>10000</v>
      </c>
      <c r="H843">
        <v>316301.91408191522</v>
      </c>
      <c r="I843">
        <v>43.712297631797355</v>
      </c>
    </row>
    <row r="844" spans="1:9" x14ac:dyDescent="0.2">
      <c r="A844">
        <v>839</v>
      </c>
      <c r="B844">
        <v>1431219.7144861736</v>
      </c>
      <c r="C844">
        <v>109785.03704049475</v>
      </c>
      <c r="D844">
        <v>128528.31937347715</v>
      </c>
      <c r="E844">
        <v>121454.17390005582</v>
      </c>
      <c r="F844">
        <v>44408.365885388484</v>
      </c>
      <c r="G844">
        <v>10000</v>
      </c>
      <c r="H844">
        <v>394175.89619941614</v>
      </c>
      <c r="I844">
        <v>38.284956013853098</v>
      </c>
    </row>
    <row r="845" spans="1:9" x14ac:dyDescent="0.2">
      <c r="A845">
        <v>840</v>
      </c>
      <c r="B845">
        <v>938364.57074957155</v>
      </c>
      <c r="C845">
        <v>92686.352881569706</v>
      </c>
      <c r="D845">
        <v>93319.790374537479</v>
      </c>
      <c r="E845">
        <v>44046.941129339932</v>
      </c>
      <c r="F845">
        <v>39049.40361664661</v>
      </c>
      <c r="G845">
        <v>10000</v>
      </c>
      <c r="H845">
        <v>259102.48800209368</v>
      </c>
      <c r="I845">
        <v>32.595883494371066</v>
      </c>
    </row>
    <row r="846" spans="1:9" x14ac:dyDescent="0.2">
      <c r="A846">
        <v>841</v>
      </c>
      <c r="B846">
        <v>1250068.612935602</v>
      </c>
      <c r="C846">
        <v>95825.168870275942</v>
      </c>
      <c r="D846">
        <v>56380.084014072585</v>
      </c>
      <c r="E846">
        <v>155554.64336530684</v>
      </c>
      <c r="F846">
        <v>46769.16761759817</v>
      </c>
      <c r="G846">
        <v>10000</v>
      </c>
      <c r="H846">
        <v>344529.0638672536</v>
      </c>
      <c r="I846">
        <v>30.955005053224902</v>
      </c>
    </row>
    <row r="847" spans="1:9" x14ac:dyDescent="0.2">
      <c r="A847">
        <v>842</v>
      </c>
      <c r="B847">
        <v>1094897.0497847921</v>
      </c>
      <c r="C847">
        <v>134136.57230227202</v>
      </c>
      <c r="D847">
        <v>69687.118906325661</v>
      </c>
      <c r="E847">
        <v>67505.140345508014</v>
      </c>
      <c r="F847">
        <v>40673.432793150554</v>
      </c>
      <c r="G847">
        <v>10000</v>
      </c>
      <c r="H847">
        <v>302002.26434725622</v>
      </c>
      <c r="I847">
        <v>32.011892492944611</v>
      </c>
    </row>
    <row r="848" spans="1:9" x14ac:dyDescent="0.2">
      <c r="A848">
        <v>843</v>
      </c>
      <c r="B848">
        <v>1164711.6102814525</v>
      </c>
      <c r="C848">
        <v>97892.142575528342</v>
      </c>
      <c r="D848">
        <v>95794.073075973662</v>
      </c>
      <c r="E848">
        <v>94880.961566948812</v>
      </c>
      <c r="F848">
        <v>42568.681954634914</v>
      </c>
      <c r="G848">
        <v>10000</v>
      </c>
      <c r="H848">
        <v>321135.85917308572</v>
      </c>
      <c r="I848">
        <v>46.053573926834844</v>
      </c>
    </row>
    <row r="849" spans="1:9" x14ac:dyDescent="0.2">
      <c r="A849">
        <v>844</v>
      </c>
      <c r="B849">
        <v>1288022.5582594394</v>
      </c>
      <c r="C849">
        <v>135628.56323110432</v>
      </c>
      <c r="D849">
        <v>61733.174601222025</v>
      </c>
      <c r="E849">
        <v>123050.23920665128</v>
      </c>
      <c r="F849">
        <v>44518.862714306626</v>
      </c>
      <c r="G849">
        <v>10000</v>
      </c>
      <c r="H849">
        <v>354930.83975328424</v>
      </c>
      <c r="I849">
        <v>33.510660213560996</v>
      </c>
    </row>
    <row r="850" spans="1:9" x14ac:dyDescent="0.2">
      <c r="A850">
        <v>845</v>
      </c>
      <c r="B850">
        <v>1406463.9089320921</v>
      </c>
      <c r="C850">
        <v>100759.41372528512</v>
      </c>
      <c r="D850">
        <v>51218.360692720657</v>
      </c>
      <c r="E850">
        <v>195854.32351175413</v>
      </c>
      <c r="F850">
        <v>49559.145473890676</v>
      </c>
      <c r="G850">
        <v>10000</v>
      </c>
      <c r="H850">
        <v>387391.24340365059</v>
      </c>
      <c r="I850">
        <v>27.488250755448455</v>
      </c>
    </row>
    <row r="851" spans="1:9" x14ac:dyDescent="0.2">
      <c r="A851">
        <v>846</v>
      </c>
      <c r="B851">
        <v>932949.70873483818</v>
      </c>
      <c r="C851">
        <v>111063.00068112134</v>
      </c>
      <c r="D851">
        <v>85937.401150295598</v>
      </c>
      <c r="E851">
        <v>32376.61438564289</v>
      </c>
      <c r="F851">
        <v>38241.457919006047</v>
      </c>
      <c r="G851">
        <v>10000</v>
      </c>
      <c r="H851">
        <v>257618.47413606587</v>
      </c>
      <c r="I851">
        <v>38.4992214953662</v>
      </c>
    </row>
    <row r="852" spans="1:9" x14ac:dyDescent="0.2">
      <c r="A852">
        <v>847</v>
      </c>
      <c r="B852">
        <v>1315090.9513775925</v>
      </c>
      <c r="C852">
        <v>119440.58066027383</v>
      </c>
      <c r="D852">
        <v>40707.0431491419</v>
      </c>
      <c r="E852">
        <v>164792.92284265722</v>
      </c>
      <c r="F852">
        <v>47408.740812183962</v>
      </c>
      <c r="G852">
        <v>10000</v>
      </c>
      <c r="H852">
        <v>362349.28746425686</v>
      </c>
      <c r="I852">
        <v>32.575251776241956</v>
      </c>
    </row>
    <row r="853" spans="1:9" x14ac:dyDescent="0.2">
      <c r="A853">
        <v>848</v>
      </c>
      <c r="B853">
        <v>1358785.4503690093</v>
      </c>
      <c r="C853">
        <v>130195.09046702411</v>
      </c>
      <c r="D853">
        <v>70335.799758778347</v>
      </c>
      <c r="E853">
        <v>138224.08717309302</v>
      </c>
      <c r="F853">
        <v>45569.359881214128</v>
      </c>
      <c r="G853">
        <v>10000</v>
      </c>
      <c r="H853">
        <v>374324.33728010964</v>
      </c>
      <c r="I853">
        <v>29.756095231802341</v>
      </c>
    </row>
    <row r="854" spans="1:9" x14ac:dyDescent="0.2">
      <c r="A854">
        <v>849</v>
      </c>
      <c r="B854">
        <v>1140813.374648893</v>
      </c>
      <c r="C854">
        <v>103834.66877584317</v>
      </c>
      <c r="D854">
        <v>120327.55636959475</v>
      </c>
      <c r="E854">
        <v>60252.670757676802</v>
      </c>
      <c r="F854">
        <v>40171.338744762244</v>
      </c>
      <c r="G854">
        <v>10000</v>
      </c>
      <c r="H854">
        <v>314586.23464787699</v>
      </c>
      <c r="I854">
        <v>50.754482336792968</v>
      </c>
    </row>
    <row r="855" spans="1:9" x14ac:dyDescent="0.2">
      <c r="A855">
        <v>850</v>
      </c>
      <c r="B855">
        <v>1273362.792739911</v>
      </c>
      <c r="C855">
        <v>92300.323058404334</v>
      </c>
      <c r="D855">
        <v>137438.11294103923</v>
      </c>
      <c r="E855">
        <v>89012.312140110313</v>
      </c>
      <c r="F855">
        <v>42162.390840469176</v>
      </c>
      <c r="G855">
        <v>10000</v>
      </c>
      <c r="H855">
        <v>350913.13898002304</v>
      </c>
      <c r="I855">
        <v>49.452918128480327</v>
      </c>
    </row>
    <row r="856" spans="1:9" x14ac:dyDescent="0.2">
      <c r="A856">
        <v>851</v>
      </c>
      <c r="B856">
        <v>978053.99875398132</v>
      </c>
      <c r="C856">
        <v>106997.33773878633</v>
      </c>
      <c r="D856">
        <v>89166.898498718001</v>
      </c>
      <c r="E856">
        <v>44719.681465241658</v>
      </c>
      <c r="F856">
        <v>39095.977947593652</v>
      </c>
      <c r="G856">
        <v>10000</v>
      </c>
      <c r="H856">
        <v>269979.89565033966</v>
      </c>
      <c r="I856">
        <v>42.390919774074064</v>
      </c>
    </row>
    <row r="857" spans="1:9" x14ac:dyDescent="0.2">
      <c r="A857">
        <v>852</v>
      </c>
      <c r="B857">
        <v>781287.73854031484</v>
      </c>
      <c r="C857">
        <v>107568.83210393993</v>
      </c>
      <c r="D857">
        <v>33531.098317388001</v>
      </c>
      <c r="E857">
        <v>45783.936944531364</v>
      </c>
      <c r="F857">
        <v>39169.657173082938</v>
      </c>
      <c r="G857">
        <v>10000</v>
      </c>
      <c r="H857">
        <v>216053.52453894223</v>
      </c>
      <c r="I857">
        <v>24.701002221286419</v>
      </c>
    </row>
    <row r="858" spans="1:9" x14ac:dyDescent="0.2">
      <c r="A858">
        <v>853</v>
      </c>
      <c r="B858">
        <v>1548369.0414714045</v>
      </c>
      <c r="C858">
        <v>154748.84051305841</v>
      </c>
      <c r="D858">
        <v>153603.17507012893</v>
      </c>
      <c r="E858">
        <v>85977.873903302432</v>
      </c>
      <c r="F858">
        <v>41952.314347151711</v>
      </c>
      <c r="G858">
        <v>10000</v>
      </c>
      <c r="H858">
        <v>426282.20383364148</v>
      </c>
      <c r="I858">
        <v>39.760180051735063</v>
      </c>
    </row>
    <row r="859" spans="1:9" x14ac:dyDescent="0.2">
      <c r="A859">
        <v>854</v>
      </c>
      <c r="B859">
        <v>1183377.5279510391</v>
      </c>
      <c r="C859">
        <v>135127.21575855644</v>
      </c>
      <c r="D859">
        <v>72221.034682157915</v>
      </c>
      <c r="E859">
        <v>86887.92976559489</v>
      </c>
      <c r="F859">
        <v>42015.318214541185</v>
      </c>
      <c r="G859">
        <v>10000</v>
      </c>
      <c r="H859">
        <v>326251.49842085043</v>
      </c>
      <c r="I859">
        <v>47.588442076122369</v>
      </c>
    </row>
    <row r="860" spans="1:9" x14ac:dyDescent="0.2">
      <c r="A860">
        <v>855</v>
      </c>
      <c r="B860">
        <v>1424051.1411833921</v>
      </c>
      <c r="C860">
        <v>152501.59390348117</v>
      </c>
      <c r="D860">
        <v>66733.655639843506</v>
      </c>
      <c r="E860">
        <v>137459.5732452833</v>
      </c>
      <c r="F860">
        <v>45516.431993904233</v>
      </c>
      <c r="G860">
        <v>10000</v>
      </c>
      <c r="H860">
        <v>392211.25478251226</v>
      </c>
      <c r="I860">
        <v>33.093465119799376</v>
      </c>
    </row>
    <row r="861" spans="1:9" x14ac:dyDescent="0.2">
      <c r="A861">
        <v>856</v>
      </c>
      <c r="B861">
        <v>1333906.5604907586</v>
      </c>
      <c r="C861">
        <v>92471.546959473562</v>
      </c>
      <c r="D861">
        <v>77971.129866525007</v>
      </c>
      <c r="E861">
        <v>159987.23541229157</v>
      </c>
      <c r="F861">
        <v>47076.039374697109</v>
      </c>
      <c r="G861">
        <v>10000</v>
      </c>
      <c r="H861">
        <v>367505.95161298732</v>
      </c>
      <c r="I861">
        <v>33.921587226750994</v>
      </c>
    </row>
    <row r="862" spans="1:9" x14ac:dyDescent="0.2">
      <c r="A862">
        <v>857</v>
      </c>
      <c r="B862">
        <v>1472392.5052657295</v>
      </c>
      <c r="C862">
        <v>122245.48241642985</v>
      </c>
      <c r="D862">
        <v>48244.384616452713</v>
      </c>
      <c r="E862">
        <v>195439.54198461503</v>
      </c>
      <c r="F862">
        <v>49530.429829704124</v>
      </c>
      <c r="G862">
        <v>10000</v>
      </c>
      <c r="H862">
        <v>405459.83884720167</v>
      </c>
      <c r="I862">
        <v>40.865527412151344</v>
      </c>
    </row>
    <row r="863" spans="1:9" x14ac:dyDescent="0.2">
      <c r="A863">
        <v>858</v>
      </c>
      <c r="B863">
        <v>1359826.8961275597</v>
      </c>
      <c r="C863">
        <v>102927.65094191072</v>
      </c>
      <c r="D863">
        <v>60882.022057644986</v>
      </c>
      <c r="E863">
        <v>172834.61293004369</v>
      </c>
      <c r="F863">
        <v>47965.473202849178</v>
      </c>
      <c r="G863">
        <v>10000</v>
      </c>
      <c r="H863">
        <v>374609.75913244858</v>
      </c>
      <c r="I863">
        <v>38.775375423010814</v>
      </c>
    </row>
    <row r="864" spans="1:9" x14ac:dyDescent="0.2">
      <c r="A864">
        <v>859</v>
      </c>
      <c r="B864">
        <v>1467721.6328246971</v>
      </c>
      <c r="C864">
        <v>98434.913983447681</v>
      </c>
      <c r="D864">
        <v>109405.06280750323</v>
      </c>
      <c r="E864">
        <v>159310.55594404868</v>
      </c>
      <c r="F864">
        <v>47029.192334587984</v>
      </c>
      <c r="G864">
        <v>10000</v>
      </c>
      <c r="H864">
        <v>404179.72506958758</v>
      </c>
      <c r="I864">
        <v>32.482510274450497</v>
      </c>
    </row>
    <row r="865" spans="1:9" x14ac:dyDescent="0.2">
      <c r="A865">
        <v>860</v>
      </c>
      <c r="B865">
        <v>1347729.4557367375</v>
      </c>
      <c r="C865">
        <v>100350.8765913471</v>
      </c>
      <c r="D865">
        <v>74955.128110196325</v>
      </c>
      <c r="E865">
        <v>158981.85622372202</v>
      </c>
      <c r="F865">
        <v>47006.436200103832</v>
      </c>
      <c r="G865">
        <v>10000</v>
      </c>
      <c r="H865">
        <v>371294.29712536931</v>
      </c>
      <c r="I865">
        <v>35.903547714901464</v>
      </c>
    </row>
    <row r="866" spans="1:9" x14ac:dyDescent="0.2">
      <c r="A866">
        <v>861</v>
      </c>
      <c r="B866">
        <v>1236669.8021174362</v>
      </c>
      <c r="C866">
        <v>146737.20271475369</v>
      </c>
      <c r="D866">
        <v>99598.416468392752</v>
      </c>
      <c r="E866">
        <v>64084.692506250503</v>
      </c>
      <c r="F866">
        <v>40436.632558125035</v>
      </c>
      <c r="G866">
        <v>10000</v>
      </c>
      <c r="H866">
        <v>340856.94424752198</v>
      </c>
      <c r="I866">
        <v>46.981117352928159</v>
      </c>
    </row>
    <row r="867" spans="1:9" x14ac:dyDescent="0.2">
      <c r="A867">
        <v>862</v>
      </c>
      <c r="B867">
        <v>1360850.5823698742</v>
      </c>
      <c r="C867">
        <v>100188.34980625502</v>
      </c>
      <c r="D867">
        <v>101435.58967948137</v>
      </c>
      <c r="E867">
        <v>137731.14140452252</v>
      </c>
      <c r="F867">
        <v>45535.232866466948</v>
      </c>
      <c r="G867">
        <v>10000</v>
      </c>
      <c r="H867">
        <v>374890.31375672587</v>
      </c>
      <c r="I867">
        <v>36.739779258053616</v>
      </c>
    </row>
    <row r="868" spans="1:9" x14ac:dyDescent="0.2">
      <c r="A868">
        <v>863</v>
      </c>
      <c r="B868">
        <v>1423569.3441091082</v>
      </c>
      <c r="C868">
        <v>142922.34540085372</v>
      </c>
      <c r="D868">
        <v>67901.614370866839</v>
      </c>
      <c r="E868">
        <v>145202.75386675916</v>
      </c>
      <c r="F868">
        <v>46052.498344621788</v>
      </c>
      <c r="G868">
        <v>10000</v>
      </c>
      <c r="H868">
        <v>392079.2119831015</v>
      </c>
      <c r="I868">
        <v>35.051670001410287</v>
      </c>
    </row>
    <row r="869" spans="1:9" x14ac:dyDescent="0.2">
      <c r="A869">
        <v>864</v>
      </c>
      <c r="B869">
        <v>1180231.4073226666</v>
      </c>
      <c r="C869">
        <v>124984.69655800301</v>
      </c>
      <c r="D869">
        <v>103091.01976830282</v>
      </c>
      <c r="E869">
        <v>66696.122648689474</v>
      </c>
      <c r="F869">
        <v>40617.423875678498</v>
      </c>
      <c r="G869">
        <v>10000</v>
      </c>
      <c r="H869">
        <v>325389.26285067381</v>
      </c>
      <c r="I869">
        <v>35.112206796188971</v>
      </c>
    </row>
    <row r="870" spans="1:9" x14ac:dyDescent="0.2">
      <c r="A870">
        <v>865</v>
      </c>
      <c r="B870">
        <v>1604127.9593106816</v>
      </c>
      <c r="C870">
        <v>169546.04739265985</v>
      </c>
      <c r="D870">
        <v>72883.465798129691</v>
      </c>
      <c r="E870">
        <v>161924.02749869737</v>
      </c>
      <c r="F870">
        <v>47210.124980679051</v>
      </c>
      <c r="G870">
        <v>10000</v>
      </c>
      <c r="H870">
        <v>441563.66567016597</v>
      </c>
      <c r="I870">
        <v>49.986882361303664</v>
      </c>
    </row>
    <row r="871" spans="1:9" x14ac:dyDescent="0.2">
      <c r="A871">
        <v>866</v>
      </c>
      <c r="B871">
        <v>1489608.8116820778</v>
      </c>
      <c r="C871">
        <v>116173.33046605828</v>
      </c>
      <c r="D871">
        <v>96269.020209266208</v>
      </c>
      <c r="E871">
        <v>160616.25554449152</v>
      </c>
      <c r="F871">
        <v>47119.586922310948</v>
      </c>
      <c r="G871">
        <v>10000</v>
      </c>
      <c r="H871">
        <v>410178.19314212695</v>
      </c>
      <c r="I871">
        <v>29.345007659504418</v>
      </c>
    </row>
    <row r="872" spans="1:9" x14ac:dyDescent="0.2">
      <c r="A872">
        <v>867</v>
      </c>
      <c r="B872">
        <v>1176953.7786465185</v>
      </c>
      <c r="C872">
        <v>129903.2531860829</v>
      </c>
      <c r="D872">
        <v>70553.248142685494</v>
      </c>
      <c r="E872">
        <v>91686.927901543051</v>
      </c>
      <c r="F872">
        <v>42347.556547029897</v>
      </c>
      <c r="G872">
        <v>10000</v>
      </c>
      <c r="H872">
        <v>324490.9857773413</v>
      </c>
      <c r="I872">
        <v>39.770627362960113</v>
      </c>
    </row>
    <row r="873" spans="1:9" x14ac:dyDescent="0.2">
      <c r="A873">
        <v>868</v>
      </c>
      <c r="B873">
        <v>947157.93700693967</v>
      </c>
      <c r="C873">
        <v>100437.87822363652</v>
      </c>
      <c r="D873">
        <v>59796.485193883738</v>
      </c>
      <c r="E873">
        <v>70403.942685343238</v>
      </c>
      <c r="F873">
        <v>40874.119108985302</v>
      </c>
      <c r="G873">
        <v>10000</v>
      </c>
      <c r="H873">
        <v>261512.42521184881</v>
      </c>
      <c r="I873">
        <v>25.056478579675403</v>
      </c>
    </row>
    <row r="874" spans="1:9" x14ac:dyDescent="0.2">
      <c r="A874">
        <v>869</v>
      </c>
      <c r="B874">
        <v>1197944.6550024322</v>
      </c>
      <c r="C874">
        <v>105408.63251201487</v>
      </c>
      <c r="D874">
        <v>129573.66808184311</v>
      </c>
      <c r="E874">
        <v>64776.951625130139</v>
      </c>
      <c r="F874">
        <v>40484.558189432086</v>
      </c>
      <c r="G874">
        <v>10000</v>
      </c>
      <c r="H874">
        <v>330243.81040842022</v>
      </c>
      <c r="I874">
        <v>41.917409892933854</v>
      </c>
    </row>
    <row r="875" spans="1:9" x14ac:dyDescent="0.2">
      <c r="A875">
        <v>870</v>
      </c>
      <c r="B875">
        <v>1138975.7277025927</v>
      </c>
      <c r="C875">
        <v>128205.42506535513</v>
      </c>
      <c r="D875">
        <v>74083.860395294047</v>
      </c>
      <c r="E875">
        <v>80238.354935699623</v>
      </c>
      <c r="F875">
        <v>41554.963034009976</v>
      </c>
      <c r="G875">
        <v>10000</v>
      </c>
      <c r="H875">
        <v>314082.60343035875</v>
      </c>
      <c r="I875">
        <v>34.738060066888011</v>
      </c>
    </row>
    <row r="876" spans="1:9" x14ac:dyDescent="0.2">
      <c r="A876">
        <v>871</v>
      </c>
      <c r="B876">
        <v>878870.25474640413</v>
      </c>
      <c r="C876">
        <v>109228.78391407899</v>
      </c>
      <c r="D876">
        <v>78044.563977274171</v>
      </c>
      <c r="E876">
        <v>27612.321236835764</v>
      </c>
      <c r="F876">
        <v>37911.622239473247</v>
      </c>
      <c r="G876">
        <v>10000</v>
      </c>
      <c r="H876">
        <v>242797.29136766217</v>
      </c>
      <c r="I876">
        <v>32.359848378655158</v>
      </c>
    </row>
    <row r="877" spans="1:9" x14ac:dyDescent="0.2">
      <c r="A877">
        <v>872</v>
      </c>
      <c r="B877">
        <v>1183312.8337694532</v>
      </c>
      <c r="C877">
        <v>113890.72603582327</v>
      </c>
      <c r="D877">
        <v>98521.115737803222</v>
      </c>
      <c r="E877">
        <v>82135.614580651454</v>
      </c>
      <c r="F877">
        <v>41686.311778660485</v>
      </c>
      <c r="G877">
        <v>10000</v>
      </c>
      <c r="H877">
        <v>326233.76813293842</v>
      </c>
      <c r="I877">
        <v>38.104695833042669</v>
      </c>
    </row>
    <row r="878" spans="1:9" x14ac:dyDescent="0.2">
      <c r="A878">
        <v>873</v>
      </c>
      <c r="B878">
        <v>1134595.2450511323</v>
      </c>
      <c r="C878">
        <v>129533.55393070308</v>
      </c>
      <c r="D878">
        <v>56906.516454900986</v>
      </c>
      <c r="E878">
        <v>93938.565259523559</v>
      </c>
      <c r="F878">
        <v>42503.439133351632</v>
      </c>
      <c r="G878">
        <v>10000</v>
      </c>
      <c r="H878">
        <v>312882.07477847923</v>
      </c>
      <c r="I878">
        <v>50.593402234390965</v>
      </c>
    </row>
    <row r="879" spans="1:9" x14ac:dyDescent="0.2">
      <c r="A879">
        <v>874</v>
      </c>
      <c r="B879">
        <v>1295527.4403416817</v>
      </c>
      <c r="C879">
        <v>147363.21977394857</v>
      </c>
      <c r="D879">
        <v>123237.65358085324</v>
      </c>
      <c r="E879">
        <v>56476.842398811656</v>
      </c>
      <c r="F879">
        <v>39909.935242994652</v>
      </c>
      <c r="G879">
        <v>10000</v>
      </c>
      <c r="H879">
        <v>356987.65099660808</v>
      </c>
      <c r="I879">
        <v>33.419997804441479</v>
      </c>
    </row>
    <row r="880" spans="1:9" x14ac:dyDescent="0.2">
      <c r="A880">
        <v>875</v>
      </c>
      <c r="B880">
        <v>1139479.4456268572</v>
      </c>
      <c r="C880">
        <v>85543.216610276868</v>
      </c>
      <c r="D880">
        <v>111032.72055799972</v>
      </c>
      <c r="E880">
        <v>85710.886176152053</v>
      </c>
      <c r="F880">
        <v>41933.830581425915</v>
      </c>
      <c r="G880">
        <v>10000</v>
      </c>
      <c r="H880">
        <v>314220.65392585454</v>
      </c>
      <c r="I880">
        <v>43.932463256167786</v>
      </c>
    </row>
    <row r="881" spans="1:9" x14ac:dyDescent="0.2">
      <c r="A881">
        <v>876</v>
      </c>
      <c r="B881">
        <v>1462281.4137686605</v>
      </c>
      <c r="C881">
        <v>132437.70688236685</v>
      </c>
      <c r="D881">
        <v>145540.94063984705</v>
      </c>
      <c r="E881">
        <v>92318.811890375902</v>
      </c>
      <c r="F881">
        <v>42391.302361641414</v>
      </c>
      <c r="G881">
        <v>10000</v>
      </c>
      <c r="H881">
        <v>402688.76177423121</v>
      </c>
      <c r="I881">
        <v>35.300088402654303</v>
      </c>
    </row>
    <row r="882" spans="1:9" x14ac:dyDescent="0.2">
      <c r="A882">
        <v>877</v>
      </c>
      <c r="B882">
        <v>1612781.9883593682</v>
      </c>
      <c r="C882">
        <v>122546.67688660251</v>
      </c>
      <c r="D882">
        <v>77906.662603152974</v>
      </c>
      <c r="E882">
        <v>203400.50292358181</v>
      </c>
      <c r="F882">
        <v>50081.57327932489</v>
      </c>
      <c r="G882">
        <v>10000</v>
      </c>
      <c r="H882">
        <v>443935.41569266224</v>
      </c>
      <c r="I882">
        <v>46.638585984275075</v>
      </c>
    </row>
    <row r="883" spans="1:9" x14ac:dyDescent="0.2">
      <c r="A883">
        <v>878</v>
      </c>
      <c r="B883">
        <v>1521893.3408080107</v>
      </c>
      <c r="C883">
        <v>107515.61361279209</v>
      </c>
      <c r="D883">
        <v>107548.94481711488</v>
      </c>
      <c r="E883">
        <v>166438.93717337894</v>
      </c>
      <c r="F883">
        <v>47522.695650464695</v>
      </c>
      <c r="G883">
        <v>10000</v>
      </c>
      <c r="H883">
        <v>419026.19125375059</v>
      </c>
      <c r="I883">
        <v>31.42524666802916</v>
      </c>
    </row>
    <row r="884" spans="1:9" x14ac:dyDescent="0.2">
      <c r="A884">
        <v>879</v>
      </c>
      <c r="B884">
        <v>1404370.6989741572</v>
      </c>
      <c r="C884">
        <v>160961.49765616667</v>
      </c>
      <c r="D884">
        <v>132834.59416177665</v>
      </c>
      <c r="E884">
        <v>62681.959690863943</v>
      </c>
      <c r="F884">
        <v>40339.520286290579</v>
      </c>
      <c r="G884">
        <v>10000</v>
      </c>
      <c r="H884">
        <v>386817.57179509784</v>
      </c>
      <c r="I884">
        <v>28.811425939439879</v>
      </c>
    </row>
    <row r="885" spans="1:9" x14ac:dyDescent="0.2">
      <c r="A885">
        <v>880</v>
      </c>
      <c r="B885">
        <v>1148725.2828099441</v>
      </c>
      <c r="C885">
        <v>105564.20150196929</v>
      </c>
      <c r="D885">
        <v>49710.558188909403</v>
      </c>
      <c r="E885">
        <v>126707.76125012113</v>
      </c>
      <c r="F885">
        <v>44772.075778854538</v>
      </c>
      <c r="G885">
        <v>10000</v>
      </c>
      <c r="H885">
        <v>316754.59671985434</v>
      </c>
      <c r="I885">
        <v>24.982800096501677</v>
      </c>
    </row>
    <row r="886" spans="1:9" x14ac:dyDescent="0.2">
      <c r="A886">
        <v>881</v>
      </c>
      <c r="B886">
        <v>932319.30139021343</v>
      </c>
      <c r="C886">
        <v>98903.57141717941</v>
      </c>
      <c r="D886">
        <v>72774.543546238769</v>
      </c>
      <c r="E886">
        <v>55897.743968739356</v>
      </c>
      <c r="F886">
        <v>39869.843813220417</v>
      </c>
      <c r="G886">
        <v>10000</v>
      </c>
      <c r="H886">
        <v>257445.7027453779</v>
      </c>
      <c r="I886">
        <v>28.680663246536135</v>
      </c>
    </row>
    <row r="887" spans="1:9" x14ac:dyDescent="0.2">
      <c r="A887">
        <v>882</v>
      </c>
      <c r="B887">
        <v>1448962.237321862</v>
      </c>
      <c r="C887">
        <v>140907.94085016419</v>
      </c>
      <c r="D887">
        <v>114925.48032082805</v>
      </c>
      <c r="E887">
        <v>109616.22990933483</v>
      </c>
      <c r="F887">
        <v>43588.815916800108</v>
      </c>
      <c r="G887">
        <v>10000</v>
      </c>
      <c r="H887">
        <v>399038.46699712722</v>
      </c>
      <c r="I887">
        <v>31.122212342710718</v>
      </c>
    </row>
    <row r="888" spans="1:9" x14ac:dyDescent="0.2">
      <c r="A888">
        <v>883</v>
      </c>
      <c r="B888">
        <v>772467.29105238791</v>
      </c>
      <c r="C888">
        <v>92095.713795386182</v>
      </c>
      <c r="D888">
        <v>65458.922653185764</v>
      </c>
      <c r="E888">
        <v>28133.804020882013</v>
      </c>
      <c r="F888">
        <v>37947.724893753373</v>
      </c>
      <c r="G888">
        <v>10000</v>
      </c>
      <c r="H888">
        <v>213636.16536320734</v>
      </c>
      <c r="I888">
        <v>38.965751107424609</v>
      </c>
    </row>
    <row r="889" spans="1:9" x14ac:dyDescent="0.2">
      <c r="A889">
        <v>884</v>
      </c>
      <c r="B889">
        <v>1549494.6886438248</v>
      </c>
      <c r="C889">
        <v>104775.32863948561</v>
      </c>
      <c r="D889">
        <v>87405.691801161302</v>
      </c>
      <c r="E889">
        <v>194915.52969030154</v>
      </c>
      <c r="F889">
        <v>49494.152055482416</v>
      </c>
      <c r="G889">
        <v>10000</v>
      </c>
      <c r="H889">
        <v>426590.70218643086</v>
      </c>
      <c r="I889">
        <v>27.790271010319099</v>
      </c>
    </row>
    <row r="890" spans="1:9" x14ac:dyDescent="0.2">
      <c r="A890">
        <v>885</v>
      </c>
      <c r="B890">
        <v>1277247.7870168705</v>
      </c>
      <c r="C890">
        <v>95843.467605806058</v>
      </c>
      <c r="D890">
        <v>69104.70199266907</v>
      </c>
      <c r="E890">
        <v>150603.31930935208</v>
      </c>
      <c r="F890">
        <v>46426.383644493602</v>
      </c>
      <c r="G890">
        <v>10000</v>
      </c>
      <c r="H890">
        <v>351977.87255232077</v>
      </c>
      <c r="I890">
        <v>52.396518155969588</v>
      </c>
    </row>
    <row r="891" spans="1:9" x14ac:dyDescent="0.2">
      <c r="A891">
        <v>886</v>
      </c>
      <c r="B891">
        <v>823485.66553858761</v>
      </c>
      <c r="C891">
        <v>98944.951706206979</v>
      </c>
      <c r="D891">
        <v>71056.88704033746</v>
      </c>
      <c r="E891">
        <v>29569.463729736286</v>
      </c>
      <c r="F891">
        <v>38047.116719750971</v>
      </c>
      <c r="G891">
        <v>10000</v>
      </c>
      <c r="H891">
        <v>227618.4191960317</v>
      </c>
      <c r="I891">
        <v>37.349876947986338</v>
      </c>
    </row>
    <row r="892" spans="1:9" x14ac:dyDescent="0.2">
      <c r="A892">
        <v>887</v>
      </c>
      <c r="B892">
        <v>1550537.3884108362</v>
      </c>
      <c r="C892">
        <v>96233.223702049349</v>
      </c>
      <c r="D892">
        <v>164121.9089654873</v>
      </c>
      <c r="E892">
        <v>131422.83134049061</v>
      </c>
      <c r="F892">
        <v>45098.503708187811</v>
      </c>
      <c r="G892">
        <v>10000</v>
      </c>
      <c r="H892">
        <v>426876.46771621506</v>
      </c>
      <c r="I892">
        <v>54.972374353971375</v>
      </c>
    </row>
    <row r="893" spans="1:9" x14ac:dyDescent="0.2">
      <c r="A893">
        <v>888</v>
      </c>
      <c r="B893">
        <v>1536285.3353716633</v>
      </c>
      <c r="C893">
        <v>142750.92421864602</v>
      </c>
      <c r="D893">
        <v>54562.963541652432</v>
      </c>
      <c r="E893">
        <v>186729.21119945133</v>
      </c>
      <c r="F893">
        <v>48927.406929192788</v>
      </c>
      <c r="G893">
        <v>10000</v>
      </c>
      <c r="H893">
        <v>422970.50588894257</v>
      </c>
      <c r="I893">
        <v>36.125030412059168</v>
      </c>
    </row>
    <row r="894" spans="1:9" x14ac:dyDescent="0.2">
      <c r="A894">
        <v>889</v>
      </c>
      <c r="B894">
        <v>1304351.8550781007</v>
      </c>
      <c r="C894">
        <v>144778.72061937666</v>
      </c>
      <c r="D894">
        <v>87797.79310920494</v>
      </c>
      <c r="E894">
        <v>94301.049522469373</v>
      </c>
      <c r="F894">
        <v>42528.534197709421</v>
      </c>
      <c r="G894">
        <v>10000</v>
      </c>
      <c r="H894">
        <v>359406.09744876041</v>
      </c>
      <c r="I894">
        <v>32.166935424079377</v>
      </c>
    </row>
    <row r="895" spans="1:9" x14ac:dyDescent="0.2">
      <c r="A895">
        <v>890</v>
      </c>
      <c r="B895">
        <v>1406905.3071203928</v>
      </c>
      <c r="C895">
        <v>121164.02354008026</v>
      </c>
      <c r="D895">
        <v>161551.4216763865</v>
      </c>
      <c r="E895">
        <v>73694.820061512321</v>
      </c>
      <c r="F895">
        <v>41101.949081181629</v>
      </c>
      <c r="G895">
        <v>10000</v>
      </c>
      <c r="H895">
        <v>387512.21435916069</v>
      </c>
      <c r="I895">
        <v>40.969029757140376</v>
      </c>
    </row>
    <row r="896" spans="1:9" x14ac:dyDescent="0.2">
      <c r="A896">
        <v>891</v>
      </c>
      <c r="B896">
        <v>1685942.9404632782</v>
      </c>
      <c r="C896">
        <v>135265.4448516634</v>
      </c>
      <c r="D896">
        <v>89888.724108600887</v>
      </c>
      <c r="E896">
        <v>199051.47713499769</v>
      </c>
      <c r="F896">
        <v>49780.486878576761</v>
      </c>
      <c r="G896">
        <v>10000</v>
      </c>
      <c r="H896">
        <v>463986.13297383877</v>
      </c>
      <c r="I896">
        <v>37.999061710256854</v>
      </c>
    </row>
    <row r="897" spans="1:9" x14ac:dyDescent="0.2">
      <c r="A897">
        <v>892</v>
      </c>
      <c r="B897">
        <v>1454323.354272722</v>
      </c>
      <c r="C897">
        <v>113182.36344793433</v>
      </c>
      <c r="D897">
        <v>53749.439093840912</v>
      </c>
      <c r="E897">
        <v>194135.77943696649</v>
      </c>
      <c r="F897">
        <v>49440.169345636146</v>
      </c>
      <c r="G897">
        <v>10000</v>
      </c>
      <c r="H897">
        <v>400507.7513243779</v>
      </c>
      <c r="I897">
        <v>30.620196239442929</v>
      </c>
    </row>
    <row r="898" spans="1:9" x14ac:dyDescent="0.2">
      <c r="A898">
        <v>893</v>
      </c>
      <c r="B898">
        <v>1350097.9864107764</v>
      </c>
      <c r="C898">
        <v>131761.90723724425</v>
      </c>
      <c r="D898">
        <v>65328.531410529598</v>
      </c>
      <c r="E898">
        <v>139215.02225566603</v>
      </c>
      <c r="F898">
        <v>45637.963079238412</v>
      </c>
      <c r="G898">
        <v>10000</v>
      </c>
      <c r="H898">
        <v>371943.42398267833</v>
      </c>
      <c r="I898">
        <v>40.855935504385883</v>
      </c>
    </row>
    <row r="899" spans="1:9" x14ac:dyDescent="0.2">
      <c r="A899">
        <v>894</v>
      </c>
      <c r="B899">
        <v>1691523.2880635723</v>
      </c>
      <c r="C899">
        <v>149473.06541083666</v>
      </c>
      <c r="D899">
        <v>68627.430563435046</v>
      </c>
      <c r="E899">
        <v>207078.78105430322</v>
      </c>
      <c r="F899">
        <v>50336.223303759456</v>
      </c>
      <c r="G899">
        <v>10000</v>
      </c>
      <c r="H899">
        <v>465515.50033233443</v>
      </c>
      <c r="I899">
        <v>27.947614722722882</v>
      </c>
    </row>
    <row r="900" spans="1:9" x14ac:dyDescent="0.2">
      <c r="A900">
        <v>895</v>
      </c>
      <c r="B900">
        <v>1382611.2605071692</v>
      </c>
      <c r="C900">
        <v>108713.51613842507</v>
      </c>
      <c r="D900">
        <v>104417.41396149162</v>
      </c>
      <c r="E900">
        <v>132546.86137764019</v>
      </c>
      <c r="F900">
        <v>45176.321172298165</v>
      </c>
      <c r="G900">
        <v>10000</v>
      </c>
      <c r="H900">
        <v>380854.11264985509</v>
      </c>
      <c r="I900">
        <v>38.644297391376455</v>
      </c>
    </row>
    <row r="901" spans="1:9" x14ac:dyDescent="0.2">
      <c r="A901">
        <v>896</v>
      </c>
      <c r="B901">
        <v>1038670.662279939</v>
      </c>
      <c r="C901">
        <v>95478.901815224875</v>
      </c>
      <c r="D901">
        <v>29218.128418369884</v>
      </c>
      <c r="E901">
        <v>127096.65677646769</v>
      </c>
      <c r="F901">
        <v>44798.999315293921</v>
      </c>
      <c r="G901">
        <v>10000</v>
      </c>
      <c r="H901">
        <v>286592.68632535636</v>
      </c>
      <c r="I901">
        <v>32.602021268349404</v>
      </c>
    </row>
    <row r="902" spans="1:9" x14ac:dyDescent="0.2">
      <c r="A902">
        <v>897</v>
      </c>
      <c r="B902">
        <v>1365655.119772248</v>
      </c>
      <c r="C902">
        <v>120125.7905247431</v>
      </c>
      <c r="D902">
        <v>123748.53754481328</v>
      </c>
      <c r="E902">
        <v>99447.878940908849</v>
      </c>
      <c r="F902">
        <v>42884.853157447535</v>
      </c>
      <c r="G902">
        <v>10000</v>
      </c>
      <c r="H902">
        <v>376207.06016791274</v>
      </c>
      <c r="I902">
        <v>36.360670989970117</v>
      </c>
    </row>
    <row r="903" spans="1:9" x14ac:dyDescent="0.2">
      <c r="A903">
        <v>898</v>
      </c>
      <c r="B903">
        <v>1017091.9301176568</v>
      </c>
      <c r="C903">
        <v>95571.267498991729</v>
      </c>
      <c r="D903">
        <v>80246.863205925561</v>
      </c>
      <c r="E903">
        <v>73754.538004794638</v>
      </c>
      <c r="F903">
        <v>41106.083400331932</v>
      </c>
      <c r="G903">
        <v>10000</v>
      </c>
      <c r="H903">
        <v>280678.75211004389</v>
      </c>
      <c r="I903">
        <v>25.373599357228635</v>
      </c>
    </row>
    <row r="904" spans="1:9" x14ac:dyDescent="0.2">
      <c r="A904">
        <v>899</v>
      </c>
      <c r="B904">
        <v>1205771.373874339</v>
      </c>
      <c r="C904">
        <v>107646.19826319448</v>
      </c>
      <c r="D904">
        <v>33322.628227789704</v>
      </c>
      <c r="E904">
        <v>154709.35134780186</v>
      </c>
      <c r="F904">
        <v>46710.647401001668</v>
      </c>
      <c r="G904">
        <v>10000</v>
      </c>
      <c r="H904">
        <v>332388.82523978769</v>
      </c>
      <c r="I904">
        <v>38.250613283241336</v>
      </c>
    </row>
    <row r="905" spans="1:9" x14ac:dyDescent="0.2">
      <c r="A905">
        <v>900</v>
      </c>
      <c r="B905">
        <v>1416424.8044930161</v>
      </c>
      <c r="C905">
        <v>118101.82181889506</v>
      </c>
      <c r="D905">
        <v>156968.86428511859</v>
      </c>
      <c r="E905">
        <v>83284.613360790798</v>
      </c>
      <c r="F905">
        <v>41765.857848054751</v>
      </c>
      <c r="G905">
        <v>10000</v>
      </c>
      <c r="H905">
        <v>390121.1573128592</v>
      </c>
      <c r="I905">
        <v>38.212749115994782</v>
      </c>
    </row>
    <row r="906" spans="1:9" x14ac:dyDescent="0.2">
      <c r="A906">
        <v>901</v>
      </c>
      <c r="B906">
        <v>1167769.9379790761</v>
      </c>
      <c r="C906">
        <v>164411.24760474366</v>
      </c>
      <c r="D906">
        <v>43484.872161007122</v>
      </c>
      <c r="E906">
        <v>82375.027645509457</v>
      </c>
      <c r="F906">
        <v>41702.886529304502</v>
      </c>
      <c r="G906">
        <v>10000</v>
      </c>
      <c r="H906">
        <v>321974.03394056472</v>
      </c>
      <c r="I906">
        <v>30.949403227115216</v>
      </c>
    </row>
    <row r="907" spans="1:9" x14ac:dyDescent="0.2">
      <c r="A907">
        <v>902</v>
      </c>
      <c r="B907">
        <v>1529743.5184514152</v>
      </c>
      <c r="C907">
        <v>129240.68579175454</v>
      </c>
      <c r="D907">
        <v>90388.983367448498</v>
      </c>
      <c r="E907">
        <v>164181.55103769686</v>
      </c>
      <c r="F907">
        <v>47366.415071840558</v>
      </c>
      <c r="G907">
        <v>10000</v>
      </c>
      <c r="H907">
        <v>421177.63526874047</v>
      </c>
      <c r="I907">
        <v>45.415102951771374</v>
      </c>
    </row>
    <row r="908" spans="1:9" x14ac:dyDescent="0.2">
      <c r="A908">
        <v>903</v>
      </c>
      <c r="B908">
        <v>980168.40112795448</v>
      </c>
      <c r="C908">
        <v>71769.904100137588</v>
      </c>
      <c r="D908">
        <v>75534.478164171465</v>
      </c>
      <c r="E908">
        <v>90957.907172622829</v>
      </c>
      <c r="F908">
        <v>42297.085881181578</v>
      </c>
      <c r="G908">
        <v>10000</v>
      </c>
      <c r="H908">
        <v>270559.37531811342</v>
      </c>
      <c r="I908">
        <v>33.070146325327627</v>
      </c>
    </row>
    <row r="909" spans="1:9" x14ac:dyDescent="0.2">
      <c r="A909">
        <v>904</v>
      </c>
      <c r="B909">
        <v>989214.19939513376</v>
      </c>
      <c r="C909">
        <v>115270.47716339036</v>
      </c>
      <c r="D909">
        <v>78670.477578913895</v>
      </c>
      <c r="E909">
        <v>49659.569863234305</v>
      </c>
      <c r="F909">
        <v>39437.970221300835</v>
      </c>
      <c r="G909">
        <v>10000</v>
      </c>
      <c r="H909">
        <v>273038.49482683936</v>
      </c>
      <c r="I909">
        <v>44.797551418892937</v>
      </c>
    </row>
    <row r="910" spans="1:9" x14ac:dyDescent="0.2">
      <c r="A910">
        <v>905</v>
      </c>
      <c r="B910">
        <v>1480750.3765068965</v>
      </c>
      <c r="C910">
        <v>128418.09130224993</v>
      </c>
      <c r="D910">
        <v>105809.17919061404</v>
      </c>
      <c r="E910">
        <v>137971.29365848287</v>
      </c>
      <c r="F910">
        <v>45551.858791741128</v>
      </c>
      <c r="G910">
        <v>10000</v>
      </c>
      <c r="H910">
        <v>407750.42294308793</v>
      </c>
      <c r="I910">
        <v>30.190188225201862</v>
      </c>
    </row>
    <row r="911" spans="1:9" x14ac:dyDescent="0.2">
      <c r="A911">
        <v>906</v>
      </c>
      <c r="B911">
        <v>1628013.8818160763</v>
      </c>
      <c r="C911">
        <v>133670.10818663897</v>
      </c>
      <c r="D911">
        <v>118004.57983130433</v>
      </c>
      <c r="E911">
        <v>159399.85315448203</v>
      </c>
      <c r="F911">
        <v>47035.37444915645</v>
      </c>
      <c r="G911">
        <v>10000</v>
      </c>
      <c r="H911">
        <v>448109.91562158178</v>
      </c>
      <c r="I911">
        <v>45.508087380906034</v>
      </c>
    </row>
    <row r="912" spans="1:9" x14ac:dyDescent="0.2">
      <c r="A912">
        <v>907</v>
      </c>
      <c r="B912">
        <v>1703692.677978619</v>
      </c>
      <c r="C912">
        <v>148028.76004343326</v>
      </c>
      <c r="D912">
        <v>123850.07887336575</v>
      </c>
      <c r="E912">
        <v>159901.72285746885</v>
      </c>
      <c r="F912">
        <v>47070.119274747842</v>
      </c>
      <c r="G912">
        <v>10000</v>
      </c>
      <c r="H912">
        <v>468850.68104901566</v>
      </c>
      <c r="I912">
        <v>30.209753490296805</v>
      </c>
    </row>
    <row r="913" spans="1:9" x14ac:dyDescent="0.2">
      <c r="A913">
        <v>908</v>
      </c>
      <c r="B913">
        <v>1096455.9874706161</v>
      </c>
      <c r="C913">
        <v>97651.679382512404</v>
      </c>
      <c r="D913">
        <v>73739.586493602052</v>
      </c>
      <c r="E913">
        <v>98237.20826935982</v>
      </c>
      <c r="F913">
        <v>42801.037495571065</v>
      </c>
      <c r="G913">
        <v>10000</v>
      </c>
      <c r="H913">
        <v>302429.51164104533</v>
      </c>
      <c r="I913">
        <v>43.172592005493968</v>
      </c>
    </row>
    <row r="914" spans="1:9" x14ac:dyDescent="0.2">
      <c r="A914">
        <v>909</v>
      </c>
      <c r="B914">
        <v>1535554.3852018355</v>
      </c>
      <c r="C914">
        <v>142136.56685183069</v>
      </c>
      <c r="D914">
        <v>125822.45559284248</v>
      </c>
      <c r="E914">
        <v>120470.86623588666</v>
      </c>
      <c r="F914">
        <v>44340.290739407537</v>
      </c>
      <c r="G914">
        <v>10000</v>
      </c>
      <c r="H914">
        <v>422770.17941996735</v>
      </c>
      <c r="I914">
        <v>41.944342912148556</v>
      </c>
    </row>
    <row r="915" spans="1:9" x14ac:dyDescent="0.2">
      <c r="A915">
        <v>910</v>
      </c>
      <c r="B915">
        <v>1428895.1805194123</v>
      </c>
      <c r="C915">
        <v>102599.78087261478</v>
      </c>
      <c r="D915">
        <v>57908.29726030567</v>
      </c>
      <c r="E915">
        <v>193625.88043747097</v>
      </c>
      <c r="F915">
        <v>49404.868645671064</v>
      </c>
      <c r="G915">
        <v>10000</v>
      </c>
      <c r="H915">
        <v>393538.82721606246</v>
      </c>
      <c r="I915">
        <v>40.365027503665658</v>
      </c>
    </row>
    <row r="916" spans="1:9" x14ac:dyDescent="0.2">
      <c r="A916">
        <v>911</v>
      </c>
      <c r="B916">
        <v>1474071.9794048453</v>
      </c>
      <c r="C916">
        <v>118639.7226562421</v>
      </c>
      <c r="D916">
        <v>104036.92815244955</v>
      </c>
      <c r="E916">
        <v>147062.23806053709</v>
      </c>
      <c r="F916">
        <v>46181.231865729489</v>
      </c>
      <c r="G916">
        <v>10000</v>
      </c>
      <c r="H916">
        <v>405920.12073495821</v>
      </c>
      <c r="I916">
        <v>42.595991014445353</v>
      </c>
    </row>
    <row r="917" spans="1:9" x14ac:dyDescent="0.2">
      <c r="A917">
        <v>912</v>
      </c>
      <c r="B917">
        <v>1511411.9439036727</v>
      </c>
      <c r="C917">
        <v>104335.65350796201</v>
      </c>
      <c r="D917">
        <v>112976.9969043506</v>
      </c>
      <c r="E917">
        <v>161649.83434325471</v>
      </c>
      <c r="F917">
        <v>47191.14237760994</v>
      </c>
      <c r="G917">
        <v>10000</v>
      </c>
      <c r="H917">
        <v>416153.62713317724</v>
      </c>
      <c r="I917">
        <v>45.277383879948516</v>
      </c>
    </row>
    <row r="918" spans="1:9" x14ac:dyDescent="0.2">
      <c r="A918">
        <v>913</v>
      </c>
      <c r="B918">
        <v>1301761.4351472724</v>
      </c>
      <c r="C918">
        <v>84436.967699473287</v>
      </c>
      <c r="D918">
        <v>138620.19665646603</v>
      </c>
      <c r="E918">
        <v>102540.06687160017</v>
      </c>
      <c r="F918">
        <v>43098.927706495393</v>
      </c>
      <c r="G918">
        <v>10000</v>
      </c>
      <c r="H918">
        <v>358696.15893403487</v>
      </c>
      <c r="I918">
        <v>37.168296165318615</v>
      </c>
    </row>
    <row r="919" spans="1:9" x14ac:dyDescent="0.2">
      <c r="A919">
        <v>914</v>
      </c>
      <c r="B919">
        <v>1783315.4548964703</v>
      </c>
      <c r="C919">
        <v>128140.59655190246</v>
      </c>
      <c r="D919">
        <v>161998.25685298149</v>
      </c>
      <c r="E919">
        <v>163232.7629203003</v>
      </c>
      <c r="F919">
        <v>47300.729740636176</v>
      </c>
      <c r="G919">
        <v>10000</v>
      </c>
      <c r="H919">
        <v>490672.34606582043</v>
      </c>
      <c r="I919">
        <v>40.469144654083181</v>
      </c>
    </row>
    <row r="920" spans="1:9" x14ac:dyDescent="0.2">
      <c r="A920">
        <v>915</v>
      </c>
      <c r="B920">
        <v>1305294.7613116563</v>
      </c>
      <c r="C920">
        <v>96647.735745922997</v>
      </c>
      <c r="D920">
        <v>152921.61335811252</v>
      </c>
      <c r="E920">
        <v>78650.153521059343</v>
      </c>
      <c r="F920">
        <v>41445.010628381024</v>
      </c>
      <c r="G920">
        <v>10000</v>
      </c>
      <c r="H920">
        <v>359664.51325347589</v>
      </c>
      <c r="I920">
        <v>42.203012800501099</v>
      </c>
    </row>
    <row r="921" spans="1:9" x14ac:dyDescent="0.2">
      <c r="A921">
        <v>916</v>
      </c>
      <c r="B921">
        <v>985802.14974993386</v>
      </c>
      <c r="C921">
        <v>96937.138526803828</v>
      </c>
      <c r="D921">
        <v>52434.435223875298</v>
      </c>
      <c r="E921">
        <v>90468.593833144143</v>
      </c>
      <c r="F921">
        <v>42263.210342294595</v>
      </c>
      <c r="G921">
        <v>10000</v>
      </c>
      <c r="H921">
        <v>272103.37792611786</v>
      </c>
      <c r="I921">
        <v>39.12740962181018</v>
      </c>
    </row>
    <row r="922" spans="1:9" x14ac:dyDescent="0.2">
      <c r="A922">
        <v>917</v>
      </c>
      <c r="B922">
        <v>1330278.3354278032</v>
      </c>
      <c r="C922">
        <v>97827.59486307668</v>
      </c>
      <c r="D922">
        <v>95333.774222056876</v>
      </c>
      <c r="E922">
        <v>137809.55820057212</v>
      </c>
      <c r="F922">
        <v>45540.661721578072</v>
      </c>
      <c r="G922">
        <v>10000</v>
      </c>
      <c r="H922">
        <v>366511.58900728379</v>
      </c>
      <c r="I922">
        <v>45.104863437198716</v>
      </c>
    </row>
    <row r="923" spans="1:9" x14ac:dyDescent="0.2">
      <c r="A923">
        <v>918</v>
      </c>
      <c r="B923">
        <v>1579209.6364654624</v>
      </c>
      <c r="C923">
        <v>105660.07334940421</v>
      </c>
      <c r="D923">
        <v>113396.69799741806</v>
      </c>
      <c r="E923">
        <v>177396.41150762825</v>
      </c>
      <c r="F923">
        <v>48281.290027451185</v>
      </c>
      <c r="G923">
        <v>10000</v>
      </c>
      <c r="H923">
        <v>434734.47288190172</v>
      </c>
      <c r="I923">
        <v>28.393568699922319</v>
      </c>
    </row>
    <row r="924" spans="1:9" x14ac:dyDescent="0.2">
      <c r="A924">
        <v>919</v>
      </c>
      <c r="B924">
        <v>906496.78679296491</v>
      </c>
      <c r="C924">
        <v>97739.464456693691</v>
      </c>
      <c r="D924">
        <v>63523.02324677787</v>
      </c>
      <c r="E924">
        <v>59020.202631394088</v>
      </c>
      <c r="F924">
        <v>40086.014028327285</v>
      </c>
      <c r="G924">
        <v>10000</v>
      </c>
      <c r="H924">
        <v>250368.70436319293</v>
      </c>
      <c r="I924">
        <v>26.42715984131565</v>
      </c>
    </row>
    <row r="925" spans="1:9" x14ac:dyDescent="0.2">
      <c r="A925">
        <v>920</v>
      </c>
      <c r="B925">
        <v>1391793.9954879577</v>
      </c>
      <c r="C925">
        <v>106743.04632336329</v>
      </c>
      <c r="D925">
        <v>138129.6675709484</v>
      </c>
      <c r="E925">
        <v>105214.00131923117</v>
      </c>
      <c r="F925">
        <v>43284.046245177538</v>
      </c>
      <c r="G925">
        <v>10000</v>
      </c>
      <c r="H925">
        <v>383370.76145872043</v>
      </c>
      <c r="I925">
        <v>39.82381213644382</v>
      </c>
    </row>
    <row r="926" spans="1:9" x14ac:dyDescent="0.2">
      <c r="A926">
        <v>921</v>
      </c>
      <c r="B926">
        <v>1153562.5387104759</v>
      </c>
      <c r="C926">
        <v>129726.16491507244</v>
      </c>
      <c r="D926">
        <v>99784.480463573476</v>
      </c>
      <c r="E926">
        <v>58518.391432392949</v>
      </c>
      <c r="F926">
        <v>40051.273253011816</v>
      </c>
      <c r="G926">
        <v>10000</v>
      </c>
      <c r="H926">
        <v>318080.31006405066</v>
      </c>
      <c r="I926">
        <v>50.792289660525213</v>
      </c>
    </row>
    <row r="927" spans="1:9" x14ac:dyDescent="0.2">
      <c r="A927">
        <v>922</v>
      </c>
      <c r="B927">
        <v>1006126.2047510194</v>
      </c>
      <c r="C927">
        <v>101991.11039893671</v>
      </c>
      <c r="D927">
        <v>113916.18295447856</v>
      </c>
      <c r="E927">
        <v>33450.363668761936</v>
      </c>
      <c r="F927">
        <v>38315.794407837362</v>
      </c>
      <c r="G927">
        <v>10000</v>
      </c>
      <c r="H927">
        <v>277673.45143001457</v>
      </c>
      <c r="I927">
        <v>39.422230972288361</v>
      </c>
    </row>
    <row r="928" spans="1:9" x14ac:dyDescent="0.2">
      <c r="A928">
        <v>923</v>
      </c>
      <c r="B928">
        <v>1127052.8499153235</v>
      </c>
      <c r="C928">
        <v>85158.319023630305</v>
      </c>
      <c r="D928">
        <v>127969.12590885769</v>
      </c>
      <c r="E928">
        <v>67045.898529946484</v>
      </c>
      <c r="F928">
        <v>40641.639128996292</v>
      </c>
      <c r="G928">
        <v>10000</v>
      </c>
      <c r="H928">
        <v>310814.98259143077</v>
      </c>
      <c r="I928">
        <v>48.699889527410093</v>
      </c>
    </row>
    <row r="929" spans="1:9" x14ac:dyDescent="0.2">
      <c r="A929">
        <v>924</v>
      </c>
      <c r="B929">
        <v>1111306.7569418577</v>
      </c>
      <c r="C929">
        <v>111999.58658916224</v>
      </c>
      <c r="D929">
        <v>74352.3343740688</v>
      </c>
      <c r="E929">
        <v>88051.748317897989</v>
      </c>
      <c r="F929">
        <v>42095.890268162169</v>
      </c>
      <c r="G929">
        <v>10000</v>
      </c>
      <c r="H929">
        <v>306499.55954929121</v>
      </c>
      <c r="I929">
        <v>45.039863698468409</v>
      </c>
    </row>
    <row r="930" spans="1:9" x14ac:dyDescent="0.2">
      <c r="A930">
        <v>925</v>
      </c>
      <c r="B930">
        <v>1084202.0900073498</v>
      </c>
      <c r="C930">
        <v>80789.76772707967</v>
      </c>
      <c r="D930">
        <v>88201.427883325101</v>
      </c>
      <c r="E930">
        <v>97340.983731938322</v>
      </c>
      <c r="F930">
        <v>42738.991181441881</v>
      </c>
      <c r="G930">
        <v>10000</v>
      </c>
      <c r="H930">
        <v>299071.170523785</v>
      </c>
      <c r="I930">
        <v>50.21094697150113</v>
      </c>
    </row>
    <row r="931" spans="1:9" x14ac:dyDescent="0.2">
      <c r="A931">
        <v>926</v>
      </c>
      <c r="B931">
        <v>813923.52029430331</v>
      </c>
      <c r="C931">
        <v>97721.643717289771</v>
      </c>
      <c r="D931">
        <v>59835.148950968549</v>
      </c>
      <c r="E931">
        <v>38757.765450392581</v>
      </c>
      <c r="F931">
        <v>38683.229915796408</v>
      </c>
      <c r="G931">
        <v>10000</v>
      </c>
      <c r="H931">
        <v>224997.78803444729</v>
      </c>
      <c r="I931">
        <v>35.824546176629596</v>
      </c>
    </row>
    <row r="932" spans="1:9" x14ac:dyDescent="0.2">
      <c r="A932">
        <v>927</v>
      </c>
      <c r="B932">
        <v>1173548.4073180181</v>
      </c>
      <c r="C932">
        <v>100570.08032205286</v>
      </c>
      <c r="D932">
        <v>71807.514541373777</v>
      </c>
      <c r="E932">
        <v>117074.91768444295</v>
      </c>
      <c r="F932">
        <v>44105.186608922973</v>
      </c>
      <c r="G932">
        <v>10000</v>
      </c>
      <c r="H932">
        <v>323557.69915679254</v>
      </c>
      <c r="I932">
        <v>36.195080096708963</v>
      </c>
    </row>
    <row r="933" spans="1:9" x14ac:dyDescent="0.2">
      <c r="A933">
        <v>928</v>
      </c>
      <c r="B933">
        <v>1558525.1920322161</v>
      </c>
      <c r="C933">
        <v>142539.27101346245</v>
      </c>
      <c r="D933">
        <v>54473.751280337223</v>
      </c>
      <c r="E933">
        <v>192711.07189303241</v>
      </c>
      <c r="F933">
        <v>49341.535746440706</v>
      </c>
      <c r="G933">
        <v>10000</v>
      </c>
      <c r="H933">
        <v>429065.62993327278</v>
      </c>
      <c r="I933">
        <v>31.018180738620753</v>
      </c>
    </row>
    <row r="934" spans="1:9" x14ac:dyDescent="0.2">
      <c r="A934">
        <v>929</v>
      </c>
      <c r="B934">
        <v>1630429.2674759277</v>
      </c>
      <c r="C934">
        <v>96946.21738726784</v>
      </c>
      <c r="D934">
        <v>132375.23484390817</v>
      </c>
      <c r="E934">
        <v>180924.86396507005</v>
      </c>
      <c r="F934">
        <v>48525.567505274077</v>
      </c>
      <c r="G934">
        <v>10000</v>
      </c>
      <c r="H934">
        <v>448771.88370152016</v>
      </c>
      <c r="I934">
        <v>34.392907174148803</v>
      </c>
    </row>
    <row r="935" spans="1:9" x14ac:dyDescent="0.2">
      <c r="A935">
        <v>930</v>
      </c>
      <c r="B935">
        <v>1689020.2498624623</v>
      </c>
      <c r="C935">
        <v>97710.750887356175</v>
      </c>
      <c r="D935">
        <v>144129.65697663481</v>
      </c>
      <c r="E935">
        <v>184234.41199976433</v>
      </c>
      <c r="F935">
        <v>48754.690061522146</v>
      </c>
      <c r="G935">
        <v>10000</v>
      </c>
      <c r="H935">
        <v>464829.50992527744</v>
      </c>
      <c r="I935">
        <v>35.580756059973943</v>
      </c>
    </row>
    <row r="936" spans="1:9" x14ac:dyDescent="0.2">
      <c r="A936">
        <v>931</v>
      </c>
      <c r="B936">
        <v>1661869.3522424751</v>
      </c>
      <c r="C936">
        <v>132647.74800748806</v>
      </c>
      <c r="D936">
        <v>87707.787439031963</v>
      </c>
      <c r="E936">
        <v>197368.91361640141</v>
      </c>
      <c r="F936">
        <v>49664.001711904712</v>
      </c>
      <c r="G936">
        <v>10000</v>
      </c>
      <c r="H936">
        <v>457388.45077482617</v>
      </c>
      <c r="I936">
        <v>29.320508153177901</v>
      </c>
    </row>
    <row r="937" spans="1:9" x14ac:dyDescent="0.2">
      <c r="A937">
        <v>932</v>
      </c>
      <c r="B937">
        <v>1162687.4927237956</v>
      </c>
      <c r="C937">
        <v>98974.139101441717</v>
      </c>
      <c r="D937">
        <v>70348.733964886502</v>
      </c>
      <c r="E937">
        <v>117148.00376131778</v>
      </c>
      <c r="F937">
        <v>44110.246414245077</v>
      </c>
      <c r="G937">
        <v>10000</v>
      </c>
      <c r="H937">
        <v>320581.12324189115</v>
      </c>
      <c r="I937">
        <v>30.69546792373465</v>
      </c>
    </row>
    <row r="938" spans="1:9" x14ac:dyDescent="0.2">
      <c r="A938">
        <v>933</v>
      </c>
      <c r="B938">
        <v>1002585.9109343523</v>
      </c>
      <c r="C938">
        <v>102689.0213948725</v>
      </c>
      <c r="D938">
        <v>85093.766306298363</v>
      </c>
      <c r="E938">
        <v>58846.417110021568</v>
      </c>
      <c r="F938">
        <v>40073.982723001493</v>
      </c>
      <c r="G938">
        <v>10000</v>
      </c>
      <c r="H938">
        <v>276703.18753419392</v>
      </c>
      <c r="I938">
        <v>47.779930522694883</v>
      </c>
    </row>
    <row r="939" spans="1:9" x14ac:dyDescent="0.2">
      <c r="A939">
        <v>934</v>
      </c>
      <c r="B939">
        <v>1651205.3467836643</v>
      </c>
      <c r="C939">
        <v>110716.17049388851</v>
      </c>
      <c r="D939">
        <v>104542.26129664446</v>
      </c>
      <c r="E939">
        <v>199402.61235720827</v>
      </c>
      <c r="F939">
        <v>49804.796240114418</v>
      </c>
      <c r="G939">
        <v>10000</v>
      </c>
      <c r="H939">
        <v>454465.84038785566</v>
      </c>
      <c r="I939">
        <v>36.287099289757663</v>
      </c>
    </row>
    <row r="940" spans="1:9" x14ac:dyDescent="0.2">
      <c r="A940">
        <v>935</v>
      </c>
      <c r="B940">
        <v>1060745.7155595559</v>
      </c>
      <c r="C940">
        <v>131806.44291383377</v>
      </c>
      <c r="D940">
        <v>96787.23753592225</v>
      </c>
      <c r="E940">
        <v>35585.361448165087</v>
      </c>
      <c r="F940">
        <v>38463.601946411436</v>
      </c>
      <c r="G940">
        <v>10000</v>
      </c>
      <c r="H940">
        <v>292642.64384433255</v>
      </c>
      <c r="I940">
        <v>56.945762973242928</v>
      </c>
    </row>
    <row r="941" spans="1:9" x14ac:dyDescent="0.2">
      <c r="A941">
        <v>936</v>
      </c>
      <c r="B941">
        <v>942926.48558061151</v>
      </c>
      <c r="C941">
        <v>152117.10500712757</v>
      </c>
      <c r="D941">
        <v>27828.131150734647</v>
      </c>
      <c r="E941">
        <v>50884.716309371739</v>
      </c>
      <c r="F941">
        <v>39522.788052187272</v>
      </c>
      <c r="G941">
        <v>10000</v>
      </c>
      <c r="H941">
        <v>260352.74051942118</v>
      </c>
      <c r="I941">
        <v>33.140283857553612</v>
      </c>
    </row>
    <row r="942" spans="1:9" x14ac:dyDescent="0.2">
      <c r="A942">
        <v>937</v>
      </c>
      <c r="B942">
        <v>930032.96297753428</v>
      </c>
      <c r="C942">
        <v>88812.444863690776</v>
      </c>
      <c r="D942">
        <v>59681.529036538173</v>
      </c>
      <c r="E942">
        <v>76994.723891974412</v>
      </c>
      <c r="F942">
        <v>41330.403961752076</v>
      </c>
      <c r="G942">
        <v>10000</v>
      </c>
      <c r="H942">
        <v>256819.10175395542</v>
      </c>
      <c r="I942">
        <v>35.269890785223637</v>
      </c>
    </row>
    <row r="943" spans="1:9" x14ac:dyDescent="0.2">
      <c r="A943">
        <v>938</v>
      </c>
      <c r="B943">
        <v>1430978.1668566226</v>
      </c>
      <c r="C943">
        <v>96791.090737063772</v>
      </c>
      <c r="D943">
        <v>119373.06528875658</v>
      </c>
      <c r="E943">
        <v>142107.34039287546</v>
      </c>
      <c r="F943">
        <v>45838.20048873753</v>
      </c>
      <c r="G943">
        <v>10000</v>
      </c>
      <c r="H943">
        <v>394109.69690743333</v>
      </c>
      <c r="I943">
        <v>41.419093082307498</v>
      </c>
    </row>
    <row r="944" spans="1:9" x14ac:dyDescent="0.2">
      <c r="A944">
        <v>939</v>
      </c>
      <c r="B944">
        <v>1969620.6262343277</v>
      </c>
      <c r="C944">
        <v>158957.49600050054</v>
      </c>
      <c r="D944">
        <v>135567.75741828547</v>
      </c>
      <c r="E944">
        <v>206883.7445430411</v>
      </c>
      <c r="F944">
        <v>50322.720776056696</v>
      </c>
      <c r="G944">
        <v>10000</v>
      </c>
      <c r="H944">
        <v>541731.71873788373</v>
      </c>
      <c r="I944">
        <v>41.005372915918358</v>
      </c>
    </row>
    <row r="945" spans="1:9" x14ac:dyDescent="0.2">
      <c r="A945">
        <v>940</v>
      </c>
      <c r="B945">
        <v>1048207.1537677038</v>
      </c>
      <c r="C945">
        <v>87529.534737373644</v>
      </c>
      <c r="D945">
        <v>143060.04029291088</v>
      </c>
      <c r="E945">
        <v>30504.838288652216</v>
      </c>
      <c r="F945">
        <v>38111.873419983618</v>
      </c>
      <c r="G945">
        <v>10000</v>
      </c>
      <c r="H945">
        <v>289206.28673892037</v>
      </c>
      <c r="I945">
        <v>32.677414623892382</v>
      </c>
    </row>
    <row r="946" spans="1:9" x14ac:dyDescent="0.2">
      <c r="A946">
        <v>941</v>
      </c>
      <c r="B946">
        <v>1205379.1788714633</v>
      </c>
      <c r="C946">
        <v>147714.39114913967</v>
      </c>
      <c r="D946">
        <v>74710.34550280546</v>
      </c>
      <c r="E946">
        <v>78427.038225016528</v>
      </c>
      <c r="F946">
        <v>41429.564184808834</v>
      </c>
      <c r="G946">
        <v>10000</v>
      </c>
      <c r="H946">
        <v>332281.33906177047</v>
      </c>
      <c r="I946">
        <v>46.358932660603216</v>
      </c>
    </row>
    <row r="947" spans="1:9" x14ac:dyDescent="0.2">
      <c r="A947">
        <v>942</v>
      </c>
      <c r="B947">
        <v>995312.56598054036</v>
      </c>
      <c r="C947">
        <v>89578.491992528114</v>
      </c>
      <c r="D947">
        <v>92898.930316753307</v>
      </c>
      <c r="E947">
        <v>61943.980355389416</v>
      </c>
      <c r="F947">
        <v>40288.429409219265</v>
      </c>
      <c r="G947">
        <v>10000</v>
      </c>
      <c r="H947">
        <v>274709.83207389008</v>
      </c>
      <c r="I947">
        <v>36.700448269544999</v>
      </c>
    </row>
    <row r="948" spans="1:9" x14ac:dyDescent="0.2">
      <c r="A948">
        <v>943</v>
      </c>
      <c r="B948">
        <v>954780.79584381066</v>
      </c>
      <c r="C948">
        <v>136178.8630679973</v>
      </c>
      <c r="D948">
        <v>51768.578206738217</v>
      </c>
      <c r="E948">
        <v>46439.112756901202</v>
      </c>
      <c r="F948">
        <v>39215.015498554705</v>
      </c>
      <c r="G948">
        <v>10000</v>
      </c>
      <c r="H948">
        <v>263601.56953019142</v>
      </c>
      <c r="I948">
        <v>27.8490895779167</v>
      </c>
    </row>
    <row r="949" spans="1:9" x14ac:dyDescent="0.2">
      <c r="A949">
        <v>944</v>
      </c>
      <c r="B949">
        <v>1053518.0461782452</v>
      </c>
      <c r="C949">
        <v>92094.132258535334</v>
      </c>
      <c r="D949">
        <v>107599.54861978776</v>
      </c>
      <c r="E949">
        <v>60761.556218034355</v>
      </c>
      <c r="F949">
        <v>40206.569276633149</v>
      </c>
      <c r="G949">
        <v>10000</v>
      </c>
      <c r="H949">
        <v>290661.8063729906</v>
      </c>
      <c r="I949">
        <v>28.820916942096211</v>
      </c>
    </row>
    <row r="950" spans="1:9" x14ac:dyDescent="0.2">
      <c r="A950">
        <v>945</v>
      </c>
      <c r="B950">
        <v>1793211.9088446149</v>
      </c>
      <c r="C950">
        <v>137197.38574525024</v>
      </c>
      <c r="D950">
        <v>115045.82669087785</v>
      </c>
      <c r="E950">
        <v>201211.36864173569</v>
      </c>
      <c r="F950">
        <v>49930.017829043238</v>
      </c>
      <c r="G950">
        <v>10000</v>
      </c>
      <c r="H950">
        <v>493384.59890690702</v>
      </c>
      <c r="I950">
        <v>25.81516835373705</v>
      </c>
    </row>
    <row r="951" spans="1:9" x14ac:dyDescent="0.2">
      <c r="A951">
        <v>946</v>
      </c>
      <c r="B951">
        <v>1518250.1375757558</v>
      </c>
      <c r="C951">
        <v>122230.49422621586</v>
      </c>
      <c r="D951">
        <v>110977.7277414494</v>
      </c>
      <c r="E951">
        <v>148536.2246272995</v>
      </c>
      <c r="F951">
        <v>46283.277089582276</v>
      </c>
      <c r="G951">
        <v>10000</v>
      </c>
      <c r="H951">
        <v>418027.723684547</v>
      </c>
      <c r="I951">
        <v>41.959743767761069</v>
      </c>
    </row>
    <row r="952" spans="1:9" x14ac:dyDescent="0.2">
      <c r="A952">
        <v>947</v>
      </c>
      <c r="B952">
        <v>1713667.4309208305</v>
      </c>
      <c r="C952">
        <v>110159.48158219986</v>
      </c>
      <c r="D952">
        <v>140472.13785853831</v>
      </c>
      <c r="E952">
        <v>182329.93187673023</v>
      </c>
      <c r="F952">
        <v>48622.841437619783</v>
      </c>
      <c r="G952">
        <v>10000</v>
      </c>
      <c r="H952">
        <v>471584.39275508816</v>
      </c>
      <c r="I952">
        <v>36.237259283926463</v>
      </c>
    </row>
    <row r="953" spans="1:9" x14ac:dyDescent="0.2">
      <c r="A953">
        <v>948</v>
      </c>
      <c r="B953">
        <v>1012547.352287642</v>
      </c>
      <c r="C953">
        <v>126009.54546958102</v>
      </c>
      <c r="D953">
        <v>55530.184989136469</v>
      </c>
      <c r="E953">
        <v>67238.544414461925</v>
      </c>
      <c r="F953">
        <v>40654.976151770439</v>
      </c>
      <c r="G953">
        <v>10000</v>
      </c>
      <c r="H953">
        <v>279433.25102494989</v>
      </c>
      <c r="I953">
        <v>43.559716865639913</v>
      </c>
    </row>
    <row r="954" spans="1:9" x14ac:dyDescent="0.2">
      <c r="A954">
        <v>949</v>
      </c>
      <c r="B954">
        <v>1813026.7712966576</v>
      </c>
      <c r="C954">
        <v>158205.43933607294</v>
      </c>
      <c r="D954">
        <v>131865.46484026031</v>
      </c>
      <c r="E954">
        <v>170911.85794981482</v>
      </c>
      <c r="F954">
        <v>47832.359396525637</v>
      </c>
      <c r="G954">
        <v>10000</v>
      </c>
      <c r="H954">
        <v>498815.1215226737</v>
      </c>
      <c r="I954">
        <v>34.675544317407414</v>
      </c>
    </row>
    <row r="955" spans="1:9" x14ac:dyDescent="0.2">
      <c r="A955">
        <v>950</v>
      </c>
      <c r="B955">
        <v>1128594.8405800443</v>
      </c>
      <c r="C955">
        <v>158037.30151845215</v>
      </c>
      <c r="D955">
        <v>62529.51341380713</v>
      </c>
      <c r="E955">
        <v>60483.454330779226</v>
      </c>
      <c r="F955">
        <v>40187.316069053952</v>
      </c>
      <c r="G955">
        <v>10000</v>
      </c>
      <c r="H955">
        <v>311237.58533209242</v>
      </c>
      <c r="I955">
        <v>29.201775318644408</v>
      </c>
    </row>
    <row r="956" spans="1:9" x14ac:dyDescent="0.2">
      <c r="A956">
        <v>951</v>
      </c>
      <c r="B956">
        <v>1402106.6037212559</v>
      </c>
      <c r="C956">
        <v>122071.58492948569</v>
      </c>
      <c r="D956">
        <v>75699.15104756951</v>
      </c>
      <c r="E956">
        <v>151909.51806669429</v>
      </c>
      <c r="F956">
        <v>46516.812789232681</v>
      </c>
      <c r="G956">
        <v>10000</v>
      </c>
      <c r="H956">
        <v>386197.06683298224</v>
      </c>
      <c r="I956">
        <v>36.581891337697726</v>
      </c>
    </row>
    <row r="957" spans="1:9" x14ac:dyDescent="0.2">
      <c r="A957">
        <v>952</v>
      </c>
      <c r="B957">
        <v>1207904.7661973075</v>
      </c>
      <c r="C957">
        <v>132938.62794314069</v>
      </c>
      <c r="D957">
        <v>105591.36067497343</v>
      </c>
      <c r="E957">
        <v>64011.925866073238</v>
      </c>
      <c r="F957">
        <v>40431.59486765122</v>
      </c>
      <c r="G957">
        <v>10000</v>
      </c>
      <c r="H957">
        <v>332973.50935183861</v>
      </c>
      <c r="I957">
        <v>30.197706831455339</v>
      </c>
    </row>
    <row r="958" spans="1:9" x14ac:dyDescent="0.2">
      <c r="A958">
        <v>953</v>
      </c>
      <c r="B958">
        <v>996992.00925628422</v>
      </c>
      <c r="C958">
        <v>131154.33828939113</v>
      </c>
      <c r="D958">
        <v>41530.166790352749</v>
      </c>
      <c r="E958">
        <v>71533.295360006377</v>
      </c>
      <c r="F958">
        <v>40952.305063385051</v>
      </c>
      <c r="G958">
        <v>10000</v>
      </c>
      <c r="H958">
        <v>275170.1055031353</v>
      </c>
      <c r="I958">
        <v>34.39335969882859</v>
      </c>
    </row>
    <row r="959" spans="1:9" x14ac:dyDescent="0.2">
      <c r="A959">
        <v>954</v>
      </c>
      <c r="B959">
        <v>1582106.1160666435</v>
      </c>
      <c r="C959">
        <v>98154.0551804157</v>
      </c>
      <c r="D959">
        <v>94931.03926439854</v>
      </c>
      <c r="E959">
        <v>202428.88891923163</v>
      </c>
      <c r="F959">
        <v>50014.307694408344</v>
      </c>
      <c r="G959">
        <v>10000</v>
      </c>
      <c r="H959">
        <v>435528.2910584542</v>
      </c>
      <c r="I959">
        <v>52.169260594706117</v>
      </c>
    </row>
    <row r="960" spans="1:9" x14ac:dyDescent="0.2">
      <c r="A960">
        <v>955</v>
      </c>
      <c r="B960">
        <v>1449526.2721409984</v>
      </c>
      <c r="C960">
        <v>139453.66952037174</v>
      </c>
      <c r="D960">
        <v>95956.666264322674</v>
      </c>
      <c r="E960">
        <v>128861.52952949658</v>
      </c>
      <c r="F960">
        <v>44921.182813580534</v>
      </c>
      <c r="G960">
        <v>10000</v>
      </c>
      <c r="H960">
        <v>399193.04812777153</v>
      </c>
      <c r="I960">
        <v>38.552174501930324</v>
      </c>
    </row>
    <row r="961" spans="1:9" x14ac:dyDescent="0.2">
      <c r="A961">
        <v>956</v>
      </c>
      <c r="B961">
        <v>695358.07547661045</v>
      </c>
      <c r="C961">
        <v>104523.29414237628</v>
      </c>
      <c r="D961">
        <v>31050.78636578234</v>
      </c>
      <c r="E961">
        <v>28926.67807547214</v>
      </c>
      <c r="F961">
        <v>38002.616174455761</v>
      </c>
      <c r="G961">
        <v>10000</v>
      </c>
      <c r="H961">
        <v>192503.37475808655</v>
      </c>
      <c r="I961">
        <v>33.319448511129053</v>
      </c>
    </row>
    <row r="962" spans="1:9" x14ac:dyDescent="0.2">
      <c r="A962">
        <v>957</v>
      </c>
      <c r="B962">
        <v>1481908.7711436313</v>
      </c>
      <c r="C962">
        <v>132684.57848941622</v>
      </c>
      <c r="D962">
        <v>83235.036639508311</v>
      </c>
      <c r="E962">
        <v>155390.47866911656</v>
      </c>
      <c r="F962">
        <v>46757.802369400379</v>
      </c>
      <c r="G962">
        <v>10000</v>
      </c>
      <c r="H962">
        <v>408067.8961674415</v>
      </c>
      <c r="I962">
        <v>49.959045663328197</v>
      </c>
    </row>
    <row r="963" spans="1:9" x14ac:dyDescent="0.2">
      <c r="A963">
        <v>958</v>
      </c>
      <c r="B963">
        <v>1307362.5221748743</v>
      </c>
      <c r="C963">
        <v>141423.1446588448</v>
      </c>
      <c r="D963">
        <v>122777.51064706704</v>
      </c>
      <c r="E963">
        <v>65496.202422911942</v>
      </c>
      <c r="F963">
        <v>40534.352475432366</v>
      </c>
      <c r="G963">
        <v>10000</v>
      </c>
      <c r="H963">
        <v>360231.21020425617</v>
      </c>
      <c r="I963">
        <v>33.008090070177502</v>
      </c>
    </row>
    <row r="964" spans="1:9" x14ac:dyDescent="0.2">
      <c r="A964">
        <v>959</v>
      </c>
      <c r="B964">
        <v>1229059.1790737053</v>
      </c>
      <c r="C964">
        <v>88143.300027017947</v>
      </c>
      <c r="D964">
        <v>89558.222152296323</v>
      </c>
      <c r="E964">
        <v>126324.1154446274</v>
      </c>
      <c r="F964">
        <v>44745.515684628044</v>
      </c>
      <c r="G964">
        <v>10000</v>
      </c>
      <c r="H964">
        <v>338771.15330856974</v>
      </c>
      <c r="I964">
        <v>42.680429042320512</v>
      </c>
    </row>
    <row r="965" spans="1:9" x14ac:dyDescent="0.2">
      <c r="A965">
        <v>960</v>
      </c>
      <c r="B965">
        <v>1486512.0926576834</v>
      </c>
      <c r="C965">
        <v>102559.40141309478</v>
      </c>
      <c r="D965">
        <v>91311.161845236231</v>
      </c>
      <c r="E965">
        <v>177191.80828159038</v>
      </c>
      <c r="F965">
        <v>48267.125188725484</v>
      </c>
      <c r="G965">
        <v>10000</v>
      </c>
      <c r="H965">
        <v>409329.49672864686</v>
      </c>
      <c r="I965">
        <v>36.102473117413908</v>
      </c>
    </row>
    <row r="966" spans="1:9" x14ac:dyDescent="0.2">
      <c r="A966">
        <v>961</v>
      </c>
      <c r="B966">
        <v>1174983.3123862438</v>
      </c>
      <c r="C966">
        <v>104088.33168644602</v>
      </c>
      <c r="D966">
        <v>102384.3184695261</v>
      </c>
      <c r="E966">
        <v>85555.24790670615</v>
      </c>
      <c r="F966">
        <v>41923.055624310422</v>
      </c>
      <c r="G966">
        <v>10000</v>
      </c>
      <c r="H966">
        <v>323950.95368698868</v>
      </c>
      <c r="I966">
        <v>34.238422869294865</v>
      </c>
    </row>
    <row r="967" spans="1:9" x14ac:dyDescent="0.2">
      <c r="A967">
        <v>962</v>
      </c>
      <c r="B967">
        <v>1546543.7469071983</v>
      </c>
      <c r="C967">
        <v>138003.715911156</v>
      </c>
      <c r="D967">
        <v>53982.451435976043</v>
      </c>
      <c r="E967">
        <v>194341.38689312604</v>
      </c>
      <c r="F967">
        <v>49454.40370798565</v>
      </c>
      <c r="G967">
        <v>10000</v>
      </c>
      <c r="H967">
        <v>425781.95794824371</v>
      </c>
      <c r="I967">
        <v>42.429501774830499</v>
      </c>
    </row>
    <row r="968" spans="1:9" x14ac:dyDescent="0.2">
      <c r="A968">
        <v>963</v>
      </c>
      <c r="B968">
        <v>1314574.2929763186</v>
      </c>
      <c r="C968">
        <v>89321.90302223347</v>
      </c>
      <c r="D968">
        <v>80335.508028986194</v>
      </c>
      <c r="E968">
        <v>155766.44836935075</v>
      </c>
      <c r="F968">
        <v>46783.831040955054</v>
      </c>
      <c r="G968">
        <v>10000</v>
      </c>
      <c r="H968">
        <v>362207.69046152546</v>
      </c>
      <c r="I968">
        <v>46.466768156011454</v>
      </c>
    </row>
    <row r="969" spans="1:9" x14ac:dyDescent="0.2">
      <c r="A969">
        <v>964</v>
      </c>
      <c r="B969">
        <v>1494198.0559814814</v>
      </c>
      <c r="C969">
        <v>124256.79687995871</v>
      </c>
      <c r="D969">
        <v>57212.419448120148</v>
      </c>
      <c r="E969">
        <v>190760.24110016602</v>
      </c>
      <c r="F969">
        <v>49206.478230011497</v>
      </c>
      <c r="G969">
        <v>10000</v>
      </c>
      <c r="H969">
        <v>411435.93565825635</v>
      </c>
      <c r="I969">
        <v>43.632328956012081</v>
      </c>
    </row>
    <row r="970" spans="1:9" x14ac:dyDescent="0.2">
      <c r="A970">
        <v>965</v>
      </c>
      <c r="B970">
        <v>1428950.4406390402</v>
      </c>
      <c r="C970">
        <v>92058.053249959121</v>
      </c>
      <c r="D970">
        <v>122908.8421766525</v>
      </c>
      <c r="E970">
        <v>142707.33777973728</v>
      </c>
      <c r="F970">
        <v>45879.738769366428</v>
      </c>
      <c r="G970">
        <v>10000</v>
      </c>
      <c r="H970">
        <v>393553.97197571531</v>
      </c>
      <c r="I970">
        <v>36.817062615484147</v>
      </c>
    </row>
    <row r="971" spans="1:9" x14ac:dyDescent="0.2">
      <c r="A971">
        <v>966</v>
      </c>
      <c r="B971">
        <v>1307820.5177422212</v>
      </c>
      <c r="C971">
        <v>132965.22818063205</v>
      </c>
      <c r="D971">
        <v>53816.150760710698</v>
      </c>
      <c r="E971">
        <v>138020.11239700345</v>
      </c>
      <c r="F971">
        <v>45555.238550561779</v>
      </c>
      <c r="G971">
        <v>10000</v>
      </c>
      <c r="H971">
        <v>360356.72988890798</v>
      </c>
      <c r="I971">
        <v>29.228387121783047</v>
      </c>
    </row>
    <row r="972" spans="1:9" x14ac:dyDescent="0.2">
      <c r="A972">
        <v>967</v>
      </c>
      <c r="B972">
        <v>1574635.420470695</v>
      </c>
      <c r="C972">
        <v>164130.59151618488</v>
      </c>
      <c r="D972">
        <v>76508.734388432204</v>
      </c>
      <c r="E972">
        <v>156038.83461465556</v>
      </c>
      <c r="F972">
        <v>46802.688550245388</v>
      </c>
      <c r="G972">
        <v>10000</v>
      </c>
      <c r="H972">
        <v>433480.84906951804</v>
      </c>
      <c r="I972">
        <v>43.57660199436674</v>
      </c>
    </row>
    <row r="973" spans="1:9" x14ac:dyDescent="0.2">
      <c r="A973">
        <v>968</v>
      </c>
      <c r="B973">
        <v>1519480.0198620178</v>
      </c>
      <c r="C973">
        <v>159237.27441678161</v>
      </c>
      <c r="D973">
        <v>164417.42427225117</v>
      </c>
      <c r="E973">
        <v>64261.235576011677</v>
      </c>
      <c r="F973">
        <v>40448.854770646962</v>
      </c>
      <c r="G973">
        <v>10000</v>
      </c>
      <c r="H973">
        <v>418364.78903569147</v>
      </c>
      <c r="I973">
        <v>38.311471682071918</v>
      </c>
    </row>
    <row r="974" spans="1:9" x14ac:dyDescent="0.2">
      <c r="A974">
        <v>969</v>
      </c>
      <c r="B974">
        <v>1212775.6428494377</v>
      </c>
      <c r="C974">
        <v>108343.86759473318</v>
      </c>
      <c r="D974">
        <v>54257.625101696736</v>
      </c>
      <c r="E974">
        <v>136272.68163243553</v>
      </c>
      <c r="F974">
        <v>45434.262574553235</v>
      </c>
      <c r="G974">
        <v>10000</v>
      </c>
      <c r="H974">
        <v>334308.43690341874</v>
      </c>
      <c r="I974">
        <v>34.700339588562748</v>
      </c>
    </row>
    <row r="975" spans="1:9" x14ac:dyDescent="0.2">
      <c r="A975">
        <v>970</v>
      </c>
      <c r="B975">
        <v>912238.40978221805</v>
      </c>
      <c r="C975">
        <v>102507.52766019982</v>
      </c>
      <c r="D975">
        <v>76736.640979663047</v>
      </c>
      <c r="E975">
        <v>43674.484553376766</v>
      </c>
      <c r="F975">
        <v>39023.618161387625</v>
      </c>
      <c r="G975">
        <v>10000</v>
      </c>
      <c r="H975">
        <v>251942.27135462724</v>
      </c>
      <c r="I975">
        <v>36.657297485701832</v>
      </c>
    </row>
    <row r="976" spans="1:9" x14ac:dyDescent="0.2">
      <c r="A976">
        <v>971</v>
      </c>
      <c r="B976">
        <v>1793926.7573533861</v>
      </c>
      <c r="C976">
        <v>141708.45307777557</v>
      </c>
      <c r="D976">
        <v>105471.26028161394</v>
      </c>
      <c r="E976">
        <v>206130.24380501269</v>
      </c>
      <c r="F976">
        <v>50270.555340347026</v>
      </c>
      <c r="G976">
        <v>10000</v>
      </c>
      <c r="H976">
        <v>493580.51250474923</v>
      </c>
      <c r="I976">
        <v>28.774494970849439</v>
      </c>
    </row>
    <row r="977" spans="1:9" x14ac:dyDescent="0.2">
      <c r="A977">
        <v>972</v>
      </c>
      <c r="B977">
        <v>1397253.5750229782</v>
      </c>
      <c r="C977">
        <v>129494.4687467365</v>
      </c>
      <c r="D977">
        <v>120295.0637430443</v>
      </c>
      <c r="E977">
        <v>102014.92642756928</v>
      </c>
      <c r="F977">
        <v>43062.571829600951</v>
      </c>
      <c r="G977">
        <v>10000</v>
      </c>
      <c r="H977">
        <v>384867.03074695106</v>
      </c>
      <c r="I977">
        <v>33.706652985146931</v>
      </c>
    </row>
    <row r="978" spans="1:9" x14ac:dyDescent="0.2">
      <c r="A978">
        <v>973</v>
      </c>
      <c r="B978">
        <v>1548269.9406914697</v>
      </c>
      <c r="C978">
        <v>125867.65963276016</v>
      </c>
      <c r="D978">
        <v>92479.306652223662</v>
      </c>
      <c r="E978">
        <v>170129.85682467316</v>
      </c>
      <c r="F978">
        <v>47778.220857092754</v>
      </c>
      <c r="G978">
        <v>10000</v>
      </c>
      <c r="H978">
        <v>426255.04396674974</v>
      </c>
      <c r="I978">
        <v>32.104327721736425</v>
      </c>
    </row>
    <row r="979" spans="1:9" x14ac:dyDescent="0.2">
      <c r="A979">
        <v>974</v>
      </c>
      <c r="B979">
        <v>1159199.4516647947</v>
      </c>
      <c r="C979">
        <v>111815.94379664482</v>
      </c>
      <c r="D979">
        <v>134298.51316528409</v>
      </c>
      <c r="E979">
        <v>44434.489077633574</v>
      </c>
      <c r="F979">
        <v>39076.233859220789</v>
      </c>
      <c r="G979">
        <v>10000</v>
      </c>
      <c r="H979">
        <v>319625.17989878333</v>
      </c>
      <c r="I979">
        <v>49.32628271221806</v>
      </c>
    </row>
    <row r="980" spans="1:9" x14ac:dyDescent="0.2">
      <c r="A980">
        <v>975</v>
      </c>
      <c r="B980">
        <v>1499417.1439348743</v>
      </c>
      <c r="C980">
        <v>142114.57876263696</v>
      </c>
      <c r="D980">
        <v>83824.870558084847</v>
      </c>
      <c r="E980">
        <v>150507.12193152087</v>
      </c>
      <c r="F980">
        <v>46419.72382602837</v>
      </c>
      <c r="G980">
        <v>10000</v>
      </c>
      <c r="H980">
        <v>412866.29507827101</v>
      </c>
      <c r="I980">
        <v>24.236715319070846</v>
      </c>
    </row>
    <row r="981" spans="1:9" x14ac:dyDescent="0.2">
      <c r="A981">
        <v>976</v>
      </c>
      <c r="B981">
        <v>835454.54849005409</v>
      </c>
      <c r="C981">
        <v>77243.839827508549</v>
      </c>
      <c r="D981">
        <v>99469.400661848835</v>
      </c>
      <c r="E981">
        <v>26360.453397504891</v>
      </c>
      <c r="F981">
        <v>37824.954465981107</v>
      </c>
      <c r="G981">
        <v>10000</v>
      </c>
      <c r="H981">
        <v>230898.64835284339</v>
      </c>
      <c r="I981">
        <v>25.157064372979519</v>
      </c>
    </row>
    <row r="982" spans="1:9" x14ac:dyDescent="0.2">
      <c r="A982">
        <v>977</v>
      </c>
      <c r="B982">
        <v>1143867.5865821936</v>
      </c>
      <c r="C982">
        <v>117919.61537225531</v>
      </c>
      <c r="D982">
        <v>70129.797236731669</v>
      </c>
      <c r="E982">
        <v>94810.093147780994</v>
      </c>
      <c r="F982">
        <v>42563.775679461753</v>
      </c>
      <c r="G982">
        <v>10000</v>
      </c>
      <c r="H982">
        <v>315423.28143622976</v>
      </c>
      <c r="I982">
        <v>40.810032377025834</v>
      </c>
    </row>
    <row r="983" spans="1:9" x14ac:dyDescent="0.2">
      <c r="A983">
        <v>978</v>
      </c>
      <c r="B983">
        <v>1537037.9779967293</v>
      </c>
      <c r="C983">
        <v>83796.374976273379</v>
      </c>
      <c r="D983">
        <v>162036.87479296268</v>
      </c>
      <c r="E983">
        <v>141544.30647284488</v>
      </c>
      <c r="F983">
        <v>45799.221217350794</v>
      </c>
      <c r="G983">
        <v>10000</v>
      </c>
      <c r="H983">
        <v>423176.77745943179</v>
      </c>
      <c r="I983">
        <v>31.800512538037953</v>
      </c>
    </row>
    <row r="984" spans="1:9" x14ac:dyDescent="0.2">
      <c r="A984">
        <v>979</v>
      </c>
      <c r="B984">
        <v>1111918.8934881485</v>
      </c>
      <c r="C984">
        <v>94252.223712554667</v>
      </c>
      <c r="D984">
        <v>99114.108077661396</v>
      </c>
      <c r="E984">
        <v>81648.409595387406</v>
      </c>
      <c r="F984">
        <v>41652.582202757592</v>
      </c>
      <c r="G984">
        <v>10000</v>
      </c>
      <c r="H984">
        <v>306667.32358836103</v>
      </c>
      <c r="I984">
        <v>32.323812106252845</v>
      </c>
    </row>
    <row r="985" spans="1:9" x14ac:dyDescent="0.2">
      <c r="A985">
        <v>980</v>
      </c>
      <c r="B985">
        <v>1418312.8692960413</v>
      </c>
      <c r="C985">
        <v>132214.76576749617</v>
      </c>
      <c r="D985">
        <v>86405.856448392005</v>
      </c>
      <c r="E985">
        <v>136563.58214757714</v>
      </c>
      <c r="F985">
        <v>45454.401840986109</v>
      </c>
      <c r="G985">
        <v>10000</v>
      </c>
      <c r="H985">
        <v>390638.60620445141</v>
      </c>
      <c r="I985">
        <v>48.996470173438766</v>
      </c>
    </row>
    <row r="986" spans="1:9" x14ac:dyDescent="0.2">
      <c r="A986">
        <v>981</v>
      </c>
      <c r="B986">
        <v>1478095.4225995513</v>
      </c>
      <c r="C986">
        <v>131752.38678197417</v>
      </c>
      <c r="D986">
        <v>71126.694054194144</v>
      </c>
      <c r="E986">
        <v>166609.23192356381</v>
      </c>
      <c r="F986">
        <v>47534.485287015952</v>
      </c>
      <c r="G986">
        <v>10000</v>
      </c>
      <c r="H986">
        <v>407022.7980467481</v>
      </c>
      <c r="I986">
        <v>29.667912423249795</v>
      </c>
    </row>
    <row r="987" spans="1:9" x14ac:dyDescent="0.2">
      <c r="A987">
        <v>982</v>
      </c>
      <c r="B987">
        <v>1432592.1757670275</v>
      </c>
      <c r="C987">
        <v>97965.205773863025</v>
      </c>
      <c r="D987">
        <v>127724.53551559662</v>
      </c>
      <c r="E987">
        <v>133612.21918915806</v>
      </c>
      <c r="F987">
        <v>45250.076713095557</v>
      </c>
      <c r="G987">
        <v>10000</v>
      </c>
      <c r="H987">
        <v>394552.03719171323</v>
      </c>
      <c r="I987">
        <v>30.838015163307809</v>
      </c>
    </row>
    <row r="988" spans="1:9" x14ac:dyDescent="0.2">
      <c r="A988">
        <v>983</v>
      </c>
      <c r="B988">
        <v>1080288.1382265212</v>
      </c>
      <c r="C988">
        <v>113290.3001193729</v>
      </c>
      <c r="D988">
        <v>60386.986171065444</v>
      </c>
      <c r="E988">
        <v>91955.092677070279</v>
      </c>
      <c r="F988">
        <v>42366.121800720248</v>
      </c>
      <c r="G988">
        <v>10000</v>
      </c>
      <c r="H988">
        <v>297998.50076822884</v>
      </c>
      <c r="I988">
        <v>31.292973913100496</v>
      </c>
    </row>
    <row r="989" spans="1:9" x14ac:dyDescent="0.2">
      <c r="A989">
        <v>984</v>
      </c>
      <c r="B989">
        <v>1692816.4391496368</v>
      </c>
      <c r="C989">
        <v>127453.86349117885</v>
      </c>
      <c r="D989">
        <v>106021.09350797944</v>
      </c>
      <c r="E989">
        <v>193031.24663740167</v>
      </c>
      <c r="F989">
        <v>49363.701690281654</v>
      </c>
      <c r="G989">
        <v>10000</v>
      </c>
      <c r="H989">
        <v>465869.90532684163</v>
      </c>
      <c r="I989">
        <v>46.693333859441012</v>
      </c>
    </row>
    <row r="990" spans="1:9" x14ac:dyDescent="0.2">
      <c r="A990">
        <v>985</v>
      </c>
      <c r="B990">
        <v>1435054.153793582</v>
      </c>
      <c r="C990">
        <v>113172.41218108796</v>
      </c>
      <c r="D990">
        <v>53086.562115347624</v>
      </c>
      <c r="E990">
        <v>189826.00020915811</v>
      </c>
      <c r="F990">
        <v>49141.800014480177</v>
      </c>
      <c r="G990">
        <v>10000</v>
      </c>
      <c r="H990">
        <v>395226.7745200739</v>
      </c>
      <c r="I990">
        <v>31.294482652977521</v>
      </c>
    </row>
    <row r="991" spans="1:9" x14ac:dyDescent="0.2">
      <c r="A991">
        <v>986</v>
      </c>
      <c r="B991">
        <v>1081991.6311912157</v>
      </c>
      <c r="C991">
        <v>91969.021763719837</v>
      </c>
      <c r="D991">
        <v>107393.719441822</v>
      </c>
      <c r="E991">
        <v>68369.360691719572</v>
      </c>
      <c r="F991">
        <v>40733.263432503656</v>
      </c>
      <c r="G991">
        <v>10000</v>
      </c>
      <c r="H991">
        <v>298465.36532976507</v>
      </c>
      <c r="I991">
        <v>27.556276204530018</v>
      </c>
    </row>
    <row r="992" spans="1:9" x14ac:dyDescent="0.2">
      <c r="A992">
        <v>987</v>
      </c>
      <c r="B992">
        <v>1227280.8890865212</v>
      </c>
      <c r="C992">
        <v>124408.56485035167</v>
      </c>
      <c r="D992">
        <v>110528.42708417629</v>
      </c>
      <c r="E992">
        <v>72338.731670010777</v>
      </c>
      <c r="F992">
        <v>41008.066038693054</v>
      </c>
      <c r="G992">
        <v>10000</v>
      </c>
      <c r="H992">
        <v>338283.78964323178</v>
      </c>
      <c r="I992">
        <v>32.871789719428108</v>
      </c>
    </row>
    <row r="993" spans="1:9" x14ac:dyDescent="0.2">
      <c r="A993">
        <v>988</v>
      </c>
      <c r="B993">
        <v>1142023.1823444348</v>
      </c>
      <c r="C993">
        <v>92961.73915701473</v>
      </c>
      <c r="D993">
        <v>67022.356522728529</v>
      </c>
      <c r="E993">
        <v>120585.47726557318</v>
      </c>
      <c r="F993">
        <v>44348.225349155058</v>
      </c>
      <c r="G993">
        <v>10000</v>
      </c>
      <c r="H993">
        <v>314917.79829447152</v>
      </c>
      <c r="I993">
        <v>50.641214724419548</v>
      </c>
    </row>
    <row r="994" spans="1:9" x14ac:dyDescent="0.2">
      <c r="A994">
        <v>989</v>
      </c>
      <c r="B994">
        <v>1110338.3949393029</v>
      </c>
      <c r="C994">
        <v>119684.53221240267</v>
      </c>
      <c r="D994">
        <v>65047.21047373944</v>
      </c>
      <c r="E994">
        <v>89318.814347433552</v>
      </c>
      <c r="F994">
        <v>42183.610224053089</v>
      </c>
      <c r="G994">
        <v>10000</v>
      </c>
      <c r="H994">
        <v>306234.16725762875</v>
      </c>
      <c r="I994">
        <v>31.137347339217467</v>
      </c>
    </row>
    <row r="995" spans="1:9" x14ac:dyDescent="0.2">
      <c r="A995">
        <v>990</v>
      </c>
      <c r="B995">
        <v>1455701.212154157</v>
      </c>
      <c r="C995">
        <v>129995.16265801343</v>
      </c>
      <c r="D995">
        <v>144621.31988973566</v>
      </c>
      <c r="E995">
        <v>93776.658569358886</v>
      </c>
      <c r="F995">
        <v>42492.230208647925</v>
      </c>
      <c r="G995">
        <v>10000</v>
      </c>
      <c r="H995">
        <v>400885.37132575584</v>
      </c>
      <c r="I995">
        <v>39.68768102338074</v>
      </c>
    </row>
    <row r="996" spans="1:9" x14ac:dyDescent="0.2">
      <c r="A996">
        <v>991</v>
      </c>
      <c r="B996">
        <v>1521006.1508388433</v>
      </c>
      <c r="C996">
        <v>104155.3738915038</v>
      </c>
      <c r="D996">
        <v>137963.83676055504</v>
      </c>
      <c r="E996">
        <v>140908.62225884796</v>
      </c>
      <c r="F996">
        <v>45755.212310227929</v>
      </c>
      <c r="G996">
        <v>10000</v>
      </c>
      <c r="H996">
        <v>418783.04522113467</v>
      </c>
      <c r="I996">
        <v>28.421846565285758</v>
      </c>
    </row>
    <row r="997" spans="1:9" x14ac:dyDescent="0.2">
      <c r="A997">
        <v>992</v>
      </c>
      <c r="B997">
        <v>957948.73808005871</v>
      </c>
      <c r="C997">
        <v>124166.242557747</v>
      </c>
      <c r="D997">
        <v>72775.723575313052</v>
      </c>
      <c r="E997">
        <v>38838.967844771309</v>
      </c>
      <c r="F997">
        <v>38688.85162002263</v>
      </c>
      <c r="G997">
        <v>10000</v>
      </c>
      <c r="H997">
        <v>264469.785597854</v>
      </c>
      <c r="I997">
        <v>44.677345272206651</v>
      </c>
    </row>
    <row r="998" spans="1:9" x14ac:dyDescent="0.2">
      <c r="A998">
        <v>993</v>
      </c>
      <c r="B998">
        <v>1255553.3575871703</v>
      </c>
      <c r="C998">
        <v>160866.75584979911</v>
      </c>
      <c r="D998">
        <v>111868.12533902038</v>
      </c>
      <c r="E998">
        <v>44234.930529100791</v>
      </c>
      <c r="F998">
        <v>39062.418267399291</v>
      </c>
      <c r="G998">
        <v>10000</v>
      </c>
      <c r="H998">
        <v>346032.22998531954</v>
      </c>
      <c r="I998">
        <v>30.467723356494773</v>
      </c>
    </row>
    <row r="999" spans="1:9" x14ac:dyDescent="0.2">
      <c r="A999">
        <v>994</v>
      </c>
      <c r="B999">
        <v>1654330.1951692093</v>
      </c>
      <c r="C999">
        <v>148229.60629947361</v>
      </c>
      <c r="D999">
        <v>59464.150433625247</v>
      </c>
      <c r="E999">
        <v>207278.44321911898</v>
      </c>
      <c r="F999">
        <v>50350.046069015923</v>
      </c>
      <c r="G999">
        <v>10000</v>
      </c>
      <c r="H999">
        <v>455322.24602123379</v>
      </c>
      <c r="I999">
        <v>31.450196388961885</v>
      </c>
    </row>
    <row r="1000" spans="1:9" x14ac:dyDescent="0.2">
      <c r="A1000">
        <v>995</v>
      </c>
      <c r="B1000">
        <v>1100608.8851218296</v>
      </c>
      <c r="C1000">
        <v>86029.823383305193</v>
      </c>
      <c r="D1000">
        <v>72678.58589232988</v>
      </c>
      <c r="E1000">
        <v>111163.33516316474</v>
      </c>
      <c r="F1000">
        <v>43695.923203603714</v>
      </c>
      <c r="G1000">
        <v>10000</v>
      </c>
      <c r="H1000">
        <v>303567.66764240351</v>
      </c>
      <c r="I1000">
        <v>28.989093150662633</v>
      </c>
    </row>
    <row r="1001" spans="1:9" x14ac:dyDescent="0.2">
      <c r="A1001">
        <v>996</v>
      </c>
      <c r="B1001">
        <v>1307827.7038413438</v>
      </c>
      <c r="C1001">
        <v>111429.32385408886</v>
      </c>
      <c r="D1001">
        <v>57802.951050094132</v>
      </c>
      <c r="E1001">
        <v>154434.78543749565</v>
      </c>
      <c r="F1001">
        <v>46691.638991826621</v>
      </c>
      <c r="G1001">
        <v>10000</v>
      </c>
      <c r="H1001">
        <v>360358.6993335053</v>
      </c>
      <c r="I1001">
        <v>28.301123602672327</v>
      </c>
    </row>
    <row r="1002" spans="1:9" x14ac:dyDescent="0.2">
      <c r="A1002">
        <v>997</v>
      </c>
      <c r="B1002">
        <v>1433813.9664136169</v>
      </c>
      <c r="C1002">
        <v>83885.563214673544</v>
      </c>
      <c r="D1002">
        <v>131628.59540837849</v>
      </c>
      <c r="E1002">
        <v>143442.1181222634</v>
      </c>
      <c r="F1002">
        <v>45930.608177695161</v>
      </c>
      <c r="G1002">
        <v>10000</v>
      </c>
      <c r="H1002">
        <v>394886.8849230106</v>
      </c>
      <c r="I1002">
        <v>34.421493448566579</v>
      </c>
    </row>
    <row r="1003" spans="1:9" x14ac:dyDescent="0.2">
      <c r="A1003">
        <v>998</v>
      </c>
      <c r="B1003">
        <v>1280393.5364075236</v>
      </c>
      <c r="C1003">
        <v>116322.45463612743</v>
      </c>
      <c r="D1003">
        <v>107630.73172023922</v>
      </c>
      <c r="E1003">
        <v>96225.083475282067</v>
      </c>
      <c r="F1003">
        <v>42661.736548288762</v>
      </c>
      <c r="G1003">
        <v>10000</v>
      </c>
      <c r="H1003">
        <v>352840.00637993746</v>
      </c>
      <c r="I1003">
        <v>27.238428178613852</v>
      </c>
    </row>
    <row r="1004" spans="1:9" x14ac:dyDescent="0.2">
      <c r="A1004">
        <v>999</v>
      </c>
      <c r="B1004">
        <v>1442352.0521197934</v>
      </c>
      <c r="C1004">
        <v>131442.02273175292</v>
      </c>
      <c r="D1004">
        <v>114669.82579558957</v>
      </c>
      <c r="E1004">
        <v>117014.03871531307</v>
      </c>
      <c r="F1004">
        <v>44100.971911060129</v>
      </c>
      <c r="G1004">
        <v>10000</v>
      </c>
      <c r="H1004">
        <v>397226.85915371566</v>
      </c>
      <c r="I1004">
        <v>30.114464018712205</v>
      </c>
    </row>
    <row r="1005" spans="1:9" x14ac:dyDescent="0.2">
      <c r="A1005">
        <v>1000</v>
      </c>
      <c r="B1005">
        <v>1487017.1546129724</v>
      </c>
      <c r="C1005">
        <v>121341.46463300663</v>
      </c>
      <c r="D1005">
        <v>114628.58174760143</v>
      </c>
      <c r="E1005">
        <v>137947.64744654359</v>
      </c>
      <c r="F1005">
        <v>45550.221746299168</v>
      </c>
      <c r="G1005">
        <v>10000</v>
      </c>
      <c r="H1005">
        <v>409467.91557345085</v>
      </c>
      <c r="I1005">
        <v>30.878769565129829</v>
      </c>
    </row>
    <row r="1010" spans="1:2" ht="19" x14ac:dyDescent="0.25">
      <c r="A1010" s="4" t="s">
        <v>395</v>
      </c>
    </row>
    <row r="1011" spans="1:2" x14ac:dyDescent="0.2">
      <c r="A1011" t="s">
        <v>396</v>
      </c>
      <c r="B1011" s="14">
        <f>AVERAGE(B6:B1005)</f>
        <v>1314331.3991800803</v>
      </c>
    </row>
    <row r="1012" spans="1:2" x14ac:dyDescent="0.2">
      <c r="A1012" t="s">
        <v>397</v>
      </c>
      <c r="B1012" s="14">
        <f>PERCENTILE(B6:B1005,0.1)</f>
        <v>985247.18827133253</v>
      </c>
    </row>
    <row r="1013" spans="1:2" x14ac:dyDescent="0.2">
      <c r="A1013" t="s">
        <v>398</v>
      </c>
      <c r="B1013" s="14">
        <f>PERCENTILE(B6:B1005,0.5)</f>
        <v>1319057.2274303674</v>
      </c>
    </row>
    <row r="1014" spans="1:2" x14ac:dyDescent="0.2">
      <c r="A1014" t="s">
        <v>399</v>
      </c>
      <c r="B1014" s="14">
        <f>PERCENTILE(B6:B1005,0.9)</f>
        <v>1631431.7965394976</v>
      </c>
    </row>
    <row r="1015" spans="1:2" x14ac:dyDescent="0.2">
      <c r="A1015" t="s">
        <v>400</v>
      </c>
      <c r="B1015" s="14">
        <f>STDEV(B6:B1005)</f>
        <v>245383.86432615865</v>
      </c>
    </row>
    <row r="1016" spans="1:2" x14ac:dyDescent="0.2">
      <c r="A1016" t="s">
        <v>401</v>
      </c>
      <c r="B1016" s="21">
        <f>COUNTIF(B6:B1005,"&gt;0")/1000</f>
        <v>1</v>
      </c>
    </row>
    <row r="1018" spans="1:2" ht="19" x14ac:dyDescent="0.25">
      <c r="A1018" s="4" t="s">
        <v>402</v>
      </c>
    </row>
    <row r="1019" spans="1:2" x14ac:dyDescent="0.2">
      <c r="A1019" t="s">
        <v>403</v>
      </c>
      <c r="B1019" s="19">
        <f>IFERROR(AVERAGE(I6:I1005),"Run MC")</f>
        <v>36.079614869228962</v>
      </c>
    </row>
    <row r="1020" spans="1:2" x14ac:dyDescent="0.2">
      <c r="A1020" t="s">
        <v>404</v>
      </c>
      <c r="B1020" s="19">
        <f>IFERROR(PERCENTILE(I6:I1005,0.1),"Run MC")</f>
        <v>27.433523781946224</v>
      </c>
    </row>
    <row r="1021" spans="1:2" x14ac:dyDescent="0.2">
      <c r="A1021" t="s">
        <v>405</v>
      </c>
      <c r="B1021" s="19">
        <f>IFERROR(PERCENTILE(I6:I1005,0.5),"Run MC")</f>
        <v>35.374570175705749</v>
      </c>
    </row>
    <row r="1022" spans="1:2" x14ac:dyDescent="0.2">
      <c r="A1022" t="s">
        <v>406</v>
      </c>
      <c r="B1022" s="19">
        <f>IFERROR(PERCENTILE(I6:I1005,0.9),"Run MC")</f>
        <v>45.896681151310133</v>
      </c>
    </row>
    <row r="1023" spans="1:2" x14ac:dyDescent="0.2">
      <c r="A1023" t="s">
        <v>407</v>
      </c>
      <c r="B1023" s="21">
        <f>IFERROR(COUNTIF(I6:I1005,"&lt;="&amp;Season_Length)/1000,"Run MC")</f>
        <v>1</v>
      </c>
    </row>
  </sheetData>
  <mergeCells count="2">
    <mergeCell ref="L2:O2"/>
    <mergeCell ref="L1:O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4" ht="21" x14ac:dyDescent="0.25">
      <c r="A1" s="5" t="s">
        <v>408</v>
      </c>
    </row>
    <row r="3" spans="1:4" x14ac:dyDescent="0.2">
      <c r="A3" s="29" t="s">
        <v>409</v>
      </c>
      <c r="B3" s="27"/>
      <c r="C3" s="27"/>
      <c r="D3" s="28"/>
    </row>
    <row r="4" spans="1:4" ht="300" customHeight="1" x14ac:dyDescent="0.2">
      <c r="A4" s="26" t="s">
        <v>410</v>
      </c>
      <c r="B4" s="27"/>
      <c r="C4" s="27"/>
      <c r="D4" s="28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17"/>
  <sheetViews>
    <sheetView workbookViewId="0"/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411</v>
      </c>
    </row>
    <row r="3" spans="1:10" x14ac:dyDescent="0.2">
      <c r="A3" s="29" t="s">
        <v>412</v>
      </c>
      <c r="B3" s="27"/>
      <c r="C3" s="27"/>
      <c r="D3" s="27"/>
      <c r="E3" s="27"/>
      <c r="F3" s="27"/>
      <c r="G3" s="27"/>
      <c r="H3" s="27"/>
      <c r="I3" s="27"/>
      <c r="J3" s="28"/>
    </row>
    <row r="4" spans="1:10" ht="240" customHeight="1" x14ac:dyDescent="0.2">
      <c r="A4" s="26" t="s">
        <v>413</v>
      </c>
      <c r="B4" s="27"/>
      <c r="C4" s="27"/>
      <c r="D4" s="27"/>
      <c r="E4" s="27"/>
      <c r="F4" s="27"/>
      <c r="G4" s="27"/>
      <c r="H4" s="27"/>
      <c r="I4" s="27"/>
      <c r="J4" s="28"/>
    </row>
    <row r="6" spans="1:10" x14ac:dyDescent="0.2">
      <c r="A6" s="7" t="s">
        <v>217</v>
      </c>
      <c r="B6" s="7" t="s">
        <v>414</v>
      </c>
      <c r="C6" s="7" t="s">
        <v>415</v>
      </c>
      <c r="D6" s="7" t="s">
        <v>416</v>
      </c>
      <c r="E6" s="7" t="s">
        <v>417</v>
      </c>
      <c r="F6" s="7" t="s">
        <v>418</v>
      </c>
      <c r="G6" s="7" t="s">
        <v>419</v>
      </c>
      <c r="H6" s="7" t="s">
        <v>420</v>
      </c>
      <c r="I6" s="7" t="s">
        <v>332</v>
      </c>
      <c r="J6" s="7" t="s">
        <v>421</v>
      </c>
    </row>
    <row r="7" spans="1:10" x14ac:dyDescent="0.2">
      <c r="A7">
        <f>Base_Year+0</f>
        <v>2026</v>
      </c>
      <c r="B7" s="14">
        <f ca="1">S1_Value*INDEX(Timeline_LearningMult,2)</f>
        <v>82299.080449560744</v>
      </c>
      <c r="C7" s="14">
        <f ca="1">S2_Value*INDEX(Timeline_LearningMult,2)</f>
        <v>34116.611567136119</v>
      </c>
      <c r="D7" s="14">
        <f ca="1">S3_Value*INDEX(Timeline_LearningMult,2)</f>
        <v>82170.993802311481</v>
      </c>
      <c r="E7" s="14">
        <f ca="1">S4_Value*INDEX(Timeline_LearningMult,2)</f>
        <v>23688.761109390798</v>
      </c>
      <c r="F7" s="14">
        <f ca="1">SUM(B7:E7)</f>
        <v>222275.44692839912</v>
      </c>
      <c r="G7" s="14">
        <f>Testing_Cost</f>
        <v>10000</v>
      </c>
      <c r="H7" s="14">
        <f ca="1">F7-G7</f>
        <v>212275.44692839912</v>
      </c>
      <c r="I7">
        <f>INDEX(Timeline_DiscountFactor,2)</f>
        <v>0.95419847328244267</v>
      </c>
      <c r="J7" s="14">
        <f ca="1">H7*I7</f>
        <v>202552.90737442664</v>
      </c>
    </row>
    <row r="8" spans="1:10" x14ac:dyDescent="0.2">
      <c r="A8">
        <f>Base_Year+1</f>
        <v>2027</v>
      </c>
      <c r="B8" s="14">
        <f ca="1">S1_Value*INDEX(Timeline_LearningMult,3)</f>
        <v>123448.62067434112</v>
      </c>
      <c r="C8" s="14">
        <f ca="1">S2_Value*INDEX(Timeline_LearningMult,3)</f>
        <v>51174.917350704178</v>
      </c>
      <c r="D8" s="14">
        <f ca="1">S3_Value*INDEX(Timeline_LearningMult,3)</f>
        <v>123256.49070346722</v>
      </c>
      <c r="E8" s="14">
        <f ca="1">S4_Value*INDEX(Timeline_LearningMult,3)</f>
        <v>35533.141664086201</v>
      </c>
      <c r="F8" s="14">
        <f ca="1">SUM(B8:E8)</f>
        <v>333413.17039259872</v>
      </c>
      <c r="G8" s="14">
        <f>Testing_Cost</f>
        <v>10000</v>
      </c>
      <c r="H8" s="14">
        <f ca="1">F8-G8</f>
        <v>323413.17039259872</v>
      </c>
      <c r="I8">
        <f>INDEX(Timeline_DiscountFactor,3)</f>
        <v>0.91049472641454443</v>
      </c>
      <c r="J8" s="14">
        <f ca="1">H8*I8</f>
        <v>294465.98609546962</v>
      </c>
    </row>
    <row r="9" spans="1:10" x14ac:dyDescent="0.2">
      <c r="A9">
        <f>Base_Year+2</f>
        <v>2028</v>
      </c>
      <c r="B9" s="14">
        <f ca="1">S1_Value*INDEX(Timeline_LearningMult,4)</f>
        <v>164598.16089912149</v>
      </c>
      <c r="C9" s="14">
        <f ca="1">S2_Value*INDEX(Timeline_LearningMult,4)</f>
        <v>68233.223134272237</v>
      </c>
      <c r="D9" s="14">
        <f ca="1">S3_Value*INDEX(Timeline_LearningMult,4)</f>
        <v>164341.98760462296</v>
      </c>
      <c r="E9" s="14">
        <f ca="1">S4_Value*INDEX(Timeline_LearningMult,4)</f>
        <v>47377.522218781596</v>
      </c>
      <c r="F9" s="14">
        <f ca="1">SUM(B9:E9)</f>
        <v>444550.89385679824</v>
      </c>
      <c r="G9" s="14">
        <f>Testing_Cost</f>
        <v>10000</v>
      </c>
      <c r="H9" s="14">
        <f ca="1">F9-G9</f>
        <v>434550.89385679824</v>
      </c>
      <c r="I9">
        <f>INDEX(Timeline_DiscountFactor,4)</f>
        <v>0.86879267787647374</v>
      </c>
      <c r="J9" s="14">
        <f ca="1">H9*I9</f>
        <v>377534.63474746305</v>
      </c>
    </row>
    <row r="10" spans="1:10" x14ac:dyDescent="0.2">
      <c r="A10">
        <f>Base_Year+3</f>
        <v>2029</v>
      </c>
      <c r="B10" s="14">
        <f ca="1">S1_Value*INDEX(Timeline_LearningMult,5)</f>
        <v>164598.16089912149</v>
      </c>
      <c r="C10" s="14">
        <f ca="1">S2_Value*INDEX(Timeline_LearningMult,5)</f>
        <v>68233.223134272237</v>
      </c>
      <c r="D10" s="14">
        <f ca="1">S3_Value*INDEX(Timeline_LearningMult,5)</f>
        <v>164341.98760462296</v>
      </c>
      <c r="E10" s="14">
        <f ca="1">S4_Value*INDEX(Timeline_LearningMult,5)</f>
        <v>47377.522218781596</v>
      </c>
      <c r="F10" s="14">
        <f ca="1">SUM(B10:E10)</f>
        <v>444550.89385679824</v>
      </c>
      <c r="G10" s="14">
        <f>Testing_Cost</f>
        <v>10000</v>
      </c>
      <c r="H10" s="14">
        <f ca="1">F10-G10</f>
        <v>434550.89385679824</v>
      </c>
      <c r="I10">
        <f>INDEX(Timeline_DiscountFactor,5)</f>
        <v>0.82900064682869612</v>
      </c>
      <c r="J10" s="14">
        <f ca="1">H10*I10</f>
        <v>360242.97208727384</v>
      </c>
    </row>
    <row r="11" spans="1:10" x14ac:dyDescent="0.2">
      <c r="A11">
        <f>Base_Year+4</f>
        <v>2030</v>
      </c>
      <c r="B11" s="14">
        <f ca="1">S1_Value*INDEX(Timeline_LearningMult,6)</f>
        <v>164598.16089912149</v>
      </c>
      <c r="C11" s="14">
        <f ca="1">S2_Value*INDEX(Timeline_LearningMult,6)</f>
        <v>68233.223134272237</v>
      </c>
      <c r="D11" s="14">
        <f ca="1">S3_Value*INDEX(Timeline_LearningMult,6)</f>
        <v>164341.98760462296</v>
      </c>
      <c r="E11" s="14">
        <f ca="1">S4_Value*INDEX(Timeline_LearningMult,6)</f>
        <v>47377.522218781596</v>
      </c>
      <c r="F11" s="14">
        <f ca="1">SUM(B11:E11)</f>
        <v>444550.89385679824</v>
      </c>
      <c r="G11" s="14">
        <f>Testing_Cost</f>
        <v>10000</v>
      </c>
      <c r="H11" s="14">
        <f ca="1">F11-G11</f>
        <v>434550.89385679824</v>
      </c>
      <c r="I11">
        <f>INDEX(Timeline_DiscountFactor,6)</f>
        <v>0.79103115155409931</v>
      </c>
      <c r="J11" s="14">
        <f ca="1">H11*I11</f>
        <v>343743.29397640628</v>
      </c>
    </row>
    <row r="14" spans="1:10" ht="19" x14ac:dyDescent="0.25">
      <c r="A14" s="4" t="s">
        <v>422</v>
      </c>
    </row>
    <row r="15" spans="1:10" x14ac:dyDescent="0.2">
      <c r="A15" t="s">
        <v>423</v>
      </c>
      <c r="B15" s="14">
        <f ca="1">SUM(J7:J11)</f>
        <v>1578539.7942810396</v>
      </c>
    </row>
    <row r="16" spans="1:10" x14ac:dyDescent="0.2">
      <c r="A16" t="s">
        <v>424</v>
      </c>
      <c r="B16" s="14">
        <f ca="1">SUM(F7:F11)</f>
        <v>1889341.2988913928</v>
      </c>
    </row>
    <row r="17" spans="1:2" x14ac:dyDescent="0.2">
      <c r="A17" t="s">
        <v>425</v>
      </c>
      <c r="B17" s="14">
        <f ca="1">SUM(H7:H11)</f>
        <v>1839341.2988913928</v>
      </c>
    </row>
  </sheetData>
  <mergeCells count="2">
    <mergeCell ref="A4:J4"/>
    <mergeCell ref="A3:J3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1"/>
  <sheetViews>
    <sheetView workbookViewId="0"/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426</v>
      </c>
    </row>
    <row r="3" spans="1:4" x14ac:dyDescent="0.2">
      <c r="A3" s="29" t="s">
        <v>427</v>
      </c>
      <c r="B3" s="27"/>
      <c r="C3" s="27"/>
      <c r="D3" s="28"/>
    </row>
    <row r="4" spans="1:4" ht="240" customHeight="1" x14ac:dyDescent="0.2">
      <c r="A4" s="26" t="s">
        <v>428</v>
      </c>
      <c r="B4" s="27"/>
      <c r="C4" s="27"/>
      <c r="D4" s="28"/>
    </row>
    <row r="6" spans="1:4" x14ac:dyDescent="0.2">
      <c r="A6" s="7" t="s">
        <v>217</v>
      </c>
      <c r="B6" s="7" t="s">
        <v>429</v>
      </c>
      <c r="C6" s="7" t="s">
        <v>430</v>
      </c>
      <c r="D6" s="7" t="s">
        <v>431</v>
      </c>
    </row>
    <row r="7" spans="1:4" x14ac:dyDescent="0.2">
      <c r="A7">
        <f>Base_Year+0</f>
        <v>2026</v>
      </c>
      <c r="B7" s="14">
        <f ca="1">INDEX(tbl_Annual[Net_Annual],1)</f>
        <v>212275.44692839912</v>
      </c>
      <c r="C7" s="14">
        <f ca="1">B7</f>
        <v>212275.44692839912</v>
      </c>
      <c r="D7" s="14">
        <f ca="1">INDEX(tbl_Annual[Discounted],1)</f>
        <v>202552.90737442664</v>
      </c>
    </row>
    <row r="8" spans="1:4" x14ac:dyDescent="0.2">
      <c r="A8">
        <f>Base_Year+1</f>
        <v>2027</v>
      </c>
      <c r="B8" s="14">
        <f ca="1">INDEX(tbl_Annual[Net_Annual],2)</f>
        <v>323413.17039259872</v>
      </c>
      <c r="C8" s="14">
        <f ca="1">C7+B8</f>
        <v>535688.61732099787</v>
      </c>
      <c r="D8" s="14">
        <f ca="1">D7+INDEX(tbl_Annual[Discounted],2)</f>
        <v>497018.89346989628</v>
      </c>
    </row>
    <row r="9" spans="1:4" x14ac:dyDescent="0.2">
      <c r="A9">
        <f>Base_Year+2</f>
        <v>2028</v>
      </c>
      <c r="B9" s="14">
        <f ca="1">INDEX(tbl_Annual[Net_Annual],3)</f>
        <v>434550.89385679824</v>
      </c>
      <c r="C9" s="14">
        <f ca="1">C8+B9</f>
        <v>970239.51117779617</v>
      </c>
      <c r="D9" s="14">
        <f ca="1">D8+INDEX(tbl_Annual[Discounted],3)</f>
        <v>874553.52821735933</v>
      </c>
    </row>
    <row r="10" spans="1:4" x14ac:dyDescent="0.2">
      <c r="A10">
        <f>Base_Year+3</f>
        <v>2029</v>
      </c>
      <c r="B10" s="14">
        <f ca="1">INDEX(tbl_Annual[Net_Annual],4)</f>
        <v>434550.89385679824</v>
      </c>
      <c r="C10" s="14">
        <f ca="1">C9+B10</f>
        <v>1404790.4050345945</v>
      </c>
      <c r="D10" s="14">
        <f ca="1">D9+INDEX(tbl_Annual[Discounted],4)</f>
        <v>1234796.5003046333</v>
      </c>
    </row>
    <row r="11" spans="1:4" x14ac:dyDescent="0.2">
      <c r="A11">
        <f>Base_Year+4</f>
        <v>2030</v>
      </c>
      <c r="B11" s="14">
        <f ca="1">INDEX(tbl_Annual[Net_Annual],5)</f>
        <v>434550.89385679824</v>
      </c>
      <c r="C11" s="14">
        <f ca="1">C10+B11</f>
        <v>1839341.2988913928</v>
      </c>
      <c r="D11" s="14">
        <f ca="1">D10+INDEX(tbl_Annual[Discounted],5)</f>
        <v>1578539.7942810396</v>
      </c>
    </row>
  </sheetData>
  <mergeCells count="2">
    <mergeCell ref="A4:D4"/>
    <mergeCell ref="A3:D3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0"/>
  <sheetViews>
    <sheetView workbookViewId="0"/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432</v>
      </c>
    </row>
    <row r="3" spans="1:4" x14ac:dyDescent="0.2">
      <c r="A3" s="29" t="s">
        <v>433</v>
      </c>
      <c r="B3" s="27"/>
      <c r="C3" s="27"/>
      <c r="D3" s="28"/>
    </row>
    <row r="4" spans="1:4" ht="315" customHeight="1" x14ac:dyDescent="0.2">
      <c r="A4" s="26" t="s">
        <v>434</v>
      </c>
      <c r="B4" s="27"/>
      <c r="C4" s="27"/>
      <c r="D4" s="28"/>
    </row>
    <row r="6" spans="1:4" x14ac:dyDescent="0.2">
      <c r="A6" s="7" t="s">
        <v>336</v>
      </c>
      <c r="B6" s="7" t="s">
        <v>48</v>
      </c>
      <c r="C6" s="7" t="s">
        <v>169</v>
      </c>
      <c r="D6" s="7" t="s">
        <v>337</v>
      </c>
    </row>
    <row r="7" spans="1:4" x14ac:dyDescent="0.2">
      <c r="A7" t="s">
        <v>435</v>
      </c>
      <c r="B7">
        <f>Annual_Throughput</f>
        <v>50000</v>
      </c>
      <c r="C7" t="s">
        <v>205</v>
      </c>
      <c r="D7" t="s">
        <v>436</v>
      </c>
    </row>
    <row r="8" spans="1:4" x14ac:dyDescent="0.2">
      <c r="A8" t="s">
        <v>437</v>
      </c>
      <c r="B8" s="23">
        <f ca="1">Gross_Value</f>
        <v>444550.89385679824</v>
      </c>
      <c r="C8" t="s">
        <v>214</v>
      </c>
      <c r="D8" t="s">
        <v>438</v>
      </c>
    </row>
    <row r="9" spans="1:4" x14ac:dyDescent="0.2">
      <c r="A9" t="s">
        <v>439</v>
      </c>
      <c r="B9" s="23">
        <f>Testing_Cost</f>
        <v>10000</v>
      </c>
      <c r="C9" t="s">
        <v>214</v>
      </c>
      <c r="D9" t="s">
        <v>440</v>
      </c>
    </row>
    <row r="10" spans="1:4" x14ac:dyDescent="0.2">
      <c r="A10" t="s">
        <v>441</v>
      </c>
      <c r="B10" s="23">
        <f ca="1">Gross_Value-Testing_Cost</f>
        <v>434550.89385679824</v>
      </c>
      <c r="C10" t="s">
        <v>214</v>
      </c>
      <c r="D10" t="s">
        <v>442</v>
      </c>
    </row>
    <row r="11" spans="1:4" x14ac:dyDescent="0.2">
      <c r="A11" t="s">
        <v>443</v>
      </c>
      <c r="B11" s="23">
        <f ca="1">Gross_Value/Annual_Throughput</f>
        <v>8.8910178771359654</v>
      </c>
      <c r="C11" t="s">
        <v>208</v>
      </c>
      <c r="D11" t="s">
        <v>444</v>
      </c>
    </row>
    <row r="12" spans="1:4" x14ac:dyDescent="0.2">
      <c r="A12" t="s">
        <v>445</v>
      </c>
      <c r="B12" s="23">
        <f ca="1">(Gross_Value-Testing_Cost)/Annual_Throughput</f>
        <v>8.6910178771359643</v>
      </c>
      <c r="C12" t="s">
        <v>208</v>
      </c>
      <c r="D12" t="s">
        <v>446</v>
      </c>
    </row>
    <row r="13" spans="1:4" x14ac:dyDescent="0.2">
      <c r="A13" t="s">
        <v>447</v>
      </c>
      <c r="B13" s="23">
        <f>Testing_Cost/Annual_Throughput</f>
        <v>0.2</v>
      </c>
      <c r="C13" t="s">
        <v>208</v>
      </c>
      <c r="D13" t="s">
        <v>448</v>
      </c>
    </row>
    <row r="14" spans="1:4" x14ac:dyDescent="0.2">
      <c r="A14" t="s">
        <v>449</v>
      </c>
      <c r="B14" s="23">
        <f ca="1">NPV_Total/(Annual_Throughput*5)</f>
        <v>6.3141591771241581</v>
      </c>
      <c r="C14" t="s">
        <v>208</v>
      </c>
      <c r="D14" t="s">
        <v>450</v>
      </c>
    </row>
    <row r="17" spans="1:2" ht="19" x14ac:dyDescent="0.25">
      <c r="A17" s="4" t="s">
        <v>451</v>
      </c>
    </row>
    <row r="18" spans="1:2" x14ac:dyDescent="0.2">
      <c r="A18" t="s">
        <v>452</v>
      </c>
      <c r="B18" s="14">
        <f>INDEX(TestOpt_Cost,MATCH(Testing_Option,TestOpt_Option,0))</f>
        <v>10</v>
      </c>
    </row>
    <row r="19" spans="1:2" x14ac:dyDescent="0.2">
      <c r="A19" t="s">
        <v>453</v>
      </c>
      <c r="B19">
        <f>Testing_Cost/INDEX(TestOpt_Cost,MATCH(Testing_Option,TestOpt_Option,0))</f>
        <v>1000</v>
      </c>
    </row>
    <row r="20" spans="1:2" x14ac:dyDescent="0.2">
      <c r="A20" t="s">
        <v>454</v>
      </c>
      <c r="B20" s="23">
        <f ca="1">(Gross_Value-Testing_Cost)/(Testing_Cost/INDEX(TestOpt_Cost,MATCH(Testing_Option,TestOpt_Option,0)))</f>
        <v>434.55089385679827</v>
      </c>
    </row>
  </sheetData>
  <mergeCells count="2">
    <mergeCell ref="A4:D4"/>
    <mergeCell ref="A3:D3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1"/>
  <sheetViews>
    <sheetView workbookViewId="0"/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455</v>
      </c>
    </row>
    <row r="3" spans="1:7" x14ac:dyDescent="0.2">
      <c r="A3" s="29" t="s">
        <v>456</v>
      </c>
      <c r="B3" s="27"/>
      <c r="C3" s="27"/>
      <c r="D3" s="27"/>
      <c r="E3" s="27"/>
      <c r="F3" s="27"/>
      <c r="G3" s="28"/>
    </row>
    <row r="4" spans="1:7" ht="360" customHeight="1" x14ac:dyDescent="0.2">
      <c r="A4" s="26" t="s">
        <v>457</v>
      </c>
      <c r="B4" s="27"/>
      <c r="C4" s="27"/>
      <c r="D4" s="27"/>
      <c r="E4" s="27"/>
      <c r="F4" s="27"/>
      <c r="G4" s="28"/>
    </row>
    <row r="6" spans="1:7" x14ac:dyDescent="0.2">
      <c r="A6" s="7" t="s">
        <v>47</v>
      </c>
      <c r="B6" s="7" t="s">
        <v>318</v>
      </c>
      <c r="C6" s="7" t="s">
        <v>56</v>
      </c>
      <c r="D6" s="7" t="s">
        <v>319</v>
      </c>
      <c r="E6" s="7" t="s">
        <v>458</v>
      </c>
      <c r="F6" s="7" t="s">
        <v>459</v>
      </c>
      <c r="G6" s="7" t="s">
        <v>460</v>
      </c>
    </row>
    <row r="7" spans="1:7" x14ac:dyDescent="0.2">
      <c r="A7" t="s">
        <v>461</v>
      </c>
      <c r="B7">
        <v>3</v>
      </c>
      <c r="C7">
        <v>5</v>
      </c>
      <c r="D7">
        <v>10</v>
      </c>
      <c r="E7" s="14">
        <f ca="1">NPV_Total*(B7/C7)</f>
        <v>947123.8765686237</v>
      </c>
      <c r="F7" s="14">
        <f ca="1">NPV_Total*(D7/C7)</f>
        <v>3157079.5885620792</v>
      </c>
      <c r="G7" s="14">
        <f ca="1">ABS(F7-E7)</f>
        <v>2209955.7119934554</v>
      </c>
    </row>
    <row r="8" spans="1:7" x14ac:dyDescent="0.2">
      <c r="A8" t="s">
        <v>58</v>
      </c>
      <c r="B8">
        <v>0.04</v>
      </c>
      <c r="C8">
        <v>4.8000000000000001E-2</v>
      </c>
      <c r="D8">
        <v>0.06</v>
      </c>
      <c r="E8" s="14">
        <f ca="1">NPV_Total*((1+C8)/(1+B8))^2.5</f>
        <v>1609071.6869545423</v>
      </c>
      <c r="F8" s="14">
        <f ca="1">NPV_Total*((1+C8)/(1+D8))^2.5</f>
        <v>1534242.7446038316</v>
      </c>
      <c r="G8" s="14">
        <f ca="1">ABS(F8-E8)</f>
        <v>74828.942350710742</v>
      </c>
    </row>
    <row r="9" spans="1:7" x14ac:dyDescent="0.2">
      <c r="A9" t="s">
        <v>462</v>
      </c>
      <c r="B9">
        <v>80</v>
      </c>
      <c r="C9">
        <v>100</v>
      </c>
      <c r="D9">
        <v>120</v>
      </c>
      <c r="E9" s="14">
        <f ca="1">NPV_Total*(B9/C9)</f>
        <v>1262831.8354248318</v>
      </c>
      <c r="F9" s="14">
        <f ca="1">NPV_Total*(D9/C9)</f>
        <v>1894247.7531372474</v>
      </c>
      <c r="G9" s="14">
        <f ca="1">ABS(F9-E9)</f>
        <v>631415.91771241557</v>
      </c>
    </row>
    <row r="10" spans="1:7" x14ac:dyDescent="0.2">
      <c r="A10" t="s">
        <v>463</v>
      </c>
      <c r="B10">
        <v>0.5</v>
      </c>
      <c r="C10">
        <v>1</v>
      </c>
      <c r="D10">
        <v>2</v>
      </c>
      <c r="E10" s="14">
        <f ca="1">NPV_Total*(B10/C10)</f>
        <v>789269.89714051981</v>
      </c>
      <c r="F10" s="14">
        <f ca="1">NPV_Total*(D10/C10)</f>
        <v>3157079.5885620792</v>
      </c>
      <c r="G10" s="14">
        <f ca="1">ABS(F10-E10)</f>
        <v>2367809.6914215595</v>
      </c>
    </row>
    <row r="13" spans="1:7" ht="19" x14ac:dyDescent="0.25">
      <c r="A13" s="4" t="s">
        <v>464</v>
      </c>
    </row>
    <row r="14" spans="1:7" x14ac:dyDescent="0.2">
      <c r="A14" t="s">
        <v>465</v>
      </c>
    </row>
    <row r="15" spans="1:7" x14ac:dyDescent="0.2">
      <c r="A15" t="s">
        <v>466</v>
      </c>
    </row>
    <row r="16" spans="1:7" x14ac:dyDescent="0.2">
      <c r="A16" t="s">
        <v>467</v>
      </c>
    </row>
    <row r="18" spans="1:1" ht="19" x14ac:dyDescent="0.25">
      <c r="A18" s="4" t="s">
        <v>468</v>
      </c>
    </row>
    <row r="19" spans="1:1" x14ac:dyDescent="0.2">
      <c r="A19" t="s">
        <v>469</v>
      </c>
    </row>
    <row r="20" spans="1:1" x14ac:dyDescent="0.2">
      <c r="A20" t="s">
        <v>470</v>
      </c>
    </row>
    <row r="21" spans="1:1" x14ac:dyDescent="0.2">
      <c r="A21" t="s">
        <v>471</v>
      </c>
    </row>
  </sheetData>
  <mergeCells count="2">
    <mergeCell ref="A3:G3"/>
    <mergeCell ref="A4:G4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47"/>
  <sheetViews>
    <sheetView workbookViewId="0"/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2" ht="21" x14ac:dyDescent="0.25">
      <c r="A1" s="5" t="s">
        <v>472</v>
      </c>
    </row>
    <row r="3" spans="1:2" x14ac:dyDescent="0.2">
      <c r="A3" s="29" t="s">
        <v>473</v>
      </c>
      <c r="B3" s="28"/>
    </row>
    <row r="4" spans="1:2" ht="270" customHeight="1" x14ac:dyDescent="0.2">
      <c r="A4" s="26" t="s">
        <v>474</v>
      </c>
      <c r="B4" s="28"/>
    </row>
    <row r="6" spans="1:2" ht="19" x14ac:dyDescent="0.25">
      <c r="A6" s="4" t="s">
        <v>475</v>
      </c>
    </row>
    <row r="7" spans="1:2" x14ac:dyDescent="0.2">
      <c r="A7" s="7" t="s">
        <v>336</v>
      </c>
      <c r="B7" s="7" t="s">
        <v>48</v>
      </c>
    </row>
    <row r="8" spans="1:2" x14ac:dyDescent="0.2">
      <c r="A8" t="s">
        <v>476</v>
      </c>
      <c r="B8" t="str">
        <f>Testing_Option</f>
        <v>Daily_Biosensor</v>
      </c>
    </row>
    <row r="9" spans="1:2" x14ac:dyDescent="0.2">
      <c r="A9" t="s">
        <v>477</v>
      </c>
      <c r="B9" s="14">
        <f ca="1">NPV_Total</f>
        <v>1578539.7942810396</v>
      </c>
    </row>
    <row r="10" spans="1:2" x14ac:dyDescent="0.2">
      <c r="A10" t="s">
        <v>478</v>
      </c>
      <c r="B10" s="14">
        <f>MC_P10</f>
        <v>985247.18827133253</v>
      </c>
    </row>
    <row r="11" spans="1:2" x14ac:dyDescent="0.2">
      <c r="A11" t="s">
        <v>479</v>
      </c>
      <c r="B11" s="14">
        <f>MC_P50</f>
        <v>1319057.2274303674</v>
      </c>
    </row>
    <row r="12" spans="1:2" x14ac:dyDescent="0.2">
      <c r="A12" t="s">
        <v>480</v>
      </c>
      <c r="B12" s="14">
        <f>MC_P90</f>
        <v>1631431.7965394976</v>
      </c>
    </row>
    <row r="13" spans="1:2" x14ac:dyDescent="0.2">
      <c r="A13" t="s">
        <v>481</v>
      </c>
      <c r="B13" s="21">
        <f>MC_Prob_Positive</f>
        <v>1</v>
      </c>
    </row>
    <row r="14" spans="1:2" x14ac:dyDescent="0.2">
      <c r="A14" t="s">
        <v>482</v>
      </c>
      <c r="B14" s="14">
        <f>Testing_Cost</f>
        <v>10000</v>
      </c>
    </row>
    <row r="15" spans="1:2" x14ac:dyDescent="0.2">
      <c r="A15" t="s">
        <v>483</v>
      </c>
      <c r="B15" s="14">
        <f ca="1">Year1_Gross_Value</f>
        <v>222275.44692839912</v>
      </c>
    </row>
    <row r="16" spans="1:2" x14ac:dyDescent="0.2">
      <c r="A16" t="s">
        <v>484</v>
      </c>
      <c r="B16" s="14">
        <f ca="1">Year1_Net_Value</f>
        <v>212275.44692839912</v>
      </c>
    </row>
    <row r="18" spans="1:3" ht="19" x14ac:dyDescent="0.25">
      <c r="A18" s="4" t="s">
        <v>485</v>
      </c>
    </row>
    <row r="19" spans="1:3" x14ac:dyDescent="0.2">
      <c r="A19" s="7" t="s">
        <v>84</v>
      </c>
      <c r="B19" s="7" t="s">
        <v>367</v>
      </c>
      <c r="C19" s="7" t="s">
        <v>486</v>
      </c>
    </row>
    <row r="20" spans="1:3" x14ac:dyDescent="0.2">
      <c r="A20" t="s">
        <v>88</v>
      </c>
      <c r="B20" s="14">
        <f ca="1">S1_Value</f>
        <v>164598.16089912149</v>
      </c>
      <c r="C20" t="str">
        <f>INDEX(Gate_S1,MATCH(Testing_Option,TestOpt_Option,0))</f>
        <v>ENABLED</v>
      </c>
    </row>
    <row r="21" spans="1:3" x14ac:dyDescent="0.2">
      <c r="A21" t="s">
        <v>92</v>
      </c>
      <c r="B21" s="14">
        <f ca="1">S2_Value</f>
        <v>68233.223134272237</v>
      </c>
      <c r="C21" t="str">
        <f>INDEX(Gate_S2,MATCH(Testing_Option,TestOpt_Option,0))</f>
        <v>ENABLED</v>
      </c>
    </row>
    <row r="22" spans="1:3" x14ac:dyDescent="0.2">
      <c r="A22" t="s">
        <v>93</v>
      </c>
      <c r="B22" s="14">
        <f ca="1">S3_Value</f>
        <v>164341.98760462296</v>
      </c>
      <c r="C22" t="str">
        <f>INDEX(Gate_S3,MATCH(Testing_Option,TestOpt_Option,0))</f>
        <v>ENABLED</v>
      </c>
    </row>
    <row r="23" spans="1:3" x14ac:dyDescent="0.2">
      <c r="A23" t="s">
        <v>95</v>
      </c>
      <c r="B23" s="14">
        <f ca="1">S4_Value</f>
        <v>47377.522218781596</v>
      </c>
      <c r="C23" t="str">
        <f>INDEX(Gate_S4,MATCH(Testing_Option,TestOpt_Option,0))</f>
        <v>ENABLED</v>
      </c>
    </row>
    <row r="25" spans="1:3" ht="19" x14ac:dyDescent="0.25">
      <c r="A25" s="4" t="s">
        <v>334</v>
      </c>
    </row>
    <row r="26" spans="1:3" x14ac:dyDescent="0.2">
      <c r="A26" s="7" t="s">
        <v>336</v>
      </c>
      <c r="B26" s="7" t="s">
        <v>48</v>
      </c>
      <c r="C26" s="7" t="s">
        <v>486</v>
      </c>
    </row>
    <row r="27" spans="1:3" x14ac:dyDescent="0.2">
      <c r="A27" t="s">
        <v>487</v>
      </c>
      <c r="B27" s="24">
        <f>Initial_NAFC</f>
        <v>63.1</v>
      </c>
      <c r="C27" t="str">
        <f>IF(Initial_NAFC&gt;Target_NAFC,"Above Target","At/Below Target")</f>
        <v>Above Target</v>
      </c>
    </row>
    <row r="28" spans="1:3" x14ac:dyDescent="0.2">
      <c r="A28" t="s">
        <v>488</v>
      </c>
      <c r="B28" s="24">
        <f>Target_NAFC</f>
        <v>50</v>
      </c>
      <c r="C28" t="s">
        <v>489</v>
      </c>
    </row>
    <row r="29" spans="1:3" x14ac:dyDescent="0.2">
      <c r="A29" t="s">
        <v>490</v>
      </c>
      <c r="B29" s="25">
        <f ca="1">Days_to_Compliance</f>
        <v>27.01439846699872</v>
      </c>
      <c r="C29" t="str">
        <f ca="1">Compliance_Status</f>
        <v>ACHIEVABLE</v>
      </c>
    </row>
    <row r="30" spans="1:3" x14ac:dyDescent="0.2">
      <c r="A30" t="s">
        <v>491</v>
      </c>
      <c r="B30" s="20">
        <f ca="1">Circulation_Cycles</f>
        <v>2</v>
      </c>
      <c r="C30" t="str">
        <f ca="1">IF(Circulation_Cycles&lt;=3,"Standard","Extended")</f>
        <v>Standard</v>
      </c>
    </row>
    <row r="31" spans="1:3" x14ac:dyDescent="0.2">
      <c r="A31" t="s">
        <v>492</v>
      </c>
      <c r="B31" s="21">
        <f>Treatment_Efficiency</f>
        <v>0.2076069730586371</v>
      </c>
      <c r="C31" t="str">
        <f>IF(Treatment_Efficiency&gt;0.2,"Good","Low")</f>
        <v>Good</v>
      </c>
    </row>
    <row r="32" spans="1:3" x14ac:dyDescent="0.2">
      <c r="A32" t="s">
        <v>493</v>
      </c>
      <c r="B32" s="25">
        <f>MC_Expected_Days</f>
        <v>36.079614869228962</v>
      </c>
      <c r="C32" t="str">
        <f>IF(MC_Expected_Days&lt;=Season_Length,"Achievable","Risk")</f>
        <v>Achievable</v>
      </c>
    </row>
    <row r="33" spans="1:4" x14ac:dyDescent="0.2">
      <c r="A33" t="s">
        <v>494</v>
      </c>
      <c r="B33" s="25">
        <f>MC_P90_Days</f>
        <v>45.896681151310133</v>
      </c>
      <c r="C33" t="str">
        <f>IF(MC_P90_Days&lt;=Season_Length,"Low Risk","High Risk")</f>
        <v>Low Risk</v>
      </c>
    </row>
    <row r="34" spans="1:4" x14ac:dyDescent="0.2">
      <c r="A34" t="s">
        <v>495</v>
      </c>
      <c r="B34" s="21">
        <f>MC_Prob_Achievable</f>
        <v>1</v>
      </c>
      <c r="C34" t="str">
        <f>IF(MC_Prob_Achievable&gt;=0.9,"High Confidence","Review Required")</f>
        <v>High Confidence</v>
      </c>
    </row>
    <row r="36" spans="1:4" ht="19" x14ac:dyDescent="0.25">
      <c r="A36" s="4" t="s">
        <v>496</v>
      </c>
    </row>
    <row r="37" spans="1:4" x14ac:dyDescent="0.2">
      <c r="A37" s="7" t="s">
        <v>336</v>
      </c>
      <c r="B37" s="7" t="s">
        <v>229</v>
      </c>
      <c r="C37" s="7" t="s">
        <v>230</v>
      </c>
      <c r="D37" s="7" t="s">
        <v>52</v>
      </c>
    </row>
    <row r="38" spans="1:4" x14ac:dyDescent="0.2">
      <c r="A38" t="s">
        <v>497</v>
      </c>
      <c r="B38" t="s">
        <v>90</v>
      </c>
      <c r="C38" t="s">
        <v>90</v>
      </c>
      <c r="D38" t="s">
        <v>91</v>
      </c>
    </row>
    <row r="39" spans="1:4" x14ac:dyDescent="0.2">
      <c r="A39" t="s">
        <v>498</v>
      </c>
      <c r="B39" t="s">
        <v>90</v>
      </c>
      <c r="C39" t="s">
        <v>90</v>
      </c>
      <c r="D39" t="s">
        <v>91</v>
      </c>
    </row>
    <row r="40" spans="1:4" x14ac:dyDescent="0.2">
      <c r="A40" t="s">
        <v>499</v>
      </c>
      <c r="B40" t="s">
        <v>90</v>
      </c>
      <c r="C40" t="s">
        <v>91</v>
      </c>
      <c r="D40" t="s">
        <v>91</v>
      </c>
    </row>
    <row r="41" spans="1:4" x14ac:dyDescent="0.2">
      <c r="A41" t="s">
        <v>500</v>
      </c>
      <c r="B41" t="s">
        <v>90</v>
      </c>
      <c r="C41" t="s">
        <v>90</v>
      </c>
      <c r="D41" t="s">
        <v>91</v>
      </c>
    </row>
    <row r="42" spans="1:4" x14ac:dyDescent="0.2">
      <c r="A42" t="s">
        <v>501</v>
      </c>
      <c r="B42" t="s">
        <v>502</v>
      </c>
      <c r="C42" t="s">
        <v>503</v>
      </c>
      <c r="D42" t="s">
        <v>504</v>
      </c>
    </row>
    <row r="43" spans="1:4" x14ac:dyDescent="0.2">
      <c r="A43" t="s">
        <v>505</v>
      </c>
      <c r="B43" t="s">
        <v>506</v>
      </c>
      <c r="C43" t="s">
        <v>507</v>
      </c>
      <c r="D43" t="s">
        <v>508</v>
      </c>
    </row>
    <row r="45" spans="1:4" ht="19" x14ac:dyDescent="0.25">
      <c r="A45" s="4" t="s">
        <v>509</v>
      </c>
    </row>
    <row r="46" spans="1:4" x14ac:dyDescent="0.2">
      <c r="A46" t="s">
        <v>510</v>
      </c>
      <c r="B46" t="str">
        <f ca="1">IF(COUNTIF('17_Checks'!D:D,"FAIL")=0,"HEALTHY","REVIEW REQUIRED")</f>
        <v>HEALTHY</v>
      </c>
    </row>
    <row r="47" spans="1:4" x14ac:dyDescent="0.2">
      <c r="A47" t="s">
        <v>511</v>
      </c>
      <c r="B47">
        <f ca="1">COUNTIF('17_Checks'!D:D,"FAIL")</f>
        <v>0</v>
      </c>
    </row>
  </sheetData>
  <mergeCells count="2">
    <mergeCell ref="A4:B4"/>
    <mergeCell ref="A3:B3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27"/>
  <sheetViews>
    <sheetView workbookViewId="0"/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512</v>
      </c>
    </row>
    <row r="3" spans="1:4" x14ac:dyDescent="0.2">
      <c r="A3" s="29" t="s">
        <v>513</v>
      </c>
      <c r="B3" s="27"/>
      <c r="C3" s="27"/>
      <c r="D3" s="28"/>
    </row>
    <row r="4" spans="1:4" ht="330" customHeight="1" x14ac:dyDescent="0.2">
      <c r="A4" s="26" t="s">
        <v>514</v>
      </c>
      <c r="B4" s="27"/>
      <c r="C4" s="27"/>
      <c r="D4" s="28"/>
    </row>
    <row r="6" spans="1:4" x14ac:dyDescent="0.2">
      <c r="A6" s="7" t="s">
        <v>515</v>
      </c>
      <c r="B6" s="7" t="s">
        <v>516</v>
      </c>
      <c r="C6" s="7" t="s">
        <v>50</v>
      </c>
      <c r="D6" s="7" t="s">
        <v>486</v>
      </c>
    </row>
    <row r="7" spans="1:4" x14ac:dyDescent="0.2">
      <c r="A7" t="s">
        <v>517</v>
      </c>
      <c r="B7" t="s">
        <v>518</v>
      </c>
      <c r="C7" t="s">
        <v>519</v>
      </c>
      <c r="D7" t="str">
        <f>IF(AND(Discount_Rate&gt;=0,Discount_Rate&lt;=0.15),"PASS","FAIL")</f>
        <v>PASS</v>
      </c>
    </row>
    <row r="8" spans="1:4" x14ac:dyDescent="0.2">
      <c r="A8" t="s">
        <v>520</v>
      </c>
      <c r="B8" t="s">
        <v>518</v>
      </c>
      <c r="C8" t="s">
        <v>521</v>
      </c>
      <c r="D8" t="str">
        <f>IF(AND(Season_Length&gt;=60,Season_Length&lt;=150),"PASS","FAIL")</f>
        <v>PASS</v>
      </c>
    </row>
    <row r="9" spans="1:4" x14ac:dyDescent="0.2">
      <c r="A9" t="s">
        <v>522</v>
      </c>
      <c r="B9" t="s">
        <v>518</v>
      </c>
      <c r="C9" t="s">
        <v>523</v>
      </c>
      <c r="D9" t="str">
        <f>IF(AND(Projection_Years&gt;=1,Projection_Years&lt;=10),"PASS","FAIL")</f>
        <v>PASS</v>
      </c>
    </row>
    <row r="10" spans="1:4" x14ac:dyDescent="0.2">
      <c r="A10" t="s">
        <v>524</v>
      </c>
      <c r="B10" t="s">
        <v>518</v>
      </c>
      <c r="C10" t="s">
        <v>525</v>
      </c>
      <c r="D10" t="str">
        <f>IF(Value_Per_M3&gt;0,"PASS","FAIL")</f>
        <v>PASS</v>
      </c>
    </row>
    <row r="11" spans="1:4" x14ac:dyDescent="0.2">
      <c r="A11" t="s">
        <v>526</v>
      </c>
      <c r="B11" t="s">
        <v>527</v>
      </c>
      <c r="C11" t="s">
        <v>528</v>
      </c>
      <c r="D11" t="str">
        <f>IF(COUNTIF(List_TestingOptions,Testing_Option)=1,"PASS","FAIL")</f>
        <v>PASS</v>
      </c>
    </row>
    <row r="12" spans="1:4" x14ac:dyDescent="0.2">
      <c r="A12" t="s">
        <v>529</v>
      </c>
      <c r="B12" t="s">
        <v>527</v>
      </c>
      <c r="C12" t="s">
        <v>530</v>
      </c>
      <c r="D12" t="str">
        <f>IF(COUNTIF(List_Scenarios,Scenario_Select)=1,"PASS","FAIL")</f>
        <v>PASS</v>
      </c>
    </row>
    <row r="13" spans="1:4" x14ac:dyDescent="0.2">
      <c r="A13" t="s">
        <v>531</v>
      </c>
      <c r="B13" t="s">
        <v>532</v>
      </c>
      <c r="C13" t="s">
        <v>533</v>
      </c>
      <c r="D13" t="str">
        <f ca="1">IF(AND(NPV_Total&gt;-1000000,NPV_Total&lt;10000000),"PASS","FAIL")</f>
        <v>PASS</v>
      </c>
    </row>
    <row r="14" spans="1:4" x14ac:dyDescent="0.2">
      <c r="A14" t="s">
        <v>534</v>
      </c>
      <c r="B14" t="s">
        <v>532</v>
      </c>
      <c r="C14" t="s">
        <v>535</v>
      </c>
      <c r="D14" t="str">
        <f>IF(Testing_Cost&gt;0,"PASS","FAIL")</f>
        <v>PASS</v>
      </c>
    </row>
    <row r="15" spans="1:4" x14ac:dyDescent="0.2">
      <c r="A15" t="s">
        <v>536</v>
      </c>
      <c r="B15" t="s">
        <v>532</v>
      </c>
      <c r="C15" t="s">
        <v>537</v>
      </c>
      <c r="D15" t="str">
        <f ca="1">IF(Gross_Value&gt;=0,"PASS","FAIL")</f>
        <v>PASS</v>
      </c>
    </row>
    <row r="16" spans="1:4" x14ac:dyDescent="0.2">
      <c r="A16" t="s">
        <v>538</v>
      </c>
      <c r="B16" t="s">
        <v>539</v>
      </c>
      <c r="C16" t="s">
        <v>540</v>
      </c>
      <c r="D16" t="str">
        <f>IF(ISERROR(Testing_Option),"FAIL","PASS")</f>
        <v>PASS</v>
      </c>
    </row>
    <row r="17" spans="1:4" x14ac:dyDescent="0.2">
      <c r="A17" t="s">
        <v>541</v>
      </c>
      <c r="B17" t="s">
        <v>518</v>
      </c>
      <c r="C17" t="s">
        <v>542</v>
      </c>
      <c r="D17" t="str">
        <f>IF(AND(Initial_NAFC&gt;=40,Initial_NAFC&lt;=100),"PASS","FAIL")</f>
        <v>PASS</v>
      </c>
    </row>
    <row r="18" spans="1:4" x14ac:dyDescent="0.2">
      <c r="A18" t="s">
        <v>543</v>
      </c>
      <c r="B18" t="s">
        <v>527</v>
      </c>
      <c r="C18" t="s">
        <v>544</v>
      </c>
      <c r="D18" t="str">
        <f>IF(Target_NAFC&lt;Initial_NAFC,"PASS","FAIL")</f>
        <v>PASS</v>
      </c>
    </row>
    <row r="19" spans="1:4" x14ac:dyDescent="0.2">
      <c r="A19" t="s">
        <v>545</v>
      </c>
      <c r="B19" t="s">
        <v>532</v>
      </c>
      <c r="C19" t="s">
        <v>546</v>
      </c>
      <c r="D19" t="str">
        <f ca="1">IF(Days_to_Compliance&lt;=Season_Length,"PASS","FAIL")</f>
        <v>PASS</v>
      </c>
    </row>
    <row r="20" spans="1:4" x14ac:dyDescent="0.2">
      <c r="A20" t="s">
        <v>547</v>
      </c>
      <c r="B20" t="s">
        <v>518</v>
      </c>
      <c r="C20" t="s">
        <v>548</v>
      </c>
      <c r="D20" t="str">
        <f ca="1">IF(AND(Eff_Rapid_Rate&gt;0,Eff_Slow_Rate&gt;0),"PASS","FAIL")</f>
        <v>PASS</v>
      </c>
    </row>
    <row r="23" spans="1:4" ht="19" x14ac:dyDescent="0.25">
      <c r="A23" s="4" t="s">
        <v>549</v>
      </c>
    </row>
    <row r="24" spans="1:4" x14ac:dyDescent="0.2">
      <c r="A24" t="s">
        <v>550</v>
      </c>
      <c r="B24">
        <f>COUNTA(tbl_Checks[Check_ID])</f>
        <v>14</v>
      </c>
    </row>
    <row r="25" spans="1:4" x14ac:dyDescent="0.2">
      <c r="A25" t="s">
        <v>551</v>
      </c>
      <c r="B25">
        <f ca="1">COUNTIF(tbl_Checks[Status],"PASS")</f>
        <v>14</v>
      </c>
    </row>
    <row r="26" spans="1:4" x14ac:dyDescent="0.2">
      <c r="A26" t="s">
        <v>552</v>
      </c>
      <c r="B26">
        <f ca="1">COUNTIF(tbl_Checks[Status],"FAIL")</f>
        <v>0</v>
      </c>
    </row>
    <row r="27" spans="1:4" x14ac:dyDescent="0.2">
      <c r="A27" t="s">
        <v>553</v>
      </c>
      <c r="B27" t="str">
        <f ca="1">IF(COUNTIF(tbl_Checks[Status],"FAIL")=0,"HEALTHY","REVIEW REQUIRED")</f>
        <v>HEALTHY</v>
      </c>
    </row>
  </sheetData>
  <mergeCells count="2">
    <mergeCell ref="A4:D4"/>
    <mergeCell ref="A3:D3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2026-01-30T14:24:10Z</dcterms:created>
  <dcterms:modified xsi:type="dcterms:W3CDTF">2026-01-30T14:25:08Z</dcterms:modified>
</cp:coreProperties>
</file>