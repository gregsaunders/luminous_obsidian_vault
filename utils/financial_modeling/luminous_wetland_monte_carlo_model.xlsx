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282F929D-35DB-B542-8AE3-BBE8904142AC}" xr6:coauthVersionLast="47" xr6:coauthVersionMax="47" xr10:uidLastSave="{00000000-0000-0000-0000-000000000000}"/>
  <bookViews>
    <workbookView xWindow="0" yWindow="680" windowWidth="30240" windowHeight="18960" firstSheet="7" activeTab="10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'10_Calc_Sim'!$B$1024</definedName>
    <definedName name="MC_Expected_NPV">'10_Calc_Sim'!$B$1016</definedName>
    <definedName name="MC_P10">'10_Calc_Sim'!$B$1017</definedName>
    <definedName name="MC_P10_Days">'10_Calc_Sim'!$B$1025</definedName>
    <definedName name="MC_P50">'10_Calc_Sim'!$B$1018</definedName>
    <definedName name="MC_P50_Days">'10_Calc_Sim'!$B$1026</definedName>
    <definedName name="MC_P90">'10_Calc_Sim'!$B$1019</definedName>
    <definedName name="MC_P90_Days">'10_Calc_Sim'!$B$1027</definedName>
    <definedName name="MC_Prob_Achievable">'10_Calc_Sim'!$B$1028</definedName>
    <definedName name="MC_Prob_Positive">'10_Calc_Sim'!$B$1021</definedName>
    <definedName name="MC_StdDev">'10_Calc_Sim'!$B$1020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8" i="11"/>
  <c r="B1027" i="11"/>
  <c r="B1026" i="11"/>
  <c r="B1025" i="11"/>
  <c r="B1024" i="11"/>
  <c r="B1021" i="11"/>
  <c r="B18" i="17" s="1"/>
  <c r="B1020" i="11"/>
  <c r="B1019" i="11"/>
  <c r="B17" i="17" s="1"/>
  <c r="B1018" i="11"/>
  <c r="B16" i="17" s="1"/>
  <c r="B1017" i="11"/>
  <c r="B15" i="17" s="1"/>
  <c r="B1016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D20" i="18"/>
  <c r="G15" i="13"/>
  <c r="G10" i="11"/>
  <c r="G13" i="13"/>
  <c r="G14" i="13"/>
  <c r="B15" i="15"/>
  <c r="B19" i="15"/>
  <c r="B25" i="15"/>
  <c r="G16" i="13"/>
  <c r="G17" i="13"/>
  <c r="B19" i="17"/>
  <c r="C24" i="7"/>
  <c r="C25" i="7"/>
  <c r="D15" i="9"/>
  <c r="D16" i="9"/>
  <c r="B46" i="17"/>
  <c r="C46" i="17"/>
  <c r="C16" i="9"/>
  <c r="C33" i="17"/>
  <c r="C32" i="17"/>
  <c r="C15" i="9"/>
  <c r="C31" i="17"/>
  <c r="C14" i="9"/>
  <c r="E14" i="9" s="1"/>
  <c r="C30" i="17"/>
  <c r="C13" i="9"/>
  <c r="E13" i="9" s="1"/>
  <c r="C26" i="7" l="1"/>
  <c r="C27" i="7" s="1"/>
  <c r="D26" i="18"/>
  <c r="D10" i="11"/>
  <c r="C13" i="13"/>
  <c r="C15" i="13"/>
  <c r="C16" i="13"/>
  <c r="C14" i="13"/>
  <c r="C17" i="13"/>
  <c r="B31" i="17"/>
  <c r="B14" i="13"/>
  <c r="B17" i="13"/>
  <c r="B13" i="13"/>
  <c r="B15" i="13"/>
  <c r="B16" i="13"/>
  <c r="B30" i="17"/>
  <c r="C10" i="11"/>
  <c r="E16" i="9"/>
  <c r="E15" i="9"/>
  <c r="E18" i="9" l="1"/>
  <c r="C30" i="7"/>
  <c r="C44" i="17" s="1"/>
  <c r="I10" i="11"/>
  <c r="C28" i="7"/>
  <c r="B44" i="17"/>
  <c r="D25" i="18"/>
  <c r="F10" i="11"/>
  <c r="B33" i="17"/>
  <c r="E17" i="13"/>
  <c r="E16" i="13"/>
  <c r="E15" i="13"/>
  <c r="E14" i="13"/>
  <c r="E13" i="13"/>
  <c r="D17" i="13"/>
  <c r="F17" i="13" s="1"/>
  <c r="H17" i="13" s="1"/>
  <c r="D14" i="13"/>
  <c r="B32" i="17"/>
  <c r="D16" i="13"/>
  <c r="F16" i="13" s="1"/>
  <c r="H16" i="13" s="1"/>
  <c r="D15" i="13"/>
  <c r="D13" i="13"/>
  <c r="E10" i="11"/>
  <c r="B26" i="15" l="1"/>
  <c r="H10" i="11"/>
  <c r="D21" i="18"/>
  <c r="B14" i="15"/>
  <c r="B16" i="15"/>
  <c r="B17" i="15"/>
  <c r="B18" i="15"/>
  <c r="F14" i="13"/>
  <c r="H14" i="13" s="1"/>
  <c r="J14" i="13" s="1"/>
  <c r="B45" i="17"/>
  <c r="C45" i="17"/>
  <c r="B16" i="14"/>
  <c r="J16" i="13"/>
  <c r="B14" i="14"/>
  <c r="B17" i="14"/>
  <c r="J17" i="13"/>
  <c r="F15" i="13"/>
  <c r="H15" i="13" s="1"/>
  <c r="F13" i="13"/>
  <c r="B15" i="14" l="1"/>
  <c r="J15" i="13"/>
  <c r="B22" i="13"/>
  <c r="B20" i="17"/>
  <c r="H13" i="13"/>
  <c r="B23" i="13" l="1"/>
  <c r="B13" i="14"/>
  <c r="C13" i="14" s="1"/>
  <c r="C14" i="14" s="1"/>
  <c r="C15" i="14" s="1"/>
  <c r="C16" i="14" s="1"/>
  <c r="C17" i="14" s="1"/>
  <c r="J13" i="13"/>
  <c r="B21" i="17"/>
  <c r="B21" i="13" l="1"/>
  <c r="D13" i="14"/>
  <c r="D14" i="14" s="1"/>
  <c r="D15" i="14" s="1"/>
  <c r="D16" i="14" s="1"/>
  <c r="D17" i="14" s="1"/>
  <c r="B14" i="17" l="1"/>
  <c r="D19" i="18"/>
  <c r="B10" i="11"/>
  <c r="B20" i="15"/>
  <c r="E13" i="16"/>
  <c r="F13" i="16"/>
  <c r="E14" i="16"/>
  <c r="F14" i="16"/>
  <c r="G14" i="16" s="1"/>
  <c r="E15" i="16"/>
  <c r="F15" i="16"/>
  <c r="G15" i="16" s="1"/>
  <c r="E16" i="16"/>
  <c r="F16" i="16"/>
  <c r="B66" i="17" l="1"/>
  <c r="B67" i="17"/>
  <c r="B31" i="18"/>
  <c r="B32" i="18"/>
  <c r="B33" i="18"/>
  <c r="B9" i="1"/>
  <c r="B10" i="1"/>
  <c r="G13" i="16"/>
  <c r="G16" i="16"/>
</calcChain>
</file>

<file path=xl/sharedStrings.xml><?xml version="1.0" encoding="utf-8"?>
<sst xmlns="http://schemas.openxmlformats.org/spreadsheetml/2006/main" count="987" uniqueCount="696">
  <si>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</si>
  <si>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</si>
  <si>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</si>
  <si>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</si>
  <si>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</si>
  <si>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</si>
  <si>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</si>
  <si>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</si>
  <si>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</si>
  <si>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</si>
  <si>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</si>
  <si>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</si>
  <si>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</si>
  <si>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</si>
  <si>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</si>
  <si>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</si>
  <si>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</si>
  <si>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</si>
  <si>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</si>
  <si>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</si>
  <si>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</si>
  <si>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</si>
  <si>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</si>
  <si>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</si>
  <si>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</si>
  <si>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</si>
  <si>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</si>
  <si>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</si>
  <si>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</si>
  <si>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</si>
  <si>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</si>
  <si>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</si>
  <si>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</si>
  <si>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</si>
  <si>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</si>
  <si>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</si>
  <si>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</si>
  <si>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</si>
  <si>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</si>
  <si>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</si>
  <si>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</si>
  <si>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</si>
  <si>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</si>
  <si>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</si>
  <si>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</si>
  <si>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</si>
  <si>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</si>
  <si>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</si>
  <si>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</si>
  <si>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</si>
  <si>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</si>
  <si>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</si>
  <si>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</si>
  <si>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</si>
  <si>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</si>
  <si>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</si>
  <si>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</si>
  <si>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</si>
  <si>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</si>
  <si>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</si>
  <si>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</si>
  <si>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</si>
  <si>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</si>
  <si>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</si>
  <si>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</si>
  <si>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</si>
  <si>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</si>
  <si>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</si>
  <si>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</si>
  <si>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</si>
  <si>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</si>
  <si>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</si>
  <si>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</si>
  <si>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</si>
  <si>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</si>
  <si>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</si>
  <si>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</si>
  <si>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</si>
  <si>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</si>
  <si>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</si>
  <si>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</si>
  <si>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</si>
  <si>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</si>
  <si>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</si>
  <si>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</si>
  <si>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range shown in instructions (formula row through 1000 iterations)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</si>
  <si>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</si>
  <si>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</si>
  <si>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</si>
  <si>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</si>
  <si>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</si>
  <si>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</si>
  <si>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</si>
  <si>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</si>
  <si>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</si>
  <si>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</si>
  <si>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</si>
  <si>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</si>
  <si>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</si>
  <si>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</si>
  <si>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</si>
  <si>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</si>
  <si>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</si>
  <si>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</si>
  <si>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</si>
  <si>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</si>
  <si>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</si>
  <si>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</si>
  <si>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</si>
  <si>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</si>
  <si>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</si>
  <si>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</si>
  <si>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</si>
  <si>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</si>
  <si>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</si>
  <si>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</si>
  <si>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</si>
  <si>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</si>
  <si>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</si>
  <si>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</si>
  <si>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</si>
  <si>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</si>
  <si>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</si>
  <si>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</si>
  <si>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</si>
  <si>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</si>
  <si>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</si>
  <si>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</si>
  <si>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</si>
  <si>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</si>
  <si>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</si>
  <si>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</si>
  <si>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</si>
  <si>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</si>
  <si>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</si>
  <si>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</si>
  <si>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</si>
  <si>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</si>
  <si>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</si>
  <si>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</si>
  <si>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</si>
  <si>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</si>
  <si>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</si>
  <si>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</si>
  <si>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</si>
  <si>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</si>
  <si>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</si>
  <si>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</si>
  <si>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</si>
  <si>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</si>
  <si>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</si>
  <si>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</si>
  <si>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</si>
  <si>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</si>
  <si>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</si>
  <si>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</si>
  <si>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</si>
  <si>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</si>
  <si>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</si>
  <si>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</si>
  <si>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</si>
  <si>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</si>
  <si>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</si>
  <si>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</si>
  <si>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</si>
  <si>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</si>
  <si>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</si>
  <si>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</si>
  <si>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</si>
  <si>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</si>
  <si>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</si>
  <si>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</si>
  <si>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</si>
  <si>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</si>
  <si>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</si>
  <si>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</si>
  <si>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</si>
  <si>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</si>
  <si>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</si>
  <si>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</si>
  <si>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</si>
  <si>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</si>
  <si>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</si>
  <si>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</si>
  <si>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</si>
  <si>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</si>
  <si>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</si>
  <si>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</si>
  <si>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</si>
  <si>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</si>
  <si>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</si>
  <si>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</si>
  <si>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</si>
  <si>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</si>
  <si>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</si>
  <si>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</si>
  <si>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</si>
  <si>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</si>
  <si>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</si>
  <si>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</si>
  <si>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</si>
  <si>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</si>
  <si>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</si>
  <si>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</si>
  <si>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</si>
  <si>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</si>
  <si>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</si>
  <si>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</si>
  <si>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</si>
  <si>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</si>
  <si>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</si>
  <si>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</si>
  <si>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</si>
  <si>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</si>
  <si>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</si>
  <si>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</si>
  <si>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</si>
  <si>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</si>
  <si>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</si>
  <si>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</si>
  <si>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</si>
  <si>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</si>
  <si>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</si>
  <si>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</si>
  <si>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</si>
  <si>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</si>
  <si>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</si>
  <si>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</si>
  <si>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</si>
  <si>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</si>
  <si>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</si>
  <si>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</si>
  <si>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</si>
  <si>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</si>
  <si>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</si>
  <si>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</si>
  <si>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</si>
  <si>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</si>
  <si>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</si>
  <si>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</si>
  <si>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</si>
  <si>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</si>
  <si>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</si>
  <si>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</si>
  <si>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</si>
  <si>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</si>
  <si>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</si>
  <si>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</si>
  <si>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</si>
  <si>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</si>
  <si>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</si>
  <si>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</si>
  <si>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</si>
  <si>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</si>
  <si>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</si>
  <si>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</si>
  <si>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</si>
  <si>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</si>
  <si>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</si>
  <si>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</si>
  <si>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</si>
  <si>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</si>
  <si>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</si>
  <si>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</si>
  <si>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</si>
  <si>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</si>
  <si>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</si>
  <si>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</si>
  <si>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</si>
  <si>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</si>
  <si>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</si>
  <si>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</si>
  <si>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</si>
  <si>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</si>
  <si>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</si>
  <si>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</si>
  <si>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</si>
  <si>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</si>
  <si>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</si>
  <si>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</si>
  <si>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</si>
  <si>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</si>
  <si>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</si>
  <si>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</si>
  <si>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</si>
  <si>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</si>
  <si>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</si>
  <si>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</si>
  <si>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</si>
  <si>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</si>
  <si>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</si>
  <si>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</si>
  <si>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</si>
  <si>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</si>
  <si>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</si>
  <si>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</si>
  <si>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</si>
  <si>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</si>
  <si>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</si>
  <si>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</si>
  <si>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</si>
  <si>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</si>
  <si>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</si>
  <si>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</si>
  <si>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</si>
  <si>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</si>
  <si>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</si>
  <si>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</si>
  <si>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</si>
  <si>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</si>
  <si>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</si>
  <si>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</si>
  <si>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</si>
  <si>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</si>
  <si>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</si>
  <si>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</si>
  <si>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</si>
  <si>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</si>
  <si>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</si>
  <si>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</si>
  <si>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</si>
  <si>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</si>
  <si>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</si>
  <si>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</si>
  <si>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</si>
  <si>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</si>
  <si>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</si>
  <si>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</si>
  <si>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</si>
  <si>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</si>
  <si>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</si>
  <si>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</si>
  <si>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</si>
  <si>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</si>
  <si>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</si>
  <si>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</si>
  <si>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</si>
  <si>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</si>
  <si>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</si>
  <si>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</si>
  <si>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</si>
  <si>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</si>
  <si>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</si>
  <si>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</si>
  <si>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</si>
  <si>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</si>
  <si>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</si>
  <si>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</si>
  <si>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</si>
  <si>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</si>
  <si>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</si>
  <si>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</si>
  <si>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</si>
  <si>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</si>
  <si>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</si>
  <si>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</si>
  <si>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</si>
  <si>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</si>
  <si>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</si>
  <si>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</si>
  <si>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</si>
  <si>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</si>
  <si>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</si>
  <si>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</si>
  <si>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</si>
  <si>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</si>
  <si>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</si>
  <si>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</si>
  <si>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</si>
  <si>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</si>
  <si>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</si>
  <si>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</si>
  <si>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</si>
  <si>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</si>
  <si>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</si>
  <si>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</si>
  <si>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</si>
  <si>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</si>
  <si>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</si>
  <si>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</si>
  <si>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</si>
  <si>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</si>
  <si>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</si>
  <si>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</si>
  <si>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</si>
  <si>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</si>
  <si>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</si>
  <si>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</si>
  <si>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</si>
  <si>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</si>
  <si>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</si>
  <si>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</si>
  <si>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</si>
  <si>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</si>
  <si>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</si>
  <si>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</si>
  <si>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</si>
  <si>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</si>
  <si>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</si>
  <si>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</si>
  <si>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</si>
  <si>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</si>
  <si>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</si>
  <si>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</si>
  <si>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</si>
  <si>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</si>
  <si>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</si>
  <si>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</si>
  <si>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</si>
  <si>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</si>
  <si>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</si>
  <si>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</si>
  <si>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</si>
  <si>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</si>
  <si>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</si>
  <si>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</si>
  <si>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</si>
  <si>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</si>
  <si>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</si>
  <si>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</si>
  <si>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</si>
  <si>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</si>
  <si>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</si>
  <si>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</si>
  <si>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</si>
  <si>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</si>
  <si>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</si>
  <si>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</si>
  <si>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</si>
  <si>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</si>
  <si>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</si>
  <si>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</si>
  <si>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</si>
  <si>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</si>
  <si>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</si>
  <si>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</si>
  <si>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</si>
  <si>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</si>
  <si>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</si>
  <si>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</si>
  <si>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</si>
  <si>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</si>
  <si>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</si>
  <si>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</si>
  <si>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</si>
  <si>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</si>
  <si>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</si>
  <si>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</si>
  <si>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</si>
  <si>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</si>
  <si>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</si>
  <si>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</si>
  <si>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</si>
  <si>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</si>
  <si>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</si>
  <si>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</si>
  <si>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</si>
  <si>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</si>
  <si>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</si>
  <si>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</si>
  <si>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</si>
  <si>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</si>
  <si>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</si>
  <si>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</si>
  <si>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</si>
  <si>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</si>
  <si>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</si>
  <si>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</si>
  <si>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</si>
  <si>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</si>
  <si>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</si>
  <si>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</si>
  <si>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</si>
  <si>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</si>
  <si>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</si>
  <si>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</si>
  <si>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</si>
  <si>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</si>
  <si>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</si>
  <si>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</si>
  <si>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</si>
  <si>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</si>
  <si>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</si>
  <si>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</si>
  <si>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</si>
  <si>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</si>
  <si>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Select A8:I1008 &gt; Data &gt; What-If Analysis &gt; Data Table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</si>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</sst>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3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7" fillId="2" borderId="0" xfId="0" applyFont="1" applyFill="1" applyAlignment="1">
      <alignment vertical="top" wrapText="1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2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5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26" customHeight="1" x14ac:dyDescent="0.2">
      <c r="A4" s="7" t="s">
        <v>46</v>
      </c>
      <c r="B4" s="28" t="s">
        <v>47</v>
      </c>
      <c r="C4" s="29"/>
      <c r="D4" s="29"/>
    </row>
    <row r="5" spans="1:4" ht="26" customHeight="1" x14ac:dyDescent="0.2">
      <c r="A5" s="7" t="s">
        <v>48</v>
      </c>
      <c r="B5" s="28" t="s">
        <v>49</v>
      </c>
      <c r="C5" s="29"/>
      <c r="D5" s="29"/>
    </row>
    <row r="6" spans="1:4" ht="65" customHeight="1" x14ac:dyDescent="0.2">
      <c r="A6" s="7" t="s">
        <v>50</v>
      </c>
      <c r="B6" s="28" t="s">
        <v>51</v>
      </c>
      <c r="C6" s="29"/>
      <c r="D6" s="29"/>
    </row>
    <row r="7" spans="1:4" ht="26" customHeight="1" x14ac:dyDescent="0.2">
      <c r="A7" s="7" t="s">
        <v>52</v>
      </c>
      <c r="B7" s="28" t="s">
        <v>53</v>
      </c>
      <c r="C7" s="29"/>
      <c r="D7" s="29"/>
    </row>
    <row r="8" spans="1:4" ht="13" customHeight="1" x14ac:dyDescent="0.2">
      <c r="A8" s="7" t="s">
        <v>54</v>
      </c>
      <c r="B8" s="28" t="s">
        <v>55</v>
      </c>
      <c r="C8" s="29"/>
      <c r="D8" s="29"/>
    </row>
    <row r="9" spans="1:4" x14ac:dyDescent="0.2">
      <c r="A9" s="9" t="s">
        <v>56</v>
      </c>
      <c r="B9" s="9" t="s">
        <v>57</v>
      </c>
      <c r="C9" s="9" t="s">
        <v>58</v>
      </c>
      <c r="D9" s="9" t="s">
        <v>59</v>
      </c>
    </row>
    <row r="10" spans="1:4" x14ac:dyDescent="0.2">
      <c r="A10" t="s">
        <v>60</v>
      </c>
      <c r="B10" s="10" t="s">
        <v>61</v>
      </c>
      <c r="C10" t="s">
        <v>62</v>
      </c>
      <c r="D10" t="s">
        <v>63</v>
      </c>
    </row>
    <row r="11" spans="1:4" x14ac:dyDescent="0.2">
      <c r="A11" t="s">
        <v>64</v>
      </c>
      <c r="B11" s="10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1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10">
        <v>5</v>
      </c>
      <c r="C13" t="s">
        <v>71</v>
      </c>
      <c r="D13" t="s">
        <v>72</v>
      </c>
    </row>
    <row r="14" spans="1:4" x14ac:dyDescent="0.2">
      <c r="A14" t="s">
        <v>73</v>
      </c>
      <c r="B14" s="10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9" t="s">
        <v>93</v>
      </c>
      <c r="B21" s="9" t="s">
        <v>94</v>
      </c>
      <c r="C21" s="9" t="s">
        <v>95</v>
      </c>
      <c r="D21" s="9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2" t="s">
        <v>107</v>
      </c>
      <c r="B28" t="s">
        <v>108</v>
      </c>
    </row>
    <row r="29" spans="1:4" x14ac:dyDescent="0.2">
      <c r="A29" s="12" t="s">
        <v>109</v>
      </c>
      <c r="B29" t="s">
        <v>110</v>
      </c>
    </row>
    <row r="30" spans="1:4" x14ac:dyDescent="0.2">
      <c r="A30" s="12" t="s">
        <v>111</v>
      </c>
      <c r="B30" t="s">
        <v>112</v>
      </c>
    </row>
    <row r="31" spans="1:4" x14ac:dyDescent="0.2">
      <c r="A31" s="12" t="s">
        <v>113</v>
      </c>
      <c r="B31" t="s">
        <v>114</v>
      </c>
    </row>
    <row r="32" spans="1:4" x14ac:dyDescent="0.2">
      <c r="A32" s="12" t="s">
        <v>115</v>
      </c>
      <c r="B32" t="s">
        <v>116</v>
      </c>
    </row>
    <row r="33" spans="1:2" x14ac:dyDescent="0.2">
      <c r="A33" s="12" t="s">
        <v>117</v>
      </c>
      <c r="B33" t="s">
        <v>118</v>
      </c>
    </row>
    <row r="34" spans="1:2" x14ac:dyDescent="0.2">
      <c r="A34" s="12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3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2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3" t="s">
        <v>138</v>
      </c>
    </row>
    <row r="57" spans="1:1" x14ac:dyDescent="0.2">
      <c r="A57" t="s">
        <v>139</v>
      </c>
    </row>
    <row r="59" spans="1:1" x14ac:dyDescent="0.2">
      <c r="A59" s="12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2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2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2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9" t="s">
        <v>160</v>
      </c>
      <c r="B83" s="9" t="s">
        <v>161</v>
      </c>
      <c r="C83" s="9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26" customHeight="1" x14ac:dyDescent="0.2">
      <c r="A4" s="7" t="s">
        <v>46</v>
      </c>
      <c r="B4" s="28" t="s">
        <v>177</v>
      </c>
      <c r="C4" s="29"/>
      <c r="D4" s="29"/>
    </row>
    <row r="5" spans="1:4" ht="26" customHeight="1" x14ac:dyDescent="0.2">
      <c r="A5" s="7" t="s">
        <v>48</v>
      </c>
      <c r="B5" s="28" t="s">
        <v>178</v>
      </c>
      <c r="C5" s="29"/>
      <c r="D5" s="29"/>
    </row>
    <row r="6" spans="1:4" ht="39" customHeight="1" x14ac:dyDescent="0.2">
      <c r="A6" s="7" t="s">
        <v>50</v>
      </c>
      <c r="B6" s="28" t="s">
        <v>179</v>
      </c>
      <c r="C6" s="29"/>
      <c r="D6" s="29"/>
    </row>
    <row r="7" spans="1:4" ht="13" customHeight="1" x14ac:dyDescent="0.2">
      <c r="A7" s="7" t="s">
        <v>52</v>
      </c>
      <c r="B7" s="28" t="s">
        <v>180</v>
      </c>
      <c r="C7" s="29"/>
      <c r="D7" s="29"/>
    </row>
    <row r="8" spans="1:4" ht="13" customHeight="1" x14ac:dyDescent="0.2">
      <c r="A8" s="7" t="s">
        <v>54</v>
      </c>
      <c r="B8" s="28" t="s">
        <v>181</v>
      </c>
      <c r="C8" s="29"/>
      <c r="D8" s="29"/>
    </row>
    <row r="9" spans="1:4" x14ac:dyDescent="0.2">
      <c r="A9" s="9" t="s">
        <v>56</v>
      </c>
      <c r="B9" s="9" t="s">
        <v>57</v>
      </c>
      <c r="C9" s="9" t="s">
        <v>182</v>
      </c>
      <c r="D9" s="9" t="s">
        <v>183</v>
      </c>
    </row>
    <row r="10" spans="1:4" x14ac:dyDescent="0.2">
      <c r="A10" t="s">
        <v>184</v>
      </c>
      <c r="B10" s="10">
        <v>5</v>
      </c>
      <c r="C10" t="s">
        <v>185</v>
      </c>
      <c r="D10" t="s">
        <v>186</v>
      </c>
    </row>
    <row r="11" spans="1:4" x14ac:dyDescent="0.2">
      <c r="A11" t="s">
        <v>187</v>
      </c>
      <c r="B11" s="10">
        <v>15</v>
      </c>
      <c r="C11" t="s">
        <v>188</v>
      </c>
      <c r="D11" t="s">
        <v>189</v>
      </c>
    </row>
    <row r="12" spans="1:4" x14ac:dyDescent="0.2">
      <c r="A12" t="s">
        <v>190</v>
      </c>
      <c r="B12" s="10">
        <v>9</v>
      </c>
      <c r="C12" t="s">
        <v>185</v>
      </c>
      <c r="D12" t="s">
        <v>191</v>
      </c>
    </row>
    <row r="13" spans="1:4" x14ac:dyDescent="0.2">
      <c r="A13" t="s">
        <v>192</v>
      </c>
      <c r="B13" s="10">
        <v>15</v>
      </c>
      <c r="C13" t="s">
        <v>188</v>
      </c>
      <c r="D13" t="s">
        <v>193</v>
      </c>
    </row>
    <row r="14" spans="1:4" x14ac:dyDescent="0.2">
      <c r="A14" t="s">
        <v>194</v>
      </c>
      <c r="B14" s="10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26" customHeight="1" x14ac:dyDescent="0.2">
      <c r="A17" s="7" t="s">
        <v>46</v>
      </c>
      <c r="B17" s="28" t="s">
        <v>198</v>
      </c>
      <c r="C17" s="29"/>
      <c r="D17" s="29"/>
    </row>
    <row r="18" spans="1:4" ht="26" customHeight="1" x14ac:dyDescent="0.2">
      <c r="A18" s="7" t="s">
        <v>48</v>
      </c>
      <c r="B18" s="28" t="s">
        <v>199</v>
      </c>
      <c r="C18" s="29"/>
      <c r="D18" s="29"/>
    </row>
    <row r="19" spans="1:4" ht="39" customHeight="1" x14ac:dyDescent="0.2">
      <c r="A19" s="7" t="s">
        <v>50</v>
      </c>
      <c r="B19" s="28" t="s">
        <v>200</v>
      </c>
      <c r="C19" s="29"/>
      <c r="D19" s="29"/>
    </row>
    <row r="20" spans="1:4" ht="13" customHeight="1" x14ac:dyDescent="0.2">
      <c r="A20" s="7" t="s">
        <v>52</v>
      </c>
      <c r="B20" s="28" t="s">
        <v>201</v>
      </c>
      <c r="C20" s="29"/>
      <c r="D20" s="29"/>
    </row>
    <row r="21" spans="1:4" ht="13" customHeight="1" x14ac:dyDescent="0.2">
      <c r="A21" s="7" t="s">
        <v>54</v>
      </c>
      <c r="B21" s="28" t="s">
        <v>202</v>
      </c>
      <c r="C21" s="29"/>
      <c r="D21" s="29"/>
    </row>
    <row r="22" spans="1:4" x14ac:dyDescent="0.2">
      <c r="A22" s="9" t="s">
        <v>203</v>
      </c>
      <c r="B22" s="9" t="s">
        <v>204</v>
      </c>
      <c r="C22" s="9" t="s">
        <v>205</v>
      </c>
      <c r="D22" s="9" t="s">
        <v>206</v>
      </c>
    </row>
    <row r="23" spans="1:4" x14ac:dyDescent="0.2">
      <c r="A23" t="s">
        <v>186</v>
      </c>
      <c r="B23">
        <v>5</v>
      </c>
      <c r="C23" s="10">
        <v>0.85</v>
      </c>
      <c r="D23" t="s">
        <v>207</v>
      </c>
    </row>
    <row r="24" spans="1:4" x14ac:dyDescent="0.2">
      <c r="A24" t="s">
        <v>208</v>
      </c>
      <c r="B24">
        <v>6</v>
      </c>
      <c r="C24" s="10">
        <v>1</v>
      </c>
      <c r="D24" t="s">
        <v>209</v>
      </c>
    </row>
    <row r="25" spans="1:4" x14ac:dyDescent="0.2">
      <c r="A25" t="s">
        <v>210</v>
      </c>
      <c r="B25">
        <v>7</v>
      </c>
      <c r="C25" s="10">
        <v>1</v>
      </c>
      <c r="D25" t="s">
        <v>209</v>
      </c>
    </row>
    <row r="26" spans="1:4" x14ac:dyDescent="0.2">
      <c r="A26" t="s">
        <v>211</v>
      </c>
      <c r="B26">
        <v>8</v>
      </c>
      <c r="C26" s="10">
        <v>0.95</v>
      </c>
      <c r="D26" t="s">
        <v>212</v>
      </c>
    </row>
    <row r="27" spans="1:4" x14ac:dyDescent="0.2">
      <c r="A27" t="s">
        <v>191</v>
      </c>
      <c r="B27">
        <v>9</v>
      </c>
      <c r="C27" s="10">
        <v>0.75</v>
      </c>
      <c r="D27" t="s">
        <v>213</v>
      </c>
    </row>
    <row r="30" spans="1:4" x14ac:dyDescent="0.2">
      <c r="A30" s="6" t="s">
        <v>214</v>
      </c>
    </row>
    <row r="31" spans="1:4" ht="26" customHeight="1" x14ac:dyDescent="0.2">
      <c r="A31" s="7" t="s">
        <v>46</v>
      </c>
      <c r="B31" s="28" t="s">
        <v>215</v>
      </c>
      <c r="C31" s="29"/>
      <c r="D31" s="29"/>
    </row>
    <row r="32" spans="1:4" ht="13" customHeight="1" x14ac:dyDescent="0.2">
      <c r="A32" s="7" t="s">
        <v>48</v>
      </c>
      <c r="B32" s="28" t="s">
        <v>216</v>
      </c>
      <c r="C32" s="29"/>
      <c r="D32" s="29"/>
    </row>
    <row r="33" spans="1:4" ht="26" customHeight="1" x14ac:dyDescent="0.2">
      <c r="A33" s="7" t="s">
        <v>50</v>
      </c>
      <c r="B33" s="28" t="s">
        <v>217</v>
      </c>
      <c r="C33" s="29"/>
      <c r="D33" s="29"/>
    </row>
    <row r="34" spans="1:4" ht="26" customHeight="1" x14ac:dyDescent="0.2">
      <c r="A34" s="7" t="s">
        <v>52</v>
      </c>
      <c r="B34" s="28" t="s">
        <v>218</v>
      </c>
      <c r="C34" s="29"/>
      <c r="D34" s="29"/>
    </row>
    <row r="35" spans="1:4" ht="13" customHeight="1" x14ac:dyDescent="0.2">
      <c r="A35" s="7" t="s">
        <v>54</v>
      </c>
      <c r="B35" s="28" t="s">
        <v>219</v>
      </c>
      <c r="C35" s="29"/>
      <c r="D35" s="29"/>
    </row>
    <row r="36" spans="1:4" x14ac:dyDescent="0.2">
      <c r="A36" s="9" t="s">
        <v>56</v>
      </c>
      <c r="B36" s="9" t="s">
        <v>57</v>
      </c>
      <c r="C36" s="9" t="s">
        <v>182</v>
      </c>
      <c r="D36" s="9" t="s">
        <v>220</v>
      </c>
    </row>
    <row r="37" spans="1:4" x14ac:dyDescent="0.2">
      <c r="A37" t="s">
        <v>221</v>
      </c>
      <c r="B37" s="10">
        <v>1</v>
      </c>
      <c r="C37" t="s">
        <v>222</v>
      </c>
      <c r="D37" t="s">
        <v>223</v>
      </c>
    </row>
    <row r="38" spans="1:4" x14ac:dyDescent="0.2">
      <c r="A38" t="s">
        <v>224</v>
      </c>
      <c r="B38" s="10">
        <v>5</v>
      </c>
      <c r="C38" t="s">
        <v>225</v>
      </c>
      <c r="D38" t="s">
        <v>226</v>
      </c>
    </row>
    <row r="39" spans="1:4" x14ac:dyDescent="0.2">
      <c r="A39" t="s">
        <v>227</v>
      </c>
      <c r="B39" s="10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4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26" customHeight="1" x14ac:dyDescent="0.2">
      <c r="A44" s="7" t="s">
        <v>46</v>
      </c>
      <c r="B44" s="28" t="s">
        <v>234</v>
      </c>
      <c r="C44" s="29"/>
    </row>
    <row r="45" spans="1:4" ht="26" customHeight="1" x14ac:dyDescent="0.2">
      <c r="A45" s="7" t="s">
        <v>48</v>
      </c>
      <c r="B45" s="28" t="s">
        <v>235</v>
      </c>
      <c r="C45" s="29"/>
    </row>
    <row r="46" spans="1:4" ht="39" customHeight="1" x14ac:dyDescent="0.2">
      <c r="A46" s="7" t="s">
        <v>50</v>
      </c>
      <c r="B46" s="28" t="s">
        <v>236</v>
      </c>
      <c r="C46" s="29"/>
    </row>
    <row r="47" spans="1:4" ht="26" customHeight="1" x14ac:dyDescent="0.2">
      <c r="A47" s="7" t="s">
        <v>52</v>
      </c>
      <c r="B47" s="28" t="s">
        <v>237</v>
      </c>
      <c r="C47" s="29"/>
    </row>
    <row r="48" spans="1:4" ht="13" customHeight="1" x14ac:dyDescent="0.2">
      <c r="A48" s="7" t="s">
        <v>54</v>
      </c>
      <c r="B48" s="28" t="s">
        <v>238</v>
      </c>
      <c r="C48" s="29"/>
    </row>
    <row r="49" spans="1:3" x14ac:dyDescent="0.2">
      <c r="A49" s="9" t="s">
        <v>56</v>
      </c>
      <c r="B49" s="9" t="s">
        <v>57</v>
      </c>
      <c r="C49" s="9" t="s">
        <v>182</v>
      </c>
    </row>
    <row r="50" spans="1:3" x14ac:dyDescent="0.2">
      <c r="A50" t="s">
        <v>239</v>
      </c>
      <c r="B50" s="15">
        <v>1500</v>
      </c>
      <c r="C50" t="s">
        <v>240</v>
      </c>
    </row>
    <row r="51" spans="1:3" x14ac:dyDescent="0.2">
      <c r="A51" t="s">
        <v>241</v>
      </c>
      <c r="B51" s="15">
        <v>50000</v>
      </c>
      <c r="C51" t="s">
        <v>242</v>
      </c>
    </row>
    <row r="52" spans="1:3" x14ac:dyDescent="0.2">
      <c r="A52" t="s">
        <v>243</v>
      </c>
      <c r="B52" s="15">
        <v>15000</v>
      </c>
      <c r="C52" t="s">
        <v>240</v>
      </c>
    </row>
    <row r="55" spans="1:3" x14ac:dyDescent="0.2">
      <c r="A55" s="6" t="s">
        <v>244</v>
      </c>
    </row>
    <row r="56" spans="1:3" ht="39" customHeight="1" x14ac:dyDescent="0.2">
      <c r="A56" s="7" t="s">
        <v>46</v>
      </c>
      <c r="B56" s="28" t="s">
        <v>245</v>
      </c>
      <c r="C56" s="29"/>
    </row>
    <row r="57" spans="1:3" ht="26" customHeight="1" x14ac:dyDescent="0.2">
      <c r="A57" s="7" t="s">
        <v>48</v>
      </c>
      <c r="B57" s="28" t="s">
        <v>246</v>
      </c>
      <c r="C57" s="29"/>
    </row>
    <row r="58" spans="1:3" ht="39" customHeight="1" x14ac:dyDescent="0.2">
      <c r="A58" s="7" t="s">
        <v>50</v>
      </c>
      <c r="B58" s="28" t="s">
        <v>247</v>
      </c>
      <c r="C58" s="29"/>
    </row>
    <row r="59" spans="1:3" ht="26" customHeight="1" x14ac:dyDescent="0.2">
      <c r="A59" s="7" t="s">
        <v>52</v>
      </c>
      <c r="B59" s="28" t="s">
        <v>248</v>
      </c>
      <c r="C59" s="29"/>
    </row>
    <row r="60" spans="1:3" ht="13" customHeight="1" x14ac:dyDescent="0.2">
      <c r="A60" s="7" t="s">
        <v>54</v>
      </c>
      <c r="B60" s="28" t="s">
        <v>249</v>
      </c>
      <c r="C60" s="29"/>
    </row>
    <row r="61" spans="1:3" x14ac:dyDescent="0.2">
      <c r="A61" s="9" t="s">
        <v>250</v>
      </c>
      <c r="B61" s="9" t="s">
        <v>205</v>
      </c>
      <c r="C61" s="9" t="s">
        <v>183</v>
      </c>
    </row>
    <row r="62" spans="1:3" x14ac:dyDescent="0.2">
      <c r="A62">
        <v>1</v>
      </c>
      <c r="B62" s="10">
        <v>0.5</v>
      </c>
      <c r="C62" t="s">
        <v>251</v>
      </c>
    </row>
    <row r="63" spans="1:3" x14ac:dyDescent="0.2">
      <c r="A63">
        <v>2</v>
      </c>
      <c r="B63" s="10">
        <v>0.75</v>
      </c>
      <c r="C63" t="s">
        <v>252</v>
      </c>
    </row>
    <row r="64" spans="1:3" x14ac:dyDescent="0.2">
      <c r="A64">
        <v>3</v>
      </c>
      <c r="B64" s="10">
        <v>1</v>
      </c>
      <c r="C64" t="s">
        <v>253</v>
      </c>
    </row>
    <row r="65" spans="1:6" x14ac:dyDescent="0.2">
      <c r="A65">
        <v>4</v>
      </c>
      <c r="B65" s="10">
        <v>1</v>
      </c>
      <c r="C65" t="s">
        <v>254</v>
      </c>
    </row>
    <row r="66" spans="1:6" x14ac:dyDescent="0.2">
      <c r="A66">
        <v>5</v>
      </c>
      <c r="B66" s="10">
        <v>1</v>
      </c>
      <c r="C66" t="s">
        <v>254</v>
      </c>
    </row>
    <row r="69" spans="1:6" x14ac:dyDescent="0.2">
      <c r="A69" s="6" t="s">
        <v>255</v>
      </c>
    </row>
    <row r="70" spans="1:6" ht="13" customHeight="1" x14ac:dyDescent="0.2">
      <c r="A70" s="7" t="s">
        <v>46</v>
      </c>
      <c r="B70" s="28" t="s">
        <v>256</v>
      </c>
      <c r="C70" s="29"/>
      <c r="D70" s="29"/>
      <c r="E70" s="29"/>
      <c r="F70" s="29"/>
    </row>
    <row r="71" spans="1:6" ht="13" customHeight="1" x14ac:dyDescent="0.2">
      <c r="A71" s="7" t="s">
        <v>48</v>
      </c>
      <c r="B71" s="28" t="s">
        <v>257</v>
      </c>
      <c r="C71" s="29"/>
      <c r="D71" s="29"/>
      <c r="E71" s="29"/>
      <c r="F71" s="29"/>
    </row>
    <row r="72" spans="1:6" ht="26" customHeight="1" x14ac:dyDescent="0.2">
      <c r="A72" s="7" t="s">
        <v>50</v>
      </c>
      <c r="B72" s="28" t="s">
        <v>258</v>
      </c>
      <c r="C72" s="29"/>
      <c r="D72" s="29"/>
      <c r="E72" s="29"/>
      <c r="F72" s="29"/>
    </row>
    <row r="73" spans="1:6" ht="13" customHeight="1" x14ac:dyDescent="0.2">
      <c r="A73" s="7" t="s">
        <v>52</v>
      </c>
      <c r="B73" s="28" t="s">
        <v>259</v>
      </c>
      <c r="C73" s="29"/>
      <c r="D73" s="29"/>
      <c r="E73" s="29"/>
      <c r="F73" s="29"/>
    </row>
    <row r="74" spans="1:6" ht="13" customHeight="1" x14ac:dyDescent="0.2">
      <c r="A74" s="7" t="s">
        <v>54</v>
      </c>
      <c r="B74" s="28" t="s">
        <v>260</v>
      </c>
      <c r="C74" s="29"/>
      <c r="D74" s="29"/>
      <c r="E74" s="29"/>
      <c r="F74" s="29"/>
    </row>
    <row r="75" spans="1:6" x14ac:dyDescent="0.2">
      <c r="A75" s="9" t="s">
        <v>261</v>
      </c>
      <c r="B75" s="9" t="s">
        <v>262</v>
      </c>
      <c r="C75" s="9" t="s">
        <v>263</v>
      </c>
      <c r="D75" s="9" t="s">
        <v>264</v>
      </c>
      <c r="E75" s="9" t="s">
        <v>265</v>
      </c>
      <c r="F75" s="9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6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6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6">
        <v>10</v>
      </c>
      <c r="F78">
        <v>1</v>
      </c>
    </row>
    <row r="80" spans="1:6" x14ac:dyDescent="0.2">
      <c r="A80" s="6" t="s">
        <v>270</v>
      </c>
    </row>
    <row r="81" spans="1:5" ht="26" customHeight="1" x14ac:dyDescent="0.2">
      <c r="A81" s="7" t="s">
        <v>46</v>
      </c>
      <c r="B81" s="28" t="s">
        <v>271</v>
      </c>
      <c r="C81" s="29"/>
      <c r="D81" s="29"/>
      <c r="E81" s="29"/>
    </row>
    <row r="82" spans="1:5" ht="13" customHeight="1" x14ac:dyDescent="0.2">
      <c r="A82" s="7" t="s">
        <v>48</v>
      </c>
      <c r="B82" s="28" t="s">
        <v>272</v>
      </c>
      <c r="C82" s="29"/>
      <c r="D82" s="29"/>
      <c r="E82" s="29"/>
    </row>
    <row r="83" spans="1:5" ht="39" customHeight="1" x14ac:dyDescent="0.2">
      <c r="A83" s="7" t="s">
        <v>50</v>
      </c>
      <c r="B83" s="28" t="s">
        <v>273</v>
      </c>
      <c r="C83" s="29"/>
      <c r="D83" s="29"/>
      <c r="E83" s="29"/>
    </row>
    <row r="84" spans="1:5" ht="13" customHeight="1" x14ac:dyDescent="0.2">
      <c r="A84" s="7" t="s">
        <v>52</v>
      </c>
      <c r="B84" s="28" t="s">
        <v>274</v>
      </c>
      <c r="C84" s="29"/>
      <c r="D84" s="29"/>
      <c r="E84" s="29"/>
    </row>
    <row r="85" spans="1:5" ht="13" customHeight="1" x14ac:dyDescent="0.2">
      <c r="A85" s="7" t="s">
        <v>54</v>
      </c>
      <c r="B85" s="28" t="s">
        <v>275</v>
      </c>
      <c r="C85" s="29"/>
      <c r="D85" s="29"/>
      <c r="E85" s="29"/>
    </row>
    <row r="86" spans="1:5" x14ac:dyDescent="0.2">
      <c r="A86" s="9" t="s">
        <v>261</v>
      </c>
      <c r="B86" s="9" t="s">
        <v>276</v>
      </c>
      <c r="C86" s="9" t="s">
        <v>277</v>
      </c>
      <c r="D86" s="9" t="s">
        <v>278</v>
      </c>
      <c r="E86" s="9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26" customHeight="1" x14ac:dyDescent="0.2">
      <c r="A102" s="7" t="s">
        <v>46</v>
      </c>
      <c r="B102" s="28" t="s">
        <v>288</v>
      </c>
      <c r="C102" s="29"/>
      <c r="D102" s="29"/>
    </row>
    <row r="103" spans="1:4" ht="26" customHeight="1" x14ac:dyDescent="0.2">
      <c r="A103" s="7" t="s">
        <v>48</v>
      </c>
      <c r="B103" s="28" t="s">
        <v>289</v>
      </c>
      <c r="C103" s="29"/>
      <c r="D103" s="29"/>
    </row>
    <row r="104" spans="1:4" ht="39" customHeight="1" x14ac:dyDescent="0.2">
      <c r="A104" s="7" t="s">
        <v>50</v>
      </c>
      <c r="B104" s="28" t="s">
        <v>290</v>
      </c>
      <c r="C104" s="29"/>
      <c r="D104" s="29"/>
    </row>
    <row r="105" spans="1:4" ht="26" customHeight="1" x14ac:dyDescent="0.2">
      <c r="A105" s="7" t="s">
        <v>52</v>
      </c>
      <c r="B105" s="28" t="s">
        <v>291</v>
      </c>
      <c r="C105" s="29"/>
      <c r="D105" s="29"/>
    </row>
    <row r="106" spans="1:4" ht="13" customHeight="1" x14ac:dyDescent="0.2">
      <c r="A106" s="7" t="s">
        <v>54</v>
      </c>
      <c r="B106" s="28" t="s">
        <v>292</v>
      </c>
      <c r="C106" s="29"/>
      <c r="D106" s="29"/>
    </row>
    <row r="107" spans="1:4" x14ac:dyDescent="0.2">
      <c r="A107" s="9" t="s">
        <v>56</v>
      </c>
      <c r="B107" s="9" t="s">
        <v>57</v>
      </c>
      <c r="C107" s="9" t="s">
        <v>182</v>
      </c>
      <c r="D107" s="9" t="s">
        <v>183</v>
      </c>
    </row>
    <row r="108" spans="1:4" x14ac:dyDescent="0.2">
      <c r="A108" t="s">
        <v>293</v>
      </c>
      <c r="B108" s="17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7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7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7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10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10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10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26" customHeight="1" x14ac:dyDescent="0.2">
      <c r="A118" s="7" t="s">
        <v>46</v>
      </c>
      <c r="B118" s="28" t="s">
        <v>311</v>
      </c>
      <c r="C118" s="29"/>
      <c r="D118" s="29"/>
    </row>
    <row r="119" spans="1:4" ht="26" customHeight="1" x14ac:dyDescent="0.2">
      <c r="A119" s="7" t="s">
        <v>48</v>
      </c>
      <c r="B119" s="28" t="s">
        <v>312</v>
      </c>
      <c r="C119" s="29"/>
      <c r="D119" s="29"/>
    </row>
    <row r="120" spans="1:4" ht="26" customHeight="1" x14ac:dyDescent="0.2">
      <c r="A120" s="7" t="s">
        <v>50</v>
      </c>
      <c r="B120" s="28" t="s">
        <v>313</v>
      </c>
      <c r="C120" s="29"/>
      <c r="D120" s="29"/>
    </row>
    <row r="121" spans="1:4" ht="13" customHeight="1" x14ac:dyDescent="0.2">
      <c r="A121" s="7" t="s">
        <v>52</v>
      </c>
      <c r="B121" s="28" t="s">
        <v>314</v>
      </c>
      <c r="C121" s="29"/>
      <c r="D121" s="29"/>
    </row>
    <row r="122" spans="1:4" ht="13" customHeight="1" x14ac:dyDescent="0.2">
      <c r="A122" s="7" t="s">
        <v>54</v>
      </c>
      <c r="B122" s="28" t="s">
        <v>219</v>
      </c>
      <c r="C122" s="29"/>
      <c r="D122" s="29"/>
    </row>
    <row r="123" spans="1:4" x14ac:dyDescent="0.2">
      <c r="A123" s="9" t="s">
        <v>315</v>
      </c>
      <c r="B123" s="9" t="s">
        <v>316</v>
      </c>
      <c r="C123" s="9" t="s">
        <v>317</v>
      </c>
      <c r="D123" s="9" t="s">
        <v>183</v>
      </c>
    </row>
    <row r="124" spans="1:4" x14ac:dyDescent="0.2">
      <c r="A124" t="s">
        <v>318</v>
      </c>
      <c r="B124" s="10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10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10">
        <v>42</v>
      </c>
      <c r="C126" t="s">
        <v>325</v>
      </c>
      <c r="D126" t="s">
        <v>326</v>
      </c>
    </row>
  </sheetData>
  <mergeCells count="45">
    <mergeCell ref="B121:D121"/>
    <mergeCell ref="B31:D31"/>
    <mergeCell ref="B122:D122"/>
    <mergeCell ref="B102:D102"/>
    <mergeCell ref="B82:E82"/>
    <mergeCell ref="B45:C45"/>
    <mergeCell ref="B105:D105"/>
    <mergeCell ref="B84:E84"/>
    <mergeCell ref="B5:D5"/>
    <mergeCell ref="B73:F73"/>
    <mergeCell ref="B32:D32"/>
    <mergeCell ref="B4:D4"/>
    <mergeCell ref="B35:D35"/>
    <mergeCell ref="B7:D7"/>
    <mergeCell ref="B18:D18"/>
    <mergeCell ref="B21:D21"/>
    <mergeCell ref="B6:D6"/>
    <mergeCell ref="B20:D20"/>
    <mergeCell ref="B33:D33"/>
    <mergeCell ref="B104:D104"/>
    <mergeCell ref="B44:C44"/>
    <mergeCell ref="B74:F74"/>
    <mergeCell ref="B19:D19"/>
    <mergeCell ref="B48:C48"/>
    <mergeCell ref="B118:D118"/>
    <mergeCell ref="B60:C60"/>
    <mergeCell ref="B81:E81"/>
    <mergeCell ref="B57:C57"/>
    <mergeCell ref="B106:D106"/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25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26" customHeight="1" x14ac:dyDescent="0.2">
      <c r="A4" s="7" t="s">
        <v>46</v>
      </c>
      <c r="B4" s="28" t="s">
        <v>328</v>
      </c>
      <c r="C4" s="29"/>
      <c r="D4" s="29"/>
      <c r="E4" s="29"/>
    </row>
    <row r="5" spans="1:5" ht="26" customHeight="1" x14ac:dyDescent="0.2">
      <c r="A5" s="7" t="s">
        <v>48</v>
      </c>
      <c r="B5" s="28" t="s">
        <v>329</v>
      </c>
      <c r="C5" s="29"/>
      <c r="D5" s="29"/>
      <c r="E5" s="29"/>
    </row>
    <row r="6" spans="1:5" ht="52" customHeight="1" x14ac:dyDescent="0.2">
      <c r="A6" s="7" t="s">
        <v>50</v>
      </c>
      <c r="B6" s="28" t="s">
        <v>330</v>
      </c>
      <c r="C6" s="29"/>
      <c r="D6" s="29"/>
      <c r="E6" s="29"/>
    </row>
    <row r="7" spans="1:5" ht="13" customHeight="1" x14ac:dyDescent="0.2">
      <c r="A7" s="7" t="s">
        <v>52</v>
      </c>
      <c r="B7" s="28" t="s">
        <v>331</v>
      </c>
      <c r="C7" s="29"/>
      <c r="D7" s="29"/>
      <c r="E7" s="29"/>
    </row>
    <row r="8" spans="1:5" ht="13" customHeight="1" x14ac:dyDescent="0.2">
      <c r="A8" s="7" t="s">
        <v>54</v>
      </c>
      <c r="B8" s="28" t="s">
        <v>332</v>
      </c>
      <c r="C8" s="29"/>
      <c r="D8" s="29"/>
      <c r="E8" s="29"/>
    </row>
    <row r="9" spans="1:5" x14ac:dyDescent="0.2">
      <c r="A9" s="9" t="s">
        <v>333</v>
      </c>
      <c r="B9" s="9" t="s">
        <v>334</v>
      </c>
      <c r="C9" s="9" t="s">
        <v>335</v>
      </c>
      <c r="D9" s="9" t="s">
        <v>336</v>
      </c>
      <c r="E9" s="9" t="s">
        <v>59</v>
      </c>
    </row>
    <row r="10" spans="1:5" x14ac:dyDescent="0.2">
      <c r="A10" t="s">
        <v>337</v>
      </c>
      <c r="B10" t="s">
        <v>338</v>
      </c>
      <c r="C10" s="15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5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5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5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26" customHeight="1" x14ac:dyDescent="0.2">
      <c r="A17" s="7" t="s">
        <v>46</v>
      </c>
      <c r="B17" s="28" t="s">
        <v>350</v>
      </c>
      <c r="C17" s="29"/>
      <c r="D17" s="29"/>
    </row>
    <row r="18" spans="1:4" ht="26" customHeight="1" x14ac:dyDescent="0.2">
      <c r="A18" s="7" t="s">
        <v>48</v>
      </c>
      <c r="B18" s="28" t="s">
        <v>351</v>
      </c>
      <c r="C18" s="29"/>
      <c r="D18" s="29"/>
    </row>
    <row r="19" spans="1:4" ht="52" customHeight="1" x14ac:dyDescent="0.2">
      <c r="A19" s="7" t="s">
        <v>50</v>
      </c>
      <c r="B19" s="28" t="s">
        <v>352</v>
      </c>
      <c r="C19" s="29"/>
      <c r="D19" s="29"/>
    </row>
    <row r="20" spans="1:4" ht="26" customHeight="1" x14ac:dyDescent="0.2">
      <c r="A20" s="7" t="s">
        <v>52</v>
      </c>
      <c r="B20" s="28" t="s">
        <v>353</v>
      </c>
      <c r="C20" s="29"/>
      <c r="D20" s="29"/>
    </row>
    <row r="21" spans="1:4" ht="13" customHeight="1" x14ac:dyDescent="0.2">
      <c r="A21" s="7" t="s">
        <v>54</v>
      </c>
      <c r="B21" s="28" t="s">
        <v>354</v>
      </c>
      <c r="C21" s="29"/>
      <c r="D21" s="29"/>
    </row>
    <row r="22" spans="1:4" x14ac:dyDescent="0.2">
      <c r="A22" s="9" t="s">
        <v>93</v>
      </c>
      <c r="B22" s="9" t="s">
        <v>355</v>
      </c>
      <c r="C22" s="9" t="s">
        <v>356</v>
      </c>
      <c r="D22" s="9" t="s">
        <v>357</v>
      </c>
    </row>
    <row r="23" spans="1:4" x14ac:dyDescent="0.2">
      <c r="A23" t="s">
        <v>65</v>
      </c>
      <c r="B23" s="11">
        <v>0</v>
      </c>
      <c r="C23" s="11">
        <v>0</v>
      </c>
      <c r="D23" s="11">
        <v>0</v>
      </c>
    </row>
    <row r="24" spans="1:4" x14ac:dyDescent="0.2">
      <c r="A24" t="s">
        <v>283</v>
      </c>
      <c r="B24" s="11">
        <v>4.0000000000000001E-3</v>
      </c>
      <c r="C24" s="11">
        <v>-0.02</v>
      </c>
      <c r="D24" s="11">
        <v>0.1</v>
      </c>
    </row>
    <row r="25" spans="1:4" x14ac:dyDescent="0.2">
      <c r="A25" t="s">
        <v>284</v>
      </c>
      <c r="B25" s="11">
        <v>-3.0000000000000001E-3</v>
      </c>
      <c r="C25" s="11">
        <v>0.01</v>
      </c>
      <c r="D25" s="11">
        <v>-0.1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358</v>
      </c>
    </row>
    <row r="3" spans="1:5" x14ac:dyDescent="0.2">
      <c r="A3" s="6" t="s">
        <v>359</v>
      </c>
    </row>
    <row r="4" spans="1:5" ht="26" customHeight="1" x14ac:dyDescent="0.2">
      <c r="A4" s="7" t="s">
        <v>46</v>
      </c>
      <c r="B4" s="28" t="s">
        <v>360</v>
      </c>
      <c r="C4" s="29"/>
      <c r="D4" s="29"/>
      <c r="E4" s="29"/>
    </row>
    <row r="5" spans="1:5" ht="26" customHeight="1" x14ac:dyDescent="0.2">
      <c r="A5" s="7" t="s">
        <v>48</v>
      </c>
      <c r="B5" s="28" t="s">
        <v>361</v>
      </c>
      <c r="C5" s="29"/>
      <c r="D5" s="29"/>
      <c r="E5" s="29"/>
    </row>
    <row r="6" spans="1:5" ht="52" customHeight="1" x14ac:dyDescent="0.2">
      <c r="A6" s="7" t="s">
        <v>50</v>
      </c>
      <c r="B6" s="28" t="s">
        <v>362</v>
      </c>
      <c r="C6" s="29"/>
      <c r="D6" s="29"/>
      <c r="E6" s="29"/>
    </row>
    <row r="7" spans="1:5" ht="13" customHeight="1" x14ac:dyDescent="0.2">
      <c r="A7" s="7" t="s">
        <v>52</v>
      </c>
      <c r="B7" s="28" t="s">
        <v>363</v>
      </c>
      <c r="C7" s="29"/>
      <c r="D7" s="29"/>
      <c r="E7" s="29"/>
    </row>
    <row r="8" spans="1:5" ht="13" customHeight="1" x14ac:dyDescent="0.2">
      <c r="A8" s="7" t="s">
        <v>54</v>
      </c>
      <c r="B8" s="28" t="s">
        <v>364</v>
      </c>
      <c r="C8" s="29"/>
      <c r="D8" s="29"/>
      <c r="E8" s="29"/>
    </row>
    <row r="9" spans="1:5" x14ac:dyDescent="0.2">
      <c r="A9" s="9" t="s">
        <v>365</v>
      </c>
      <c r="B9" s="9" t="s">
        <v>366</v>
      </c>
      <c r="C9" s="9" t="s">
        <v>367</v>
      </c>
      <c r="D9" s="9" t="s">
        <v>368</v>
      </c>
      <c r="E9" s="9" t="s">
        <v>369</v>
      </c>
    </row>
    <row r="10" spans="1:5" x14ac:dyDescent="0.2">
      <c r="A10" t="s">
        <v>370</v>
      </c>
      <c r="B10" s="10">
        <v>14</v>
      </c>
      <c r="C10" s="10">
        <v>21</v>
      </c>
      <c r="D10" s="10">
        <v>35</v>
      </c>
      <c r="E10" t="s">
        <v>195</v>
      </c>
    </row>
    <row r="11" spans="1:5" x14ac:dyDescent="0.2">
      <c r="A11" t="s">
        <v>371</v>
      </c>
      <c r="B11" s="15">
        <v>3000</v>
      </c>
      <c r="C11" s="15">
        <v>7500</v>
      </c>
      <c r="D11" s="15">
        <v>15000</v>
      </c>
      <c r="E11" t="s">
        <v>240</v>
      </c>
    </row>
    <row r="12" spans="1:5" x14ac:dyDescent="0.2">
      <c r="A12" t="s">
        <v>372</v>
      </c>
      <c r="B12" s="10">
        <v>1</v>
      </c>
      <c r="C12" s="10">
        <v>3</v>
      </c>
      <c r="D12" s="10">
        <v>8</v>
      </c>
      <c r="E12" t="s">
        <v>373</v>
      </c>
    </row>
    <row r="13" spans="1:5" x14ac:dyDescent="0.2">
      <c r="A13" t="s">
        <v>374</v>
      </c>
      <c r="B13" s="10">
        <v>0.7</v>
      </c>
      <c r="C13" s="10">
        <v>1</v>
      </c>
      <c r="D13" s="10">
        <v>1.3</v>
      </c>
      <c r="E13" t="s">
        <v>375</v>
      </c>
    </row>
    <row r="16" spans="1:5" x14ac:dyDescent="0.2">
      <c r="A16" s="6" t="s">
        <v>376</v>
      </c>
    </row>
    <row r="17" spans="1:6" ht="13" customHeight="1" x14ac:dyDescent="0.2">
      <c r="A17" s="7" t="s">
        <v>46</v>
      </c>
      <c r="B17" s="28" t="s">
        <v>377</v>
      </c>
      <c r="C17" s="29"/>
      <c r="D17" s="29"/>
      <c r="E17" s="29"/>
      <c r="F17" s="29"/>
    </row>
    <row r="18" spans="1:6" ht="13" customHeight="1" x14ac:dyDescent="0.2">
      <c r="A18" s="7" t="s">
        <v>48</v>
      </c>
      <c r="B18" s="28" t="s">
        <v>378</v>
      </c>
      <c r="C18" s="29"/>
      <c r="D18" s="29"/>
      <c r="E18" s="29"/>
      <c r="F18" s="29"/>
    </row>
    <row r="19" spans="1:6" ht="26" customHeight="1" x14ac:dyDescent="0.2">
      <c r="A19" s="7" t="s">
        <v>50</v>
      </c>
      <c r="B19" s="28" t="s">
        <v>379</v>
      </c>
      <c r="C19" s="29"/>
      <c r="D19" s="29"/>
      <c r="E19" s="29"/>
      <c r="F19" s="29"/>
    </row>
    <row r="20" spans="1:6" ht="13" customHeight="1" x14ac:dyDescent="0.2">
      <c r="A20" s="7" t="s">
        <v>52</v>
      </c>
      <c r="B20" s="28" t="s">
        <v>380</v>
      </c>
      <c r="C20" s="29"/>
      <c r="D20" s="29"/>
      <c r="E20" s="29"/>
      <c r="F20" s="29"/>
    </row>
    <row r="21" spans="1:6" ht="13" customHeight="1" x14ac:dyDescent="0.2">
      <c r="A21" s="7" t="s">
        <v>54</v>
      </c>
      <c r="B21" s="28" t="s">
        <v>381</v>
      </c>
      <c r="C21" s="29"/>
      <c r="D21" s="29"/>
      <c r="E21" s="29"/>
      <c r="F21" s="29"/>
    </row>
    <row r="22" spans="1:6" x14ac:dyDescent="0.2">
      <c r="A22" s="9" t="s">
        <v>365</v>
      </c>
      <c r="B22" s="9" t="s">
        <v>382</v>
      </c>
      <c r="C22" s="9" t="s">
        <v>383</v>
      </c>
      <c r="D22" s="9" t="s">
        <v>366</v>
      </c>
      <c r="E22" s="9" t="s">
        <v>368</v>
      </c>
      <c r="F22" s="9" t="s">
        <v>369</v>
      </c>
    </row>
    <row r="23" spans="1:6" x14ac:dyDescent="0.2">
      <c r="A23" t="s">
        <v>384</v>
      </c>
      <c r="B23" s="10">
        <v>2</v>
      </c>
      <c r="C23" s="10">
        <v>5</v>
      </c>
      <c r="D23" s="10">
        <v>0.05</v>
      </c>
      <c r="E23" s="10">
        <v>0.4</v>
      </c>
      <c r="F23" t="s">
        <v>385</v>
      </c>
    </row>
    <row r="26" spans="1:6" x14ac:dyDescent="0.2">
      <c r="A26" s="6" t="s">
        <v>386</v>
      </c>
    </row>
    <row r="27" spans="1:6" ht="26" customHeight="1" x14ac:dyDescent="0.2">
      <c r="A27" s="7" t="s">
        <v>46</v>
      </c>
      <c r="B27" s="28" t="s">
        <v>387</v>
      </c>
      <c r="C27" s="29"/>
      <c r="D27" s="29"/>
      <c r="E27" s="29"/>
    </row>
    <row r="28" spans="1:6" ht="13" customHeight="1" x14ac:dyDescent="0.2">
      <c r="A28" s="7" t="s">
        <v>48</v>
      </c>
      <c r="B28" s="28" t="s">
        <v>388</v>
      </c>
      <c r="C28" s="29"/>
      <c r="D28" s="29"/>
      <c r="E28" s="29"/>
    </row>
    <row r="29" spans="1:6" ht="52" customHeight="1" x14ac:dyDescent="0.2">
      <c r="A29" s="7" t="s">
        <v>50</v>
      </c>
      <c r="B29" s="28" t="s">
        <v>389</v>
      </c>
      <c r="C29" s="29"/>
      <c r="D29" s="29"/>
      <c r="E29" s="29"/>
    </row>
    <row r="30" spans="1:6" ht="13" customHeight="1" x14ac:dyDescent="0.2">
      <c r="A30" s="7" t="s">
        <v>52</v>
      </c>
      <c r="B30" s="28" t="s">
        <v>390</v>
      </c>
      <c r="C30" s="29"/>
      <c r="D30" s="29"/>
      <c r="E30" s="29"/>
    </row>
    <row r="31" spans="1:6" ht="13" customHeight="1" x14ac:dyDescent="0.2">
      <c r="A31" s="7" t="s">
        <v>54</v>
      </c>
      <c r="B31" s="28" t="s">
        <v>391</v>
      </c>
      <c r="C31" s="29"/>
      <c r="D31" s="29"/>
      <c r="E31" s="29"/>
    </row>
    <row r="32" spans="1:6" x14ac:dyDescent="0.2">
      <c r="A32" s="9" t="s">
        <v>392</v>
      </c>
      <c r="B32" s="9" t="s">
        <v>393</v>
      </c>
      <c r="C32" s="9" t="s">
        <v>65</v>
      </c>
      <c r="D32" s="9" t="s">
        <v>394</v>
      </c>
      <c r="E32" s="9" t="s">
        <v>395</v>
      </c>
    </row>
    <row r="33" spans="1:5" x14ac:dyDescent="0.2">
      <c r="A33" t="s">
        <v>396</v>
      </c>
      <c r="B33" s="15">
        <v>3</v>
      </c>
      <c r="C33" s="15">
        <v>5</v>
      </c>
      <c r="D33" s="15">
        <v>8</v>
      </c>
      <c r="E33" t="s">
        <v>397</v>
      </c>
    </row>
    <row r="34" spans="1:5" x14ac:dyDescent="0.2">
      <c r="A34" t="s">
        <v>398</v>
      </c>
      <c r="B34" s="15">
        <v>10</v>
      </c>
      <c r="C34" s="15">
        <v>20</v>
      </c>
      <c r="D34" s="15">
        <v>30</v>
      </c>
      <c r="E34" t="s">
        <v>399</v>
      </c>
    </row>
    <row r="35" spans="1:5" x14ac:dyDescent="0.2">
      <c r="A35" t="s">
        <v>400</v>
      </c>
      <c r="B35" s="15">
        <v>21</v>
      </c>
      <c r="C35" s="15">
        <v>50</v>
      </c>
      <c r="D35" s="15">
        <v>93</v>
      </c>
      <c r="E35" t="s">
        <v>401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402</v>
      </c>
    </row>
    <row r="3" spans="1:5" x14ac:dyDescent="0.2">
      <c r="A3" s="33" t="s">
        <v>403</v>
      </c>
      <c r="B3" s="31"/>
      <c r="C3" s="31"/>
      <c r="D3" s="31"/>
      <c r="E3" s="32"/>
    </row>
    <row r="4" spans="1:5" ht="135" customHeight="1" x14ac:dyDescent="0.2">
      <c r="A4" s="30" t="s">
        <v>404</v>
      </c>
      <c r="B4" s="31"/>
      <c r="C4" s="31"/>
      <c r="D4" s="31"/>
      <c r="E4" s="32"/>
    </row>
    <row r="6" spans="1:5" x14ac:dyDescent="0.2">
      <c r="A6" s="6" t="s">
        <v>402</v>
      </c>
    </row>
    <row r="7" spans="1:5" ht="26" customHeight="1" x14ac:dyDescent="0.2">
      <c r="A7" s="7" t="s">
        <v>46</v>
      </c>
      <c r="B7" s="28" t="s">
        <v>405</v>
      </c>
      <c r="C7" s="29"/>
      <c r="D7" s="29"/>
      <c r="E7" s="29"/>
    </row>
    <row r="8" spans="1:5" ht="13" customHeight="1" x14ac:dyDescent="0.2">
      <c r="A8" s="7" t="s">
        <v>48</v>
      </c>
      <c r="B8" s="28" t="s">
        <v>406</v>
      </c>
      <c r="C8" s="29"/>
      <c r="D8" s="29"/>
      <c r="E8" s="29"/>
    </row>
    <row r="9" spans="1:5" ht="39" customHeight="1" x14ac:dyDescent="0.2">
      <c r="A9" s="7" t="s">
        <v>50</v>
      </c>
      <c r="B9" s="28" t="s">
        <v>407</v>
      </c>
      <c r="C9" s="29"/>
      <c r="D9" s="29"/>
      <c r="E9" s="29"/>
    </row>
    <row r="10" spans="1:5" ht="13" customHeight="1" x14ac:dyDescent="0.2">
      <c r="A10" s="7" t="s">
        <v>52</v>
      </c>
      <c r="B10" s="28" t="s">
        <v>408</v>
      </c>
      <c r="C10" s="29"/>
      <c r="D10" s="29"/>
      <c r="E10" s="29"/>
    </row>
    <row r="11" spans="1:5" ht="13" customHeight="1" x14ac:dyDescent="0.2">
      <c r="A11" s="7" t="s">
        <v>54</v>
      </c>
      <c r="B11" s="28" t="s">
        <v>409</v>
      </c>
      <c r="C11" s="29"/>
      <c r="D11" s="29"/>
      <c r="E11" s="29"/>
    </row>
    <row r="12" spans="1:5" x14ac:dyDescent="0.2">
      <c r="A12" s="9" t="s">
        <v>410</v>
      </c>
      <c r="B12" s="9" t="s">
        <v>411</v>
      </c>
      <c r="C12" s="9" t="s">
        <v>194</v>
      </c>
      <c r="D12" s="9" t="s">
        <v>412</v>
      </c>
      <c r="E12" s="9" t="s">
        <v>413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414</v>
      </c>
    </row>
    <row r="22" spans="1:5" x14ac:dyDescent="0.2">
      <c r="A22" s="18" t="s">
        <v>415</v>
      </c>
    </row>
    <row r="23" spans="1:5" x14ac:dyDescent="0.2">
      <c r="A23" s="9" t="s">
        <v>416</v>
      </c>
      <c r="B23" s="9" t="s">
        <v>417</v>
      </c>
      <c r="C23" s="9" t="s">
        <v>57</v>
      </c>
      <c r="D23" s="9" t="s">
        <v>182</v>
      </c>
    </row>
    <row r="24" spans="1:5" x14ac:dyDescent="0.2">
      <c r="A24" t="s">
        <v>418</v>
      </c>
      <c r="B24" t="s">
        <v>419</v>
      </c>
      <c r="C24" s="19">
        <f ca="1">Rapid_Phase_Rate*Stoch_TreatmentRate</f>
        <v>0.54709737340750186</v>
      </c>
      <c r="D24" t="s">
        <v>299</v>
      </c>
    </row>
    <row r="25" spans="1:5" x14ac:dyDescent="0.2">
      <c r="A25" t="s">
        <v>420</v>
      </c>
      <c r="B25" t="s">
        <v>421</v>
      </c>
      <c r="C25" s="19">
        <f ca="1">Slow_Phase_Rate*Stoch_TreatmentRate</f>
        <v>0.25503787331778283</v>
      </c>
      <c r="D25" t="s">
        <v>299</v>
      </c>
    </row>
    <row r="26" spans="1:5" x14ac:dyDescent="0.2">
      <c r="A26" t="s">
        <v>422</v>
      </c>
      <c r="B26" t="s">
        <v>423</v>
      </c>
      <c r="C26" s="20">
        <f ca="1">MAX(0,Initial_NAFC-Eff_Rapid_Rate*Rapid_Phase_Duration)</f>
        <v>54.893539398887469</v>
      </c>
      <c r="D26" t="s">
        <v>294</v>
      </c>
    </row>
    <row r="27" spans="1:5" x14ac:dyDescent="0.2">
      <c r="A27" t="s">
        <v>424</v>
      </c>
      <c r="B27" t="s">
        <v>425</v>
      </c>
      <c r="C27" s="21">
        <f ca="1">IF(Initial_NAFC&lt;=Target_NAFC,0,IF(NAFC_After_Rapid&lt;=Target_NAFC,(Initial_NAFC-Target_NAFC)/Eff_Rapid_Rate,Rapid_Phase_Duration+(NAFC_After_Rapid-Target_NAFC)/Eff_Slow_Rate))</f>
        <v>34.187500802243633</v>
      </c>
      <c r="D27" t="s">
        <v>195</v>
      </c>
    </row>
    <row r="28" spans="1:5" x14ac:dyDescent="0.2">
      <c r="A28" t="s">
        <v>426</v>
      </c>
      <c r="B28" t="s">
        <v>427</v>
      </c>
      <c r="C28" s="22">
        <f ca="1">CEILING(Days_to_Compliance/Recirculation_Cycle,1)</f>
        <v>3</v>
      </c>
      <c r="D28" t="s">
        <v>428</v>
      </c>
    </row>
    <row r="29" spans="1:5" x14ac:dyDescent="0.2">
      <c r="A29" t="s">
        <v>429</v>
      </c>
      <c r="B29" t="s">
        <v>430</v>
      </c>
      <c r="C29" s="23">
        <f>(Initial_NAFC-Target_NAFC)/Initial_NAFC</f>
        <v>0.2076069730586371</v>
      </c>
      <c r="D29" t="s">
        <v>385</v>
      </c>
    </row>
    <row r="30" spans="1:5" x14ac:dyDescent="0.2">
      <c r="A30" t="s">
        <v>431</v>
      </c>
      <c r="B30" t="s">
        <v>432</v>
      </c>
      <c r="C30" t="str">
        <f ca="1">IF(Days_to_Compliance&lt;=Season_Length,"ACHIEVABLE","EXCEEDS SEASON")</f>
        <v>ACHIEVABLE</v>
      </c>
      <c r="D30" t="s">
        <v>433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workbookViewId="0">
      <selection activeCell="H13" sqref="H13"/>
    </sheetView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434</v>
      </c>
    </row>
    <row r="2" spans="1:3" x14ac:dyDescent="0.2">
      <c r="A2" s="13" t="s">
        <v>435</v>
      </c>
    </row>
    <row r="4" spans="1:3" x14ac:dyDescent="0.2">
      <c r="A4" s="33" t="s">
        <v>436</v>
      </c>
      <c r="B4" s="31"/>
      <c r="C4" s="32"/>
    </row>
    <row r="5" spans="1:3" ht="195" customHeight="1" x14ac:dyDescent="0.2">
      <c r="A5" s="30" t="s">
        <v>437</v>
      </c>
      <c r="B5" s="31"/>
      <c r="C5" s="32"/>
    </row>
    <row r="7" spans="1:3" x14ac:dyDescent="0.2">
      <c r="A7" s="6" t="s">
        <v>434</v>
      </c>
    </row>
    <row r="8" spans="1:3" ht="39" customHeight="1" x14ac:dyDescent="0.2">
      <c r="A8" s="7" t="s">
        <v>46</v>
      </c>
      <c r="B8" s="28" t="s">
        <v>438</v>
      </c>
      <c r="C8" s="29"/>
    </row>
    <row r="9" spans="1:3" ht="26" customHeight="1" x14ac:dyDescent="0.2">
      <c r="A9" s="7" t="s">
        <v>48</v>
      </c>
      <c r="B9" s="28" t="s">
        <v>439</v>
      </c>
      <c r="C9" s="29"/>
    </row>
    <row r="10" spans="1:3" ht="65" customHeight="1" x14ac:dyDescent="0.2">
      <c r="A10" s="7" t="s">
        <v>50</v>
      </c>
      <c r="B10" s="28" t="s">
        <v>440</v>
      </c>
      <c r="C10" s="29"/>
    </row>
    <row r="11" spans="1:3" ht="26" customHeight="1" x14ac:dyDescent="0.2">
      <c r="A11" s="7" t="s">
        <v>52</v>
      </c>
      <c r="B11" s="28" t="s">
        <v>441</v>
      </c>
      <c r="C11" s="29"/>
    </row>
    <row r="12" spans="1:3" ht="26" customHeight="1" x14ac:dyDescent="0.2">
      <c r="A12" s="7" t="s">
        <v>54</v>
      </c>
      <c r="B12" s="28" t="s">
        <v>442</v>
      </c>
      <c r="C12" s="29"/>
    </row>
    <row r="13" spans="1:3" x14ac:dyDescent="0.2">
      <c r="A13" s="9" t="s">
        <v>365</v>
      </c>
      <c r="B13" s="9" t="s">
        <v>443</v>
      </c>
      <c r="C13" s="9" t="s">
        <v>444</v>
      </c>
    </row>
    <row r="14" spans="1:3" x14ac:dyDescent="0.2">
      <c r="A14" t="s">
        <v>445</v>
      </c>
      <c r="B14">
        <f ca="1">RAND()</f>
        <v>0.25286468262385131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20.096811326070878</v>
      </c>
    </row>
    <row r="15" spans="1:3" x14ac:dyDescent="0.2">
      <c r="A15" t="s">
        <v>446</v>
      </c>
      <c r="B15">
        <f ca="1">RAND()</f>
        <v>0.52236095182766062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8443.5135678085517</v>
      </c>
    </row>
    <row r="16" spans="1:3" x14ac:dyDescent="0.2">
      <c r="A16" t="s">
        <v>372</v>
      </c>
      <c r="B16">
        <f ca="1">RAND()</f>
        <v>0.18903992387562996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2.6268248013411952</v>
      </c>
    </row>
    <row r="17" spans="1:3" x14ac:dyDescent="0.2">
      <c r="A17" t="s">
        <v>384</v>
      </c>
      <c r="B17">
        <f ca="1">RAND()</f>
        <v>0.18734651291038318</v>
      </c>
      <c r="C17">
        <f ca="1">Beta_Efficiency_Gain_Min+(Beta_Efficiency_Gain_Max-Beta_Efficiency_Gain_Min)*B17</f>
        <v>0.11557127951863412</v>
      </c>
    </row>
    <row r="18" spans="1:3" x14ac:dyDescent="0.2">
      <c r="A18" t="s">
        <v>374</v>
      </c>
      <c r="B18">
        <f ca="1">RAND()</f>
        <v>0.59012095770184114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1.0283785214426726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447</v>
      </c>
    </row>
    <row r="3" spans="1:5" x14ac:dyDescent="0.2">
      <c r="A3" s="33" t="s">
        <v>448</v>
      </c>
      <c r="B3" s="31"/>
      <c r="C3" s="31"/>
      <c r="D3" s="31"/>
      <c r="E3" s="32"/>
    </row>
    <row r="4" spans="1:5" ht="225" customHeight="1" x14ac:dyDescent="0.2">
      <c r="A4" s="30" t="s">
        <v>449</v>
      </c>
      <c r="B4" s="31"/>
      <c r="C4" s="31"/>
      <c r="D4" s="31"/>
      <c r="E4" s="32"/>
    </row>
    <row r="6" spans="1:5" x14ac:dyDescent="0.2">
      <c r="A6" s="6" t="s">
        <v>447</v>
      </c>
    </row>
    <row r="7" spans="1:5" ht="13" customHeight="1" x14ac:dyDescent="0.2">
      <c r="A7" s="7" t="s">
        <v>46</v>
      </c>
      <c r="B7" s="28" t="s">
        <v>450</v>
      </c>
      <c r="C7" s="29"/>
      <c r="D7" s="29"/>
      <c r="E7" s="29"/>
    </row>
    <row r="8" spans="1:5" ht="26" customHeight="1" x14ac:dyDescent="0.2">
      <c r="A8" s="7" t="s">
        <v>48</v>
      </c>
      <c r="B8" s="28" t="s">
        <v>451</v>
      </c>
      <c r="C8" s="29"/>
      <c r="D8" s="29"/>
      <c r="E8" s="29"/>
    </row>
    <row r="9" spans="1:5" ht="52" customHeight="1" x14ac:dyDescent="0.2">
      <c r="A9" s="7" t="s">
        <v>50</v>
      </c>
      <c r="B9" s="28" t="s">
        <v>452</v>
      </c>
      <c r="C9" s="29"/>
      <c r="D9" s="29"/>
      <c r="E9" s="29"/>
    </row>
    <row r="10" spans="1:5" ht="13" customHeight="1" x14ac:dyDescent="0.2">
      <c r="A10" s="7" t="s">
        <v>52</v>
      </c>
      <c r="B10" s="28" t="s">
        <v>453</v>
      </c>
      <c r="C10" s="29"/>
      <c r="D10" s="29"/>
      <c r="E10" s="29"/>
    </row>
    <row r="11" spans="1:5" ht="13" customHeight="1" x14ac:dyDescent="0.2">
      <c r="A11" s="7" t="s">
        <v>54</v>
      </c>
      <c r="B11" s="28" t="s">
        <v>454</v>
      </c>
      <c r="C11" s="29"/>
      <c r="D11" s="29"/>
      <c r="E11" s="29"/>
    </row>
    <row r="12" spans="1:5" x14ac:dyDescent="0.2">
      <c r="A12" s="9" t="s">
        <v>93</v>
      </c>
      <c r="B12" s="9" t="s">
        <v>335</v>
      </c>
      <c r="C12" s="9" t="s">
        <v>455</v>
      </c>
      <c r="D12" s="9" t="s">
        <v>456</v>
      </c>
      <c r="E12" s="9" t="s">
        <v>457</v>
      </c>
    </row>
    <row r="13" spans="1:5" x14ac:dyDescent="0.2">
      <c r="A13" t="s">
        <v>458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0.95699101552718469</v>
      </c>
      <c r="E13">
        <f ca="1">IF(C13="ENABLED",B13*D13,0)</f>
        <v>99527.06561482721</v>
      </c>
    </row>
    <row r="14" spans="1:5" x14ac:dyDescent="0.2">
      <c r="A14" t="s">
        <v>459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0.87560826711373174</v>
      </c>
      <c r="E14">
        <f ca="1">IF(C14="ENABLED",B14*D14,0)</f>
        <v>59103.558030176893</v>
      </c>
    </row>
    <row r="15" spans="1:5" x14ac:dyDescent="0.2">
      <c r="A15" t="s">
        <v>460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0.77047519679089416</v>
      </c>
      <c r="E15">
        <f ca="1">IF(C15="ENABLED",B15*D15,0)</f>
        <v>60097.065349689743</v>
      </c>
    </row>
    <row r="16" spans="1:5" x14ac:dyDescent="0.2">
      <c r="A16" t="s">
        <v>461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1.1155712795186341</v>
      </c>
      <c r="E16">
        <f ca="1">IF(C16="ENABLED",B16*D16,0)</f>
        <v>40160.566062670827</v>
      </c>
    </row>
    <row r="18" spans="1:5" x14ac:dyDescent="0.2">
      <c r="A18" s="12" t="s">
        <v>462</v>
      </c>
      <c r="E18" s="16">
        <f ca="1">SUM(E13:E16)</f>
        <v>258888.2550573647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463</v>
      </c>
    </row>
    <row r="3" spans="1:3" x14ac:dyDescent="0.2">
      <c r="A3" s="33" t="s">
        <v>464</v>
      </c>
      <c r="B3" s="31"/>
      <c r="C3" s="32"/>
    </row>
    <row r="4" spans="1:3" ht="195" customHeight="1" x14ac:dyDescent="0.2">
      <c r="A4" s="30" t="s">
        <v>465</v>
      </c>
      <c r="B4" s="31"/>
      <c r="C4" s="32"/>
    </row>
    <row r="6" spans="1:3" x14ac:dyDescent="0.2">
      <c r="A6" s="6" t="s">
        <v>466</v>
      </c>
    </row>
    <row r="7" spans="1:3" ht="26" customHeight="1" x14ac:dyDescent="0.2">
      <c r="A7" s="7" t="s">
        <v>46</v>
      </c>
      <c r="B7" s="28" t="s">
        <v>467</v>
      </c>
      <c r="C7" s="29"/>
    </row>
    <row r="8" spans="1:3" ht="26" customHeight="1" x14ac:dyDescent="0.2">
      <c r="A8" s="7" t="s">
        <v>48</v>
      </c>
      <c r="B8" s="28" t="s">
        <v>468</v>
      </c>
      <c r="C8" s="29"/>
    </row>
    <row r="9" spans="1:3" ht="52" customHeight="1" x14ac:dyDescent="0.2">
      <c r="A9" s="7" t="s">
        <v>50</v>
      </c>
      <c r="B9" s="28" t="s">
        <v>469</v>
      </c>
      <c r="C9" s="29"/>
    </row>
    <row r="10" spans="1:3" ht="26" customHeight="1" x14ac:dyDescent="0.2">
      <c r="A10" s="7" t="s">
        <v>52</v>
      </c>
      <c r="B10" s="28" t="s">
        <v>470</v>
      </c>
      <c r="C10" s="29"/>
    </row>
    <row r="11" spans="1:3" ht="26" customHeight="1" x14ac:dyDescent="0.2">
      <c r="A11" s="7" t="s">
        <v>54</v>
      </c>
      <c r="B11" s="28" t="s">
        <v>471</v>
      </c>
      <c r="C11" s="29"/>
    </row>
    <row r="12" spans="1:3" x14ac:dyDescent="0.2">
      <c r="A12" s="9" t="s">
        <v>472</v>
      </c>
      <c r="B12" s="9" t="s">
        <v>417</v>
      </c>
      <c r="C12" s="9" t="s">
        <v>57</v>
      </c>
    </row>
    <row r="13" spans="1:3" x14ac:dyDescent="0.2">
      <c r="A13" t="s">
        <v>473</v>
      </c>
      <c r="B13" t="s">
        <v>60</v>
      </c>
      <c r="C13" t="str">
        <f>Testing_Option</f>
        <v>Daily_Biosensor</v>
      </c>
    </row>
    <row r="14" spans="1:3" x14ac:dyDescent="0.2">
      <c r="A14" t="s">
        <v>474</v>
      </c>
      <c r="B14" t="s">
        <v>475</v>
      </c>
      <c r="C14">
        <f>INDEX(TestOpt_Interval,MATCH(Testing_Option,TestOpt_Option,0))</f>
        <v>1</v>
      </c>
    </row>
    <row r="15" spans="1:3" x14ac:dyDescent="0.2">
      <c r="A15" t="s">
        <v>476</v>
      </c>
      <c r="B15" t="s">
        <v>475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475</v>
      </c>
      <c r="C16" s="16">
        <f>INDEX(TestOpt_Cost,MATCH(Testing_Option,TestOpt_Option,0))</f>
        <v>10</v>
      </c>
    </row>
    <row r="17" spans="1:3" x14ac:dyDescent="0.2">
      <c r="A17" t="s">
        <v>477</v>
      </c>
      <c r="B17" t="s">
        <v>478</v>
      </c>
      <c r="C17">
        <f>Season_Length/C14</f>
        <v>100</v>
      </c>
    </row>
    <row r="18" spans="1:3" x14ac:dyDescent="0.2">
      <c r="A18" t="s">
        <v>479</v>
      </c>
      <c r="B18" t="s">
        <v>480</v>
      </c>
      <c r="C18">
        <f>C17*C15</f>
        <v>1000</v>
      </c>
    </row>
    <row r="19" spans="1:3" x14ac:dyDescent="0.2">
      <c r="A19" t="s">
        <v>481</v>
      </c>
      <c r="B19" t="s">
        <v>482</v>
      </c>
      <c r="C19" s="24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I1028"/>
  <sheetViews>
    <sheetView tabSelected="1" topLeftCell="A5" workbookViewId="0">
      <selection activeCell="A10" sqref="A10:I1010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9" ht="21" x14ac:dyDescent="0.25">
      <c r="A1" s="5" t="s">
        <v>483</v>
      </c>
    </row>
    <row r="3" spans="1:9" x14ac:dyDescent="0.2">
      <c r="A3" s="33" t="s">
        <v>484</v>
      </c>
      <c r="B3" s="31"/>
      <c r="C3" s="31"/>
      <c r="D3" s="31"/>
      <c r="E3" s="32"/>
    </row>
    <row r="4" spans="1:9" ht="360" customHeight="1" x14ac:dyDescent="0.2">
      <c r="A4" s="30" t="s">
        <v>485</v>
      </c>
      <c r="B4" s="31"/>
      <c r="C4" s="31"/>
      <c r="D4" s="31"/>
      <c r="E4" s="32"/>
    </row>
    <row r="7" spans="1:9" x14ac:dyDescent="0.2">
      <c r="A7" s="13" t="s">
        <v>486</v>
      </c>
    </row>
    <row r="8" spans="1:9" x14ac:dyDescent="0.2">
      <c r="A8" s="13" t="s">
        <v>487</v>
      </c>
    </row>
    <row r="9" spans="1:9" x14ac:dyDescent="0.2">
      <c r="A9" s="12" t="s">
        <v>488</v>
      </c>
      <c r="B9" s="12" t="s">
        <v>113</v>
      </c>
      <c r="C9" s="12" t="s">
        <v>337</v>
      </c>
      <c r="D9" s="12" t="s">
        <v>340</v>
      </c>
      <c r="E9" s="12" t="s">
        <v>343</v>
      </c>
      <c r="F9" s="12" t="s">
        <v>346</v>
      </c>
      <c r="G9" s="12" t="s">
        <v>489</v>
      </c>
      <c r="H9" s="12" t="s">
        <v>490</v>
      </c>
      <c r="I9" s="12" t="s">
        <v>424</v>
      </c>
    </row>
    <row r="10" spans="1:9" x14ac:dyDescent="0.2">
      <c r="B10" s="16">
        <f ca="1">NPV_Total</f>
        <v>901094.9311268013</v>
      </c>
      <c r="C10" s="16">
        <f ca="1">S1_Value</f>
        <v>99527.06561482721</v>
      </c>
      <c r="D10" s="16">
        <f ca="1">S2_Value</f>
        <v>59103.558030176893</v>
      </c>
      <c r="E10" s="16">
        <f ca="1">S3_Value</f>
        <v>60097.065349689743</v>
      </c>
      <c r="F10" s="16">
        <f ca="1">S4_Value</f>
        <v>40160.566062670827</v>
      </c>
      <c r="G10" s="16">
        <f>Testing_Cost</f>
        <v>10000</v>
      </c>
      <c r="H10" s="16">
        <f ca="1">Gross_Value-Testing_Cost</f>
        <v>248888.2550573647</v>
      </c>
      <c r="I10" s="21">
        <f ca="1">Days_to_Compliance</f>
        <v>34.187500802243633</v>
      </c>
    </row>
    <row r="11" spans="1:9" x14ac:dyDescent="0.2">
      <c r="A11">
        <v>1</v>
      </c>
      <c r="B11">
        <f t="dataTable" ref="B11:I1010" dt2D="0" dtr="0" r1="P26" ca="1"/>
        <v>930356.1693446656</v>
      </c>
      <c r="C11">
        <v>89054.959236228882</v>
      </c>
      <c r="D11">
        <v>99868.800948664415</v>
      </c>
      <c r="E11">
        <v>39265.537165522452</v>
      </c>
      <c r="F11">
        <v>38718.383342228473</v>
      </c>
      <c r="G11">
        <v>10000</v>
      </c>
      <c r="H11">
        <v>256907.68069264421</v>
      </c>
      <c r="I11">
        <v>40.47244492935134</v>
      </c>
    </row>
    <row r="12" spans="1:9" x14ac:dyDescent="0.2">
      <c r="A12">
        <v>2</v>
      </c>
      <c r="B12">
        <v>1539955.1593237875</v>
      </c>
      <c r="C12">
        <v>144580.33663433697</v>
      </c>
      <c r="D12">
        <v>139783.68959492177</v>
      </c>
      <c r="E12">
        <v>106256.05459111111</v>
      </c>
      <c r="F12">
        <v>43356.188394769233</v>
      </c>
      <c r="G12">
        <v>10000</v>
      </c>
      <c r="H12">
        <v>423976.26921513909</v>
      </c>
      <c r="I12">
        <v>36.682407086296642</v>
      </c>
    </row>
    <row r="13" spans="1:9" x14ac:dyDescent="0.2">
      <c r="A13">
        <v>3</v>
      </c>
      <c r="B13">
        <v>1781305.828413029</v>
      </c>
      <c r="C13">
        <v>104366.671683846</v>
      </c>
      <c r="D13">
        <v>146478.79002719873</v>
      </c>
      <c r="E13">
        <v>199466.87471941052</v>
      </c>
      <c r="F13">
        <v>49809.245172882263</v>
      </c>
      <c r="G13">
        <v>10000</v>
      </c>
      <c r="H13">
        <v>490121.58160333749</v>
      </c>
      <c r="I13">
        <v>34.549717168083347</v>
      </c>
    </row>
    <row r="14" spans="1:9" x14ac:dyDescent="0.2">
      <c r="A14">
        <v>4</v>
      </c>
      <c r="B14">
        <v>1660796.6975862575</v>
      </c>
      <c r="C14">
        <v>152581.56407181479</v>
      </c>
      <c r="D14">
        <v>65004.195998199066</v>
      </c>
      <c r="E14">
        <v>199684.4103157043</v>
      </c>
      <c r="F14">
        <v>49824.305329548763</v>
      </c>
      <c r="G14">
        <v>10000</v>
      </c>
      <c r="H14">
        <v>457094.47571526695</v>
      </c>
      <c r="I14">
        <v>30.145639371471091</v>
      </c>
    </row>
    <row r="15" spans="1:9" x14ac:dyDescent="0.2">
      <c r="A15">
        <v>5</v>
      </c>
      <c r="B15">
        <v>987693.56936970353</v>
      </c>
      <c r="C15">
        <v>97047.778113239925</v>
      </c>
      <c r="D15">
        <v>49653.797360700104</v>
      </c>
      <c r="E15">
        <v>93450.519430084867</v>
      </c>
      <c r="F15">
        <v>42469.651345159727</v>
      </c>
      <c r="G15">
        <v>10000</v>
      </c>
      <c r="H15">
        <v>272621.74624918465</v>
      </c>
      <c r="I15">
        <v>54.208236038958731</v>
      </c>
    </row>
    <row r="16" spans="1:9" x14ac:dyDescent="0.2">
      <c r="A16">
        <v>6</v>
      </c>
      <c r="B16">
        <v>1446970.5241523944</v>
      </c>
      <c r="C16">
        <v>95583.899488965224</v>
      </c>
      <c r="D16">
        <v>125517.11915185972</v>
      </c>
      <c r="E16">
        <v>141589.25989483125</v>
      </c>
      <c r="F16">
        <v>45802.333377334471</v>
      </c>
      <c r="G16">
        <v>10000</v>
      </c>
      <c r="H16">
        <v>398492.61191299063</v>
      </c>
      <c r="I16">
        <v>31.552074822825777</v>
      </c>
    </row>
    <row r="17" spans="1:9" x14ac:dyDescent="0.2">
      <c r="A17">
        <v>7</v>
      </c>
      <c r="B17">
        <v>1009966.7638303175</v>
      </c>
      <c r="C17">
        <v>128112.30580114639</v>
      </c>
      <c r="D17">
        <v>63520.475355257266</v>
      </c>
      <c r="E17">
        <v>57137.549307406975</v>
      </c>
      <c r="F17">
        <v>39955.676490512786</v>
      </c>
      <c r="G17">
        <v>10000</v>
      </c>
      <c r="H17">
        <v>278726.00695432338</v>
      </c>
      <c r="I17">
        <v>37.11973921110156</v>
      </c>
    </row>
    <row r="18" spans="1:9" x14ac:dyDescent="0.2">
      <c r="A18">
        <v>8</v>
      </c>
      <c r="B18">
        <v>845148.94469527632</v>
      </c>
      <c r="C18">
        <v>102560.78624084692</v>
      </c>
      <c r="D18">
        <v>45042.906720035542</v>
      </c>
      <c r="E18">
        <v>56070.058388719866</v>
      </c>
      <c r="F18">
        <v>39881.773273065221</v>
      </c>
      <c r="G18">
        <v>10000</v>
      </c>
      <c r="H18">
        <v>233555.52462266755</v>
      </c>
      <c r="I18">
        <v>29.24611085829909</v>
      </c>
    </row>
    <row r="19" spans="1:9" x14ac:dyDescent="0.2">
      <c r="A19">
        <v>9</v>
      </c>
      <c r="B19">
        <v>1597654.9420943819</v>
      </c>
      <c r="C19">
        <v>131732.57186261268</v>
      </c>
      <c r="D19">
        <v>160530.49720609502</v>
      </c>
      <c r="E19">
        <v>113657.95386601168</v>
      </c>
      <c r="F19">
        <v>43868.627575339269</v>
      </c>
      <c r="G19">
        <v>10000</v>
      </c>
      <c r="H19">
        <v>439789.65051005868</v>
      </c>
      <c r="I19">
        <v>30.635965829625256</v>
      </c>
    </row>
    <row r="20" spans="1:9" x14ac:dyDescent="0.2">
      <c r="A20">
        <v>10</v>
      </c>
      <c r="B20">
        <v>920643.73949913285</v>
      </c>
      <c r="C20">
        <v>167483.5457092271</v>
      </c>
      <c r="D20">
        <v>32291.706297183355</v>
      </c>
      <c r="E20">
        <v>26627.189265734374</v>
      </c>
      <c r="F20">
        <v>37843.420795320075</v>
      </c>
      <c r="G20">
        <v>10000</v>
      </c>
      <c r="H20">
        <v>254245.86206746491</v>
      </c>
      <c r="I20">
        <v>44.628810370490314</v>
      </c>
    </row>
    <row r="21" spans="1:9" x14ac:dyDescent="0.2">
      <c r="A21">
        <v>11</v>
      </c>
      <c r="B21">
        <v>927982.40932774753</v>
      </c>
      <c r="C21">
        <v>124733.0120247075</v>
      </c>
      <c r="D21">
        <v>59027.908426719318</v>
      </c>
      <c r="E21">
        <v>43485.65487639507</v>
      </c>
      <c r="F21">
        <v>39010.545337596581</v>
      </c>
      <c r="G21">
        <v>10000</v>
      </c>
      <c r="H21">
        <v>256257.12066541845</v>
      </c>
      <c r="I21">
        <v>52.215237400419419</v>
      </c>
    </row>
    <row r="22" spans="1:9" x14ac:dyDescent="0.2">
      <c r="A22">
        <v>12</v>
      </c>
      <c r="B22">
        <v>1650672.3684553241</v>
      </c>
      <c r="C22">
        <v>151688.78542403612</v>
      </c>
      <c r="D22">
        <v>124587.30557070786</v>
      </c>
      <c r="E22">
        <v>142199.1248998307</v>
      </c>
      <c r="F22">
        <v>45844.554800757505</v>
      </c>
      <c r="G22">
        <v>10000</v>
      </c>
      <c r="H22">
        <v>454319.77069533215</v>
      </c>
      <c r="I22">
        <v>32.573516302775033</v>
      </c>
    </row>
    <row r="23" spans="1:9" x14ac:dyDescent="0.2">
      <c r="A23">
        <v>13</v>
      </c>
      <c r="B23">
        <v>1510466.2762644114</v>
      </c>
      <c r="C23">
        <v>115860.17713654433</v>
      </c>
      <c r="D23">
        <v>91102.898715814314</v>
      </c>
      <c r="E23">
        <v>171086.90092065191</v>
      </c>
      <c r="F23">
        <v>47844.477756045133</v>
      </c>
      <c r="G23">
        <v>10000</v>
      </c>
      <c r="H23">
        <v>415894.45452905569</v>
      </c>
      <c r="I23">
        <v>33.990148275514954</v>
      </c>
    </row>
    <row r="24" spans="1:9" x14ac:dyDescent="0.2">
      <c r="A24">
        <v>14</v>
      </c>
      <c r="B24">
        <v>1581622.8865389063</v>
      </c>
      <c r="C24">
        <v>137494.38520919444</v>
      </c>
      <c r="D24">
        <v>62369.316246921968</v>
      </c>
      <c r="E24">
        <v>195965.32409092237</v>
      </c>
      <c r="F24">
        <v>49566.830129371549</v>
      </c>
      <c r="G24">
        <v>10000</v>
      </c>
      <c r="H24">
        <v>435395.85567641031</v>
      </c>
      <c r="I24">
        <v>42.313177239389468</v>
      </c>
    </row>
    <row r="25" spans="1:9" x14ac:dyDescent="0.2">
      <c r="A25">
        <v>15</v>
      </c>
      <c r="B25">
        <v>1424655.7616237544</v>
      </c>
      <c r="C25">
        <v>155555.23571900671</v>
      </c>
      <c r="D25">
        <v>125659.27002177863</v>
      </c>
      <c r="E25">
        <v>79648.337519111476</v>
      </c>
      <c r="F25">
        <v>41514.115674400025</v>
      </c>
      <c r="G25">
        <v>10000</v>
      </c>
      <c r="H25">
        <v>392376.9589342968</v>
      </c>
      <c r="I25">
        <v>37.897031895604741</v>
      </c>
    </row>
    <row r="26" spans="1:9" x14ac:dyDescent="0.2">
      <c r="A26">
        <v>16</v>
      </c>
      <c r="B26">
        <v>1124071.4656441037</v>
      </c>
      <c r="C26">
        <v>159069.174061953</v>
      </c>
      <c r="D26">
        <v>57782.444173188655</v>
      </c>
      <c r="E26">
        <v>62798.676277364808</v>
      </c>
      <c r="F26">
        <v>40347.600665356025</v>
      </c>
      <c r="G26">
        <v>10000</v>
      </c>
      <c r="H26">
        <v>309997.89517786249</v>
      </c>
      <c r="I26">
        <v>31.155259957795622</v>
      </c>
    </row>
    <row r="27" spans="1:9" x14ac:dyDescent="0.2">
      <c r="A27">
        <v>17</v>
      </c>
      <c r="B27">
        <v>1359450.5448794672</v>
      </c>
      <c r="C27">
        <v>131958.79854701529</v>
      </c>
      <c r="D27">
        <v>51376.032758089823</v>
      </c>
      <c r="E27">
        <v>154477.20790591848</v>
      </c>
      <c r="F27">
        <v>46694.575931948202</v>
      </c>
      <c r="G27">
        <v>10000</v>
      </c>
      <c r="H27">
        <v>374506.6151429718</v>
      </c>
      <c r="I27">
        <v>37.021653157822776</v>
      </c>
    </row>
    <row r="28" spans="1:9" x14ac:dyDescent="0.2">
      <c r="A28">
        <v>18</v>
      </c>
      <c r="B28">
        <v>958075.20343174972</v>
      </c>
      <c r="C28">
        <v>105812.16688691996</v>
      </c>
      <c r="D28">
        <v>88238.846428640667</v>
      </c>
      <c r="E28">
        <v>41575.152013734543</v>
      </c>
      <c r="F28">
        <v>38878.279754797004</v>
      </c>
      <c r="G28">
        <v>10000</v>
      </c>
      <c r="H28">
        <v>264504.44508409221</v>
      </c>
      <c r="I28">
        <v>34.162218395738918</v>
      </c>
    </row>
    <row r="29" spans="1:9" x14ac:dyDescent="0.2">
      <c r="A29">
        <v>19</v>
      </c>
      <c r="B29">
        <v>1264657.0878995105</v>
      </c>
      <c r="C29">
        <v>106358.59174107733</v>
      </c>
      <c r="D29">
        <v>96133.513904558116</v>
      </c>
      <c r="E29">
        <v>112263.06269750513</v>
      </c>
      <c r="F29">
        <v>43772.058186750357</v>
      </c>
      <c r="G29">
        <v>10000</v>
      </c>
      <c r="H29">
        <v>348527.2265298909</v>
      </c>
      <c r="I29">
        <v>38.828005160194415</v>
      </c>
    </row>
    <row r="30" spans="1:9" x14ac:dyDescent="0.2">
      <c r="A30">
        <v>20</v>
      </c>
      <c r="B30">
        <v>1243863.9713999389</v>
      </c>
      <c r="C30">
        <v>97651.057346838337</v>
      </c>
      <c r="D30">
        <v>56412.294675870588</v>
      </c>
      <c r="E30">
        <v>152226.49145454931</v>
      </c>
      <c r="F30">
        <v>46538.757100699571</v>
      </c>
      <c r="G30">
        <v>10000</v>
      </c>
      <c r="H30">
        <v>342828.60057795781</v>
      </c>
      <c r="I30">
        <v>26.999316208950738</v>
      </c>
    </row>
    <row r="31" spans="1:9" x14ac:dyDescent="0.2">
      <c r="A31">
        <v>21</v>
      </c>
      <c r="B31">
        <v>1387453.6357650412</v>
      </c>
      <c r="C31">
        <v>152605.47187123058</v>
      </c>
      <c r="D31">
        <v>122724.80894229485</v>
      </c>
      <c r="E31">
        <v>75615.994726406192</v>
      </c>
      <c r="F31">
        <v>41234.953481058888</v>
      </c>
      <c r="G31">
        <v>10000</v>
      </c>
      <c r="H31">
        <v>382181.22902099049</v>
      </c>
      <c r="I31">
        <v>37.781594586494037</v>
      </c>
    </row>
    <row r="32" spans="1:9" x14ac:dyDescent="0.2">
      <c r="A32">
        <v>22</v>
      </c>
      <c r="B32">
        <v>1499291.6452766785</v>
      </c>
      <c r="C32">
        <v>104113.55701598902</v>
      </c>
      <c r="D32">
        <v>153835.15832010558</v>
      </c>
      <c r="E32">
        <v>120538.23075412924</v>
      </c>
      <c r="F32">
        <v>44344.95443682433</v>
      </c>
      <c r="G32">
        <v>10000</v>
      </c>
      <c r="H32">
        <v>412831.90052704816</v>
      </c>
      <c r="I32">
        <v>45.185993125539568</v>
      </c>
    </row>
    <row r="33" spans="1:9" x14ac:dyDescent="0.2">
      <c r="A33">
        <v>23</v>
      </c>
      <c r="B33">
        <v>888626.66413508845</v>
      </c>
      <c r="C33">
        <v>91336.925611279294</v>
      </c>
      <c r="D33">
        <v>64005.576459672768</v>
      </c>
      <c r="E33">
        <v>59976.445625416243</v>
      </c>
      <c r="F33">
        <v>40152.215466374975</v>
      </c>
      <c r="G33">
        <v>10000</v>
      </c>
      <c r="H33">
        <v>245471.16316274327</v>
      </c>
      <c r="I33">
        <v>53.166656832934947</v>
      </c>
    </row>
    <row r="34" spans="1:9" x14ac:dyDescent="0.2">
      <c r="A34">
        <v>24</v>
      </c>
      <c r="B34">
        <v>1204877.8638855228</v>
      </c>
      <c r="C34">
        <v>163004.11167413864</v>
      </c>
      <c r="D34">
        <v>104571.09040978816</v>
      </c>
      <c r="E34">
        <v>36071.488166038849</v>
      </c>
      <c r="F34">
        <v>38497.256873033453</v>
      </c>
      <c r="G34">
        <v>10000</v>
      </c>
      <c r="H34">
        <v>332143.94712299912</v>
      </c>
      <c r="I34">
        <v>44.998658766477909</v>
      </c>
    </row>
    <row r="35" spans="1:9" x14ac:dyDescent="0.2">
      <c r="A35">
        <v>25</v>
      </c>
      <c r="B35">
        <v>1442126.1491433221</v>
      </c>
      <c r="C35">
        <v>96265.909768115132</v>
      </c>
      <c r="D35">
        <v>109407.06974840518</v>
      </c>
      <c r="E35">
        <v>154776.66068886337</v>
      </c>
      <c r="F35">
        <v>46715.307278459768</v>
      </c>
      <c r="G35">
        <v>10000</v>
      </c>
      <c r="H35">
        <v>397164.94748384343</v>
      </c>
      <c r="I35">
        <v>32.533704536592666</v>
      </c>
    </row>
    <row r="36" spans="1:9" x14ac:dyDescent="0.2">
      <c r="A36">
        <v>26</v>
      </c>
      <c r="B36">
        <v>816237.10926623014</v>
      </c>
      <c r="C36">
        <v>91535.319406031442</v>
      </c>
      <c r="D36">
        <v>66832.610593717705</v>
      </c>
      <c r="E36">
        <v>38592.162315467191</v>
      </c>
      <c r="F36">
        <v>38671.765083378501</v>
      </c>
      <c r="G36">
        <v>10000</v>
      </c>
      <c r="H36">
        <v>225631.85739859485</v>
      </c>
      <c r="I36">
        <v>36.607496271119679</v>
      </c>
    </row>
    <row r="37" spans="1:9" x14ac:dyDescent="0.2">
      <c r="A37">
        <v>27</v>
      </c>
      <c r="B37">
        <v>1174161.6944415867</v>
      </c>
      <c r="C37">
        <v>95317.194619028582</v>
      </c>
      <c r="D37">
        <v>79991.263707879669</v>
      </c>
      <c r="E37">
        <v>114491.01889183285</v>
      </c>
      <c r="F37">
        <v>43926.301307896123</v>
      </c>
      <c r="G37">
        <v>10000</v>
      </c>
      <c r="H37">
        <v>323725.77852663724</v>
      </c>
      <c r="I37">
        <v>45.991685696118907</v>
      </c>
    </row>
    <row r="38" spans="1:9" x14ac:dyDescent="0.2">
      <c r="A38">
        <v>28</v>
      </c>
      <c r="B38">
        <v>979069.00799215026</v>
      </c>
      <c r="C38">
        <v>108389.98640613518</v>
      </c>
      <c r="D38">
        <v>81153.443870941555</v>
      </c>
      <c r="E38">
        <v>51171.96729220065</v>
      </c>
      <c r="F38">
        <v>39542.674658690819</v>
      </c>
      <c r="G38">
        <v>10000</v>
      </c>
      <c r="H38">
        <v>270258.07222796819</v>
      </c>
      <c r="I38">
        <v>26.058135681020481</v>
      </c>
    </row>
    <row r="39" spans="1:9" x14ac:dyDescent="0.2">
      <c r="A39">
        <v>29</v>
      </c>
      <c r="B39">
        <v>860607.80321706738</v>
      </c>
      <c r="C39">
        <v>122368.5083356422</v>
      </c>
      <c r="D39">
        <v>61458.612018030748</v>
      </c>
      <c r="E39">
        <v>26154.416569214383</v>
      </c>
      <c r="F39">
        <v>37810.69037786869</v>
      </c>
      <c r="G39">
        <v>10000</v>
      </c>
      <c r="H39">
        <v>237792.227300756</v>
      </c>
      <c r="I39">
        <v>47.082700727265419</v>
      </c>
    </row>
    <row r="40" spans="1:9" x14ac:dyDescent="0.2">
      <c r="A40">
        <v>30</v>
      </c>
      <c r="B40">
        <v>1148537.4706248934</v>
      </c>
      <c r="C40">
        <v>120503.72984885736</v>
      </c>
      <c r="D40">
        <v>37184.712402081161</v>
      </c>
      <c r="E40">
        <v>124402.22064979383</v>
      </c>
      <c r="F40">
        <v>44612.461429601113</v>
      </c>
      <c r="G40">
        <v>10000</v>
      </c>
      <c r="H40">
        <v>316703.12433033349</v>
      </c>
      <c r="I40">
        <v>26.66369850026247</v>
      </c>
    </row>
    <row r="41" spans="1:9" x14ac:dyDescent="0.2">
      <c r="A41">
        <v>31</v>
      </c>
      <c r="B41">
        <v>1854736.1588365317</v>
      </c>
      <c r="C41">
        <v>123990.54228488768</v>
      </c>
      <c r="D41">
        <v>145902.83972053931</v>
      </c>
      <c r="E41">
        <v>200473.78891878389</v>
      </c>
      <c r="F41">
        <v>49878.95461745427</v>
      </c>
      <c r="G41">
        <v>10000</v>
      </c>
      <c r="H41">
        <v>510246.12554166513</v>
      </c>
      <c r="I41">
        <v>40.550762356442597</v>
      </c>
    </row>
    <row r="42" spans="1:9" x14ac:dyDescent="0.2">
      <c r="A42">
        <v>32</v>
      </c>
      <c r="B42">
        <v>1111491.5560556343</v>
      </c>
      <c r="C42">
        <v>114718.6950111382</v>
      </c>
      <c r="D42">
        <v>58097.616343634771</v>
      </c>
      <c r="E42">
        <v>100758.31888928312</v>
      </c>
      <c r="F42">
        <v>42975.575923104218</v>
      </c>
      <c r="G42">
        <v>10000</v>
      </c>
      <c r="H42">
        <v>306550.2061671603</v>
      </c>
      <c r="I42">
        <v>33.847310625783635</v>
      </c>
    </row>
    <row r="43" spans="1:9" x14ac:dyDescent="0.2">
      <c r="A43">
        <v>33</v>
      </c>
      <c r="B43">
        <v>1210258.8341470112</v>
      </c>
      <c r="C43">
        <v>131920.81785902588</v>
      </c>
      <c r="D43">
        <v>130272.41400621904</v>
      </c>
      <c r="E43">
        <v>42484.225063526064</v>
      </c>
      <c r="F43">
        <v>38941.215581321034</v>
      </c>
      <c r="G43">
        <v>10000</v>
      </c>
      <c r="H43">
        <v>333618.67251009203</v>
      </c>
      <c r="I43">
        <v>33.309271717001053</v>
      </c>
    </row>
    <row r="44" spans="1:9" x14ac:dyDescent="0.2">
      <c r="A44">
        <v>34</v>
      </c>
      <c r="B44">
        <v>1834537.4877979462</v>
      </c>
      <c r="C44">
        <v>151348.86494568002</v>
      </c>
      <c r="D44">
        <v>127259.21720579309</v>
      </c>
      <c r="E44">
        <v>187146.06683795576</v>
      </c>
      <c r="F44">
        <v>48956.266165704626</v>
      </c>
      <c r="G44">
        <v>10000</v>
      </c>
      <c r="H44">
        <v>504710.41515513352</v>
      </c>
      <c r="I44">
        <v>32.193194028680615</v>
      </c>
    </row>
    <row r="45" spans="1:9" x14ac:dyDescent="0.2">
      <c r="A45">
        <v>35</v>
      </c>
      <c r="B45">
        <v>1386945.7764975941</v>
      </c>
      <c r="C45">
        <v>99211.318630719063</v>
      </c>
      <c r="D45">
        <v>98332.263313626579</v>
      </c>
      <c r="E45">
        <v>148235.97127290766</v>
      </c>
      <c r="F45">
        <v>46262.490318893608</v>
      </c>
      <c r="G45">
        <v>10000</v>
      </c>
      <c r="H45">
        <v>382042.04353614693</v>
      </c>
      <c r="I45">
        <v>38.78893902601132</v>
      </c>
    </row>
    <row r="46" spans="1:9" x14ac:dyDescent="0.2">
      <c r="A46">
        <v>36</v>
      </c>
      <c r="B46">
        <v>817783.38484488009</v>
      </c>
      <c r="C46">
        <v>110544.66094958699</v>
      </c>
      <c r="D46">
        <v>47656.718760202311</v>
      </c>
      <c r="E46">
        <v>39144.267047580201</v>
      </c>
      <c r="F46">
        <v>38709.987718678633</v>
      </c>
      <c r="G46">
        <v>10000</v>
      </c>
      <c r="H46">
        <v>226055.63447604814</v>
      </c>
      <c r="I46">
        <v>30.803471374636853</v>
      </c>
    </row>
    <row r="47" spans="1:9" x14ac:dyDescent="0.2">
      <c r="A47">
        <v>37</v>
      </c>
      <c r="B47">
        <v>1449191.8085606657</v>
      </c>
      <c r="C47">
        <v>121085.98587423433</v>
      </c>
      <c r="D47">
        <v>53088.711295300207</v>
      </c>
      <c r="E47">
        <v>186046.54164219525</v>
      </c>
      <c r="F47">
        <v>48880.145190613512</v>
      </c>
      <c r="G47">
        <v>10000</v>
      </c>
      <c r="H47">
        <v>399101.38400234334</v>
      </c>
      <c r="I47">
        <v>36.813963353019332</v>
      </c>
    </row>
    <row r="48" spans="1:9" x14ac:dyDescent="0.2">
      <c r="A48">
        <v>38</v>
      </c>
      <c r="B48">
        <v>1147038.2162905282</v>
      </c>
      <c r="C48">
        <v>107711.95910640938</v>
      </c>
      <c r="D48">
        <v>109936.38938718768</v>
      </c>
      <c r="E48">
        <v>67940.324612512195</v>
      </c>
      <c r="F48">
        <v>40703.560934712375</v>
      </c>
      <c r="G48">
        <v>10000</v>
      </c>
      <c r="H48">
        <v>316292.23404082161</v>
      </c>
      <c r="I48">
        <v>47.928969966398455</v>
      </c>
    </row>
    <row r="49" spans="1:9" x14ac:dyDescent="0.2">
      <c r="A49">
        <v>39</v>
      </c>
      <c r="B49">
        <v>1346535.4151835211</v>
      </c>
      <c r="C49">
        <v>144828.91660886296</v>
      </c>
      <c r="D49">
        <v>90764.256100974439</v>
      </c>
      <c r="E49">
        <v>102292.11981948142</v>
      </c>
      <c r="F49">
        <v>43081.762141348714</v>
      </c>
      <c r="G49">
        <v>10000</v>
      </c>
      <c r="H49">
        <v>370967.05467066757</v>
      </c>
      <c r="I49">
        <v>34.689077271308875</v>
      </c>
    </row>
    <row r="50" spans="1:9" x14ac:dyDescent="0.2">
      <c r="A50">
        <v>40</v>
      </c>
      <c r="B50">
        <v>1567969.0248008417</v>
      </c>
      <c r="C50">
        <v>140343.22440389282</v>
      </c>
      <c r="D50">
        <v>122220.20006241479</v>
      </c>
      <c r="E50">
        <v>133825.56475411536</v>
      </c>
      <c r="F50">
        <v>45264.846790669522</v>
      </c>
      <c r="G50">
        <v>10000</v>
      </c>
      <c r="H50">
        <v>431653.83601109253</v>
      </c>
      <c r="I50">
        <v>43.873213404764655</v>
      </c>
    </row>
    <row r="51" spans="1:9" x14ac:dyDescent="0.2">
      <c r="A51">
        <v>41</v>
      </c>
      <c r="B51">
        <v>1236274.9612094765</v>
      </c>
      <c r="C51">
        <v>133217.30235684852</v>
      </c>
      <c r="D51">
        <v>55390.030653805872</v>
      </c>
      <c r="E51">
        <v>117973.97114249878</v>
      </c>
      <c r="F51">
        <v>44167.428771403764</v>
      </c>
      <c r="G51">
        <v>10000</v>
      </c>
      <c r="H51">
        <v>340748.73292455694</v>
      </c>
      <c r="I51">
        <v>30.633383519553838</v>
      </c>
    </row>
    <row r="52" spans="1:9" x14ac:dyDescent="0.2">
      <c r="A52">
        <v>42</v>
      </c>
      <c r="B52">
        <v>1296269.8925957226</v>
      </c>
      <c r="C52">
        <v>109325.38911059474</v>
      </c>
      <c r="D52">
        <v>63042.060288188797</v>
      </c>
      <c r="E52">
        <v>148540.13271420289</v>
      </c>
      <c r="F52">
        <v>46283.547649444816</v>
      </c>
      <c r="G52">
        <v>10000</v>
      </c>
      <c r="H52">
        <v>357191.12976243126</v>
      </c>
      <c r="I52">
        <v>45.054049064864074</v>
      </c>
    </row>
    <row r="53" spans="1:9" x14ac:dyDescent="0.2">
      <c r="A53">
        <v>43</v>
      </c>
      <c r="B53">
        <v>1507232.6570660332</v>
      </c>
      <c r="C53">
        <v>112153.72922964004</v>
      </c>
      <c r="D53">
        <v>127253.85798816368</v>
      </c>
      <c r="E53">
        <v>139914.27848585186</v>
      </c>
      <c r="F53">
        <v>45686.373125943595</v>
      </c>
      <c r="G53">
        <v>10000</v>
      </c>
      <c r="H53">
        <v>415008.23882959917</v>
      </c>
      <c r="I53">
        <v>33.158967515428444</v>
      </c>
    </row>
    <row r="54" spans="1:9" x14ac:dyDescent="0.2">
      <c r="A54">
        <v>44</v>
      </c>
      <c r="B54">
        <v>1264637.6209635837</v>
      </c>
      <c r="C54">
        <v>99952.27215567058</v>
      </c>
      <c r="D54">
        <v>105726.91457250384</v>
      </c>
      <c r="E54">
        <v>109277.3496566902</v>
      </c>
      <c r="F54">
        <v>43565.354976232396</v>
      </c>
      <c r="G54">
        <v>10000</v>
      </c>
      <c r="H54">
        <v>348521.89136109699</v>
      </c>
      <c r="I54">
        <v>34.943280186560017</v>
      </c>
    </row>
    <row r="55" spans="1:9" x14ac:dyDescent="0.2">
      <c r="A55">
        <v>45</v>
      </c>
      <c r="B55">
        <v>1082755.8065617916</v>
      </c>
      <c r="C55">
        <v>92879.230240078774</v>
      </c>
      <c r="D55">
        <v>82883.842188807219</v>
      </c>
      <c r="E55">
        <v>90636.865268165449</v>
      </c>
      <c r="F55">
        <v>42274.859903180681</v>
      </c>
      <c r="G55">
        <v>10000</v>
      </c>
      <c r="H55">
        <v>298674.79760023212</v>
      </c>
      <c r="I55">
        <v>31.70172142429093</v>
      </c>
    </row>
    <row r="56" spans="1:9" x14ac:dyDescent="0.2">
      <c r="A56">
        <v>46</v>
      </c>
      <c r="B56">
        <v>1507250.3069935995</v>
      </c>
      <c r="C56">
        <v>101861.08685973156</v>
      </c>
      <c r="D56">
        <v>69172.183799900027</v>
      </c>
      <c r="E56">
        <v>203866.00501652126</v>
      </c>
      <c r="F56">
        <v>50113.80034729762</v>
      </c>
      <c r="G56">
        <v>10000</v>
      </c>
      <c r="H56">
        <v>415013.07602345047</v>
      </c>
      <c r="I56">
        <v>33.366443907717368</v>
      </c>
    </row>
    <row r="57" spans="1:9" x14ac:dyDescent="0.2">
      <c r="A57">
        <v>47</v>
      </c>
      <c r="B57">
        <v>1061249.3715914246</v>
      </c>
      <c r="C57">
        <v>101884.3447694346</v>
      </c>
      <c r="D57">
        <v>81718.074018969783</v>
      </c>
      <c r="E57">
        <v>77792.615946548714</v>
      </c>
      <c r="F57">
        <v>41385.642642453378</v>
      </c>
      <c r="G57">
        <v>10000</v>
      </c>
      <c r="H57">
        <v>292780.67737740645</v>
      </c>
      <c r="I57">
        <v>40.947572664878834</v>
      </c>
    </row>
    <row r="58" spans="1:9" x14ac:dyDescent="0.2">
      <c r="A58">
        <v>48</v>
      </c>
      <c r="B58">
        <v>1047448.2004095938</v>
      </c>
      <c r="C58">
        <v>122851.66128553008</v>
      </c>
      <c r="D58">
        <v>56549.464954227493</v>
      </c>
      <c r="E58">
        <v>78184.393673742263</v>
      </c>
      <c r="F58">
        <v>41412.765715874462</v>
      </c>
      <c r="G58">
        <v>10000</v>
      </c>
      <c r="H58">
        <v>288998.28562937427</v>
      </c>
      <c r="I58">
        <v>29.390898500557427</v>
      </c>
    </row>
    <row r="59" spans="1:9" x14ac:dyDescent="0.2">
      <c r="A59">
        <v>49</v>
      </c>
      <c r="B59">
        <v>815101.28473501781</v>
      </c>
      <c r="C59">
        <v>87409.289232698604</v>
      </c>
      <c r="D59">
        <v>59206.953684312903</v>
      </c>
      <c r="E59">
        <v>49291.816516108673</v>
      </c>
      <c r="F59">
        <v>39412.510374192134</v>
      </c>
      <c r="G59">
        <v>10000</v>
      </c>
      <c r="H59">
        <v>225320.56980731228</v>
      </c>
      <c r="I59">
        <v>36.641373113383494</v>
      </c>
    </row>
    <row r="60" spans="1:9" x14ac:dyDescent="0.2">
      <c r="A60">
        <v>50</v>
      </c>
      <c r="B60">
        <v>1283637.9732348493</v>
      </c>
      <c r="C60">
        <v>134510.68488288732</v>
      </c>
      <c r="D60">
        <v>154180.95558257075</v>
      </c>
      <c r="E60">
        <v>36509.93541360282</v>
      </c>
      <c r="F60">
        <v>38527.610913249431</v>
      </c>
      <c r="G60">
        <v>10000</v>
      </c>
      <c r="H60">
        <v>353729.18679231027</v>
      </c>
      <c r="I60">
        <v>38.161433043258356</v>
      </c>
    </row>
    <row r="61" spans="1:9" x14ac:dyDescent="0.2">
      <c r="A61">
        <v>51</v>
      </c>
      <c r="B61">
        <v>1243595.8217158734</v>
      </c>
      <c r="C61">
        <v>132798.99891274914</v>
      </c>
      <c r="D61">
        <v>102847.41792864547</v>
      </c>
      <c r="E61">
        <v>75857.051758269212</v>
      </c>
      <c r="F61">
        <v>41251.642044803251</v>
      </c>
      <c r="G61">
        <v>10000</v>
      </c>
      <c r="H61">
        <v>342755.11064446706</v>
      </c>
      <c r="I61">
        <v>36.562546791991451</v>
      </c>
    </row>
    <row r="62" spans="1:9" x14ac:dyDescent="0.2">
      <c r="A62">
        <v>52</v>
      </c>
      <c r="B62">
        <v>1448413.3357599669</v>
      </c>
      <c r="C62">
        <v>112804.72125632424</v>
      </c>
      <c r="D62">
        <v>131438.7181072064</v>
      </c>
      <c r="E62">
        <v>120315.08788592395</v>
      </c>
      <c r="F62">
        <v>44329.506084410124</v>
      </c>
      <c r="G62">
        <v>10000</v>
      </c>
      <c r="H62">
        <v>398888.0333338647</v>
      </c>
      <c r="I62">
        <v>37.774576058991698</v>
      </c>
    </row>
    <row r="63" spans="1:9" x14ac:dyDescent="0.2">
      <c r="A63">
        <v>53</v>
      </c>
      <c r="B63">
        <v>1201915.4104171956</v>
      </c>
      <c r="C63">
        <v>98976.567042361727</v>
      </c>
      <c r="D63">
        <v>79142.850667143459</v>
      </c>
      <c r="E63">
        <v>118975.84122645346</v>
      </c>
      <c r="F63">
        <v>44236.789007985244</v>
      </c>
      <c r="G63">
        <v>10000</v>
      </c>
      <c r="H63">
        <v>331332.04794394388</v>
      </c>
      <c r="I63">
        <v>46.971687972082492</v>
      </c>
    </row>
    <row r="64" spans="1:9" x14ac:dyDescent="0.2">
      <c r="A64">
        <v>54</v>
      </c>
      <c r="B64">
        <v>1654414.1278411672</v>
      </c>
      <c r="C64">
        <v>97439.744811960016</v>
      </c>
      <c r="D64">
        <v>131672.90852534125</v>
      </c>
      <c r="E64">
        <v>187267.89510200309</v>
      </c>
      <c r="F64">
        <v>48964.700430138677</v>
      </c>
      <c r="G64">
        <v>10000</v>
      </c>
      <c r="H64">
        <v>455345.24886944302</v>
      </c>
      <c r="I64">
        <v>32.281333402248634</v>
      </c>
    </row>
    <row r="65" spans="1:9" x14ac:dyDescent="0.2">
      <c r="A65">
        <v>55</v>
      </c>
      <c r="B65">
        <v>1463249.8092871122</v>
      </c>
      <c r="C65">
        <v>145111.55305156397</v>
      </c>
      <c r="D65">
        <v>77105.627753323279</v>
      </c>
      <c r="E65">
        <v>144718.04113699283</v>
      </c>
      <c r="F65">
        <v>46018.941309484122</v>
      </c>
      <c r="G65">
        <v>10000</v>
      </c>
      <c r="H65">
        <v>402954.1632513642</v>
      </c>
      <c r="I65">
        <v>42.426225524430009</v>
      </c>
    </row>
    <row r="66" spans="1:9" x14ac:dyDescent="0.2">
      <c r="A66">
        <v>56</v>
      </c>
      <c r="B66">
        <v>1424976.6355205954</v>
      </c>
      <c r="C66">
        <v>115481.86531185331</v>
      </c>
      <c r="D66">
        <v>68140.129123204548</v>
      </c>
      <c r="E66">
        <v>171004.15500148071</v>
      </c>
      <c r="F66">
        <v>47838.749192410207</v>
      </c>
      <c r="G66">
        <v>10000</v>
      </c>
      <c r="H66">
        <v>392464.89862894878</v>
      </c>
      <c r="I66">
        <v>32.092382899830703</v>
      </c>
    </row>
    <row r="67" spans="1:9" x14ac:dyDescent="0.2">
      <c r="A67">
        <v>57</v>
      </c>
      <c r="B67">
        <v>1132693.3709099996</v>
      </c>
      <c r="C67">
        <v>96762.174864388144</v>
      </c>
      <c r="D67">
        <v>76151.824473591958</v>
      </c>
      <c r="E67">
        <v>106101.36294573935</v>
      </c>
      <c r="F67">
        <v>43345.478973166566</v>
      </c>
      <c r="G67">
        <v>10000</v>
      </c>
      <c r="H67">
        <v>312360.84125688602</v>
      </c>
      <c r="I67">
        <v>38.479011864941342</v>
      </c>
    </row>
    <row r="68" spans="1:9" x14ac:dyDescent="0.2">
      <c r="A68">
        <v>58</v>
      </c>
      <c r="B68">
        <v>1455465.1731075826</v>
      </c>
      <c r="C68">
        <v>138006.11351221715</v>
      </c>
      <c r="D68">
        <v>93257.088852980713</v>
      </c>
      <c r="E68">
        <v>134262.39077573241</v>
      </c>
      <c r="F68">
        <v>45295.088592166088</v>
      </c>
      <c r="G68">
        <v>10000</v>
      </c>
      <c r="H68">
        <v>400820.68173309637</v>
      </c>
      <c r="I68">
        <v>39.524860066373044</v>
      </c>
    </row>
    <row r="69" spans="1:9" x14ac:dyDescent="0.2">
      <c r="A69">
        <v>59</v>
      </c>
      <c r="B69">
        <v>1643666.5589547977</v>
      </c>
      <c r="C69">
        <v>109072.54583295355</v>
      </c>
      <c r="D69">
        <v>124461.07428866744</v>
      </c>
      <c r="E69">
        <v>180378.38253350992</v>
      </c>
      <c r="F69">
        <v>48487.734175396843</v>
      </c>
      <c r="G69">
        <v>10000</v>
      </c>
      <c r="H69">
        <v>452399.73683052778</v>
      </c>
      <c r="I69">
        <v>41.899647908504818</v>
      </c>
    </row>
    <row r="70" spans="1:9" x14ac:dyDescent="0.2">
      <c r="A70">
        <v>60</v>
      </c>
      <c r="B70">
        <v>1360126.4348452487</v>
      </c>
      <c r="C70">
        <v>127475.19203320438</v>
      </c>
      <c r="D70">
        <v>146019.30345317197</v>
      </c>
      <c r="E70">
        <v>70328.462591382937</v>
      </c>
      <c r="F70">
        <v>40868.893564018821</v>
      </c>
      <c r="G70">
        <v>10000</v>
      </c>
      <c r="H70">
        <v>374691.85164177808</v>
      </c>
      <c r="I70">
        <v>42.492654228842653</v>
      </c>
    </row>
    <row r="71" spans="1:9" x14ac:dyDescent="0.2">
      <c r="A71">
        <v>61</v>
      </c>
      <c r="B71">
        <v>1334617.7203299608</v>
      </c>
      <c r="C71">
        <v>123756.32457322233</v>
      </c>
      <c r="D71">
        <v>79872.6248653988</v>
      </c>
      <c r="E71">
        <v>129131.99733610965</v>
      </c>
      <c r="F71">
        <v>44939.907507884513</v>
      </c>
      <c r="G71">
        <v>10000</v>
      </c>
      <c r="H71">
        <v>367700.85428261524</v>
      </c>
      <c r="I71">
        <v>24.790962042718178</v>
      </c>
    </row>
    <row r="72" spans="1:9" x14ac:dyDescent="0.2">
      <c r="A72">
        <v>62</v>
      </c>
      <c r="B72">
        <v>1054086.4599311536</v>
      </c>
      <c r="C72">
        <v>154675.99507573622</v>
      </c>
      <c r="D72">
        <v>59216.557678284458</v>
      </c>
      <c r="E72">
        <v>47627.730438782797</v>
      </c>
      <c r="F72">
        <v>39297.304414992657</v>
      </c>
      <c r="G72">
        <v>10000</v>
      </c>
      <c r="H72">
        <v>290817.58760779613</v>
      </c>
      <c r="I72">
        <v>45.747895715702398</v>
      </c>
    </row>
    <row r="73" spans="1:9" x14ac:dyDescent="0.2">
      <c r="A73">
        <v>63</v>
      </c>
      <c r="B73">
        <v>1638329.6184290571</v>
      </c>
      <c r="C73">
        <v>125088.44609019074</v>
      </c>
      <c r="D73">
        <v>124959.04788243752</v>
      </c>
      <c r="E73">
        <v>163565.7983565763</v>
      </c>
      <c r="F73">
        <v>47323.786040070663</v>
      </c>
      <c r="G73">
        <v>10000</v>
      </c>
      <c r="H73">
        <v>450937.0783692752</v>
      </c>
      <c r="I73">
        <v>32.749578220216016</v>
      </c>
    </row>
    <row r="74" spans="1:9" x14ac:dyDescent="0.2">
      <c r="A74">
        <v>64</v>
      </c>
      <c r="B74">
        <v>1267103.9935331431</v>
      </c>
      <c r="C74">
        <v>99763.448887877254</v>
      </c>
      <c r="D74">
        <v>58206.432765298276</v>
      </c>
      <c r="E74">
        <v>154529.7387365938</v>
      </c>
      <c r="F74">
        <v>46698.212681764191</v>
      </c>
      <c r="G74">
        <v>10000</v>
      </c>
      <c r="H74">
        <v>349197.83307153353</v>
      </c>
      <c r="I74">
        <v>38.934351932707365</v>
      </c>
    </row>
    <row r="75" spans="1:9" x14ac:dyDescent="0.2">
      <c r="A75">
        <v>65</v>
      </c>
      <c r="B75">
        <v>1245000.4148352561</v>
      </c>
      <c r="C75">
        <v>85493.864297516426</v>
      </c>
      <c r="D75">
        <v>71896.475560522042</v>
      </c>
      <c r="E75">
        <v>149406.21101364942</v>
      </c>
      <c r="F75">
        <v>46343.50691632957</v>
      </c>
      <c r="G75">
        <v>10000</v>
      </c>
      <c r="H75">
        <v>343140.05778801744</v>
      </c>
      <c r="I75">
        <v>31.690420525000615</v>
      </c>
    </row>
    <row r="76" spans="1:9" x14ac:dyDescent="0.2">
      <c r="A76">
        <v>66</v>
      </c>
      <c r="B76">
        <v>1462965.5265256409</v>
      </c>
      <c r="C76">
        <v>104196.08743086949</v>
      </c>
      <c r="D76">
        <v>51930.10513179384</v>
      </c>
      <c r="E76">
        <v>206456.88996850332</v>
      </c>
      <c r="F76">
        <v>50293.169305511772</v>
      </c>
      <c r="G76">
        <v>10000</v>
      </c>
      <c r="H76">
        <v>402876.25183667842</v>
      </c>
      <c r="I76">
        <v>34.06216011573563</v>
      </c>
    </row>
    <row r="77" spans="1:9" x14ac:dyDescent="0.2">
      <c r="A77">
        <v>67</v>
      </c>
      <c r="B77">
        <v>952792.18777258426</v>
      </c>
      <c r="C77">
        <v>121232.55573542688</v>
      </c>
      <c r="D77">
        <v>43379.529706007699</v>
      </c>
      <c r="E77">
        <v>67753.830213459194</v>
      </c>
      <c r="F77">
        <v>40690.64978400871</v>
      </c>
      <c r="G77">
        <v>10000</v>
      </c>
      <c r="H77">
        <v>263056.56543890247</v>
      </c>
      <c r="I77">
        <v>30.03543340060876</v>
      </c>
    </row>
    <row r="78" spans="1:9" x14ac:dyDescent="0.2">
      <c r="A78">
        <v>68</v>
      </c>
      <c r="B78">
        <v>865374.83008330071</v>
      </c>
      <c r="C78">
        <v>97514.494871429386</v>
      </c>
      <c r="D78">
        <v>40070.669509346328</v>
      </c>
      <c r="E78">
        <v>70624.163885315807</v>
      </c>
      <c r="F78">
        <v>40889.36519206033</v>
      </c>
      <c r="G78">
        <v>10000</v>
      </c>
      <c r="H78">
        <v>239098.69345815186</v>
      </c>
      <c r="I78">
        <v>48.533090359640532</v>
      </c>
    </row>
    <row r="79" spans="1:9" x14ac:dyDescent="0.2">
      <c r="A79">
        <v>69</v>
      </c>
      <c r="B79">
        <v>1550745.7492300582</v>
      </c>
      <c r="C79">
        <v>96980.508092235468</v>
      </c>
      <c r="D79">
        <v>145227.12773866527</v>
      </c>
      <c r="E79">
        <v>148448.71702616065</v>
      </c>
      <c r="F79">
        <v>46277.218871041885</v>
      </c>
      <c r="G79">
        <v>10000</v>
      </c>
      <c r="H79">
        <v>426933.57172810333</v>
      </c>
      <c r="I79">
        <v>31.772971646124148</v>
      </c>
    </row>
    <row r="80" spans="1:9" x14ac:dyDescent="0.2">
      <c r="A80">
        <v>70</v>
      </c>
      <c r="B80">
        <v>1046898.4842590342</v>
      </c>
      <c r="C80">
        <v>133002.45194012063</v>
      </c>
      <c r="D80">
        <v>61125.893230139372</v>
      </c>
      <c r="E80">
        <v>64269.833533313089</v>
      </c>
      <c r="F80">
        <v>40449.450013844747</v>
      </c>
      <c r="G80">
        <v>10000</v>
      </c>
      <c r="H80">
        <v>288847.62871741783</v>
      </c>
      <c r="I80">
        <v>49.173250671650166</v>
      </c>
    </row>
    <row r="81" spans="1:9" x14ac:dyDescent="0.2">
      <c r="A81">
        <v>71</v>
      </c>
      <c r="B81">
        <v>839949.4662575135</v>
      </c>
      <c r="C81">
        <v>85088.87447388671</v>
      </c>
      <c r="D81">
        <v>65060.460202859598</v>
      </c>
      <c r="E81">
        <v>52356.522447263706</v>
      </c>
      <c r="F81">
        <v>39624.6823232721</v>
      </c>
      <c r="G81">
        <v>10000</v>
      </c>
      <c r="H81">
        <v>232130.53944728212</v>
      </c>
      <c r="I81">
        <v>41.633972553726892</v>
      </c>
    </row>
    <row r="82" spans="1:9" x14ac:dyDescent="0.2">
      <c r="A82">
        <v>72</v>
      </c>
      <c r="B82">
        <v>1089006.0991574023</v>
      </c>
      <c r="C82">
        <v>97807.454587698812</v>
      </c>
      <c r="D82">
        <v>103321.37009481246</v>
      </c>
      <c r="E82">
        <v>68515.562389489089</v>
      </c>
      <c r="F82">
        <v>40743.385088503092</v>
      </c>
      <c r="G82">
        <v>10000</v>
      </c>
      <c r="H82">
        <v>300387.77216050343</v>
      </c>
      <c r="I82">
        <v>49.666685689829876</v>
      </c>
    </row>
    <row r="83" spans="1:9" x14ac:dyDescent="0.2">
      <c r="A83">
        <v>73</v>
      </c>
      <c r="B83">
        <v>924546.68771178473</v>
      </c>
      <c r="C83">
        <v>91651.751927542806</v>
      </c>
      <c r="D83">
        <v>49144.491882015849</v>
      </c>
      <c r="E83">
        <v>82787.808664679047</v>
      </c>
      <c r="F83">
        <v>41731.463676785468</v>
      </c>
      <c r="G83">
        <v>10000</v>
      </c>
      <c r="H83">
        <v>255315.51615102316</v>
      </c>
      <c r="I83">
        <v>26.267679813906696</v>
      </c>
    </row>
    <row r="84" spans="1:9" x14ac:dyDescent="0.2">
      <c r="A84">
        <v>74</v>
      </c>
      <c r="B84">
        <v>1182120.2638033051</v>
      </c>
      <c r="C84">
        <v>105095.60583169539</v>
      </c>
      <c r="D84">
        <v>56768.126410256868</v>
      </c>
      <c r="E84">
        <v>129105.14777763624</v>
      </c>
      <c r="F84">
        <v>44938.048692297889</v>
      </c>
      <c r="G84">
        <v>10000</v>
      </c>
      <c r="H84">
        <v>325906.9287118864</v>
      </c>
      <c r="I84">
        <v>30.929226353204236</v>
      </c>
    </row>
    <row r="85" spans="1:9" x14ac:dyDescent="0.2">
      <c r="A85">
        <v>75</v>
      </c>
      <c r="B85">
        <v>1463914.7081432752</v>
      </c>
      <c r="C85">
        <v>106048.11200836048</v>
      </c>
      <c r="D85">
        <v>113949.62769557368</v>
      </c>
      <c r="E85">
        <v>146964.20296782046</v>
      </c>
      <c r="F85">
        <v>46174.444820849109</v>
      </c>
      <c r="G85">
        <v>10000</v>
      </c>
      <c r="H85">
        <v>403136.38749260374</v>
      </c>
      <c r="I85">
        <v>36.461442283498371</v>
      </c>
    </row>
    <row r="86" spans="1:9" x14ac:dyDescent="0.2">
      <c r="A86">
        <v>76</v>
      </c>
      <c r="B86">
        <v>1006662.842755714</v>
      </c>
      <c r="C86">
        <v>111329.15791185074</v>
      </c>
      <c r="D86">
        <v>64043.578768521547</v>
      </c>
      <c r="E86">
        <v>71497.93068469991</v>
      </c>
      <c r="F86">
        <v>40949.856739709991</v>
      </c>
      <c r="G86">
        <v>10000</v>
      </c>
      <c r="H86">
        <v>277820.52410478215</v>
      </c>
      <c r="I86">
        <v>45.955453258009413</v>
      </c>
    </row>
    <row r="87" spans="1:9" x14ac:dyDescent="0.2">
      <c r="A87">
        <v>77</v>
      </c>
      <c r="B87">
        <v>785620.34567245585</v>
      </c>
      <c r="C87">
        <v>96426.772434771265</v>
      </c>
      <c r="D87">
        <v>48041.178250463105</v>
      </c>
      <c r="E87">
        <v>43744.515158343085</v>
      </c>
      <c r="F87">
        <v>39028.466434039132</v>
      </c>
      <c r="G87">
        <v>10000</v>
      </c>
      <c r="H87">
        <v>217240.93227761658</v>
      </c>
      <c r="I87">
        <v>28.002557266487518</v>
      </c>
    </row>
    <row r="88" spans="1:9" x14ac:dyDescent="0.2">
      <c r="A88">
        <v>78</v>
      </c>
      <c r="B88">
        <v>968690.94994064083</v>
      </c>
      <c r="C88">
        <v>119535.39003755136</v>
      </c>
      <c r="D88">
        <v>41808.88003661891</v>
      </c>
      <c r="E88">
        <v>74885.199438389362</v>
      </c>
      <c r="F88">
        <v>41184.359961119262</v>
      </c>
      <c r="G88">
        <v>10000</v>
      </c>
      <c r="H88">
        <v>267413.8294736789</v>
      </c>
      <c r="I88">
        <v>36.601172794622464</v>
      </c>
    </row>
    <row r="89" spans="1:9" x14ac:dyDescent="0.2">
      <c r="A89">
        <v>79</v>
      </c>
      <c r="B89">
        <v>990497.0338551756</v>
      </c>
      <c r="C89">
        <v>119374.71626574779</v>
      </c>
      <c r="D89">
        <v>67360.381938141742</v>
      </c>
      <c r="E89">
        <v>56727.673722475825</v>
      </c>
      <c r="F89">
        <v>39927.300488479093</v>
      </c>
      <c r="G89">
        <v>10000</v>
      </c>
      <c r="H89">
        <v>273390.07241484447</v>
      </c>
      <c r="I89">
        <v>35.449721465612257</v>
      </c>
    </row>
    <row r="90" spans="1:9" x14ac:dyDescent="0.2">
      <c r="A90">
        <v>80</v>
      </c>
      <c r="B90">
        <v>1464859.3603980702</v>
      </c>
      <c r="C90">
        <v>131429.23661843076</v>
      </c>
      <c r="D90">
        <v>99819.022840744059</v>
      </c>
      <c r="E90">
        <v>136684.26551480414</v>
      </c>
      <c r="F90">
        <v>45462.756843332594</v>
      </c>
      <c r="G90">
        <v>10000</v>
      </c>
      <c r="H90">
        <v>403395.2818173116</v>
      </c>
      <c r="I90">
        <v>36.432495012730001</v>
      </c>
    </row>
    <row r="91" spans="1:9" x14ac:dyDescent="0.2">
      <c r="A91">
        <v>81</v>
      </c>
      <c r="B91">
        <v>1201027.5138133741</v>
      </c>
      <c r="C91">
        <v>111454.15228971609</v>
      </c>
      <c r="D91">
        <v>148709.72892265339</v>
      </c>
      <c r="E91">
        <v>42016.025285911921</v>
      </c>
      <c r="F91">
        <v>38908.801750563136</v>
      </c>
      <c r="G91">
        <v>10000</v>
      </c>
      <c r="H91">
        <v>331088.70824884454</v>
      </c>
      <c r="I91">
        <v>32.430745694675842</v>
      </c>
    </row>
    <row r="92" spans="1:9" x14ac:dyDescent="0.2">
      <c r="A92">
        <v>82</v>
      </c>
      <c r="B92">
        <v>1853107.9474497053</v>
      </c>
      <c r="C92">
        <v>122610.62555055552</v>
      </c>
      <c r="D92">
        <v>140296.3602725899</v>
      </c>
      <c r="E92">
        <v>206590.48861683047</v>
      </c>
      <c r="F92">
        <v>50302.418442703653</v>
      </c>
      <c r="G92">
        <v>10000</v>
      </c>
      <c r="H92">
        <v>509799.89288267959</v>
      </c>
      <c r="I92">
        <v>32.942423455635399</v>
      </c>
    </row>
    <row r="93" spans="1:9" x14ac:dyDescent="0.2">
      <c r="A93">
        <v>83</v>
      </c>
      <c r="B93">
        <v>1154159.6752589252</v>
      </c>
      <c r="C93">
        <v>122541.11891663457</v>
      </c>
      <c r="D93">
        <v>101960.85607419307</v>
      </c>
      <c r="E93">
        <v>63355.816270729214</v>
      </c>
      <c r="F93">
        <v>40386.171895665866</v>
      </c>
      <c r="G93">
        <v>10000</v>
      </c>
      <c r="H93">
        <v>318243.96315722272</v>
      </c>
      <c r="I93">
        <v>32.310095759478841</v>
      </c>
    </row>
    <row r="94" spans="1:9" x14ac:dyDescent="0.2">
      <c r="A94">
        <v>84</v>
      </c>
      <c r="B94">
        <v>1508720.9080021079</v>
      </c>
      <c r="C94">
        <v>91163.596951511397</v>
      </c>
      <c r="D94">
        <v>161592.72582487541</v>
      </c>
      <c r="E94">
        <v>127811.31505933212</v>
      </c>
      <c r="F94">
        <v>44848.475657953764</v>
      </c>
      <c r="G94">
        <v>10000</v>
      </c>
      <c r="H94">
        <v>415416.11349367269</v>
      </c>
      <c r="I94">
        <v>36.679836379404364</v>
      </c>
    </row>
    <row r="95" spans="1:9" x14ac:dyDescent="0.2">
      <c r="A95">
        <v>85</v>
      </c>
      <c r="B95">
        <v>996136.06045295298</v>
      </c>
      <c r="C95">
        <v>96064.206286710469</v>
      </c>
      <c r="D95">
        <v>39429.377667975161</v>
      </c>
      <c r="E95">
        <v>106096.77614139502</v>
      </c>
      <c r="F95">
        <v>43345.161425173501</v>
      </c>
      <c r="G95">
        <v>10000</v>
      </c>
      <c r="H95">
        <v>274935.52152125415</v>
      </c>
      <c r="I95">
        <v>25.204555508476119</v>
      </c>
    </row>
    <row r="96" spans="1:9" x14ac:dyDescent="0.2">
      <c r="A96">
        <v>86</v>
      </c>
      <c r="B96">
        <v>1496738.5795661574</v>
      </c>
      <c r="C96">
        <v>153128.00833797752</v>
      </c>
      <c r="D96">
        <v>43785.977183711526</v>
      </c>
      <c r="E96">
        <v>176966.67487426591</v>
      </c>
      <c r="F96">
        <v>48251.539029756874</v>
      </c>
      <c r="G96">
        <v>10000</v>
      </c>
      <c r="H96">
        <v>412132.19942571182</v>
      </c>
      <c r="I96">
        <v>37.364263518535921</v>
      </c>
    </row>
    <row r="97" spans="1:9" x14ac:dyDescent="0.2">
      <c r="A97">
        <v>87</v>
      </c>
      <c r="B97">
        <v>1190618.9049669378</v>
      </c>
      <c r="C97">
        <v>127713.72241914035</v>
      </c>
      <c r="D97">
        <v>78254.460765627504</v>
      </c>
      <c r="E97">
        <v>90034.735470155996</v>
      </c>
      <c r="F97">
        <v>42233.173994087723</v>
      </c>
      <c r="G97">
        <v>10000</v>
      </c>
      <c r="H97">
        <v>328236.09264901158</v>
      </c>
      <c r="I97">
        <v>43.317965823602066</v>
      </c>
    </row>
    <row r="98" spans="1:9" x14ac:dyDescent="0.2">
      <c r="A98">
        <v>88</v>
      </c>
      <c r="B98">
        <v>1148800.0550945727</v>
      </c>
      <c r="C98">
        <v>144267.30203421941</v>
      </c>
      <c r="D98">
        <v>106568.22619984463</v>
      </c>
      <c r="E98">
        <v>37353.546081161396</v>
      </c>
      <c r="F98">
        <v>38586.014728695787</v>
      </c>
      <c r="G98">
        <v>10000</v>
      </c>
      <c r="H98">
        <v>316775.08904392127</v>
      </c>
      <c r="I98">
        <v>33.141429578033581</v>
      </c>
    </row>
    <row r="99" spans="1:9" x14ac:dyDescent="0.2">
      <c r="A99">
        <v>89</v>
      </c>
      <c r="B99">
        <v>1188230.8786735784</v>
      </c>
      <c r="C99">
        <v>117777.99512441645</v>
      </c>
      <c r="D99">
        <v>96050.328215499554</v>
      </c>
      <c r="E99">
        <v>82071.4311140379</v>
      </c>
      <c r="F99">
        <v>41681.868307894925</v>
      </c>
      <c r="G99">
        <v>10000</v>
      </c>
      <c r="H99">
        <v>327581.62276184885</v>
      </c>
      <c r="I99">
        <v>47.759745465258234</v>
      </c>
    </row>
    <row r="100" spans="1:9" x14ac:dyDescent="0.2">
      <c r="A100">
        <v>90</v>
      </c>
      <c r="B100">
        <v>1280331.4448201298</v>
      </c>
      <c r="C100">
        <v>109291.64622333228</v>
      </c>
      <c r="D100">
        <v>85122.579636052993</v>
      </c>
      <c r="E100">
        <v>123835.53421580711</v>
      </c>
      <c r="F100">
        <v>44573.229291863565</v>
      </c>
      <c r="G100">
        <v>10000</v>
      </c>
      <c r="H100">
        <v>352822.98936705594</v>
      </c>
      <c r="I100">
        <v>43.275296795137912</v>
      </c>
    </row>
    <row r="101" spans="1:9" x14ac:dyDescent="0.2">
      <c r="A101">
        <v>91</v>
      </c>
      <c r="B101">
        <v>1433336.5058765747</v>
      </c>
      <c r="C101">
        <v>114278.96227455654</v>
      </c>
      <c r="D101">
        <v>157348.58906772573</v>
      </c>
      <c r="E101">
        <v>90839.584925180141</v>
      </c>
      <c r="F101">
        <v>42288.89434097401</v>
      </c>
      <c r="G101">
        <v>10000</v>
      </c>
      <c r="H101">
        <v>394756.03060843638</v>
      </c>
      <c r="I101">
        <v>55.706601178570416</v>
      </c>
    </row>
    <row r="102" spans="1:9" x14ac:dyDescent="0.2">
      <c r="A102">
        <v>92</v>
      </c>
      <c r="B102">
        <v>1336156.9198430027</v>
      </c>
      <c r="C102">
        <v>141410.51378024774</v>
      </c>
      <c r="D102">
        <v>67412.597531619846</v>
      </c>
      <c r="E102">
        <v>124668.67265298452</v>
      </c>
      <c r="F102">
        <v>44630.908106745082</v>
      </c>
      <c r="G102">
        <v>10000</v>
      </c>
      <c r="H102">
        <v>368122.69207159721</v>
      </c>
      <c r="I102">
        <v>30.009297430723457</v>
      </c>
    </row>
    <row r="103" spans="1:9" x14ac:dyDescent="0.2">
      <c r="A103">
        <v>93</v>
      </c>
      <c r="B103">
        <v>956573.99724994809</v>
      </c>
      <c r="C103">
        <v>90020.451937888341</v>
      </c>
      <c r="D103">
        <v>30987.187142916886</v>
      </c>
      <c r="E103">
        <v>109504.31296384362</v>
      </c>
      <c r="F103">
        <v>43581.067820573786</v>
      </c>
      <c r="G103">
        <v>10000</v>
      </c>
      <c r="H103">
        <v>264093.01986522262</v>
      </c>
      <c r="I103">
        <v>52.48090562883197</v>
      </c>
    </row>
    <row r="104" spans="1:9" x14ac:dyDescent="0.2">
      <c r="A104">
        <v>94</v>
      </c>
      <c r="B104">
        <v>1395719.0229248009</v>
      </c>
      <c r="C104">
        <v>137290.94816160385</v>
      </c>
      <c r="D104">
        <v>54322.150174159724</v>
      </c>
      <c r="E104">
        <v>156031.20776925547</v>
      </c>
      <c r="F104">
        <v>46802.160537871532</v>
      </c>
      <c r="G104">
        <v>10000</v>
      </c>
      <c r="H104">
        <v>384446.46664289059</v>
      </c>
      <c r="I104">
        <v>31.33766665403234</v>
      </c>
    </row>
    <row r="105" spans="1:9" x14ac:dyDescent="0.2">
      <c r="A105">
        <v>95</v>
      </c>
      <c r="B105">
        <v>1013591.0968858609</v>
      </c>
      <c r="C105">
        <v>126233.08091863821</v>
      </c>
      <c r="D105">
        <v>62023.564561071224</v>
      </c>
      <c r="E105">
        <v>61224.068095046656</v>
      </c>
      <c r="F105">
        <v>40238.589329657079</v>
      </c>
      <c r="G105">
        <v>10000</v>
      </c>
      <c r="H105">
        <v>279719.30290441314</v>
      </c>
      <c r="I105">
        <v>47.712691106725387</v>
      </c>
    </row>
    <row r="106" spans="1:9" x14ac:dyDescent="0.2">
      <c r="A106">
        <v>96</v>
      </c>
      <c r="B106">
        <v>917098.06040032755</v>
      </c>
      <c r="C106">
        <v>108167.76626584068</v>
      </c>
      <c r="D106">
        <v>71984.645910487685</v>
      </c>
      <c r="E106">
        <v>44070.664111268532</v>
      </c>
      <c r="F106">
        <v>39051.045976933972</v>
      </c>
      <c r="G106">
        <v>10000</v>
      </c>
      <c r="H106">
        <v>253274.12226453086</v>
      </c>
      <c r="I106">
        <v>41.700675537966092</v>
      </c>
    </row>
    <row r="107" spans="1:9" x14ac:dyDescent="0.2">
      <c r="A107">
        <v>97</v>
      </c>
      <c r="B107">
        <v>904757.36075217952</v>
      </c>
      <c r="C107">
        <v>89438.691586957284</v>
      </c>
      <c r="D107">
        <v>106578.75826797614</v>
      </c>
      <c r="E107">
        <v>26069.715555021106</v>
      </c>
      <c r="F107">
        <v>37804.826461501463</v>
      </c>
      <c r="G107">
        <v>10000</v>
      </c>
      <c r="H107">
        <v>249891.99187145598</v>
      </c>
      <c r="I107">
        <v>46.567556934958503</v>
      </c>
    </row>
    <row r="108" spans="1:9" x14ac:dyDescent="0.2">
      <c r="A108">
        <v>98</v>
      </c>
      <c r="B108">
        <v>1485874.1494944377</v>
      </c>
      <c r="C108">
        <v>157984.35173682839</v>
      </c>
      <c r="D108">
        <v>36587.13586587747</v>
      </c>
      <c r="E108">
        <v>176372.75120797107</v>
      </c>
      <c r="F108">
        <v>48210.421237474926</v>
      </c>
      <c r="G108">
        <v>10000</v>
      </c>
      <c r="H108">
        <v>409154.66004815191</v>
      </c>
      <c r="I108">
        <v>33.41126822864797</v>
      </c>
    </row>
    <row r="109" spans="1:9" x14ac:dyDescent="0.2">
      <c r="A109">
        <v>99</v>
      </c>
      <c r="B109">
        <v>877406.38612273999</v>
      </c>
      <c r="C109">
        <v>99574.501702770009</v>
      </c>
      <c r="D109">
        <v>66933.251390377976</v>
      </c>
      <c r="E109">
        <v>46658.16523259876</v>
      </c>
      <c r="F109">
        <v>39230.18066994915</v>
      </c>
      <c r="G109">
        <v>10000</v>
      </c>
      <c r="H109">
        <v>242396.09899569591</v>
      </c>
      <c r="I109">
        <v>45.237390306425652</v>
      </c>
    </row>
    <row r="110" spans="1:9" x14ac:dyDescent="0.2">
      <c r="A110">
        <v>100</v>
      </c>
      <c r="B110">
        <v>1379786.7760304746</v>
      </c>
      <c r="C110">
        <v>130546.93720561007</v>
      </c>
      <c r="D110">
        <v>81789.852643290156</v>
      </c>
      <c r="E110">
        <v>132565.61624515068</v>
      </c>
      <c r="F110">
        <v>45177.619586202738</v>
      </c>
      <c r="G110">
        <v>10000</v>
      </c>
      <c r="H110">
        <v>380080.02568025363</v>
      </c>
      <c r="I110">
        <v>36.544695554495647</v>
      </c>
    </row>
    <row r="111" spans="1:9" x14ac:dyDescent="0.2">
      <c r="A111">
        <v>101</v>
      </c>
      <c r="B111">
        <v>1623282.0814112574</v>
      </c>
      <c r="C111">
        <v>140358.61628618758</v>
      </c>
      <c r="D111">
        <v>68051.149720359812</v>
      </c>
      <c r="E111">
        <v>198650.60363315142</v>
      </c>
      <c r="F111">
        <v>49752.734097679713</v>
      </c>
      <c r="G111">
        <v>10000</v>
      </c>
      <c r="H111">
        <v>446813.10373737849</v>
      </c>
      <c r="I111">
        <v>34.940092203837388</v>
      </c>
    </row>
    <row r="112" spans="1:9" x14ac:dyDescent="0.2">
      <c r="A112">
        <v>102</v>
      </c>
      <c r="B112">
        <v>1148918.478537892</v>
      </c>
      <c r="C112">
        <v>142888.32164796168</v>
      </c>
      <c r="D112">
        <v>86598.037198055055</v>
      </c>
      <c r="E112">
        <v>57350.749210038135</v>
      </c>
      <c r="F112">
        <v>39970.436483771868</v>
      </c>
      <c r="G112">
        <v>10000</v>
      </c>
      <c r="H112">
        <v>316807.54453982681</v>
      </c>
      <c r="I112">
        <v>34.787077616569391</v>
      </c>
    </row>
    <row r="113" spans="1:9" x14ac:dyDescent="0.2">
      <c r="A113">
        <v>103</v>
      </c>
      <c r="B113">
        <v>990008.26647165918</v>
      </c>
      <c r="C113">
        <v>100041.23294760892</v>
      </c>
      <c r="D113">
        <v>93106.630599645447</v>
      </c>
      <c r="E113">
        <v>50604.843519939735</v>
      </c>
      <c r="F113">
        <v>39503.412243688137</v>
      </c>
      <c r="G113">
        <v>10000</v>
      </c>
      <c r="H113">
        <v>273256.11931088223</v>
      </c>
      <c r="I113">
        <v>35.296132711905017</v>
      </c>
    </row>
    <row r="114" spans="1:9" x14ac:dyDescent="0.2">
      <c r="A114">
        <v>104</v>
      </c>
      <c r="B114">
        <v>1443818.7647599452</v>
      </c>
      <c r="C114">
        <v>90911.556389914535</v>
      </c>
      <c r="D114">
        <v>69157.763128895516</v>
      </c>
      <c r="E114">
        <v>197861.41358338008</v>
      </c>
      <c r="F114">
        <v>49698.097863464776</v>
      </c>
      <c r="G114">
        <v>10000</v>
      </c>
      <c r="H114">
        <v>397628.83096565492</v>
      </c>
      <c r="I114">
        <v>39.245636274436173</v>
      </c>
    </row>
    <row r="115" spans="1:9" x14ac:dyDescent="0.2">
      <c r="A115">
        <v>105</v>
      </c>
      <c r="B115">
        <v>1492398.7546528182</v>
      </c>
      <c r="C115">
        <v>127029.47537760065</v>
      </c>
      <c r="D115">
        <v>116679.1292059541</v>
      </c>
      <c r="E115">
        <v>132089.54796316309</v>
      </c>
      <c r="F115">
        <v>45144.661012834367</v>
      </c>
      <c r="G115">
        <v>10000</v>
      </c>
      <c r="H115">
        <v>410942.81355955219</v>
      </c>
      <c r="I115">
        <v>46.231868758076679</v>
      </c>
    </row>
    <row r="116" spans="1:9" x14ac:dyDescent="0.2">
      <c r="A116">
        <v>106</v>
      </c>
      <c r="B116">
        <v>1039703.1174985194</v>
      </c>
      <c r="C116">
        <v>102165.20342763838</v>
      </c>
      <c r="D116">
        <v>102196.96091101863</v>
      </c>
      <c r="E116">
        <v>52854.333685558719</v>
      </c>
      <c r="F116">
        <v>39659.146178230993</v>
      </c>
      <c r="G116">
        <v>10000</v>
      </c>
      <c r="H116">
        <v>286875.64420244668</v>
      </c>
      <c r="I116">
        <v>30.579641807638147</v>
      </c>
    </row>
    <row r="117" spans="1:9" x14ac:dyDescent="0.2">
      <c r="A117">
        <v>107</v>
      </c>
      <c r="B117">
        <v>1369216.763145573</v>
      </c>
      <c r="C117">
        <v>119256.48840846932</v>
      </c>
      <c r="D117">
        <v>38777.620467149565</v>
      </c>
      <c r="E117">
        <v>180643.01166037045</v>
      </c>
      <c r="F117">
        <v>48506.054653410261</v>
      </c>
      <c r="G117">
        <v>10000</v>
      </c>
      <c r="H117">
        <v>377183.17518939963</v>
      </c>
      <c r="I117">
        <v>37.305733948608136</v>
      </c>
    </row>
    <row r="118" spans="1:9" x14ac:dyDescent="0.2">
      <c r="A118">
        <v>108</v>
      </c>
      <c r="B118">
        <v>1340950.2045751289</v>
      </c>
      <c r="C118">
        <v>148537.76988106224</v>
      </c>
      <c r="D118">
        <v>151718.01597364296</v>
      </c>
      <c r="E118">
        <v>40384.704526844587</v>
      </c>
      <c r="F118">
        <v>38795.86415955078</v>
      </c>
      <c r="G118">
        <v>10000</v>
      </c>
      <c r="H118">
        <v>369436.35454110056</v>
      </c>
      <c r="I118">
        <v>30.019169108310702</v>
      </c>
    </row>
    <row r="119" spans="1:9" x14ac:dyDescent="0.2">
      <c r="A119">
        <v>109</v>
      </c>
      <c r="B119">
        <v>1313990.8457898428</v>
      </c>
      <c r="C119">
        <v>105095.48373325926</v>
      </c>
      <c r="D119">
        <v>33499.976232744179</v>
      </c>
      <c r="E119">
        <v>184667.64596886031</v>
      </c>
      <c r="F119">
        <v>48784.683182459557</v>
      </c>
      <c r="G119">
        <v>10000</v>
      </c>
      <c r="H119">
        <v>362047.78911732329</v>
      </c>
      <c r="I119">
        <v>40.73839279886613</v>
      </c>
    </row>
    <row r="120" spans="1:9" x14ac:dyDescent="0.2">
      <c r="A120">
        <v>110</v>
      </c>
      <c r="B120">
        <v>1117306.2916496205</v>
      </c>
      <c r="C120">
        <v>135132.03961099367</v>
      </c>
      <c r="D120">
        <v>46621.995963022986</v>
      </c>
      <c r="E120">
        <v>93889.717674185158</v>
      </c>
      <c r="F120">
        <v>42500.057377443591</v>
      </c>
      <c r="G120">
        <v>10000</v>
      </c>
      <c r="H120">
        <v>308143.81062564539</v>
      </c>
      <c r="I120">
        <v>29.510334049418336</v>
      </c>
    </row>
    <row r="121" spans="1:9" x14ac:dyDescent="0.2">
      <c r="A121">
        <v>111</v>
      </c>
      <c r="B121">
        <v>1336387.2512794435</v>
      </c>
      <c r="C121">
        <v>133266.89906475329</v>
      </c>
      <c r="D121">
        <v>152641.52291211911</v>
      </c>
      <c r="E121">
        <v>52633.535305525133</v>
      </c>
      <c r="F121">
        <v>39643.86013653635</v>
      </c>
      <c r="G121">
        <v>10000</v>
      </c>
      <c r="H121">
        <v>368185.81741893385</v>
      </c>
      <c r="I121">
        <v>36.37058601566001</v>
      </c>
    </row>
    <row r="122" spans="1:9" x14ac:dyDescent="0.2">
      <c r="A122">
        <v>112</v>
      </c>
      <c r="B122">
        <v>1226909.8682595165</v>
      </c>
      <c r="C122">
        <v>114564.18569458231</v>
      </c>
      <c r="D122">
        <v>39126.514570019761</v>
      </c>
      <c r="E122">
        <v>148229.37276197111</v>
      </c>
      <c r="F122">
        <v>46262.033498905694</v>
      </c>
      <c r="G122">
        <v>10000</v>
      </c>
      <c r="H122">
        <v>338182.10652547888</v>
      </c>
      <c r="I122">
        <v>41.166771905329362</v>
      </c>
    </row>
    <row r="123" spans="1:9" x14ac:dyDescent="0.2">
      <c r="A123">
        <v>113</v>
      </c>
      <c r="B123">
        <v>1695117.7075135482</v>
      </c>
      <c r="C123">
        <v>151485.60185428819</v>
      </c>
      <c r="D123">
        <v>102803.00237285721</v>
      </c>
      <c r="E123">
        <v>174155.10215235502</v>
      </c>
      <c r="F123">
        <v>48056.891687470728</v>
      </c>
      <c r="G123">
        <v>10000</v>
      </c>
      <c r="H123">
        <v>466500.59806697117</v>
      </c>
      <c r="I123">
        <v>40.383681363899441</v>
      </c>
    </row>
    <row r="124" spans="1:9" x14ac:dyDescent="0.2">
      <c r="A124">
        <v>114</v>
      </c>
      <c r="B124">
        <v>1511223.2234205345</v>
      </c>
      <c r="C124">
        <v>107523.69573251552</v>
      </c>
      <c r="D124">
        <v>127818.68551675693</v>
      </c>
      <c r="E124">
        <v>144739.12369238376</v>
      </c>
      <c r="F124">
        <v>46020.400871011188</v>
      </c>
      <c r="G124">
        <v>10000</v>
      </c>
      <c r="H124">
        <v>416101.90581266739</v>
      </c>
      <c r="I124">
        <v>33.706112890329791</v>
      </c>
    </row>
    <row r="125" spans="1:9" x14ac:dyDescent="0.2">
      <c r="A125">
        <v>115</v>
      </c>
      <c r="B125">
        <v>1337752.7393339651</v>
      </c>
      <c r="C125">
        <v>106208.66363953766</v>
      </c>
      <c r="D125">
        <v>112968.80482247482</v>
      </c>
      <c r="E125">
        <v>115393.7787760842</v>
      </c>
      <c r="F125">
        <v>43988.800069113524</v>
      </c>
      <c r="G125">
        <v>10000</v>
      </c>
      <c r="H125">
        <v>368560.04730721016</v>
      </c>
      <c r="I125">
        <v>36.651808013240405</v>
      </c>
    </row>
    <row r="126" spans="1:9" x14ac:dyDescent="0.2">
      <c r="A126">
        <v>116</v>
      </c>
      <c r="B126">
        <v>1355689.7480589929</v>
      </c>
      <c r="C126">
        <v>111461.70610652053</v>
      </c>
      <c r="D126">
        <v>108691.20980808162</v>
      </c>
      <c r="E126">
        <v>119079.06811129309</v>
      </c>
      <c r="F126">
        <v>44243.935484627982</v>
      </c>
      <c r="G126">
        <v>10000</v>
      </c>
      <c r="H126">
        <v>373475.91951052321</v>
      </c>
      <c r="I126">
        <v>43.327117906021684</v>
      </c>
    </row>
    <row r="127" spans="1:9" x14ac:dyDescent="0.2">
      <c r="A127">
        <v>117</v>
      </c>
      <c r="B127">
        <v>774816.08656805055</v>
      </c>
      <c r="C127">
        <v>84327.47643877448</v>
      </c>
      <c r="D127">
        <v>73671.36245561071</v>
      </c>
      <c r="E127">
        <v>28320.40146884885</v>
      </c>
      <c r="F127">
        <v>37960.643178612612</v>
      </c>
      <c r="G127">
        <v>10000</v>
      </c>
      <c r="H127">
        <v>214279.88354184665</v>
      </c>
      <c r="I127">
        <v>39.151858606233773</v>
      </c>
    </row>
    <row r="128" spans="1:9" x14ac:dyDescent="0.2">
      <c r="A128">
        <v>118</v>
      </c>
      <c r="B128">
        <v>1354817.2664291759</v>
      </c>
      <c r="C128">
        <v>93357.007088550992</v>
      </c>
      <c r="D128">
        <v>152773.03847759022</v>
      </c>
      <c r="E128">
        <v>94560.278131139654</v>
      </c>
      <c r="F128">
        <v>42546.480793694289</v>
      </c>
      <c r="G128">
        <v>10000</v>
      </c>
      <c r="H128">
        <v>373236.8044909751</v>
      </c>
      <c r="I128">
        <v>26.185899784298933</v>
      </c>
    </row>
    <row r="129" spans="1:9" x14ac:dyDescent="0.2">
      <c r="A129">
        <v>119</v>
      </c>
      <c r="B129">
        <v>1425239.387920802</v>
      </c>
      <c r="C129">
        <v>114356.91119143674</v>
      </c>
      <c r="D129">
        <v>54922.55079106523</v>
      </c>
      <c r="E129">
        <v>184485.38244508923</v>
      </c>
      <c r="F129">
        <v>48772.064938506177</v>
      </c>
      <c r="G129">
        <v>10000</v>
      </c>
      <c r="H129">
        <v>392536.90936609736</v>
      </c>
      <c r="I129">
        <v>33.900064732827381</v>
      </c>
    </row>
    <row r="130" spans="1:9" x14ac:dyDescent="0.2">
      <c r="A130">
        <v>120</v>
      </c>
      <c r="B130">
        <v>1124911.4227708005</v>
      </c>
      <c r="C130">
        <v>115721.35071722107</v>
      </c>
      <c r="D130">
        <v>94024.929066759272</v>
      </c>
      <c r="E130">
        <v>69659.252979490993</v>
      </c>
      <c r="F130">
        <v>40822.563667810915</v>
      </c>
      <c r="G130">
        <v>10000</v>
      </c>
      <c r="H130">
        <v>310228.09643128229</v>
      </c>
      <c r="I130">
        <v>36.99348077169924</v>
      </c>
    </row>
    <row r="131" spans="1:9" x14ac:dyDescent="0.2">
      <c r="A131">
        <v>121</v>
      </c>
      <c r="B131">
        <v>1009877.0556320543</v>
      </c>
      <c r="C131">
        <v>96832.136453375948</v>
      </c>
      <c r="D131">
        <v>124160.67256767063</v>
      </c>
      <c r="E131">
        <v>29655.536614645236</v>
      </c>
      <c r="F131">
        <v>38053.075611783133</v>
      </c>
      <c r="G131">
        <v>10000</v>
      </c>
      <c r="H131">
        <v>278701.42124747497</v>
      </c>
      <c r="I131">
        <v>28.131770063974272</v>
      </c>
    </row>
    <row r="132" spans="1:9" x14ac:dyDescent="0.2">
      <c r="A132">
        <v>122</v>
      </c>
      <c r="B132">
        <v>835397.57899717207</v>
      </c>
      <c r="C132">
        <v>116230.45042573095</v>
      </c>
      <c r="D132">
        <v>56012.803043922744</v>
      </c>
      <c r="E132">
        <v>30526.414490378822</v>
      </c>
      <c r="F132">
        <v>38113.36715702623</v>
      </c>
      <c r="G132">
        <v>10000</v>
      </c>
      <c r="H132">
        <v>230883.03511705872</v>
      </c>
      <c r="I132">
        <v>39.724258082124209</v>
      </c>
    </row>
    <row r="133" spans="1:9" x14ac:dyDescent="0.2">
      <c r="A133">
        <v>123</v>
      </c>
      <c r="B133">
        <v>1084275.6497681101</v>
      </c>
      <c r="C133">
        <v>112359.60485228</v>
      </c>
      <c r="D133">
        <v>110138.35757613558</v>
      </c>
      <c r="E133">
        <v>47317.538521441056</v>
      </c>
      <c r="F133">
        <v>39275.829589945926</v>
      </c>
      <c r="G133">
        <v>10000</v>
      </c>
      <c r="H133">
        <v>299091.33053980255</v>
      </c>
      <c r="I133">
        <v>37.050254760277539</v>
      </c>
    </row>
    <row r="134" spans="1:9" x14ac:dyDescent="0.2">
      <c r="A134">
        <v>124</v>
      </c>
      <c r="B134">
        <v>1066893.0101292345</v>
      </c>
      <c r="C134">
        <v>165306.93082860482</v>
      </c>
      <c r="D134">
        <v>66369.691831821867</v>
      </c>
      <c r="E134">
        <v>34277.696490474198</v>
      </c>
      <c r="F134">
        <v>38373.071295494374</v>
      </c>
      <c r="G134">
        <v>10000</v>
      </c>
      <c r="H134">
        <v>294327.39044639526</v>
      </c>
      <c r="I134">
        <v>37.633752472017491</v>
      </c>
    </row>
    <row r="135" spans="1:9" x14ac:dyDescent="0.2">
      <c r="A135">
        <v>125</v>
      </c>
      <c r="B135">
        <v>873052.75441519846</v>
      </c>
      <c r="C135">
        <v>97560.372563813755</v>
      </c>
      <c r="D135">
        <v>69875.252547177239</v>
      </c>
      <c r="E135">
        <v>44674.45705860098</v>
      </c>
      <c r="F135">
        <v>39092.84702713391</v>
      </c>
      <c r="G135">
        <v>10000</v>
      </c>
      <c r="H135">
        <v>241202.92919672589</v>
      </c>
      <c r="I135">
        <v>32.196901295797488</v>
      </c>
    </row>
    <row r="136" spans="1:9" x14ac:dyDescent="0.2">
      <c r="A136">
        <v>126</v>
      </c>
      <c r="B136">
        <v>1382675.6907086037</v>
      </c>
      <c r="C136">
        <v>128645.22930513378</v>
      </c>
      <c r="D136">
        <v>87494.310311519788</v>
      </c>
      <c r="E136">
        <v>129749.56853673626</v>
      </c>
      <c r="F136">
        <v>44982.662437158666</v>
      </c>
      <c r="G136">
        <v>10000</v>
      </c>
      <c r="H136">
        <v>380871.77059054852</v>
      </c>
      <c r="I136">
        <v>32.853874240929471</v>
      </c>
    </row>
    <row r="137" spans="1:9" x14ac:dyDescent="0.2">
      <c r="A137">
        <v>127</v>
      </c>
      <c r="B137">
        <v>862685.66393529519</v>
      </c>
      <c r="C137">
        <v>121461.61151492946</v>
      </c>
      <c r="D137">
        <v>60023.704704527299</v>
      </c>
      <c r="E137">
        <v>28877.186214776812</v>
      </c>
      <c r="F137">
        <v>37999.189814869162</v>
      </c>
      <c r="G137">
        <v>10000</v>
      </c>
      <c r="H137">
        <v>238361.69224910272</v>
      </c>
      <c r="I137">
        <v>37.515204608891452</v>
      </c>
    </row>
    <row r="138" spans="1:9" x14ac:dyDescent="0.2">
      <c r="A138">
        <v>128</v>
      </c>
      <c r="B138">
        <v>1439013.4200041988</v>
      </c>
      <c r="C138">
        <v>127572.02206906669</v>
      </c>
      <c r="D138">
        <v>71887.513108949963</v>
      </c>
      <c r="E138">
        <v>159789.94715387715</v>
      </c>
      <c r="F138">
        <v>47062.380956806883</v>
      </c>
      <c r="G138">
        <v>10000</v>
      </c>
      <c r="H138">
        <v>396311.86328870064</v>
      </c>
      <c r="I138">
        <v>39.205738078911196</v>
      </c>
    </row>
    <row r="139" spans="1:9" x14ac:dyDescent="0.2">
      <c r="A139">
        <v>129</v>
      </c>
      <c r="B139">
        <v>1584671.8384682555</v>
      </c>
      <c r="C139">
        <v>90430.629140352568</v>
      </c>
      <c r="D139">
        <v>132026.47090283877</v>
      </c>
      <c r="E139">
        <v>175616.30870731117</v>
      </c>
      <c r="F139">
        <v>48158.052141275388</v>
      </c>
      <c r="G139">
        <v>10000</v>
      </c>
      <c r="H139">
        <v>436231.46089177788</v>
      </c>
      <c r="I139">
        <v>29.63507003647355</v>
      </c>
    </row>
    <row r="140" spans="1:9" x14ac:dyDescent="0.2">
      <c r="A140">
        <v>130</v>
      </c>
      <c r="B140">
        <v>1290226.9897218856</v>
      </c>
      <c r="C140">
        <v>119994.4431036241</v>
      </c>
      <c r="D140">
        <v>43911.898022999572</v>
      </c>
      <c r="E140">
        <v>154904.49462523931</v>
      </c>
      <c r="F140">
        <v>46724.157320208877</v>
      </c>
      <c r="G140">
        <v>10000</v>
      </c>
      <c r="H140">
        <v>355534.99307207181</v>
      </c>
      <c r="I140">
        <v>32.383318216325506</v>
      </c>
    </row>
    <row r="141" spans="1:9" x14ac:dyDescent="0.2">
      <c r="A141">
        <v>131</v>
      </c>
      <c r="B141">
        <v>909246.83491618291</v>
      </c>
      <c r="C141">
        <v>102297.29332320891</v>
      </c>
      <c r="D141">
        <v>63145.371620685422</v>
      </c>
      <c r="E141">
        <v>55815.571201809791</v>
      </c>
      <c r="F141">
        <v>39864.15492935606</v>
      </c>
      <c r="G141">
        <v>10000</v>
      </c>
      <c r="H141">
        <v>251122.39107506021</v>
      </c>
      <c r="I141">
        <v>35.606897364473895</v>
      </c>
    </row>
    <row r="142" spans="1:9" x14ac:dyDescent="0.2">
      <c r="A142">
        <v>132</v>
      </c>
      <c r="B142">
        <v>1289316.1904848856</v>
      </c>
      <c r="C142">
        <v>132398.2029033837</v>
      </c>
      <c r="D142">
        <v>108957.0378765127</v>
      </c>
      <c r="E142">
        <v>82236.817683150104</v>
      </c>
      <c r="F142">
        <v>41693.318147295002</v>
      </c>
      <c r="G142">
        <v>10000</v>
      </c>
      <c r="H142">
        <v>355285.37661034148</v>
      </c>
      <c r="I142">
        <v>33.274065054232764</v>
      </c>
    </row>
    <row r="143" spans="1:9" x14ac:dyDescent="0.2">
      <c r="A143">
        <v>133</v>
      </c>
      <c r="B143">
        <v>956982.99102005083</v>
      </c>
      <c r="C143">
        <v>95511.217752819794</v>
      </c>
      <c r="D143">
        <v>36713.945137724899</v>
      </c>
      <c r="E143">
        <v>99117.936113221251</v>
      </c>
      <c r="F143">
        <v>42862.010961684551</v>
      </c>
      <c r="G143">
        <v>10000</v>
      </c>
      <c r="H143">
        <v>264205.10996545048</v>
      </c>
      <c r="I143">
        <v>36.85881522839891</v>
      </c>
    </row>
    <row r="144" spans="1:9" x14ac:dyDescent="0.2">
      <c r="A144">
        <v>134</v>
      </c>
      <c r="B144">
        <v>974430.38688804163</v>
      </c>
      <c r="C144">
        <v>122242.94414873229</v>
      </c>
      <c r="D144">
        <v>87994.798474898576</v>
      </c>
      <c r="E144">
        <v>30628.6123356116</v>
      </c>
      <c r="F144">
        <v>38120.442392465418</v>
      </c>
      <c r="G144">
        <v>10000</v>
      </c>
      <c r="H144">
        <v>268986.79735170788</v>
      </c>
      <c r="I144">
        <v>37.329525653887586</v>
      </c>
    </row>
    <row r="145" spans="1:9" x14ac:dyDescent="0.2">
      <c r="A145">
        <v>135</v>
      </c>
      <c r="B145">
        <v>1712726.9233280451</v>
      </c>
      <c r="C145">
        <v>116918.48930691888</v>
      </c>
      <c r="D145">
        <v>106466.68621227612</v>
      </c>
      <c r="E145">
        <v>207571.14852743287</v>
      </c>
      <c r="F145">
        <v>50370.310282668434</v>
      </c>
      <c r="G145">
        <v>10000</v>
      </c>
      <c r="H145">
        <v>471326.6343292963</v>
      </c>
      <c r="I145">
        <v>30.418027211908509</v>
      </c>
    </row>
    <row r="146" spans="1:9" x14ac:dyDescent="0.2">
      <c r="A146">
        <v>136</v>
      </c>
      <c r="B146">
        <v>1045601.8133949002</v>
      </c>
      <c r="C146">
        <v>148244.92051154125</v>
      </c>
      <c r="D146">
        <v>26996.033075244839</v>
      </c>
      <c r="E146">
        <v>81601.9403908557</v>
      </c>
      <c r="F146">
        <v>41649.365103982316</v>
      </c>
      <c r="G146">
        <v>10000</v>
      </c>
      <c r="H146">
        <v>288492.2590816241</v>
      </c>
      <c r="I146">
        <v>41.712315631385117</v>
      </c>
    </row>
    <row r="147" spans="1:9" x14ac:dyDescent="0.2">
      <c r="A147">
        <v>137</v>
      </c>
      <c r="B147">
        <v>1561288.8534283119</v>
      </c>
      <c r="C147">
        <v>130179.71241800122</v>
      </c>
      <c r="D147">
        <v>62125.029194776755</v>
      </c>
      <c r="E147">
        <v>197822.87604788062</v>
      </c>
      <c r="F147">
        <v>49695.429880237883</v>
      </c>
      <c r="G147">
        <v>10000</v>
      </c>
      <c r="H147">
        <v>429823.04754089651</v>
      </c>
      <c r="I147">
        <v>48.896875765650904</v>
      </c>
    </row>
    <row r="148" spans="1:9" x14ac:dyDescent="0.2">
      <c r="A148">
        <v>138</v>
      </c>
      <c r="B148">
        <v>1283656.1358792323</v>
      </c>
      <c r="C148">
        <v>101984.48910442764</v>
      </c>
      <c r="D148">
        <v>62013.46294845298</v>
      </c>
      <c r="E148">
        <v>153134.5871834913</v>
      </c>
      <c r="F148">
        <v>46601.625266549403</v>
      </c>
      <c r="G148">
        <v>10000</v>
      </c>
      <c r="H148">
        <v>353734.16450292134</v>
      </c>
      <c r="I148">
        <v>34.446334852282149</v>
      </c>
    </row>
    <row r="149" spans="1:9" x14ac:dyDescent="0.2">
      <c r="A149">
        <v>139</v>
      </c>
      <c r="B149">
        <v>1487278.8087547463</v>
      </c>
      <c r="C149">
        <v>80750.888740206254</v>
      </c>
      <c r="D149">
        <v>97198.653082182122</v>
      </c>
      <c r="E149">
        <v>192278.49535606572</v>
      </c>
      <c r="F149">
        <v>49311.588140035325</v>
      </c>
      <c r="G149">
        <v>10000</v>
      </c>
      <c r="H149">
        <v>409539.62531848944</v>
      </c>
      <c r="I149">
        <v>28.250796314680944</v>
      </c>
    </row>
    <row r="150" spans="1:9" x14ac:dyDescent="0.2">
      <c r="A150">
        <v>140</v>
      </c>
      <c r="B150">
        <v>888038.00038791494</v>
      </c>
      <c r="C150">
        <v>104535.70339842945</v>
      </c>
      <c r="D150">
        <v>71200.769682105209</v>
      </c>
      <c r="E150">
        <v>40752.062440703718</v>
      </c>
      <c r="F150">
        <v>38821.29663051026</v>
      </c>
      <c r="G150">
        <v>10000</v>
      </c>
      <c r="H150">
        <v>245309.83215174865</v>
      </c>
      <c r="I150">
        <v>52.465655078353493</v>
      </c>
    </row>
    <row r="151" spans="1:9" x14ac:dyDescent="0.2">
      <c r="A151">
        <v>141</v>
      </c>
      <c r="B151">
        <v>1508132.6614028877</v>
      </c>
      <c r="C151">
        <v>106120.03241759267</v>
      </c>
      <c r="D151">
        <v>110029.53322240515</v>
      </c>
      <c r="E151">
        <v>161897.07231496656</v>
      </c>
      <c r="F151">
        <v>47208.258852574603</v>
      </c>
      <c r="G151">
        <v>10000</v>
      </c>
      <c r="H151">
        <v>415254.89680753904</v>
      </c>
      <c r="I151">
        <v>30.686525974059219</v>
      </c>
    </row>
    <row r="152" spans="1:9" x14ac:dyDescent="0.2">
      <c r="A152">
        <v>142</v>
      </c>
      <c r="B152">
        <v>1167684.1960086797</v>
      </c>
      <c r="C152">
        <v>101778.89124532987</v>
      </c>
      <c r="D152">
        <v>148654.49340838857</v>
      </c>
      <c r="E152">
        <v>42569.996942237041</v>
      </c>
      <c r="F152">
        <v>38947.153634462564</v>
      </c>
      <c r="G152">
        <v>10000</v>
      </c>
      <c r="H152">
        <v>321950.53523041803</v>
      </c>
      <c r="I152">
        <v>34.9548718063336</v>
      </c>
    </row>
    <row r="153" spans="1:9" x14ac:dyDescent="0.2">
      <c r="A153">
        <v>143</v>
      </c>
      <c r="B153">
        <v>876669.13934870041</v>
      </c>
      <c r="C153">
        <v>114962.63505609856</v>
      </c>
      <c r="D153">
        <v>71699.362073470256</v>
      </c>
      <c r="E153">
        <v>27619.902625447809</v>
      </c>
      <c r="F153">
        <v>37912.147104838696</v>
      </c>
      <c r="G153">
        <v>10000</v>
      </c>
      <c r="H153">
        <v>242194.04685985533</v>
      </c>
      <c r="I153">
        <v>34.307816626856379</v>
      </c>
    </row>
    <row r="154" spans="1:9" x14ac:dyDescent="0.2">
      <c r="A154">
        <v>144</v>
      </c>
      <c r="B154">
        <v>912967.50903569174</v>
      </c>
      <c r="C154">
        <v>90548.371161320305</v>
      </c>
      <c r="D154">
        <v>86545.157081160389</v>
      </c>
      <c r="E154">
        <v>45872.756120305028</v>
      </c>
      <c r="F154">
        <v>39175.806192944197</v>
      </c>
      <c r="G154">
        <v>10000</v>
      </c>
      <c r="H154">
        <v>252142.09055572996</v>
      </c>
      <c r="I154">
        <v>33.890134720834553</v>
      </c>
    </row>
    <row r="155" spans="1:9" x14ac:dyDescent="0.2">
      <c r="A155">
        <v>145</v>
      </c>
      <c r="B155">
        <v>954566.1232258575</v>
      </c>
      <c r="C155">
        <v>93997.210219973203</v>
      </c>
      <c r="D155">
        <v>66637.545817622871</v>
      </c>
      <c r="E155">
        <v>71928.326290978555</v>
      </c>
      <c r="F155">
        <v>40979.653358606207</v>
      </c>
      <c r="G155">
        <v>10000</v>
      </c>
      <c r="H155">
        <v>263542.73568718083</v>
      </c>
      <c r="I155">
        <v>25.538571084699306</v>
      </c>
    </row>
    <row r="156" spans="1:9" x14ac:dyDescent="0.2">
      <c r="A156">
        <v>146</v>
      </c>
      <c r="B156">
        <v>1367456.9382771079</v>
      </c>
      <c r="C156">
        <v>146996.59456146572</v>
      </c>
      <c r="D156">
        <v>122241.71277802292</v>
      </c>
      <c r="E156">
        <v>76188.010237344992</v>
      </c>
      <c r="F156">
        <v>41274.554554893111</v>
      </c>
      <c r="G156">
        <v>10000</v>
      </c>
      <c r="H156">
        <v>376700.87213172676</v>
      </c>
      <c r="I156">
        <v>37.906153603292566</v>
      </c>
    </row>
    <row r="157" spans="1:9" x14ac:dyDescent="0.2">
      <c r="A157">
        <v>147</v>
      </c>
      <c r="B157">
        <v>967412.79974204174</v>
      </c>
      <c r="C157">
        <v>134736.54719408337</v>
      </c>
      <c r="D157">
        <v>51931.966791970321</v>
      </c>
      <c r="E157">
        <v>50873.041861638631</v>
      </c>
      <c r="F157">
        <v>39521.979821190362</v>
      </c>
      <c r="G157">
        <v>10000</v>
      </c>
      <c r="H157">
        <v>267063.53566888272</v>
      </c>
      <c r="I157">
        <v>44.35597630147538</v>
      </c>
    </row>
    <row r="158" spans="1:9" x14ac:dyDescent="0.2">
      <c r="A158">
        <v>148</v>
      </c>
      <c r="B158">
        <v>1427745.1939105657</v>
      </c>
      <c r="C158">
        <v>123208.8404204394</v>
      </c>
      <c r="D158">
        <v>66044.726473332354</v>
      </c>
      <c r="E158">
        <v>166446.84809824117</v>
      </c>
      <c r="F158">
        <v>47523.243329878227</v>
      </c>
      <c r="G158">
        <v>10000</v>
      </c>
      <c r="H158">
        <v>393223.6583218911</v>
      </c>
      <c r="I158">
        <v>55.448097679634991</v>
      </c>
    </row>
    <row r="159" spans="1:9" x14ac:dyDescent="0.2">
      <c r="A159">
        <v>149</v>
      </c>
      <c r="B159">
        <v>1405605.3323905726</v>
      </c>
      <c r="C159">
        <v>135524.12613492596</v>
      </c>
      <c r="D159">
        <v>153802.28591440243</v>
      </c>
      <c r="E159">
        <v>67178.694509553708</v>
      </c>
      <c r="F159">
        <v>40650.832696815261</v>
      </c>
      <c r="G159">
        <v>10000</v>
      </c>
      <c r="H159">
        <v>387155.93925569736</v>
      </c>
      <c r="I159">
        <v>33.181707126608323</v>
      </c>
    </row>
    <row r="160" spans="1:9" x14ac:dyDescent="0.2">
      <c r="A160">
        <v>150</v>
      </c>
      <c r="B160">
        <v>821018.94453986757</v>
      </c>
      <c r="C160">
        <v>89325.95274552585</v>
      </c>
      <c r="D160">
        <v>69549.062224954672</v>
      </c>
      <c r="E160">
        <v>39343.580669496907</v>
      </c>
      <c r="F160">
        <v>38723.786354042095</v>
      </c>
      <c r="G160">
        <v>10000</v>
      </c>
      <c r="H160">
        <v>226942.38199401952</v>
      </c>
      <c r="I160">
        <v>34.120160108735199</v>
      </c>
    </row>
    <row r="161" spans="1:9" x14ac:dyDescent="0.2">
      <c r="A161">
        <v>151</v>
      </c>
      <c r="B161">
        <v>1400575.4822538453</v>
      </c>
      <c r="C161">
        <v>72391.989048203963</v>
      </c>
      <c r="D161">
        <v>163038.81498052561</v>
      </c>
      <c r="E161">
        <v>116295.41768513714</v>
      </c>
      <c r="F161">
        <v>44051.22122435565</v>
      </c>
      <c r="G161">
        <v>10000</v>
      </c>
      <c r="H161">
        <v>385777.44293822232</v>
      </c>
      <c r="I161">
        <v>24.783539542733557</v>
      </c>
    </row>
    <row r="162" spans="1:9" x14ac:dyDescent="0.2">
      <c r="A162">
        <v>152</v>
      </c>
      <c r="B162">
        <v>1421186.4892318887</v>
      </c>
      <c r="C162">
        <v>146426.66345075527</v>
      </c>
      <c r="D162">
        <v>109630.10206248071</v>
      </c>
      <c r="E162">
        <v>102287.92233104249</v>
      </c>
      <c r="F162">
        <v>43081.471545995249</v>
      </c>
      <c r="G162">
        <v>10000</v>
      </c>
      <c r="H162">
        <v>391426.15939027374</v>
      </c>
      <c r="I162">
        <v>40.342726404110564</v>
      </c>
    </row>
    <row r="163" spans="1:9" x14ac:dyDescent="0.2">
      <c r="A163">
        <v>153</v>
      </c>
      <c r="B163">
        <v>1385210.0643830749</v>
      </c>
      <c r="C163">
        <v>157351.26820964349</v>
      </c>
      <c r="D163">
        <v>141931.00751721387</v>
      </c>
      <c r="E163">
        <v>52639.780660434721</v>
      </c>
      <c r="F163">
        <v>39644.292507260863</v>
      </c>
      <c r="G163">
        <v>10000</v>
      </c>
      <c r="H163">
        <v>381566.34889455297</v>
      </c>
      <c r="I163">
        <v>28.462420652518254</v>
      </c>
    </row>
    <row r="164" spans="1:9" x14ac:dyDescent="0.2">
      <c r="A164">
        <v>154</v>
      </c>
      <c r="B164">
        <v>1460395.7109983943</v>
      </c>
      <c r="C164">
        <v>104117.46647554383</v>
      </c>
      <c r="D164">
        <v>149137.30460213448</v>
      </c>
      <c r="E164">
        <v>114958.5222275345</v>
      </c>
      <c r="F164">
        <v>43958.666923444696</v>
      </c>
      <c r="G164">
        <v>10000</v>
      </c>
      <c r="H164">
        <v>402171.96022865752</v>
      </c>
      <c r="I164">
        <v>26.17420797307512</v>
      </c>
    </row>
    <row r="165" spans="1:9" x14ac:dyDescent="0.2">
      <c r="A165">
        <v>155</v>
      </c>
      <c r="B165">
        <v>974981.45749562001</v>
      </c>
      <c r="C165">
        <v>123228.22980195047</v>
      </c>
      <c r="D165">
        <v>89058.501891323642</v>
      </c>
      <c r="E165">
        <v>28853.540942591564</v>
      </c>
      <c r="F165">
        <v>37997.552834487105</v>
      </c>
      <c r="G165">
        <v>10000</v>
      </c>
      <c r="H165">
        <v>269137.82547035278</v>
      </c>
      <c r="I165">
        <v>42.531783369694018</v>
      </c>
    </row>
    <row r="166" spans="1:9" x14ac:dyDescent="0.2">
      <c r="A166">
        <v>156</v>
      </c>
      <c r="B166">
        <v>967770.4102089823</v>
      </c>
      <c r="C166">
        <v>89118.370404348461</v>
      </c>
      <c r="D166">
        <v>31158.31684657923</v>
      </c>
      <c r="E166">
        <v>113057.77922742872</v>
      </c>
      <c r="F166">
        <v>43827.077023437378</v>
      </c>
      <c r="G166">
        <v>10000</v>
      </c>
      <c r="H166">
        <v>267161.54350179376</v>
      </c>
      <c r="I166">
        <v>40.496780722055306</v>
      </c>
    </row>
    <row r="167" spans="1:9" x14ac:dyDescent="0.2">
      <c r="A167">
        <v>157</v>
      </c>
      <c r="B167">
        <v>988873.56091471133</v>
      </c>
      <c r="C167">
        <v>98000.0250673025</v>
      </c>
      <c r="D167">
        <v>76146.787162204462</v>
      </c>
      <c r="E167">
        <v>68084.765473051812</v>
      </c>
      <c r="F167">
        <v>40713.560686595891</v>
      </c>
      <c r="G167">
        <v>10000</v>
      </c>
      <c r="H167">
        <v>272945.13838915469</v>
      </c>
      <c r="I167">
        <v>39.70468174786982</v>
      </c>
    </row>
    <row r="168" spans="1:9" x14ac:dyDescent="0.2">
      <c r="A168">
        <v>158</v>
      </c>
      <c r="B168">
        <v>1230284.444579755</v>
      </c>
      <c r="C168">
        <v>136970.99258858408</v>
      </c>
      <c r="D168">
        <v>76067.132880835517</v>
      </c>
      <c r="E168">
        <v>93589.551274504411</v>
      </c>
      <c r="F168">
        <v>42479.276626696461</v>
      </c>
      <c r="G168">
        <v>10000</v>
      </c>
      <c r="H168">
        <v>339106.95337062044</v>
      </c>
      <c r="I168">
        <v>37.445906307381918</v>
      </c>
    </row>
    <row r="169" spans="1:9" x14ac:dyDescent="0.2">
      <c r="A169">
        <v>159</v>
      </c>
      <c r="B169">
        <v>1323963.9937986699</v>
      </c>
      <c r="C169">
        <v>93677.706991677827</v>
      </c>
      <c r="D169">
        <v>104179.85365872993</v>
      </c>
      <c r="E169">
        <v>131798.95713378538</v>
      </c>
      <c r="F169">
        <v>45124.543186185139</v>
      </c>
      <c r="G169">
        <v>10000</v>
      </c>
      <c r="H169">
        <v>364781.06097037828</v>
      </c>
      <c r="I169">
        <v>46.718768620742182</v>
      </c>
    </row>
    <row r="170" spans="1:9" x14ac:dyDescent="0.2">
      <c r="A170">
        <v>160</v>
      </c>
      <c r="B170">
        <v>1565753.6953514824</v>
      </c>
      <c r="C170">
        <v>115157.09701752076</v>
      </c>
      <c r="D170">
        <v>125128.07677308196</v>
      </c>
      <c r="E170">
        <v>154093.50993908089</v>
      </c>
      <c r="F170">
        <v>46668.012226551757</v>
      </c>
      <c r="G170">
        <v>10000</v>
      </c>
      <c r="H170">
        <v>431046.6959562354</v>
      </c>
      <c r="I170">
        <v>29.004162684075187</v>
      </c>
    </row>
    <row r="171" spans="1:9" x14ac:dyDescent="0.2">
      <c r="A171">
        <v>161</v>
      </c>
      <c r="B171">
        <v>1250133.7666276665</v>
      </c>
      <c r="C171">
        <v>111549.7854429908</v>
      </c>
      <c r="D171">
        <v>126101.85933270137</v>
      </c>
      <c r="E171">
        <v>75657.45173283531</v>
      </c>
      <c r="F171">
        <v>41237.823581503988</v>
      </c>
      <c r="G171">
        <v>10000</v>
      </c>
      <c r="H171">
        <v>344546.92009003146</v>
      </c>
      <c r="I171">
        <v>47.529228573071258</v>
      </c>
    </row>
    <row r="172" spans="1:9" x14ac:dyDescent="0.2">
      <c r="A172">
        <v>162</v>
      </c>
      <c r="B172">
        <v>1281249.1422158545</v>
      </c>
      <c r="C172">
        <v>123669.83786122309</v>
      </c>
      <c r="D172">
        <v>87433.195948495733</v>
      </c>
      <c r="E172">
        <v>108462.5189314928</v>
      </c>
      <c r="F172">
        <v>43508.943618334117</v>
      </c>
      <c r="G172">
        <v>10000</v>
      </c>
      <c r="H172">
        <v>353074.49635954574</v>
      </c>
      <c r="I172">
        <v>38.136485103376934</v>
      </c>
    </row>
    <row r="173" spans="1:9" x14ac:dyDescent="0.2">
      <c r="A173">
        <v>163</v>
      </c>
      <c r="B173">
        <v>1101492.9554930876</v>
      </c>
      <c r="C173">
        <v>133224.29156008599</v>
      </c>
      <c r="D173">
        <v>39834.31818960348</v>
      </c>
      <c r="E173">
        <v>97968.887515291994</v>
      </c>
      <c r="F173">
        <v>42782.461443366366</v>
      </c>
      <c r="G173">
        <v>10000</v>
      </c>
      <c r="H173">
        <v>303809.95870834781</v>
      </c>
      <c r="I173">
        <v>30.023697058470805</v>
      </c>
    </row>
    <row r="174" spans="1:9" x14ac:dyDescent="0.2">
      <c r="A174">
        <v>164</v>
      </c>
      <c r="B174">
        <v>1126998.5815384346</v>
      </c>
      <c r="C174">
        <v>145936.89273212783</v>
      </c>
      <c r="D174">
        <v>86101.610723550446</v>
      </c>
      <c r="E174">
        <v>49345.387071255289</v>
      </c>
      <c r="F174">
        <v>39416.219104933058</v>
      </c>
      <c r="G174">
        <v>10000</v>
      </c>
      <c r="H174">
        <v>310800.10963186668</v>
      </c>
      <c r="I174">
        <v>44.248519040442389</v>
      </c>
    </row>
    <row r="175" spans="1:9" x14ac:dyDescent="0.2">
      <c r="A175">
        <v>165</v>
      </c>
      <c r="B175">
        <v>1418069.9288528063</v>
      </c>
      <c r="C175">
        <v>83526.767105086154</v>
      </c>
      <c r="D175">
        <v>68194.299533320213</v>
      </c>
      <c r="E175">
        <v>199069.2418142414</v>
      </c>
      <c r="F175">
        <v>49781.716740985939</v>
      </c>
      <c r="G175">
        <v>10000</v>
      </c>
      <c r="H175">
        <v>390572.02519363369</v>
      </c>
      <c r="I175">
        <v>42.465260007423623</v>
      </c>
    </row>
    <row r="176" spans="1:9" x14ac:dyDescent="0.2">
      <c r="A176">
        <v>166</v>
      </c>
      <c r="B176">
        <v>899449.46325173823</v>
      </c>
      <c r="C176">
        <v>122659.7647291918</v>
      </c>
      <c r="D176">
        <v>51950.784776370972</v>
      </c>
      <c r="E176">
        <v>44730.047902170758</v>
      </c>
      <c r="F176">
        <v>39096.695623996442</v>
      </c>
      <c r="G176">
        <v>10000</v>
      </c>
      <c r="H176">
        <v>248437.29303172993</v>
      </c>
      <c r="I176">
        <v>36.523930261554327</v>
      </c>
    </row>
    <row r="177" spans="1:9" x14ac:dyDescent="0.2">
      <c r="A177">
        <v>167</v>
      </c>
      <c r="B177">
        <v>984089.57602309657</v>
      </c>
      <c r="C177">
        <v>127676.46467801795</v>
      </c>
      <c r="D177">
        <v>63106.833175284279</v>
      </c>
      <c r="E177">
        <v>51299.240900936275</v>
      </c>
      <c r="F177">
        <v>39551.48590852636</v>
      </c>
      <c r="G177">
        <v>10000</v>
      </c>
      <c r="H177">
        <v>271634.02466276486</v>
      </c>
      <c r="I177">
        <v>43.889132884785944</v>
      </c>
    </row>
    <row r="178" spans="1:9" x14ac:dyDescent="0.2">
      <c r="A178">
        <v>168</v>
      </c>
      <c r="B178">
        <v>1426971.8657885299</v>
      </c>
      <c r="C178">
        <v>113626.21794857841</v>
      </c>
      <c r="D178">
        <v>119564.70861799875</v>
      </c>
      <c r="E178">
        <v>125156.13551758195</v>
      </c>
      <c r="F178">
        <v>44664.6555358326</v>
      </c>
      <c r="G178">
        <v>10000</v>
      </c>
      <c r="H178">
        <v>393011.71761999174</v>
      </c>
      <c r="I178">
        <v>30.935321153664091</v>
      </c>
    </row>
    <row r="179" spans="1:9" x14ac:dyDescent="0.2">
      <c r="A179">
        <v>169</v>
      </c>
      <c r="B179">
        <v>1165086.9620706118</v>
      </c>
      <c r="C179">
        <v>95607.240633782814</v>
      </c>
      <c r="D179">
        <v>115692.49500501541</v>
      </c>
      <c r="E179">
        <v>78504.09474218481</v>
      </c>
      <c r="F179">
        <v>41434.898866766642</v>
      </c>
      <c r="G179">
        <v>10000</v>
      </c>
      <c r="H179">
        <v>321238.72924774967</v>
      </c>
      <c r="I179">
        <v>37.040946253813246</v>
      </c>
    </row>
    <row r="180" spans="1:9" x14ac:dyDescent="0.2">
      <c r="A180">
        <v>170</v>
      </c>
      <c r="B180">
        <v>861406.20350589766</v>
      </c>
      <c r="C180">
        <v>126165.93443328797</v>
      </c>
      <c r="D180">
        <v>32622.461912902636</v>
      </c>
      <c r="E180">
        <v>49776.572601340486</v>
      </c>
      <c r="F180">
        <v>39446.070410862034</v>
      </c>
      <c r="G180">
        <v>10000</v>
      </c>
      <c r="H180">
        <v>238011.03935839311</v>
      </c>
      <c r="I180">
        <v>43.259585539653585</v>
      </c>
    </row>
    <row r="181" spans="1:9" x14ac:dyDescent="0.2">
      <c r="A181">
        <v>171</v>
      </c>
      <c r="B181">
        <v>1342667.3426703392</v>
      </c>
      <c r="C181">
        <v>113237.0022649751</v>
      </c>
      <c r="D181">
        <v>97551.865590197252</v>
      </c>
      <c r="E181">
        <v>124498.93391114459</v>
      </c>
      <c r="F181">
        <v>44619.156963079236</v>
      </c>
      <c r="G181">
        <v>10000</v>
      </c>
      <c r="H181">
        <v>369906.95872939622</v>
      </c>
      <c r="I181">
        <v>30.884222329177931</v>
      </c>
    </row>
    <row r="182" spans="1:9" x14ac:dyDescent="0.2">
      <c r="A182">
        <v>172</v>
      </c>
      <c r="B182">
        <v>981450.52567289642</v>
      </c>
      <c r="C182">
        <v>139021.6920791874</v>
      </c>
      <c r="D182">
        <v>62350.80417140096</v>
      </c>
      <c r="E182">
        <v>40719.237929638097</v>
      </c>
      <c r="F182">
        <v>38819.024164359565</v>
      </c>
      <c r="G182">
        <v>10000</v>
      </c>
      <c r="H182">
        <v>270910.75834458601</v>
      </c>
      <c r="I182">
        <v>47.276599713823828</v>
      </c>
    </row>
    <row r="183" spans="1:9" x14ac:dyDescent="0.2">
      <c r="A183">
        <v>173</v>
      </c>
      <c r="B183">
        <v>1215026.6255440798</v>
      </c>
      <c r="C183">
        <v>136481.75706911113</v>
      </c>
      <c r="D183">
        <v>60047.260567715188</v>
      </c>
      <c r="E183">
        <v>105118.87030824268</v>
      </c>
      <c r="F183">
        <v>43277.460252109115</v>
      </c>
      <c r="G183">
        <v>10000</v>
      </c>
      <c r="H183">
        <v>334925.3481971781</v>
      </c>
      <c r="I183">
        <v>28.62809565970576</v>
      </c>
    </row>
    <row r="184" spans="1:9" x14ac:dyDescent="0.2">
      <c r="A184">
        <v>174</v>
      </c>
      <c r="B184">
        <v>1361749.0324542192</v>
      </c>
      <c r="C184">
        <v>94802.530059276367</v>
      </c>
      <c r="D184">
        <v>98418.726323602052</v>
      </c>
      <c r="E184">
        <v>145820.05482380264</v>
      </c>
      <c r="F184">
        <v>46095.2345647248</v>
      </c>
      <c r="G184">
        <v>10000</v>
      </c>
      <c r="H184">
        <v>375136.54577140586</v>
      </c>
      <c r="I184">
        <v>34.08155626714219</v>
      </c>
    </row>
    <row r="185" spans="1:9" x14ac:dyDescent="0.2">
      <c r="A185">
        <v>175</v>
      </c>
      <c r="B185">
        <v>1410388.0024606776</v>
      </c>
      <c r="C185">
        <v>103821.11303655637</v>
      </c>
      <c r="D185">
        <v>80546.601473647272</v>
      </c>
      <c r="E185">
        <v>166567.38961595204</v>
      </c>
      <c r="F185">
        <v>47531.588511873604</v>
      </c>
      <c r="G185">
        <v>10000</v>
      </c>
      <c r="H185">
        <v>388466.69263802929</v>
      </c>
      <c r="I185">
        <v>34.809653275419812</v>
      </c>
    </row>
    <row r="186" spans="1:9" x14ac:dyDescent="0.2">
      <c r="A186">
        <v>176</v>
      </c>
      <c r="B186">
        <v>1694209.9225236813</v>
      </c>
      <c r="C186">
        <v>147514.34508455815</v>
      </c>
      <c r="D186">
        <v>75560.249821172372</v>
      </c>
      <c r="E186">
        <v>203115.37887154552</v>
      </c>
      <c r="F186">
        <v>50061.833921876227</v>
      </c>
      <c r="G186">
        <v>10000</v>
      </c>
      <c r="H186">
        <v>466251.80769915221</v>
      </c>
      <c r="I186">
        <v>51.493363361550522</v>
      </c>
    </row>
    <row r="187" spans="1:9" x14ac:dyDescent="0.2">
      <c r="A187">
        <v>177</v>
      </c>
      <c r="B187">
        <v>1398932.7378983479</v>
      </c>
      <c r="C187">
        <v>85698.736692169434</v>
      </c>
      <c r="D187">
        <v>81311.998526016803</v>
      </c>
      <c r="E187">
        <v>179864.34513942362</v>
      </c>
      <c r="F187">
        <v>48452.146971190865</v>
      </c>
      <c r="G187">
        <v>10000</v>
      </c>
      <c r="H187">
        <v>385327.22732880071</v>
      </c>
      <c r="I187">
        <v>24.618255935268518</v>
      </c>
    </row>
    <row r="188" spans="1:9" x14ac:dyDescent="0.2">
      <c r="A188">
        <v>178</v>
      </c>
      <c r="B188">
        <v>1521517.3012033496</v>
      </c>
      <c r="C188">
        <v>88498.509638105286</v>
      </c>
      <c r="D188">
        <v>93878.886863831518</v>
      </c>
      <c r="E188">
        <v>196913.27843452682</v>
      </c>
      <c r="F188">
        <v>49632.45773777493</v>
      </c>
      <c r="G188">
        <v>10000</v>
      </c>
      <c r="H188">
        <v>418923.13267423853</v>
      </c>
      <c r="I188">
        <v>25.082072891887577</v>
      </c>
    </row>
    <row r="189" spans="1:9" x14ac:dyDescent="0.2">
      <c r="A189">
        <v>179</v>
      </c>
      <c r="B189">
        <v>981005.68149824557</v>
      </c>
      <c r="C189">
        <v>109337.62418065558</v>
      </c>
      <c r="D189">
        <v>62848.926126966078</v>
      </c>
      <c r="E189">
        <v>67901.424793439874</v>
      </c>
      <c r="F189">
        <v>40700.867870315065</v>
      </c>
      <c r="G189">
        <v>10000</v>
      </c>
      <c r="H189">
        <v>270788.84297137661</v>
      </c>
      <c r="I189">
        <v>43.573582511117777</v>
      </c>
    </row>
    <row r="190" spans="1:9" x14ac:dyDescent="0.2">
      <c r="A190">
        <v>180</v>
      </c>
      <c r="B190">
        <v>1295460.8356401015</v>
      </c>
      <c r="C190">
        <v>128626.20260766213</v>
      </c>
      <c r="D190">
        <v>76704.634983411437</v>
      </c>
      <c r="E190">
        <v>117503.68875465413</v>
      </c>
      <c r="F190">
        <v>44134.870759937599</v>
      </c>
      <c r="G190">
        <v>10000</v>
      </c>
      <c r="H190">
        <v>356969.3971056653</v>
      </c>
      <c r="I190">
        <v>47.085427081335474</v>
      </c>
    </row>
    <row r="191" spans="1:9" x14ac:dyDescent="0.2">
      <c r="A191">
        <v>181</v>
      </c>
      <c r="B191">
        <v>1129908.5575580799</v>
      </c>
      <c r="C191">
        <v>123756.40577177893</v>
      </c>
      <c r="D191">
        <v>61320.689079456461</v>
      </c>
      <c r="E191">
        <v>94012.008183953178</v>
      </c>
      <c r="F191">
        <v>42508.52364350445</v>
      </c>
      <c r="G191">
        <v>10000</v>
      </c>
      <c r="H191">
        <v>311597.62667869299</v>
      </c>
      <c r="I191">
        <v>30.742248955663051</v>
      </c>
    </row>
    <row r="192" spans="1:9" x14ac:dyDescent="0.2">
      <c r="A192">
        <v>182</v>
      </c>
      <c r="B192">
        <v>1293392.1225812994</v>
      </c>
      <c r="C192">
        <v>166523.93990436083</v>
      </c>
      <c r="D192">
        <v>53970.274582950799</v>
      </c>
      <c r="E192">
        <v>102791.86483285655</v>
      </c>
      <c r="F192">
        <v>43116.359873043919</v>
      </c>
      <c r="G192">
        <v>10000</v>
      </c>
      <c r="H192">
        <v>356402.43919321208</v>
      </c>
      <c r="I192">
        <v>30.961522933229872</v>
      </c>
    </row>
    <row r="193" spans="1:9" x14ac:dyDescent="0.2">
      <c r="A193">
        <v>183</v>
      </c>
      <c r="B193">
        <v>1539643.9243382141</v>
      </c>
      <c r="C193">
        <v>112048.6120771749</v>
      </c>
      <c r="D193">
        <v>69260.258628759053</v>
      </c>
      <c r="E193">
        <v>202558.79901423279</v>
      </c>
      <c r="F193">
        <v>50023.301470216116</v>
      </c>
      <c r="G193">
        <v>10000</v>
      </c>
      <c r="H193">
        <v>423890.97119038284</v>
      </c>
      <c r="I193">
        <v>37.473664218790347</v>
      </c>
    </row>
    <row r="194" spans="1:9" x14ac:dyDescent="0.2">
      <c r="A194">
        <v>184</v>
      </c>
      <c r="B194">
        <v>1594891.4789693635</v>
      </c>
      <c r="C194">
        <v>146351.30296662636</v>
      </c>
      <c r="D194">
        <v>68203.500869854382</v>
      </c>
      <c r="E194">
        <v>185626.42332817428</v>
      </c>
      <c r="F194">
        <v>48851.060076565918</v>
      </c>
      <c r="G194">
        <v>10000</v>
      </c>
      <c r="H194">
        <v>439032.28724122094</v>
      </c>
      <c r="I194">
        <v>33.436375851039031</v>
      </c>
    </row>
    <row r="195" spans="1:9" x14ac:dyDescent="0.2">
      <c r="A195">
        <v>185</v>
      </c>
      <c r="B195">
        <v>1296477.2734542494</v>
      </c>
      <c r="C195">
        <v>137814.34430501916</v>
      </c>
      <c r="D195">
        <v>86547.938944375594</v>
      </c>
      <c r="E195">
        <v>99965.026287782181</v>
      </c>
      <c r="F195">
        <v>42920.655666077226</v>
      </c>
      <c r="G195">
        <v>10000</v>
      </c>
      <c r="H195">
        <v>357247.96520325413</v>
      </c>
      <c r="I195">
        <v>27.715459530523923</v>
      </c>
    </row>
    <row r="196" spans="1:9" x14ac:dyDescent="0.2">
      <c r="A196">
        <v>186</v>
      </c>
      <c r="B196">
        <v>1002027.6438206566</v>
      </c>
      <c r="C196">
        <v>121076.26411932256</v>
      </c>
      <c r="D196">
        <v>93292.86285755373</v>
      </c>
      <c r="E196">
        <v>33838.401571563139</v>
      </c>
      <c r="F196">
        <v>38342.658570338986</v>
      </c>
      <c r="G196">
        <v>10000</v>
      </c>
      <c r="H196">
        <v>276550.18711877841</v>
      </c>
      <c r="I196">
        <v>24.558243245214154</v>
      </c>
    </row>
    <row r="197" spans="1:9" x14ac:dyDescent="0.2">
      <c r="A197">
        <v>187</v>
      </c>
      <c r="B197">
        <v>1703252.8041335118</v>
      </c>
      <c r="C197">
        <v>158172.46870535097</v>
      </c>
      <c r="D197">
        <v>118558.10590190029</v>
      </c>
      <c r="E197">
        <v>155251.38073972421</v>
      </c>
      <c r="F197">
        <v>46748.172512750141</v>
      </c>
      <c r="G197">
        <v>10000</v>
      </c>
      <c r="H197">
        <v>468730.12785972562</v>
      </c>
      <c r="I197">
        <v>24.659111553747692</v>
      </c>
    </row>
    <row r="198" spans="1:9" x14ac:dyDescent="0.2">
      <c r="A198">
        <v>188</v>
      </c>
      <c r="B198">
        <v>1341624.9890543441</v>
      </c>
      <c r="C198">
        <v>103467.500933634</v>
      </c>
      <c r="D198">
        <v>73869.126901855416</v>
      </c>
      <c r="E198">
        <v>155518.02755449337</v>
      </c>
      <c r="F198">
        <v>46766.632676849542</v>
      </c>
      <c r="G198">
        <v>10000</v>
      </c>
      <c r="H198">
        <v>369621.28806683229</v>
      </c>
      <c r="I198">
        <v>34.095557447986828</v>
      </c>
    </row>
    <row r="199" spans="1:9" x14ac:dyDescent="0.2">
      <c r="A199">
        <v>189</v>
      </c>
      <c r="B199">
        <v>1420531.3758758709</v>
      </c>
      <c r="C199">
        <v>114783.27891445623</v>
      </c>
      <c r="D199">
        <v>130161.07604555097</v>
      </c>
      <c r="E199">
        <v>112512.90693782904</v>
      </c>
      <c r="F199">
        <v>43789.35509569585</v>
      </c>
      <c r="G199">
        <v>10000</v>
      </c>
      <c r="H199">
        <v>391246.61699353205</v>
      </c>
      <c r="I199">
        <v>27.927015260614773</v>
      </c>
    </row>
    <row r="200" spans="1:9" x14ac:dyDescent="0.2">
      <c r="A200">
        <v>190</v>
      </c>
      <c r="B200">
        <v>1760151.4018003314</v>
      </c>
      <c r="C200">
        <v>139634.53244101393</v>
      </c>
      <c r="D200">
        <v>104022.68397540011</v>
      </c>
      <c r="E200">
        <v>200767.43360090157</v>
      </c>
      <c r="F200">
        <v>49899.283864677804</v>
      </c>
      <c r="G200">
        <v>10000</v>
      </c>
      <c r="H200">
        <v>484323.93388199346</v>
      </c>
      <c r="I200">
        <v>43.693849878639824</v>
      </c>
    </row>
    <row r="201" spans="1:9" x14ac:dyDescent="0.2">
      <c r="A201">
        <v>191</v>
      </c>
      <c r="B201">
        <v>1251473.225532287</v>
      </c>
      <c r="C201">
        <v>133252.9748495096</v>
      </c>
      <c r="D201">
        <v>78423.01661591357</v>
      </c>
      <c r="E201">
        <v>100294.55564633664</v>
      </c>
      <c r="F201">
        <v>42943.46923705408</v>
      </c>
      <c r="G201">
        <v>10000</v>
      </c>
      <c r="H201">
        <v>344914.01634881384</v>
      </c>
      <c r="I201">
        <v>31.084629979710144</v>
      </c>
    </row>
    <row r="202" spans="1:9" x14ac:dyDescent="0.2">
      <c r="A202">
        <v>192</v>
      </c>
      <c r="B202">
        <v>1500786.5233043993</v>
      </c>
      <c r="C202">
        <v>87925.531360828769</v>
      </c>
      <c r="D202">
        <v>156037.97180577362</v>
      </c>
      <c r="E202">
        <v>134001.08974498828</v>
      </c>
      <c r="F202">
        <v>45276.998520806883</v>
      </c>
      <c r="G202">
        <v>10000</v>
      </c>
      <c r="H202">
        <v>413241.5914323976</v>
      </c>
      <c r="I202">
        <v>35.893606609619923</v>
      </c>
    </row>
    <row r="203" spans="1:9" x14ac:dyDescent="0.2">
      <c r="A203">
        <v>193</v>
      </c>
      <c r="B203">
        <v>1152520.1639491757</v>
      </c>
      <c r="C203">
        <v>135994.60946981108</v>
      </c>
      <c r="D203">
        <v>53981.160731390912</v>
      </c>
      <c r="E203">
        <v>95226.27512710655</v>
      </c>
      <c r="F203">
        <v>42592.588278030453</v>
      </c>
      <c r="G203">
        <v>10000</v>
      </c>
      <c r="H203">
        <v>317794.63360633899</v>
      </c>
      <c r="I203">
        <v>32.769079276935315</v>
      </c>
    </row>
    <row r="204" spans="1:9" x14ac:dyDescent="0.2">
      <c r="A204">
        <v>194</v>
      </c>
      <c r="B204">
        <v>1533149.1670251433</v>
      </c>
      <c r="C204">
        <v>125502.1108644583</v>
      </c>
      <c r="D204">
        <v>140018.97190359101</v>
      </c>
      <c r="E204">
        <v>122134.45297489507</v>
      </c>
      <c r="F204">
        <v>44455.462129031199</v>
      </c>
      <c r="G204">
        <v>10000</v>
      </c>
      <c r="H204">
        <v>422110.99787197559</v>
      </c>
      <c r="I204">
        <v>32.708021288693942</v>
      </c>
    </row>
    <row r="205" spans="1:9" x14ac:dyDescent="0.2">
      <c r="A205">
        <v>195</v>
      </c>
      <c r="B205">
        <v>1035199.8205772697</v>
      </c>
      <c r="C205">
        <v>72377.877629735041</v>
      </c>
      <c r="D205">
        <v>70053.113791143478</v>
      </c>
      <c r="E205">
        <v>109621.29845421136</v>
      </c>
      <c r="F205">
        <v>43589.166816060788</v>
      </c>
      <c r="G205">
        <v>10000</v>
      </c>
      <c r="H205">
        <v>285641.45669115067</v>
      </c>
      <c r="I205">
        <v>29.259424892813122</v>
      </c>
    </row>
    <row r="206" spans="1:9" x14ac:dyDescent="0.2">
      <c r="A206">
        <v>196</v>
      </c>
      <c r="B206">
        <v>1445644.0138307074</v>
      </c>
      <c r="C206">
        <v>102959.77204641572</v>
      </c>
      <c r="D206">
        <v>47361.657746701174</v>
      </c>
      <c r="E206">
        <v>207445.9891847627</v>
      </c>
      <c r="F206">
        <v>50361.645405098956</v>
      </c>
      <c r="G206">
        <v>10000</v>
      </c>
      <c r="H206">
        <v>398129.06438297854</v>
      </c>
      <c r="I206">
        <v>30.560438246731209</v>
      </c>
    </row>
    <row r="207" spans="1:9" x14ac:dyDescent="0.2">
      <c r="A207">
        <v>197</v>
      </c>
      <c r="B207">
        <v>1408657.7898595328</v>
      </c>
      <c r="C207">
        <v>115724.51331964199</v>
      </c>
      <c r="D207">
        <v>88227.884622452519</v>
      </c>
      <c r="E207">
        <v>147807.29456721368</v>
      </c>
      <c r="F207">
        <v>46232.812700807095</v>
      </c>
      <c r="G207">
        <v>10000</v>
      </c>
      <c r="H207">
        <v>387992.50521011534</v>
      </c>
      <c r="I207">
        <v>43.129854836483339</v>
      </c>
    </row>
    <row r="208" spans="1:9" x14ac:dyDescent="0.2">
      <c r="A208">
        <v>198</v>
      </c>
      <c r="B208">
        <v>1152813.8776453673</v>
      </c>
      <c r="C208">
        <v>88371.553522852773</v>
      </c>
      <c r="D208">
        <v>131415.39807270834</v>
      </c>
      <c r="E208">
        <v>67420.598219900028</v>
      </c>
      <c r="F208">
        <v>40667.579876762313</v>
      </c>
      <c r="G208">
        <v>10000</v>
      </c>
      <c r="H208">
        <v>317875.12969222345</v>
      </c>
      <c r="I208">
        <v>51.459365806619765</v>
      </c>
    </row>
    <row r="209" spans="1:9" x14ac:dyDescent="0.2">
      <c r="A209">
        <v>199</v>
      </c>
      <c r="B209">
        <v>1006124.2715213328</v>
      </c>
      <c r="C209">
        <v>87423.865646592516</v>
      </c>
      <c r="D209">
        <v>86716.815733982308</v>
      </c>
      <c r="E209">
        <v>72512.167114587239</v>
      </c>
      <c r="F209">
        <v>41020.073107932963</v>
      </c>
      <c r="G209">
        <v>10000</v>
      </c>
      <c r="H209">
        <v>277672.92160309502</v>
      </c>
      <c r="I209">
        <v>42.851701586192739</v>
      </c>
    </row>
    <row r="210" spans="1:9" x14ac:dyDescent="0.2">
      <c r="A210">
        <v>200</v>
      </c>
      <c r="B210">
        <v>1327382.7132449755</v>
      </c>
      <c r="C210">
        <v>78660.051348040695</v>
      </c>
      <c r="D210">
        <v>149282.60842664796</v>
      </c>
      <c r="E210">
        <v>104538.09342129937</v>
      </c>
      <c r="F210">
        <v>43237.252621474574</v>
      </c>
      <c r="G210">
        <v>10000</v>
      </c>
      <c r="H210">
        <v>365718.00581746257</v>
      </c>
      <c r="I210">
        <v>28.834231167734131</v>
      </c>
    </row>
    <row r="211" spans="1:9" x14ac:dyDescent="0.2">
      <c r="A211">
        <v>201</v>
      </c>
      <c r="B211">
        <v>1734636.8355945586</v>
      </c>
      <c r="C211">
        <v>142222.0890647909</v>
      </c>
      <c r="D211">
        <v>86836.195987035273</v>
      </c>
      <c r="E211">
        <v>207881.26766916987</v>
      </c>
      <c r="F211">
        <v>50391.780069404063</v>
      </c>
      <c r="G211">
        <v>10000</v>
      </c>
      <c r="H211">
        <v>477331.33279040008</v>
      </c>
      <c r="I211">
        <v>51.451976580208687</v>
      </c>
    </row>
    <row r="212" spans="1:9" x14ac:dyDescent="0.2">
      <c r="A212">
        <v>202</v>
      </c>
      <c r="B212">
        <v>1155307.9656430213</v>
      </c>
      <c r="C212">
        <v>125399.58650946812</v>
      </c>
      <c r="D212">
        <v>69675.547414398156</v>
      </c>
      <c r="E212">
        <v>91171.649806755624</v>
      </c>
      <c r="F212">
        <v>42311.883448160006</v>
      </c>
      <c r="G212">
        <v>10000</v>
      </c>
      <c r="H212">
        <v>318558.66717878194</v>
      </c>
      <c r="I212">
        <v>38.564056553132687</v>
      </c>
    </row>
    <row r="213" spans="1:9" x14ac:dyDescent="0.2">
      <c r="A213">
        <v>203</v>
      </c>
      <c r="B213">
        <v>973181.20476023504</v>
      </c>
      <c r="C213">
        <v>87683.246069527595</v>
      </c>
      <c r="D213">
        <v>89261.665229892707</v>
      </c>
      <c r="E213">
        <v>61445.604837970895</v>
      </c>
      <c r="F213">
        <v>40253.926488782599</v>
      </c>
      <c r="G213">
        <v>10000</v>
      </c>
      <c r="H213">
        <v>268644.44262617378</v>
      </c>
      <c r="I213">
        <v>33.123077008124618</v>
      </c>
    </row>
    <row r="214" spans="1:9" x14ac:dyDescent="0.2">
      <c r="A214">
        <v>204</v>
      </c>
      <c r="B214">
        <v>1405398.2915978068</v>
      </c>
      <c r="C214">
        <v>117336.68192556678</v>
      </c>
      <c r="D214">
        <v>135094.31048133638</v>
      </c>
      <c r="E214">
        <v>101632.13380552665</v>
      </c>
      <c r="F214">
        <v>43036.070801921072</v>
      </c>
      <c r="G214">
        <v>10000</v>
      </c>
      <c r="H214">
        <v>387099.19701435091</v>
      </c>
      <c r="I214">
        <v>28.259564919446134</v>
      </c>
    </row>
    <row r="215" spans="1:9" x14ac:dyDescent="0.2">
      <c r="A215">
        <v>205</v>
      </c>
      <c r="B215">
        <v>1491996.5671975003</v>
      </c>
      <c r="C215">
        <v>131940.32109006311</v>
      </c>
      <c r="D215">
        <v>58437.650250301362</v>
      </c>
      <c r="E215">
        <v>181864.03073546043</v>
      </c>
      <c r="F215">
        <v>48590.586743224187</v>
      </c>
      <c r="G215">
        <v>10000</v>
      </c>
      <c r="H215">
        <v>410832.58881904907</v>
      </c>
      <c r="I215">
        <v>29.950459520341965</v>
      </c>
    </row>
    <row r="216" spans="1:9" x14ac:dyDescent="0.2">
      <c r="A216">
        <v>206</v>
      </c>
      <c r="B216">
        <v>940553.20730952825</v>
      </c>
      <c r="C216">
        <v>94355.080917287298</v>
      </c>
      <c r="D216">
        <v>87825.413628743525</v>
      </c>
      <c r="E216">
        <v>48185.872926185257</v>
      </c>
      <c r="F216">
        <v>39335.945048735899</v>
      </c>
      <c r="G216">
        <v>10000</v>
      </c>
      <c r="H216">
        <v>259702.31252095196</v>
      </c>
      <c r="I216">
        <v>31.780392561869157</v>
      </c>
    </row>
    <row r="217" spans="1:9" x14ac:dyDescent="0.2">
      <c r="A217">
        <v>207</v>
      </c>
      <c r="B217">
        <v>954374.72969440778</v>
      </c>
      <c r="C217">
        <v>113752.40281181544</v>
      </c>
      <c r="D217">
        <v>57797.684150983172</v>
      </c>
      <c r="E217">
        <v>61670.685802847336</v>
      </c>
      <c r="F217">
        <v>40269.509017120203</v>
      </c>
      <c r="G217">
        <v>10000</v>
      </c>
      <c r="H217">
        <v>263490.28178276611</v>
      </c>
      <c r="I217">
        <v>34.863497462924698</v>
      </c>
    </row>
    <row r="218" spans="1:9" x14ac:dyDescent="0.2">
      <c r="A218">
        <v>208</v>
      </c>
      <c r="B218">
        <v>1318120.537014452</v>
      </c>
      <c r="C218">
        <v>109305.210627269</v>
      </c>
      <c r="D218">
        <v>136467.94705737501</v>
      </c>
      <c r="E218">
        <v>85488.02563416565</v>
      </c>
      <c r="F218">
        <v>41918.401774673002</v>
      </c>
      <c r="G218">
        <v>10000</v>
      </c>
      <c r="H218">
        <v>363179.58509348269</v>
      </c>
      <c r="I218">
        <v>34.260208538647987</v>
      </c>
    </row>
    <row r="219" spans="1:9" x14ac:dyDescent="0.2">
      <c r="A219">
        <v>209</v>
      </c>
      <c r="B219">
        <v>1753750.3255333058</v>
      </c>
      <c r="C219">
        <v>97310.316999818067</v>
      </c>
      <c r="D219">
        <v>161162.87894363486</v>
      </c>
      <c r="E219">
        <v>185270.05099233461</v>
      </c>
      <c r="F219">
        <v>48826.388145623161</v>
      </c>
      <c r="G219">
        <v>10000</v>
      </c>
      <c r="H219">
        <v>482569.6350814107</v>
      </c>
      <c r="I219">
        <v>35.84160312752401</v>
      </c>
    </row>
    <row r="220" spans="1:9" x14ac:dyDescent="0.2">
      <c r="A220">
        <v>210</v>
      </c>
      <c r="B220">
        <v>1314122.3862857458</v>
      </c>
      <c r="C220">
        <v>106860.03303128037</v>
      </c>
      <c r="D220">
        <v>158277.74468431273</v>
      </c>
      <c r="E220">
        <v>66352.431897148723</v>
      </c>
      <c r="F220">
        <v>40593.629900571832</v>
      </c>
      <c r="G220">
        <v>10000</v>
      </c>
      <c r="H220">
        <v>362083.83951331367</v>
      </c>
      <c r="I220">
        <v>39.166526326345732</v>
      </c>
    </row>
    <row r="221" spans="1:9" x14ac:dyDescent="0.2">
      <c r="A221">
        <v>211</v>
      </c>
      <c r="B221">
        <v>1112837.048744492</v>
      </c>
      <c r="C221">
        <v>119754.52007076921</v>
      </c>
      <c r="D221">
        <v>45796.169360785578</v>
      </c>
      <c r="E221">
        <v>107898.37886445699</v>
      </c>
      <c r="F221">
        <v>43469.887767539331</v>
      </c>
      <c r="G221">
        <v>10000</v>
      </c>
      <c r="H221">
        <v>306918.95606355113</v>
      </c>
      <c r="I221">
        <v>26.324758244314452</v>
      </c>
    </row>
    <row r="222" spans="1:9" x14ac:dyDescent="0.2">
      <c r="A222">
        <v>212</v>
      </c>
      <c r="B222">
        <v>1541245.0994667832</v>
      </c>
      <c r="C222">
        <v>125381.05050268349</v>
      </c>
      <c r="D222">
        <v>149123.64629903843</v>
      </c>
      <c r="E222">
        <v>115807.64505682717</v>
      </c>
      <c r="F222">
        <v>44017.452350088031</v>
      </c>
      <c r="G222">
        <v>10000</v>
      </c>
      <c r="H222">
        <v>424329.79420863715</v>
      </c>
      <c r="I222">
        <v>34.830807762381582</v>
      </c>
    </row>
    <row r="223" spans="1:9" x14ac:dyDescent="0.2">
      <c r="A223">
        <v>213</v>
      </c>
      <c r="B223">
        <v>1436453.1003940934</v>
      </c>
      <c r="C223">
        <v>107350.60455834997</v>
      </c>
      <c r="D223">
        <v>76585.775532761443</v>
      </c>
      <c r="E223">
        <v>173651.74984968771</v>
      </c>
      <c r="F223">
        <v>48022.044220362994</v>
      </c>
      <c r="G223">
        <v>10000</v>
      </c>
      <c r="H223">
        <v>395610.17416116211</v>
      </c>
      <c r="I223">
        <v>46.154572133272069</v>
      </c>
    </row>
    <row r="224" spans="1:9" x14ac:dyDescent="0.2">
      <c r="A224">
        <v>214</v>
      </c>
      <c r="B224">
        <v>1028409.8960385791</v>
      </c>
      <c r="C224">
        <v>118695.41808822169</v>
      </c>
      <c r="D224">
        <v>85027.772995755411</v>
      </c>
      <c r="E224">
        <v>50557.278559231898</v>
      </c>
      <c r="F224">
        <v>39500.119284869899</v>
      </c>
      <c r="G224">
        <v>10000</v>
      </c>
      <c r="H224">
        <v>283780.58892807888</v>
      </c>
      <c r="I224">
        <v>29.071335448701866</v>
      </c>
    </row>
    <row r="225" spans="1:9" x14ac:dyDescent="0.2">
      <c r="A225">
        <v>215</v>
      </c>
      <c r="B225">
        <v>1220520.2834732076</v>
      </c>
      <c r="C225">
        <v>105366.82111172823</v>
      </c>
      <c r="D225">
        <v>67321.097333685495</v>
      </c>
      <c r="E225">
        <v>128824.42465567925</v>
      </c>
      <c r="F225">
        <v>44918.614014623949</v>
      </c>
      <c r="G225">
        <v>10000</v>
      </c>
      <c r="H225">
        <v>336430.95711571688</v>
      </c>
      <c r="I225">
        <v>31.024311184551657</v>
      </c>
    </row>
    <row r="226" spans="1:9" x14ac:dyDescent="0.2">
      <c r="A226">
        <v>216</v>
      </c>
      <c r="B226">
        <v>1607549.2240601636</v>
      </c>
      <c r="C226">
        <v>112300.9719045292</v>
      </c>
      <c r="D226">
        <v>148362.82411021009</v>
      </c>
      <c r="E226">
        <v>145747.31345254995</v>
      </c>
      <c r="F226">
        <v>46090.198623638076</v>
      </c>
      <c r="G226">
        <v>10000</v>
      </c>
      <c r="H226">
        <v>442501.30809092731</v>
      </c>
      <c r="I226">
        <v>33.686343617636766</v>
      </c>
    </row>
    <row r="227" spans="1:9" x14ac:dyDescent="0.2">
      <c r="A227">
        <v>217</v>
      </c>
      <c r="B227">
        <v>1270220.1041204829</v>
      </c>
      <c r="C227">
        <v>151289.45750150297</v>
      </c>
      <c r="D227">
        <v>120749.22602600548</v>
      </c>
      <c r="E227">
        <v>48645.4018778057</v>
      </c>
      <c r="F227">
        <v>39367.758591540398</v>
      </c>
      <c r="G227">
        <v>10000</v>
      </c>
      <c r="H227">
        <v>350051.84399685456</v>
      </c>
      <c r="I227">
        <v>28.019578207792748</v>
      </c>
    </row>
    <row r="228" spans="1:9" x14ac:dyDescent="0.2">
      <c r="A228">
        <v>218</v>
      </c>
      <c r="B228">
        <v>1329671.3097534643</v>
      </c>
      <c r="C228">
        <v>116434.65364402333</v>
      </c>
      <c r="D228">
        <v>139485.41936083461</v>
      </c>
      <c r="E228">
        <v>78958.77587351948</v>
      </c>
      <c r="F228">
        <v>41466.37679124366</v>
      </c>
      <c r="G228">
        <v>10000</v>
      </c>
      <c r="H228">
        <v>366345.22566962108</v>
      </c>
      <c r="I228">
        <v>44.073516610731332</v>
      </c>
    </row>
    <row r="229" spans="1:9" x14ac:dyDescent="0.2">
      <c r="A229">
        <v>219</v>
      </c>
      <c r="B229">
        <v>1378036.2915949635</v>
      </c>
      <c r="C229">
        <v>155439.1864290832</v>
      </c>
      <c r="D229">
        <v>89050.598089320527</v>
      </c>
      <c r="E229">
        <v>102045.78947038521</v>
      </c>
      <c r="F229">
        <v>43064.708501795896</v>
      </c>
      <c r="G229">
        <v>10000</v>
      </c>
      <c r="H229">
        <v>379600.28249058482</v>
      </c>
      <c r="I229">
        <v>35.432572279131882</v>
      </c>
    </row>
    <row r="230" spans="1:9" x14ac:dyDescent="0.2">
      <c r="A230">
        <v>220</v>
      </c>
      <c r="B230">
        <v>1136616.1154896067</v>
      </c>
      <c r="C230">
        <v>109463.07369703527</v>
      </c>
      <c r="D230">
        <v>68614.953964430941</v>
      </c>
      <c r="E230">
        <v>102277.16623917905</v>
      </c>
      <c r="F230">
        <v>43080.726893481624</v>
      </c>
      <c r="G230">
        <v>10000</v>
      </c>
      <c r="H230">
        <v>313435.92079412687</v>
      </c>
      <c r="I230">
        <v>46.264971236576791</v>
      </c>
    </row>
    <row r="231" spans="1:9" x14ac:dyDescent="0.2">
      <c r="A231">
        <v>221</v>
      </c>
      <c r="B231">
        <v>1247712.4232343561</v>
      </c>
      <c r="C231">
        <v>97228.644134136674</v>
      </c>
      <c r="D231">
        <v>123854.25322879387</v>
      </c>
      <c r="E231">
        <v>90532.768638809954</v>
      </c>
      <c r="F231">
        <v>42267.653213456069</v>
      </c>
      <c r="G231">
        <v>10000</v>
      </c>
      <c r="H231">
        <v>343883.31921519653</v>
      </c>
      <c r="I231">
        <v>26.522901645617154</v>
      </c>
    </row>
    <row r="232" spans="1:9" x14ac:dyDescent="0.2">
      <c r="A232">
        <v>222</v>
      </c>
      <c r="B232">
        <v>1264815.7165757811</v>
      </c>
      <c r="C232">
        <v>130801.85117563455</v>
      </c>
      <c r="D232">
        <v>47465.434814295193</v>
      </c>
      <c r="E232">
        <v>134960.0282364047</v>
      </c>
      <c r="F232">
        <v>45343.386570212635</v>
      </c>
      <c r="G232">
        <v>10000</v>
      </c>
      <c r="H232">
        <v>348570.70079654711</v>
      </c>
      <c r="I232">
        <v>26.433919639443388</v>
      </c>
    </row>
    <row r="233" spans="1:9" x14ac:dyDescent="0.2">
      <c r="A233">
        <v>223</v>
      </c>
      <c r="B233">
        <v>1015446.7861049715</v>
      </c>
      <c r="C233">
        <v>123579.351673664</v>
      </c>
      <c r="D233">
        <v>74027.447666406719</v>
      </c>
      <c r="E233">
        <v>52954.966441715835</v>
      </c>
      <c r="F233">
        <v>39666.113061349555</v>
      </c>
      <c r="G233">
        <v>10000</v>
      </c>
      <c r="H233">
        <v>280227.87884313613</v>
      </c>
      <c r="I233">
        <v>24.335622616783393</v>
      </c>
    </row>
    <row r="234" spans="1:9" x14ac:dyDescent="0.2">
      <c r="A234">
        <v>224</v>
      </c>
      <c r="B234">
        <v>1496129.1531908687</v>
      </c>
      <c r="C234">
        <v>138737.36120565597</v>
      </c>
      <c r="D234">
        <v>159011.06617840254</v>
      </c>
      <c r="E234">
        <v>82504.874811929651</v>
      </c>
      <c r="F234">
        <v>41711.875948518202</v>
      </c>
      <c r="G234">
        <v>10000</v>
      </c>
      <c r="H234">
        <v>411965.17814450635</v>
      </c>
      <c r="I234">
        <v>33.916047280863161</v>
      </c>
    </row>
    <row r="235" spans="1:9" x14ac:dyDescent="0.2">
      <c r="A235">
        <v>225</v>
      </c>
      <c r="B235">
        <v>1726318.5131064388</v>
      </c>
      <c r="C235">
        <v>109373.37090680252</v>
      </c>
      <c r="D235">
        <v>167282.68249340972</v>
      </c>
      <c r="E235">
        <v>161233.23337595366</v>
      </c>
      <c r="F235">
        <v>47162.300772181407</v>
      </c>
      <c r="G235">
        <v>10000</v>
      </c>
      <c r="H235">
        <v>475051.58754834736</v>
      </c>
      <c r="I235">
        <v>43.50288569121949</v>
      </c>
    </row>
    <row r="236" spans="1:9" x14ac:dyDescent="0.2">
      <c r="A236">
        <v>226</v>
      </c>
      <c r="B236">
        <v>1029423.9490379491</v>
      </c>
      <c r="C236">
        <v>107207.20214576214</v>
      </c>
      <c r="D236">
        <v>86799.303126589817</v>
      </c>
      <c r="E236">
        <v>59904.746483929819</v>
      </c>
      <c r="F236">
        <v>40147.251679656678</v>
      </c>
      <c r="G236">
        <v>10000</v>
      </c>
      <c r="H236">
        <v>284058.50343593844</v>
      </c>
      <c r="I236">
        <v>32.115632765886424</v>
      </c>
    </row>
    <row r="237" spans="1:9" x14ac:dyDescent="0.2">
      <c r="A237">
        <v>227</v>
      </c>
      <c r="B237">
        <v>1732978.3718242883</v>
      </c>
      <c r="C237">
        <v>159530.11612613438</v>
      </c>
      <c r="D237">
        <v>106184.11168930268</v>
      </c>
      <c r="E237">
        <v>173173.63714403781</v>
      </c>
      <c r="F237">
        <v>47988.944109971846</v>
      </c>
      <c r="G237">
        <v>10000</v>
      </c>
      <c r="H237">
        <v>476876.80906944675</v>
      </c>
      <c r="I237">
        <v>30.607513964418082</v>
      </c>
    </row>
    <row r="238" spans="1:9" x14ac:dyDescent="0.2">
      <c r="A238">
        <v>228</v>
      </c>
      <c r="B238">
        <v>1039493.031313956</v>
      </c>
      <c r="C238">
        <v>120548.50727948779</v>
      </c>
      <c r="D238">
        <v>26080.278613102873</v>
      </c>
      <c r="E238">
        <v>106795.73084222549</v>
      </c>
      <c r="F238">
        <v>43393.550596769455</v>
      </c>
      <c r="G238">
        <v>10000</v>
      </c>
      <c r="H238">
        <v>286818.06733158563</v>
      </c>
      <c r="I238">
        <v>39.877876404086329</v>
      </c>
    </row>
    <row r="239" spans="1:9" x14ac:dyDescent="0.2">
      <c r="A239">
        <v>229</v>
      </c>
      <c r="B239">
        <v>1123792.5637111505</v>
      </c>
      <c r="C239">
        <v>126122.34249740043</v>
      </c>
      <c r="D239">
        <v>128473.85384044475</v>
      </c>
      <c r="E239">
        <v>27426.504133405429</v>
      </c>
      <c r="F239">
        <v>37898.757978466536</v>
      </c>
      <c r="G239">
        <v>10000</v>
      </c>
      <c r="H239">
        <v>309921.45844971715</v>
      </c>
      <c r="I239">
        <v>26.238296155463097</v>
      </c>
    </row>
    <row r="240" spans="1:9" x14ac:dyDescent="0.2">
      <c r="A240">
        <v>230</v>
      </c>
      <c r="B240">
        <v>1293509.2546024136</v>
      </c>
      <c r="C240">
        <v>108900.10840120626</v>
      </c>
      <c r="D240">
        <v>57201.983647415618</v>
      </c>
      <c r="E240">
        <v>153692.21821735322</v>
      </c>
      <c r="F240">
        <v>46640.230491970608</v>
      </c>
      <c r="G240">
        <v>10000</v>
      </c>
      <c r="H240">
        <v>356434.54075794568</v>
      </c>
      <c r="I240">
        <v>27.824399200638872</v>
      </c>
    </row>
    <row r="241" spans="1:9" x14ac:dyDescent="0.2">
      <c r="A241">
        <v>231</v>
      </c>
      <c r="B241">
        <v>883093.48746588384</v>
      </c>
      <c r="C241">
        <v>90009.824108558329</v>
      </c>
      <c r="D241">
        <v>97384.250203101736</v>
      </c>
      <c r="E241">
        <v>28581.902226910926</v>
      </c>
      <c r="F241">
        <v>37978.747077247681</v>
      </c>
      <c r="G241">
        <v>10000</v>
      </c>
      <c r="H241">
        <v>243954.72361581869</v>
      </c>
      <c r="I241">
        <v>34.544640615049957</v>
      </c>
    </row>
    <row r="242" spans="1:9" x14ac:dyDescent="0.2">
      <c r="A242">
        <v>232</v>
      </c>
      <c r="B242">
        <v>1589276.2977851005</v>
      </c>
      <c r="C242">
        <v>147446.98554399109</v>
      </c>
      <c r="D242">
        <v>66071.289770114992</v>
      </c>
      <c r="E242">
        <v>185156.56644548787</v>
      </c>
      <c r="F242">
        <v>48818.531523149162</v>
      </c>
      <c r="G242">
        <v>10000</v>
      </c>
      <c r="H242">
        <v>437493.37328274309</v>
      </c>
      <c r="I242">
        <v>27.923337433515066</v>
      </c>
    </row>
    <row r="243" spans="1:9" x14ac:dyDescent="0.2">
      <c r="A243">
        <v>233</v>
      </c>
      <c r="B243">
        <v>1486253.7472710167</v>
      </c>
      <c r="C243">
        <v>94033.235525447657</v>
      </c>
      <c r="D243">
        <v>66878.341476272224</v>
      </c>
      <c r="E243">
        <v>207950.54088232969</v>
      </c>
      <c r="F243">
        <v>50396.575907238206</v>
      </c>
      <c r="G243">
        <v>10000</v>
      </c>
      <c r="H243">
        <v>409258.69379128772</v>
      </c>
      <c r="I243">
        <v>47.111249344992693</v>
      </c>
    </row>
    <row r="244" spans="1:9" x14ac:dyDescent="0.2">
      <c r="A244">
        <v>234</v>
      </c>
      <c r="B244">
        <v>1534390.6455351869</v>
      </c>
      <c r="C244">
        <v>83773.330873529994</v>
      </c>
      <c r="D244">
        <v>115877.83106736763</v>
      </c>
      <c r="E244">
        <v>184057.62819642277</v>
      </c>
      <c r="F244">
        <v>48742.451182829274</v>
      </c>
      <c r="G244">
        <v>10000</v>
      </c>
      <c r="H244">
        <v>422451.24132014968</v>
      </c>
      <c r="I244">
        <v>26.320862874519353</v>
      </c>
    </row>
    <row r="245" spans="1:9" x14ac:dyDescent="0.2">
      <c r="A245">
        <v>235</v>
      </c>
      <c r="B245">
        <v>1107409.3537937002</v>
      </c>
      <c r="C245">
        <v>137493.74263450352</v>
      </c>
      <c r="D245">
        <v>98580.384498061248</v>
      </c>
      <c r="E245">
        <v>40549.990963991382</v>
      </c>
      <c r="F245">
        <v>38807.307066737863</v>
      </c>
      <c r="G245">
        <v>10000</v>
      </c>
      <c r="H245">
        <v>305431.42516329401</v>
      </c>
      <c r="I245">
        <v>35.04430880749679</v>
      </c>
    </row>
    <row r="246" spans="1:9" x14ac:dyDescent="0.2">
      <c r="A246">
        <v>236</v>
      </c>
      <c r="B246">
        <v>1704226.434563691</v>
      </c>
      <c r="C246">
        <v>121823.40066877381</v>
      </c>
      <c r="D246">
        <v>131484.62958657293</v>
      </c>
      <c r="E246">
        <v>177406.91648268906</v>
      </c>
      <c r="F246">
        <v>48282.017294955396</v>
      </c>
      <c r="G246">
        <v>10000</v>
      </c>
      <c r="H246">
        <v>468996.96403299115</v>
      </c>
      <c r="I246">
        <v>33.374862835805523</v>
      </c>
    </row>
    <row r="247" spans="1:9" x14ac:dyDescent="0.2">
      <c r="A247">
        <v>237</v>
      </c>
      <c r="B247">
        <v>1658463.826491629</v>
      </c>
      <c r="C247">
        <v>164190.56392836297</v>
      </c>
      <c r="D247">
        <v>150020.37173636048</v>
      </c>
      <c r="E247">
        <v>108717.58418598093</v>
      </c>
      <c r="F247">
        <v>43526.601982106367</v>
      </c>
      <c r="G247">
        <v>10000</v>
      </c>
      <c r="H247">
        <v>456455.12183281069</v>
      </c>
      <c r="I247">
        <v>27.365190160153944</v>
      </c>
    </row>
    <row r="248" spans="1:9" x14ac:dyDescent="0.2">
      <c r="A248">
        <v>238</v>
      </c>
      <c r="B248">
        <v>857319.89125635242</v>
      </c>
      <c r="C248">
        <v>99234.283192618444</v>
      </c>
      <c r="D248">
        <v>42091.396503497919</v>
      </c>
      <c r="E248">
        <v>65061.214346192901</v>
      </c>
      <c r="F248">
        <v>40504.237916274891</v>
      </c>
      <c r="G248">
        <v>10000</v>
      </c>
      <c r="H248">
        <v>236891.13195858416</v>
      </c>
      <c r="I248">
        <v>26.406460624424792</v>
      </c>
    </row>
    <row r="249" spans="1:9" x14ac:dyDescent="0.2">
      <c r="A249">
        <v>239</v>
      </c>
      <c r="B249">
        <v>1031223.0349163359</v>
      </c>
      <c r="C249">
        <v>111673.79175410111</v>
      </c>
      <c r="D249">
        <v>88744.770344032571</v>
      </c>
      <c r="E249">
        <v>54368.996911079121</v>
      </c>
      <c r="F249">
        <v>39764.007478459323</v>
      </c>
      <c r="G249">
        <v>10000</v>
      </c>
      <c r="H249">
        <v>284551.5664876721</v>
      </c>
      <c r="I249">
        <v>50.499120729931143</v>
      </c>
    </row>
    <row r="250" spans="1:9" x14ac:dyDescent="0.2">
      <c r="A250">
        <v>240</v>
      </c>
      <c r="B250">
        <v>1669590.7110979923</v>
      </c>
      <c r="C250">
        <v>123935.45980687602</v>
      </c>
      <c r="D250">
        <v>95954.591117771779</v>
      </c>
      <c r="E250">
        <v>199783.38216229176</v>
      </c>
      <c r="F250">
        <v>49831.157226620198</v>
      </c>
      <c r="G250">
        <v>10000</v>
      </c>
      <c r="H250">
        <v>459504.59031355975</v>
      </c>
      <c r="I250">
        <v>54.684229772038726</v>
      </c>
    </row>
    <row r="251" spans="1:9" x14ac:dyDescent="0.2">
      <c r="A251">
        <v>241</v>
      </c>
      <c r="B251">
        <v>1482352.4712285625</v>
      </c>
      <c r="C251">
        <v>104606.19021087751</v>
      </c>
      <c r="D251">
        <v>146768.92617603156</v>
      </c>
      <c r="E251">
        <v>122344.38566996946</v>
      </c>
      <c r="F251">
        <v>44469.995930997888</v>
      </c>
      <c r="G251">
        <v>10000</v>
      </c>
      <c r="H251">
        <v>408189.49798787641</v>
      </c>
      <c r="I251">
        <v>33.285080915078566</v>
      </c>
    </row>
    <row r="252" spans="1:9" x14ac:dyDescent="0.2">
      <c r="A252">
        <v>242</v>
      </c>
      <c r="B252">
        <v>1519887.9482008573</v>
      </c>
      <c r="C252">
        <v>164173.09961748886</v>
      </c>
      <c r="D252">
        <v>116829.33596814999</v>
      </c>
      <c r="E252">
        <v>104256.40073478587</v>
      </c>
      <c r="F252">
        <v>43217.750820100562</v>
      </c>
      <c r="G252">
        <v>10000</v>
      </c>
      <c r="H252">
        <v>418476.58714052528</v>
      </c>
      <c r="I252">
        <v>38.568398299295708</v>
      </c>
    </row>
    <row r="253" spans="1:9" x14ac:dyDescent="0.2">
      <c r="A253">
        <v>243</v>
      </c>
      <c r="B253">
        <v>1286940.3602539089</v>
      </c>
      <c r="C253">
        <v>101516.74717812634</v>
      </c>
      <c r="D253">
        <v>118732.13274651626</v>
      </c>
      <c r="E253">
        <v>101367.61156543132</v>
      </c>
      <c r="F253">
        <v>43017.757723760631</v>
      </c>
      <c r="G253">
        <v>10000</v>
      </c>
      <c r="H253">
        <v>354634.24921383458</v>
      </c>
      <c r="I253">
        <v>37.91343201754286</v>
      </c>
    </row>
    <row r="254" spans="1:9" x14ac:dyDescent="0.2">
      <c r="A254">
        <v>244</v>
      </c>
      <c r="B254">
        <v>1691798.7208998064</v>
      </c>
      <c r="C254">
        <v>146999.81843741736</v>
      </c>
      <c r="D254">
        <v>120219.94862084833</v>
      </c>
      <c r="E254">
        <v>161210.49282450369</v>
      </c>
      <c r="F254">
        <v>47160.72642631179</v>
      </c>
      <c r="G254">
        <v>10000</v>
      </c>
      <c r="H254">
        <v>465590.98630908114</v>
      </c>
      <c r="I254">
        <v>32.359571189313911</v>
      </c>
    </row>
    <row r="255" spans="1:9" x14ac:dyDescent="0.2">
      <c r="A255">
        <v>245</v>
      </c>
      <c r="B255">
        <v>850046.69584623468</v>
      </c>
      <c r="C255">
        <v>100530.0561172553</v>
      </c>
      <c r="D255">
        <v>56938.406176388991</v>
      </c>
      <c r="E255">
        <v>48099.396939394006</v>
      </c>
      <c r="F255">
        <v>39329.95824965035</v>
      </c>
      <c r="G255">
        <v>10000</v>
      </c>
      <c r="H255">
        <v>234897.81748268864</v>
      </c>
      <c r="I255">
        <v>43.098391022179854</v>
      </c>
    </row>
    <row r="256" spans="1:9" x14ac:dyDescent="0.2">
      <c r="A256">
        <v>246</v>
      </c>
      <c r="B256">
        <v>1145007.716626137</v>
      </c>
      <c r="C256">
        <v>123211.27739714451</v>
      </c>
      <c r="D256">
        <v>57423.850282360312</v>
      </c>
      <c r="E256">
        <v>102036.55232318104</v>
      </c>
      <c r="F256">
        <v>43064.069006989455</v>
      </c>
      <c r="G256">
        <v>10000</v>
      </c>
      <c r="H256">
        <v>315735.74900967535</v>
      </c>
      <c r="I256">
        <v>41.208695157681888</v>
      </c>
    </row>
    <row r="257" spans="1:9" x14ac:dyDescent="0.2">
      <c r="A257">
        <v>247</v>
      </c>
      <c r="B257">
        <v>1424351.9828334579</v>
      </c>
      <c r="C257">
        <v>139809.00415465617</v>
      </c>
      <c r="D257">
        <v>118901.65141908982</v>
      </c>
      <c r="E257">
        <v>100617.23988842845</v>
      </c>
      <c r="F257">
        <v>42965.808915352733</v>
      </c>
      <c r="G257">
        <v>10000</v>
      </c>
      <c r="H257">
        <v>392293.70437752717</v>
      </c>
      <c r="I257">
        <v>26.655539248583608</v>
      </c>
    </row>
    <row r="258" spans="1:9" x14ac:dyDescent="0.2">
      <c r="A258">
        <v>248</v>
      </c>
      <c r="B258">
        <v>939306.54574998352</v>
      </c>
      <c r="C258">
        <v>93902.364383192471</v>
      </c>
      <c r="D258">
        <v>79608.586745228458</v>
      </c>
      <c r="E258">
        <v>55974.537194439392</v>
      </c>
      <c r="F258">
        <v>39875.160267307343</v>
      </c>
      <c r="G258">
        <v>10000</v>
      </c>
      <c r="H258">
        <v>259360.64859016769</v>
      </c>
      <c r="I258">
        <v>51.24643512959836</v>
      </c>
    </row>
    <row r="259" spans="1:9" x14ac:dyDescent="0.2">
      <c r="A259">
        <v>249</v>
      </c>
      <c r="B259">
        <v>1111173.3345353696</v>
      </c>
      <c r="C259">
        <v>88933.690967832066</v>
      </c>
      <c r="D259">
        <v>66864.186801305143</v>
      </c>
      <c r="E259">
        <v>116593.27360323083</v>
      </c>
      <c r="F259">
        <v>44071.842018685216</v>
      </c>
      <c r="G259">
        <v>10000</v>
      </c>
      <c r="H259">
        <v>306462.99339105329</v>
      </c>
      <c r="I259">
        <v>46.79621750996084</v>
      </c>
    </row>
    <row r="260" spans="1:9" x14ac:dyDescent="0.2">
      <c r="A260">
        <v>250</v>
      </c>
      <c r="B260">
        <v>1696873.2732131411</v>
      </c>
      <c r="C260">
        <v>104324.32959009433</v>
      </c>
      <c r="D260">
        <v>128905.04332989147</v>
      </c>
      <c r="E260">
        <v>194300.76920915669</v>
      </c>
      <c r="F260">
        <v>49451.591714480077</v>
      </c>
      <c r="G260">
        <v>10000</v>
      </c>
      <c r="H260">
        <v>466981.73384362255</v>
      </c>
      <c r="I260">
        <v>50.944241830227</v>
      </c>
    </row>
    <row r="261" spans="1:9" x14ac:dyDescent="0.2">
      <c r="A261">
        <v>251</v>
      </c>
      <c r="B261">
        <v>1750203.8931747472</v>
      </c>
      <c r="C261">
        <v>96399.610701543221</v>
      </c>
      <c r="D261">
        <v>147585.83072828027</v>
      </c>
      <c r="E261">
        <v>197910.73498585314</v>
      </c>
      <c r="F261">
        <v>49701.512422097527</v>
      </c>
      <c r="G261">
        <v>10000</v>
      </c>
      <c r="H261">
        <v>481597.6888377741</v>
      </c>
      <c r="I261">
        <v>47.651762701271707</v>
      </c>
    </row>
    <row r="262" spans="1:9" x14ac:dyDescent="0.2">
      <c r="A262">
        <v>252</v>
      </c>
      <c r="B262">
        <v>1133488.8078638362</v>
      </c>
      <c r="C262">
        <v>114597.24996546046</v>
      </c>
      <c r="D262">
        <v>54711.829794064884</v>
      </c>
      <c r="E262">
        <v>109676.75527949112</v>
      </c>
      <c r="F262">
        <v>43593.006134734002</v>
      </c>
      <c r="G262">
        <v>10000</v>
      </c>
      <c r="H262">
        <v>312578.84117375046</v>
      </c>
      <c r="I262">
        <v>33.295403208942943</v>
      </c>
    </row>
    <row r="263" spans="1:9" x14ac:dyDescent="0.2">
      <c r="A263">
        <v>253</v>
      </c>
      <c r="B263">
        <v>1637138.6846970897</v>
      </c>
      <c r="C263">
        <v>125665.97697834489</v>
      </c>
      <c r="D263">
        <v>123882.77103076813</v>
      </c>
      <c r="E263">
        <v>163726.99365588292</v>
      </c>
      <c r="F263">
        <v>47334.945714638045</v>
      </c>
      <c r="G263">
        <v>10000</v>
      </c>
      <c r="H263">
        <v>450610.68737963395</v>
      </c>
      <c r="I263">
        <v>33.70022484708457</v>
      </c>
    </row>
    <row r="264" spans="1:9" x14ac:dyDescent="0.2">
      <c r="A264">
        <v>254</v>
      </c>
      <c r="B264">
        <v>1450650.9987723185</v>
      </c>
      <c r="C264">
        <v>113650.86048018526</v>
      </c>
      <c r="D264">
        <v>142809.38295615625</v>
      </c>
      <c r="E264">
        <v>109462.85322678712</v>
      </c>
      <c r="F264">
        <v>43578.197531085265</v>
      </c>
      <c r="G264">
        <v>10000</v>
      </c>
      <c r="H264">
        <v>399501.29419421393</v>
      </c>
      <c r="I264">
        <v>41.820259047567674</v>
      </c>
    </row>
    <row r="265" spans="1:9" x14ac:dyDescent="0.2">
      <c r="A265">
        <v>255</v>
      </c>
      <c r="B265">
        <v>1576599.6711007589</v>
      </c>
      <c r="C265">
        <v>127106.07763071085</v>
      </c>
      <c r="D265">
        <v>81287.096867565488</v>
      </c>
      <c r="E265">
        <v>186700.57851994902</v>
      </c>
      <c r="F265">
        <v>48925.424666765706</v>
      </c>
      <c r="G265">
        <v>10000</v>
      </c>
      <c r="H265">
        <v>434019.17768499104</v>
      </c>
      <c r="I265">
        <v>27.043767203114164</v>
      </c>
    </row>
    <row r="266" spans="1:9" x14ac:dyDescent="0.2">
      <c r="A266">
        <v>256</v>
      </c>
      <c r="B266">
        <v>1526050.7674489487</v>
      </c>
      <c r="C266">
        <v>99222.605254913607</v>
      </c>
      <c r="D266">
        <v>80782.032335806129</v>
      </c>
      <c r="E266">
        <v>200294.41450457164</v>
      </c>
      <c r="F266">
        <v>49866.536388778033</v>
      </c>
      <c r="G266">
        <v>10000</v>
      </c>
      <c r="H266">
        <v>420165.58848406939</v>
      </c>
      <c r="I266">
        <v>45.666673379699752</v>
      </c>
    </row>
    <row r="267" spans="1:9" x14ac:dyDescent="0.2">
      <c r="A267">
        <v>257</v>
      </c>
      <c r="B267">
        <v>1292534.0915381203</v>
      </c>
      <c r="C267">
        <v>115897.77584218093</v>
      </c>
      <c r="D267">
        <v>71819.553014527817</v>
      </c>
      <c r="E267">
        <v>133226.57726357609</v>
      </c>
      <c r="F267">
        <v>45223.378425939889</v>
      </c>
      <c r="G267">
        <v>10000</v>
      </c>
      <c r="H267">
        <v>356167.28454622469</v>
      </c>
      <c r="I267">
        <v>43.095931072151174</v>
      </c>
    </row>
    <row r="268" spans="1:9" x14ac:dyDescent="0.2">
      <c r="A268">
        <v>258</v>
      </c>
      <c r="B268">
        <v>1334799.0742628328</v>
      </c>
      <c r="C268">
        <v>168139.90896147845</v>
      </c>
      <c r="D268">
        <v>67052.06669425976</v>
      </c>
      <c r="E268">
        <v>99659.104577069607</v>
      </c>
      <c r="F268">
        <v>42899.476470720205</v>
      </c>
      <c r="G268">
        <v>10000</v>
      </c>
      <c r="H268">
        <v>367750.55670352798</v>
      </c>
      <c r="I268">
        <v>29.212326031286981</v>
      </c>
    </row>
    <row r="269" spans="1:9" x14ac:dyDescent="0.2">
      <c r="A269">
        <v>259</v>
      </c>
      <c r="B269">
        <v>1406549.4684533319</v>
      </c>
      <c r="C269">
        <v>151981.64392696839</v>
      </c>
      <c r="D269">
        <v>47668.735696911281</v>
      </c>
      <c r="E269">
        <v>151290.36419678928</v>
      </c>
      <c r="F269">
        <v>46473.948290546941</v>
      </c>
      <c r="G269">
        <v>10000</v>
      </c>
      <c r="H269">
        <v>387414.6921112159</v>
      </c>
      <c r="I269">
        <v>37.907403924895114</v>
      </c>
    </row>
    <row r="270" spans="1:9" x14ac:dyDescent="0.2">
      <c r="A270">
        <v>260</v>
      </c>
      <c r="B270">
        <v>1016417.5219248424</v>
      </c>
      <c r="C270">
        <v>122147.22260966605</v>
      </c>
      <c r="D270">
        <v>39289.797059430675</v>
      </c>
      <c r="E270">
        <v>87031.635002778698</v>
      </c>
      <c r="F270">
        <v>42025.26703865391</v>
      </c>
      <c r="G270">
        <v>10000</v>
      </c>
      <c r="H270">
        <v>280493.92171052931</v>
      </c>
      <c r="I270">
        <v>35.209863606854299</v>
      </c>
    </row>
    <row r="271" spans="1:9" x14ac:dyDescent="0.2">
      <c r="A271">
        <v>261</v>
      </c>
      <c r="B271">
        <v>1537973.0310552495</v>
      </c>
      <c r="C271">
        <v>81777.684588740784</v>
      </c>
      <c r="D271">
        <v>136680.47556641724</v>
      </c>
      <c r="E271">
        <v>167386.57920615078</v>
      </c>
      <c r="F271">
        <v>47588.301637348901</v>
      </c>
      <c r="G271">
        <v>10000</v>
      </c>
      <c r="H271">
        <v>423433.0409986577</v>
      </c>
      <c r="I271">
        <v>35.169002003736942</v>
      </c>
    </row>
    <row r="272" spans="1:9" x14ac:dyDescent="0.2">
      <c r="A272">
        <v>262</v>
      </c>
      <c r="B272">
        <v>1059317.8236234281</v>
      </c>
      <c r="C272">
        <v>88498.970068288705</v>
      </c>
      <c r="D272">
        <v>102747.70551393021</v>
      </c>
      <c r="E272">
        <v>70148.22050678196</v>
      </c>
      <c r="F272">
        <v>40856.415265854135</v>
      </c>
      <c r="G272">
        <v>10000</v>
      </c>
      <c r="H272">
        <v>292251.31135485502</v>
      </c>
      <c r="I272">
        <v>36.83689225098113</v>
      </c>
    </row>
    <row r="273" spans="1:9" x14ac:dyDescent="0.2">
      <c r="A273">
        <v>263</v>
      </c>
      <c r="B273">
        <v>1734688.9516346457</v>
      </c>
      <c r="C273">
        <v>116508.18085122468</v>
      </c>
      <c r="D273">
        <v>114164.97914413112</v>
      </c>
      <c r="E273">
        <v>206384.3112532862</v>
      </c>
      <c r="F273">
        <v>50288.144625227505</v>
      </c>
      <c r="G273">
        <v>10000</v>
      </c>
      <c r="H273">
        <v>477345.61587386951</v>
      </c>
      <c r="I273">
        <v>53.950066481275371</v>
      </c>
    </row>
    <row r="274" spans="1:9" x14ac:dyDescent="0.2">
      <c r="A274">
        <v>264</v>
      </c>
      <c r="B274">
        <v>1931391.9836569056</v>
      </c>
      <c r="C274">
        <v>170056.06624748395</v>
      </c>
      <c r="D274">
        <v>147893.67762290442</v>
      </c>
      <c r="E274">
        <v>175177.25825972116</v>
      </c>
      <c r="F274">
        <v>48127.65634105762</v>
      </c>
      <c r="G274">
        <v>10000</v>
      </c>
      <c r="H274">
        <v>531254.65847116709</v>
      </c>
      <c r="I274">
        <v>47.225146419494074</v>
      </c>
    </row>
    <row r="275" spans="1:9" x14ac:dyDescent="0.2">
      <c r="A275">
        <v>265</v>
      </c>
      <c r="B275">
        <v>1160199.5712281002</v>
      </c>
      <c r="C275">
        <v>135382.84569733596</v>
      </c>
      <c r="D275">
        <v>119125.1251554371</v>
      </c>
      <c r="E275">
        <v>36840.788767739308</v>
      </c>
      <c r="F275">
        <v>38550.516145458874</v>
      </c>
      <c r="G275">
        <v>10000</v>
      </c>
      <c r="H275">
        <v>319899.27576597122</v>
      </c>
      <c r="I275">
        <v>29.739708397902678</v>
      </c>
    </row>
    <row r="276" spans="1:9" x14ac:dyDescent="0.2">
      <c r="A276">
        <v>266</v>
      </c>
      <c r="B276">
        <v>1698140.3253508164</v>
      </c>
      <c r="C276">
        <v>145137.1506048642</v>
      </c>
      <c r="D276">
        <v>151707.47270644689</v>
      </c>
      <c r="E276">
        <v>135129.26014285974</v>
      </c>
      <c r="F276">
        <v>45355.102625274907</v>
      </c>
      <c r="G276">
        <v>10000</v>
      </c>
      <c r="H276">
        <v>467328.98607944581</v>
      </c>
      <c r="I276">
        <v>36.551205204193124</v>
      </c>
    </row>
    <row r="277" spans="1:9" x14ac:dyDescent="0.2">
      <c r="A277">
        <v>267</v>
      </c>
      <c r="B277">
        <v>1138400.1955404337</v>
      </c>
      <c r="C277">
        <v>124719.64733582608</v>
      </c>
      <c r="D277">
        <v>54686.591677266486</v>
      </c>
      <c r="E277">
        <v>101492.24602583247</v>
      </c>
      <c r="F277">
        <v>43026.386263326858</v>
      </c>
      <c r="G277">
        <v>10000</v>
      </c>
      <c r="H277">
        <v>313924.87130225188</v>
      </c>
      <c r="I277">
        <v>44.412820304195648</v>
      </c>
    </row>
    <row r="278" spans="1:9" x14ac:dyDescent="0.2">
      <c r="A278">
        <v>268</v>
      </c>
      <c r="B278">
        <v>1590255.4475231068</v>
      </c>
      <c r="C278">
        <v>136305.26645899517</v>
      </c>
      <c r="D278">
        <v>70767.654779405566</v>
      </c>
      <c r="E278">
        <v>191435.56914610224</v>
      </c>
      <c r="F278">
        <v>49253.231710114771</v>
      </c>
      <c r="G278">
        <v>10000</v>
      </c>
      <c r="H278">
        <v>437761.72209461773</v>
      </c>
      <c r="I278">
        <v>54.491411111179062</v>
      </c>
    </row>
    <row r="279" spans="1:9" x14ac:dyDescent="0.2">
      <c r="A279">
        <v>269</v>
      </c>
      <c r="B279">
        <v>1527258.8802768586</v>
      </c>
      <c r="C279">
        <v>106617.89089714728</v>
      </c>
      <c r="D279">
        <v>84872.054015570451</v>
      </c>
      <c r="E279">
        <v>189862.42124636774</v>
      </c>
      <c r="F279">
        <v>49144.321470902381</v>
      </c>
      <c r="G279">
        <v>10000</v>
      </c>
      <c r="H279">
        <v>420496.68762998783</v>
      </c>
      <c r="I279">
        <v>31.390361443287517</v>
      </c>
    </row>
    <row r="280" spans="1:9" x14ac:dyDescent="0.2">
      <c r="A280">
        <v>270</v>
      </c>
      <c r="B280">
        <v>1765552.9853014622</v>
      </c>
      <c r="C280">
        <v>97202.007871130962</v>
      </c>
      <c r="D280">
        <v>168147.77984818071</v>
      </c>
      <c r="E280">
        <v>181863.9403896064</v>
      </c>
      <c r="F280">
        <v>48590.580488511216</v>
      </c>
      <c r="G280">
        <v>10000</v>
      </c>
      <c r="H280">
        <v>485804.30859742931</v>
      </c>
      <c r="I280">
        <v>46.234393652740295</v>
      </c>
    </row>
    <row r="281" spans="1:9" x14ac:dyDescent="0.2">
      <c r="A281">
        <v>271</v>
      </c>
      <c r="B281">
        <v>1204140.6202418902</v>
      </c>
      <c r="C281">
        <v>124068.15129735392</v>
      </c>
      <c r="D281">
        <v>126003.4052484256</v>
      </c>
      <c r="E281">
        <v>52252.835315899654</v>
      </c>
      <c r="F281">
        <v>39617.503983408431</v>
      </c>
      <c r="G281">
        <v>10000</v>
      </c>
      <c r="H281">
        <v>331941.89584508759</v>
      </c>
      <c r="I281">
        <v>51.666634992940082</v>
      </c>
    </row>
    <row r="282" spans="1:9" x14ac:dyDescent="0.2">
      <c r="A282">
        <v>272</v>
      </c>
      <c r="B282">
        <v>1454865.9480697999</v>
      </c>
      <c r="C282">
        <v>126559.63938967088</v>
      </c>
      <c r="D282">
        <v>97140.277730870221</v>
      </c>
      <c r="E282">
        <v>141182.37473667689</v>
      </c>
      <c r="F282">
        <v>45774.164404846859</v>
      </c>
      <c r="G282">
        <v>10000</v>
      </c>
      <c r="H282">
        <v>400656.45626206486</v>
      </c>
      <c r="I282">
        <v>29.313841615020536</v>
      </c>
    </row>
    <row r="283" spans="1:9" x14ac:dyDescent="0.2">
      <c r="A283">
        <v>273</v>
      </c>
      <c r="B283">
        <v>1288482.2040624651</v>
      </c>
      <c r="C283">
        <v>109651.21273626233</v>
      </c>
      <c r="D283">
        <v>45451.74092519041</v>
      </c>
      <c r="E283">
        <v>162690.65860341315</v>
      </c>
      <c r="F283">
        <v>47263.199441774756</v>
      </c>
      <c r="G283">
        <v>10000</v>
      </c>
      <c r="H283">
        <v>355056.81170664064</v>
      </c>
      <c r="I283">
        <v>33.2762449972372</v>
      </c>
    </row>
    <row r="284" spans="1:9" x14ac:dyDescent="0.2">
      <c r="A284">
        <v>274</v>
      </c>
      <c r="B284">
        <v>1465022.1520478437</v>
      </c>
      <c r="C284">
        <v>126961.84092366978</v>
      </c>
      <c r="D284">
        <v>158369.83514222343</v>
      </c>
      <c r="E284">
        <v>86144.379292189697</v>
      </c>
      <c r="F284">
        <v>41963.841643305444</v>
      </c>
      <c r="G284">
        <v>10000</v>
      </c>
      <c r="H284">
        <v>403439.89700138831</v>
      </c>
      <c r="I284">
        <v>44.418860440404131</v>
      </c>
    </row>
    <row r="285" spans="1:9" x14ac:dyDescent="0.2">
      <c r="A285">
        <v>275</v>
      </c>
      <c r="B285">
        <v>1616898.7539566515</v>
      </c>
      <c r="C285">
        <v>134735.66011106642</v>
      </c>
      <c r="D285">
        <v>94408.371489036406</v>
      </c>
      <c r="E285">
        <v>177622.68267669319</v>
      </c>
      <c r="F285">
        <v>48296.954954540299</v>
      </c>
      <c r="G285">
        <v>10000</v>
      </c>
      <c r="H285">
        <v>445063.66923133633</v>
      </c>
      <c r="I285">
        <v>32.825259859192848</v>
      </c>
    </row>
    <row r="286" spans="1:9" x14ac:dyDescent="0.2">
      <c r="A286">
        <v>276</v>
      </c>
      <c r="B286">
        <v>1307702.6687955291</v>
      </c>
      <c r="C286">
        <v>99462.947752556269</v>
      </c>
      <c r="D286">
        <v>92006.309103994354</v>
      </c>
      <c r="E286">
        <v>133605.55933828148</v>
      </c>
      <c r="F286">
        <v>45249.615646496408</v>
      </c>
      <c r="G286">
        <v>10000</v>
      </c>
      <c r="H286">
        <v>360324.43184132851</v>
      </c>
      <c r="I286">
        <v>47.56910650511923</v>
      </c>
    </row>
    <row r="287" spans="1:9" x14ac:dyDescent="0.2">
      <c r="A287">
        <v>277</v>
      </c>
      <c r="B287">
        <v>1195022.5552300324</v>
      </c>
      <c r="C287">
        <v>78764.510070320073</v>
      </c>
      <c r="D287">
        <v>45195.137472436596</v>
      </c>
      <c r="E287">
        <v>167862.10078363807</v>
      </c>
      <c r="F287">
        <v>47621.222361944172</v>
      </c>
      <c r="G287">
        <v>10000</v>
      </c>
      <c r="H287">
        <v>329442.97068833886</v>
      </c>
      <c r="I287">
        <v>41.172396325003518</v>
      </c>
    </row>
    <row r="288" spans="1:9" x14ac:dyDescent="0.2">
      <c r="A288">
        <v>278</v>
      </c>
      <c r="B288">
        <v>890915.57402857707</v>
      </c>
      <c r="C288">
        <v>74830.551193602601</v>
      </c>
      <c r="D288">
        <v>84140.419995278135</v>
      </c>
      <c r="E288">
        <v>57169.602177892863</v>
      </c>
      <c r="F288">
        <v>39957.895535392585</v>
      </c>
      <c r="G288">
        <v>10000</v>
      </c>
      <c r="H288">
        <v>246098.46890216618</v>
      </c>
      <c r="I288">
        <v>44.682522294050443</v>
      </c>
    </row>
    <row r="289" spans="1:9" x14ac:dyDescent="0.2">
      <c r="A289">
        <v>279</v>
      </c>
      <c r="B289">
        <v>1145586.678930854</v>
      </c>
      <c r="C289">
        <v>93678.827151458085</v>
      </c>
      <c r="D289">
        <v>94518.907589314433</v>
      </c>
      <c r="E289">
        <v>95112.008931124699</v>
      </c>
      <c r="F289">
        <v>42584.677541385558</v>
      </c>
      <c r="G289">
        <v>10000</v>
      </c>
      <c r="H289">
        <v>315894.4212132828</v>
      </c>
      <c r="I289">
        <v>34.905271484132768</v>
      </c>
    </row>
    <row r="290" spans="1:9" x14ac:dyDescent="0.2">
      <c r="A290">
        <v>280</v>
      </c>
      <c r="B290">
        <v>1040014.0636392862</v>
      </c>
      <c r="C290">
        <v>113847.92712490718</v>
      </c>
      <c r="D290">
        <v>51086.662015648355</v>
      </c>
      <c r="E290">
        <v>89808.74539743003</v>
      </c>
      <c r="F290">
        <v>42217.528527514391</v>
      </c>
      <c r="G290">
        <v>10000</v>
      </c>
      <c r="H290">
        <v>286960.86306549993</v>
      </c>
      <c r="I290">
        <v>38.741005189657542</v>
      </c>
    </row>
    <row r="291" spans="1:9" x14ac:dyDescent="0.2">
      <c r="A291">
        <v>281</v>
      </c>
      <c r="B291">
        <v>1375182.1003400292</v>
      </c>
      <c r="C291">
        <v>100164.9177562703</v>
      </c>
      <c r="D291">
        <v>147119.09458799468</v>
      </c>
      <c r="E291">
        <v>98700.902257917231</v>
      </c>
      <c r="F291">
        <v>42833.13938708658</v>
      </c>
      <c r="G291">
        <v>10000</v>
      </c>
      <c r="H291">
        <v>378818.05398926878</v>
      </c>
      <c r="I291">
        <v>46.663621469960781</v>
      </c>
    </row>
    <row r="292" spans="1:9" x14ac:dyDescent="0.2">
      <c r="A292">
        <v>282</v>
      </c>
      <c r="B292">
        <v>1062719.3074543013</v>
      </c>
      <c r="C292">
        <v>104804.31216268195</v>
      </c>
      <c r="D292">
        <v>80986.671798208044</v>
      </c>
      <c r="E292">
        <v>76122.527462823811</v>
      </c>
      <c r="F292">
        <v>41270.021132041642</v>
      </c>
      <c r="G292">
        <v>10000</v>
      </c>
      <c r="H292">
        <v>293183.53255575546</v>
      </c>
      <c r="I292">
        <v>32.498896501707648</v>
      </c>
    </row>
    <row r="293" spans="1:9" x14ac:dyDescent="0.2">
      <c r="A293">
        <v>283</v>
      </c>
      <c r="B293">
        <v>1009392.816592114</v>
      </c>
      <c r="C293">
        <v>153891.21988752627</v>
      </c>
      <c r="D293">
        <v>57124.993992196949</v>
      </c>
      <c r="E293">
        <v>38862.045978679198</v>
      </c>
      <c r="F293">
        <v>38690.449336985483</v>
      </c>
      <c r="G293">
        <v>10000</v>
      </c>
      <c r="H293">
        <v>278568.7091953879</v>
      </c>
      <c r="I293">
        <v>28.205093896619971</v>
      </c>
    </row>
    <row r="294" spans="1:9" x14ac:dyDescent="0.2">
      <c r="A294">
        <v>284</v>
      </c>
      <c r="B294">
        <v>1161469.3610250321</v>
      </c>
      <c r="C294">
        <v>123288.49836336395</v>
      </c>
      <c r="D294">
        <v>51117.174846877788</v>
      </c>
      <c r="E294">
        <v>112082.0766962686</v>
      </c>
      <c r="F294">
        <v>43759.528386664751</v>
      </c>
      <c r="G294">
        <v>10000</v>
      </c>
      <c r="H294">
        <v>320247.2782931751</v>
      </c>
      <c r="I294">
        <v>45.203354784395216</v>
      </c>
    </row>
    <row r="295" spans="1:9" x14ac:dyDescent="0.2">
      <c r="A295">
        <v>285</v>
      </c>
      <c r="B295">
        <v>1505172.2683583021</v>
      </c>
      <c r="C295">
        <v>118627.81619326753</v>
      </c>
      <c r="D295">
        <v>84217.694519645112</v>
      </c>
      <c r="E295">
        <v>173580.91156992366</v>
      </c>
      <c r="F295">
        <v>48017.140031763949</v>
      </c>
      <c r="G295">
        <v>10000</v>
      </c>
      <c r="H295">
        <v>414443.56231460022</v>
      </c>
      <c r="I295">
        <v>33.394353047711981</v>
      </c>
    </row>
    <row r="296" spans="1:9" x14ac:dyDescent="0.2">
      <c r="A296">
        <v>286</v>
      </c>
      <c r="B296">
        <v>851947.22399994568</v>
      </c>
      <c r="C296">
        <v>89636.296975012883</v>
      </c>
      <c r="D296">
        <v>67029.661111241119</v>
      </c>
      <c r="E296">
        <v>49337.080030436307</v>
      </c>
      <c r="F296">
        <v>39415.644002107125</v>
      </c>
      <c r="G296">
        <v>10000</v>
      </c>
      <c r="H296">
        <v>235418.68211879744</v>
      </c>
      <c r="I296">
        <v>50.693956403323917</v>
      </c>
    </row>
    <row r="297" spans="1:9" x14ac:dyDescent="0.2">
      <c r="A297">
        <v>287</v>
      </c>
      <c r="B297">
        <v>1532723.3705758112</v>
      </c>
      <c r="C297">
        <v>105074.11110324973</v>
      </c>
      <c r="D297">
        <v>111163.46715407354</v>
      </c>
      <c r="E297">
        <v>168117.79991086465</v>
      </c>
      <c r="F297">
        <v>47638.924609213704</v>
      </c>
      <c r="G297">
        <v>10000</v>
      </c>
      <c r="H297">
        <v>421994.30277740164</v>
      </c>
      <c r="I297">
        <v>35.321320497150381</v>
      </c>
    </row>
    <row r="298" spans="1:9" x14ac:dyDescent="0.2">
      <c r="A298">
        <v>288</v>
      </c>
      <c r="B298">
        <v>1369842.1364378778</v>
      </c>
      <c r="C298">
        <v>122426.4142342269</v>
      </c>
      <c r="D298">
        <v>71035.387181664002</v>
      </c>
      <c r="E298">
        <v>147669.49292883495</v>
      </c>
      <c r="F298">
        <v>46223.272587380881</v>
      </c>
      <c r="G298">
        <v>10000</v>
      </c>
      <c r="H298">
        <v>377354.5669321068</v>
      </c>
      <c r="I298">
        <v>39.630783102740835</v>
      </c>
    </row>
    <row r="299" spans="1:9" x14ac:dyDescent="0.2">
      <c r="A299">
        <v>289</v>
      </c>
      <c r="B299">
        <v>1543786.6608131304</v>
      </c>
      <c r="C299">
        <v>154614.65532777525</v>
      </c>
      <c r="D299">
        <v>81203.716667133296</v>
      </c>
      <c r="E299">
        <v>152640.54784990876</v>
      </c>
      <c r="F299">
        <v>46567.422543455221</v>
      </c>
      <c r="G299">
        <v>10000</v>
      </c>
      <c r="H299">
        <v>425026.34238827252</v>
      </c>
      <c r="I299">
        <v>29.142244061367506</v>
      </c>
    </row>
    <row r="300" spans="1:9" x14ac:dyDescent="0.2">
      <c r="A300">
        <v>290</v>
      </c>
      <c r="B300">
        <v>1766119.0888470812</v>
      </c>
      <c r="C300">
        <v>156051.53589020477</v>
      </c>
      <c r="D300">
        <v>115542.40784769415</v>
      </c>
      <c r="E300">
        <v>176169.18477503315</v>
      </c>
      <c r="F300">
        <v>48196.328176733063</v>
      </c>
      <c r="G300">
        <v>10000</v>
      </c>
      <c r="H300">
        <v>485959.45668966515</v>
      </c>
      <c r="I300">
        <v>36.788469968531899</v>
      </c>
    </row>
    <row r="301" spans="1:9" x14ac:dyDescent="0.2">
      <c r="A301">
        <v>291</v>
      </c>
      <c r="B301">
        <v>1378455.0429356745</v>
      </c>
      <c r="C301">
        <v>134949.78746689891</v>
      </c>
      <c r="D301">
        <v>34245.551982066892</v>
      </c>
      <c r="E301">
        <v>172572.3881521268</v>
      </c>
      <c r="F301">
        <v>47947.319179762628</v>
      </c>
      <c r="G301">
        <v>10000</v>
      </c>
      <c r="H301">
        <v>379715.04678085522</v>
      </c>
      <c r="I301">
        <v>47.043533713449584</v>
      </c>
    </row>
    <row r="302" spans="1:9" x14ac:dyDescent="0.2">
      <c r="A302">
        <v>292</v>
      </c>
      <c r="B302">
        <v>985516.27506963315</v>
      </c>
      <c r="C302">
        <v>101475.60786473368</v>
      </c>
      <c r="D302">
        <v>42205.258440082493</v>
      </c>
      <c r="E302">
        <v>95717.563378798557</v>
      </c>
      <c r="F302">
        <v>42626.600541609136</v>
      </c>
      <c r="G302">
        <v>10000</v>
      </c>
      <c r="H302">
        <v>272025.03022522386</v>
      </c>
      <c r="I302">
        <v>35.141277089281921</v>
      </c>
    </row>
    <row r="303" spans="1:9" x14ac:dyDescent="0.2">
      <c r="A303">
        <v>293</v>
      </c>
      <c r="B303">
        <v>1052519.3007386122</v>
      </c>
      <c r="C303">
        <v>80516.739355101265</v>
      </c>
      <c r="D303">
        <v>135431.08994667319</v>
      </c>
      <c r="E303">
        <v>45303.838230796449</v>
      </c>
      <c r="F303">
        <v>39136.419569824371</v>
      </c>
      <c r="G303">
        <v>10000</v>
      </c>
      <c r="H303">
        <v>290388.08710239525</v>
      </c>
      <c r="I303">
        <v>46.704073314822452</v>
      </c>
    </row>
    <row r="304" spans="1:9" x14ac:dyDescent="0.2">
      <c r="A304">
        <v>294</v>
      </c>
      <c r="B304">
        <v>1429223.6552942479</v>
      </c>
      <c r="C304">
        <v>92961.618418835846</v>
      </c>
      <c r="D304">
        <v>155549.85986301408</v>
      </c>
      <c r="E304">
        <v>111404.73616817179</v>
      </c>
      <c r="F304">
        <v>43712.63558087343</v>
      </c>
      <c r="G304">
        <v>10000</v>
      </c>
      <c r="H304">
        <v>393628.85003089515</v>
      </c>
      <c r="I304">
        <v>30.96456102084262</v>
      </c>
    </row>
    <row r="305" spans="1:9" x14ac:dyDescent="0.2">
      <c r="A305">
        <v>295</v>
      </c>
      <c r="B305">
        <v>1519853.8361765794</v>
      </c>
      <c r="C305">
        <v>110221.90059499329</v>
      </c>
      <c r="D305">
        <v>101102.53648357776</v>
      </c>
      <c r="E305">
        <v>169414.13063260025</v>
      </c>
      <c r="F305">
        <v>47728.670582256935</v>
      </c>
      <c r="G305">
        <v>10000</v>
      </c>
      <c r="H305">
        <v>418467.23829342827</v>
      </c>
      <c r="I305">
        <v>39.501348132592163</v>
      </c>
    </row>
    <row r="306" spans="1:9" x14ac:dyDescent="0.2">
      <c r="A306">
        <v>296</v>
      </c>
      <c r="B306">
        <v>1633894.8973831309</v>
      </c>
      <c r="C306">
        <v>120628.31814616124</v>
      </c>
      <c r="D306">
        <v>118128.59431112048</v>
      </c>
      <c r="E306">
        <v>172988.63616756364</v>
      </c>
      <c r="F306">
        <v>47976.136350062094</v>
      </c>
      <c r="G306">
        <v>10000</v>
      </c>
      <c r="H306">
        <v>449721.68497490743</v>
      </c>
      <c r="I306">
        <v>25.899215843240263</v>
      </c>
    </row>
    <row r="307" spans="1:9" x14ac:dyDescent="0.2">
      <c r="A307">
        <v>297</v>
      </c>
      <c r="B307">
        <v>885559.21471229999</v>
      </c>
      <c r="C307">
        <v>111289.40779114884</v>
      </c>
      <c r="D307">
        <v>73143.087213969382</v>
      </c>
      <c r="E307">
        <v>31983.734892402299</v>
      </c>
      <c r="F307">
        <v>38214.258569474005</v>
      </c>
      <c r="G307">
        <v>10000</v>
      </c>
      <c r="H307">
        <v>244630.48846699455</v>
      </c>
      <c r="I307">
        <v>35.964011404993997</v>
      </c>
    </row>
    <row r="308" spans="1:9" x14ac:dyDescent="0.2">
      <c r="A308">
        <v>298</v>
      </c>
      <c r="B308">
        <v>1373939.3617533352</v>
      </c>
      <c r="C308">
        <v>116168.59703444566</v>
      </c>
      <c r="D308">
        <v>147235.80239259175</v>
      </c>
      <c r="E308">
        <v>83305.744968063766</v>
      </c>
      <c r="F308">
        <v>41767.320805481337</v>
      </c>
      <c r="G308">
        <v>10000</v>
      </c>
      <c r="H308">
        <v>378477.46520058252</v>
      </c>
      <c r="I308">
        <v>38.708375600760249</v>
      </c>
    </row>
    <row r="309" spans="1:9" x14ac:dyDescent="0.2">
      <c r="A309">
        <v>299</v>
      </c>
      <c r="B309">
        <v>1395164.6309544847</v>
      </c>
      <c r="C309">
        <v>98893.117214475657</v>
      </c>
      <c r="D309">
        <v>69169.797333135066</v>
      </c>
      <c r="E309">
        <v>177914.45886889924</v>
      </c>
      <c r="F309">
        <v>48317.154844769946</v>
      </c>
      <c r="G309">
        <v>10000</v>
      </c>
      <c r="H309">
        <v>384294.52826127992</v>
      </c>
      <c r="I309">
        <v>35.535027520075218</v>
      </c>
    </row>
    <row r="310" spans="1:9" x14ac:dyDescent="0.2">
      <c r="A310">
        <v>300</v>
      </c>
      <c r="B310">
        <v>1322166.968328539</v>
      </c>
      <c r="C310">
        <v>94759.775332665653</v>
      </c>
      <c r="D310">
        <v>65977.566554668418</v>
      </c>
      <c r="E310">
        <v>166055.09850873236</v>
      </c>
      <c r="F310">
        <v>47496.122204450701</v>
      </c>
      <c r="G310">
        <v>10000</v>
      </c>
      <c r="H310">
        <v>364288.56260051712</v>
      </c>
      <c r="I310">
        <v>30.241919627431876</v>
      </c>
    </row>
    <row r="311" spans="1:9" x14ac:dyDescent="0.2">
      <c r="A311">
        <v>301</v>
      </c>
      <c r="B311">
        <v>1176422.4818023294</v>
      </c>
      <c r="C311">
        <v>114544.1961631795</v>
      </c>
      <c r="D311">
        <v>141329.19169946198</v>
      </c>
      <c r="E311">
        <v>39722.00415209675</v>
      </c>
      <c r="F311">
        <v>38749.984902837467</v>
      </c>
      <c r="G311">
        <v>10000</v>
      </c>
      <c r="H311">
        <v>324345.37691757572</v>
      </c>
      <c r="I311">
        <v>34.504894271088972</v>
      </c>
    </row>
    <row r="312" spans="1:9" x14ac:dyDescent="0.2">
      <c r="A312">
        <v>302</v>
      </c>
      <c r="B312">
        <v>946540.27101274917</v>
      </c>
      <c r="C312">
        <v>82165.812923105666</v>
      </c>
      <c r="D312">
        <v>96587.989781785509</v>
      </c>
      <c r="E312">
        <v>52925.284867148599</v>
      </c>
      <c r="F312">
        <v>39664.05818311029</v>
      </c>
      <c r="G312">
        <v>10000</v>
      </c>
      <c r="H312">
        <v>261343.14575515012</v>
      </c>
      <c r="I312">
        <v>38.41286828944034</v>
      </c>
    </row>
    <row r="313" spans="1:9" x14ac:dyDescent="0.2">
      <c r="A313">
        <v>303</v>
      </c>
      <c r="B313">
        <v>1238382.119837692</v>
      </c>
      <c r="C313">
        <v>100094.3642553973</v>
      </c>
      <c r="D313">
        <v>66070.992958404502</v>
      </c>
      <c r="E313">
        <v>139502.9720688136</v>
      </c>
      <c r="F313">
        <v>45657.898066302478</v>
      </c>
      <c r="G313">
        <v>10000</v>
      </c>
      <c r="H313">
        <v>341326.22734891792</v>
      </c>
      <c r="I313">
        <v>36.546655234002671</v>
      </c>
    </row>
    <row r="314" spans="1:9" x14ac:dyDescent="0.2">
      <c r="A314">
        <v>304</v>
      </c>
      <c r="B314">
        <v>1301382.9540944081</v>
      </c>
      <c r="C314">
        <v>153570.37042316739</v>
      </c>
      <c r="D314">
        <v>111796.76426939791</v>
      </c>
      <c r="E314">
        <v>62872.579508219336</v>
      </c>
      <c r="F314">
        <v>40352.71704287672</v>
      </c>
      <c r="G314">
        <v>10000</v>
      </c>
      <c r="H314">
        <v>358592.43124366133</v>
      </c>
      <c r="I314">
        <v>41.027345421171283</v>
      </c>
    </row>
    <row r="315" spans="1:9" x14ac:dyDescent="0.2">
      <c r="A315">
        <v>305</v>
      </c>
      <c r="B315">
        <v>1441867.4053380489</v>
      </c>
      <c r="C315">
        <v>111820.82948151683</v>
      </c>
      <c r="D315">
        <v>47705.850719339927</v>
      </c>
      <c r="E315">
        <v>197868.74942440729</v>
      </c>
      <c r="F315">
        <v>49698.605729382049</v>
      </c>
      <c r="G315">
        <v>10000</v>
      </c>
      <c r="H315">
        <v>397094.03535464604</v>
      </c>
      <c r="I315">
        <v>36.117975381169671</v>
      </c>
    </row>
    <row r="316" spans="1:9" x14ac:dyDescent="0.2">
      <c r="A316">
        <v>306</v>
      </c>
      <c r="B316">
        <v>1072776.0756285705</v>
      </c>
      <c r="C316">
        <v>104841.98952248981</v>
      </c>
      <c r="D316">
        <v>61171.416454478451</v>
      </c>
      <c r="E316">
        <v>97197.273614108737</v>
      </c>
      <c r="F316">
        <v>42729.042019438297</v>
      </c>
      <c r="G316">
        <v>10000</v>
      </c>
      <c r="H316">
        <v>295939.72161051532</v>
      </c>
      <c r="I316">
        <v>25.915116819194445</v>
      </c>
    </row>
    <row r="317" spans="1:9" x14ac:dyDescent="0.2">
      <c r="A317">
        <v>307</v>
      </c>
      <c r="B317">
        <v>1632398.6574977394</v>
      </c>
      <c r="C317">
        <v>134234.73972862281</v>
      </c>
      <c r="D317">
        <v>75354.44035912666</v>
      </c>
      <c r="E317">
        <v>199884.29710139349</v>
      </c>
      <c r="F317">
        <v>49838.143645481083</v>
      </c>
      <c r="G317">
        <v>10000</v>
      </c>
      <c r="H317">
        <v>449311.62083462405</v>
      </c>
      <c r="I317">
        <v>41.411115712622909</v>
      </c>
    </row>
    <row r="318" spans="1:9" x14ac:dyDescent="0.2">
      <c r="A318">
        <v>308</v>
      </c>
      <c r="B318">
        <v>1267406.021460766</v>
      </c>
      <c r="C318">
        <v>95273.181077457251</v>
      </c>
      <c r="D318">
        <v>122761.22556060688</v>
      </c>
      <c r="E318">
        <v>98431.698911082451</v>
      </c>
      <c r="F318">
        <v>42814.502232305706</v>
      </c>
      <c r="G318">
        <v>10000</v>
      </c>
      <c r="H318">
        <v>349280.6077814523</v>
      </c>
      <c r="I318">
        <v>38.705950237559563</v>
      </c>
    </row>
    <row r="319" spans="1:9" x14ac:dyDescent="0.2">
      <c r="A319">
        <v>309</v>
      </c>
      <c r="B319">
        <v>1008308.6275064894</v>
      </c>
      <c r="C319">
        <v>111316.30656523081</v>
      </c>
      <c r="D319">
        <v>94184.355398213404</v>
      </c>
      <c r="E319">
        <v>43742.578643299523</v>
      </c>
      <c r="F319">
        <v>39028.332367613046</v>
      </c>
      <c r="G319">
        <v>10000</v>
      </c>
      <c r="H319">
        <v>278271.57297435676</v>
      </c>
      <c r="I319">
        <v>40.038670306230514</v>
      </c>
    </row>
    <row r="320" spans="1:9" x14ac:dyDescent="0.2">
      <c r="A320">
        <v>310</v>
      </c>
      <c r="B320">
        <v>1038746.1502798223</v>
      </c>
      <c r="C320">
        <v>150509.05452012838</v>
      </c>
      <c r="D320">
        <v>66911.970398464589</v>
      </c>
      <c r="E320">
        <v>40395.722911196099</v>
      </c>
      <c r="F320">
        <v>38796.62697077512</v>
      </c>
      <c r="G320">
        <v>10000</v>
      </c>
      <c r="H320">
        <v>286613.3748005642</v>
      </c>
      <c r="I320">
        <v>51.537554543460097</v>
      </c>
    </row>
    <row r="321" spans="1:9" x14ac:dyDescent="0.2">
      <c r="A321">
        <v>311</v>
      </c>
      <c r="B321">
        <v>1402766.8594848826</v>
      </c>
      <c r="C321">
        <v>114364.28222283712</v>
      </c>
      <c r="D321">
        <v>156267.32666150387</v>
      </c>
      <c r="E321">
        <v>83935.491076557621</v>
      </c>
      <c r="F321">
        <v>41810.918612992456</v>
      </c>
      <c r="G321">
        <v>10000</v>
      </c>
      <c r="H321">
        <v>386378.01857389102</v>
      </c>
      <c r="I321">
        <v>43.299778205844298</v>
      </c>
    </row>
    <row r="322" spans="1:9" x14ac:dyDescent="0.2">
      <c r="A322">
        <v>312</v>
      </c>
      <c r="B322">
        <v>1486430.1559722987</v>
      </c>
      <c r="C322">
        <v>107781.22545827375</v>
      </c>
      <c r="D322">
        <v>76645.117515488833</v>
      </c>
      <c r="E322">
        <v>186003.5304408806</v>
      </c>
      <c r="F322">
        <v>48877.167492060966</v>
      </c>
      <c r="G322">
        <v>10000</v>
      </c>
      <c r="H322">
        <v>409307.04090670421</v>
      </c>
      <c r="I322">
        <v>29.419959822098853</v>
      </c>
    </row>
    <row r="323" spans="1:9" x14ac:dyDescent="0.2">
      <c r="A323">
        <v>313</v>
      </c>
      <c r="B323">
        <v>1443904.721382237</v>
      </c>
      <c r="C323">
        <v>132279.07913448874</v>
      </c>
      <c r="D323">
        <v>74310.188704113956</v>
      </c>
      <c r="E323">
        <v>154375.58047839673</v>
      </c>
      <c r="F323">
        <v>46687.540186965933</v>
      </c>
      <c r="G323">
        <v>10000</v>
      </c>
      <c r="H323">
        <v>397652.3885039654</v>
      </c>
      <c r="I323">
        <v>39.144946009547169</v>
      </c>
    </row>
    <row r="324" spans="1:9" x14ac:dyDescent="0.2">
      <c r="A324">
        <v>314</v>
      </c>
      <c r="B324">
        <v>928994.99906294234</v>
      </c>
      <c r="C324">
        <v>113619.96650833666</v>
      </c>
      <c r="D324">
        <v>68458.156011478728</v>
      </c>
      <c r="E324">
        <v>45319.039650915096</v>
      </c>
      <c r="F324">
        <v>39137.471975832581</v>
      </c>
      <c r="G324">
        <v>10000</v>
      </c>
      <c r="H324">
        <v>256534.63414656307</v>
      </c>
      <c r="I324">
        <v>48.161578903559324</v>
      </c>
    </row>
    <row r="325" spans="1:9" x14ac:dyDescent="0.2">
      <c r="A325">
        <v>315</v>
      </c>
      <c r="B325">
        <v>1460460.4073006075</v>
      </c>
      <c r="C325">
        <v>133017.72743520106</v>
      </c>
      <c r="D325">
        <v>54216.096823716463</v>
      </c>
      <c r="E325">
        <v>176721.31430970426</v>
      </c>
      <c r="F325">
        <v>48234.552529133369</v>
      </c>
      <c r="G325">
        <v>10000</v>
      </c>
      <c r="H325">
        <v>402189.69109775522</v>
      </c>
      <c r="I325">
        <v>37.361398227395398</v>
      </c>
    </row>
    <row r="326" spans="1:9" x14ac:dyDescent="0.2">
      <c r="A326">
        <v>316</v>
      </c>
      <c r="B326">
        <v>1405756.8334893712</v>
      </c>
      <c r="C326">
        <v>108802.58046276848</v>
      </c>
      <c r="D326">
        <v>54596.184985643536</v>
      </c>
      <c r="E326">
        <v>184991.5849412661</v>
      </c>
      <c r="F326">
        <v>48807.109726703035</v>
      </c>
      <c r="G326">
        <v>10000</v>
      </c>
      <c r="H326">
        <v>387197.46011638117</v>
      </c>
      <c r="I326">
        <v>46.682255945687672</v>
      </c>
    </row>
    <row r="327" spans="1:9" x14ac:dyDescent="0.2">
      <c r="A327">
        <v>317</v>
      </c>
      <c r="B327">
        <v>1402668.4102168982</v>
      </c>
      <c r="C327">
        <v>98607.388478006775</v>
      </c>
      <c r="D327">
        <v>101376.64651845887</v>
      </c>
      <c r="E327">
        <v>149983.52729905996</v>
      </c>
      <c r="F327">
        <v>46383.474966857997</v>
      </c>
      <c r="G327">
        <v>10000</v>
      </c>
      <c r="H327">
        <v>386351.03726238362</v>
      </c>
      <c r="I327">
        <v>42.831494773333048</v>
      </c>
    </row>
    <row r="328" spans="1:9" x14ac:dyDescent="0.2">
      <c r="A328">
        <v>318</v>
      </c>
      <c r="B328">
        <v>1528511.3897642961</v>
      </c>
      <c r="C328">
        <v>134905.7572193362</v>
      </c>
      <c r="D328">
        <v>80621.785126174975</v>
      </c>
      <c r="E328">
        <v>167702.25574924803</v>
      </c>
      <c r="F328">
        <v>47610.156167255635</v>
      </c>
      <c r="G328">
        <v>10000</v>
      </c>
      <c r="H328">
        <v>420839.95426201489</v>
      </c>
      <c r="I328">
        <v>31.828886995459182</v>
      </c>
    </row>
    <row r="329" spans="1:9" x14ac:dyDescent="0.2">
      <c r="A329">
        <v>319</v>
      </c>
      <c r="B329">
        <v>1107823.0703137529</v>
      </c>
      <c r="C329">
        <v>109529.95129257732</v>
      </c>
      <c r="D329">
        <v>111555.00842857943</v>
      </c>
      <c r="E329">
        <v>54674.67973813654</v>
      </c>
      <c r="F329">
        <v>39785.170135717148</v>
      </c>
      <c r="G329">
        <v>10000</v>
      </c>
      <c r="H329">
        <v>305544.80959501042</v>
      </c>
      <c r="I329">
        <v>38.407516778626331</v>
      </c>
    </row>
    <row r="330" spans="1:9" x14ac:dyDescent="0.2">
      <c r="A330">
        <v>320</v>
      </c>
      <c r="B330">
        <v>1023981.0221999121</v>
      </c>
      <c r="C330">
        <v>115981.54474525916</v>
      </c>
      <c r="D330">
        <v>100463.93351016933</v>
      </c>
      <c r="E330">
        <v>37523.536486787205</v>
      </c>
      <c r="F330">
        <v>38597.783295239111</v>
      </c>
      <c r="G330">
        <v>10000</v>
      </c>
      <c r="H330">
        <v>282566.79803745478</v>
      </c>
      <c r="I330">
        <v>35.982016340890866</v>
      </c>
    </row>
    <row r="331" spans="1:9" x14ac:dyDescent="0.2">
      <c r="A331">
        <v>321</v>
      </c>
      <c r="B331">
        <v>1174634.1936461513</v>
      </c>
      <c r="C331">
        <v>102145.46602238828</v>
      </c>
      <c r="D331">
        <v>66515.546811358625</v>
      </c>
      <c r="E331">
        <v>120829.16429935384</v>
      </c>
      <c r="F331">
        <v>44365.095989955262</v>
      </c>
      <c r="G331">
        <v>10000</v>
      </c>
      <c r="H331">
        <v>323855.27312305599</v>
      </c>
      <c r="I331">
        <v>40.376210394244396</v>
      </c>
    </row>
    <row r="332" spans="1:9" x14ac:dyDescent="0.2">
      <c r="A332">
        <v>322</v>
      </c>
      <c r="B332">
        <v>1042039.5995389099</v>
      </c>
      <c r="C332">
        <v>115458.27273365701</v>
      </c>
      <c r="D332">
        <v>94744.492565711364</v>
      </c>
      <c r="E332">
        <v>47990.783551279019</v>
      </c>
      <c r="F332">
        <v>39322.438861242394</v>
      </c>
      <c r="G332">
        <v>10000</v>
      </c>
      <c r="H332">
        <v>287515.98771188979</v>
      </c>
      <c r="I332">
        <v>26.713320045667018</v>
      </c>
    </row>
    <row r="333" spans="1:9" x14ac:dyDescent="0.2">
      <c r="A333">
        <v>323</v>
      </c>
      <c r="B333">
        <v>1155883.006870256</v>
      </c>
      <c r="C333">
        <v>110118.76484087059</v>
      </c>
      <c r="D333">
        <v>75706.144661376238</v>
      </c>
      <c r="E333">
        <v>99970.332255211251</v>
      </c>
      <c r="F333">
        <v>42921.023002283851</v>
      </c>
      <c r="G333">
        <v>10000</v>
      </c>
      <c r="H333">
        <v>318716.26475974196</v>
      </c>
      <c r="I333">
        <v>37.543143365582942</v>
      </c>
    </row>
    <row r="334" spans="1:9" x14ac:dyDescent="0.2">
      <c r="A334">
        <v>324</v>
      </c>
      <c r="B334">
        <v>1376276.5463495955</v>
      </c>
      <c r="C334">
        <v>131455.30042909909</v>
      </c>
      <c r="D334">
        <v>76734.031081102046</v>
      </c>
      <c r="E334">
        <v>135544.79904158466</v>
      </c>
      <c r="F334">
        <v>45383.870702878943</v>
      </c>
      <c r="G334">
        <v>10000</v>
      </c>
      <c r="H334">
        <v>379118.00125466473</v>
      </c>
      <c r="I334">
        <v>32.790492734208136</v>
      </c>
    </row>
    <row r="335" spans="1:9" x14ac:dyDescent="0.2">
      <c r="A335">
        <v>325</v>
      </c>
      <c r="B335">
        <v>982594.22268389259</v>
      </c>
      <c r="C335">
        <v>100134.91556227332</v>
      </c>
      <c r="D335">
        <v>116270.76136857044</v>
      </c>
      <c r="E335">
        <v>26952.578798275921</v>
      </c>
      <c r="F335">
        <v>37865.947762957563</v>
      </c>
      <c r="G335">
        <v>10000</v>
      </c>
      <c r="H335">
        <v>271224.20349207724</v>
      </c>
      <c r="I335">
        <v>36.180440995481263</v>
      </c>
    </row>
    <row r="336" spans="1:9" x14ac:dyDescent="0.2">
      <c r="A336">
        <v>326</v>
      </c>
      <c r="B336">
        <v>1216745.7937540186</v>
      </c>
      <c r="C336">
        <v>105869.04332817227</v>
      </c>
      <c r="D336">
        <v>43614.586168903734</v>
      </c>
      <c r="E336">
        <v>149558.80794842576</v>
      </c>
      <c r="F336">
        <v>46354.071319506395</v>
      </c>
      <c r="G336">
        <v>10000</v>
      </c>
      <c r="H336">
        <v>335396.50876500818</v>
      </c>
      <c r="I336">
        <v>37.232321701397765</v>
      </c>
    </row>
    <row r="337" spans="1:9" x14ac:dyDescent="0.2">
      <c r="A337">
        <v>327</v>
      </c>
      <c r="B337">
        <v>895362.80514121917</v>
      </c>
      <c r="C337">
        <v>87180.796464361993</v>
      </c>
      <c r="D337">
        <v>104813.14707640583</v>
      </c>
      <c r="E337">
        <v>27424.713305359361</v>
      </c>
      <c r="F337">
        <v>37898.633998063342</v>
      </c>
      <c r="G337">
        <v>10000</v>
      </c>
      <c r="H337">
        <v>247317.29084419052</v>
      </c>
      <c r="I337">
        <v>35.928597147306796</v>
      </c>
    </row>
    <row r="338" spans="1:9" x14ac:dyDescent="0.2">
      <c r="A338">
        <v>328</v>
      </c>
      <c r="B338">
        <v>1663037.1265039286</v>
      </c>
      <c r="C338">
        <v>149836.0975143121</v>
      </c>
      <c r="D338">
        <v>71950.441719075432</v>
      </c>
      <c r="E338">
        <v>196329.88632176726</v>
      </c>
      <c r="F338">
        <v>49592.069053045423</v>
      </c>
      <c r="G338">
        <v>10000</v>
      </c>
      <c r="H338">
        <v>457708.49460820021</v>
      </c>
      <c r="I338">
        <v>37.041647258953525</v>
      </c>
    </row>
    <row r="339" spans="1:9" x14ac:dyDescent="0.2">
      <c r="A339">
        <v>329</v>
      </c>
      <c r="B339">
        <v>1107705.9465551041</v>
      </c>
      <c r="C339">
        <v>132596.93237882093</v>
      </c>
      <c r="D339">
        <v>79881.421241274758</v>
      </c>
      <c r="E339">
        <v>62694.00264532616</v>
      </c>
      <c r="F339">
        <v>40340.354029291811</v>
      </c>
      <c r="G339">
        <v>10000</v>
      </c>
      <c r="H339">
        <v>305512.71029471367</v>
      </c>
      <c r="I339">
        <v>32.522145308204301</v>
      </c>
    </row>
    <row r="340" spans="1:9" x14ac:dyDescent="0.2">
      <c r="A340">
        <v>330</v>
      </c>
      <c r="B340">
        <v>1207367.2849451341</v>
      </c>
      <c r="C340">
        <v>143149.93593503244</v>
      </c>
      <c r="D340">
        <v>60557.445305209738</v>
      </c>
      <c r="E340">
        <v>96442.06592370836</v>
      </c>
      <c r="F340">
        <v>42676.758410102892</v>
      </c>
      <c r="G340">
        <v>10000</v>
      </c>
      <c r="H340">
        <v>332826.20557405346</v>
      </c>
      <c r="I340">
        <v>33.628643004300372</v>
      </c>
    </row>
    <row r="341" spans="1:9" x14ac:dyDescent="0.2">
      <c r="A341">
        <v>331</v>
      </c>
      <c r="B341">
        <v>822409.21753142786</v>
      </c>
      <c r="C341">
        <v>71796.753958371817</v>
      </c>
      <c r="D341">
        <v>67570.406684518166</v>
      </c>
      <c r="E341">
        <v>57944.688517184615</v>
      </c>
      <c r="F341">
        <v>40011.555358882011</v>
      </c>
      <c r="G341">
        <v>10000</v>
      </c>
      <c r="H341">
        <v>227323.40451895658</v>
      </c>
      <c r="I341">
        <v>25.195034643708546</v>
      </c>
    </row>
    <row r="342" spans="1:9" x14ac:dyDescent="0.2">
      <c r="A342">
        <v>332</v>
      </c>
      <c r="B342">
        <v>1205935.4515705195</v>
      </c>
      <c r="C342">
        <v>96176.075071168962</v>
      </c>
      <c r="D342">
        <v>79042.557445801489</v>
      </c>
      <c r="E342">
        <v>122719.21472962984</v>
      </c>
      <c r="F342">
        <v>44495.945635128221</v>
      </c>
      <c r="G342">
        <v>10000</v>
      </c>
      <c r="H342">
        <v>332433.79288172856</v>
      </c>
      <c r="I342">
        <v>31.990611459301757</v>
      </c>
    </row>
    <row r="343" spans="1:9" x14ac:dyDescent="0.2">
      <c r="A343">
        <v>333</v>
      </c>
      <c r="B343">
        <v>1166505.5897630597</v>
      </c>
      <c r="C343">
        <v>119590.52309152497</v>
      </c>
      <c r="D343">
        <v>91828.424428139944</v>
      </c>
      <c r="E343">
        <v>78756.221438341556</v>
      </c>
      <c r="F343">
        <v>41452.35379188518</v>
      </c>
      <c r="G343">
        <v>10000</v>
      </c>
      <c r="H343">
        <v>321627.52274989168</v>
      </c>
      <c r="I343">
        <v>44.025408718171683</v>
      </c>
    </row>
    <row r="344" spans="1:9" x14ac:dyDescent="0.2">
      <c r="A344">
        <v>334</v>
      </c>
      <c r="B344">
        <v>1274330.3347469908</v>
      </c>
      <c r="C344">
        <v>137794.41901149257</v>
      </c>
      <c r="D344">
        <v>134360.8189889339</v>
      </c>
      <c r="E344">
        <v>49589.92021797489</v>
      </c>
      <c r="F344">
        <v>39433.148322782879</v>
      </c>
      <c r="G344">
        <v>10000</v>
      </c>
      <c r="H344">
        <v>351178.3065411842</v>
      </c>
      <c r="I344">
        <v>30.654891695090583</v>
      </c>
    </row>
    <row r="345" spans="1:9" x14ac:dyDescent="0.2">
      <c r="A345">
        <v>335</v>
      </c>
      <c r="B345">
        <v>1424364.8767735371</v>
      </c>
      <c r="C345">
        <v>117387.88533138853</v>
      </c>
      <c r="D345">
        <v>52254.064011400143</v>
      </c>
      <c r="E345">
        <v>183922.21253546359</v>
      </c>
      <c r="F345">
        <v>48733.076252455168</v>
      </c>
      <c r="G345">
        <v>10000</v>
      </c>
      <c r="H345">
        <v>392297.23813070747</v>
      </c>
      <c r="I345">
        <v>32.299510015135866</v>
      </c>
    </row>
    <row r="346" spans="1:9" x14ac:dyDescent="0.2">
      <c r="A346">
        <v>336</v>
      </c>
      <c r="B346">
        <v>1189735.7410435139</v>
      </c>
      <c r="C346">
        <v>115279.89310368111</v>
      </c>
      <c r="D346">
        <v>74410.176562811961</v>
      </c>
      <c r="E346">
        <v>105032.49959900721</v>
      </c>
      <c r="F346">
        <v>43271.480741469728</v>
      </c>
      <c r="G346">
        <v>10000</v>
      </c>
      <c r="H346">
        <v>327994.05000697001</v>
      </c>
      <c r="I346">
        <v>31.679905365228052</v>
      </c>
    </row>
    <row r="347" spans="1:9" x14ac:dyDescent="0.2">
      <c r="A347">
        <v>337</v>
      </c>
      <c r="B347">
        <v>907310.07807720383</v>
      </c>
      <c r="C347">
        <v>134947.61441908212</v>
      </c>
      <c r="D347">
        <v>40815.204547154382</v>
      </c>
      <c r="E347">
        <v>45667.202938871189</v>
      </c>
      <c r="F347">
        <v>39161.575588075691</v>
      </c>
      <c r="G347">
        <v>10000</v>
      </c>
      <c r="H347">
        <v>250591.59749318339</v>
      </c>
      <c r="I347">
        <v>27.408089838438613</v>
      </c>
    </row>
    <row r="348" spans="1:9" x14ac:dyDescent="0.2">
      <c r="A348">
        <v>338</v>
      </c>
      <c r="B348">
        <v>1384278.9089338905</v>
      </c>
      <c r="C348">
        <v>89076.410190307419</v>
      </c>
      <c r="D348">
        <v>75440.971405940465</v>
      </c>
      <c r="E348">
        <v>178440.2183704788</v>
      </c>
      <c r="F348">
        <v>48353.553579494685</v>
      </c>
      <c r="G348">
        <v>10000</v>
      </c>
      <c r="H348">
        <v>381311.15354622144</v>
      </c>
      <c r="I348">
        <v>30.549230268037235</v>
      </c>
    </row>
    <row r="349" spans="1:9" x14ac:dyDescent="0.2">
      <c r="A349">
        <v>339</v>
      </c>
      <c r="B349">
        <v>968162.28726529167</v>
      </c>
      <c r="C349">
        <v>96008.785397565953</v>
      </c>
      <c r="D349">
        <v>59899.694792634247</v>
      </c>
      <c r="E349">
        <v>79833.525940896579</v>
      </c>
      <c r="F349">
        <v>41526.936411292845</v>
      </c>
      <c r="G349">
        <v>10000</v>
      </c>
      <c r="H349">
        <v>267268.94254238962</v>
      </c>
      <c r="I349">
        <v>31.34079734632321</v>
      </c>
    </row>
    <row r="350" spans="1:9" x14ac:dyDescent="0.2">
      <c r="A350">
        <v>340</v>
      </c>
      <c r="B350">
        <v>1528553.2761196096</v>
      </c>
      <c r="C350">
        <v>141645.94833523413</v>
      </c>
      <c r="D350">
        <v>149239.17928407347</v>
      </c>
      <c r="E350">
        <v>97234.674813799662</v>
      </c>
      <c r="F350">
        <v>42731.631333263053</v>
      </c>
      <c r="G350">
        <v>10000</v>
      </c>
      <c r="H350">
        <v>420851.43376637035</v>
      </c>
      <c r="I350">
        <v>27.95050912110333</v>
      </c>
    </row>
    <row r="351" spans="1:9" x14ac:dyDescent="0.2">
      <c r="A351">
        <v>341</v>
      </c>
      <c r="B351">
        <v>1515606.2290870389</v>
      </c>
      <c r="C351">
        <v>108532.65039771564</v>
      </c>
      <c r="D351">
        <v>88089.559281342968</v>
      </c>
      <c r="E351">
        <v>182075.67706910372</v>
      </c>
      <c r="F351">
        <v>48605.239181707177</v>
      </c>
      <c r="G351">
        <v>10000</v>
      </c>
      <c r="H351">
        <v>417303.12592986948</v>
      </c>
      <c r="I351">
        <v>51.866693401831512</v>
      </c>
    </row>
    <row r="352" spans="1:9" x14ac:dyDescent="0.2">
      <c r="A352">
        <v>342</v>
      </c>
      <c r="B352">
        <v>1215493.4347151422</v>
      </c>
      <c r="C352">
        <v>98881.712869287818</v>
      </c>
      <c r="D352">
        <v>110935.87676250031</v>
      </c>
      <c r="E352">
        <v>92810.361045805446</v>
      </c>
      <c r="F352">
        <v>42425.332687786533</v>
      </c>
      <c r="G352">
        <v>10000</v>
      </c>
      <c r="H352">
        <v>335053.28336538014</v>
      </c>
      <c r="I352">
        <v>44.45411773632464</v>
      </c>
    </row>
    <row r="353" spans="1:9" x14ac:dyDescent="0.2">
      <c r="A353">
        <v>343</v>
      </c>
      <c r="B353">
        <v>1573628.4485463337</v>
      </c>
      <c r="C353">
        <v>156371.49068956234</v>
      </c>
      <c r="D353">
        <v>89416.810978016831</v>
      </c>
      <c r="E353">
        <v>150965.14073530596</v>
      </c>
      <c r="F353">
        <v>46451.432820136564</v>
      </c>
      <c r="G353">
        <v>10000</v>
      </c>
      <c r="H353">
        <v>433204.87522302166</v>
      </c>
      <c r="I353">
        <v>29.226705806687455</v>
      </c>
    </row>
    <row r="354" spans="1:9" x14ac:dyDescent="0.2">
      <c r="A354">
        <v>344</v>
      </c>
      <c r="B354">
        <v>1593366.9398743981</v>
      </c>
      <c r="C354">
        <v>134378.27505776475</v>
      </c>
      <c r="D354">
        <v>69481.777033998689</v>
      </c>
      <c r="E354">
        <v>195237.94231087615</v>
      </c>
      <c r="F354">
        <v>49516.472929214506</v>
      </c>
      <c r="G354">
        <v>10000</v>
      </c>
      <c r="H354">
        <v>438614.46733185404</v>
      </c>
      <c r="I354">
        <v>33.164839327448455</v>
      </c>
    </row>
    <row r="355" spans="1:9" x14ac:dyDescent="0.2">
      <c r="A355">
        <v>345</v>
      </c>
      <c r="B355">
        <v>1258951.76028257</v>
      </c>
      <c r="C355">
        <v>137893.03803380733</v>
      </c>
      <c r="D355">
        <v>83611.729272299344</v>
      </c>
      <c r="E355">
        <v>93019.058482697073</v>
      </c>
      <c r="F355">
        <v>42439.78097187903</v>
      </c>
      <c r="G355">
        <v>10000</v>
      </c>
      <c r="H355">
        <v>346963.60676068277</v>
      </c>
      <c r="I355">
        <v>39.964897061208589</v>
      </c>
    </row>
    <row r="356" spans="1:9" x14ac:dyDescent="0.2">
      <c r="A356">
        <v>346</v>
      </c>
      <c r="B356">
        <v>1434889.0010261729</v>
      </c>
      <c r="C356">
        <v>142318.15046890086</v>
      </c>
      <c r="D356">
        <v>76204.327762151646</v>
      </c>
      <c r="E356">
        <v>140904.13252708336</v>
      </c>
      <c r="F356">
        <v>45754.901482644229</v>
      </c>
      <c r="G356">
        <v>10000</v>
      </c>
      <c r="H356">
        <v>395181.51224078017</v>
      </c>
      <c r="I356">
        <v>34.300414217003471</v>
      </c>
    </row>
    <row r="357" spans="1:9" x14ac:dyDescent="0.2">
      <c r="A357">
        <v>347</v>
      </c>
      <c r="B357">
        <v>1382684.768434165</v>
      </c>
      <c r="C357">
        <v>141926.29682082107</v>
      </c>
      <c r="D357">
        <v>73583.344410886595</v>
      </c>
      <c r="E357">
        <v>130341.00891868763</v>
      </c>
      <c r="F357">
        <v>45023.608309755291</v>
      </c>
      <c r="G357">
        <v>10000</v>
      </c>
      <c r="H357">
        <v>380874.25846015057</v>
      </c>
      <c r="I357">
        <v>28.649437606976637</v>
      </c>
    </row>
    <row r="358" spans="1:9" x14ac:dyDescent="0.2">
      <c r="A358">
        <v>348</v>
      </c>
      <c r="B358">
        <v>1243879.9569762722</v>
      </c>
      <c r="C358">
        <v>127702.39112351681</v>
      </c>
      <c r="D358">
        <v>104839.38618277537</v>
      </c>
      <c r="E358">
        <v>78833.500450890235</v>
      </c>
      <c r="F358">
        <v>41457.70387736932</v>
      </c>
      <c r="G358">
        <v>10000</v>
      </c>
      <c r="H358">
        <v>342832.98163455178</v>
      </c>
      <c r="I358">
        <v>32.479380635821983</v>
      </c>
    </row>
    <row r="359" spans="1:9" x14ac:dyDescent="0.2">
      <c r="A359">
        <v>349</v>
      </c>
      <c r="B359">
        <v>1637826.3141816317</v>
      </c>
      <c r="C359">
        <v>105582.25907611988</v>
      </c>
      <c r="D359">
        <v>137061.35610341406</v>
      </c>
      <c r="E359">
        <v>170361.28337276456</v>
      </c>
      <c r="F359">
        <v>47794.242695037545</v>
      </c>
      <c r="G359">
        <v>10000</v>
      </c>
      <c r="H359">
        <v>450799.14124733611</v>
      </c>
      <c r="I359">
        <v>32.891948203272392</v>
      </c>
    </row>
    <row r="360" spans="1:9" x14ac:dyDescent="0.2">
      <c r="A360">
        <v>350</v>
      </c>
      <c r="B360">
        <v>1496883.3378404989</v>
      </c>
      <c r="C360">
        <v>104887.27279117345</v>
      </c>
      <c r="D360">
        <v>108778.12104035198</v>
      </c>
      <c r="E360">
        <v>161336.99427636823</v>
      </c>
      <c r="F360">
        <v>47169.484219133185</v>
      </c>
      <c r="G360">
        <v>10000</v>
      </c>
      <c r="H360">
        <v>412171.87232702679</v>
      </c>
      <c r="I360">
        <v>32.953390076531676</v>
      </c>
    </row>
    <row r="361" spans="1:9" x14ac:dyDescent="0.2">
      <c r="A361">
        <v>351</v>
      </c>
      <c r="B361">
        <v>1728419.7949438104</v>
      </c>
      <c r="C361">
        <v>128739.12638927145</v>
      </c>
      <c r="D361">
        <v>159304.37470326017</v>
      </c>
      <c r="E361">
        <v>151121.69881241949</v>
      </c>
      <c r="F361">
        <v>46462.271456244431</v>
      </c>
      <c r="G361">
        <v>10000</v>
      </c>
      <c r="H361">
        <v>475627.47136119555</v>
      </c>
      <c r="I361">
        <v>41.333993747540269</v>
      </c>
    </row>
    <row r="362" spans="1:9" x14ac:dyDescent="0.2">
      <c r="A362">
        <v>352</v>
      </c>
      <c r="B362">
        <v>1327383.001784839</v>
      </c>
      <c r="C362">
        <v>115656.762997196</v>
      </c>
      <c r="D362">
        <v>91952.617517998529</v>
      </c>
      <c r="E362">
        <v>123554.90337734991</v>
      </c>
      <c r="F362">
        <v>44553.801003047301</v>
      </c>
      <c r="G362">
        <v>10000</v>
      </c>
      <c r="H362">
        <v>365718.08489559178</v>
      </c>
      <c r="I362">
        <v>51.448281008879327</v>
      </c>
    </row>
    <row r="363" spans="1:9" x14ac:dyDescent="0.2">
      <c r="A363">
        <v>353</v>
      </c>
      <c r="B363">
        <v>1795158.9925389399</v>
      </c>
      <c r="C363">
        <v>135679.86216868839</v>
      </c>
      <c r="D363">
        <v>115494.75450383165</v>
      </c>
      <c r="E363">
        <v>202709.84736267608</v>
      </c>
      <c r="F363">
        <v>50033.758663569883</v>
      </c>
      <c r="G363">
        <v>10000</v>
      </c>
      <c r="H363">
        <v>493918.22269876598</v>
      </c>
      <c r="I363">
        <v>28.260426758116282</v>
      </c>
    </row>
    <row r="364" spans="1:9" x14ac:dyDescent="0.2">
      <c r="A364">
        <v>354</v>
      </c>
      <c r="B364">
        <v>968794.19160250877</v>
      </c>
      <c r="C364">
        <v>125071.7222324911</v>
      </c>
      <c r="D364">
        <v>83901.894394660354</v>
      </c>
      <c r="E364">
        <v>30366.230107382937</v>
      </c>
      <c r="F364">
        <v>38102.277468972665</v>
      </c>
      <c r="G364">
        <v>10000</v>
      </c>
      <c r="H364">
        <v>267442.12420350703</v>
      </c>
      <c r="I364">
        <v>28.62698968789017</v>
      </c>
    </row>
    <row r="365" spans="1:9" x14ac:dyDescent="0.2">
      <c r="A365">
        <v>355</v>
      </c>
      <c r="B365">
        <v>1222874.8737733574</v>
      </c>
      <c r="C365">
        <v>92632.680741512959</v>
      </c>
      <c r="D365">
        <v>137242.16345928586</v>
      </c>
      <c r="E365">
        <v>75943.773380719242</v>
      </c>
      <c r="F365">
        <v>41257.645849434412</v>
      </c>
      <c r="G365">
        <v>10000</v>
      </c>
      <c r="H365">
        <v>337076.2634309525</v>
      </c>
      <c r="I365">
        <v>29.140039976354522</v>
      </c>
    </row>
    <row r="366" spans="1:9" x14ac:dyDescent="0.2">
      <c r="A366">
        <v>356</v>
      </c>
      <c r="B366">
        <v>1524948.6945964214</v>
      </c>
      <c r="C366">
        <v>127060.83785348907</v>
      </c>
      <c r="D366">
        <v>128093.0447848639</v>
      </c>
      <c r="E366">
        <v>129728.46679664102</v>
      </c>
      <c r="F366">
        <v>44981.201547459765</v>
      </c>
      <c r="G366">
        <v>10000</v>
      </c>
      <c r="H366">
        <v>419863.55098245374</v>
      </c>
      <c r="I366">
        <v>39.338340722607796</v>
      </c>
    </row>
    <row r="367" spans="1:9" x14ac:dyDescent="0.2">
      <c r="A367">
        <v>357</v>
      </c>
      <c r="B367">
        <v>1026814.8899941467</v>
      </c>
      <c r="C367">
        <v>116229.09158736403</v>
      </c>
      <c r="D367">
        <v>66123.649600460281</v>
      </c>
      <c r="E367">
        <v>70135.201490945532</v>
      </c>
      <c r="F367">
        <v>40855.513949373148</v>
      </c>
      <c r="G367">
        <v>10000</v>
      </c>
      <c r="H367">
        <v>283343.45662814297</v>
      </c>
      <c r="I367">
        <v>42.20110443197315</v>
      </c>
    </row>
    <row r="368" spans="1:9" x14ac:dyDescent="0.2">
      <c r="A368">
        <v>358</v>
      </c>
      <c r="B368">
        <v>1475713.6265985991</v>
      </c>
      <c r="C368">
        <v>134137.41304100808</v>
      </c>
      <c r="D368">
        <v>99049.467566311636</v>
      </c>
      <c r="E368">
        <v>137653.31047422008</v>
      </c>
      <c r="F368">
        <v>45529.84457129216</v>
      </c>
      <c r="G368">
        <v>10000</v>
      </c>
      <c r="H368">
        <v>406370.03565283195</v>
      </c>
      <c r="I368">
        <v>52.638640932074168</v>
      </c>
    </row>
    <row r="369" spans="1:9" x14ac:dyDescent="0.2">
      <c r="A369">
        <v>359</v>
      </c>
      <c r="B369">
        <v>1045050.000892513</v>
      </c>
      <c r="C369">
        <v>107663.36993089506</v>
      </c>
      <c r="D369">
        <v>60641.710889753631</v>
      </c>
      <c r="E369">
        <v>87947.288389382607</v>
      </c>
      <c r="F369">
        <v>42088.658426957256</v>
      </c>
      <c r="G369">
        <v>10000</v>
      </c>
      <c r="H369">
        <v>288341.02763698855</v>
      </c>
      <c r="I369">
        <v>28.188454592793175</v>
      </c>
    </row>
    <row r="370" spans="1:9" x14ac:dyDescent="0.2">
      <c r="A370">
        <v>360</v>
      </c>
      <c r="B370">
        <v>1452150.2571439883</v>
      </c>
      <c r="C370">
        <v>126408.92749524409</v>
      </c>
      <c r="D370">
        <v>68134.26017507854</v>
      </c>
      <c r="E370">
        <v>167755.1779106785</v>
      </c>
      <c r="F370">
        <v>47613.820009200819</v>
      </c>
      <c r="G370">
        <v>10000</v>
      </c>
      <c r="H370">
        <v>399912.18559020199</v>
      </c>
      <c r="I370">
        <v>32.151110480334978</v>
      </c>
    </row>
    <row r="371" spans="1:9" x14ac:dyDescent="0.2">
      <c r="A371">
        <v>361</v>
      </c>
      <c r="B371">
        <v>1101377.2488322211</v>
      </c>
      <c r="C371">
        <v>93918.881234830827</v>
      </c>
      <c r="D371">
        <v>66003.841911068186</v>
      </c>
      <c r="E371">
        <v>110224.59138652598</v>
      </c>
      <c r="F371">
        <v>43630.933249836409</v>
      </c>
      <c r="G371">
        <v>10000</v>
      </c>
      <c r="H371">
        <v>303778.24778226146</v>
      </c>
      <c r="I371">
        <v>33.248906987113827</v>
      </c>
    </row>
    <row r="372" spans="1:9" x14ac:dyDescent="0.2">
      <c r="A372">
        <v>362</v>
      </c>
      <c r="B372">
        <v>1240409.9972746605</v>
      </c>
      <c r="C372">
        <v>121997.90309827366</v>
      </c>
      <c r="D372">
        <v>88004.919531621214</v>
      </c>
      <c r="E372">
        <v>99023.685196196457</v>
      </c>
      <c r="F372">
        <v>42855.485898198211</v>
      </c>
      <c r="G372">
        <v>10000</v>
      </c>
      <c r="H372">
        <v>341881.99372428958</v>
      </c>
      <c r="I372">
        <v>28.113588653202584</v>
      </c>
    </row>
    <row r="373" spans="1:9" x14ac:dyDescent="0.2">
      <c r="A373">
        <v>363</v>
      </c>
      <c r="B373">
        <v>1551696.52810675</v>
      </c>
      <c r="C373">
        <v>116376.80173471445</v>
      </c>
      <c r="D373">
        <v>120375.12947308083</v>
      </c>
      <c r="E373">
        <v>153794.87633367002</v>
      </c>
      <c r="F373">
        <v>46647.337592331001</v>
      </c>
      <c r="G373">
        <v>10000</v>
      </c>
      <c r="H373">
        <v>427194.14513379626</v>
      </c>
      <c r="I373">
        <v>30.628707680088048</v>
      </c>
    </row>
    <row r="374" spans="1:9" x14ac:dyDescent="0.2">
      <c r="A374">
        <v>364</v>
      </c>
      <c r="B374">
        <v>1498101.1210317677</v>
      </c>
      <c r="C374">
        <v>105459.01634689876</v>
      </c>
      <c r="D374">
        <v>86743.27147567115</v>
      </c>
      <c r="E374">
        <v>181722.54253393348</v>
      </c>
      <c r="F374">
        <v>48580.791406195392</v>
      </c>
      <c r="G374">
        <v>10000</v>
      </c>
      <c r="H374">
        <v>412505.62176269875</v>
      </c>
      <c r="I374">
        <v>34.555977112538024</v>
      </c>
    </row>
    <row r="375" spans="1:9" x14ac:dyDescent="0.2">
      <c r="A375">
        <v>365</v>
      </c>
      <c r="B375">
        <v>1164327.6229737217</v>
      </c>
      <c r="C375">
        <v>145259.95365073884</v>
      </c>
      <c r="D375">
        <v>52177.162515982513</v>
      </c>
      <c r="E375">
        <v>91274.502252612641</v>
      </c>
      <c r="F375">
        <v>42319.004002103953</v>
      </c>
      <c r="G375">
        <v>10000</v>
      </c>
      <c r="H375">
        <v>321030.62242143793</v>
      </c>
      <c r="I375">
        <v>44.404652398260879</v>
      </c>
    </row>
    <row r="376" spans="1:9" x14ac:dyDescent="0.2">
      <c r="A376">
        <v>366</v>
      </c>
      <c r="B376">
        <v>1079009.6182157518</v>
      </c>
      <c r="C376">
        <v>95774.894171623702</v>
      </c>
      <c r="D376">
        <v>143214.84628568788</v>
      </c>
      <c r="E376">
        <v>30543.794748580633</v>
      </c>
      <c r="F376">
        <v>38114.570405670966</v>
      </c>
      <c r="G376">
        <v>10000</v>
      </c>
      <c r="H376">
        <v>297648.10561156314</v>
      </c>
      <c r="I376">
        <v>40.33195247328166</v>
      </c>
    </row>
    <row r="377" spans="1:9" x14ac:dyDescent="0.2">
      <c r="A377">
        <v>367</v>
      </c>
      <c r="B377">
        <v>1652777.7338692429</v>
      </c>
      <c r="C377">
        <v>144052.00911141589</v>
      </c>
      <c r="D377">
        <v>97053.006334274483</v>
      </c>
      <c r="E377">
        <v>175632.57963034185</v>
      </c>
      <c r="F377">
        <v>48159.1785897929</v>
      </c>
      <c r="G377">
        <v>10000</v>
      </c>
      <c r="H377">
        <v>454896.77366582514</v>
      </c>
      <c r="I377">
        <v>27.2803388374878</v>
      </c>
    </row>
    <row r="378" spans="1:9" x14ac:dyDescent="0.2">
      <c r="A378">
        <v>368</v>
      </c>
      <c r="B378">
        <v>1771255.2885033954</v>
      </c>
      <c r="C378">
        <v>146577.67798291339</v>
      </c>
      <c r="D378">
        <v>118624.93379067046</v>
      </c>
      <c r="E378">
        <v>183463.18994694538</v>
      </c>
      <c r="F378">
        <v>48701.297765557756</v>
      </c>
      <c r="G378">
        <v>10000</v>
      </c>
      <c r="H378">
        <v>487367.09948608698</v>
      </c>
      <c r="I378">
        <v>28.975370193827317</v>
      </c>
    </row>
    <row r="379" spans="1:9" x14ac:dyDescent="0.2">
      <c r="A379">
        <v>369</v>
      </c>
      <c r="B379">
        <v>1355026.5763864785</v>
      </c>
      <c r="C379">
        <v>120839.04356888824</v>
      </c>
      <c r="D379">
        <v>66171.603664816197</v>
      </c>
      <c r="E379">
        <v>149905.45166240851</v>
      </c>
      <c r="F379">
        <v>46378.069730474432</v>
      </c>
      <c r="G379">
        <v>10000</v>
      </c>
      <c r="H379">
        <v>373294.16862658743</v>
      </c>
      <c r="I379">
        <v>26.242289279658753</v>
      </c>
    </row>
    <row r="380" spans="1:9" x14ac:dyDescent="0.2">
      <c r="A380">
        <v>370</v>
      </c>
      <c r="B380">
        <v>1743728.8142171158</v>
      </c>
      <c r="C380">
        <v>167467.85615961329</v>
      </c>
      <c r="D380">
        <v>114653.08362469425</v>
      </c>
      <c r="E380">
        <v>160584.76223020293</v>
      </c>
      <c r="F380">
        <v>47117.406615937121</v>
      </c>
      <c r="G380">
        <v>10000</v>
      </c>
      <c r="H380">
        <v>479823.10863044765</v>
      </c>
      <c r="I380">
        <v>35.97869592790768</v>
      </c>
    </row>
    <row r="381" spans="1:9" x14ac:dyDescent="0.2">
      <c r="A381">
        <v>371</v>
      </c>
      <c r="B381">
        <v>1671084.0384329681</v>
      </c>
      <c r="C381">
        <v>92422.393534665622</v>
      </c>
      <c r="D381">
        <v>165950.45307837607</v>
      </c>
      <c r="E381">
        <v>164175.04496666908</v>
      </c>
      <c r="F381">
        <v>47365.964651538627</v>
      </c>
      <c r="G381">
        <v>10000</v>
      </c>
      <c r="H381">
        <v>459913.8562312494</v>
      </c>
      <c r="I381">
        <v>42.921702342050153</v>
      </c>
    </row>
    <row r="382" spans="1:9" x14ac:dyDescent="0.2">
      <c r="A382">
        <v>372</v>
      </c>
      <c r="B382">
        <v>820090.58184671937</v>
      </c>
      <c r="C382">
        <v>98459.587868972681</v>
      </c>
      <c r="D382">
        <v>68930.382541482526</v>
      </c>
      <c r="E382">
        <v>31141.997204740983</v>
      </c>
      <c r="F382">
        <v>38155.984421866684</v>
      </c>
      <c r="G382">
        <v>10000</v>
      </c>
      <c r="H382">
        <v>226687.95203706287</v>
      </c>
      <c r="I382">
        <v>34.379385805465247</v>
      </c>
    </row>
    <row r="383" spans="1:9" x14ac:dyDescent="0.2">
      <c r="A383">
        <v>373</v>
      </c>
      <c r="B383">
        <v>805896.7474483262</v>
      </c>
      <c r="C383">
        <v>101495.67981680422</v>
      </c>
      <c r="D383">
        <v>41636.078497173126</v>
      </c>
      <c r="E383">
        <v>50191.398359729908</v>
      </c>
      <c r="F383">
        <v>39474.789117212073</v>
      </c>
      <c r="G383">
        <v>10000</v>
      </c>
      <c r="H383">
        <v>222797.9457909193</v>
      </c>
      <c r="I383">
        <v>31.641861406482366</v>
      </c>
    </row>
    <row r="384" spans="1:9" x14ac:dyDescent="0.2">
      <c r="A384">
        <v>374</v>
      </c>
      <c r="B384">
        <v>1141897.5575670782</v>
      </c>
      <c r="C384">
        <v>138498.19503366904</v>
      </c>
      <c r="D384">
        <v>89041.430663200503</v>
      </c>
      <c r="E384">
        <v>57371.846421800248</v>
      </c>
      <c r="F384">
        <v>39971.89705997079</v>
      </c>
      <c r="G384">
        <v>10000</v>
      </c>
      <c r="H384">
        <v>314883.36917864054</v>
      </c>
      <c r="I384">
        <v>34.916693385742647</v>
      </c>
    </row>
    <row r="385" spans="1:9" x14ac:dyDescent="0.2">
      <c r="A385">
        <v>375</v>
      </c>
      <c r="B385">
        <v>1267800.6513340974</v>
      </c>
      <c r="C385">
        <v>85663.034658577395</v>
      </c>
      <c r="D385">
        <v>45733.834014693995</v>
      </c>
      <c r="E385">
        <v>179560.76285801738</v>
      </c>
      <c r="F385">
        <v>48431.129736324277</v>
      </c>
      <c r="G385">
        <v>10000</v>
      </c>
      <c r="H385">
        <v>349388.76126761304</v>
      </c>
      <c r="I385">
        <v>32.250755744865572</v>
      </c>
    </row>
    <row r="386" spans="1:9" x14ac:dyDescent="0.2">
      <c r="A386">
        <v>376</v>
      </c>
      <c r="B386">
        <v>1184647.8573690564</v>
      </c>
      <c r="C386">
        <v>74648.952515500583</v>
      </c>
      <c r="D386">
        <v>43410.120677014376</v>
      </c>
      <c r="E386">
        <v>170721.40168309092</v>
      </c>
      <c r="F386">
        <v>47819.173962675522</v>
      </c>
      <c r="G386">
        <v>10000</v>
      </c>
      <c r="H386">
        <v>326599.6488382814</v>
      </c>
      <c r="I386">
        <v>42.982382870257823</v>
      </c>
    </row>
    <row r="387" spans="1:9" x14ac:dyDescent="0.2">
      <c r="A387">
        <v>377</v>
      </c>
      <c r="B387">
        <v>863468.03880285472</v>
      </c>
      <c r="C387">
        <v>104921.53810752057</v>
      </c>
      <c r="D387">
        <v>78014.234041469361</v>
      </c>
      <c r="E387">
        <v>27721.18146436516</v>
      </c>
      <c r="F387">
        <v>37919.158716763748</v>
      </c>
      <c r="G387">
        <v>10000</v>
      </c>
      <c r="H387">
        <v>238576.11233011883</v>
      </c>
      <c r="I387">
        <v>36.234083653999861</v>
      </c>
    </row>
    <row r="388" spans="1:9" x14ac:dyDescent="0.2">
      <c r="A388">
        <v>378</v>
      </c>
      <c r="B388">
        <v>1703400.6967051399</v>
      </c>
      <c r="C388">
        <v>113967.19774446481</v>
      </c>
      <c r="D388">
        <v>168327.37459276052</v>
      </c>
      <c r="E388">
        <v>150085.54938471722</v>
      </c>
      <c r="F388">
        <v>46390.538034326572</v>
      </c>
      <c r="G388">
        <v>10000</v>
      </c>
      <c r="H388">
        <v>468770.65975626913</v>
      </c>
      <c r="I388">
        <v>27.2571733366633</v>
      </c>
    </row>
    <row r="389" spans="1:9" x14ac:dyDescent="0.2">
      <c r="A389">
        <v>379</v>
      </c>
      <c r="B389">
        <v>873780.6276930212</v>
      </c>
      <c r="C389">
        <v>95982.640246213385</v>
      </c>
      <c r="D389">
        <v>41732.511863395142</v>
      </c>
      <c r="E389">
        <v>72657.149914815498</v>
      </c>
      <c r="F389">
        <v>41030.110378717989</v>
      </c>
      <c r="G389">
        <v>10000</v>
      </c>
      <c r="H389">
        <v>241402.41240314202</v>
      </c>
      <c r="I389">
        <v>32.709253143455577</v>
      </c>
    </row>
    <row r="390" spans="1:9" x14ac:dyDescent="0.2">
      <c r="A390">
        <v>380</v>
      </c>
      <c r="B390">
        <v>1817742.0627718221</v>
      </c>
      <c r="C390">
        <v>101403.93520181527</v>
      </c>
      <c r="D390">
        <v>162870.22245133191</v>
      </c>
      <c r="E390">
        <v>196246.92564380824</v>
      </c>
      <c r="F390">
        <v>49586.325621494412</v>
      </c>
      <c r="G390">
        <v>10000</v>
      </c>
      <c r="H390">
        <v>500107.40891844989</v>
      </c>
      <c r="I390">
        <v>47.014048135546176</v>
      </c>
    </row>
    <row r="391" spans="1:9" x14ac:dyDescent="0.2">
      <c r="A391">
        <v>381</v>
      </c>
      <c r="B391">
        <v>1729294.3953945381</v>
      </c>
      <c r="C391">
        <v>125979.20999710185</v>
      </c>
      <c r="D391">
        <v>122040.87827389993</v>
      </c>
      <c r="E391">
        <v>188777.84348235815</v>
      </c>
      <c r="F391">
        <v>49069.235318009407</v>
      </c>
      <c r="G391">
        <v>10000</v>
      </c>
      <c r="H391">
        <v>475867.1670713693</v>
      </c>
      <c r="I391">
        <v>30.589281307917492</v>
      </c>
    </row>
    <row r="392" spans="1:9" x14ac:dyDescent="0.2">
      <c r="A392">
        <v>382</v>
      </c>
      <c r="B392">
        <v>1055691.1478888141</v>
      </c>
      <c r="C392">
        <v>117764.68490966462</v>
      </c>
      <c r="D392">
        <v>67240.856921459301</v>
      </c>
      <c r="E392">
        <v>75055.669777899951</v>
      </c>
      <c r="F392">
        <v>41196.161753854612</v>
      </c>
      <c r="G392">
        <v>10000</v>
      </c>
      <c r="H392">
        <v>291257.37336287851</v>
      </c>
      <c r="I392">
        <v>34.157826800382288</v>
      </c>
    </row>
    <row r="393" spans="1:9" x14ac:dyDescent="0.2">
      <c r="A393">
        <v>383</v>
      </c>
      <c r="B393">
        <v>1452793.163863088</v>
      </c>
      <c r="C393">
        <v>106829.13635137952</v>
      </c>
      <c r="D393">
        <v>82299.748638298173</v>
      </c>
      <c r="E393">
        <v>172983.70279933535</v>
      </c>
      <c r="F393">
        <v>47975.794809184757</v>
      </c>
      <c r="G393">
        <v>10000</v>
      </c>
      <c r="H393">
        <v>400088.38259819779</v>
      </c>
      <c r="I393">
        <v>35.529742364998214</v>
      </c>
    </row>
    <row r="394" spans="1:9" x14ac:dyDescent="0.2">
      <c r="A394">
        <v>384</v>
      </c>
      <c r="B394">
        <v>1118503.0445300536</v>
      </c>
      <c r="C394">
        <v>100579.28766774462</v>
      </c>
      <c r="D394">
        <v>83048.405600896629</v>
      </c>
      <c r="E394">
        <v>92444.125258030239</v>
      </c>
      <c r="F394">
        <v>42399.977902479011</v>
      </c>
      <c r="G394">
        <v>10000</v>
      </c>
      <c r="H394">
        <v>308471.7964291505</v>
      </c>
      <c r="I394">
        <v>35.466569052584553</v>
      </c>
    </row>
    <row r="395" spans="1:9" x14ac:dyDescent="0.2">
      <c r="A395">
        <v>385</v>
      </c>
      <c r="B395">
        <v>1602466.6991955668</v>
      </c>
      <c r="C395">
        <v>128023.67115821931</v>
      </c>
      <c r="D395">
        <v>130126.2298859594</v>
      </c>
      <c r="E395">
        <v>146795.69560368973</v>
      </c>
      <c r="F395">
        <v>46162.778926409286</v>
      </c>
      <c r="G395">
        <v>10000</v>
      </c>
      <c r="H395">
        <v>441108.37557427771</v>
      </c>
      <c r="I395">
        <v>32.315616949925541</v>
      </c>
    </row>
    <row r="396" spans="1:9" x14ac:dyDescent="0.2">
      <c r="A396">
        <v>386</v>
      </c>
      <c r="B396">
        <v>1302705.6223941385</v>
      </c>
      <c r="C396">
        <v>104608.22860746521</v>
      </c>
      <c r="D396">
        <v>64601.492140572635</v>
      </c>
      <c r="E396">
        <v>153142.99754672498</v>
      </c>
      <c r="F396">
        <v>46602.207522465571</v>
      </c>
      <c r="G396">
        <v>10000</v>
      </c>
      <c r="H396">
        <v>358954.92581722839</v>
      </c>
      <c r="I396">
        <v>32.298311894265474</v>
      </c>
    </row>
    <row r="397" spans="1:9" x14ac:dyDescent="0.2">
      <c r="A397">
        <v>387</v>
      </c>
      <c r="B397">
        <v>1431225.0467819022</v>
      </c>
      <c r="C397">
        <v>102440.69549675944</v>
      </c>
      <c r="D397">
        <v>97626.277454040697</v>
      </c>
      <c r="E397">
        <v>157225.53958585809</v>
      </c>
      <c r="F397">
        <v>46884.845048251707</v>
      </c>
      <c r="G397">
        <v>10000</v>
      </c>
      <c r="H397">
        <v>394177.35758490989</v>
      </c>
      <c r="I397">
        <v>37.36823519978249</v>
      </c>
    </row>
    <row r="398" spans="1:9" x14ac:dyDescent="0.2">
      <c r="A398">
        <v>388</v>
      </c>
      <c r="B398">
        <v>1223323.5731824907</v>
      </c>
      <c r="C398">
        <v>98487.526597523189</v>
      </c>
      <c r="D398">
        <v>119610.69040588014</v>
      </c>
      <c r="E398">
        <v>87072.894886151204</v>
      </c>
      <c r="F398">
        <v>42028.12349211816</v>
      </c>
      <c r="G398">
        <v>10000</v>
      </c>
      <c r="H398">
        <v>337199.23538167268</v>
      </c>
      <c r="I398">
        <v>32.672426413837961</v>
      </c>
    </row>
    <row r="399" spans="1:9" x14ac:dyDescent="0.2">
      <c r="A399">
        <v>389</v>
      </c>
      <c r="B399">
        <v>1351213.8707144405</v>
      </c>
      <c r="C399">
        <v>114734.41031300963</v>
      </c>
      <c r="D399">
        <v>94346.134490790602</v>
      </c>
      <c r="E399">
        <v>128287.27514854494</v>
      </c>
      <c r="F399">
        <v>44881.426741053103</v>
      </c>
      <c r="G399">
        <v>10000</v>
      </c>
      <c r="H399">
        <v>372249.24669339828</v>
      </c>
      <c r="I399">
        <v>38.192378749207975</v>
      </c>
    </row>
    <row r="400" spans="1:9" x14ac:dyDescent="0.2">
      <c r="A400">
        <v>390</v>
      </c>
      <c r="B400">
        <v>1316151.7383630653</v>
      </c>
      <c r="C400">
        <v>92613.137259728755</v>
      </c>
      <c r="D400">
        <v>153532.12957324757</v>
      </c>
      <c r="E400">
        <v>84635.371338329642</v>
      </c>
      <c r="F400">
        <v>41859.371861884356</v>
      </c>
      <c r="G400">
        <v>10000</v>
      </c>
      <c r="H400">
        <v>362640.01003319031</v>
      </c>
      <c r="I400">
        <v>42.390722157527073</v>
      </c>
    </row>
    <row r="401" spans="1:9" x14ac:dyDescent="0.2">
      <c r="A401">
        <v>391</v>
      </c>
      <c r="B401">
        <v>1372672.9050850142</v>
      </c>
      <c r="C401">
        <v>155781.60367077051</v>
      </c>
      <c r="D401">
        <v>74198.615120241608</v>
      </c>
      <c r="E401">
        <v>114241.15437474898</v>
      </c>
      <c r="F401">
        <v>43909.002995174931</v>
      </c>
      <c r="G401">
        <v>10000</v>
      </c>
      <c r="H401">
        <v>378130.37616093608</v>
      </c>
      <c r="I401">
        <v>31.637436210413618</v>
      </c>
    </row>
    <row r="402" spans="1:9" x14ac:dyDescent="0.2">
      <c r="A402">
        <v>392</v>
      </c>
      <c r="B402">
        <v>1224997.4627273954</v>
      </c>
      <c r="C402">
        <v>115318.54164240454</v>
      </c>
      <c r="D402">
        <v>112544.00192130677</v>
      </c>
      <c r="E402">
        <v>78369.838940198664</v>
      </c>
      <c r="F402">
        <v>41425.604234321443</v>
      </c>
      <c r="G402">
        <v>10000</v>
      </c>
      <c r="H402">
        <v>337657.98673823144</v>
      </c>
      <c r="I402">
        <v>43.680035043171699</v>
      </c>
    </row>
    <row r="403" spans="1:9" x14ac:dyDescent="0.2">
      <c r="A403">
        <v>393</v>
      </c>
      <c r="B403">
        <v>1212014.6943449478</v>
      </c>
      <c r="C403">
        <v>88422.259200235756</v>
      </c>
      <c r="D403">
        <v>47524.246873290918</v>
      </c>
      <c r="E403">
        <v>161006.76100838071</v>
      </c>
      <c r="F403">
        <v>47146.62191596481</v>
      </c>
      <c r="G403">
        <v>10000</v>
      </c>
      <c r="H403">
        <v>334099.88899787219</v>
      </c>
      <c r="I403">
        <v>33.905027677984648</v>
      </c>
    </row>
    <row r="404" spans="1:9" x14ac:dyDescent="0.2">
      <c r="A404">
        <v>394</v>
      </c>
      <c r="B404">
        <v>890905.75906428602</v>
      </c>
      <c r="C404">
        <v>100535.58760664779</v>
      </c>
      <c r="D404">
        <v>89514.800434481484</v>
      </c>
      <c r="E404">
        <v>28100.005916514303</v>
      </c>
      <c r="F404">
        <v>37945.385024989453</v>
      </c>
      <c r="G404">
        <v>10000</v>
      </c>
      <c r="H404">
        <v>246095.77898263306</v>
      </c>
      <c r="I404">
        <v>28.749418872676685</v>
      </c>
    </row>
    <row r="405" spans="1:9" x14ac:dyDescent="0.2">
      <c r="A405">
        <v>395</v>
      </c>
      <c r="B405">
        <v>1302097.0910949444</v>
      </c>
      <c r="C405">
        <v>83895.099512372632</v>
      </c>
      <c r="D405">
        <v>85883.598516097889</v>
      </c>
      <c r="E405">
        <v>152454.88299233478</v>
      </c>
      <c r="F405">
        <v>46554.568822546251</v>
      </c>
      <c r="G405">
        <v>10000</v>
      </c>
      <c r="H405">
        <v>358788.14984335157</v>
      </c>
      <c r="I405">
        <v>26.591060053620872</v>
      </c>
    </row>
    <row r="406" spans="1:9" x14ac:dyDescent="0.2">
      <c r="A406">
        <v>396</v>
      </c>
      <c r="B406">
        <v>1496973.3817309618</v>
      </c>
      <c r="C406">
        <v>120974.13524364184</v>
      </c>
      <c r="D406">
        <v>113354.70321272968</v>
      </c>
      <c r="E406">
        <v>142034.55039701654</v>
      </c>
      <c r="F406">
        <v>45833.161181331918</v>
      </c>
      <c r="G406">
        <v>10000</v>
      </c>
      <c r="H406">
        <v>412196.55003471993</v>
      </c>
      <c r="I406">
        <v>34.013670819950548</v>
      </c>
    </row>
    <row r="407" spans="1:9" x14ac:dyDescent="0.2">
      <c r="A407">
        <v>397</v>
      </c>
      <c r="B407">
        <v>1404056.2869343576</v>
      </c>
      <c r="C407">
        <v>109536.66452974516</v>
      </c>
      <c r="D407">
        <v>99752.154983687346</v>
      </c>
      <c r="E407">
        <v>141636.94863788184</v>
      </c>
      <c r="F407">
        <v>45805.634905699517</v>
      </c>
      <c r="G407">
        <v>10000</v>
      </c>
      <c r="H407">
        <v>386731.40305701387</v>
      </c>
      <c r="I407">
        <v>33.728756544717484</v>
      </c>
    </row>
    <row r="408" spans="1:9" x14ac:dyDescent="0.2">
      <c r="A408">
        <v>398</v>
      </c>
      <c r="B408">
        <v>1335343.1180225466</v>
      </c>
      <c r="C408">
        <v>145129.44881888703</v>
      </c>
      <c r="D408">
        <v>98174.365011514776</v>
      </c>
      <c r="E408">
        <v>92211.941546537448</v>
      </c>
      <c r="F408">
        <v>42383.903645529521</v>
      </c>
      <c r="G408">
        <v>10000</v>
      </c>
      <c r="H408">
        <v>367899.65902246878</v>
      </c>
      <c r="I408">
        <v>31.640114648434693</v>
      </c>
    </row>
    <row r="409" spans="1:9" x14ac:dyDescent="0.2">
      <c r="A409">
        <v>399</v>
      </c>
      <c r="B409">
        <v>1211634.3158287236</v>
      </c>
      <c r="C409">
        <v>144898.96799691865</v>
      </c>
      <c r="D409">
        <v>69162.996503916322</v>
      </c>
      <c r="E409">
        <v>87851.64015580347</v>
      </c>
      <c r="F409">
        <v>42082.036626171015</v>
      </c>
      <c r="G409">
        <v>10000</v>
      </c>
      <c r="H409">
        <v>333995.64128280949</v>
      </c>
      <c r="I409">
        <v>36.036158118781557</v>
      </c>
    </row>
    <row r="410" spans="1:9" x14ac:dyDescent="0.2">
      <c r="A410">
        <v>400</v>
      </c>
      <c r="B410">
        <v>1122500.8207928382</v>
      </c>
      <c r="C410">
        <v>111783.07571901653</v>
      </c>
      <c r="D410">
        <v>84115.622374984669</v>
      </c>
      <c r="E410">
        <v>81992.347967219743</v>
      </c>
      <c r="F410">
        <v>41676.393320807525</v>
      </c>
      <c r="G410">
        <v>10000</v>
      </c>
      <c r="H410">
        <v>309567.43938202847</v>
      </c>
      <c r="I410">
        <v>37.179370643918581</v>
      </c>
    </row>
    <row r="411" spans="1:9" x14ac:dyDescent="0.2">
      <c r="A411">
        <v>401</v>
      </c>
      <c r="B411">
        <v>1193409.2312947107</v>
      </c>
      <c r="C411">
        <v>116767.71244342881</v>
      </c>
      <c r="D411">
        <v>49878.329253660624</v>
      </c>
      <c r="E411">
        <v>127526.04990170716</v>
      </c>
      <c r="F411">
        <v>44828.726531656655</v>
      </c>
      <c r="G411">
        <v>10000</v>
      </c>
      <c r="H411">
        <v>329000.81813045323</v>
      </c>
      <c r="I411">
        <v>34.301014219377073</v>
      </c>
    </row>
    <row r="412" spans="1:9" x14ac:dyDescent="0.2">
      <c r="A412">
        <v>402</v>
      </c>
      <c r="B412">
        <v>1397230.6146815554</v>
      </c>
      <c r="C412">
        <v>85138.48805978286</v>
      </c>
      <c r="D412">
        <v>89751.007192212841</v>
      </c>
      <c r="E412">
        <v>172059.43581756213</v>
      </c>
      <c r="F412">
        <v>47911.807095061995</v>
      </c>
      <c r="G412">
        <v>10000</v>
      </c>
      <c r="H412">
        <v>384860.73816461978</v>
      </c>
      <c r="I412">
        <v>42.833864095349099</v>
      </c>
    </row>
    <row r="413" spans="1:9" x14ac:dyDescent="0.2">
      <c r="A413">
        <v>403</v>
      </c>
      <c r="B413">
        <v>1558363.4423096743</v>
      </c>
      <c r="C413">
        <v>124560.13142550478</v>
      </c>
      <c r="D413">
        <v>121835.07273379424</v>
      </c>
      <c r="E413">
        <v>146484.83812001027</v>
      </c>
      <c r="F413">
        <v>46141.258023693023</v>
      </c>
      <c r="G413">
        <v>10000</v>
      </c>
      <c r="H413">
        <v>429021.30030300235</v>
      </c>
      <c r="I413">
        <v>47.870838678293801</v>
      </c>
    </row>
    <row r="414" spans="1:9" x14ac:dyDescent="0.2">
      <c r="A414">
        <v>404</v>
      </c>
      <c r="B414">
        <v>1449467.6418755017</v>
      </c>
      <c r="C414">
        <v>133980.84828407303</v>
      </c>
      <c r="D414">
        <v>119214.20621417924</v>
      </c>
      <c r="E414">
        <v>112213.31137296259</v>
      </c>
      <c r="F414">
        <v>43768.613864282022</v>
      </c>
      <c r="G414">
        <v>10000</v>
      </c>
      <c r="H414">
        <v>399176.97973549692</v>
      </c>
      <c r="I414">
        <v>37.269406098181562</v>
      </c>
    </row>
    <row r="415" spans="1:9" x14ac:dyDescent="0.2">
      <c r="A415">
        <v>405</v>
      </c>
      <c r="B415">
        <v>884498.64400089276</v>
      </c>
      <c r="C415">
        <v>101203.08196469018</v>
      </c>
      <c r="D415">
        <v>86321.710221161818</v>
      </c>
      <c r="E415">
        <v>28819.815021895509</v>
      </c>
      <c r="F415">
        <v>37995.217963054303</v>
      </c>
      <c r="G415">
        <v>10000</v>
      </c>
      <c r="H415">
        <v>244339.82517080184</v>
      </c>
      <c r="I415">
        <v>49.221828728034446</v>
      </c>
    </row>
    <row r="416" spans="1:9" x14ac:dyDescent="0.2">
      <c r="A416">
        <v>406</v>
      </c>
      <c r="B416">
        <v>1494227.5686601275</v>
      </c>
      <c r="C416">
        <v>84477.784492513398</v>
      </c>
      <c r="D416">
        <v>133110.87428482226</v>
      </c>
      <c r="E416">
        <v>156987.03221743077</v>
      </c>
      <c r="F416">
        <v>46868.332999668281</v>
      </c>
      <c r="G416">
        <v>10000</v>
      </c>
      <c r="H416">
        <v>411444.02399443468</v>
      </c>
      <c r="I416">
        <v>32.272253528283137</v>
      </c>
    </row>
    <row r="417" spans="1:9" x14ac:dyDescent="0.2">
      <c r="A417">
        <v>407</v>
      </c>
      <c r="B417">
        <v>1367660.7128993648</v>
      </c>
      <c r="C417">
        <v>81645.088768402158</v>
      </c>
      <c r="D417">
        <v>48953.870242405137</v>
      </c>
      <c r="E417">
        <v>205902.94121804993</v>
      </c>
      <c r="F417">
        <v>50254.819007403457</v>
      </c>
      <c r="G417">
        <v>10000</v>
      </c>
      <c r="H417">
        <v>376756.71923626069</v>
      </c>
      <c r="I417">
        <v>38.353189508619948</v>
      </c>
    </row>
    <row r="418" spans="1:9" x14ac:dyDescent="0.2">
      <c r="A418">
        <v>408</v>
      </c>
      <c r="B418">
        <v>1408656.9004101616</v>
      </c>
      <c r="C418">
        <v>93267.777960806139</v>
      </c>
      <c r="D418">
        <v>101434.83318232158</v>
      </c>
      <c r="E418">
        <v>156457.94632536478</v>
      </c>
      <c r="F418">
        <v>46831.703976371413</v>
      </c>
      <c r="G418">
        <v>10000</v>
      </c>
      <c r="H418">
        <v>387992.26144486398</v>
      </c>
      <c r="I418">
        <v>29.622167550037471</v>
      </c>
    </row>
    <row r="419" spans="1:9" x14ac:dyDescent="0.2">
      <c r="A419">
        <v>409</v>
      </c>
      <c r="B419">
        <v>1054802.3121633257</v>
      </c>
      <c r="C419">
        <v>109984.61580269528</v>
      </c>
      <c r="D419">
        <v>102569.85726065465</v>
      </c>
      <c r="E419">
        <v>49062.657693226633</v>
      </c>
      <c r="F419">
        <v>39396.645532608003</v>
      </c>
      <c r="G419">
        <v>10000</v>
      </c>
      <c r="H419">
        <v>291013.77628918458</v>
      </c>
      <c r="I419">
        <v>29.743742519157912</v>
      </c>
    </row>
    <row r="420" spans="1:9" x14ac:dyDescent="0.2">
      <c r="A420">
        <v>410</v>
      </c>
      <c r="B420">
        <v>1024892.873099794</v>
      </c>
      <c r="C420">
        <v>115303.53711398933</v>
      </c>
      <c r="D420">
        <v>48260.580877300497</v>
      </c>
      <c r="E420">
        <v>87214.647589100234</v>
      </c>
      <c r="F420">
        <v>42037.937140783863</v>
      </c>
      <c r="G420">
        <v>10000</v>
      </c>
      <c r="H420">
        <v>282816.70272117393</v>
      </c>
      <c r="I420">
        <v>39.199570661072443</v>
      </c>
    </row>
    <row r="421" spans="1:9" x14ac:dyDescent="0.2">
      <c r="A421">
        <v>411</v>
      </c>
      <c r="B421">
        <v>1479822.8260565742</v>
      </c>
      <c r="C421">
        <v>85922.113451362515</v>
      </c>
      <c r="D421">
        <v>94931.642766956385</v>
      </c>
      <c r="E421">
        <v>187651.22099689086</v>
      </c>
      <c r="F421">
        <v>48991.238376707828</v>
      </c>
      <c r="G421">
        <v>10000</v>
      </c>
      <c r="H421">
        <v>407496.21559191757</v>
      </c>
      <c r="I421">
        <v>38.817683501392594</v>
      </c>
    </row>
    <row r="422" spans="1:9" x14ac:dyDescent="0.2">
      <c r="A422">
        <v>412</v>
      </c>
      <c r="B422">
        <v>828336.96259441925</v>
      </c>
      <c r="C422">
        <v>94148.712412296867</v>
      </c>
      <c r="D422">
        <v>47981.704695692264</v>
      </c>
      <c r="E422">
        <v>56879.735736123461</v>
      </c>
      <c r="F422">
        <v>39937.827858654702</v>
      </c>
      <c r="G422">
        <v>10000</v>
      </c>
      <c r="H422">
        <v>228947.98070276729</v>
      </c>
      <c r="I422">
        <v>46.297946139433151</v>
      </c>
    </row>
    <row r="423" spans="1:9" x14ac:dyDescent="0.2">
      <c r="A423">
        <v>413</v>
      </c>
      <c r="B423">
        <v>989724.19872357755</v>
      </c>
      <c r="C423">
        <v>100349.71137645577</v>
      </c>
      <c r="D423">
        <v>74450.603097692656</v>
      </c>
      <c r="E423">
        <v>67691.610110841182</v>
      </c>
      <c r="F423">
        <v>40686.342238442856</v>
      </c>
      <c r="G423">
        <v>10000</v>
      </c>
      <c r="H423">
        <v>273178.26682343247</v>
      </c>
      <c r="I423">
        <v>35.932364863571863</v>
      </c>
    </row>
    <row r="424" spans="1:9" x14ac:dyDescent="0.2">
      <c r="A424">
        <v>414</v>
      </c>
      <c r="B424">
        <v>1248640.0717077896</v>
      </c>
      <c r="C424">
        <v>114150.78079558523</v>
      </c>
      <c r="D424">
        <v>102704.02996834781</v>
      </c>
      <c r="E424">
        <v>94724.867242472639</v>
      </c>
      <c r="F424">
        <v>42557.875424478872</v>
      </c>
      <c r="G424">
        <v>10000</v>
      </c>
      <c r="H424">
        <v>344137.55343088461</v>
      </c>
      <c r="I424">
        <v>48.36904629677651</v>
      </c>
    </row>
    <row r="425" spans="1:9" x14ac:dyDescent="0.2">
      <c r="A425">
        <v>415</v>
      </c>
      <c r="B425">
        <v>1066957.3976622408</v>
      </c>
      <c r="C425">
        <v>99045.694234377457</v>
      </c>
      <c r="D425">
        <v>88978.577108460799</v>
      </c>
      <c r="E425">
        <v>75120.140255778068</v>
      </c>
      <c r="F425">
        <v>41200.625094630792</v>
      </c>
      <c r="G425">
        <v>10000</v>
      </c>
      <c r="H425">
        <v>294345.03669324709</v>
      </c>
      <c r="I425">
        <v>33.194562273232293</v>
      </c>
    </row>
    <row r="426" spans="1:9" x14ac:dyDescent="0.2">
      <c r="A426">
        <v>416</v>
      </c>
      <c r="B426">
        <v>1504293.8558029952</v>
      </c>
      <c r="C426">
        <v>114192.93747048163</v>
      </c>
      <c r="D426">
        <v>65826.982739067069</v>
      </c>
      <c r="E426">
        <v>194703.43318632123</v>
      </c>
      <c r="F426">
        <v>49479.468451360699</v>
      </c>
      <c r="G426">
        <v>10000</v>
      </c>
      <c r="H426">
        <v>414202.82184723066</v>
      </c>
      <c r="I426">
        <v>44.703788283444382</v>
      </c>
    </row>
    <row r="427" spans="1:9" x14ac:dyDescent="0.2">
      <c r="A427">
        <v>417</v>
      </c>
      <c r="B427">
        <v>1470967.6468867846</v>
      </c>
      <c r="C427">
        <v>90854.789188036535</v>
      </c>
      <c r="D427">
        <v>108460.5944614866</v>
      </c>
      <c r="E427">
        <v>168115.20886515814</v>
      </c>
      <c r="F427">
        <v>47638.745229126325</v>
      </c>
      <c r="G427">
        <v>10000</v>
      </c>
      <c r="H427">
        <v>405069.33774380758</v>
      </c>
      <c r="I427">
        <v>29.777787139772357</v>
      </c>
    </row>
    <row r="428" spans="1:9" x14ac:dyDescent="0.2">
      <c r="A428">
        <v>418</v>
      </c>
      <c r="B428">
        <v>1177505.6295760623</v>
      </c>
      <c r="C428">
        <v>106680.81220808608</v>
      </c>
      <c r="D428">
        <v>67997.078949600676</v>
      </c>
      <c r="E428">
        <v>115937.86875862048</v>
      </c>
      <c r="F428">
        <v>44026.467837135264</v>
      </c>
      <c r="G428">
        <v>10000</v>
      </c>
      <c r="H428">
        <v>324642.22775344248</v>
      </c>
      <c r="I428">
        <v>36.582170365567777</v>
      </c>
    </row>
    <row r="429" spans="1:9" x14ac:dyDescent="0.2">
      <c r="A429">
        <v>419</v>
      </c>
      <c r="B429">
        <v>1240512.6760389484</v>
      </c>
      <c r="C429">
        <v>90104.999231514579</v>
      </c>
      <c r="D429">
        <v>70958.75786764927</v>
      </c>
      <c r="E429">
        <v>144820.35266989068</v>
      </c>
      <c r="F429">
        <v>46026.024415607812</v>
      </c>
      <c r="G429">
        <v>10000</v>
      </c>
      <c r="H429">
        <v>341910.13418466231</v>
      </c>
      <c r="I429">
        <v>44.613981656475467</v>
      </c>
    </row>
    <row r="430" spans="1:9" x14ac:dyDescent="0.2">
      <c r="A430">
        <v>420</v>
      </c>
      <c r="B430">
        <v>1603602.1584513276</v>
      </c>
      <c r="C430">
        <v>124312.37142164308</v>
      </c>
      <c r="D430">
        <v>145814.81119186975</v>
      </c>
      <c r="E430">
        <v>135884.96012703783</v>
      </c>
      <c r="F430">
        <v>45407.420316487238</v>
      </c>
      <c r="G430">
        <v>10000</v>
      </c>
      <c r="H430">
        <v>441419.56305703794</v>
      </c>
      <c r="I430">
        <v>25.410079717940611</v>
      </c>
    </row>
    <row r="431" spans="1:9" x14ac:dyDescent="0.2">
      <c r="A431">
        <v>421</v>
      </c>
      <c r="B431">
        <v>865936.47983943135</v>
      </c>
      <c r="C431">
        <v>95628.384943266297</v>
      </c>
      <c r="D431">
        <v>37154.023407096654</v>
      </c>
      <c r="E431">
        <v>75259.911046673456</v>
      </c>
      <c r="F431">
        <v>41210.301534000471</v>
      </c>
      <c r="G431">
        <v>10000</v>
      </c>
      <c r="H431">
        <v>239252.62093103689</v>
      </c>
      <c r="I431">
        <v>25.473346208634791</v>
      </c>
    </row>
    <row r="432" spans="1:9" x14ac:dyDescent="0.2">
      <c r="A432">
        <v>422</v>
      </c>
      <c r="B432">
        <v>1327831.0342150922</v>
      </c>
      <c r="C432">
        <v>100986.98941323521</v>
      </c>
      <c r="D432">
        <v>50322.992678466981</v>
      </c>
      <c r="E432">
        <v>176323.85579021869</v>
      </c>
      <c r="F432">
        <v>48207.036170092062</v>
      </c>
      <c r="G432">
        <v>10000</v>
      </c>
      <c r="H432">
        <v>365840.87405201292</v>
      </c>
      <c r="I432">
        <v>33.835448672002478</v>
      </c>
    </row>
    <row r="433" spans="1:9" x14ac:dyDescent="0.2">
      <c r="A433">
        <v>423</v>
      </c>
      <c r="B433">
        <v>1461851.8714286482</v>
      </c>
      <c r="C433">
        <v>93874.618897900509</v>
      </c>
      <c r="D433">
        <v>103400.92437926822</v>
      </c>
      <c r="E433">
        <v>167686.43584870701</v>
      </c>
      <c r="F433">
        <v>47609.060943372024</v>
      </c>
      <c r="G433">
        <v>10000</v>
      </c>
      <c r="H433">
        <v>402571.04006924777</v>
      </c>
      <c r="I433">
        <v>41.862313780438932</v>
      </c>
    </row>
    <row r="434" spans="1:9" x14ac:dyDescent="0.2">
      <c r="A434">
        <v>424</v>
      </c>
      <c r="B434">
        <v>949966.54286742641</v>
      </c>
      <c r="C434">
        <v>111264.13012419015</v>
      </c>
      <c r="D434">
        <v>56096.196054828783</v>
      </c>
      <c r="E434">
        <v>64459.269451481443</v>
      </c>
      <c r="F434">
        <v>40462.564808179479</v>
      </c>
      <c r="G434">
        <v>10000</v>
      </c>
      <c r="H434">
        <v>262282.16043867986</v>
      </c>
      <c r="I434">
        <v>30.636060585606433</v>
      </c>
    </row>
    <row r="435" spans="1:9" x14ac:dyDescent="0.2">
      <c r="A435">
        <v>425</v>
      </c>
      <c r="B435">
        <v>1367983.5688123882</v>
      </c>
      <c r="C435">
        <v>132835.22588876137</v>
      </c>
      <c r="D435">
        <v>150657.53799210672</v>
      </c>
      <c r="E435">
        <v>62991.489008492958</v>
      </c>
      <c r="F435">
        <v>40360.949239049507</v>
      </c>
      <c r="G435">
        <v>10000</v>
      </c>
      <c r="H435">
        <v>376845.20212841057</v>
      </c>
      <c r="I435">
        <v>33.298151709099102</v>
      </c>
    </row>
    <row r="436" spans="1:9" x14ac:dyDescent="0.2">
      <c r="A436">
        <v>426</v>
      </c>
      <c r="B436">
        <v>1570253.5181324973</v>
      </c>
      <c r="C436">
        <v>109061.26341715993</v>
      </c>
      <c r="D436">
        <v>128045.23075945358</v>
      </c>
      <c r="E436">
        <v>158219.76137011591</v>
      </c>
      <c r="F436">
        <v>46953.675787161868</v>
      </c>
      <c r="G436">
        <v>10000</v>
      </c>
      <c r="H436">
        <v>432279.93133389129</v>
      </c>
      <c r="I436">
        <v>45.514771729173987</v>
      </c>
    </row>
    <row r="437" spans="1:9" x14ac:dyDescent="0.2">
      <c r="A437">
        <v>427</v>
      </c>
      <c r="B437">
        <v>1310567.6094619492</v>
      </c>
      <c r="C437">
        <v>130051.91064123751</v>
      </c>
      <c r="D437">
        <v>132188.35791559648</v>
      </c>
      <c r="E437">
        <v>68151.179240064273</v>
      </c>
      <c r="F437">
        <v>40718.158562773686</v>
      </c>
      <c r="G437">
        <v>10000</v>
      </c>
      <c r="H437">
        <v>361109.60635967192</v>
      </c>
      <c r="I437">
        <v>32.778809331762403</v>
      </c>
    </row>
    <row r="438" spans="1:9" x14ac:dyDescent="0.2">
      <c r="A438">
        <v>428</v>
      </c>
      <c r="B438">
        <v>1504998.8512563142</v>
      </c>
      <c r="C438">
        <v>134358.59750315451</v>
      </c>
      <c r="D438">
        <v>122702.39658994717</v>
      </c>
      <c r="E438">
        <v>122831.33330285856</v>
      </c>
      <c r="F438">
        <v>44503.707690197902</v>
      </c>
      <c r="G438">
        <v>10000</v>
      </c>
      <c r="H438">
        <v>414396.03508615814</v>
      </c>
      <c r="I438">
        <v>33.544622600567763</v>
      </c>
    </row>
    <row r="439" spans="1:9" x14ac:dyDescent="0.2">
      <c r="A439">
        <v>429</v>
      </c>
      <c r="B439">
        <v>1410643.8889326921</v>
      </c>
      <c r="C439">
        <v>128722.28690247796</v>
      </c>
      <c r="D439">
        <v>100742.93762327981</v>
      </c>
      <c r="E439">
        <v>124455.45057368213</v>
      </c>
      <c r="F439">
        <v>44616.146578177992</v>
      </c>
      <c r="G439">
        <v>10000</v>
      </c>
      <c r="H439">
        <v>388536.8216776179</v>
      </c>
      <c r="I439">
        <v>37.7903480781806</v>
      </c>
    </row>
    <row r="440" spans="1:9" x14ac:dyDescent="0.2">
      <c r="A440">
        <v>430</v>
      </c>
      <c r="B440">
        <v>1184837.5900183248</v>
      </c>
      <c r="C440">
        <v>104571.17428091848</v>
      </c>
      <c r="D440">
        <v>96630.799779665889</v>
      </c>
      <c r="E440">
        <v>93010.486003073136</v>
      </c>
      <c r="F440">
        <v>42439.187492520447</v>
      </c>
      <c r="G440">
        <v>10000</v>
      </c>
      <c r="H440">
        <v>326651.64755617792</v>
      </c>
      <c r="I440">
        <v>27.266303426908351</v>
      </c>
    </row>
    <row r="441" spans="1:9" x14ac:dyDescent="0.2">
      <c r="A441">
        <v>431</v>
      </c>
      <c r="B441">
        <v>1258583.9389526488</v>
      </c>
      <c r="C441">
        <v>102066.22167540069</v>
      </c>
      <c r="D441">
        <v>133323.49634198335</v>
      </c>
      <c r="E441">
        <v>79938.854126994585</v>
      </c>
      <c r="F441">
        <v>41534.228362638089</v>
      </c>
      <c r="G441">
        <v>10000</v>
      </c>
      <c r="H441">
        <v>346862.80050701677</v>
      </c>
      <c r="I441">
        <v>35.890169178263498</v>
      </c>
    </row>
    <row r="442" spans="1:9" x14ac:dyDescent="0.2">
      <c r="A442">
        <v>432</v>
      </c>
      <c r="B442">
        <v>1382315.6791771615</v>
      </c>
      <c r="C442">
        <v>90149.833053227092</v>
      </c>
      <c r="D442">
        <v>165397.99930853304</v>
      </c>
      <c r="E442">
        <v>92800.614430581321</v>
      </c>
      <c r="F442">
        <v>42424.657922117171</v>
      </c>
      <c r="G442">
        <v>10000</v>
      </c>
      <c r="H442">
        <v>380773.10471445863</v>
      </c>
      <c r="I442">
        <v>27.791882610825468</v>
      </c>
    </row>
    <row r="443" spans="1:9" x14ac:dyDescent="0.2">
      <c r="A443">
        <v>433</v>
      </c>
      <c r="B443">
        <v>1271345.5488876496</v>
      </c>
      <c r="C443">
        <v>101618.34118442898</v>
      </c>
      <c r="D443">
        <v>64315.86677045282</v>
      </c>
      <c r="E443">
        <v>148168.27525168078</v>
      </c>
      <c r="F443">
        <v>46257.803671270209</v>
      </c>
      <c r="G443">
        <v>10000</v>
      </c>
      <c r="H443">
        <v>350360.28687783278</v>
      </c>
      <c r="I443">
        <v>30.080707282621674</v>
      </c>
    </row>
    <row r="444" spans="1:9" x14ac:dyDescent="0.2">
      <c r="A444">
        <v>434</v>
      </c>
      <c r="B444">
        <v>1322460.3761009024</v>
      </c>
      <c r="C444">
        <v>95289.057092930976</v>
      </c>
      <c r="D444">
        <v>58120.434888389456</v>
      </c>
      <c r="E444">
        <v>172983.68900823253</v>
      </c>
      <c r="F444">
        <v>47975.793854416101</v>
      </c>
      <c r="G444">
        <v>10000</v>
      </c>
      <c r="H444">
        <v>364368.9748439691</v>
      </c>
      <c r="I444">
        <v>37.435621154807293</v>
      </c>
    </row>
    <row r="445" spans="1:9" x14ac:dyDescent="0.2">
      <c r="A445">
        <v>435</v>
      </c>
      <c r="B445">
        <v>776537.53690768953</v>
      </c>
      <c r="C445">
        <v>95652.564275866403</v>
      </c>
      <c r="D445">
        <v>50804.659532311402</v>
      </c>
      <c r="E445">
        <v>39555.956455934407</v>
      </c>
      <c r="F445">
        <v>38738.489293103157</v>
      </c>
      <c r="G445">
        <v>10000</v>
      </c>
      <c r="H445">
        <v>214751.66955721538</v>
      </c>
      <c r="I445">
        <v>50.456398213195378</v>
      </c>
    </row>
    <row r="446" spans="1:9" x14ac:dyDescent="0.2">
      <c r="A446">
        <v>436</v>
      </c>
      <c r="B446">
        <v>1396553.0868051017</v>
      </c>
      <c r="C446">
        <v>128371.00261301978</v>
      </c>
      <c r="D446">
        <v>67088.649970991028</v>
      </c>
      <c r="E446">
        <v>152647.49658144292</v>
      </c>
      <c r="F446">
        <v>46567.903609484514</v>
      </c>
      <c r="G446">
        <v>10000</v>
      </c>
      <c r="H446">
        <v>384675.05277493823</v>
      </c>
      <c r="I446">
        <v>47.281051239137128</v>
      </c>
    </row>
    <row r="447" spans="1:9" x14ac:dyDescent="0.2">
      <c r="A447">
        <v>437</v>
      </c>
      <c r="B447">
        <v>1434148.4000762759</v>
      </c>
      <c r="C447">
        <v>102613.2348069804</v>
      </c>
      <c r="D447">
        <v>93849.228038942878</v>
      </c>
      <c r="E447">
        <v>161345.97223319471</v>
      </c>
      <c r="F447">
        <v>47170.105769990405</v>
      </c>
      <c r="G447">
        <v>10000</v>
      </c>
      <c r="H447">
        <v>394978.54084910842</v>
      </c>
      <c r="I447">
        <v>44.115515124985407</v>
      </c>
    </row>
    <row r="448" spans="1:9" x14ac:dyDescent="0.2">
      <c r="A448">
        <v>438</v>
      </c>
      <c r="B448">
        <v>1210953.668411172</v>
      </c>
      <c r="C448">
        <v>105622.46334575518</v>
      </c>
      <c r="D448">
        <v>43518.735632315831</v>
      </c>
      <c r="E448">
        <v>148394.44068571355</v>
      </c>
      <c r="F448">
        <v>46273.46127824171</v>
      </c>
      <c r="G448">
        <v>10000</v>
      </c>
      <c r="H448">
        <v>333809.10094202624</v>
      </c>
      <c r="I448">
        <v>29.547811915487678</v>
      </c>
    </row>
    <row r="449" spans="1:9" x14ac:dyDescent="0.2">
      <c r="A449">
        <v>439</v>
      </c>
      <c r="B449">
        <v>1385623.0811422733</v>
      </c>
      <c r="C449">
        <v>124829.81627976625</v>
      </c>
      <c r="D449">
        <v>66517.258913157755</v>
      </c>
      <c r="E449">
        <v>153692.23472023878</v>
      </c>
      <c r="F449">
        <v>46640.23163447807</v>
      </c>
      <c r="G449">
        <v>10000</v>
      </c>
      <c r="H449">
        <v>381679.54154764087</v>
      </c>
      <c r="I449">
        <v>43.240342044992538</v>
      </c>
    </row>
    <row r="450" spans="1:9" x14ac:dyDescent="0.2">
      <c r="A450">
        <v>440</v>
      </c>
      <c r="B450">
        <v>1275675.8210181999</v>
      </c>
      <c r="C450">
        <v>122656.84393083442</v>
      </c>
      <c r="D450">
        <v>111964.00069355639</v>
      </c>
      <c r="E450">
        <v>85038.901489673808</v>
      </c>
      <c r="F450">
        <v>41887.308564669722</v>
      </c>
      <c r="G450">
        <v>10000</v>
      </c>
      <c r="H450">
        <v>351547.05467873439</v>
      </c>
      <c r="I450">
        <v>45.441741934390834</v>
      </c>
    </row>
    <row r="451" spans="1:9" x14ac:dyDescent="0.2">
      <c r="A451">
        <v>441</v>
      </c>
      <c r="B451">
        <v>1573914.6450036487</v>
      </c>
      <c r="C451">
        <v>124797.68270408642</v>
      </c>
      <c r="D451">
        <v>162636.49814909013</v>
      </c>
      <c r="E451">
        <v>112089.11462973266</v>
      </c>
      <c r="F451">
        <v>43760.015628212255</v>
      </c>
      <c r="G451">
        <v>10000</v>
      </c>
      <c r="H451">
        <v>433283.31111112144</v>
      </c>
      <c r="I451">
        <v>26.06834242631259</v>
      </c>
    </row>
    <row r="452" spans="1:9" x14ac:dyDescent="0.2">
      <c r="A452">
        <v>442</v>
      </c>
      <c r="B452">
        <v>1480031.0164308113</v>
      </c>
      <c r="C452">
        <v>113783.78233180309</v>
      </c>
      <c r="D452">
        <v>69771.926329710812</v>
      </c>
      <c r="E452">
        <v>185177.57805647081</v>
      </c>
      <c r="F452">
        <v>48819.986173140285</v>
      </c>
      <c r="G452">
        <v>10000</v>
      </c>
      <c r="H452">
        <v>407553.272891125</v>
      </c>
      <c r="I452">
        <v>26.905317902095433</v>
      </c>
    </row>
    <row r="453" spans="1:9" x14ac:dyDescent="0.2">
      <c r="A453">
        <v>443</v>
      </c>
      <c r="B453">
        <v>1161834.3105716535</v>
      </c>
      <c r="C453">
        <v>116023.38264170213</v>
      </c>
      <c r="D453">
        <v>37809.21120504041</v>
      </c>
      <c r="E453">
        <v>131416.62931319932</v>
      </c>
      <c r="F453">
        <v>45098.074337067643</v>
      </c>
      <c r="G453">
        <v>10000</v>
      </c>
      <c r="H453">
        <v>320347.29749700951</v>
      </c>
      <c r="I453">
        <v>31.124944041041775</v>
      </c>
    </row>
    <row r="454" spans="1:9" x14ac:dyDescent="0.2">
      <c r="A454">
        <v>444</v>
      </c>
      <c r="B454">
        <v>1144702.225836915</v>
      </c>
      <c r="C454">
        <v>131433.53481444373</v>
      </c>
      <c r="D454">
        <v>114959.63050684589</v>
      </c>
      <c r="E454">
        <v>40457.926558741019</v>
      </c>
      <c r="F454">
        <v>38800.933377143614</v>
      </c>
      <c r="G454">
        <v>10000</v>
      </c>
      <c r="H454">
        <v>315652.02525717427</v>
      </c>
      <c r="I454">
        <v>32.976965715774284</v>
      </c>
    </row>
    <row r="455" spans="1:9" x14ac:dyDescent="0.2">
      <c r="A455">
        <v>445</v>
      </c>
      <c r="B455">
        <v>1334772.9372198405</v>
      </c>
      <c r="C455">
        <v>104835.23062041905</v>
      </c>
      <c r="D455">
        <v>81544.658854393332</v>
      </c>
      <c r="E455">
        <v>145303.99657454577</v>
      </c>
      <c r="F455">
        <v>46059.507455160856</v>
      </c>
      <c r="G455">
        <v>10000</v>
      </c>
      <c r="H455">
        <v>367743.39350451902</v>
      </c>
      <c r="I455">
        <v>30.40399947805944</v>
      </c>
    </row>
    <row r="456" spans="1:9" x14ac:dyDescent="0.2">
      <c r="A456">
        <v>446</v>
      </c>
      <c r="B456">
        <v>1128143.4315614295</v>
      </c>
      <c r="C456">
        <v>99262.337896674435</v>
      </c>
      <c r="D456">
        <v>89829.731919073136</v>
      </c>
      <c r="E456">
        <v>89804.562050466164</v>
      </c>
      <c r="F456">
        <v>42217.238911186119</v>
      </c>
      <c r="G456">
        <v>10000</v>
      </c>
      <c r="H456">
        <v>311113.87077739986</v>
      </c>
      <c r="I456">
        <v>39.691360005146564</v>
      </c>
    </row>
    <row r="457" spans="1:9" x14ac:dyDescent="0.2">
      <c r="A457">
        <v>447</v>
      </c>
      <c r="B457">
        <v>1399055.5678771539</v>
      </c>
      <c r="C457">
        <v>96339.030501482703</v>
      </c>
      <c r="D457">
        <v>130577.54117148918</v>
      </c>
      <c r="E457">
        <v>123868.78738608575</v>
      </c>
      <c r="F457">
        <v>44575.531434421326</v>
      </c>
      <c r="G457">
        <v>10000</v>
      </c>
      <c r="H457">
        <v>385360.89049347898</v>
      </c>
      <c r="I457">
        <v>37.077601825203161</v>
      </c>
    </row>
    <row r="458" spans="1:9" x14ac:dyDescent="0.2">
      <c r="A458">
        <v>448</v>
      </c>
      <c r="B458">
        <v>1489279.6587604303</v>
      </c>
      <c r="C458">
        <v>97969.663923627028</v>
      </c>
      <c r="D458">
        <v>87004.006007046366</v>
      </c>
      <c r="E458">
        <v>186222.0207943058</v>
      </c>
      <c r="F458">
        <v>48892.293747298092</v>
      </c>
      <c r="G458">
        <v>10000</v>
      </c>
      <c r="H458">
        <v>410087.98447227722</v>
      </c>
      <c r="I458">
        <v>41.03499164537704</v>
      </c>
    </row>
    <row r="459" spans="1:9" x14ac:dyDescent="0.2">
      <c r="A459">
        <v>449</v>
      </c>
      <c r="B459">
        <v>1520022.8696045731</v>
      </c>
      <c r="C459">
        <v>103721.97081996479</v>
      </c>
      <c r="D459">
        <v>87707.144474399916</v>
      </c>
      <c r="E459">
        <v>188064.59242553377</v>
      </c>
      <c r="F459">
        <v>49019.85639869079</v>
      </c>
      <c r="G459">
        <v>10000</v>
      </c>
      <c r="H459">
        <v>418513.56411858922</v>
      </c>
      <c r="I459">
        <v>41.53945625457024</v>
      </c>
    </row>
    <row r="460" spans="1:9" x14ac:dyDescent="0.2">
      <c r="A460">
        <v>450</v>
      </c>
      <c r="B460">
        <v>1393779.4514801183</v>
      </c>
      <c r="C460">
        <v>102431.52476130061</v>
      </c>
      <c r="D460">
        <v>152503.45735726698</v>
      </c>
      <c r="E460">
        <v>96312.154986869762</v>
      </c>
      <c r="F460">
        <v>42667.764576014059</v>
      </c>
      <c r="G460">
        <v>10000</v>
      </c>
      <c r="H460">
        <v>383914.90168145142</v>
      </c>
      <c r="I460">
        <v>32.378541264068019</v>
      </c>
    </row>
    <row r="461" spans="1:9" x14ac:dyDescent="0.2">
      <c r="A461">
        <v>451</v>
      </c>
      <c r="B461">
        <v>1187418.6602650587</v>
      </c>
      <c r="C461">
        <v>96633.799697185648</v>
      </c>
      <c r="D461">
        <v>41770.480303991724</v>
      </c>
      <c r="E461">
        <v>152403.71709800255</v>
      </c>
      <c r="F461">
        <v>46551.026568323257</v>
      </c>
      <c r="G461">
        <v>10000</v>
      </c>
      <c r="H461">
        <v>327359.02366750315</v>
      </c>
      <c r="I461">
        <v>27.025318840837038</v>
      </c>
    </row>
    <row r="462" spans="1:9" x14ac:dyDescent="0.2">
      <c r="A462">
        <v>452</v>
      </c>
      <c r="B462">
        <v>1119406.3519103501</v>
      </c>
      <c r="C462">
        <v>99397.862295732179</v>
      </c>
      <c r="D462">
        <v>97685.760917080974</v>
      </c>
      <c r="E462">
        <v>80090.976523438818</v>
      </c>
      <c r="F462">
        <v>41544.759913161142</v>
      </c>
      <c r="G462">
        <v>10000</v>
      </c>
      <c r="H462">
        <v>308719.35964941315</v>
      </c>
      <c r="I462">
        <v>30.350766852223508</v>
      </c>
    </row>
    <row r="463" spans="1:9" x14ac:dyDescent="0.2">
      <c r="A463">
        <v>453</v>
      </c>
      <c r="B463">
        <v>1504770.1933434445</v>
      </c>
      <c r="C463">
        <v>111408.51836008565</v>
      </c>
      <c r="D463">
        <v>86928.220792374093</v>
      </c>
      <c r="E463">
        <v>177694.68921485174</v>
      </c>
      <c r="F463">
        <v>48301.940022566661</v>
      </c>
      <c r="G463">
        <v>10000</v>
      </c>
      <c r="H463">
        <v>414333.36838987813</v>
      </c>
      <c r="I463">
        <v>28.080120971872748</v>
      </c>
    </row>
    <row r="464" spans="1:9" x14ac:dyDescent="0.2">
      <c r="A464">
        <v>454</v>
      </c>
      <c r="B464">
        <v>1624638.2149745196</v>
      </c>
      <c r="C464">
        <v>102271.63917984943</v>
      </c>
      <c r="D464">
        <v>127401.48129890003</v>
      </c>
      <c r="E464">
        <v>179111.61457111503</v>
      </c>
      <c r="F464">
        <v>48400.034854923353</v>
      </c>
      <c r="G464">
        <v>10000</v>
      </c>
      <c r="H464">
        <v>447184.76990478789</v>
      </c>
      <c r="I464">
        <v>38.2563169494832</v>
      </c>
    </row>
    <row r="465" spans="1:9" x14ac:dyDescent="0.2">
      <c r="A465">
        <v>455</v>
      </c>
      <c r="B465">
        <v>1176684.9704513343</v>
      </c>
      <c r="C465">
        <v>129499.01479915266</v>
      </c>
      <c r="D465">
        <v>79912.450905636841</v>
      </c>
      <c r="E465">
        <v>83242.880982087721</v>
      </c>
      <c r="F465">
        <v>41762.968683375308</v>
      </c>
      <c r="G465">
        <v>10000</v>
      </c>
      <c r="H465">
        <v>324417.31537025247</v>
      </c>
      <c r="I465">
        <v>37.682798791918302</v>
      </c>
    </row>
    <row r="466" spans="1:9" x14ac:dyDescent="0.2">
      <c r="A466">
        <v>456</v>
      </c>
      <c r="B466">
        <v>1518969.2509179041</v>
      </c>
      <c r="C466">
        <v>128113.79405573955</v>
      </c>
      <c r="D466">
        <v>51061.258594993997</v>
      </c>
      <c r="E466">
        <v>199255.16511125307</v>
      </c>
      <c r="F466">
        <v>49794.588353855979</v>
      </c>
      <c r="G466">
        <v>10000</v>
      </c>
      <c r="H466">
        <v>418224.80611584266</v>
      </c>
      <c r="I466">
        <v>39.666791610425051</v>
      </c>
    </row>
    <row r="467" spans="1:9" x14ac:dyDescent="0.2">
      <c r="A467">
        <v>457</v>
      </c>
      <c r="B467">
        <v>1470758.8213346505</v>
      </c>
      <c r="C467">
        <v>85203.841534186722</v>
      </c>
      <c r="D467">
        <v>78759.431011758774</v>
      </c>
      <c r="E467">
        <v>201124.80860847569</v>
      </c>
      <c r="F467">
        <v>49924.025211356005</v>
      </c>
      <c r="G467">
        <v>10000</v>
      </c>
      <c r="H467">
        <v>405012.1063657772</v>
      </c>
      <c r="I467">
        <v>38.779089268147843</v>
      </c>
    </row>
    <row r="468" spans="1:9" x14ac:dyDescent="0.2">
      <c r="A468">
        <v>458</v>
      </c>
      <c r="B468">
        <v>1179683.5330816694</v>
      </c>
      <c r="C468">
        <v>109785.95644274568</v>
      </c>
      <c r="D468">
        <v>155988.24864299298</v>
      </c>
      <c r="E468">
        <v>31298.113200106967</v>
      </c>
      <c r="F468">
        <v>38166.792452315094</v>
      </c>
      <c r="G468">
        <v>10000</v>
      </c>
      <c r="H468">
        <v>325239.11073816073</v>
      </c>
      <c r="I468">
        <v>39.98796798800123</v>
      </c>
    </row>
    <row r="469" spans="1:9" x14ac:dyDescent="0.2">
      <c r="A469">
        <v>459</v>
      </c>
      <c r="B469">
        <v>1169836.5006258269</v>
      </c>
      <c r="C469">
        <v>89764.384502972927</v>
      </c>
      <c r="D469">
        <v>35781.898593333768</v>
      </c>
      <c r="E469">
        <v>159922.55771982422</v>
      </c>
      <c r="F469">
        <v>47071.561688295522</v>
      </c>
      <c r="G469">
        <v>10000</v>
      </c>
      <c r="H469">
        <v>322540.40250442643</v>
      </c>
      <c r="I469">
        <v>32.508180001304765</v>
      </c>
    </row>
    <row r="470" spans="1:9" x14ac:dyDescent="0.2">
      <c r="A470">
        <v>460</v>
      </c>
      <c r="B470">
        <v>1150822.4562021932</v>
      </c>
      <c r="C470">
        <v>129982.82587854814</v>
      </c>
      <c r="D470">
        <v>97938.514361966474</v>
      </c>
      <c r="E470">
        <v>59302.459435021381</v>
      </c>
      <c r="F470">
        <v>40105.554883963021</v>
      </c>
      <c r="G470">
        <v>10000</v>
      </c>
      <c r="H470">
        <v>317329.35455949901</v>
      </c>
      <c r="I470">
        <v>32.520081799455184</v>
      </c>
    </row>
    <row r="471" spans="1:9" x14ac:dyDescent="0.2">
      <c r="A471">
        <v>461</v>
      </c>
      <c r="B471">
        <v>865587.91760135628</v>
      </c>
      <c r="C471">
        <v>95106.167099779981</v>
      </c>
      <c r="D471">
        <v>85127.246437910493</v>
      </c>
      <c r="E471">
        <v>30791.930323673245</v>
      </c>
      <c r="F471">
        <v>38131.749022408148</v>
      </c>
      <c r="G471">
        <v>10000</v>
      </c>
      <c r="H471">
        <v>239157.09288377187</v>
      </c>
      <c r="I471">
        <v>36.175990867110812</v>
      </c>
    </row>
    <row r="472" spans="1:9" x14ac:dyDescent="0.2">
      <c r="A472">
        <v>462</v>
      </c>
      <c r="B472">
        <v>1571880.6265627681</v>
      </c>
      <c r="C472">
        <v>127578.26072206389</v>
      </c>
      <c r="D472">
        <v>148648.80323242274</v>
      </c>
      <c r="E472">
        <v>122049.23531389043</v>
      </c>
      <c r="F472">
        <v>44449.562444807802</v>
      </c>
      <c r="G472">
        <v>10000</v>
      </c>
      <c r="H472">
        <v>432725.86171318486</v>
      </c>
      <c r="I472">
        <v>26.88515676412964</v>
      </c>
    </row>
    <row r="473" spans="1:9" x14ac:dyDescent="0.2">
      <c r="A473">
        <v>463</v>
      </c>
      <c r="B473">
        <v>1020403.3219197253</v>
      </c>
      <c r="C473">
        <v>84440.12697187539</v>
      </c>
      <c r="D473">
        <v>25942.295666628423</v>
      </c>
      <c r="E473">
        <v>135802.17100960115</v>
      </c>
      <c r="F473">
        <v>45401.688762203157</v>
      </c>
      <c r="G473">
        <v>10000</v>
      </c>
      <c r="H473">
        <v>281586.28241030814</v>
      </c>
      <c r="I473">
        <v>34.392167329941756</v>
      </c>
    </row>
    <row r="474" spans="1:9" x14ac:dyDescent="0.2">
      <c r="A474">
        <v>464</v>
      </c>
      <c r="B474">
        <v>1162587.5436938885</v>
      </c>
      <c r="C474">
        <v>121905.03100792787</v>
      </c>
      <c r="D474">
        <v>81219.911453477398</v>
      </c>
      <c r="E474">
        <v>85508.938828381943</v>
      </c>
      <c r="F474">
        <v>41919.849611195677</v>
      </c>
      <c r="G474">
        <v>10000</v>
      </c>
      <c r="H474">
        <v>320553.73090098292</v>
      </c>
      <c r="I474">
        <v>36.045145060001659</v>
      </c>
    </row>
    <row r="475" spans="1:9" x14ac:dyDescent="0.2">
      <c r="A475">
        <v>465</v>
      </c>
      <c r="B475">
        <v>1631071.9192572075</v>
      </c>
      <c r="C475">
        <v>127303.75188070063</v>
      </c>
      <c r="D475">
        <v>106933.69358446015</v>
      </c>
      <c r="E475">
        <v>176491.89567474683</v>
      </c>
      <c r="F475">
        <v>48218.669700559396</v>
      </c>
      <c r="G475">
        <v>10000</v>
      </c>
      <c r="H475">
        <v>448948.010840467</v>
      </c>
      <c r="I475">
        <v>35.094573016707514</v>
      </c>
    </row>
    <row r="476" spans="1:9" x14ac:dyDescent="0.2">
      <c r="A476">
        <v>466</v>
      </c>
      <c r="B476">
        <v>1027335.8583443747</v>
      </c>
      <c r="C476">
        <v>125563.65093603602</v>
      </c>
      <c r="D476">
        <v>97296.999468458249</v>
      </c>
      <c r="E476">
        <v>32383.640109102773</v>
      </c>
      <c r="F476">
        <v>38241.944315245579</v>
      </c>
      <c r="G476">
        <v>10000</v>
      </c>
      <c r="H476">
        <v>283486.23482884257</v>
      </c>
      <c r="I476">
        <v>30.640872013981909</v>
      </c>
    </row>
    <row r="477" spans="1:9" x14ac:dyDescent="0.2">
      <c r="A477">
        <v>467</v>
      </c>
      <c r="B477">
        <v>1127556.912316008</v>
      </c>
      <c r="C477">
        <v>149057.19851885919</v>
      </c>
      <c r="D477">
        <v>49303.658503245228</v>
      </c>
      <c r="E477">
        <v>80985.576701457976</v>
      </c>
      <c r="F477">
        <v>41606.693771639395</v>
      </c>
      <c r="G477">
        <v>10000</v>
      </c>
      <c r="H477">
        <v>310953.12749520177</v>
      </c>
      <c r="I477">
        <v>32.83766020937589</v>
      </c>
    </row>
    <row r="478" spans="1:9" x14ac:dyDescent="0.2">
      <c r="A478">
        <v>468</v>
      </c>
      <c r="B478">
        <v>1378602.2866265685</v>
      </c>
      <c r="C478">
        <v>80753.314397854119</v>
      </c>
      <c r="D478">
        <v>93088.473470072771</v>
      </c>
      <c r="E478">
        <v>168264.53012069699</v>
      </c>
      <c r="F478">
        <v>47649.08285450979</v>
      </c>
      <c r="G478">
        <v>10000</v>
      </c>
      <c r="H478">
        <v>379755.40084313368</v>
      </c>
      <c r="I478">
        <v>41.626774863619218</v>
      </c>
    </row>
    <row r="479" spans="1:9" x14ac:dyDescent="0.2">
      <c r="A479">
        <v>469</v>
      </c>
      <c r="B479">
        <v>1516650.0114804546</v>
      </c>
      <c r="C479">
        <v>103161.13689601482</v>
      </c>
      <c r="D479">
        <v>91481.994138803755</v>
      </c>
      <c r="E479">
        <v>184194.15415296235</v>
      </c>
      <c r="F479">
        <v>48751.902979820472</v>
      </c>
      <c r="G479">
        <v>10000</v>
      </c>
      <c r="H479">
        <v>417589.18816760147</v>
      </c>
      <c r="I479">
        <v>56.656089680210208</v>
      </c>
    </row>
    <row r="480" spans="1:9" x14ac:dyDescent="0.2">
      <c r="A480">
        <v>470</v>
      </c>
      <c r="B480">
        <v>876746.2155286643</v>
      </c>
      <c r="C480">
        <v>92475.083712999316</v>
      </c>
      <c r="D480">
        <v>91503.125600162079</v>
      </c>
      <c r="E480">
        <v>30149.676020499253</v>
      </c>
      <c r="F480">
        <v>38087.285262957645</v>
      </c>
      <c r="G480">
        <v>10000</v>
      </c>
      <c r="H480">
        <v>242215.17059661829</v>
      </c>
      <c r="I480">
        <v>36.603674247569685</v>
      </c>
    </row>
    <row r="481" spans="1:9" x14ac:dyDescent="0.2">
      <c r="A481">
        <v>471</v>
      </c>
      <c r="B481">
        <v>1630412.1853339327</v>
      </c>
      <c r="C481">
        <v>139726.13415423426</v>
      </c>
      <c r="D481">
        <v>61886.658256631694</v>
      </c>
      <c r="E481">
        <v>206835.05943715069</v>
      </c>
      <c r="F481">
        <v>50319.350268725815</v>
      </c>
      <c r="G481">
        <v>10000</v>
      </c>
      <c r="H481">
        <v>448767.20211674244</v>
      </c>
      <c r="I481">
        <v>32.368107881241414</v>
      </c>
    </row>
    <row r="482" spans="1:9" x14ac:dyDescent="0.2">
      <c r="A482">
        <v>472</v>
      </c>
      <c r="B482">
        <v>919271.36493845063</v>
      </c>
      <c r="C482">
        <v>86287.773918972729</v>
      </c>
      <c r="D482">
        <v>106147.1643311955</v>
      </c>
      <c r="E482">
        <v>33140.466596646213</v>
      </c>
      <c r="F482">
        <v>38294.339995152433</v>
      </c>
      <c r="G482">
        <v>10000</v>
      </c>
      <c r="H482">
        <v>253869.74484196689</v>
      </c>
      <c r="I482">
        <v>33.710475905246732</v>
      </c>
    </row>
    <row r="483" spans="1:9" x14ac:dyDescent="0.2">
      <c r="A483">
        <v>473</v>
      </c>
      <c r="B483">
        <v>930023.76565492421</v>
      </c>
      <c r="C483">
        <v>110525.2733873559</v>
      </c>
      <c r="D483">
        <v>62428.850464056886</v>
      </c>
      <c r="E483">
        <v>54115.967217657351</v>
      </c>
      <c r="F483">
        <v>39746.490038145508</v>
      </c>
      <c r="G483">
        <v>10000</v>
      </c>
      <c r="H483">
        <v>256816.58110721566</v>
      </c>
      <c r="I483">
        <v>30.261223948715738</v>
      </c>
    </row>
    <row r="484" spans="1:9" x14ac:dyDescent="0.2">
      <c r="A484">
        <v>474</v>
      </c>
      <c r="B484">
        <v>1306556.1055429638</v>
      </c>
      <c r="C484">
        <v>126573.38560124143</v>
      </c>
      <c r="D484">
        <v>86950.341752590291</v>
      </c>
      <c r="E484">
        <v>112685.19133211882</v>
      </c>
      <c r="F484">
        <v>43801.282476838991</v>
      </c>
      <c r="G484">
        <v>10000</v>
      </c>
      <c r="H484">
        <v>360010.20116278954</v>
      </c>
      <c r="I484">
        <v>32.821746659646145</v>
      </c>
    </row>
    <row r="485" spans="1:9" x14ac:dyDescent="0.2">
      <c r="A485">
        <v>475</v>
      </c>
      <c r="B485">
        <v>1284845.2768908453</v>
      </c>
      <c r="C485">
        <v>94016.519174576795</v>
      </c>
      <c r="D485">
        <v>154708.74480345883</v>
      </c>
      <c r="E485">
        <v>74198.014571827036</v>
      </c>
      <c r="F485">
        <v>41136.78562420341</v>
      </c>
      <c r="G485">
        <v>10000</v>
      </c>
      <c r="H485">
        <v>354060.06417406606</v>
      </c>
      <c r="I485">
        <v>34.982409470144837</v>
      </c>
    </row>
    <row r="486" spans="1:9" x14ac:dyDescent="0.2">
      <c r="A486">
        <v>476</v>
      </c>
      <c r="B486">
        <v>1214394.364550347</v>
      </c>
      <c r="C486">
        <v>108294.28561849301</v>
      </c>
      <c r="D486">
        <v>113875.08199724676</v>
      </c>
      <c r="E486">
        <v>80976.626997201471</v>
      </c>
      <c r="F486">
        <v>41606.074176729329</v>
      </c>
      <c r="G486">
        <v>10000</v>
      </c>
      <c r="H486">
        <v>334752.06878967053</v>
      </c>
      <c r="I486">
        <v>41.866071255449832</v>
      </c>
    </row>
    <row r="487" spans="1:9" x14ac:dyDescent="0.2">
      <c r="A487">
        <v>477</v>
      </c>
      <c r="B487">
        <v>924306.77613131353</v>
      </c>
      <c r="C487">
        <v>77919.685657547263</v>
      </c>
      <c r="D487">
        <v>58230.462598685226</v>
      </c>
      <c r="E487">
        <v>87071.584229162661</v>
      </c>
      <c r="F487">
        <v>42028.032754326647</v>
      </c>
      <c r="G487">
        <v>10000</v>
      </c>
      <c r="H487">
        <v>255249.7652397218</v>
      </c>
      <c r="I487">
        <v>26.414752914333029</v>
      </c>
    </row>
    <row r="488" spans="1:9" x14ac:dyDescent="0.2">
      <c r="A488">
        <v>478</v>
      </c>
      <c r="B488">
        <v>1502492.6238024989</v>
      </c>
      <c r="C488">
        <v>112383.7384173389</v>
      </c>
      <c r="D488">
        <v>80044.920032609618</v>
      </c>
      <c r="E488">
        <v>182636.45023343404</v>
      </c>
      <c r="F488">
        <v>48644.061939237741</v>
      </c>
      <c r="G488">
        <v>10000</v>
      </c>
      <c r="H488">
        <v>413709.17062262032</v>
      </c>
      <c r="I488">
        <v>30.687564802447717</v>
      </c>
    </row>
    <row r="489" spans="1:9" x14ac:dyDescent="0.2">
      <c r="A489">
        <v>479</v>
      </c>
      <c r="B489">
        <v>1074943.6211571451</v>
      </c>
      <c r="C489">
        <v>102544.85390495905</v>
      </c>
      <c r="D489">
        <v>33218.76623613124</v>
      </c>
      <c r="E489">
        <v>126044.02117216682</v>
      </c>
      <c r="F489">
        <v>44726.124542688471</v>
      </c>
      <c r="G489">
        <v>10000</v>
      </c>
      <c r="H489">
        <v>296533.76585594559</v>
      </c>
      <c r="I489">
        <v>35.79383016214743</v>
      </c>
    </row>
    <row r="490" spans="1:9" x14ac:dyDescent="0.2">
      <c r="A490">
        <v>480</v>
      </c>
      <c r="B490">
        <v>1382925.4449477163</v>
      </c>
      <c r="C490">
        <v>98527.184191842083</v>
      </c>
      <c r="D490">
        <v>108000.45087021538</v>
      </c>
      <c r="E490">
        <v>138803.13606771408</v>
      </c>
      <c r="F490">
        <v>45609.447881610977</v>
      </c>
      <c r="G490">
        <v>10000</v>
      </c>
      <c r="H490">
        <v>380940.21901138255</v>
      </c>
      <c r="I490">
        <v>39.7616732813743</v>
      </c>
    </row>
    <row r="491" spans="1:9" x14ac:dyDescent="0.2">
      <c r="A491">
        <v>481</v>
      </c>
      <c r="B491">
        <v>1386511.8576394385</v>
      </c>
      <c r="C491">
        <v>133260.70256322547</v>
      </c>
      <c r="D491">
        <v>128960.90403143708</v>
      </c>
      <c r="E491">
        <v>87634.511174594722</v>
      </c>
      <c r="F491">
        <v>42067.004619779633</v>
      </c>
      <c r="G491">
        <v>10000</v>
      </c>
      <c r="H491">
        <v>381923.12238903693</v>
      </c>
      <c r="I491">
        <v>44.584664159299876</v>
      </c>
    </row>
    <row r="492" spans="1:9" x14ac:dyDescent="0.2">
      <c r="A492">
        <v>482</v>
      </c>
      <c r="B492">
        <v>1218500.8946241378</v>
      </c>
      <c r="C492">
        <v>114137.25656519594</v>
      </c>
      <c r="D492">
        <v>39989.892981304896</v>
      </c>
      <c r="E492">
        <v>145665.81142684768</v>
      </c>
      <c r="F492">
        <v>46084.556175704842</v>
      </c>
      <c r="G492">
        <v>10000</v>
      </c>
      <c r="H492">
        <v>335877.5171490534</v>
      </c>
      <c r="I492">
        <v>34.022032685398472</v>
      </c>
    </row>
    <row r="493" spans="1:9" x14ac:dyDescent="0.2">
      <c r="A493">
        <v>483</v>
      </c>
      <c r="B493">
        <v>1424008.6129725289</v>
      </c>
      <c r="C493">
        <v>120684.70308461116</v>
      </c>
      <c r="D493">
        <v>140570.29909464068</v>
      </c>
      <c r="E493">
        <v>98149.623271207747</v>
      </c>
      <c r="F493">
        <v>42794.973918775926</v>
      </c>
      <c r="G493">
        <v>10000</v>
      </c>
      <c r="H493">
        <v>392199.59936923551</v>
      </c>
      <c r="I493">
        <v>32.291032480959636</v>
      </c>
    </row>
    <row r="494" spans="1:9" x14ac:dyDescent="0.2">
      <c r="A494">
        <v>484</v>
      </c>
      <c r="B494">
        <v>1044650.838778651</v>
      </c>
      <c r="C494">
        <v>83550.725582390354</v>
      </c>
      <c r="D494">
        <v>90758.987934569115</v>
      </c>
      <c r="E494">
        <v>82229.132423148461</v>
      </c>
      <c r="F494">
        <v>41692.786090833353</v>
      </c>
      <c r="G494">
        <v>10000</v>
      </c>
      <c r="H494">
        <v>288231.63203094125</v>
      </c>
      <c r="I494">
        <v>37.204214785242293</v>
      </c>
    </row>
    <row r="495" spans="1:9" x14ac:dyDescent="0.2">
      <c r="A495">
        <v>485</v>
      </c>
      <c r="B495">
        <v>990041.22500932298</v>
      </c>
      <c r="C495">
        <v>104916.11603035261</v>
      </c>
      <c r="D495">
        <v>49439.133758127318</v>
      </c>
      <c r="E495">
        <v>86894.153175393978</v>
      </c>
      <c r="F495">
        <v>42015.749065988821</v>
      </c>
      <c r="G495">
        <v>10000</v>
      </c>
      <c r="H495">
        <v>273265.15202986274</v>
      </c>
      <c r="I495">
        <v>35.18040955168739</v>
      </c>
    </row>
    <row r="496" spans="1:9" x14ac:dyDescent="0.2">
      <c r="A496">
        <v>486</v>
      </c>
      <c r="B496">
        <v>1072687.1382100661</v>
      </c>
      <c r="C496">
        <v>100544.30205141293</v>
      </c>
      <c r="D496">
        <v>86989.744376356175</v>
      </c>
      <c r="E496">
        <v>77047.259664491779</v>
      </c>
      <c r="F496">
        <v>41334.041053695582</v>
      </c>
      <c r="G496">
        <v>10000</v>
      </c>
      <c r="H496">
        <v>295915.34714595648</v>
      </c>
      <c r="I496">
        <v>37.554778602605026</v>
      </c>
    </row>
    <row r="497" spans="1:9" x14ac:dyDescent="0.2">
      <c r="A497">
        <v>487</v>
      </c>
      <c r="B497">
        <v>1591302.0154251815</v>
      </c>
      <c r="C497">
        <v>112851.8408677749</v>
      </c>
      <c r="D497">
        <v>129390.65892583114</v>
      </c>
      <c r="E497">
        <v>158811.41174607474</v>
      </c>
      <c r="F497">
        <v>46994.636197805172</v>
      </c>
      <c r="G497">
        <v>10000</v>
      </c>
      <c r="H497">
        <v>438048.54773748596</v>
      </c>
      <c r="I497">
        <v>33.380334105166071</v>
      </c>
    </row>
    <row r="498" spans="1:9" x14ac:dyDescent="0.2">
      <c r="A498">
        <v>488</v>
      </c>
      <c r="B498">
        <v>1180479.6278711883</v>
      </c>
      <c r="C498">
        <v>126725.48105984069</v>
      </c>
      <c r="D498">
        <v>87663.056796548713</v>
      </c>
      <c r="E498">
        <v>79560.704326085062</v>
      </c>
      <c r="F498">
        <v>41508.048761036654</v>
      </c>
      <c r="G498">
        <v>10000</v>
      </c>
      <c r="H498">
        <v>325457.29094351112</v>
      </c>
      <c r="I498">
        <v>40.918395483050467</v>
      </c>
    </row>
    <row r="499" spans="1:9" x14ac:dyDescent="0.2">
      <c r="A499">
        <v>489</v>
      </c>
      <c r="B499">
        <v>1454077.497367606</v>
      </c>
      <c r="C499">
        <v>125356.67161101743</v>
      </c>
      <c r="D499">
        <v>57859.728812981193</v>
      </c>
      <c r="E499">
        <v>178842.56242695914</v>
      </c>
      <c r="F499">
        <v>48381.408168020243</v>
      </c>
      <c r="G499">
        <v>10000</v>
      </c>
      <c r="H499">
        <v>400440.37101897801</v>
      </c>
      <c r="I499">
        <v>34.881948578745082</v>
      </c>
    </row>
    <row r="500" spans="1:9" x14ac:dyDescent="0.2">
      <c r="A500">
        <v>490</v>
      </c>
      <c r="B500">
        <v>1521014.9076133152</v>
      </c>
      <c r="C500">
        <v>89359.38196292163</v>
      </c>
      <c r="D500">
        <v>113775.35879399693</v>
      </c>
      <c r="E500">
        <v>177371.1623632072</v>
      </c>
      <c r="F500">
        <v>48279.542009760502</v>
      </c>
      <c r="G500">
        <v>10000</v>
      </c>
      <c r="H500">
        <v>418785.44512988627</v>
      </c>
      <c r="I500">
        <v>40.075211784175117</v>
      </c>
    </row>
    <row r="501" spans="1:9" x14ac:dyDescent="0.2">
      <c r="A501">
        <v>491</v>
      </c>
      <c r="B501">
        <v>1354204.460091043</v>
      </c>
      <c r="C501">
        <v>87979.846341238575</v>
      </c>
      <c r="D501">
        <v>78543.283537701995</v>
      </c>
      <c r="E501">
        <v>168855.71590651618</v>
      </c>
      <c r="F501">
        <v>47690.011101220349</v>
      </c>
      <c r="G501">
        <v>10000</v>
      </c>
      <c r="H501">
        <v>373068.85688667709</v>
      </c>
      <c r="I501">
        <v>31.610747979248494</v>
      </c>
    </row>
    <row r="502" spans="1:9" x14ac:dyDescent="0.2">
      <c r="A502">
        <v>492</v>
      </c>
      <c r="B502">
        <v>923574.45591283019</v>
      </c>
      <c r="C502">
        <v>95881.845216311311</v>
      </c>
      <c r="D502">
        <v>75679.349431113078</v>
      </c>
      <c r="E502">
        <v>53765.63254431932</v>
      </c>
      <c r="F502">
        <v>39722.236099222107</v>
      </c>
      <c r="G502">
        <v>10000</v>
      </c>
      <c r="H502">
        <v>255049.0632909658</v>
      </c>
      <c r="I502">
        <v>56.500996387722878</v>
      </c>
    </row>
    <row r="503" spans="1:9" x14ac:dyDescent="0.2">
      <c r="A503">
        <v>493</v>
      </c>
      <c r="B503">
        <v>1477712.660727706</v>
      </c>
      <c r="C503">
        <v>122735.01906258172</v>
      </c>
      <c r="D503">
        <v>134219.87087152406</v>
      </c>
      <c r="E503">
        <v>115936.62544609846</v>
      </c>
      <c r="F503">
        <v>44026.38176165297</v>
      </c>
      <c r="G503">
        <v>10000</v>
      </c>
      <c r="H503">
        <v>406917.89714185719</v>
      </c>
      <c r="I503">
        <v>27.310607699148548</v>
      </c>
    </row>
    <row r="504" spans="1:9" x14ac:dyDescent="0.2">
      <c r="A504">
        <v>494</v>
      </c>
      <c r="B504">
        <v>1263575.0621925402</v>
      </c>
      <c r="C504">
        <v>146501.31374224025</v>
      </c>
      <c r="D504">
        <v>117435.94255980609</v>
      </c>
      <c r="E504">
        <v>54519.032361002879</v>
      </c>
      <c r="F504">
        <v>39774.394548069431</v>
      </c>
      <c r="G504">
        <v>10000</v>
      </c>
      <c r="H504">
        <v>348230.68321111868</v>
      </c>
      <c r="I504">
        <v>34.217951958241045</v>
      </c>
    </row>
    <row r="505" spans="1:9" x14ac:dyDescent="0.2">
      <c r="A505">
        <v>495</v>
      </c>
      <c r="B505">
        <v>1086041.5035255712</v>
      </c>
      <c r="C505">
        <v>161303.5443401477</v>
      </c>
      <c r="D505">
        <v>82206.305747450315</v>
      </c>
      <c r="E505">
        <v>28118.752911975011</v>
      </c>
      <c r="F505">
        <v>37946.682893905956</v>
      </c>
      <c r="G505">
        <v>10000</v>
      </c>
      <c r="H505">
        <v>299575.28589347901</v>
      </c>
      <c r="I505">
        <v>42.875706096658391</v>
      </c>
    </row>
    <row r="506" spans="1:9" x14ac:dyDescent="0.2">
      <c r="A506">
        <v>496</v>
      </c>
      <c r="B506">
        <v>932269.16803230066</v>
      </c>
      <c r="C506">
        <v>81553.313519502903</v>
      </c>
      <c r="D506">
        <v>51155.658939693902</v>
      </c>
      <c r="E506">
        <v>92330.854501836919</v>
      </c>
      <c r="F506">
        <v>42392.136080896402</v>
      </c>
      <c r="G506">
        <v>10000</v>
      </c>
      <c r="H506">
        <v>257431.96304193017</v>
      </c>
      <c r="I506">
        <v>39.978291509442961</v>
      </c>
    </row>
    <row r="507" spans="1:9" x14ac:dyDescent="0.2">
      <c r="A507">
        <v>497</v>
      </c>
      <c r="B507">
        <v>1611175.8670488098</v>
      </c>
      <c r="C507">
        <v>111638.68792608051</v>
      </c>
      <c r="D507">
        <v>144976.94852868433</v>
      </c>
      <c r="E507">
        <v>150462.93586315168</v>
      </c>
      <c r="F507">
        <v>46416.66479052588</v>
      </c>
      <c r="G507">
        <v>10000</v>
      </c>
      <c r="H507">
        <v>443495.23710844241</v>
      </c>
      <c r="I507">
        <v>45.51647862706514</v>
      </c>
    </row>
    <row r="508" spans="1:9" x14ac:dyDescent="0.2">
      <c r="A508">
        <v>498</v>
      </c>
      <c r="B508">
        <v>1831354.504359758</v>
      </c>
      <c r="C508">
        <v>106868.11024041841</v>
      </c>
      <c r="D508">
        <v>175442.43914644027</v>
      </c>
      <c r="E508">
        <v>182867.47172722933</v>
      </c>
      <c r="F508">
        <v>48660.055734962036</v>
      </c>
      <c r="G508">
        <v>10000</v>
      </c>
      <c r="H508">
        <v>503838.07684905006</v>
      </c>
      <c r="I508">
        <v>35.277276183563586</v>
      </c>
    </row>
    <row r="509" spans="1:9" x14ac:dyDescent="0.2">
      <c r="A509">
        <v>499</v>
      </c>
      <c r="B509">
        <v>1200051.8787690061</v>
      </c>
      <c r="C509">
        <v>95302.901654149347</v>
      </c>
      <c r="D509">
        <v>116795.16601104081</v>
      </c>
      <c r="E509">
        <v>86719.591025535745</v>
      </c>
      <c r="F509">
        <v>42003.663994075556</v>
      </c>
      <c r="G509">
        <v>10000</v>
      </c>
      <c r="H509">
        <v>330821.32268480147</v>
      </c>
      <c r="I509">
        <v>32.457481067422137</v>
      </c>
    </row>
    <row r="510" spans="1:9" x14ac:dyDescent="0.2">
      <c r="A510">
        <v>500</v>
      </c>
      <c r="B510">
        <v>880569.95972595783</v>
      </c>
      <c r="C510">
        <v>107144.7399741658</v>
      </c>
      <c r="D510">
        <v>81535.439463684437</v>
      </c>
      <c r="E510">
        <v>26732.244494762854</v>
      </c>
      <c r="F510">
        <v>37850.693849637428</v>
      </c>
      <c r="G510">
        <v>10000</v>
      </c>
      <c r="H510">
        <v>243263.11778225054</v>
      </c>
      <c r="I510">
        <v>29.230449440853977</v>
      </c>
    </row>
    <row r="511" spans="1:9" x14ac:dyDescent="0.2">
      <c r="A511">
        <v>501</v>
      </c>
      <c r="B511">
        <v>1330865.3453249387</v>
      </c>
      <c r="C511">
        <v>162826.08631323493</v>
      </c>
      <c r="D511">
        <v>109089.97747844439</v>
      </c>
      <c r="E511">
        <v>64304.549537792402</v>
      </c>
      <c r="F511">
        <v>40451.853429539478</v>
      </c>
      <c r="G511">
        <v>10000</v>
      </c>
      <c r="H511">
        <v>366672.46675901121</v>
      </c>
      <c r="I511">
        <v>49.922842310661792</v>
      </c>
    </row>
    <row r="512" spans="1:9" x14ac:dyDescent="0.2">
      <c r="A512">
        <v>502</v>
      </c>
      <c r="B512">
        <v>1465448.918505002</v>
      </c>
      <c r="C512">
        <v>98339.177199653757</v>
      </c>
      <c r="D512">
        <v>127769.4305214663</v>
      </c>
      <c r="E512">
        <v>141642.24840550462</v>
      </c>
      <c r="F512">
        <v>45806.001812688781</v>
      </c>
      <c r="G512">
        <v>10000</v>
      </c>
      <c r="H512">
        <v>403556.85793931346</v>
      </c>
      <c r="I512">
        <v>35.883996028667667</v>
      </c>
    </row>
    <row r="513" spans="1:9" x14ac:dyDescent="0.2">
      <c r="A513">
        <v>503</v>
      </c>
      <c r="B513">
        <v>1373848.0139976349</v>
      </c>
      <c r="C513">
        <v>106914.44008191446</v>
      </c>
      <c r="D513">
        <v>113973.67001457121</v>
      </c>
      <c r="E513">
        <v>123045.76695796569</v>
      </c>
      <c r="F513">
        <v>44518.553097089927</v>
      </c>
      <c r="G513">
        <v>10000</v>
      </c>
      <c r="H513">
        <v>378452.43015154131</v>
      </c>
      <c r="I513">
        <v>27.504203139695591</v>
      </c>
    </row>
    <row r="514" spans="1:9" x14ac:dyDescent="0.2">
      <c r="A514">
        <v>504</v>
      </c>
      <c r="B514">
        <v>1487232.1679863248</v>
      </c>
      <c r="C514">
        <v>86145.780271974712</v>
      </c>
      <c r="D514">
        <v>93424.053109445973</v>
      </c>
      <c r="E514">
        <v>190751.15989250215</v>
      </c>
      <c r="F514">
        <v>49205.849531019383</v>
      </c>
      <c r="G514">
        <v>10000</v>
      </c>
      <c r="H514">
        <v>409526.84280494222</v>
      </c>
      <c r="I514">
        <v>26.82951165047222</v>
      </c>
    </row>
    <row r="515" spans="1:9" x14ac:dyDescent="0.2">
      <c r="A515">
        <v>505</v>
      </c>
      <c r="B515">
        <v>1743909.0148500595</v>
      </c>
      <c r="C515">
        <v>109598.70678164352</v>
      </c>
      <c r="D515">
        <v>135693.37854053461</v>
      </c>
      <c r="E515">
        <v>195075.20327186928</v>
      </c>
      <c r="F515">
        <v>49505.206380360178</v>
      </c>
      <c r="G515">
        <v>10000</v>
      </c>
      <c r="H515">
        <v>479872.4949744076</v>
      </c>
      <c r="I515">
        <v>41.176828624877565</v>
      </c>
    </row>
    <row r="516" spans="1:9" x14ac:dyDescent="0.2">
      <c r="A516">
        <v>506</v>
      </c>
      <c r="B516">
        <v>1249155.310689091</v>
      </c>
      <c r="C516">
        <v>133546.72850329312</v>
      </c>
      <c r="D516">
        <v>41476.321668495482</v>
      </c>
      <c r="E516">
        <v>133980.16160183284</v>
      </c>
      <c r="F516">
        <v>45275.549649357657</v>
      </c>
      <c r="G516">
        <v>10000</v>
      </c>
      <c r="H516">
        <v>344278.76142297912</v>
      </c>
      <c r="I516">
        <v>29.000846468614156</v>
      </c>
    </row>
    <row r="517" spans="1:9" x14ac:dyDescent="0.2">
      <c r="A517">
        <v>507</v>
      </c>
      <c r="B517">
        <v>1446889.4977624894</v>
      </c>
      <c r="C517">
        <v>108786.98260494688</v>
      </c>
      <c r="D517">
        <v>81185.871151039595</v>
      </c>
      <c r="E517">
        <v>170681.16356654704</v>
      </c>
      <c r="F517">
        <v>47816.388246914794</v>
      </c>
      <c r="G517">
        <v>10000</v>
      </c>
      <c r="H517">
        <v>398470.40556944831</v>
      </c>
      <c r="I517">
        <v>31.344697545163683</v>
      </c>
    </row>
    <row r="518" spans="1:9" x14ac:dyDescent="0.2">
      <c r="A518">
        <v>508</v>
      </c>
      <c r="B518">
        <v>1002460.4823750459</v>
      </c>
      <c r="C518">
        <v>107525.72758495614</v>
      </c>
      <c r="D518">
        <v>109135.90891671031</v>
      </c>
      <c r="E518">
        <v>31805.272230698203</v>
      </c>
      <c r="F518">
        <v>38201.903462125265</v>
      </c>
      <c r="G518">
        <v>10000</v>
      </c>
      <c r="H518">
        <v>276668.81219448993</v>
      </c>
      <c r="I518">
        <v>34.83118594192166</v>
      </c>
    </row>
    <row r="519" spans="1:9" x14ac:dyDescent="0.2">
      <c r="A519">
        <v>509</v>
      </c>
      <c r="B519">
        <v>1430795.9558871435</v>
      </c>
      <c r="C519">
        <v>123144.97093974591</v>
      </c>
      <c r="D519">
        <v>57169.300088460564</v>
      </c>
      <c r="E519">
        <v>175589.30586263811</v>
      </c>
      <c r="F519">
        <v>48156.182713567257</v>
      </c>
      <c r="G519">
        <v>10000</v>
      </c>
      <c r="H519">
        <v>394059.7596044119</v>
      </c>
      <c r="I519">
        <v>39.05150992316478</v>
      </c>
    </row>
    <row r="520" spans="1:9" x14ac:dyDescent="0.2">
      <c r="A520">
        <v>510</v>
      </c>
      <c r="B520">
        <v>1132775.3723698813</v>
      </c>
      <c r="C520">
        <v>78418.940840095267</v>
      </c>
      <c r="D520">
        <v>121431.00925484381</v>
      </c>
      <c r="E520">
        <v>80930.485005068927</v>
      </c>
      <c r="F520">
        <v>41602.879731120156</v>
      </c>
      <c r="G520">
        <v>10000</v>
      </c>
      <c r="H520">
        <v>312383.31483112817</v>
      </c>
      <c r="I520">
        <v>30.932429406628984</v>
      </c>
    </row>
    <row r="521" spans="1:9" x14ac:dyDescent="0.2">
      <c r="A521">
        <v>511</v>
      </c>
      <c r="B521">
        <v>1327394.9118736004</v>
      </c>
      <c r="C521">
        <v>115467.71676324288</v>
      </c>
      <c r="D521">
        <v>43084.004680302744</v>
      </c>
      <c r="E521">
        <v>169439.22002751834</v>
      </c>
      <c r="F521">
        <v>47730.40754036665</v>
      </c>
      <c r="G521">
        <v>10000</v>
      </c>
      <c r="H521">
        <v>365721.34901143063</v>
      </c>
      <c r="I521">
        <v>41.854453191167764</v>
      </c>
    </row>
    <row r="522" spans="1:9" x14ac:dyDescent="0.2">
      <c r="A522">
        <v>512</v>
      </c>
      <c r="B522">
        <v>1548014.4260730753</v>
      </c>
      <c r="C522">
        <v>115710.29803596759</v>
      </c>
      <c r="D522">
        <v>131676.66520794609</v>
      </c>
      <c r="E522">
        <v>142904.65444099557</v>
      </c>
      <c r="F522">
        <v>45893.399153607381</v>
      </c>
      <c r="G522">
        <v>10000</v>
      </c>
      <c r="H522">
        <v>426185.01683851663</v>
      </c>
      <c r="I522">
        <v>33.713469526853444</v>
      </c>
    </row>
    <row r="523" spans="1:9" x14ac:dyDescent="0.2">
      <c r="A523">
        <v>513</v>
      </c>
      <c r="B523">
        <v>1579841.8978386091</v>
      </c>
      <c r="C523">
        <v>119873.34928658311</v>
      </c>
      <c r="D523">
        <v>130634.19269753106</v>
      </c>
      <c r="E523">
        <v>148144.08167774239</v>
      </c>
      <c r="F523">
        <v>46256.12873153601</v>
      </c>
      <c r="G523">
        <v>10000</v>
      </c>
      <c r="H523">
        <v>434907.7523933925</v>
      </c>
      <c r="I523">
        <v>33.975124654912122</v>
      </c>
    </row>
    <row r="524" spans="1:9" x14ac:dyDescent="0.2">
      <c r="A524">
        <v>514</v>
      </c>
      <c r="B524">
        <v>1032959.774037678</v>
      </c>
      <c r="C524">
        <v>90789.368064752824</v>
      </c>
      <c r="D524">
        <v>71859.57593344929</v>
      </c>
      <c r="E524">
        <v>90138.257679466042</v>
      </c>
      <c r="F524">
        <v>42240.340916270725</v>
      </c>
      <c r="G524">
        <v>10000</v>
      </c>
      <c r="H524">
        <v>285027.54259393888</v>
      </c>
      <c r="I524">
        <v>28.291677854340367</v>
      </c>
    </row>
    <row r="525" spans="1:9" x14ac:dyDescent="0.2">
      <c r="A525">
        <v>515</v>
      </c>
      <c r="B525">
        <v>1183834.8950463515</v>
      </c>
      <c r="C525">
        <v>145842.42864652211</v>
      </c>
      <c r="D525">
        <v>96083.966597528124</v>
      </c>
      <c r="E525">
        <v>54665.889069493365</v>
      </c>
      <c r="F525">
        <v>39784.561550964921</v>
      </c>
      <c r="G525">
        <v>10000</v>
      </c>
      <c r="H525">
        <v>326376.84586450853</v>
      </c>
      <c r="I525">
        <v>34.362636247669045</v>
      </c>
    </row>
    <row r="526" spans="1:9" x14ac:dyDescent="0.2">
      <c r="A526">
        <v>516</v>
      </c>
      <c r="B526">
        <v>1210562.5747415875</v>
      </c>
      <c r="C526">
        <v>90890.214746542741</v>
      </c>
      <c r="D526">
        <v>61739.141062858042</v>
      </c>
      <c r="E526">
        <v>145031.89138579174</v>
      </c>
      <c r="F526">
        <v>46040.669403631735</v>
      </c>
      <c r="G526">
        <v>10000</v>
      </c>
      <c r="H526">
        <v>333701.9165988242</v>
      </c>
      <c r="I526">
        <v>36.913137407142294</v>
      </c>
    </row>
    <row r="527" spans="1:9" x14ac:dyDescent="0.2">
      <c r="A527">
        <v>517</v>
      </c>
      <c r="B527">
        <v>1257292.3019216824</v>
      </c>
      <c r="C527">
        <v>116315.01234282918</v>
      </c>
      <c r="D527">
        <v>119782.89476485118</v>
      </c>
      <c r="E527">
        <v>78945.449177626258</v>
      </c>
      <c r="F527">
        <v>41465.454173835664</v>
      </c>
      <c r="G527">
        <v>10000</v>
      </c>
      <c r="H527">
        <v>346508.81045914232</v>
      </c>
      <c r="I527">
        <v>31.990866779418287</v>
      </c>
    </row>
    <row r="528" spans="1:9" x14ac:dyDescent="0.2">
      <c r="A528">
        <v>518</v>
      </c>
      <c r="B528">
        <v>1003723.9347332484</v>
      </c>
      <c r="C528">
        <v>88130.69812876088</v>
      </c>
      <c r="D528">
        <v>34562.223141857125</v>
      </c>
      <c r="E528">
        <v>120013.52774882654</v>
      </c>
      <c r="F528">
        <v>44308.628844149527</v>
      </c>
      <c r="G528">
        <v>10000</v>
      </c>
      <c r="H528">
        <v>277015.07786359405</v>
      </c>
      <c r="I528">
        <v>42.892102973532836</v>
      </c>
    </row>
    <row r="529" spans="1:9" x14ac:dyDescent="0.2">
      <c r="A529">
        <v>519</v>
      </c>
      <c r="B529">
        <v>1248478.0108617099</v>
      </c>
      <c r="C529">
        <v>109255.59795154199</v>
      </c>
      <c r="D529">
        <v>97254.007742309608</v>
      </c>
      <c r="E529">
        <v>104358.69977774537</v>
      </c>
      <c r="F529">
        <v>43224.833061536221</v>
      </c>
      <c r="G529">
        <v>10000</v>
      </c>
      <c r="H529">
        <v>344093.1385331332</v>
      </c>
      <c r="I529">
        <v>35.587760773823874</v>
      </c>
    </row>
    <row r="530" spans="1:9" x14ac:dyDescent="0.2">
      <c r="A530">
        <v>520</v>
      </c>
      <c r="B530">
        <v>1327251.3761590631</v>
      </c>
      <c r="C530">
        <v>107195.48836024883</v>
      </c>
      <c r="D530">
        <v>77427.474333805381</v>
      </c>
      <c r="E530">
        <v>145019.2539690414</v>
      </c>
      <c r="F530">
        <v>46039.79450554902</v>
      </c>
      <c r="G530">
        <v>10000</v>
      </c>
      <c r="H530">
        <v>365682.01116864465</v>
      </c>
      <c r="I530">
        <v>34.175557148395711</v>
      </c>
    </row>
    <row r="531" spans="1:9" x14ac:dyDescent="0.2">
      <c r="A531">
        <v>521</v>
      </c>
      <c r="B531">
        <v>1089147.5960077844</v>
      </c>
      <c r="C531">
        <v>119059.73357906609</v>
      </c>
      <c r="D531">
        <v>55037.797156428758</v>
      </c>
      <c r="E531">
        <v>93832.896861492583</v>
      </c>
      <c r="F531">
        <v>42496.123628872563</v>
      </c>
      <c r="G531">
        <v>10000</v>
      </c>
      <c r="H531">
        <v>300426.55122586002</v>
      </c>
      <c r="I531">
        <v>48.502888166680819</v>
      </c>
    </row>
    <row r="532" spans="1:9" x14ac:dyDescent="0.2">
      <c r="A532">
        <v>522</v>
      </c>
      <c r="B532">
        <v>1551475.923443323</v>
      </c>
      <c r="C532">
        <v>97672.750113088943</v>
      </c>
      <c r="D532">
        <v>84339.393134632643</v>
      </c>
      <c r="E532">
        <v>204933.8165286225</v>
      </c>
      <c r="F532">
        <v>50187.725759673864</v>
      </c>
      <c r="G532">
        <v>10000</v>
      </c>
      <c r="H532">
        <v>427133.68553601799</v>
      </c>
      <c r="I532">
        <v>49.179941045822623</v>
      </c>
    </row>
    <row r="533" spans="1:9" x14ac:dyDescent="0.2">
      <c r="A533">
        <v>523</v>
      </c>
      <c r="B533">
        <v>1496725.7264296669</v>
      </c>
      <c r="C533">
        <v>95585.935549640461</v>
      </c>
      <c r="D533">
        <v>148266.97086767916</v>
      </c>
      <c r="E533">
        <v>133063.67019378478</v>
      </c>
      <c r="F533">
        <v>45212.100244185094</v>
      </c>
      <c r="G533">
        <v>10000</v>
      </c>
      <c r="H533">
        <v>412128.67685528949</v>
      </c>
      <c r="I533">
        <v>52.741513406799641</v>
      </c>
    </row>
    <row r="534" spans="1:9" x14ac:dyDescent="0.2">
      <c r="A534">
        <v>524</v>
      </c>
      <c r="B534">
        <v>1282928.6840005976</v>
      </c>
      <c r="C534">
        <v>120469.98814631825</v>
      </c>
      <c r="D534">
        <v>145559.77483196126</v>
      </c>
      <c r="E534">
        <v>57522.693489677062</v>
      </c>
      <c r="F534">
        <v>39982.340318516108</v>
      </c>
      <c r="G534">
        <v>10000</v>
      </c>
      <c r="H534">
        <v>353534.79678647267</v>
      </c>
      <c r="I534">
        <v>31.438199053727882</v>
      </c>
    </row>
    <row r="535" spans="1:9" x14ac:dyDescent="0.2">
      <c r="A535">
        <v>525</v>
      </c>
      <c r="B535">
        <v>923135.69523562118</v>
      </c>
      <c r="C535">
        <v>112067.09635262255</v>
      </c>
      <c r="D535">
        <v>70020.288671024275</v>
      </c>
      <c r="E535">
        <v>43808.531800830933</v>
      </c>
      <c r="F535">
        <v>39032.898355442136</v>
      </c>
      <c r="G535">
        <v>10000</v>
      </c>
      <c r="H535">
        <v>254928.81517991988</v>
      </c>
      <c r="I535">
        <v>40.228352037075894</v>
      </c>
    </row>
    <row r="536" spans="1:9" x14ac:dyDescent="0.2">
      <c r="A536">
        <v>526</v>
      </c>
      <c r="B536">
        <v>1298267.6484258075</v>
      </c>
      <c r="C536">
        <v>117354.33873930051</v>
      </c>
      <c r="D536">
        <v>107172.44627116932</v>
      </c>
      <c r="E536">
        <v>100270.08106353467</v>
      </c>
      <c r="F536">
        <v>42941.774842860097</v>
      </c>
      <c r="G536">
        <v>10000</v>
      </c>
      <c r="H536">
        <v>357738.64091686462</v>
      </c>
      <c r="I536">
        <v>37.731853081410136</v>
      </c>
    </row>
    <row r="537" spans="1:9" x14ac:dyDescent="0.2">
      <c r="A537">
        <v>527</v>
      </c>
      <c r="B537">
        <v>999936.09286485298</v>
      </c>
      <c r="C537">
        <v>103624.4080808818</v>
      </c>
      <c r="D537">
        <v>106782.55130565999</v>
      </c>
      <c r="E537">
        <v>37007.923765060928</v>
      </c>
      <c r="F537">
        <v>38562.087029888826</v>
      </c>
      <c r="G537">
        <v>10000</v>
      </c>
      <c r="H537">
        <v>275976.97018149158</v>
      </c>
      <c r="I537">
        <v>34.326830310616998</v>
      </c>
    </row>
    <row r="538" spans="1:9" x14ac:dyDescent="0.2">
      <c r="A538">
        <v>528</v>
      </c>
      <c r="B538">
        <v>1435958.4859849934</v>
      </c>
      <c r="C538">
        <v>85234.533744663</v>
      </c>
      <c r="D538">
        <v>105835.71630608846</v>
      </c>
      <c r="E538">
        <v>166853.00655988784</v>
      </c>
      <c r="F538">
        <v>47551.361992607621</v>
      </c>
      <c r="G538">
        <v>10000</v>
      </c>
      <c r="H538">
        <v>395474.61860324687</v>
      </c>
      <c r="I538">
        <v>26.834750915834597</v>
      </c>
    </row>
    <row r="539" spans="1:9" x14ac:dyDescent="0.2">
      <c r="A539">
        <v>529</v>
      </c>
      <c r="B539">
        <v>1592591.9611033192</v>
      </c>
      <c r="C539">
        <v>127928.53150724465</v>
      </c>
      <c r="D539">
        <v>72721.947241077432</v>
      </c>
      <c r="E539">
        <v>198041.06053923172</v>
      </c>
      <c r="F539">
        <v>49710.534960408346</v>
      </c>
      <c r="G539">
        <v>10000</v>
      </c>
      <c r="H539">
        <v>438402.07424796215</v>
      </c>
      <c r="I539">
        <v>48.998500775523688</v>
      </c>
    </row>
    <row r="540" spans="1:9" x14ac:dyDescent="0.2">
      <c r="A540">
        <v>530</v>
      </c>
      <c r="B540">
        <v>1151911.1636295062</v>
      </c>
      <c r="C540">
        <v>109159.40248967893</v>
      </c>
      <c r="D540">
        <v>83761.033622477291</v>
      </c>
      <c r="E540">
        <v>92316.173289806437</v>
      </c>
      <c r="F540">
        <v>42391.11968929429</v>
      </c>
      <c r="G540">
        <v>10000</v>
      </c>
      <c r="H540">
        <v>317627.72909125697</v>
      </c>
      <c r="I540">
        <v>25.872010744351108</v>
      </c>
    </row>
    <row r="541" spans="1:9" x14ac:dyDescent="0.2">
      <c r="A541">
        <v>531</v>
      </c>
      <c r="B541">
        <v>1254280.7982984434</v>
      </c>
      <c r="C541">
        <v>139597.74129416945</v>
      </c>
      <c r="D541">
        <v>64313.726491136717</v>
      </c>
      <c r="E541">
        <v>108275.97183776692</v>
      </c>
      <c r="F541">
        <v>43496.028819537714</v>
      </c>
      <c r="G541">
        <v>10000</v>
      </c>
      <c r="H541">
        <v>345683.46844261081</v>
      </c>
      <c r="I541">
        <v>39.09624876560396</v>
      </c>
    </row>
    <row r="542" spans="1:9" x14ac:dyDescent="0.2">
      <c r="A542">
        <v>532</v>
      </c>
      <c r="B542">
        <v>1501341.6218379422</v>
      </c>
      <c r="C542">
        <v>134257.09585481315</v>
      </c>
      <c r="D542">
        <v>104049.89664789631</v>
      </c>
      <c r="E542">
        <v>139433.63326652412</v>
      </c>
      <c r="F542">
        <v>45653.097687682442</v>
      </c>
      <c r="G542">
        <v>10000</v>
      </c>
      <c r="H542">
        <v>413393.72345691599</v>
      </c>
      <c r="I542">
        <v>36.954090067074873</v>
      </c>
    </row>
    <row r="543" spans="1:9" x14ac:dyDescent="0.2">
      <c r="A543">
        <v>533</v>
      </c>
      <c r="B543">
        <v>796676.17743457144</v>
      </c>
      <c r="C543">
        <v>90122.195228541721</v>
      </c>
      <c r="D543">
        <v>56028.021156468181</v>
      </c>
      <c r="E543">
        <v>45004.981894849967</v>
      </c>
      <c r="F543">
        <v>39115.729515797306</v>
      </c>
      <c r="G543">
        <v>10000</v>
      </c>
      <c r="H543">
        <v>220270.92779565719</v>
      </c>
      <c r="I543">
        <v>32.999815082629617</v>
      </c>
    </row>
    <row r="544" spans="1:9" x14ac:dyDescent="0.2">
      <c r="A544">
        <v>534</v>
      </c>
      <c r="B544">
        <v>1622138.0684436164</v>
      </c>
      <c r="C544">
        <v>106531.93795947588</v>
      </c>
      <c r="D544">
        <v>95241.028818290186</v>
      </c>
      <c r="E544">
        <v>204564.45092523948</v>
      </c>
      <c r="F544">
        <v>50162.154294824271</v>
      </c>
      <c r="G544">
        <v>10000</v>
      </c>
      <c r="H544">
        <v>446499.57199782983</v>
      </c>
      <c r="I544">
        <v>38.800959373323735</v>
      </c>
    </row>
    <row r="545" spans="1:9" x14ac:dyDescent="0.2">
      <c r="A545">
        <v>535</v>
      </c>
      <c r="B545">
        <v>1403588.7813909049</v>
      </c>
      <c r="C545">
        <v>120585.62941156563</v>
      </c>
      <c r="D545">
        <v>59664.565128630937</v>
      </c>
      <c r="E545">
        <v>168675.54478290048</v>
      </c>
      <c r="F545">
        <v>47677.537715739265</v>
      </c>
      <c r="G545">
        <v>10000</v>
      </c>
      <c r="H545">
        <v>386603.27703883633</v>
      </c>
      <c r="I545">
        <v>34.033433245780934</v>
      </c>
    </row>
    <row r="546" spans="1:9" x14ac:dyDescent="0.2">
      <c r="A546">
        <v>536</v>
      </c>
      <c r="B546">
        <v>860581.18047709169</v>
      </c>
      <c r="C546">
        <v>89025.512773939379</v>
      </c>
      <c r="D546">
        <v>84661.348923056707</v>
      </c>
      <c r="E546">
        <v>35631.287828107561</v>
      </c>
      <c r="F546">
        <v>38466.781465022832</v>
      </c>
      <c r="G546">
        <v>10000</v>
      </c>
      <c r="H546">
        <v>237784.93099012648</v>
      </c>
      <c r="I546">
        <v>26.046457736366364</v>
      </c>
    </row>
    <row r="547" spans="1:9" x14ac:dyDescent="0.2">
      <c r="A547">
        <v>537</v>
      </c>
      <c r="B547">
        <v>1529386.8954923509</v>
      </c>
      <c r="C547">
        <v>168469.66951541515</v>
      </c>
      <c r="D547">
        <v>146601.37568799724</v>
      </c>
      <c r="E547">
        <v>74828.423549246043</v>
      </c>
      <c r="F547">
        <v>41180.429322640113</v>
      </c>
      <c r="G547">
        <v>10000</v>
      </c>
      <c r="H547">
        <v>421079.89807529858</v>
      </c>
      <c r="I547">
        <v>27.367528493429901</v>
      </c>
    </row>
    <row r="548" spans="1:9" x14ac:dyDescent="0.2">
      <c r="A548">
        <v>538</v>
      </c>
      <c r="B548">
        <v>1036927.6657241042</v>
      </c>
      <c r="C548">
        <v>104768.01401155445</v>
      </c>
      <c r="D548">
        <v>76874.1746084638</v>
      </c>
      <c r="E548">
        <v>73391.833573622149</v>
      </c>
      <c r="F548">
        <v>41080.973093558452</v>
      </c>
      <c r="G548">
        <v>10000</v>
      </c>
      <c r="H548">
        <v>286114.99528719886</v>
      </c>
      <c r="I548">
        <v>37.741742862740239</v>
      </c>
    </row>
    <row r="549" spans="1:9" x14ac:dyDescent="0.2">
      <c r="A549">
        <v>539</v>
      </c>
      <c r="B549">
        <v>987989.15016887861</v>
      </c>
      <c r="C549">
        <v>105612.77304578437</v>
      </c>
      <c r="D549">
        <v>74157.765758214402</v>
      </c>
      <c r="E549">
        <v>62598.474680310013</v>
      </c>
      <c r="F549">
        <v>40333.740554790689</v>
      </c>
      <c r="G549">
        <v>10000</v>
      </c>
      <c r="H549">
        <v>272702.7540390995</v>
      </c>
      <c r="I549">
        <v>40.049682723883308</v>
      </c>
    </row>
    <row r="550" spans="1:9" x14ac:dyDescent="0.2">
      <c r="A550">
        <v>540</v>
      </c>
      <c r="B550">
        <v>1360839.2474829601</v>
      </c>
      <c r="C550">
        <v>163030.1504133846</v>
      </c>
      <c r="D550">
        <v>83274.815627945718</v>
      </c>
      <c r="E550">
        <v>95940.225621226637</v>
      </c>
      <c r="F550">
        <v>42642.015619931073</v>
      </c>
      <c r="G550">
        <v>10000</v>
      </c>
      <c r="H550">
        <v>374887.207282488</v>
      </c>
      <c r="I550">
        <v>31.678744419778237</v>
      </c>
    </row>
    <row r="551" spans="1:9" x14ac:dyDescent="0.2">
      <c r="A551">
        <v>541</v>
      </c>
      <c r="B551">
        <v>1264387.1205268037</v>
      </c>
      <c r="C551">
        <v>111000.83130690358</v>
      </c>
      <c r="D551">
        <v>158103.61394750839</v>
      </c>
      <c r="E551">
        <v>49894.554773228236</v>
      </c>
      <c r="F551">
        <v>39454.238407377343</v>
      </c>
      <c r="G551">
        <v>10000</v>
      </c>
      <c r="H551">
        <v>348453.23843501753</v>
      </c>
      <c r="I551">
        <v>35.239719202254491</v>
      </c>
    </row>
    <row r="552" spans="1:9" x14ac:dyDescent="0.2">
      <c r="A552">
        <v>542</v>
      </c>
      <c r="B552">
        <v>1475720.8952985657</v>
      </c>
      <c r="C552">
        <v>97031.72728801523</v>
      </c>
      <c r="D552">
        <v>75564.807337664184</v>
      </c>
      <c r="E552">
        <v>194322.40362767724</v>
      </c>
      <c r="F552">
        <v>49453.089481916111</v>
      </c>
      <c r="G552">
        <v>10000</v>
      </c>
      <c r="H552">
        <v>406372.02773527277</v>
      </c>
      <c r="I552">
        <v>56.086072427140408</v>
      </c>
    </row>
    <row r="553" spans="1:9" x14ac:dyDescent="0.2">
      <c r="A553">
        <v>543</v>
      </c>
      <c r="B553">
        <v>1561644.3292577118</v>
      </c>
      <c r="C553">
        <v>116546.98460947468</v>
      </c>
      <c r="D553">
        <v>108521.96571848853</v>
      </c>
      <c r="E553">
        <v>167271.20577453476</v>
      </c>
      <c r="F553">
        <v>47580.31424592933</v>
      </c>
      <c r="G553">
        <v>10000</v>
      </c>
      <c r="H553">
        <v>429920.4703484273</v>
      </c>
      <c r="I553">
        <v>33.89084296245025</v>
      </c>
    </row>
    <row r="554" spans="1:9" x14ac:dyDescent="0.2">
      <c r="A554">
        <v>544</v>
      </c>
      <c r="B554">
        <v>1209994.74273771</v>
      </c>
      <c r="C554">
        <v>144544.75171259142</v>
      </c>
      <c r="D554">
        <v>113252.29592530383</v>
      </c>
      <c r="E554">
        <v>46528.0728853853</v>
      </c>
      <c r="F554">
        <v>39221.174276680518</v>
      </c>
      <c r="G554">
        <v>10000</v>
      </c>
      <c r="H554">
        <v>333546.29479996103</v>
      </c>
      <c r="I554">
        <v>42.043456203233774</v>
      </c>
    </row>
    <row r="555" spans="1:9" x14ac:dyDescent="0.2">
      <c r="A555">
        <v>545</v>
      </c>
      <c r="B555">
        <v>1505366.3360397064</v>
      </c>
      <c r="C555">
        <v>122325.55366073843</v>
      </c>
      <c r="D555">
        <v>118643.5732617553</v>
      </c>
      <c r="E555">
        <v>137975.47398348874</v>
      </c>
      <c r="F555">
        <v>45552.148198856914</v>
      </c>
      <c r="G555">
        <v>10000</v>
      </c>
      <c r="H555">
        <v>414496.7491048394</v>
      </c>
      <c r="I555">
        <v>41.73306879752819</v>
      </c>
    </row>
    <row r="556" spans="1:9" x14ac:dyDescent="0.2">
      <c r="A556">
        <v>546</v>
      </c>
      <c r="B556">
        <v>1377671.7650745916</v>
      </c>
      <c r="C556">
        <v>89882.558718068569</v>
      </c>
      <c r="D556">
        <v>42148.928907041845</v>
      </c>
      <c r="E556">
        <v>207129.17919192993</v>
      </c>
      <c r="F556">
        <v>50339.71240559515</v>
      </c>
      <c r="G556">
        <v>10000</v>
      </c>
      <c r="H556">
        <v>379500.37922263553</v>
      </c>
      <c r="I556">
        <v>34.65981008521662</v>
      </c>
    </row>
    <row r="557" spans="1:9" x14ac:dyDescent="0.2">
      <c r="A557">
        <v>547</v>
      </c>
      <c r="B557">
        <v>1742635.8351386304</v>
      </c>
      <c r="C557">
        <v>101403.89237420316</v>
      </c>
      <c r="D557">
        <v>166933.2510703493</v>
      </c>
      <c r="E557">
        <v>173195.93232937495</v>
      </c>
      <c r="F557">
        <v>47990.487622802873</v>
      </c>
      <c r="G557">
        <v>10000</v>
      </c>
      <c r="H557">
        <v>479523.56339673023</v>
      </c>
      <c r="I557">
        <v>46.659589393633034</v>
      </c>
    </row>
    <row r="558" spans="1:9" x14ac:dyDescent="0.2">
      <c r="A558">
        <v>548</v>
      </c>
      <c r="B558">
        <v>1535134.5066249685</v>
      </c>
      <c r="C558">
        <v>107729.31071919782</v>
      </c>
      <c r="D558">
        <v>76653.337226927193</v>
      </c>
      <c r="E558">
        <v>198528.19836306371</v>
      </c>
      <c r="F558">
        <v>49744.259886673637</v>
      </c>
      <c r="G558">
        <v>10000</v>
      </c>
      <c r="H558">
        <v>422655.10619586241</v>
      </c>
      <c r="I558">
        <v>43.160896106591949</v>
      </c>
    </row>
    <row r="559" spans="1:9" x14ac:dyDescent="0.2">
      <c r="A559">
        <v>549</v>
      </c>
      <c r="B559">
        <v>852405.33425783913</v>
      </c>
      <c r="C559">
        <v>123687.88320719758</v>
      </c>
      <c r="D559">
        <v>51235.397001288344</v>
      </c>
      <c r="E559">
        <v>32379.308586786214</v>
      </c>
      <c r="F559">
        <v>38241.644440623662</v>
      </c>
      <c r="G559">
        <v>10000</v>
      </c>
      <c r="H559">
        <v>235544.23323589581</v>
      </c>
      <c r="I559">
        <v>29.356951913036092</v>
      </c>
    </row>
    <row r="560" spans="1:9" x14ac:dyDescent="0.2">
      <c r="A560">
        <v>550</v>
      </c>
      <c r="B560">
        <v>1204573.5491994205</v>
      </c>
      <c r="C560">
        <v>93443.488406124961</v>
      </c>
      <c r="D560">
        <v>28181.00458454583</v>
      </c>
      <c r="E560">
        <v>172494.1500130801</v>
      </c>
      <c r="F560">
        <v>47941.90269321324</v>
      </c>
      <c r="G560">
        <v>10000</v>
      </c>
      <c r="H560">
        <v>332060.54569696414</v>
      </c>
      <c r="I560">
        <v>32.875463351109303</v>
      </c>
    </row>
    <row r="561" spans="1:9" x14ac:dyDescent="0.2">
      <c r="A561">
        <v>551</v>
      </c>
      <c r="B561">
        <v>1249830.6797569238</v>
      </c>
      <c r="C561">
        <v>114370.37187817167</v>
      </c>
      <c r="D561">
        <v>162536.50119361264</v>
      </c>
      <c r="E561">
        <v>38866.242243470035</v>
      </c>
      <c r="F561">
        <v>38690.739847624849</v>
      </c>
      <c r="G561">
        <v>10000</v>
      </c>
      <c r="H561">
        <v>344463.85516287922</v>
      </c>
      <c r="I561">
        <v>37.712550115005882</v>
      </c>
    </row>
    <row r="562" spans="1:9" x14ac:dyDescent="0.2">
      <c r="A562">
        <v>552</v>
      </c>
      <c r="B562">
        <v>1776228.5211567972</v>
      </c>
      <c r="C562">
        <v>142552.07443642954</v>
      </c>
      <c r="D562">
        <v>150779.15532790287</v>
      </c>
      <c r="E562">
        <v>158430.57845982551</v>
      </c>
      <c r="F562">
        <v>46968.270816449454</v>
      </c>
      <c r="G562">
        <v>10000</v>
      </c>
      <c r="H562">
        <v>488730.07904060732</v>
      </c>
      <c r="I562">
        <v>27.403361111043257</v>
      </c>
    </row>
    <row r="563" spans="1:9" x14ac:dyDescent="0.2">
      <c r="A563">
        <v>553</v>
      </c>
      <c r="B563">
        <v>1540021.2707999414</v>
      </c>
      <c r="C563">
        <v>96514.828793520384</v>
      </c>
      <c r="D563">
        <v>120000.49236804691</v>
      </c>
      <c r="E563">
        <v>169728.62359749162</v>
      </c>
      <c r="F563">
        <v>47750.443172134037</v>
      </c>
      <c r="G563">
        <v>10000</v>
      </c>
      <c r="H563">
        <v>423994.38793119293</v>
      </c>
      <c r="I563">
        <v>42.802440273014554</v>
      </c>
    </row>
    <row r="564" spans="1:9" x14ac:dyDescent="0.2">
      <c r="A564">
        <v>554</v>
      </c>
      <c r="B564">
        <v>1630092.9627761226</v>
      </c>
      <c r="C564">
        <v>83941.548860836308</v>
      </c>
      <c r="D564">
        <v>160357.81318976937</v>
      </c>
      <c r="E564">
        <v>166830.54591751852</v>
      </c>
      <c r="F564">
        <v>47549.807025058974</v>
      </c>
      <c r="G564">
        <v>10000</v>
      </c>
      <c r="H564">
        <v>448679.71499318315</v>
      </c>
      <c r="I564">
        <v>53.744364763051649</v>
      </c>
    </row>
    <row r="565" spans="1:9" x14ac:dyDescent="0.2">
      <c r="A565">
        <v>555</v>
      </c>
      <c r="B565">
        <v>1539153.6594055514</v>
      </c>
      <c r="C565">
        <v>115160.70226986535</v>
      </c>
      <c r="D565">
        <v>152843.92611361988</v>
      </c>
      <c r="E565">
        <v>121350.77198846595</v>
      </c>
      <c r="F565">
        <v>44401.207291509185</v>
      </c>
      <c r="G565">
        <v>10000</v>
      </c>
      <c r="H565">
        <v>423756.60766346037</v>
      </c>
      <c r="I565">
        <v>32.925931982204375</v>
      </c>
    </row>
    <row r="566" spans="1:9" x14ac:dyDescent="0.2">
      <c r="A566">
        <v>556</v>
      </c>
      <c r="B566">
        <v>914086.66260090121</v>
      </c>
      <c r="C566">
        <v>116819.88412515176</v>
      </c>
      <c r="D566">
        <v>58527.572220031507</v>
      </c>
      <c r="E566">
        <v>47792.632213513432</v>
      </c>
      <c r="F566">
        <v>39308.720691704781</v>
      </c>
      <c r="G566">
        <v>10000</v>
      </c>
      <c r="H566">
        <v>252448.80925040145</v>
      </c>
      <c r="I566">
        <v>33.440799930928165</v>
      </c>
    </row>
    <row r="567" spans="1:9" x14ac:dyDescent="0.2">
      <c r="A567">
        <v>557</v>
      </c>
      <c r="B567">
        <v>1371296.7297198786</v>
      </c>
      <c r="C567">
        <v>163447.06746488361</v>
      </c>
      <c r="D567">
        <v>71756.735679817837</v>
      </c>
      <c r="E567">
        <v>109003.0491867876</v>
      </c>
      <c r="F567">
        <v>43546.364943700675</v>
      </c>
      <c r="G567">
        <v>10000</v>
      </c>
      <c r="H567">
        <v>377753.21727518976</v>
      </c>
      <c r="I567">
        <v>35.61080542403414</v>
      </c>
    </row>
    <row r="568" spans="1:9" x14ac:dyDescent="0.2">
      <c r="A568">
        <v>558</v>
      </c>
      <c r="B568">
        <v>1200190.9778196334</v>
      </c>
      <c r="C568">
        <v>140257.32222339549</v>
      </c>
      <c r="D568">
        <v>59014.815878266869</v>
      </c>
      <c r="E568">
        <v>98750.718309411837</v>
      </c>
      <c r="F568">
        <v>42836.588190651586</v>
      </c>
      <c r="G568">
        <v>10000</v>
      </c>
      <c r="H568">
        <v>330859.44460172579</v>
      </c>
      <c r="I568">
        <v>32.009190411561264</v>
      </c>
    </row>
    <row r="569" spans="1:9" x14ac:dyDescent="0.2">
      <c r="A569">
        <v>559</v>
      </c>
      <c r="B569">
        <v>1396826.6603936474</v>
      </c>
      <c r="C569">
        <v>104618.92695331907</v>
      </c>
      <c r="D569">
        <v>106364.79344834556</v>
      </c>
      <c r="E569">
        <v>138198.70607085421</v>
      </c>
      <c r="F569">
        <v>45567.602727982216</v>
      </c>
      <c r="G569">
        <v>10000</v>
      </c>
      <c r="H569">
        <v>384750.02920050104</v>
      </c>
      <c r="I569">
        <v>34.831829184553868</v>
      </c>
    </row>
    <row r="570" spans="1:9" x14ac:dyDescent="0.2">
      <c r="A570">
        <v>560</v>
      </c>
      <c r="B570">
        <v>1729143.3813655367</v>
      </c>
      <c r="C570">
        <v>155680.11627509972</v>
      </c>
      <c r="D570">
        <v>74066.533913333755</v>
      </c>
      <c r="E570">
        <v>205829.4017001031</v>
      </c>
      <c r="F570">
        <v>50249.727810007142</v>
      </c>
      <c r="G570">
        <v>10000</v>
      </c>
      <c r="H570">
        <v>475825.77969854372</v>
      </c>
      <c r="I570">
        <v>23.661763075850111</v>
      </c>
    </row>
    <row r="571" spans="1:9" x14ac:dyDescent="0.2">
      <c r="A571">
        <v>561</v>
      </c>
      <c r="B571">
        <v>996121.33766635729</v>
      </c>
      <c r="C571">
        <v>70344.138861983491</v>
      </c>
      <c r="D571">
        <v>91008.027520764517</v>
      </c>
      <c r="E571">
        <v>81908.716701997007</v>
      </c>
      <c r="F571">
        <v>41670.603463984407</v>
      </c>
      <c r="G571">
        <v>10000</v>
      </c>
      <c r="H571">
        <v>274931.48654872942</v>
      </c>
      <c r="I571">
        <v>37.395085469608603</v>
      </c>
    </row>
    <row r="572" spans="1:9" x14ac:dyDescent="0.2">
      <c r="A572">
        <v>562</v>
      </c>
      <c r="B572">
        <v>1441038.3675233587</v>
      </c>
      <c r="C572">
        <v>115739.99004658122</v>
      </c>
      <c r="D572">
        <v>95243.687761785375</v>
      </c>
      <c r="E572">
        <v>149531.00254342117</v>
      </c>
      <c r="F572">
        <v>46352.146329929157</v>
      </c>
      <c r="G572">
        <v>10000</v>
      </c>
      <c r="H572">
        <v>396866.82668171695</v>
      </c>
      <c r="I572">
        <v>54.50320396758076</v>
      </c>
    </row>
    <row r="573" spans="1:9" x14ac:dyDescent="0.2">
      <c r="A573">
        <v>563</v>
      </c>
      <c r="B573">
        <v>1615591.299980571</v>
      </c>
      <c r="C573">
        <v>100224.65866384776</v>
      </c>
      <c r="D573">
        <v>104228.12664879391</v>
      </c>
      <c r="E573">
        <v>200380.09117896913</v>
      </c>
      <c r="F573">
        <v>49872.46785085171</v>
      </c>
      <c r="G573">
        <v>10000</v>
      </c>
      <c r="H573">
        <v>444705.34434246249</v>
      </c>
      <c r="I573">
        <v>36.724471022502115</v>
      </c>
    </row>
    <row r="574" spans="1:9" x14ac:dyDescent="0.2">
      <c r="A574">
        <v>564</v>
      </c>
      <c r="B574">
        <v>1356891.0419557863</v>
      </c>
      <c r="C574">
        <v>106634.46736155846</v>
      </c>
      <c r="D574">
        <v>81590.199600957203</v>
      </c>
      <c r="E574">
        <v>149247.93362553196</v>
      </c>
      <c r="F574">
        <v>46332.549250998367</v>
      </c>
      <c r="G574">
        <v>10000</v>
      </c>
      <c r="H574">
        <v>373805.149839046</v>
      </c>
      <c r="I574">
        <v>36.354191731471843</v>
      </c>
    </row>
    <row r="575" spans="1:9" x14ac:dyDescent="0.2">
      <c r="A575">
        <v>565</v>
      </c>
      <c r="B575">
        <v>1337534.8145607258</v>
      </c>
      <c r="C575">
        <v>91283.915742858415</v>
      </c>
      <c r="D575">
        <v>153481.46815577775</v>
      </c>
      <c r="E575">
        <v>91406.776799099389</v>
      </c>
      <c r="F575">
        <v>42328.16147070688</v>
      </c>
      <c r="G575">
        <v>10000</v>
      </c>
      <c r="H575">
        <v>368500.32216844242</v>
      </c>
      <c r="I575">
        <v>40.324698225545163</v>
      </c>
    </row>
    <row r="576" spans="1:9" x14ac:dyDescent="0.2">
      <c r="A576">
        <v>566</v>
      </c>
      <c r="B576">
        <v>1306213.0877503646</v>
      </c>
      <c r="C576">
        <v>126971.73341524816</v>
      </c>
      <c r="D576">
        <v>144347.26109274023</v>
      </c>
      <c r="E576">
        <v>58544.142141065597</v>
      </c>
      <c r="F576">
        <v>40053.055994381466</v>
      </c>
      <c r="G576">
        <v>10000</v>
      </c>
      <c r="H576">
        <v>359916.1926434355</v>
      </c>
      <c r="I576">
        <v>42.082946987880199</v>
      </c>
    </row>
    <row r="577" spans="1:9" x14ac:dyDescent="0.2">
      <c r="A577">
        <v>567</v>
      </c>
      <c r="B577">
        <v>1392979.3094878735</v>
      </c>
      <c r="C577">
        <v>87929.716037636492</v>
      </c>
      <c r="D577">
        <v>110893.6671777974</v>
      </c>
      <c r="E577">
        <v>148585.53798076831</v>
      </c>
      <c r="F577">
        <v>46286.691090976266</v>
      </c>
      <c r="G577">
        <v>10000</v>
      </c>
      <c r="H577">
        <v>383695.6122871784</v>
      </c>
      <c r="I577">
        <v>35.074187946394893</v>
      </c>
    </row>
    <row r="578" spans="1:9" x14ac:dyDescent="0.2">
      <c r="A578">
        <v>568</v>
      </c>
      <c r="B578">
        <v>1520144.6813544999</v>
      </c>
      <c r="C578">
        <v>126962.90797051818</v>
      </c>
      <c r="D578">
        <v>121283.40013465288</v>
      </c>
      <c r="E578">
        <v>134957.43320494541</v>
      </c>
      <c r="F578">
        <v>45343.206914188529</v>
      </c>
      <c r="G578">
        <v>10000</v>
      </c>
      <c r="H578">
        <v>418546.948224305</v>
      </c>
      <c r="I578">
        <v>38.539579662054692</v>
      </c>
    </row>
    <row r="579" spans="1:9" x14ac:dyDescent="0.2">
      <c r="A579">
        <v>569</v>
      </c>
      <c r="B579">
        <v>1757222.3282169872</v>
      </c>
      <c r="C579">
        <v>154756.60615175651</v>
      </c>
      <c r="D579">
        <v>154244.99280224327</v>
      </c>
      <c r="E579">
        <v>138903.2080048722</v>
      </c>
      <c r="F579">
        <v>45616.375938798839</v>
      </c>
      <c r="G579">
        <v>10000</v>
      </c>
      <c r="H579">
        <v>483521.18289767083</v>
      </c>
      <c r="I579">
        <v>39.023670511845417</v>
      </c>
    </row>
    <row r="580" spans="1:9" x14ac:dyDescent="0.2">
      <c r="A580">
        <v>570</v>
      </c>
      <c r="B580">
        <v>1350892.8623500066</v>
      </c>
      <c r="C580">
        <v>97307.75972804238</v>
      </c>
      <c r="D580">
        <v>107812.99266810672</v>
      </c>
      <c r="E580">
        <v>131908.39789567597</v>
      </c>
      <c r="F580">
        <v>45132.119854316028</v>
      </c>
      <c r="G580">
        <v>10000</v>
      </c>
      <c r="H580">
        <v>372161.27014614106</v>
      </c>
      <c r="I580">
        <v>34.671303806743396</v>
      </c>
    </row>
    <row r="581" spans="1:9" x14ac:dyDescent="0.2">
      <c r="A581">
        <v>571</v>
      </c>
      <c r="B581">
        <v>1125490.2591571945</v>
      </c>
      <c r="C581">
        <v>84972.196835168972</v>
      </c>
      <c r="D581">
        <v>108636.59253546552</v>
      </c>
      <c r="E581">
        <v>84900.236101507966</v>
      </c>
      <c r="F581">
        <v>41877.708653181326</v>
      </c>
      <c r="G581">
        <v>10000</v>
      </c>
      <c r="H581">
        <v>310386.73412532377</v>
      </c>
      <c r="I581">
        <v>30.470615997817845</v>
      </c>
    </row>
    <row r="582" spans="1:9" x14ac:dyDescent="0.2">
      <c r="A582">
        <v>572</v>
      </c>
      <c r="B582">
        <v>1277414.6942968739</v>
      </c>
      <c r="C582">
        <v>113614.825211216</v>
      </c>
      <c r="D582">
        <v>31627.708255936286</v>
      </c>
      <c r="E582">
        <v>169075.83228425053</v>
      </c>
      <c r="F582">
        <v>47705.249927371187</v>
      </c>
      <c r="G582">
        <v>10000</v>
      </c>
      <c r="H582">
        <v>352023.61567877396</v>
      </c>
      <c r="I582">
        <v>32.648347680012293</v>
      </c>
    </row>
    <row r="583" spans="1:9" x14ac:dyDescent="0.2">
      <c r="A583">
        <v>573</v>
      </c>
      <c r="B583">
        <v>1591732.7911516286</v>
      </c>
      <c r="C583">
        <v>123645.76312758624</v>
      </c>
      <c r="D583">
        <v>117398.17926712276</v>
      </c>
      <c r="E583">
        <v>160042.78028453962</v>
      </c>
      <c r="F583">
        <v>47079.884788929667</v>
      </c>
      <c r="G583">
        <v>10000</v>
      </c>
      <c r="H583">
        <v>438166.60746817826</v>
      </c>
      <c r="I583">
        <v>28.287324721282332</v>
      </c>
    </row>
    <row r="584" spans="1:9" x14ac:dyDescent="0.2">
      <c r="A584">
        <v>574</v>
      </c>
      <c r="B584">
        <v>1604181.4297947071</v>
      </c>
      <c r="C584">
        <v>137707.14720273952</v>
      </c>
      <c r="D584">
        <v>99499.668363250181</v>
      </c>
      <c r="E584">
        <v>166822.27029350644</v>
      </c>
      <c r="F584">
        <v>47549.234097242748</v>
      </c>
      <c r="G584">
        <v>10000</v>
      </c>
      <c r="H584">
        <v>441578.31995673891</v>
      </c>
      <c r="I584">
        <v>33.506207242996929</v>
      </c>
    </row>
    <row r="585" spans="1:9" x14ac:dyDescent="0.2">
      <c r="A585">
        <v>575</v>
      </c>
      <c r="B585">
        <v>1031566.3522191938</v>
      </c>
      <c r="C585">
        <v>90960.577373583757</v>
      </c>
      <c r="D585">
        <v>94385.813945498157</v>
      </c>
      <c r="E585">
        <v>68553.270147086456</v>
      </c>
      <c r="F585">
        <v>40745.995625567528</v>
      </c>
      <c r="G585">
        <v>10000</v>
      </c>
      <c r="H585">
        <v>284645.65709173586</v>
      </c>
      <c r="I585">
        <v>27.979594374402197</v>
      </c>
    </row>
    <row r="586" spans="1:9" x14ac:dyDescent="0.2">
      <c r="A586">
        <v>576</v>
      </c>
      <c r="B586">
        <v>1866936.2578547664</v>
      </c>
      <c r="C586">
        <v>147083.81719145674</v>
      </c>
      <c r="D586">
        <v>136402.21877349747</v>
      </c>
      <c r="E586">
        <v>190888.33991583114</v>
      </c>
      <c r="F586">
        <v>49215.346609557542</v>
      </c>
      <c r="G586">
        <v>10000</v>
      </c>
      <c r="H586">
        <v>513589.7224903428</v>
      </c>
      <c r="I586">
        <v>48.891729076505705</v>
      </c>
    </row>
    <row r="587" spans="1:9" x14ac:dyDescent="0.2">
      <c r="A587">
        <v>577</v>
      </c>
      <c r="B587">
        <v>1396859.3753499067</v>
      </c>
      <c r="C587">
        <v>165036.52260315407</v>
      </c>
      <c r="D587">
        <v>64303.985398207442</v>
      </c>
      <c r="E587">
        <v>121038.87288480507</v>
      </c>
      <c r="F587">
        <v>44379.614276640343</v>
      </c>
      <c r="G587">
        <v>10000</v>
      </c>
      <c r="H587">
        <v>384758.99516280694</v>
      </c>
      <c r="I587">
        <v>32.974267588314099</v>
      </c>
    </row>
    <row r="588" spans="1:9" x14ac:dyDescent="0.2">
      <c r="A588">
        <v>578</v>
      </c>
      <c r="B588">
        <v>1201915.474587502</v>
      </c>
      <c r="C588">
        <v>144813.34827048273</v>
      </c>
      <c r="D588">
        <v>48142.535237362768</v>
      </c>
      <c r="E588">
        <v>105100.02635226966</v>
      </c>
      <c r="F588">
        <v>43276.155670541746</v>
      </c>
      <c r="G588">
        <v>10000</v>
      </c>
      <c r="H588">
        <v>331332.0655306569</v>
      </c>
      <c r="I588">
        <v>37.494311621854834</v>
      </c>
    </row>
    <row r="589" spans="1:9" x14ac:dyDescent="0.2">
      <c r="A589">
        <v>579</v>
      </c>
      <c r="B589">
        <v>1523271.7885557781</v>
      </c>
      <c r="C589">
        <v>132636.32030964168</v>
      </c>
      <c r="D589">
        <v>164398.62302210226</v>
      </c>
      <c r="E589">
        <v>90129.308244009982</v>
      </c>
      <c r="F589">
        <v>42239.721339969925</v>
      </c>
      <c r="G589">
        <v>10000</v>
      </c>
      <c r="H589">
        <v>419403.9729157238</v>
      </c>
      <c r="I589">
        <v>32.167492539529057</v>
      </c>
    </row>
    <row r="590" spans="1:9" x14ac:dyDescent="0.2">
      <c r="A590">
        <v>580</v>
      </c>
      <c r="B590">
        <v>995824.07515509147</v>
      </c>
      <c r="C590">
        <v>148430.59274475355</v>
      </c>
      <c r="D590">
        <v>67158.284741590294</v>
      </c>
      <c r="E590">
        <v>31107.541360011437</v>
      </c>
      <c r="F590">
        <v>38153.599017231558</v>
      </c>
      <c r="G590">
        <v>10000</v>
      </c>
      <c r="H590">
        <v>274850.01786358684</v>
      </c>
      <c r="I590">
        <v>41.654488761868301</v>
      </c>
    </row>
    <row r="591" spans="1:9" x14ac:dyDescent="0.2">
      <c r="A591">
        <v>581</v>
      </c>
      <c r="B591">
        <v>1542414.0367346776</v>
      </c>
      <c r="C591">
        <v>93116.062883813371</v>
      </c>
      <c r="D591">
        <v>151863.07011513333</v>
      </c>
      <c r="E591">
        <v>143721.1013771788</v>
      </c>
      <c r="F591">
        <v>45949.922403035453</v>
      </c>
      <c r="G591">
        <v>10000</v>
      </c>
      <c r="H591">
        <v>424650.15677916096</v>
      </c>
      <c r="I591">
        <v>31.028277730378623</v>
      </c>
    </row>
    <row r="592" spans="1:9" x14ac:dyDescent="0.2">
      <c r="A592">
        <v>582</v>
      </c>
      <c r="B592">
        <v>1415808.6415084824</v>
      </c>
      <c r="C592">
        <v>135578.31690509809</v>
      </c>
      <c r="D592">
        <v>79330.51613289048</v>
      </c>
      <c r="E592">
        <v>139393.16097766458</v>
      </c>
      <c r="F592">
        <v>45650.295759992165</v>
      </c>
      <c r="G592">
        <v>10000</v>
      </c>
      <c r="H592">
        <v>389952.2897756453</v>
      </c>
      <c r="I592">
        <v>37.263833192217078</v>
      </c>
    </row>
    <row r="593" spans="1:9" x14ac:dyDescent="0.2">
      <c r="A593">
        <v>583</v>
      </c>
      <c r="B593">
        <v>1149971.2147335885</v>
      </c>
      <c r="C593">
        <v>106650.97538147935</v>
      </c>
      <c r="D593">
        <v>107509.19529605021</v>
      </c>
      <c r="E593">
        <v>71954.429502793268</v>
      </c>
      <c r="F593">
        <v>40981.460504039533</v>
      </c>
      <c r="G593">
        <v>10000</v>
      </c>
      <c r="H593">
        <v>317096.06068436237</v>
      </c>
      <c r="I593">
        <v>32.125533021872997</v>
      </c>
    </row>
    <row r="594" spans="1:9" x14ac:dyDescent="0.2">
      <c r="A594">
        <v>584</v>
      </c>
      <c r="B594">
        <v>1118157.7741321065</v>
      </c>
      <c r="C594">
        <v>141838.75278963789</v>
      </c>
      <c r="D594">
        <v>52635.164487040325</v>
      </c>
      <c r="E594">
        <v>82211.675726798305</v>
      </c>
      <c r="F594">
        <v>41691.577550316804</v>
      </c>
      <c r="G594">
        <v>10000</v>
      </c>
      <c r="H594">
        <v>308377.17055379332</v>
      </c>
      <c r="I594">
        <v>49.406684888030277</v>
      </c>
    </row>
    <row r="595" spans="1:9" x14ac:dyDescent="0.2">
      <c r="A595">
        <v>585</v>
      </c>
      <c r="B595">
        <v>1236568.1772733496</v>
      </c>
      <c r="C595">
        <v>129331.13171530096</v>
      </c>
      <c r="D595">
        <v>132360.48775227531</v>
      </c>
      <c r="E595">
        <v>49696.917344081041</v>
      </c>
      <c r="F595">
        <v>39440.555816128683</v>
      </c>
      <c r="G595">
        <v>10000</v>
      </c>
      <c r="H595">
        <v>340829.09262778598</v>
      </c>
      <c r="I595">
        <v>29.839620810731589</v>
      </c>
    </row>
    <row r="596" spans="1:9" x14ac:dyDescent="0.2">
      <c r="A596">
        <v>586</v>
      </c>
      <c r="B596">
        <v>1570858.2821010039</v>
      </c>
      <c r="C596">
        <v>106242.81118467142</v>
      </c>
      <c r="D596">
        <v>162416.09429753327</v>
      </c>
      <c r="E596">
        <v>128865.3238424539</v>
      </c>
      <c r="F596">
        <v>44921.445496785273</v>
      </c>
      <c r="G596">
        <v>10000</v>
      </c>
      <c r="H596">
        <v>432445.67482144386</v>
      </c>
      <c r="I596">
        <v>41.471838669965564</v>
      </c>
    </row>
    <row r="597" spans="1:9" x14ac:dyDescent="0.2">
      <c r="A597">
        <v>587</v>
      </c>
      <c r="B597">
        <v>1429077.5016912338</v>
      </c>
      <c r="C597">
        <v>131501.51307135608</v>
      </c>
      <c r="D597">
        <v>91925.252792562664</v>
      </c>
      <c r="E597">
        <v>134827.79677325825</v>
      </c>
      <c r="F597">
        <v>45334.232084302494</v>
      </c>
      <c r="G597">
        <v>10000</v>
      </c>
      <c r="H597">
        <v>393588.79472147953</v>
      </c>
      <c r="I597">
        <v>28.392468136234797</v>
      </c>
    </row>
    <row r="598" spans="1:9" x14ac:dyDescent="0.2">
      <c r="A598">
        <v>588</v>
      </c>
      <c r="B598">
        <v>1294361.2891227931</v>
      </c>
      <c r="C598">
        <v>133148.90982906561</v>
      </c>
      <c r="D598">
        <v>72028.084199794786</v>
      </c>
      <c r="E598">
        <v>117365.73765149931</v>
      </c>
      <c r="F598">
        <v>44125.320298949955</v>
      </c>
      <c r="G598">
        <v>10000</v>
      </c>
      <c r="H598">
        <v>356668.05197930965</v>
      </c>
      <c r="I598">
        <v>45.534674664103903</v>
      </c>
    </row>
    <row r="599" spans="1:9" x14ac:dyDescent="0.2">
      <c r="A599">
        <v>589</v>
      </c>
      <c r="B599">
        <v>1359281.2324842915</v>
      </c>
      <c r="C599">
        <v>124172.15208764357</v>
      </c>
      <c r="D599">
        <v>75920.875158499199</v>
      </c>
      <c r="E599">
        <v>138760.67719580932</v>
      </c>
      <c r="F599">
        <v>45606.508421248342</v>
      </c>
      <c r="G599">
        <v>10000</v>
      </c>
      <c r="H599">
        <v>374460.2128632004</v>
      </c>
      <c r="I599">
        <v>40.325982657469652</v>
      </c>
    </row>
    <row r="600" spans="1:9" x14ac:dyDescent="0.2">
      <c r="A600">
        <v>590</v>
      </c>
      <c r="B600">
        <v>986016.50183543074</v>
      </c>
      <c r="C600">
        <v>118609.01940246974</v>
      </c>
      <c r="D600">
        <v>68080.099173563387</v>
      </c>
      <c r="E600">
        <v>55622.235216597132</v>
      </c>
      <c r="F600">
        <v>39850.770130379795</v>
      </c>
      <c r="G600">
        <v>10000</v>
      </c>
      <c r="H600">
        <v>272162.12392301008</v>
      </c>
      <c r="I600">
        <v>42.902573513415987</v>
      </c>
    </row>
    <row r="601" spans="1:9" x14ac:dyDescent="0.2">
      <c r="A601">
        <v>591</v>
      </c>
      <c r="B601">
        <v>1368683.2553383927</v>
      </c>
      <c r="C601">
        <v>107695.51642972475</v>
      </c>
      <c r="D601">
        <v>66499.453008655721</v>
      </c>
      <c r="E601">
        <v>165391.79009514308</v>
      </c>
      <c r="F601">
        <v>47450.20085274068</v>
      </c>
      <c r="G601">
        <v>10000</v>
      </c>
      <c r="H601">
        <v>377036.96038626425</v>
      </c>
      <c r="I601">
        <v>40.254202364076647</v>
      </c>
    </row>
    <row r="602" spans="1:9" x14ac:dyDescent="0.2">
      <c r="A602">
        <v>592</v>
      </c>
      <c r="B602">
        <v>1382305.5824853932</v>
      </c>
      <c r="C602">
        <v>126552.12530049587</v>
      </c>
      <c r="D602">
        <v>71209.477618256424</v>
      </c>
      <c r="E602">
        <v>146842.70148531499</v>
      </c>
      <c r="F602">
        <v>46166.033179752572</v>
      </c>
      <c r="G602">
        <v>10000</v>
      </c>
      <c r="H602">
        <v>380770.33758381987</v>
      </c>
      <c r="I602">
        <v>50.542623390580715</v>
      </c>
    </row>
    <row r="603" spans="1:9" x14ac:dyDescent="0.2">
      <c r="A603">
        <v>593</v>
      </c>
      <c r="B603">
        <v>1607810.3029387561</v>
      </c>
      <c r="C603">
        <v>102627.33739226058</v>
      </c>
      <c r="D603">
        <v>113825.57497622359</v>
      </c>
      <c r="E603">
        <v>187162.54111639771</v>
      </c>
      <c r="F603">
        <v>48957.406692673692</v>
      </c>
      <c r="G603">
        <v>10000</v>
      </c>
      <c r="H603">
        <v>442572.86017755559</v>
      </c>
      <c r="I603">
        <v>24.484182580283047</v>
      </c>
    </row>
    <row r="604" spans="1:9" x14ac:dyDescent="0.2">
      <c r="A604">
        <v>594</v>
      </c>
      <c r="B604">
        <v>1433218.4280720502</v>
      </c>
      <c r="C604">
        <v>133871.29308075501</v>
      </c>
      <c r="D604">
        <v>65878.184577482651</v>
      </c>
      <c r="E604">
        <v>158033.41714782172</v>
      </c>
      <c r="F604">
        <v>46940.775033310725</v>
      </c>
      <c r="G604">
        <v>10000</v>
      </c>
      <c r="H604">
        <v>394723.66983937018</v>
      </c>
      <c r="I604">
        <v>46.207991880534372</v>
      </c>
    </row>
    <row r="605" spans="1:9" x14ac:dyDescent="0.2">
      <c r="A605">
        <v>595</v>
      </c>
      <c r="B605">
        <v>1488216.9760114446</v>
      </c>
      <c r="C605">
        <v>128034.59093216884</v>
      </c>
      <c r="D605">
        <v>38973.982812577706</v>
      </c>
      <c r="E605">
        <v>202751.52458971611</v>
      </c>
      <c r="F605">
        <v>50036.644010057265</v>
      </c>
      <c r="G605">
        <v>10000</v>
      </c>
      <c r="H605">
        <v>409796.74234451988</v>
      </c>
      <c r="I605">
        <v>27.178711958910846</v>
      </c>
    </row>
    <row r="606" spans="1:9" x14ac:dyDescent="0.2">
      <c r="A606">
        <v>596</v>
      </c>
      <c r="B606">
        <v>1741840.6138525149</v>
      </c>
      <c r="C606">
        <v>152938.86248883666</v>
      </c>
      <c r="D606">
        <v>85509.687075654729</v>
      </c>
      <c r="E606">
        <v>200945.46397735254</v>
      </c>
      <c r="F606">
        <v>49911.609044585945</v>
      </c>
      <c r="G606">
        <v>10000</v>
      </c>
      <c r="H606">
        <v>479305.62258642988</v>
      </c>
      <c r="I606">
        <v>43.759129618896949</v>
      </c>
    </row>
    <row r="607" spans="1:9" x14ac:dyDescent="0.2">
      <c r="A607">
        <v>597</v>
      </c>
      <c r="B607">
        <v>1522313.2263889478</v>
      </c>
      <c r="C607">
        <v>99002.208136985311</v>
      </c>
      <c r="D607">
        <v>133732.57553629155</v>
      </c>
      <c r="E607">
        <v>150020.45146861629</v>
      </c>
      <c r="F607">
        <v>46386.031255519585</v>
      </c>
      <c r="G607">
        <v>10000</v>
      </c>
      <c r="H607">
        <v>419141.26639741275</v>
      </c>
      <c r="I607">
        <v>39.334178306512349</v>
      </c>
    </row>
    <row r="608" spans="1:9" x14ac:dyDescent="0.2">
      <c r="A608">
        <v>598</v>
      </c>
      <c r="B608">
        <v>1675998.7961719008</v>
      </c>
      <c r="C608">
        <v>117168.04466489067</v>
      </c>
      <c r="D608">
        <v>127896.96265068723</v>
      </c>
      <c r="E608">
        <v>177880.96651084296</v>
      </c>
      <c r="F608">
        <v>48314.836143058361</v>
      </c>
      <c r="G608">
        <v>10000</v>
      </c>
      <c r="H608">
        <v>461260.80996947922</v>
      </c>
      <c r="I608">
        <v>51.242921965045348</v>
      </c>
    </row>
    <row r="609" spans="1:9" x14ac:dyDescent="0.2">
      <c r="A609">
        <v>599</v>
      </c>
      <c r="B609">
        <v>1530158.9546467592</v>
      </c>
      <c r="C609">
        <v>100473.78470931656</v>
      </c>
      <c r="D609">
        <v>148693.56250098016</v>
      </c>
      <c r="E609">
        <v>136662.86829252535</v>
      </c>
      <c r="F609">
        <v>45461.275497174829</v>
      </c>
      <c r="G609">
        <v>10000</v>
      </c>
      <c r="H609">
        <v>421291.49099999689</v>
      </c>
      <c r="I609">
        <v>28.739824269244643</v>
      </c>
    </row>
    <row r="610" spans="1:9" x14ac:dyDescent="0.2">
      <c r="A610">
        <v>600</v>
      </c>
      <c r="B610">
        <v>1187737.1761653889</v>
      </c>
      <c r="C610">
        <v>94508.989393194221</v>
      </c>
      <c r="D610">
        <v>112980.48898876415</v>
      </c>
      <c r="E610">
        <v>87873.302419046289</v>
      </c>
      <c r="F610">
        <v>42083.536321318592</v>
      </c>
      <c r="G610">
        <v>10000</v>
      </c>
      <c r="H610">
        <v>327446.31712232326</v>
      </c>
      <c r="I610">
        <v>26.473679601106035</v>
      </c>
    </row>
    <row r="611" spans="1:9" x14ac:dyDescent="0.2">
      <c r="A611">
        <v>601</v>
      </c>
      <c r="B611">
        <v>1417076.1155148207</v>
      </c>
      <c r="C611">
        <v>110247.26990755554</v>
      </c>
      <c r="D611">
        <v>36200.498546753923</v>
      </c>
      <c r="E611">
        <v>203746.37117160429</v>
      </c>
      <c r="F611">
        <v>50105.518004187994</v>
      </c>
      <c r="G611">
        <v>10000</v>
      </c>
      <c r="H611">
        <v>390299.65763010178</v>
      </c>
      <c r="I611">
        <v>35.816324539353104</v>
      </c>
    </row>
    <row r="612" spans="1:9" x14ac:dyDescent="0.2">
      <c r="A612">
        <v>602</v>
      </c>
      <c r="B612">
        <v>1451959.5457333543</v>
      </c>
      <c r="C612">
        <v>98350.161954253388</v>
      </c>
      <c r="D612">
        <v>133536.47020955617</v>
      </c>
      <c r="E612">
        <v>132780.77151507864</v>
      </c>
      <c r="F612">
        <v>45192.514951043908</v>
      </c>
      <c r="G612">
        <v>10000</v>
      </c>
      <c r="H612">
        <v>399859.9186299321</v>
      </c>
      <c r="I612">
        <v>27.720512603447574</v>
      </c>
    </row>
    <row r="613" spans="1:9" x14ac:dyDescent="0.2">
      <c r="A613">
        <v>603</v>
      </c>
      <c r="B613">
        <v>1013223.9655324051</v>
      </c>
      <c r="C613">
        <v>115196.89724638256</v>
      </c>
      <c r="D613">
        <v>68604.616806339385</v>
      </c>
      <c r="E613">
        <v>65296.635398307728</v>
      </c>
      <c r="F613">
        <v>40520.53629680592</v>
      </c>
      <c r="G613">
        <v>10000</v>
      </c>
      <c r="H613">
        <v>279618.68574783561</v>
      </c>
      <c r="I613">
        <v>42.376465168145202</v>
      </c>
    </row>
    <row r="614" spans="1:9" x14ac:dyDescent="0.2">
      <c r="A614">
        <v>604</v>
      </c>
      <c r="B614">
        <v>1492889.1861576624</v>
      </c>
      <c r="C614">
        <v>102304.80343113965</v>
      </c>
      <c r="D614">
        <v>84855.480035522181</v>
      </c>
      <c r="E614">
        <v>185102.17341901557</v>
      </c>
      <c r="F614">
        <v>48814.765852085693</v>
      </c>
      <c r="G614">
        <v>10000</v>
      </c>
      <c r="H614">
        <v>411077.22273776308</v>
      </c>
      <c r="I614">
        <v>31.462161967644011</v>
      </c>
    </row>
    <row r="615" spans="1:9" x14ac:dyDescent="0.2">
      <c r="A615">
        <v>605</v>
      </c>
      <c r="B615">
        <v>1368788.8024235212</v>
      </c>
      <c r="C615">
        <v>107403.45092596415</v>
      </c>
      <c r="D615">
        <v>89918.885075585422</v>
      </c>
      <c r="E615">
        <v>143788.93253941217</v>
      </c>
      <c r="F615">
        <v>45954.618406574693</v>
      </c>
      <c r="G615">
        <v>10000</v>
      </c>
      <c r="H615">
        <v>377065.88694753643</v>
      </c>
      <c r="I615">
        <v>28.580734916843134</v>
      </c>
    </row>
    <row r="616" spans="1:9" x14ac:dyDescent="0.2">
      <c r="A616">
        <v>606</v>
      </c>
      <c r="B616">
        <v>1693307.7080861886</v>
      </c>
      <c r="C616">
        <v>140284.36894922814</v>
      </c>
      <c r="D616">
        <v>125037.759977486</v>
      </c>
      <c r="E616">
        <v>163372.04288755966</v>
      </c>
      <c r="F616">
        <v>47310.372199907979</v>
      </c>
      <c r="G616">
        <v>10000</v>
      </c>
      <c r="H616">
        <v>466004.54401418177</v>
      </c>
      <c r="I616">
        <v>37.915112858321201</v>
      </c>
    </row>
    <row r="617" spans="1:9" x14ac:dyDescent="0.2">
      <c r="A617">
        <v>607</v>
      </c>
      <c r="B617">
        <v>1603420.4048018195</v>
      </c>
      <c r="C617">
        <v>121232.42340230249</v>
      </c>
      <c r="D617">
        <v>117885.25440581021</v>
      </c>
      <c r="E617">
        <v>164840.06853565609</v>
      </c>
      <c r="F617">
        <v>47412.004744776197</v>
      </c>
      <c r="G617">
        <v>10000</v>
      </c>
      <c r="H617">
        <v>441369.75108854496</v>
      </c>
      <c r="I617">
        <v>43.810768601369695</v>
      </c>
    </row>
    <row r="618" spans="1:9" x14ac:dyDescent="0.2">
      <c r="A618">
        <v>608</v>
      </c>
      <c r="B618">
        <v>755495.27785142337</v>
      </c>
      <c r="C618">
        <v>110761.90267788905</v>
      </c>
      <c r="D618">
        <v>40557.046152741459</v>
      </c>
      <c r="E618">
        <v>29615.50949022749</v>
      </c>
      <c r="F618">
        <v>38050.304503169595</v>
      </c>
      <c r="G618">
        <v>10000</v>
      </c>
      <c r="H618">
        <v>208984.76282402762</v>
      </c>
      <c r="I618">
        <v>27.520271896214652</v>
      </c>
    </row>
    <row r="619" spans="1:9" x14ac:dyDescent="0.2">
      <c r="A619">
        <v>609</v>
      </c>
      <c r="B619">
        <v>875827.14087715512</v>
      </c>
      <c r="C619">
        <v>105815.13262875483</v>
      </c>
      <c r="D619">
        <v>58628.816992559718</v>
      </c>
      <c r="E619">
        <v>48183.552148325609</v>
      </c>
      <c r="F619">
        <v>39335.784379499462</v>
      </c>
      <c r="G619">
        <v>10000</v>
      </c>
      <c r="H619">
        <v>241963.2861491396</v>
      </c>
      <c r="I619">
        <v>31.169169254457024</v>
      </c>
    </row>
    <row r="620" spans="1:9" x14ac:dyDescent="0.2">
      <c r="A620">
        <v>610</v>
      </c>
      <c r="B620">
        <v>939144.27280378179</v>
      </c>
      <c r="C620">
        <v>82766.072826734715</v>
      </c>
      <c r="D620">
        <v>84968.434185686259</v>
      </c>
      <c r="E620">
        <v>61335.373465130906</v>
      </c>
      <c r="F620">
        <v>40246.295086047525</v>
      </c>
      <c r="G620">
        <v>10000</v>
      </c>
      <c r="H620">
        <v>259316.17556359945</v>
      </c>
      <c r="I620">
        <v>36.895844564993837</v>
      </c>
    </row>
    <row r="621" spans="1:9" x14ac:dyDescent="0.2">
      <c r="A621">
        <v>611</v>
      </c>
      <c r="B621">
        <v>1371516.4408458227</v>
      </c>
      <c r="C621">
        <v>118519.75485771924</v>
      </c>
      <c r="D621">
        <v>47302.71536598388</v>
      </c>
      <c r="E621">
        <v>173948.38150553731</v>
      </c>
      <c r="F621">
        <v>48042.580258075664</v>
      </c>
      <c r="G621">
        <v>10000</v>
      </c>
      <c r="H621">
        <v>377813.43198731611</v>
      </c>
      <c r="I621">
        <v>44.636885442682043</v>
      </c>
    </row>
    <row r="622" spans="1:9" x14ac:dyDescent="0.2">
      <c r="A622">
        <v>612</v>
      </c>
      <c r="B622">
        <v>985216.71515725122</v>
      </c>
      <c r="C622">
        <v>89383.659517504129</v>
      </c>
      <c r="D622">
        <v>99672.413287653544</v>
      </c>
      <c r="E622">
        <v>53203.537289690285</v>
      </c>
      <c r="F622">
        <v>39683.321812363174</v>
      </c>
      <c r="G622">
        <v>10000</v>
      </c>
      <c r="H622">
        <v>271942.93190721114</v>
      </c>
      <c r="I622">
        <v>34.098657927346338</v>
      </c>
    </row>
    <row r="623" spans="1:9" x14ac:dyDescent="0.2">
      <c r="A623">
        <v>613</v>
      </c>
      <c r="B623">
        <v>1620259.2757403215</v>
      </c>
      <c r="C623">
        <v>147380.74758856668</v>
      </c>
      <c r="D623">
        <v>70626.543648043284</v>
      </c>
      <c r="E623">
        <v>188899.70137627464</v>
      </c>
      <c r="F623">
        <v>49077.671633742088</v>
      </c>
      <c r="G623">
        <v>10000</v>
      </c>
      <c r="H623">
        <v>445984.66424662672</v>
      </c>
      <c r="I623">
        <v>34.549203589483639</v>
      </c>
    </row>
    <row r="624" spans="1:9" x14ac:dyDescent="0.2">
      <c r="A624">
        <v>614</v>
      </c>
      <c r="B624">
        <v>910410.16289904155</v>
      </c>
      <c r="C624">
        <v>92086.560813334567</v>
      </c>
      <c r="D624">
        <v>83847.737552296167</v>
      </c>
      <c r="E624">
        <v>46301.434083802233</v>
      </c>
      <c r="F624">
        <v>39205.483898109385</v>
      </c>
      <c r="G624">
        <v>10000</v>
      </c>
      <c r="H624">
        <v>251441.21634754233</v>
      </c>
      <c r="I624">
        <v>35.139855766346727</v>
      </c>
    </row>
    <row r="625" spans="1:9" x14ac:dyDescent="0.2">
      <c r="A625">
        <v>615</v>
      </c>
      <c r="B625">
        <v>1232150.3527314938</v>
      </c>
      <c r="C625">
        <v>108870.56196827089</v>
      </c>
      <c r="D625">
        <v>115203.36654011614</v>
      </c>
      <c r="E625">
        <v>83746.562491579287</v>
      </c>
      <c r="F625">
        <v>41797.838941724724</v>
      </c>
      <c r="G625">
        <v>10000</v>
      </c>
      <c r="H625">
        <v>339618.32994169107</v>
      </c>
      <c r="I625">
        <v>57.554640342675469</v>
      </c>
    </row>
    <row r="626" spans="1:9" x14ac:dyDescent="0.2">
      <c r="A626">
        <v>616</v>
      </c>
      <c r="B626">
        <v>1189902.2188969217</v>
      </c>
      <c r="C626">
        <v>115488.8563889293</v>
      </c>
      <c r="D626">
        <v>101140.33105618747</v>
      </c>
      <c r="E626">
        <v>79880.312516416816</v>
      </c>
      <c r="F626">
        <v>41530.175481905775</v>
      </c>
      <c r="G626">
        <v>10000</v>
      </c>
      <c r="H626">
        <v>328039.67544343934</v>
      </c>
      <c r="I626">
        <v>44.262461620020204</v>
      </c>
    </row>
    <row r="627" spans="1:9" x14ac:dyDescent="0.2">
      <c r="A627">
        <v>617</v>
      </c>
      <c r="B627">
        <v>1196004.063535057</v>
      </c>
      <c r="C627">
        <v>114210.77310513295</v>
      </c>
      <c r="D627">
        <v>98215.021243168623</v>
      </c>
      <c r="E627">
        <v>85375.556124121314</v>
      </c>
      <c r="F627">
        <v>41910.61542397763</v>
      </c>
      <c r="G627">
        <v>10000</v>
      </c>
      <c r="H627">
        <v>329711.96589640051</v>
      </c>
      <c r="I627">
        <v>39.850526222979397</v>
      </c>
    </row>
    <row r="628" spans="1:9" x14ac:dyDescent="0.2">
      <c r="A628">
        <v>618</v>
      </c>
      <c r="B628">
        <v>1044810.4992257282</v>
      </c>
      <c r="C628">
        <v>90065.242161171467</v>
      </c>
      <c r="D628">
        <v>79335.319355953048</v>
      </c>
      <c r="E628">
        <v>86861.349507921885</v>
      </c>
      <c r="F628">
        <v>42013.478042856135</v>
      </c>
      <c r="G628">
        <v>10000</v>
      </c>
      <c r="H628">
        <v>288275.38906790258</v>
      </c>
      <c r="I628">
        <v>34.37420562997228</v>
      </c>
    </row>
    <row r="629" spans="1:9" x14ac:dyDescent="0.2">
      <c r="A629">
        <v>619</v>
      </c>
      <c r="B629">
        <v>1240604.7557428181</v>
      </c>
      <c r="C629">
        <v>110380.70670324811</v>
      </c>
      <c r="D629">
        <v>128407.46850502182</v>
      </c>
      <c r="E629">
        <v>72152.052527368825</v>
      </c>
      <c r="F629">
        <v>40995.142098048615</v>
      </c>
      <c r="G629">
        <v>10000</v>
      </c>
      <c r="H629">
        <v>341935.36983368732</v>
      </c>
      <c r="I629">
        <v>28.242810980509333</v>
      </c>
    </row>
    <row r="630" spans="1:9" x14ac:dyDescent="0.2">
      <c r="A630">
        <v>620</v>
      </c>
      <c r="B630">
        <v>1320609.4668629896</v>
      </c>
      <c r="C630">
        <v>155287.58761951711</v>
      </c>
      <c r="D630">
        <v>119517.79276288803</v>
      </c>
      <c r="E630">
        <v>58973.544677045691</v>
      </c>
      <c r="F630">
        <v>40082.783862257013</v>
      </c>
      <c r="G630">
        <v>10000</v>
      </c>
      <c r="H630">
        <v>363861.70892170782</v>
      </c>
      <c r="I630">
        <v>47.281821957935698</v>
      </c>
    </row>
    <row r="631" spans="1:9" x14ac:dyDescent="0.2">
      <c r="A631">
        <v>621</v>
      </c>
      <c r="B631">
        <v>1050033.6851031231</v>
      </c>
      <c r="C631">
        <v>155954.45283870705</v>
      </c>
      <c r="D631">
        <v>48400.900669183502</v>
      </c>
      <c r="E631">
        <v>55508.614022095848</v>
      </c>
      <c r="F631">
        <v>39842.904047683558</v>
      </c>
      <c r="G631">
        <v>10000</v>
      </c>
      <c r="H631">
        <v>289706.87157766998</v>
      </c>
      <c r="I631">
        <v>38.718607062279354</v>
      </c>
    </row>
    <row r="632" spans="1:9" x14ac:dyDescent="0.2">
      <c r="A632">
        <v>622</v>
      </c>
      <c r="B632">
        <v>902304.34726279334</v>
      </c>
      <c r="C632">
        <v>101953.69048990484</v>
      </c>
      <c r="D632">
        <v>43781.186689556373</v>
      </c>
      <c r="E632">
        <v>72467.830558429137</v>
      </c>
      <c r="F632">
        <v>41017.003654045096</v>
      </c>
      <c r="G632">
        <v>10000</v>
      </c>
      <c r="H632">
        <v>249219.71139193547</v>
      </c>
      <c r="I632">
        <v>45.335417422632716</v>
      </c>
    </row>
    <row r="633" spans="1:9" x14ac:dyDescent="0.2">
      <c r="A633">
        <v>623</v>
      </c>
      <c r="B633">
        <v>1577161.8185993528</v>
      </c>
      <c r="C633">
        <v>138587.66030029001</v>
      </c>
      <c r="D633">
        <v>85628.668558020232</v>
      </c>
      <c r="E633">
        <v>172046.03347203619</v>
      </c>
      <c r="F633">
        <v>47910.879240371731</v>
      </c>
      <c r="G633">
        <v>10000</v>
      </c>
      <c r="H633">
        <v>434173.24157071818</v>
      </c>
      <c r="I633">
        <v>28.368483684432583</v>
      </c>
    </row>
    <row r="634" spans="1:9" x14ac:dyDescent="0.2">
      <c r="A634">
        <v>624</v>
      </c>
      <c r="B634">
        <v>1198093.0764270036</v>
      </c>
      <c r="C634">
        <v>86932.63484875104</v>
      </c>
      <c r="D634">
        <v>121996.17607054983</v>
      </c>
      <c r="E634">
        <v>89181.567785727675</v>
      </c>
      <c r="F634">
        <v>42174.108539011911</v>
      </c>
      <c r="G634">
        <v>10000</v>
      </c>
      <c r="H634">
        <v>330284.48724404047</v>
      </c>
      <c r="I634">
        <v>32.940335056221706</v>
      </c>
    </row>
    <row r="635" spans="1:9" x14ac:dyDescent="0.2">
      <c r="A635">
        <v>625</v>
      </c>
      <c r="B635">
        <v>1199554.1958686649</v>
      </c>
      <c r="C635">
        <v>79240.198646115343</v>
      </c>
      <c r="D635">
        <v>135028.89239215839</v>
      </c>
      <c r="E635">
        <v>84561.57242223779</v>
      </c>
      <c r="F635">
        <v>41854.262706154921</v>
      </c>
      <c r="G635">
        <v>10000</v>
      </c>
      <c r="H635">
        <v>330684.92616666644</v>
      </c>
      <c r="I635">
        <v>46.17267858347757</v>
      </c>
    </row>
    <row r="636" spans="1:9" x14ac:dyDescent="0.2">
      <c r="A636">
        <v>626</v>
      </c>
      <c r="B636">
        <v>1657646.7776836408</v>
      </c>
      <c r="C636">
        <v>107762.01142207735</v>
      </c>
      <c r="D636">
        <v>124113.95227808085</v>
      </c>
      <c r="E636">
        <v>185512.09047861511</v>
      </c>
      <c r="F636">
        <v>48843.144725442588</v>
      </c>
      <c r="G636">
        <v>10000</v>
      </c>
      <c r="H636">
        <v>456231.19890421588</v>
      </c>
      <c r="I636">
        <v>39.245262150499471</v>
      </c>
    </row>
    <row r="637" spans="1:9" x14ac:dyDescent="0.2">
      <c r="A637">
        <v>627</v>
      </c>
      <c r="B637">
        <v>1489599.9486159799</v>
      </c>
      <c r="C637">
        <v>119538.22455236514</v>
      </c>
      <c r="D637">
        <v>109311.52602042891</v>
      </c>
      <c r="E637">
        <v>145268.93351723699</v>
      </c>
      <c r="F637">
        <v>46057.080012731793</v>
      </c>
      <c r="G637">
        <v>10000</v>
      </c>
      <c r="H637">
        <v>410175.76410276286</v>
      </c>
      <c r="I637">
        <v>34.43021904326568</v>
      </c>
    </row>
    <row r="638" spans="1:9" x14ac:dyDescent="0.2">
      <c r="A638">
        <v>628</v>
      </c>
      <c r="B638">
        <v>1620435.3709856295</v>
      </c>
      <c r="C638">
        <v>126815.2738534997</v>
      </c>
      <c r="D638">
        <v>149551.41240759753</v>
      </c>
      <c r="E638">
        <v>134364.1085989204</v>
      </c>
      <c r="F638">
        <v>45302.130595309871</v>
      </c>
      <c r="G638">
        <v>10000</v>
      </c>
      <c r="H638">
        <v>446032.9254553275</v>
      </c>
      <c r="I638">
        <v>34.478405861414657</v>
      </c>
    </row>
    <row r="639" spans="1:9" x14ac:dyDescent="0.2">
      <c r="A639">
        <v>629</v>
      </c>
      <c r="B639">
        <v>1317924.6252426049</v>
      </c>
      <c r="C639">
        <v>112809.2707505155</v>
      </c>
      <c r="D639">
        <v>43700.944569437866</v>
      </c>
      <c r="E639">
        <v>168921.13731078591</v>
      </c>
      <c r="F639">
        <v>47694.540275362102</v>
      </c>
      <c r="G639">
        <v>10000</v>
      </c>
      <c r="H639">
        <v>363125.89290610136</v>
      </c>
      <c r="I639">
        <v>50.235428799147336</v>
      </c>
    </row>
    <row r="640" spans="1:9" x14ac:dyDescent="0.2">
      <c r="A640">
        <v>630</v>
      </c>
      <c r="B640">
        <v>1666340.5848969938</v>
      </c>
      <c r="C640">
        <v>120295.04518041509</v>
      </c>
      <c r="D640">
        <v>139660.23568016739</v>
      </c>
      <c r="E640">
        <v>161479.23793610747</v>
      </c>
      <c r="F640">
        <v>47179.331857115132</v>
      </c>
      <c r="G640">
        <v>10000</v>
      </c>
      <c r="H640">
        <v>458613.85065380507</v>
      </c>
      <c r="I640">
        <v>27.56966246380582</v>
      </c>
    </row>
    <row r="641" spans="1:9" x14ac:dyDescent="0.2">
      <c r="A641">
        <v>631</v>
      </c>
      <c r="B641">
        <v>1177482.7173887452</v>
      </c>
      <c r="C641">
        <v>85755.487027780342</v>
      </c>
      <c r="D641">
        <v>84347.870115617989</v>
      </c>
      <c r="E641">
        <v>120210.33711688432</v>
      </c>
      <c r="F641">
        <v>44322.254108091998</v>
      </c>
      <c r="G641">
        <v>10000</v>
      </c>
      <c r="H641">
        <v>324635.94836837461</v>
      </c>
      <c r="I641">
        <v>30.774868077531529</v>
      </c>
    </row>
    <row r="642" spans="1:9" x14ac:dyDescent="0.2">
      <c r="A642">
        <v>632</v>
      </c>
      <c r="B642">
        <v>1099136.2693829071</v>
      </c>
      <c r="C642">
        <v>116756.59582197695</v>
      </c>
      <c r="D642">
        <v>40594.724017911525</v>
      </c>
      <c r="E642">
        <v>112055.09756815861</v>
      </c>
      <c r="F642">
        <v>43757.660600872521</v>
      </c>
      <c r="G642">
        <v>10000</v>
      </c>
      <c r="H642">
        <v>303164.07800891966</v>
      </c>
      <c r="I642">
        <v>31.941768013658432</v>
      </c>
    </row>
    <row r="643" spans="1:9" x14ac:dyDescent="0.2">
      <c r="A643">
        <v>633</v>
      </c>
      <c r="B643">
        <v>984128.71100472426</v>
      </c>
      <c r="C643">
        <v>108063.49455684757</v>
      </c>
      <c r="D643">
        <v>79319.202822922438</v>
      </c>
      <c r="E643">
        <v>54489.689610471869</v>
      </c>
      <c r="F643">
        <v>39772.363126878823</v>
      </c>
      <c r="G643">
        <v>10000</v>
      </c>
      <c r="H643">
        <v>271644.75011712068</v>
      </c>
      <c r="I643">
        <v>34.228728616580057</v>
      </c>
    </row>
    <row r="644" spans="1:9" x14ac:dyDescent="0.2">
      <c r="A644">
        <v>634</v>
      </c>
      <c r="B644">
        <v>1499676.4750396577</v>
      </c>
      <c r="C644">
        <v>147450.16597758097</v>
      </c>
      <c r="D644">
        <v>148189.64834095284</v>
      </c>
      <c r="E644">
        <v>85386.201438759701</v>
      </c>
      <c r="F644">
        <v>41911.352407298749</v>
      </c>
      <c r="G644">
        <v>10000</v>
      </c>
      <c r="H644">
        <v>412937.36816459225</v>
      </c>
      <c r="I644">
        <v>37.232440944425512</v>
      </c>
    </row>
    <row r="645" spans="1:9" x14ac:dyDescent="0.2">
      <c r="A645">
        <v>635</v>
      </c>
      <c r="B645">
        <v>1670613.0660060656</v>
      </c>
      <c r="C645">
        <v>121733.57927013915</v>
      </c>
      <c r="D645">
        <v>122974.7116309719</v>
      </c>
      <c r="E645">
        <v>176834.12655919342</v>
      </c>
      <c r="F645">
        <v>48242.36260794416</v>
      </c>
      <c r="G645">
        <v>10000</v>
      </c>
      <c r="H645">
        <v>459784.78006824863</v>
      </c>
      <c r="I645">
        <v>44.670675581702731</v>
      </c>
    </row>
    <row r="646" spans="1:9" x14ac:dyDescent="0.2">
      <c r="A646">
        <v>636</v>
      </c>
      <c r="B646">
        <v>1189771.6507370952</v>
      </c>
      <c r="C646">
        <v>139562.59926582847</v>
      </c>
      <c r="D646">
        <v>72845.369617803386</v>
      </c>
      <c r="E646">
        <v>83794.747797721269</v>
      </c>
      <c r="F646">
        <v>41801.174847534552</v>
      </c>
      <c r="G646">
        <v>10000</v>
      </c>
      <c r="H646">
        <v>328003.89152888773</v>
      </c>
      <c r="I646">
        <v>38.229933817483129</v>
      </c>
    </row>
    <row r="647" spans="1:9" x14ac:dyDescent="0.2">
      <c r="A647">
        <v>637</v>
      </c>
      <c r="B647">
        <v>1099502.0088290779</v>
      </c>
      <c r="C647">
        <v>124247.33377180566</v>
      </c>
      <c r="D647">
        <v>64919.811117054101</v>
      </c>
      <c r="E647">
        <v>82393.035574155976</v>
      </c>
      <c r="F647">
        <v>41704.133232056956</v>
      </c>
      <c r="G647">
        <v>10000</v>
      </c>
      <c r="H647">
        <v>303264.31369507272</v>
      </c>
      <c r="I647">
        <v>37.63125187963314</v>
      </c>
    </row>
    <row r="648" spans="1:9" x14ac:dyDescent="0.2">
      <c r="A648">
        <v>638</v>
      </c>
      <c r="B648">
        <v>1109568.5076905768</v>
      </c>
      <c r="C648">
        <v>137829.37602930467</v>
      </c>
      <c r="D648">
        <v>31903.129588306907</v>
      </c>
      <c r="E648">
        <v>103149.54182796969</v>
      </c>
      <c r="F648">
        <v>43141.122126551745</v>
      </c>
      <c r="G648">
        <v>10000</v>
      </c>
      <c r="H648">
        <v>306023.16957213305</v>
      </c>
      <c r="I648">
        <v>44.211549973985754</v>
      </c>
    </row>
    <row r="649" spans="1:9" x14ac:dyDescent="0.2">
      <c r="A649">
        <v>639</v>
      </c>
      <c r="B649">
        <v>1529076.9334914444</v>
      </c>
      <c r="C649">
        <v>114851.49175928472</v>
      </c>
      <c r="D649">
        <v>89536.503555468895</v>
      </c>
      <c r="E649">
        <v>178265.49618567311</v>
      </c>
      <c r="F649">
        <v>48341.457428238908</v>
      </c>
      <c r="G649">
        <v>10000</v>
      </c>
      <c r="H649">
        <v>420994.9489286656</v>
      </c>
      <c r="I649">
        <v>39.126936085692179</v>
      </c>
    </row>
    <row r="650" spans="1:9" x14ac:dyDescent="0.2">
      <c r="A650">
        <v>640</v>
      </c>
      <c r="B650">
        <v>1442963.2892879262</v>
      </c>
      <c r="C650">
        <v>152169.67918392623</v>
      </c>
      <c r="D650">
        <v>63166.124726972732</v>
      </c>
      <c r="E650">
        <v>145954.06088789759</v>
      </c>
      <c r="F650">
        <v>46104.511907623681</v>
      </c>
      <c r="G650">
        <v>10000</v>
      </c>
      <c r="H650">
        <v>397394.37670642027</v>
      </c>
      <c r="I650">
        <v>27.898164276131663</v>
      </c>
    </row>
    <row r="651" spans="1:9" x14ac:dyDescent="0.2">
      <c r="A651">
        <v>641</v>
      </c>
      <c r="B651">
        <v>962276.93324557482</v>
      </c>
      <c r="C651">
        <v>112339.69869296228</v>
      </c>
      <c r="D651">
        <v>80925.745835447728</v>
      </c>
      <c r="E651">
        <v>43386.835644699677</v>
      </c>
      <c r="F651">
        <v>39003.704006171509</v>
      </c>
      <c r="G651">
        <v>10000</v>
      </c>
      <c r="H651">
        <v>265655.98417928116</v>
      </c>
      <c r="I651">
        <v>29.317277429895029</v>
      </c>
    </row>
    <row r="652" spans="1:9" x14ac:dyDescent="0.2">
      <c r="A652">
        <v>642</v>
      </c>
      <c r="B652">
        <v>1122426.2841789098</v>
      </c>
      <c r="C652">
        <v>95421.906404696143</v>
      </c>
      <c r="D652">
        <v>94284.982245383551</v>
      </c>
      <c r="E652">
        <v>87764.143809699061</v>
      </c>
      <c r="F652">
        <v>42075.979186825316</v>
      </c>
      <c r="G652">
        <v>10000</v>
      </c>
      <c r="H652">
        <v>309547.01164660411</v>
      </c>
      <c r="I652">
        <v>37.72740701602568</v>
      </c>
    </row>
    <row r="653" spans="1:9" x14ac:dyDescent="0.2">
      <c r="A653">
        <v>643</v>
      </c>
      <c r="B653">
        <v>872130.22553276992</v>
      </c>
      <c r="C653">
        <v>119078.00756902865</v>
      </c>
      <c r="D653">
        <v>59694.197515545697</v>
      </c>
      <c r="E653">
        <v>33835.439484657501</v>
      </c>
      <c r="F653">
        <v>38342.453502783974</v>
      </c>
      <c r="G653">
        <v>10000</v>
      </c>
      <c r="H653">
        <v>240950.0980720158</v>
      </c>
      <c r="I653">
        <v>27.699178746885501</v>
      </c>
    </row>
    <row r="654" spans="1:9" x14ac:dyDescent="0.2">
      <c r="A654">
        <v>644</v>
      </c>
      <c r="B654">
        <v>1357175.1431476646</v>
      </c>
      <c r="C654">
        <v>133161.54978463141</v>
      </c>
      <c r="D654">
        <v>89069.75631291281</v>
      </c>
      <c r="E654">
        <v>117515.98346263364</v>
      </c>
      <c r="F654">
        <v>44135.721932028486</v>
      </c>
      <c r="G654">
        <v>10000</v>
      </c>
      <c r="H654">
        <v>373883.01149220631</v>
      </c>
      <c r="I654">
        <v>35.990569733765298</v>
      </c>
    </row>
    <row r="655" spans="1:9" x14ac:dyDescent="0.2">
      <c r="A655">
        <v>645</v>
      </c>
      <c r="B655">
        <v>1773488.1032229392</v>
      </c>
      <c r="C655">
        <v>149964.98795638772</v>
      </c>
      <c r="D655">
        <v>120912.33718186726</v>
      </c>
      <c r="E655">
        <v>178728.21468419876</v>
      </c>
      <c r="F655">
        <v>48373.491785829145</v>
      </c>
      <c r="G655">
        <v>10000</v>
      </c>
      <c r="H655">
        <v>487979.03160828288</v>
      </c>
      <c r="I655">
        <v>43.588328528442858</v>
      </c>
    </row>
    <row r="656" spans="1:9" x14ac:dyDescent="0.2">
      <c r="A656">
        <v>646</v>
      </c>
      <c r="B656">
        <v>1592260.4088145662</v>
      </c>
      <c r="C656">
        <v>99510.638332355302</v>
      </c>
      <c r="D656">
        <v>116052.63206537516</v>
      </c>
      <c r="E656">
        <v>184008.86250583871</v>
      </c>
      <c r="F656">
        <v>48739.075096558059</v>
      </c>
      <c r="G656">
        <v>10000</v>
      </c>
      <c r="H656">
        <v>438311.20800012723</v>
      </c>
      <c r="I656">
        <v>34.296504729413002</v>
      </c>
    </row>
    <row r="657" spans="1:9" x14ac:dyDescent="0.2">
      <c r="A657">
        <v>647</v>
      </c>
      <c r="B657">
        <v>1495727.6346550528</v>
      </c>
      <c r="C657">
        <v>139856.75672352366</v>
      </c>
      <c r="D657">
        <v>69315.897580581193</v>
      </c>
      <c r="E657">
        <v>165242.6094632124</v>
      </c>
      <c r="F657">
        <v>47439.872962837784</v>
      </c>
      <c r="G657">
        <v>10000</v>
      </c>
      <c r="H657">
        <v>411855.13673015509</v>
      </c>
      <c r="I657">
        <v>39.928491530088067</v>
      </c>
    </row>
    <row r="658" spans="1:9" x14ac:dyDescent="0.2">
      <c r="A658">
        <v>648</v>
      </c>
      <c r="B658">
        <v>1022430.7557500447</v>
      </c>
      <c r="C658">
        <v>111253.49510497184</v>
      </c>
      <c r="D658">
        <v>62690.223552765667</v>
      </c>
      <c r="E658">
        <v>76876.022386509372</v>
      </c>
      <c r="F658">
        <v>41322.186165219879</v>
      </c>
      <c r="G658">
        <v>10000</v>
      </c>
      <c r="H658">
        <v>282141.92720946675</v>
      </c>
      <c r="I658">
        <v>43.992343729795394</v>
      </c>
    </row>
    <row r="659" spans="1:9" x14ac:dyDescent="0.2">
      <c r="A659">
        <v>649</v>
      </c>
      <c r="B659">
        <v>915422.89253981574</v>
      </c>
      <c r="C659">
        <v>80924.991855490734</v>
      </c>
      <c r="D659">
        <v>70065.083604838292</v>
      </c>
      <c r="E659">
        <v>70915.416288530672</v>
      </c>
      <c r="F659">
        <v>40909.528819975203</v>
      </c>
      <c r="G659">
        <v>10000</v>
      </c>
      <c r="H659">
        <v>252815.02056883491</v>
      </c>
      <c r="I659">
        <v>44.512438013049902</v>
      </c>
    </row>
    <row r="660" spans="1:9" x14ac:dyDescent="0.2">
      <c r="A660">
        <v>650</v>
      </c>
      <c r="B660">
        <v>1492268.4645404443</v>
      </c>
      <c r="C660">
        <v>103436.14188315668</v>
      </c>
      <c r="D660">
        <v>61779.184065327536</v>
      </c>
      <c r="E660">
        <v>205467.13227969923</v>
      </c>
      <c r="F660">
        <v>50224.647619363794</v>
      </c>
      <c r="G660">
        <v>10000</v>
      </c>
      <c r="H660">
        <v>410907.10584754724</v>
      </c>
      <c r="I660">
        <v>34.401852601470686</v>
      </c>
    </row>
    <row r="661" spans="1:9" x14ac:dyDescent="0.2">
      <c r="A661">
        <v>651</v>
      </c>
      <c r="B661">
        <v>990665.40888973325</v>
      </c>
      <c r="C661">
        <v>96725.205315536296</v>
      </c>
      <c r="D661">
        <v>74019.860461863776</v>
      </c>
      <c r="E661">
        <v>71725.537861609759</v>
      </c>
      <c r="F661">
        <v>40965.614159649907</v>
      </c>
      <c r="G661">
        <v>10000</v>
      </c>
      <c r="H661">
        <v>273436.21779865969</v>
      </c>
      <c r="I661">
        <v>50.517296904640631</v>
      </c>
    </row>
    <row r="662" spans="1:9" x14ac:dyDescent="0.2">
      <c r="A662">
        <v>652</v>
      </c>
      <c r="B662">
        <v>1470696.3058454783</v>
      </c>
      <c r="C662">
        <v>115674.83974096741</v>
      </c>
      <c r="D662">
        <v>103271.911648001</v>
      </c>
      <c r="E662">
        <v>149685.38728382709</v>
      </c>
      <c r="F662">
        <v>46362.83450426496</v>
      </c>
      <c r="G662">
        <v>10000</v>
      </c>
      <c r="H662">
        <v>404994.97317706048</v>
      </c>
      <c r="I662">
        <v>27.637375950688515</v>
      </c>
    </row>
    <row r="663" spans="1:9" x14ac:dyDescent="0.2">
      <c r="A663">
        <v>653</v>
      </c>
      <c r="B663">
        <v>1301010.3953428897</v>
      </c>
      <c r="C663">
        <v>155648.86587334349</v>
      </c>
      <c r="D663">
        <v>117471.55520840515</v>
      </c>
      <c r="E663">
        <v>55525.810951468564</v>
      </c>
      <c r="F663">
        <v>39844.094604332437</v>
      </c>
      <c r="G663">
        <v>10000</v>
      </c>
      <c r="H663">
        <v>358490.32663754968</v>
      </c>
      <c r="I663">
        <v>29.52142860167902</v>
      </c>
    </row>
    <row r="664" spans="1:9" x14ac:dyDescent="0.2">
      <c r="A664">
        <v>654</v>
      </c>
      <c r="B664">
        <v>1429612.2847475498</v>
      </c>
      <c r="C664">
        <v>111607.56911140277</v>
      </c>
      <c r="D664">
        <v>75588.556291445915</v>
      </c>
      <c r="E664">
        <v>168849.64295442146</v>
      </c>
      <c r="F664">
        <v>47689.590666075332</v>
      </c>
      <c r="G664">
        <v>10000</v>
      </c>
      <c r="H664">
        <v>393735.35902334552</v>
      </c>
      <c r="I664">
        <v>34.59700547544044</v>
      </c>
    </row>
    <row r="665" spans="1:9" x14ac:dyDescent="0.2">
      <c r="A665">
        <v>655</v>
      </c>
      <c r="B665">
        <v>1068699.4385804036</v>
      </c>
      <c r="C665">
        <v>104666.94429108228</v>
      </c>
      <c r="D665">
        <v>37733.931676819673</v>
      </c>
      <c r="E665">
        <v>118236.01929210403</v>
      </c>
      <c r="F665">
        <v>44185.570566376431</v>
      </c>
      <c r="G665">
        <v>10000</v>
      </c>
      <c r="H665">
        <v>294822.46582638239</v>
      </c>
      <c r="I665">
        <v>33.624017751104802</v>
      </c>
    </row>
    <row r="666" spans="1:9" x14ac:dyDescent="0.2">
      <c r="A666">
        <v>656</v>
      </c>
      <c r="B666">
        <v>1372514.8058996666</v>
      </c>
      <c r="C666">
        <v>134461.56872664683</v>
      </c>
      <c r="D666">
        <v>31854.956562175328</v>
      </c>
      <c r="E666">
        <v>173742.21455769459</v>
      </c>
      <c r="F666">
        <v>48028.307161686549</v>
      </c>
      <c r="G666">
        <v>10000</v>
      </c>
      <c r="H666">
        <v>378087.04700820328</v>
      </c>
      <c r="I666">
        <v>42.811786139553902</v>
      </c>
    </row>
    <row r="667" spans="1:9" x14ac:dyDescent="0.2">
      <c r="A667">
        <v>657</v>
      </c>
      <c r="B667">
        <v>1320897.4556293979</v>
      </c>
      <c r="C667">
        <v>133349.28155914455</v>
      </c>
      <c r="D667">
        <v>110236.37587371031</v>
      </c>
      <c r="E667">
        <v>88245.663422704354</v>
      </c>
      <c r="F667">
        <v>42109.31516003338</v>
      </c>
      <c r="G667">
        <v>10000</v>
      </c>
      <c r="H667">
        <v>363940.63601559261</v>
      </c>
      <c r="I667">
        <v>36.783669410632243</v>
      </c>
    </row>
    <row r="668" spans="1:9" x14ac:dyDescent="0.2">
      <c r="A668">
        <v>658</v>
      </c>
      <c r="B668">
        <v>1353102.7596577452</v>
      </c>
      <c r="C668">
        <v>98804.776517610066</v>
      </c>
      <c r="D668">
        <v>47715.634810379124</v>
      </c>
      <c r="E668">
        <v>187280.90874854164</v>
      </c>
      <c r="F668">
        <v>48965.601374899037</v>
      </c>
      <c r="G668">
        <v>10000</v>
      </c>
      <c r="H668">
        <v>372766.92145142984</v>
      </c>
      <c r="I668">
        <v>44.26779537446938</v>
      </c>
    </row>
    <row r="669" spans="1:9" x14ac:dyDescent="0.2">
      <c r="A669">
        <v>659</v>
      </c>
      <c r="B669">
        <v>1161398.2120452821</v>
      </c>
      <c r="C669">
        <v>124074.01959402312</v>
      </c>
      <c r="D669">
        <v>120884.70876692288</v>
      </c>
      <c r="E669">
        <v>46078.968207931684</v>
      </c>
      <c r="F669">
        <v>39190.08241439527</v>
      </c>
      <c r="G669">
        <v>10000</v>
      </c>
      <c r="H669">
        <v>320227.77898327296</v>
      </c>
      <c r="I669">
        <v>37.951615492836282</v>
      </c>
    </row>
    <row r="670" spans="1:9" x14ac:dyDescent="0.2">
      <c r="A670">
        <v>660</v>
      </c>
      <c r="B670">
        <v>1115427.8802922482</v>
      </c>
      <c r="C670">
        <v>103547.8700389342</v>
      </c>
      <c r="D670">
        <v>67272.559732245369</v>
      </c>
      <c r="E670">
        <v>103633.92151146811</v>
      </c>
      <c r="F670">
        <v>43174.656104640104</v>
      </c>
      <c r="G670">
        <v>10000</v>
      </c>
      <c r="H670">
        <v>307629.0073872878</v>
      </c>
      <c r="I670">
        <v>29.747998562527123</v>
      </c>
    </row>
    <row r="671" spans="1:9" x14ac:dyDescent="0.2">
      <c r="A671">
        <v>661</v>
      </c>
      <c r="B671">
        <v>1364773.6259614243</v>
      </c>
      <c r="C671">
        <v>94078.887116436876</v>
      </c>
      <c r="D671">
        <v>122044.57844169591</v>
      </c>
      <c r="E671">
        <v>125175.98027997543</v>
      </c>
      <c r="F671">
        <v>44666.029403998291</v>
      </c>
      <c r="G671">
        <v>10000</v>
      </c>
      <c r="H671">
        <v>375965.47524210648</v>
      </c>
      <c r="I671">
        <v>38.583927444926985</v>
      </c>
    </row>
    <row r="672" spans="1:9" x14ac:dyDescent="0.2">
      <c r="A672">
        <v>662</v>
      </c>
      <c r="B672">
        <v>1048051.6039821802</v>
      </c>
      <c r="C672">
        <v>118717.09232048644</v>
      </c>
      <c r="D672">
        <v>95286.309520404408</v>
      </c>
      <c r="E672">
        <v>45977.216384336672</v>
      </c>
      <c r="F672">
        <v>39183.038057377154</v>
      </c>
      <c r="G672">
        <v>10000</v>
      </c>
      <c r="H672">
        <v>289163.65628260467</v>
      </c>
      <c r="I672">
        <v>34.244765245518749</v>
      </c>
    </row>
    <row r="673" spans="1:9" x14ac:dyDescent="0.2">
      <c r="A673">
        <v>663</v>
      </c>
      <c r="B673">
        <v>1627073.227454273</v>
      </c>
      <c r="C673">
        <v>109119.84371382579</v>
      </c>
      <c r="D673">
        <v>110262.86769090679</v>
      </c>
      <c r="E673">
        <v>189359.87571022377</v>
      </c>
      <c r="F673">
        <v>49109.529856861649</v>
      </c>
      <c r="G673">
        <v>10000</v>
      </c>
      <c r="H673">
        <v>447852.11697181797</v>
      </c>
      <c r="I673">
        <v>45.829285276264599</v>
      </c>
    </row>
    <row r="674" spans="1:9" x14ac:dyDescent="0.2">
      <c r="A674">
        <v>664</v>
      </c>
      <c r="B674">
        <v>989802.76261119882</v>
      </c>
      <c r="C674">
        <v>107802.7566065423</v>
      </c>
      <c r="D674">
        <v>78768.807272716294</v>
      </c>
      <c r="E674">
        <v>56702.665272460916</v>
      </c>
      <c r="F674">
        <v>39925.569134247293</v>
      </c>
      <c r="G674">
        <v>10000</v>
      </c>
      <c r="H674">
        <v>273199.7982859668</v>
      </c>
      <c r="I674">
        <v>29.056189403797216</v>
      </c>
    </row>
    <row r="675" spans="1:9" x14ac:dyDescent="0.2">
      <c r="A675">
        <v>665</v>
      </c>
      <c r="B675">
        <v>1068175.5978907468</v>
      </c>
      <c r="C675">
        <v>89368.126995077109</v>
      </c>
      <c r="D675">
        <v>34705.221854249576</v>
      </c>
      <c r="E675">
        <v>135242.60219161373</v>
      </c>
      <c r="F675">
        <v>45362.949382496336</v>
      </c>
      <c r="G675">
        <v>10000</v>
      </c>
      <c r="H675">
        <v>294678.90042343677</v>
      </c>
      <c r="I675">
        <v>34.253937677475861</v>
      </c>
    </row>
    <row r="676" spans="1:9" x14ac:dyDescent="0.2">
      <c r="A676">
        <v>666</v>
      </c>
      <c r="B676">
        <v>1177844.3679193277</v>
      </c>
      <c r="C676">
        <v>107638.74631374623</v>
      </c>
      <c r="D676">
        <v>74343.983552309597</v>
      </c>
      <c r="E676">
        <v>109192.82995530276</v>
      </c>
      <c r="F676">
        <v>43559.503612290187</v>
      </c>
      <c r="G676">
        <v>10000</v>
      </c>
      <c r="H676">
        <v>324735.06343364879</v>
      </c>
      <c r="I676">
        <v>39.674491309475087</v>
      </c>
    </row>
    <row r="677" spans="1:9" x14ac:dyDescent="0.2">
      <c r="A677">
        <v>667</v>
      </c>
      <c r="B677">
        <v>1458938.6028732569</v>
      </c>
      <c r="C677">
        <v>99158.698912298161</v>
      </c>
      <c r="D677">
        <v>96586.716622258115</v>
      </c>
      <c r="E677">
        <v>168370.76738338731</v>
      </c>
      <c r="F677">
        <v>47656.437741926813</v>
      </c>
      <c r="G677">
        <v>10000</v>
      </c>
      <c r="H677">
        <v>401772.62065987039</v>
      </c>
      <c r="I677">
        <v>34.933847712024345</v>
      </c>
    </row>
    <row r="678" spans="1:9" x14ac:dyDescent="0.2">
      <c r="A678">
        <v>668</v>
      </c>
      <c r="B678">
        <v>1195672.7136725013</v>
      </c>
      <c r="C678">
        <v>116020.56584384041</v>
      </c>
      <c r="D678">
        <v>145847.53977146221</v>
      </c>
      <c r="E678">
        <v>39049.614650401534</v>
      </c>
      <c r="F678">
        <v>38703.434860412417</v>
      </c>
      <c r="G678">
        <v>10000</v>
      </c>
      <c r="H678">
        <v>329621.15512611659</v>
      </c>
      <c r="I678">
        <v>53.471596577919676</v>
      </c>
    </row>
    <row r="679" spans="1:9" x14ac:dyDescent="0.2">
      <c r="A679">
        <v>669</v>
      </c>
      <c r="B679">
        <v>1258087.6067496394</v>
      </c>
      <c r="C679">
        <v>147938.27451187855</v>
      </c>
      <c r="D679">
        <v>84342.251146260503</v>
      </c>
      <c r="E679">
        <v>82719.512992195319</v>
      </c>
      <c r="F679">
        <v>41726.735514844295</v>
      </c>
      <c r="G679">
        <v>10000</v>
      </c>
      <c r="H679">
        <v>346726.77416517865</v>
      </c>
      <c r="I679">
        <v>31.56247051769186</v>
      </c>
    </row>
    <row r="680" spans="1:9" x14ac:dyDescent="0.2">
      <c r="A680">
        <v>670</v>
      </c>
      <c r="B680">
        <v>1164912.5523386085</v>
      </c>
      <c r="C680">
        <v>105082.20239206753</v>
      </c>
      <c r="D680">
        <v>104750.94944798519</v>
      </c>
      <c r="E680">
        <v>79831.015522874339</v>
      </c>
      <c r="F680">
        <v>41526.762613122068</v>
      </c>
      <c r="G680">
        <v>10000</v>
      </c>
      <c r="H680">
        <v>321190.92997604911</v>
      </c>
      <c r="I680">
        <v>32.160127307957055</v>
      </c>
    </row>
    <row r="681" spans="1:9" x14ac:dyDescent="0.2">
      <c r="A681">
        <v>671</v>
      </c>
      <c r="B681">
        <v>1656679.0909101381</v>
      </c>
      <c r="C681">
        <v>151394.124594113</v>
      </c>
      <c r="D681">
        <v>138816.64052656214</v>
      </c>
      <c r="E681">
        <v>130706.32698663209</v>
      </c>
      <c r="F681">
        <v>45048.899560612983</v>
      </c>
      <c r="G681">
        <v>10000</v>
      </c>
      <c r="H681">
        <v>455965.9916679202</v>
      </c>
      <c r="I681">
        <v>32.78111330194772</v>
      </c>
    </row>
    <row r="682" spans="1:9" x14ac:dyDescent="0.2">
      <c r="A682">
        <v>672</v>
      </c>
      <c r="B682">
        <v>1134725.9645250672</v>
      </c>
      <c r="C682">
        <v>116987.63830152634</v>
      </c>
      <c r="D682">
        <v>78997.902978363825</v>
      </c>
      <c r="E682">
        <v>85044.652192503971</v>
      </c>
      <c r="F682">
        <v>41887.706690250277</v>
      </c>
      <c r="G682">
        <v>10000</v>
      </c>
      <c r="H682">
        <v>312917.90016264439</v>
      </c>
      <c r="I682">
        <v>31.535432331047623</v>
      </c>
    </row>
    <row r="683" spans="1:9" x14ac:dyDescent="0.2">
      <c r="A683">
        <v>673</v>
      </c>
      <c r="B683">
        <v>1681627.4600095849</v>
      </c>
      <c r="C683">
        <v>151332.7129396137</v>
      </c>
      <c r="D683">
        <v>102290.69886626943</v>
      </c>
      <c r="E683">
        <v>171319.43121281618</v>
      </c>
      <c r="F683">
        <v>47860.57600704112</v>
      </c>
      <c r="G683">
        <v>10000</v>
      </c>
      <c r="H683">
        <v>462803.41902574047</v>
      </c>
      <c r="I683">
        <v>35.204861591902727</v>
      </c>
    </row>
    <row r="684" spans="1:9" x14ac:dyDescent="0.2">
      <c r="A684">
        <v>674</v>
      </c>
      <c r="B684">
        <v>1311847.8392204463</v>
      </c>
      <c r="C684">
        <v>138357.61222880473</v>
      </c>
      <c r="D684">
        <v>132823.52313474077</v>
      </c>
      <c r="E684">
        <v>60117.363417999652</v>
      </c>
      <c r="F684">
        <v>40161.971313553819</v>
      </c>
      <c r="G684">
        <v>10000</v>
      </c>
      <c r="H684">
        <v>361460.47009509895</v>
      </c>
      <c r="I684">
        <v>29.229615687876937</v>
      </c>
    </row>
    <row r="685" spans="1:9" x14ac:dyDescent="0.2">
      <c r="A685">
        <v>675</v>
      </c>
      <c r="B685">
        <v>974994.22082761454</v>
      </c>
      <c r="C685">
        <v>104788.88459673201</v>
      </c>
      <c r="D685">
        <v>72596.42683869513</v>
      </c>
      <c r="E685">
        <v>61498.428482895135</v>
      </c>
      <c r="F685">
        <v>40257.583510354285</v>
      </c>
      <c r="G685">
        <v>10000</v>
      </c>
      <c r="H685">
        <v>269141.32342867658</v>
      </c>
      <c r="I685">
        <v>35.898124945795161</v>
      </c>
    </row>
    <row r="686" spans="1:9" x14ac:dyDescent="0.2">
      <c r="A686">
        <v>676</v>
      </c>
      <c r="B686">
        <v>817334.93379201309</v>
      </c>
      <c r="C686">
        <v>83886.139197113516</v>
      </c>
      <c r="D686">
        <v>76725.665970198432</v>
      </c>
      <c r="E686">
        <v>36774.966223234056</v>
      </c>
      <c r="F686">
        <v>38545.95920007005</v>
      </c>
      <c r="G686">
        <v>10000</v>
      </c>
      <c r="H686">
        <v>225932.73059061606</v>
      </c>
      <c r="I686">
        <v>44.10526958971144</v>
      </c>
    </row>
    <row r="687" spans="1:9" x14ac:dyDescent="0.2">
      <c r="A687">
        <v>677</v>
      </c>
      <c r="B687">
        <v>930357.12100155908</v>
      </c>
      <c r="C687">
        <v>130682.5199047326</v>
      </c>
      <c r="D687">
        <v>58626.994301628416</v>
      </c>
      <c r="E687">
        <v>38905.003949940387</v>
      </c>
      <c r="F687">
        <v>38693.423350380486</v>
      </c>
      <c r="G687">
        <v>10000</v>
      </c>
      <c r="H687">
        <v>256907.94150668191</v>
      </c>
      <c r="I687">
        <v>31.326850968860121</v>
      </c>
    </row>
    <row r="688" spans="1:9" x14ac:dyDescent="0.2">
      <c r="A688">
        <v>678</v>
      </c>
      <c r="B688">
        <v>992652.96585651836</v>
      </c>
      <c r="C688">
        <v>110855.75215155234</v>
      </c>
      <c r="D688">
        <v>57723.144856008221</v>
      </c>
      <c r="E688">
        <v>74260.89773919525</v>
      </c>
      <c r="F688">
        <v>41141.13907425198</v>
      </c>
      <c r="G688">
        <v>10000</v>
      </c>
      <c r="H688">
        <v>273980.93382100778</v>
      </c>
      <c r="I688">
        <v>43.368826765288809</v>
      </c>
    </row>
    <row r="689" spans="1:9" x14ac:dyDescent="0.2">
      <c r="A689">
        <v>679</v>
      </c>
      <c r="B689">
        <v>938409.52349588345</v>
      </c>
      <c r="C689">
        <v>85008.199207930622</v>
      </c>
      <c r="D689">
        <v>92895.328240309726</v>
      </c>
      <c r="E689">
        <v>51636.44933502045</v>
      </c>
      <c r="F689">
        <v>39574.831107809114</v>
      </c>
      <c r="G689">
        <v>10000</v>
      </c>
      <c r="H689">
        <v>259114.80789106991</v>
      </c>
      <c r="I689">
        <v>39.514355948340935</v>
      </c>
    </row>
    <row r="690" spans="1:9" x14ac:dyDescent="0.2">
      <c r="A690">
        <v>680</v>
      </c>
      <c r="B690">
        <v>1879418.4292002758</v>
      </c>
      <c r="C690">
        <v>122238.75308141242</v>
      </c>
      <c r="D690">
        <v>154010.91032797663</v>
      </c>
      <c r="E690">
        <v>200855.5756400227</v>
      </c>
      <c r="F690">
        <v>49905.386005847722</v>
      </c>
      <c r="G690">
        <v>10000</v>
      </c>
      <c r="H690">
        <v>517010.62505525944</v>
      </c>
      <c r="I690">
        <v>47.392322211420051</v>
      </c>
    </row>
    <row r="691" spans="1:9" x14ac:dyDescent="0.2">
      <c r="A691">
        <v>681</v>
      </c>
      <c r="B691">
        <v>841597.17010399688</v>
      </c>
      <c r="C691">
        <v>126231.60974538205</v>
      </c>
      <c r="D691">
        <v>45315.776434624589</v>
      </c>
      <c r="E691">
        <v>32766.292458430187</v>
      </c>
      <c r="F691">
        <v>38268.435631737477</v>
      </c>
      <c r="G691">
        <v>10000</v>
      </c>
      <c r="H691">
        <v>232582.11427017429</v>
      </c>
      <c r="I691">
        <v>39.255681144290421</v>
      </c>
    </row>
    <row r="692" spans="1:9" x14ac:dyDescent="0.2">
      <c r="A692">
        <v>682</v>
      </c>
      <c r="B692">
        <v>922943.57229645492</v>
      </c>
      <c r="C692">
        <v>74667.510434750366</v>
      </c>
      <c r="D692">
        <v>90073.253050117375</v>
      </c>
      <c r="E692">
        <v>59982.746225156436</v>
      </c>
      <c r="F692">
        <v>40152.651661741598</v>
      </c>
      <c r="G692">
        <v>10000</v>
      </c>
      <c r="H692">
        <v>254876.16137176577</v>
      </c>
      <c r="I692">
        <v>45.859501054129886</v>
      </c>
    </row>
    <row r="693" spans="1:9" x14ac:dyDescent="0.2">
      <c r="A693">
        <v>683</v>
      </c>
      <c r="B693">
        <v>1605653.2321409627</v>
      </c>
      <c r="C693">
        <v>162292.13300089131</v>
      </c>
      <c r="D693">
        <v>85187.158333992586</v>
      </c>
      <c r="E693">
        <v>157592.16829838185</v>
      </c>
      <c r="F693">
        <v>46910.227036041819</v>
      </c>
      <c r="G693">
        <v>10000</v>
      </c>
      <c r="H693">
        <v>441981.68666930753</v>
      </c>
      <c r="I693">
        <v>31.56750732318805</v>
      </c>
    </row>
    <row r="694" spans="1:9" x14ac:dyDescent="0.2">
      <c r="A694">
        <v>684</v>
      </c>
      <c r="B694">
        <v>971741.00906334049</v>
      </c>
      <c r="C694">
        <v>101987.30694423999</v>
      </c>
      <c r="D694">
        <v>88651.899605765866</v>
      </c>
      <c r="E694">
        <v>48268.842484781402</v>
      </c>
      <c r="F694">
        <v>39341.68909510025</v>
      </c>
      <c r="G694">
        <v>10000</v>
      </c>
      <c r="H694">
        <v>268249.7381298875</v>
      </c>
      <c r="I694">
        <v>25.330953241268581</v>
      </c>
    </row>
    <row r="695" spans="1:9" x14ac:dyDescent="0.2">
      <c r="A695">
        <v>685</v>
      </c>
      <c r="B695">
        <v>1336012.6419797637</v>
      </c>
      <c r="C695">
        <v>110690.9884000341</v>
      </c>
      <c r="D695">
        <v>74762.192043166782</v>
      </c>
      <c r="E695">
        <v>146488.46151586185</v>
      </c>
      <c r="F695">
        <v>46141.508874175044</v>
      </c>
      <c r="G695">
        <v>10000</v>
      </c>
      <c r="H695">
        <v>368083.15083323774</v>
      </c>
      <c r="I695">
        <v>33.900610190626296</v>
      </c>
    </row>
    <row r="696" spans="1:9" x14ac:dyDescent="0.2">
      <c r="A696">
        <v>686</v>
      </c>
      <c r="B696">
        <v>1239639.7543445679</v>
      </c>
      <c r="C696">
        <v>145889.98006828674</v>
      </c>
      <c r="D696">
        <v>138807.44899342145</v>
      </c>
      <c r="E696">
        <v>28967.993055634841</v>
      </c>
      <c r="F696">
        <v>38005.476442313178</v>
      </c>
      <c r="G696">
        <v>10000</v>
      </c>
      <c r="H696">
        <v>341670.89855965617</v>
      </c>
      <c r="I696">
        <v>39.779721981755785</v>
      </c>
    </row>
    <row r="697" spans="1:9" x14ac:dyDescent="0.2">
      <c r="A697">
        <v>687</v>
      </c>
      <c r="B697">
        <v>1238731.8701373562</v>
      </c>
      <c r="C697">
        <v>164116.66691596573</v>
      </c>
      <c r="D697">
        <v>78710.95857053106</v>
      </c>
      <c r="E697">
        <v>67894.095084594024</v>
      </c>
      <c r="F697">
        <v>40700.360428933433</v>
      </c>
      <c r="G697">
        <v>10000</v>
      </c>
      <c r="H697">
        <v>341422.08100002422</v>
      </c>
      <c r="I697">
        <v>42.51319715556648</v>
      </c>
    </row>
    <row r="698" spans="1:9" x14ac:dyDescent="0.2">
      <c r="A698">
        <v>688</v>
      </c>
      <c r="B698">
        <v>1597413.28889816</v>
      </c>
      <c r="C698">
        <v>78107.254111484799</v>
      </c>
      <c r="D698">
        <v>115258.29591478551</v>
      </c>
      <c r="E698">
        <v>206090.0963581579</v>
      </c>
      <c r="F698">
        <v>50267.775901718625</v>
      </c>
      <c r="G698">
        <v>10000</v>
      </c>
      <c r="H698">
        <v>439723.4222861469</v>
      </c>
      <c r="I698">
        <v>37.199087866383167</v>
      </c>
    </row>
    <row r="699" spans="1:9" x14ac:dyDescent="0.2">
      <c r="A699">
        <v>689</v>
      </c>
      <c r="B699">
        <v>1377076.5615465215</v>
      </c>
      <c r="C699">
        <v>111877.04047363083</v>
      </c>
      <c r="D699">
        <v>93992.456130608771</v>
      </c>
      <c r="E699">
        <v>137919.48711022586</v>
      </c>
      <c r="F699">
        <v>45548.272184554095</v>
      </c>
      <c r="G699">
        <v>10000</v>
      </c>
      <c r="H699">
        <v>379337.25589901954</v>
      </c>
      <c r="I699">
        <v>41.824547717400677</v>
      </c>
    </row>
    <row r="700" spans="1:9" x14ac:dyDescent="0.2">
      <c r="A700">
        <v>690</v>
      </c>
      <c r="B700">
        <v>1003460.4441445626</v>
      </c>
      <c r="C700">
        <v>77315.424033250572</v>
      </c>
      <c r="D700">
        <v>95698.815054161343</v>
      </c>
      <c r="E700">
        <v>72882.887372269353</v>
      </c>
      <c r="F700">
        <v>41045.738356541719</v>
      </c>
      <c r="G700">
        <v>10000</v>
      </c>
      <c r="H700">
        <v>276942.86481622298</v>
      </c>
      <c r="I700">
        <v>45.96479523379287</v>
      </c>
    </row>
    <row r="701" spans="1:9" x14ac:dyDescent="0.2">
      <c r="A701">
        <v>691</v>
      </c>
      <c r="B701">
        <v>1068968.7489405244</v>
      </c>
      <c r="C701">
        <v>73614.965198782229</v>
      </c>
      <c r="D701">
        <v>106248.27687969162</v>
      </c>
      <c r="E701">
        <v>83268.303103481419</v>
      </c>
      <c r="F701">
        <v>41764.728676394872</v>
      </c>
      <c r="G701">
        <v>10000</v>
      </c>
      <c r="H701">
        <v>294896.27385835012</v>
      </c>
      <c r="I701">
        <v>32.276399704832201</v>
      </c>
    </row>
    <row r="702" spans="1:9" x14ac:dyDescent="0.2">
      <c r="A702">
        <v>692</v>
      </c>
      <c r="B702">
        <v>1681570.1657992469</v>
      </c>
      <c r="C702">
        <v>99319.72823327755</v>
      </c>
      <c r="D702">
        <v>136640.72665343565</v>
      </c>
      <c r="E702">
        <v>187824.05790159799</v>
      </c>
      <c r="F702">
        <v>49003.204008572167</v>
      </c>
      <c r="G702">
        <v>10000</v>
      </c>
      <c r="H702">
        <v>462787.71679688332</v>
      </c>
      <c r="I702">
        <v>35.559638302522515</v>
      </c>
    </row>
    <row r="703" spans="1:9" x14ac:dyDescent="0.2">
      <c r="A703">
        <v>693</v>
      </c>
      <c r="B703">
        <v>1658684.151338706</v>
      </c>
      <c r="C703">
        <v>81538.118310261474</v>
      </c>
      <c r="D703">
        <v>171339.31960427927</v>
      </c>
      <c r="E703">
        <v>166136.32149447902</v>
      </c>
      <c r="F703">
        <v>47501.745334233165</v>
      </c>
      <c r="G703">
        <v>10000</v>
      </c>
      <c r="H703">
        <v>456515.50474325294</v>
      </c>
      <c r="I703">
        <v>30.582382555688294</v>
      </c>
    </row>
    <row r="704" spans="1:9" x14ac:dyDescent="0.2">
      <c r="A704">
        <v>694</v>
      </c>
      <c r="B704">
        <v>1682112.7924591175</v>
      </c>
      <c r="C704">
        <v>163810.56111265463</v>
      </c>
      <c r="D704">
        <v>141745.31994935375</v>
      </c>
      <c r="E704">
        <v>122873.89538327554</v>
      </c>
      <c r="F704">
        <v>44506.654295765227</v>
      </c>
      <c r="G704">
        <v>10000</v>
      </c>
      <c r="H704">
        <v>462936.43074104912</v>
      </c>
      <c r="I704">
        <v>27.280483168915733</v>
      </c>
    </row>
    <row r="705" spans="1:9" x14ac:dyDescent="0.2">
      <c r="A705">
        <v>695</v>
      </c>
      <c r="B705">
        <v>1592120.0233871648</v>
      </c>
      <c r="C705">
        <v>82222.89079673987</v>
      </c>
      <c r="D705">
        <v>166589.71029512564</v>
      </c>
      <c r="E705">
        <v>152876.38286029603</v>
      </c>
      <c r="F705">
        <v>46583.749582635879</v>
      </c>
      <c r="G705">
        <v>10000</v>
      </c>
      <c r="H705">
        <v>438272.73353479739</v>
      </c>
      <c r="I705">
        <v>31.076666690557811</v>
      </c>
    </row>
    <row r="706" spans="1:9" x14ac:dyDescent="0.2">
      <c r="A706">
        <v>696</v>
      </c>
      <c r="B706">
        <v>1586226.259077807</v>
      </c>
      <c r="C706">
        <v>136123.79330713794</v>
      </c>
      <c r="D706">
        <v>72570.838843141828</v>
      </c>
      <c r="E706">
        <v>188886.10754875789</v>
      </c>
      <c r="F706">
        <v>49076.730522606318</v>
      </c>
      <c r="G706">
        <v>10000</v>
      </c>
      <c r="H706">
        <v>436657.47022164392</v>
      </c>
      <c r="I706">
        <v>30.658729129212066</v>
      </c>
    </row>
    <row r="707" spans="1:9" x14ac:dyDescent="0.2">
      <c r="A707">
        <v>697</v>
      </c>
      <c r="B707">
        <v>1450693.1311096286</v>
      </c>
      <c r="C707">
        <v>149214.4881046995</v>
      </c>
      <c r="D707">
        <v>129525.76684740724</v>
      </c>
      <c r="E707">
        <v>88636.231661414611</v>
      </c>
      <c r="F707">
        <v>42136.354499636393</v>
      </c>
      <c r="G707">
        <v>10000</v>
      </c>
      <c r="H707">
        <v>399512.84111315774</v>
      </c>
      <c r="I707">
        <v>40.235608040763573</v>
      </c>
    </row>
    <row r="708" spans="1:9" x14ac:dyDescent="0.2">
      <c r="A708">
        <v>698</v>
      </c>
      <c r="B708">
        <v>1297801.3761162362</v>
      </c>
      <c r="C708">
        <v>99681.832277645139</v>
      </c>
      <c r="D708">
        <v>82748.519166539132</v>
      </c>
      <c r="E708">
        <v>139521.33228052029</v>
      </c>
      <c r="F708">
        <v>45659.169157882177</v>
      </c>
      <c r="G708">
        <v>10000</v>
      </c>
      <c r="H708">
        <v>357610.85288258671</v>
      </c>
      <c r="I708">
        <v>46.916307147210709</v>
      </c>
    </row>
    <row r="709" spans="1:9" x14ac:dyDescent="0.2">
      <c r="A709">
        <v>699</v>
      </c>
      <c r="B709">
        <v>1422770.4323122411</v>
      </c>
      <c r="C709">
        <v>111776.55224005377</v>
      </c>
      <c r="D709">
        <v>73196.504932532131</v>
      </c>
      <c r="E709">
        <v>169175.08153785655</v>
      </c>
      <c r="F709">
        <v>47712.121029543909</v>
      </c>
      <c r="G709">
        <v>10000</v>
      </c>
      <c r="H709">
        <v>391860.25973998639</v>
      </c>
      <c r="I709">
        <v>38.583722734515071</v>
      </c>
    </row>
    <row r="710" spans="1:9" x14ac:dyDescent="0.2">
      <c r="A710">
        <v>700</v>
      </c>
      <c r="B710">
        <v>1522135.9667066201</v>
      </c>
      <c r="C710">
        <v>147375.06259368832</v>
      </c>
      <c r="D710">
        <v>128828.11170271582</v>
      </c>
      <c r="E710">
        <v>109321.12610936412</v>
      </c>
      <c r="F710">
        <v>43568.385653725207</v>
      </c>
      <c r="G710">
        <v>10000</v>
      </c>
      <c r="H710">
        <v>419092.6860594934</v>
      </c>
      <c r="I710">
        <v>26.288360753787536</v>
      </c>
    </row>
    <row r="711" spans="1:9" x14ac:dyDescent="0.2">
      <c r="A711">
        <v>701</v>
      </c>
      <c r="B711">
        <v>882462.14946200384</v>
      </c>
      <c r="C711">
        <v>111304.42105996101</v>
      </c>
      <c r="D711">
        <v>53177.186861486975</v>
      </c>
      <c r="E711">
        <v>49849.0043292228</v>
      </c>
      <c r="F711">
        <v>39451.084915100044</v>
      </c>
      <c r="G711">
        <v>10000</v>
      </c>
      <c r="H711">
        <v>243781.69716577083</v>
      </c>
      <c r="I711">
        <v>44.416762807072274</v>
      </c>
    </row>
    <row r="712" spans="1:9" x14ac:dyDescent="0.2">
      <c r="A712">
        <v>702</v>
      </c>
      <c r="B712">
        <v>1038452.5459832316</v>
      </c>
      <c r="C712">
        <v>137500.42823140568</v>
      </c>
      <c r="D712">
        <v>49524.758677422084</v>
      </c>
      <c r="E712">
        <v>68748.229010589392</v>
      </c>
      <c r="F712">
        <v>40759.492777656189</v>
      </c>
      <c r="G712">
        <v>10000</v>
      </c>
      <c r="H712">
        <v>286532.90869707335</v>
      </c>
      <c r="I712">
        <v>35.865646394449229</v>
      </c>
    </row>
    <row r="713" spans="1:9" x14ac:dyDescent="0.2">
      <c r="A713">
        <v>703</v>
      </c>
      <c r="B713">
        <v>1534556.1401906398</v>
      </c>
      <c r="C713">
        <v>86635.880657470843</v>
      </c>
      <c r="D713">
        <v>92635.081366474158</v>
      </c>
      <c r="E713">
        <v>203160.66608396688</v>
      </c>
      <c r="F713">
        <v>50064.969190428477</v>
      </c>
      <c r="G713">
        <v>10000</v>
      </c>
      <c r="H713">
        <v>422496.59729834041</v>
      </c>
      <c r="I713">
        <v>34.830992306242536</v>
      </c>
    </row>
    <row r="714" spans="1:9" x14ac:dyDescent="0.2">
      <c r="A714">
        <v>704</v>
      </c>
      <c r="B714">
        <v>1947164.6269357363</v>
      </c>
      <c r="C714">
        <v>127416.98196770801</v>
      </c>
      <c r="D714">
        <v>168589.91100215761</v>
      </c>
      <c r="E714">
        <v>199742.1615130516</v>
      </c>
      <c r="F714">
        <v>49828.303489365113</v>
      </c>
      <c r="G714">
        <v>10000</v>
      </c>
      <c r="H714">
        <v>535577.35797228233</v>
      </c>
      <c r="I714">
        <v>32.47572629336554</v>
      </c>
    </row>
    <row r="715" spans="1:9" x14ac:dyDescent="0.2">
      <c r="A715">
        <v>705</v>
      </c>
      <c r="B715">
        <v>892543.34879284026</v>
      </c>
      <c r="C715">
        <v>104219.74967263204</v>
      </c>
      <c r="D715">
        <v>85469.75784310278</v>
      </c>
      <c r="E715">
        <v>28857.263811704557</v>
      </c>
      <c r="F715">
        <v>37997.810571579539</v>
      </c>
      <c r="G715">
        <v>10000</v>
      </c>
      <c r="H715">
        <v>246544.5818990189</v>
      </c>
      <c r="I715">
        <v>41.800566289873913</v>
      </c>
    </row>
    <row r="716" spans="1:9" x14ac:dyDescent="0.2">
      <c r="A716">
        <v>706</v>
      </c>
      <c r="B716">
        <v>1403609.8343086015</v>
      </c>
      <c r="C716">
        <v>126967.46784802053</v>
      </c>
      <c r="D716">
        <v>107985.15449869234</v>
      </c>
      <c r="E716">
        <v>117520.39703309043</v>
      </c>
      <c r="F716">
        <v>44136.027486906263</v>
      </c>
      <c r="G716">
        <v>10000</v>
      </c>
      <c r="H716">
        <v>386609.04686670954</v>
      </c>
      <c r="I716">
        <v>44.379877336410587</v>
      </c>
    </row>
    <row r="717" spans="1:9" x14ac:dyDescent="0.2">
      <c r="A717">
        <v>707</v>
      </c>
      <c r="B717">
        <v>1392105.3595995337</v>
      </c>
      <c r="C717">
        <v>135830.30117100224</v>
      </c>
      <c r="D717">
        <v>77092.859640383685</v>
      </c>
      <c r="E717">
        <v>135174.68653164897</v>
      </c>
      <c r="F717">
        <v>45358.24752911416</v>
      </c>
      <c r="G717">
        <v>10000</v>
      </c>
      <c r="H717">
        <v>383456.09487214906</v>
      </c>
      <c r="I717">
        <v>46.837002037415516</v>
      </c>
    </row>
    <row r="718" spans="1:9" x14ac:dyDescent="0.2">
      <c r="A718">
        <v>708</v>
      </c>
      <c r="B718">
        <v>1317023.0689725056</v>
      </c>
      <c r="C718">
        <v>151016.10538720159</v>
      </c>
      <c r="D718">
        <v>64589.664898211748</v>
      </c>
      <c r="E718">
        <v>113420.82813643686</v>
      </c>
      <c r="F718">
        <v>43852.211178676393</v>
      </c>
      <c r="G718">
        <v>10000</v>
      </c>
      <c r="H718">
        <v>362878.80960052658</v>
      </c>
      <c r="I718">
        <v>35.674385694324521</v>
      </c>
    </row>
    <row r="719" spans="1:9" x14ac:dyDescent="0.2">
      <c r="A719">
        <v>709</v>
      </c>
      <c r="B719">
        <v>1146593.7803214355</v>
      </c>
      <c r="C719">
        <v>140566.24376155192</v>
      </c>
      <c r="D719">
        <v>87598.930127985222</v>
      </c>
      <c r="E719">
        <v>57990.527804174177</v>
      </c>
      <c r="F719">
        <v>40014.728847981285</v>
      </c>
      <c r="G719">
        <v>10000</v>
      </c>
      <c r="H719">
        <v>316170.43054169265</v>
      </c>
      <c r="I719">
        <v>32.837414702141565</v>
      </c>
    </row>
    <row r="720" spans="1:9" x14ac:dyDescent="0.2">
      <c r="A720">
        <v>710</v>
      </c>
      <c r="B720">
        <v>1579009.015668239</v>
      </c>
      <c r="C720">
        <v>138823.66733439645</v>
      </c>
      <c r="D720">
        <v>162454.52498438352</v>
      </c>
      <c r="E720">
        <v>100447.2569405369</v>
      </c>
      <c r="F720">
        <v>42954.040865114097</v>
      </c>
      <c r="G720">
        <v>10000</v>
      </c>
      <c r="H720">
        <v>434679.49012443097</v>
      </c>
      <c r="I720">
        <v>31.54810376793003</v>
      </c>
    </row>
    <row r="721" spans="1:9" x14ac:dyDescent="0.2">
      <c r="A721">
        <v>711</v>
      </c>
      <c r="B721">
        <v>1576454.6148914604</v>
      </c>
      <c r="C721">
        <v>156304.46452746409</v>
      </c>
      <c r="D721">
        <v>112181.01646989162</v>
      </c>
      <c r="E721">
        <v>130461.9602685938</v>
      </c>
      <c r="F721">
        <v>45031.981864748799</v>
      </c>
      <c r="G721">
        <v>10000</v>
      </c>
      <c r="H721">
        <v>433979.42313069833</v>
      </c>
      <c r="I721">
        <v>28.207033296947507</v>
      </c>
    </row>
    <row r="722" spans="1:9" x14ac:dyDescent="0.2">
      <c r="A722">
        <v>712</v>
      </c>
      <c r="B722">
        <v>1181698.7610432033</v>
      </c>
      <c r="C722">
        <v>138662.04211620346</v>
      </c>
      <c r="D722">
        <v>58633.048317329696</v>
      </c>
      <c r="E722">
        <v>95859.867556276513</v>
      </c>
      <c r="F722">
        <v>42636.452369280676</v>
      </c>
      <c r="G722">
        <v>10000</v>
      </c>
      <c r="H722">
        <v>325791.41035909037</v>
      </c>
      <c r="I722">
        <v>53.037626459624022</v>
      </c>
    </row>
    <row r="723" spans="1:9" x14ac:dyDescent="0.2">
      <c r="A723">
        <v>713</v>
      </c>
      <c r="B723">
        <v>1555670.7200595946</v>
      </c>
      <c r="C723">
        <v>142998.5836128821</v>
      </c>
      <c r="D723">
        <v>78503.292653648736</v>
      </c>
      <c r="E723">
        <v>169076.17460459462</v>
      </c>
      <c r="F723">
        <v>47705.273626471935</v>
      </c>
      <c r="G723">
        <v>10000</v>
      </c>
      <c r="H723">
        <v>428283.32449759735</v>
      </c>
      <c r="I723">
        <v>31.275230358014174</v>
      </c>
    </row>
    <row r="724" spans="1:9" x14ac:dyDescent="0.2">
      <c r="A724">
        <v>714</v>
      </c>
      <c r="B724">
        <v>1202923.061352002</v>
      </c>
      <c r="C724">
        <v>126351.36061661784</v>
      </c>
      <c r="D724">
        <v>107499.50946467674</v>
      </c>
      <c r="E724">
        <v>67111.179238207566</v>
      </c>
      <c r="F724">
        <v>40646.158562645142</v>
      </c>
      <c r="G724">
        <v>10000</v>
      </c>
      <c r="H724">
        <v>331608.20788214728</v>
      </c>
      <c r="I724">
        <v>28.48255076083171</v>
      </c>
    </row>
    <row r="725" spans="1:9" x14ac:dyDescent="0.2">
      <c r="A725">
        <v>715</v>
      </c>
      <c r="B725">
        <v>870183.08536100783</v>
      </c>
      <c r="C725">
        <v>90332.503164381298</v>
      </c>
      <c r="D725">
        <v>84362.430898584484</v>
      </c>
      <c r="E725">
        <v>37149.627453562884</v>
      </c>
      <c r="F725">
        <v>38571.897285246661</v>
      </c>
      <c r="G725">
        <v>10000</v>
      </c>
      <c r="H725">
        <v>240416.45880177536</v>
      </c>
      <c r="I725">
        <v>45.749529337949852</v>
      </c>
    </row>
    <row r="726" spans="1:9" x14ac:dyDescent="0.2">
      <c r="A726">
        <v>716</v>
      </c>
      <c r="B726">
        <v>1570784.7591806778</v>
      </c>
      <c r="C726">
        <v>124697.80536056169</v>
      </c>
      <c r="D726">
        <v>83477.490470330464</v>
      </c>
      <c r="E726">
        <v>185413.88330394166</v>
      </c>
      <c r="F726">
        <v>48836.345767195962</v>
      </c>
      <c r="G726">
        <v>10000</v>
      </c>
      <c r="H726">
        <v>432425.52490202984</v>
      </c>
      <c r="I726">
        <v>30.636462664522824</v>
      </c>
    </row>
    <row r="727" spans="1:9" x14ac:dyDescent="0.2">
      <c r="A727">
        <v>717</v>
      </c>
      <c r="B727">
        <v>1327123.6143874726</v>
      </c>
      <c r="C727">
        <v>88586.630010308916</v>
      </c>
      <c r="D727">
        <v>127598.60649202103</v>
      </c>
      <c r="E727">
        <v>115467.83298056615</v>
      </c>
      <c r="F727">
        <v>43993.926898654579</v>
      </c>
      <c r="G727">
        <v>10000</v>
      </c>
      <c r="H727">
        <v>365646.99638155068</v>
      </c>
      <c r="I727">
        <v>37.57112723492542</v>
      </c>
    </row>
    <row r="728" spans="1:9" x14ac:dyDescent="0.2">
      <c r="A728">
        <v>718</v>
      </c>
      <c r="B728">
        <v>1192470.8793433812</v>
      </c>
      <c r="C728">
        <v>116738.70230170096</v>
      </c>
      <c r="D728">
        <v>147486.27526776743</v>
      </c>
      <c r="E728">
        <v>36024.658123786205</v>
      </c>
      <c r="F728">
        <v>38494.014793185197</v>
      </c>
      <c r="G728">
        <v>10000</v>
      </c>
      <c r="H728">
        <v>328743.65048643982</v>
      </c>
      <c r="I728">
        <v>31.673704755668528</v>
      </c>
    </row>
    <row r="729" spans="1:9" x14ac:dyDescent="0.2">
      <c r="A729">
        <v>719</v>
      </c>
      <c r="B729">
        <v>1368450.411554165</v>
      </c>
      <c r="C729">
        <v>114422.67733597445</v>
      </c>
      <c r="D729">
        <v>139117.19193160679</v>
      </c>
      <c r="E729">
        <v>91124.64776862078</v>
      </c>
      <c r="F729">
        <v>42308.629460904514</v>
      </c>
      <c r="G729">
        <v>10000</v>
      </c>
      <c r="H729">
        <v>376973.14649710653</v>
      </c>
      <c r="I729">
        <v>36.138983217520206</v>
      </c>
    </row>
    <row r="730" spans="1:9" x14ac:dyDescent="0.2">
      <c r="A730">
        <v>720</v>
      </c>
      <c r="B730">
        <v>1318278.7377071886</v>
      </c>
      <c r="C730">
        <v>108956.76443591915</v>
      </c>
      <c r="D730">
        <v>127968.56541361229</v>
      </c>
      <c r="E730">
        <v>93803.522216509198</v>
      </c>
      <c r="F730">
        <v>42494.089999604483</v>
      </c>
      <c r="G730">
        <v>10000</v>
      </c>
      <c r="H730">
        <v>363222.94206564513</v>
      </c>
      <c r="I730">
        <v>32.578803448538444</v>
      </c>
    </row>
    <row r="731" spans="1:9" x14ac:dyDescent="0.2">
      <c r="A731">
        <v>721</v>
      </c>
      <c r="B731">
        <v>1537717.8408853407</v>
      </c>
      <c r="C731">
        <v>99395.853063133953</v>
      </c>
      <c r="D731">
        <v>94314.044436799421</v>
      </c>
      <c r="E731">
        <v>190467.02653007436</v>
      </c>
      <c r="F731">
        <v>49186.178759774382</v>
      </c>
      <c r="G731">
        <v>10000</v>
      </c>
      <c r="H731">
        <v>423363.1027897821</v>
      </c>
      <c r="I731">
        <v>39.68483375156702</v>
      </c>
    </row>
    <row r="732" spans="1:9" x14ac:dyDescent="0.2">
      <c r="A732">
        <v>722</v>
      </c>
      <c r="B732">
        <v>1479498.7526370506</v>
      </c>
      <c r="C732">
        <v>114061.32861189822</v>
      </c>
      <c r="D732">
        <v>51185.826281802678</v>
      </c>
      <c r="E732">
        <v>202164.25710230251</v>
      </c>
      <c r="F732">
        <v>49995.987030159406</v>
      </c>
      <c r="G732">
        <v>10000</v>
      </c>
      <c r="H732">
        <v>407407.39902616281</v>
      </c>
      <c r="I732">
        <v>36.737607967623994</v>
      </c>
    </row>
    <row r="733" spans="1:9" x14ac:dyDescent="0.2">
      <c r="A733">
        <v>723</v>
      </c>
      <c r="B733">
        <v>1163596.3956503579</v>
      </c>
      <c r="C733">
        <v>126229.95761167652</v>
      </c>
      <c r="D733">
        <v>100469.48164393821</v>
      </c>
      <c r="E733">
        <v>63719.43522379722</v>
      </c>
      <c r="F733">
        <v>40411.34551549366</v>
      </c>
      <c r="G733">
        <v>10000</v>
      </c>
      <c r="H733">
        <v>320830.21999490564</v>
      </c>
      <c r="I733">
        <v>31.613039007008279</v>
      </c>
    </row>
    <row r="734" spans="1:9" x14ac:dyDescent="0.2">
      <c r="A734">
        <v>724</v>
      </c>
      <c r="B734">
        <v>1496640.1791502573</v>
      </c>
      <c r="C734">
        <v>146988.49434257325</v>
      </c>
      <c r="D734">
        <v>81414.451499772375</v>
      </c>
      <c r="E734">
        <v>147491.34630110508</v>
      </c>
      <c r="F734">
        <v>46210.939359307275</v>
      </c>
      <c r="G734">
        <v>10000</v>
      </c>
      <c r="H734">
        <v>412105.23150275799</v>
      </c>
      <c r="I734">
        <v>38.024559223534354</v>
      </c>
    </row>
    <row r="735" spans="1:9" x14ac:dyDescent="0.2">
      <c r="A735">
        <v>725</v>
      </c>
      <c r="B735">
        <v>984759.06309513585</v>
      </c>
      <c r="C735">
        <v>115201.14364520494</v>
      </c>
      <c r="D735">
        <v>102201.13950639775</v>
      </c>
      <c r="E735">
        <v>26575.388616535707</v>
      </c>
      <c r="F735">
        <v>37839.834596529392</v>
      </c>
      <c r="G735">
        <v>10000</v>
      </c>
      <c r="H735">
        <v>271817.50636466779</v>
      </c>
      <c r="I735">
        <v>30.796704644855275</v>
      </c>
    </row>
    <row r="736" spans="1:9" x14ac:dyDescent="0.2">
      <c r="A736">
        <v>726</v>
      </c>
      <c r="B736">
        <v>1426891.0952654136</v>
      </c>
      <c r="C736">
        <v>122692.61201514084</v>
      </c>
      <c r="D736">
        <v>117711.48261590145</v>
      </c>
      <c r="E736">
        <v>118389.30417249493</v>
      </c>
      <c r="F736">
        <v>44196.182596557337</v>
      </c>
      <c r="G736">
        <v>10000</v>
      </c>
      <c r="H736">
        <v>392989.58140009455</v>
      </c>
      <c r="I736">
        <v>45.015467221492571</v>
      </c>
    </row>
    <row r="737" spans="1:9" x14ac:dyDescent="0.2">
      <c r="A737">
        <v>727</v>
      </c>
      <c r="B737">
        <v>904450.92181701772</v>
      </c>
      <c r="C737">
        <v>128199.34770791113</v>
      </c>
      <c r="D737">
        <v>59478.763996288006</v>
      </c>
      <c r="E737">
        <v>33790.550742318825</v>
      </c>
      <c r="F737">
        <v>38339.345820622075</v>
      </c>
      <c r="G737">
        <v>10000</v>
      </c>
      <c r="H737">
        <v>249808.00826714005</v>
      </c>
      <c r="I737">
        <v>42.218824578697507</v>
      </c>
    </row>
    <row r="738" spans="1:9" x14ac:dyDescent="0.2">
      <c r="A738">
        <v>728</v>
      </c>
      <c r="B738">
        <v>1335331.4103373005</v>
      </c>
      <c r="C738">
        <v>131016.38984132223</v>
      </c>
      <c r="D738">
        <v>84128.399724867675</v>
      </c>
      <c r="E738">
        <v>118544.71874482528</v>
      </c>
      <c r="F738">
        <v>44206.942066949443</v>
      </c>
      <c r="G738">
        <v>10000</v>
      </c>
      <c r="H738">
        <v>367896.45037796465</v>
      </c>
      <c r="I738">
        <v>33.066999454159806</v>
      </c>
    </row>
    <row r="739" spans="1:9" x14ac:dyDescent="0.2">
      <c r="A739">
        <v>729</v>
      </c>
      <c r="B739">
        <v>1226154.6749930242</v>
      </c>
      <c r="C739">
        <v>144935.43372000256</v>
      </c>
      <c r="D739">
        <v>136347.80533975441</v>
      </c>
      <c r="E739">
        <v>28704.651738201163</v>
      </c>
      <c r="F739">
        <v>37987.245120337007</v>
      </c>
      <c r="G739">
        <v>10000</v>
      </c>
      <c r="H739">
        <v>337975.13591829513</v>
      </c>
      <c r="I739">
        <v>27.01012417822378</v>
      </c>
    </row>
    <row r="740" spans="1:9" x14ac:dyDescent="0.2">
      <c r="A740">
        <v>730</v>
      </c>
      <c r="B740">
        <v>1107380.1518717941</v>
      </c>
      <c r="C740">
        <v>109248.63609468429</v>
      </c>
      <c r="D740">
        <v>96917.425154015436</v>
      </c>
      <c r="E740">
        <v>68514.078394951604</v>
      </c>
      <c r="F740">
        <v>40743.282350419729</v>
      </c>
      <c r="G740">
        <v>10000</v>
      </c>
      <c r="H740">
        <v>305423.42199407105</v>
      </c>
      <c r="I740">
        <v>38.316606224715954</v>
      </c>
    </row>
    <row r="741" spans="1:9" x14ac:dyDescent="0.2">
      <c r="A741">
        <v>731</v>
      </c>
      <c r="B741">
        <v>1300210.7026502409</v>
      </c>
      <c r="C741">
        <v>106491.25713486834</v>
      </c>
      <c r="D741">
        <v>36104.271892730612</v>
      </c>
      <c r="E741">
        <v>177394.47536528981</v>
      </c>
      <c r="F741">
        <v>48281.155986827747</v>
      </c>
      <c r="G741">
        <v>10000</v>
      </c>
      <c r="H741">
        <v>358271.16037971649</v>
      </c>
      <c r="I741">
        <v>26.958695800187037</v>
      </c>
    </row>
    <row r="742" spans="1:9" x14ac:dyDescent="0.2">
      <c r="A742">
        <v>732</v>
      </c>
      <c r="B742">
        <v>1313069.903761423</v>
      </c>
      <c r="C742">
        <v>85632.935304745901</v>
      </c>
      <c r="D742">
        <v>84936.187004692518</v>
      </c>
      <c r="E742">
        <v>154528.16673071458</v>
      </c>
      <c r="F742">
        <v>46698.103850587933</v>
      </c>
      <c r="G742">
        <v>10000</v>
      </c>
      <c r="H742">
        <v>361795.39289074094</v>
      </c>
      <c r="I742">
        <v>33.122076036794873</v>
      </c>
    </row>
    <row r="743" spans="1:9" x14ac:dyDescent="0.2">
      <c r="A743">
        <v>733</v>
      </c>
      <c r="B743">
        <v>1307181.796722733</v>
      </c>
      <c r="C743">
        <v>109061.05792005945</v>
      </c>
      <c r="D743">
        <v>54373.282514229977</v>
      </c>
      <c r="E743">
        <v>159691.75645335266</v>
      </c>
      <c r="F743">
        <v>47055.583139078255</v>
      </c>
      <c r="G743">
        <v>10000</v>
      </c>
      <c r="H743">
        <v>360181.68002672028</v>
      </c>
      <c r="I743">
        <v>30.793294505573357</v>
      </c>
    </row>
    <row r="744" spans="1:9" x14ac:dyDescent="0.2">
      <c r="A744">
        <v>734</v>
      </c>
      <c r="B744">
        <v>1492451.9633613147</v>
      </c>
      <c r="C744">
        <v>164233.73505236857</v>
      </c>
      <c r="D744">
        <v>78484.160346867138</v>
      </c>
      <c r="E744">
        <v>133029.74885974076</v>
      </c>
      <c r="F744">
        <v>45209.751844135906</v>
      </c>
      <c r="G744">
        <v>10000</v>
      </c>
      <c r="H744">
        <v>410957.39610311238</v>
      </c>
      <c r="I744">
        <v>25.664091593383333</v>
      </c>
    </row>
    <row r="745" spans="1:9" x14ac:dyDescent="0.2">
      <c r="A745">
        <v>735</v>
      </c>
      <c r="B745">
        <v>1087473.6932326499</v>
      </c>
      <c r="C745">
        <v>124912.70244552969</v>
      </c>
      <c r="D745">
        <v>117631.75527742908</v>
      </c>
      <c r="E745">
        <v>29388.733868023097</v>
      </c>
      <c r="F745">
        <v>38034.604652401598</v>
      </c>
      <c r="G745">
        <v>10000</v>
      </c>
      <c r="H745">
        <v>299967.79624338343</v>
      </c>
      <c r="I745">
        <v>24.572361344665772</v>
      </c>
    </row>
    <row r="746" spans="1:9" x14ac:dyDescent="0.2">
      <c r="A746">
        <v>736</v>
      </c>
      <c r="B746">
        <v>1415638.8775224586</v>
      </c>
      <c r="C746">
        <v>109525.31463800535</v>
      </c>
      <c r="D746">
        <v>53232.200645809673</v>
      </c>
      <c r="E746">
        <v>188124.26113811004</v>
      </c>
      <c r="F746">
        <v>49023.987309561468</v>
      </c>
      <c r="G746">
        <v>10000</v>
      </c>
      <c r="H746">
        <v>389905.76373148651</v>
      </c>
      <c r="I746">
        <v>39.809547482311672</v>
      </c>
    </row>
    <row r="747" spans="1:9" x14ac:dyDescent="0.2">
      <c r="A747">
        <v>737</v>
      </c>
      <c r="B747">
        <v>1250395.2429356733</v>
      </c>
      <c r="C747">
        <v>124571.67065029965</v>
      </c>
      <c r="D747">
        <v>115837.29033385766</v>
      </c>
      <c r="E747">
        <v>73145.687875691554</v>
      </c>
      <c r="F747">
        <v>41063.932237547873</v>
      </c>
      <c r="G747">
        <v>10000</v>
      </c>
      <c r="H747">
        <v>344618.58109739673</v>
      </c>
      <c r="I747">
        <v>43.226011291814146</v>
      </c>
    </row>
    <row r="748" spans="1:9" x14ac:dyDescent="0.2">
      <c r="A748">
        <v>738</v>
      </c>
      <c r="B748">
        <v>1548681.7580094119</v>
      </c>
      <c r="C748">
        <v>109716.09477090479</v>
      </c>
      <c r="D748">
        <v>88410.641422970351</v>
      </c>
      <c r="E748">
        <v>189146.41957869538</v>
      </c>
      <c r="F748">
        <v>49094.752124678918</v>
      </c>
      <c r="G748">
        <v>10000</v>
      </c>
      <c r="H748">
        <v>426367.90789724945</v>
      </c>
      <c r="I748">
        <v>42.479980826896309</v>
      </c>
    </row>
    <row r="749" spans="1:9" x14ac:dyDescent="0.2">
      <c r="A749">
        <v>739</v>
      </c>
      <c r="B749">
        <v>1457392.6930354303</v>
      </c>
      <c r="C749">
        <v>90477.610749031533</v>
      </c>
      <c r="D749">
        <v>77976.667276172811</v>
      </c>
      <c r="E749">
        <v>193498.60829586987</v>
      </c>
      <c r="F749">
        <v>49396.057497406378</v>
      </c>
      <c r="G749">
        <v>10000</v>
      </c>
      <c r="H749">
        <v>401348.94381848059</v>
      </c>
      <c r="I749">
        <v>27.047734083185318</v>
      </c>
    </row>
    <row r="750" spans="1:9" x14ac:dyDescent="0.2">
      <c r="A750">
        <v>740</v>
      </c>
      <c r="B750">
        <v>1644800.0729578892</v>
      </c>
      <c r="C750">
        <v>118983.28022432717</v>
      </c>
      <c r="D750">
        <v>126669.32466449963</v>
      </c>
      <c r="E750">
        <v>169334.62028290035</v>
      </c>
      <c r="F750">
        <v>47723.166019585406</v>
      </c>
      <c r="G750">
        <v>10000</v>
      </c>
      <c r="H750">
        <v>452710.39119131252</v>
      </c>
      <c r="I750">
        <v>34.248320228954341</v>
      </c>
    </row>
    <row r="751" spans="1:9" x14ac:dyDescent="0.2">
      <c r="A751">
        <v>741</v>
      </c>
      <c r="B751">
        <v>1043731.3375002028</v>
      </c>
      <c r="C751">
        <v>105691.1505898023</v>
      </c>
      <c r="D751">
        <v>54551.473831421135</v>
      </c>
      <c r="E751">
        <v>95149.718065755005</v>
      </c>
      <c r="F751">
        <v>42587.288173783039</v>
      </c>
      <c r="G751">
        <v>10000</v>
      </c>
      <c r="H751">
        <v>287979.6306607615</v>
      </c>
      <c r="I751">
        <v>29.729666019920952</v>
      </c>
    </row>
    <row r="752" spans="1:9" x14ac:dyDescent="0.2">
      <c r="A752">
        <v>742</v>
      </c>
      <c r="B752">
        <v>1209754.7576544709</v>
      </c>
      <c r="C752">
        <v>160850.42534159476</v>
      </c>
      <c r="D752">
        <v>37863.916665665281</v>
      </c>
      <c r="E752">
        <v>101723.76709216126</v>
      </c>
      <c r="F752">
        <v>43042.414644841927</v>
      </c>
      <c r="G752">
        <v>10000</v>
      </c>
      <c r="H752">
        <v>333480.52374426322</v>
      </c>
      <c r="I752">
        <v>34.356670835838372</v>
      </c>
    </row>
    <row r="753" spans="1:9" x14ac:dyDescent="0.2">
      <c r="A753">
        <v>743</v>
      </c>
      <c r="B753">
        <v>1401759.4105688641</v>
      </c>
      <c r="C753">
        <v>152620.92742709952</v>
      </c>
      <c r="D753">
        <v>78479.475705164688</v>
      </c>
      <c r="E753">
        <v>120648.89505763615</v>
      </c>
      <c r="F753">
        <v>44352.615811682503</v>
      </c>
      <c r="G753">
        <v>10000</v>
      </c>
      <c r="H753">
        <v>386101.91400158283</v>
      </c>
      <c r="I753">
        <v>28.224355532914487</v>
      </c>
    </row>
    <row r="754" spans="1:9" x14ac:dyDescent="0.2">
      <c r="A754">
        <v>744</v>
      </c>
      <c r="B754">
        <v>1193009.3096177191</v>
      </c>
      <c r="C754">
        <v>93735.944872509644</v>
      </c>
      <c r="D754">
        <v>87189.897310395259</v>
      </c>
      <c r="E754">
        <v>114068.3336872363</v>
      </c>
      <c r="F754">
        <v>43897.038486039433</v>
      </c>
      <c r="G754">
        <v>10000</v>
      </c>
      <c r="H754">
        <v>328891.21435618063</v>
      </c>
      <c r="I754">
        <v>32.077639347569459</v>
      </c>
    </row>
    <row r="755" spans="1:9" x14ac:dyDescent="0.2">
      <c r="A755">
        <v>745</v>
      </c>
      <c r="B755">
        <v>1658364.1861901707</v>
      </c>
      <c r="C755">
        <v>86612.871724933168</v>
      </c>
      <c r="D755">
        <v>137946.22501580309</v>
      </c>
      <c r="E755">
        <v>192539.08818051388</v>
      </c>
      <c r="F755">
        <v>49329.629181727883</v>
      </c>
      <c r="G755">
        <v>10000</v>
      </c>
      <c r="H755">
        <v>456427.81410297804</v>
      </c>
      <c r="I755">
        <v>26.142898842104302</v>
      </c>
    </row>
    <row r="756" spans="1:9" x14ac:dyDescent="0.2">
      <c r="A756">
        <v>746</v>
      </c>
      <c r="B756">
        <v>1429612.2007640097</v>
      </c>
      <c r="C756">
        <v>123007.55988114071</v>
      </c>
      <c r="D756">
        <v>43270.087388513843</v>
      </c>
      <c r="E756">
        <v>188413.66572515975</v>
      </c>
      <c r="F756">
        <v>49044.023011741825</v>
      </c>
      <c r="G756">
        <v>10000</v>
      </c>
      <c r="H756">
        <v>393735.33600655611</v>
      </c>
      <c r="I756">
        <v>36.412002751970036</v>
      </c>
    </row>
    <row r="757" spans="1:9" x14ac:dyDescent="0.2">
      <c r="A757">
        <v>747</v>
      </c>
      <c r="B757">
        <v>1768035.2543146678</v>
      </c>
      <c r="C757">
        <v>158665.71887684907</v>
      </c>
      <c r="D757">
        <v>126780.41353823546</v>
      </c>
      <c r="E757">
        <v>163705.04811353475</v>
      </c>
      <c r="F757">
        <v>47333.42640786009</v>
      </c>
      <c r="G757">
        <v>10000</v>
      </c>
      <c r="H757">
        <v>486484.60693647934</v>
      </c>
      <c r="I757">
        <v>40.073762883171007</v>
      </c>
    </row>
    <row r="758" spans="1:9" x14ac:dyDescent="0.2">
      <c r="A758">
        <v>748</v>
      </c>
      <c r="B758">
        <v>1464128.2773920572</v>
      </c>
      <c r="C758">
        <v>120829.14092497159</v>
      </c>
      <c r="D758">
        <v>54427.707174553543</v>
      </c>
      <c r="E758">
        <v>188862.94395417912</v>
      </c>
      <c r="F758">
        <v>49075.126889135478</v>
      </c>
      <c r="G758">
        <v>10000</v>
      </c>
      <c r="H758">
        <v>403194.91894283972</v>
      </c>
      <c r="I758">
        <v>32.275097087306577</v>
      </c>
    </row>
    <row r="759" spans="1:9" x14ac:dyDescent="0.2">
      <c r="A759">
        <v>749</v>
      </c>
      <c r="B759">
        <v>1261083.7133091597</v>
      </c>
      <c r="C759">
        <v>143175.57928229653</v>
      </c>
      <c r="D759">
        <v>58734.058302890262</v>
      </c>
      <c r="E759">
        <v>111891.89674703352</v>
      </c>
      <c r="F759">
        <v>43746.362082486943</v>
      </c>
      <c r="G759">
        <v>10000</v>
      </c>
      <c r="H759">
        <v>347547.8964147073</v>
      </c>
      <c r="I759">
        <v>40.247677129839275</v>
      </c>
    </row>
    <row r="760" spans="1:9" x14ac:dyDescent="0.2">
      <c r="A760">
        <v>750</v>
      </c>
      <c r="B760">
        <v>1412412.5670246538</v>
      </c>
      <c r="C760">
        <v>123948.56602227999</v>
      </c>
      <c r="D760">
        <v>118263.33969703973</v>
      </c>
      <c r="E760">
        <v>112987.43810445596</v>
      </c>
      <c r="F760">
        <v>43822.207253385408</v>
      </c>
      <c r="G760">
        <v>10000</v>
      </c>
      <c r="H760">
        <v>389021.55107716104</v>
      </c>
      <c r="I760">
        <v>25.649161755987322</v>
      </c>
    </row>
    <row r="761" spans="1:9" x14ac:dyDescent="0.2">
      <c r="A761">
        <v>751</v>
      </c>
      <c r="B761">
        <v>1473938.6764338242</v>
      </c>
      <c r="C761">
        <v>129125.45700125251</v>
      </c>
      <c r="D761">
        <v>101555.64721485763</v>
      </c>
      <c r="E761">
        <v>139541.89066295236</v>
      </c>
      <c r="F761">
        <v>45660.592430512086</v>
      </c>
      <c r="G761">
        <v>10000</v>
      </c>
      <c r="H761">
        <v>405883.58730957459</v>
      </c>
      <c r="I761">
        <v>32.509438148650666</v>
      </c>
    </row>
    <row r="762" spans="1:9" x14ac:dyDescent="0.2">
      <c r="A762">
        <v>752</v>
      </c>
      <c r="B762">
        <v>1474727.553236386</v>
      </c>
      <c r="C762">
        <v>133137.40531012486</v>
      </c>
      <c r="D762">
        <v>107126.52679025228</v>
      </c>
      <c r="E762">
        <v>130781.73697832612</v>
      </c>
      <c r="F762">
        <v>45054.120252345652</v>
      </c>
      <c r="G762">
        <v>10000</v>
      </c>
      <c r="H762">
        <v>406099.7893310489</v>
      </c>
      <c r="I762">
        <v>31.605815411211953</v>
      </c>
    </row>
    <row r="763" spans="1:9" x14ac:dyDescent="0.2">
      <c r="A763">
        <v>753</v>
      </c>
      <c r="B763">
        <v>1576819.5327228131</v>
      </c>
      <c r="C763">
        <v>96016.829374058201</v>
      </c>
      <c r="D763">
        <v>153708.72862213282</v>
      </c>
      <c r="E763">
        <v>148100.74700738408</v>
      </c>
      <c r="F763">
        <v>46253.128638972747</v>
      </c>
      <c r="G763">
        <v>10000</v>
      </c>
      <c r="H763">
        <v>434079.43364254787</v>
      </c>
      <c r="I763">
        <v>36.978427985873942</v>
      </c>
    </row>
    <row r="764" spans="1:9" x14ac:dyDescent="0.2">
      <c r="A764">
        <v>754</v>
      </c>
      <c r="B764">
        <v>1275608.1446723144</v>
      </c>
      <c r="C764">
        <v>134522.52323390575</v>
      </c>
      <c r="D764">
        <v>129958.41171551753</v>
      </c>
      <c r="E764">
        <v>57094.851641921683</v>
      </c>
      <c r="F764">
        <v>39952.720498286886</v>
      </c>
      <c r="G764">
        <v>10000</v>
      </c>
      <c r="H764">
        <v>351528.50708963186</v>
      </c>
      <c r="I764">
        <v>28.39957407509371</v>
      </c>
    </row>
    <row r="765" spans="1:9" x14ac:dyDescent="0.2">
      <c r="A765">
        <v>755</v>
      </c>
      <c r="B765">
        <v>1331588.5109018399</v>
      </c>
      <c r="C765">
        <v>116157.10256655866</v>
      </c>
      <c r="D765">
        <v>81892.555783303178</v>
      </c>
      <c r="E765">
        <v>133573.59843956729</v>
      </c>
      <c r="F765">
        <v>45247.402968893119</v>
      </c>
      <c r="G765">
        <v>10000</v>
      </c>
      <c r="H765">
        <v>366870.65975832223</v>
      </c>
      <c r="I765">
        <v>33.044688097822132</v>
      </c>
    </row>
    <row r="766" spans="1:9" x14ac:dyDescent="0.2">
      <c r="A766">
        <v>756</v>
      </c>
      <c r="B766">
        <v>1134693.2473132275</v>
      </c>
      <c r="C766">
        <v>119133.36922646592</v>
      </c>
      <c r="D766">
        <v>76253.939292082738</v>
      </c>
      <c r="E766">
        <v>85595.764447988564</v>
      </c>
      <c r="F766">
        <v>41925.860615629972</v>
      </c>
      <c r="G766">
        <v>10000</v>
      </c>
      <c r="H766">
        <v>312908.9335821672</v>
      </c>
      <c r="I766">
        <v>30.425235641027228</v>
      </c>
    </row>
    <row r="767" spans="1:9" x14ac:dyDescent="0.2">
      <c r="A767">
        <v>757</v>
      </c>
      <c r="B767">
        <v>1662708.5603457589</v>
      </c>
      <c r="C767">
        <v>142414.51792639602</v>
      </c>
      <c r="D767">
        <v>141475.61250524959</v>
      </c>
      <c r="E767">
        <v>138163.17353381219</v>
      </c>
      <c r="F767">
        <v>45565.142783110074</v>
      </c>
      <c r="G767">
        <v>10000</v>
      </c>
      <c r="H767">
        <v>457618.44674856792</v>
      </c>
      <c r="I767">
        <v>25.847682500204769</v>
      </c>
    </row>
    <row r="768" spans="1:9" x14ac:dyDescent="0.2">
      <c r="A768">
        <v>758</v>
      </c>
      <c r="B768">
        <v>1471736.6680916101</v>
      </c>
      <c r="C768">
        <v>110150.1859924305</v>
      </c>
      <c r="D768">
        <v>119928.50523614863</v>
      </c>
      <c r="E768">
        <v>139540.88410436205</v>
      </c>
      <c r="F768">
        <v>45660.522745686598</v>
      </c>
      <c r="G768">
        <v>10000</v>
      </c>
      <c r="H768">
        <v>405280.09807862778</v>
      </c>
      <c r="I768">
        <v>34.101731106656374</v>
      </c>
    </row>
    <row r="769" spans="1:9" x14ac:dyDescent="0.2">
      <c r="A769">
        <v>759</v>
      </c>
      <c r="B769">
        <v>1302835.9023220865</v>
      </c>
      <c r="C769">
        <v>126931.03542290858</v>
      </c>
      <c r="D769">
        <v>77857.913436267656</v>
      </c>
      <c r="E769">
        <v>119900.85355578887</v>
      </c>
      <c r="F769">
        <v>44300.828323093076</v>
      </c>
      <c r="G769">
        <v>10000</v>
      </c>
      <c r="H769">
        <v>358990.63073805819</v>
      </c>
      <c r="I769">
        <v>31.780869070549013</v>
      </c>
    </row>
    <row r="770" spans="1:9" x14ac:dyDescent="0.2">
      <c r="A770">
        <v>760</v>
      </c>
      <c r="B770">
        <v>1465183.851545678</v>
      </c>
      <c r="C770">
        <v>108673.39135424541</v>
      </c>
      <c r="D770">
        <v>112791.99952686235</v>
      </c>
      <c r="E770">
        <v>145916.88387162265</v>
      </c>
      <c r="F770">
        <v>46101.938114189259</v>
      </c>
      <c r="G770">
        <v>10000</v>
      </c>
      <c r="H770">
        <v>403484.21286691964</v>
      </c>
      <c r="I770">
        <v>31.881943655102788</v>
      </c>
    </row>
    <row r="771" spans="1:9" x14ac:dyDescent="0.2">
      <c r="A771">
        <v>761</v>
      </c>
      <c r="B771">
        <v>1216539.6496324514</v>
      </c>
      <c r="C771">
        <v>102955.56135501087</v>
      </c>
      <c r="D771">
        <v>92159.700095376655</v>
      </c>
      <c r="E771">
        <v>106828.90364251116</v>
      </c>
      <c r="F771">
        <v>43395.847175250768</v>
      </c>
      <c r="G771">
        <v>10000</v>
      </c>
      <c r="H771">
        <v>335340.01226814947</v>
      </c>
      <c r="I771">
        <v>33.84456041934439</v>
      </c>
    </row>
    <row r="772" spans="1:9" x14ac:dyDescent="0.2">
      <c r="A772">
        <v>762</v>
      </c>
      <c r="B772">
        <v>1519334.5761696226</v>
      </c>
      <c r="C772">
        <v>107403.47858468402</v>
      </c>
      <c r="D772">
        <v>146882.70804635709</v>
      </c>
      <c r="E772">
        <v>129100.98140446118</v>
      </c>
      <c r="F772">
        <v>44937.760251078078</v>
      </c>
      <c r="G772">
        <v>10000</v>
      </c>
      <c r="H772">
        <v>418324.92828658037</v>
      </c>
      <c r="I772">
        <v>35.281554858223679</v>
      </c>
    </row>
    <row r="773" spans="1:9" x14ac:dyDescent="0.2">
      <c r="A773">
        <v>763</v>
      </c>
      <c r="B773">
        <v>1798145.3963536071</v>
      </c>
      <c r="C773">
        <v>122668.81962693587</v>
      </c>
      <c r="D773">
        <v>139080.57325481309</v>
      </c>
      <c r="E773">
        <v>193585.23796610453</v>
      </c>
      <c r="F773">
        <v>49402.054936114924</v>
      </c>
      <c r="G773">
        <v>10000</v>
      </c>
      <c r="H773">
        <v>494736.68578396842</v>
      </c>
      <c r="I773">
        <v>33.016000633038871</v>
      </c>
    </row>
    <row r="774" spans="1:9" x14ac:dyDescent="0.2">
      <c r="A774">
        <v>764</v>
      </c>
      <c r="B774">
        <v>1371926.8059156225</v>
      </c>
      <c r="C774">
        <v>134310.86908591352</v>
      </c>
      <c r="D774">
        <v>60623.231705173333</v>
      </c>
      <c r="E774">
        <v>146826.86061498761</v>
      </c>
      <c r="F774">
        <v>46164.936504114528</v>
      </c>
      <c r="G774">
        <v>10000</v>
      </c>
      <c r="H774">
        <v>377925.897910189</v>
      </c>
      <c r="I774">
        <v>36.111521375262569</v>
      </c>
    </row>
    <row r="775" spans="1:9" x14ac:dyDescent="0.2">
      <c r="A775">
        <v>765</v>
      </c>
      <c r="B775">
        <v>1014234.5236681544</v>
      </c>
      <c r="C775">
        <v>143697.3632995337</v>
      </c>
      <c r="D775">
        <v>60652.148656805482</v>
      </c>
      <c r="E775">
        <v>46338.107648964469</v>
      </c>
      <c r="F775">
        <v>39208.022837236</v>
      </c>
      <c r="G775">
        <v>10000</v>
      </c>
      <c r="H775">
        <v>279895.64244253968</v>
      </c>
      <c r="I775">
        <v>44.975118038551344</v>
      </c>
    </row>
    <row r="776" spans="1:9" x14ac:dyDescent="0.2">
      <c r="A776">
        <v>766</v>
      </c>
      <c r="B776">
        <v>1561752.4143047668</v>
      </c>
      <c r="C776">
        <v>130594.63185030286</v>
      </c>
      <c r="D776">
        <v>63076.428967328779</v>
      </c>
      <c r="E776">
        <v>196663.8425538943</v>
      </c>
      <c r="F776">
        <v>49615.189099884985</v>
      </c>
      <c r="G776">
        <v>10000</v>
      </c>
      <c r="H776">
        <v>429950.09247141093</v>
      </c>
      <c r="I776">
        <v>39.228036243995383</v>
      </c>
    </row>
    <row r="777" spans="1:9" x14ac:dyDescent="0.2">
      <c r="A777">
        <v>767</v>
      </c>
      <c r="B777">
        <v>1829432.2114591708</v>
      </c>
      <c r="C777">
        <v>120238.07197697165</v>
      </c>
      <c r="D777">
        <v>144901.59435725401</v>
      </c>
      <c r="E777">
        <v>198433.85270082782</v>
      </c>
      <c r="F777">
        <v>49737.728263903467</v>
      </c>
      <c r="G777">
        <v>10000</v>
      </c>
      <c r="H777">
        <v>503311.24729895697</v>
      </c>
      <c r="I777">
        <v>30.247779706996042</v>
      </c>
    </row>
    <row r="778" spans="1:9" x14ac:dyDescent="0.2">
      <c r="A778">
        <v>768</v>
      </c>
      <c r="B778">
        <v>1258648.9222770787</v>
      </c>
      <c r="C778">
        <v>132453.64229321334</v>
      </c>
      <c r="D778">
        <v>125625.58425333476</v>
      </c>
      <c r="E778">
        <v>58735.106862801396</v>
      </c>
      <c r="F778">
        <v>40066.276628963169</v>
      </c>
      <c r="G778">
        <v>10000</v>
      </c>
      <c r="H778">
        <v>346880.61003831268</v>
      </c>
      <c r="I778">
        <v>27.025029195027585</v>
      </c>
    </row>
    <row r="779" spans="1:9" x14ac:dyDescent="0.2">
      <c r="A779">
        <v>769</v>
      </c>
      <c r="B779">
        <v>1059421.2657407671</v>
      </c>
      <c r="C779">
        <v>98982.045597858189</v>
      </c>
      <c r="D779">
        <v>42623.8906985211</v>
      </c>
      <c r="E779">
        <v>116601.32528307702</v>
      </c>
      <c r="F779">
        <v>44072.399442674563</v>
      </c>
      <c r="G779">
        <v>10000</v>
      </c>
      <c r="H779">
        <v>292279.66102213087</v>
      </c>
      <c r="I779">
        <v>34.990864746537802</v>
      </c>
    </row>
    <row r="780" spans="1:9" x14ac:dyDescent="0.2">
      <c r="A780">
        <v>770</v>
      </c>
      <c r="B780">
        <v>1393329.6880467695</v>
      </c>
      <c r="C780">
        <v>77174.561050828896</v>
      </c>
      <c r="D780">
        <v>85728.231726241967</v>
      </c>
      <c r="E780">
        <v>182270.14312737557</v>
      </c>
      <c r="F780">
        <v>48618.70221651061</v>
      </c>
      <c r="G780">
        <v>10000</v>
      </c>
      <c r="H780">
        <v>383791.63812095701</v>
      </c>
      <c r="I780">
        <v>34.404102654423802</v>
      </c>
    </row>
    <row r="781" spans="1:9" x14ac:dyDescent="0.2">
      <c r="A781">
        <v>771</v>
      </c>
      <c r="B781">
        <v>984262.74776230752</v>
      </c>
      <c r="C781">
        <v>107524.05894071261</v>
      </c>
      <c r="D781">
        <v>67405.354468508944</v>
      </c>
      <c r="E781">
        <v>66171.001876426541</v>
      </c>
      <c r="F781">
        <v>40581.069360675683</v>
      </c>
      <c r="G781">
        <v>10000</v>
      </c>
      <c r="H781">
        <v>271681.48464632378</v>
      </c>
      <c r="I781">
        <v>49.033760097982913</v>
      </c>
    </row>
    <row r="782" spans="1:9" x14ac:dyDescent="0.2">
      <c r="A782">
        <v>772</v>
      </c>
      <c r="B782">
        <v>1093130.9950317868</v>
      </c>
      <c r="C782">
        <v>126326.59759795571</v>
      </c>
      <c r="D782">
        <v>52020.646005443385</v>
      </c>
      <c r="E782">
        <v>90879.362155492534</v>
      </c>
      <c r="F782">
        <v>42291.648149226407</v>
      </c>
      <c r="G782">
        <v>10000</v>
      </c>
      <c r="H782">
        <v>301518.253908118</v>
      </c>
      <c r="I782">
        <v>34.930481394533444</v>
      </c>
    </row>
    <row r="783" spans="1:9" x14ac:dyDescent="0.2">
      <c r="A783">
        <v>773</v>
      </c>
      <c r="B783">
        <v>989091.43831602822</v>
      </c>
      <c r="C783">
        <v>104011.41349297765</v>
      </c>
      <c r="D783">
        <v>83324.892745703852</v>
      </c>
      <c r="E783">
        <v>55805.113380034913</v>
      </c>
      <c r="F783">
        <v>39863.430926310109</v>
      </c>
      <c r="G783">
        <v>10000</v>
      </c>
      <c r="H783">
        <v>273004.85054502654</v>
      </c>
      <c r="I783">
        <v>40.156310250739665</v>
      </c>
    </row>
    <row r="784" spans="1:9" x14ac:dyDescent="0.2">
      <c r="A784">
        <v>774</v>
      </c>
      <c r="B784">
        <v>834888.06017034547</v>
      </c>
      <c r="C784">
        <v>107011.76970627402</v>
      </c>
      <c r="D784">
        <v>51184.261690788742</v>
      </c>
      <c r="E784">
        <v>43533.505348571816</v>
      </c>
      <c r="F784">
        <v>39013.858062593434</v>
      </c>
      <c r="G784">
        <v>10000</v>
      </c>
      <c r="H784">
        <v>230743.39480822801</v>
      </c>
      <c r="I784">
        <v>25.058391895440536</v>
      </c>
    </row>
    <row r="785" spans="1:9" x14ac:dyDescent="0.2">
      <c r="A785">
        <v>775</v>
      </c>
      <c r="B785">
        <v>1588826.2485884479</v>
      </c>
      <c r="C785">
        <v>118479.2214072619</v>
      </c>
      <c r="D785">
        <v>144967.25664709741</v>
      </c>
      <c r="E785">
        <v>138345.76932081039</v>
      </c>
      <c r="F785">
        <v>45577.784029902257</v>
      </c>
      <c r="G785">
        <v>10000</v>
      </c>
      <c r="H785">
        <v>437370.03140507196</v>
      </c>
      <c r="I785">
        <v>50.55476910102157</v>
      </c>
    </row>
    <row r="786" spans="1:9" x14ac:dyDescent="0.2">
      <c r="A786">
        <v>776</v>
      </c>
      <c r="B786">
        <v>1024453.4523440467</v>
      </c>
      <c r="C786">
        <v>154145.96891327013</v>
      </c>
      <c r="D786">
        <v>62450.533936831249</v>
      </c>
      <c r="E786">
        <v>37503.382815765217</v>
      </c>
      <c r="F786">
        <v>38596.388041091443</v>
      </c>
      <c r="G786">
        <v>10000</v>
      </c>
      <c r="H786">
        <v>282696.27370695805</v>
      </c>
      <c r="I786">
        <v>36.398795209752265</v>
      </c>
    </row>
    <row r="787" spans="1:9" x14ac:dyDescent="0.2">
      <c r="A787">
        <v>777</v>
      </c>
      <c r="B787">
        <v>1516745.840745009</v>
      </c>
      <c r="C787">
        <v>126093.01560231752</v>
      </c>
      <c r="D787">
        <v>65063.589581277563</v>
      </c>
      <c r="E787">
        <v>187479.49649210778</v>
      </c>
      <c r="F787">
        <v>48979.349757145923</v>
      </c>
      <c r="G787">
        <v>10000</v>
      </c>
      <c r="H787">
        <v>417615.45143284876</v>
      </c>
      <c r="I787">
        <v>45.668691742088441</v>
      </c>
    </row>
    <row r="788" spans="1:9" x14ac:dyDescent="0.2">
      <c r="A788">
        <v>778</v>
      </c>
      <c r="B788">
        <v>1016738.0700965389</v>
      </c>
      <c r="C788">
        <v>121895.10057543247</v>
      </c>
      <c r="D788">
        <v>34105.248772307983</v>
      </c>
      <c r="E788">
        <v>92198.452967379635</v>
      </c>
      <c r="F788">
        <v>42382.969820818595</v>
      </c>
      <c r="G788">
        <v>10000</v>
      </c>
      <c r="H788">
        <v>280581.77213593869</v>
      </c>
      <c r="I788">
        <v>31.315044068471135</v>
      </c>
    </row>
    <row r="789" spans="1:9" x14ac:dyDescent="0.2">
      <c r="A789">
        <v>779</v>
      </c>
      <c r="B789">
        <v>1125044.674587951</v>
      </c>
      <c r="C789">
        <v>78363.334087218755</v>
      </c>
      <c r="D789">
        <v>108353.70262331652</v>
      </c>
      <c r="E789">
        <v>91231.548823571924</v>
      </c>
      <c r="F789">
        <v>42316.030303170359</v>
      </c>
      <c r="G789">
        <v>10000</v>
      </c>
      <c r="H789">
        <v>310264.61583727761</v>
      </c>
      <c r="I789">
        <v>43.142675205697721</v>
      </c>
    </row>
    <row r="790" spans="1:9" x14ac:dyDescent="0.2">
      <c r="A790">
        <v>780</v>
      </c>
      <c r="B790">
        <v>1235698.0952372216</v>
      </c>
      <c r="C790">
        <v>124090.22091732017</v>
      </c>
      <c r="D790">
        <v>69383.813802552992</v>
      </c>
      <c r="E790">
        <v>113274.51847984365</v>
      </c>
      <c r="F790">
        <v>43842.082048604556</v>
      </c>
      <c r="G790">
        <v>10000</v>
      </c>
      <c r="H790">
        <v>340590.6352483214</v>
      </c>
      <c r="I790">
        <v>43.658799377321557</v>
      </c>
    </row>
    <row r="791" spans="1:9" x14ac:dyDescent="0.2">
      <c r="A791">
        <v>781</v>
      </c>
      <c r="B791">
        <v>1166190.5196621055</v>
      </c>
      <c r="C791">
        <v>113302.94115410789</v>
      </c>
      <c r="D791">
        <v>87450.022545999891</v>
      </c>
      <c r="E791">
        <v>88650.843848810313</v>
      </c>
      <c r="F791">
        <v>42137.366112609947</v>
      </c>
      <c r="G791">
        <v>10000</v>
      </c>
      <c r="H791">
        <v>321541.17366152804</v>
      </c>
      <c r="I791">
        <v>25.377567283675312</v>
      </c>
    </row>
    <row r="792" spans="1:9" x14ac:dyDescent="0.2">
      <c r="A792">
        <v>782</v>
      </c>
      <c r="B792">
        <v>979404.97306521446</v>
      </c>
      <c r="C792">
        <v>147250.42877250625</v>
      </c>
      <c r="D792">
        <v>50365.93495036268</v>
      </c>
      <c r="E792">
        <v>43707.85566515306</v>
      </c>
      <c r="F792">
        <v>39025.928469125982</v>
      </c>
      <c r="G792">
        <v>10000</v>
      </c>
      <c r="H792">
        <v>270350.14785714797</v>
      </c>
      <c r="I792">
        <v>34.654041229082317</v>
      </c>
    </row>
    <row r="793" spans="1:9" x14ac:dyDescent="0.2">
      <c r="A793">
        <v>783</v>
      </c>
      <c r="B793">
        <v>1219853.6457740213</v>
      </c>
      <c r="C793">
        <v>99579.274767269759</v>
      </c>
      <c r="D793">
        <v>151735.86675456111</v>
      </c>
      <c r="E793">
        <v>55117.301611453047</v>
      </c>
      <c r="F793">
        <v>39815.813188485212</v>
      </c>
      <c r="G793">
        <v>10000</v>
      </c>
      <c r="H793">
        <v>336248.25632176915</v>
      </c>
      <c r="I793">
        <v>50.434054178581505</v>
      </c>
    </row>
    <row r="794" spans="1:9" x14ac:dyDescent="0.2">
      <c r="A794">
        <v>784</v>
      </c>
      <c r="B794">
        <v>1656017.6793373236</v>
      </c>
      <c r="C794">
        <v>89747.917428793124</v>
      </c>
      <c r="D794">
        <v>127389.70636421967</v>
      </c>
      <c r="E794">
        <v>198878.58214399681</v>
      </c>
      <c r="F794">
        <v>49768.517225353622</v>
      </c>
      <c r="G794">
        <v>10000</v>
      </c>
      <c r="H794">
        <v>455784.72316236328</v>
      </c>
      <c r="I794">
        <v>33.72829778447246</v>
      </c>
    </row>
    <row r="795" spans="1:9" x14ac:dyDescent="0.2">
      <c r="A795">
        <v>785</v>
      </c>
      <c r="B795">
        <v>1105376.4656690913</v>
      </c>
      <c r="C795">
        <v>86877.807206081532</v>
      </c>
      <c r="D795">
        <v>104560.45820949138</v>
      </c>
      <c r="E795">
        <v>81774.695083521321</v>
      </c>
      <c r="F795">
        <v>41661.325044243778</v>
      </c>
      <c r="G795">
        <v>10000</v>
      </c>
      <c r="H795">
        <v>304874.28554333799</v>
      </c>
      <c r="I795">
        <v>46.745639880792211</v>
      </c>
    </row>
    <row r="796" spans="1:9" x14ac:dyDescent="0.2">
      <c r="A796">
        <v>786</v>
      </c>
      <c r="B796">
        <v>1253805.030806066</v>
      </c>
      <c r="C796">
        <v>148778.12022911647</v>
      </c>
      <c r="D796">
        <v>117328.72635312213</v>
      </c>
      <c r="E796">
        <v>49985.68418052225</v>
      </c>
      <c r="F796">
        <v>39460.547366343846</v>
      </c>
      <c r="G796">
        <v>10000</v>
      </c>
      <c r="H796">
        <v>345553.07812910463</v>
      </c>
      <c r="I796">
        <v>44.787827323618188</v>
      </c>
    </row>
    <row r="797" spans="1:9" x14ac:dyDescent="0.2">
      <c r="A797">
        <v>787</v>
      </c>
      <c r="B797">
        <v>1766869.44276021</v>
      </c>
      <c r="C797">
        <v>140838.0966191247</v>
      </c>
      <c r="D797">
        <v>113780.38170900795</v>
      </c>
      <c r="E797">
        <v>192237.84855014045</v>
      </c>
      <c r="F797">
        <v>49308.77413039434</v>
      </c>
      <c r="G797">
        <v>10000</v>
      </c>
      <c r="H797">
        <v>486165.10100866744</v>
      </c>
      <c r="I797">
        <v>36.859992124905709</v>
      </c>
    </row>
    <row r="798" spans="1:9" x14ac:dyDescent="0.2">
      <c r="A798">
        <v>788</v>
      </c>
      <c r="B798">
        <v>1576306.0212998567</v>
      </c>
      <c r="C798">
        <v>112049.60134795483</v>
      </c>
      <c r="D798">
        <v>132851.27226161666</v>
      </c>
      <c r="E798">
        <v>152481.41953319358</v>
      </c>
      <c r="F798">
        <v>46556.405967682629</v>
      </c>
      <c r="G798">
        <v>10000</v>
      </c>
      <c r="H798">
        <v>433938.69911044766</v>
      </c>
      <c r="I798">
        <v>34.190269530288035</v>
      </c>
    </row>
    <row r="799" spans="1:9" x14ac:dyDescent="0.2">
      <c r="A799">
        <v>789</v>
      </c>
      <c r="B799">
        <v>1211266.566629837</v>
      </c>
      <c r="C799">
        <v>122872.94588063152</v>
      </c>
      <c r="D799">
        <v>127184.05279144211</v>
      </c>
      <c r="E799">
        <v>54092.958966318118</v>
      </c>
      <c r="F799">
        <v>39744.897159206637</v>
      </c>
      <c r="G799">
        <v>10000</v>
      </c>
      <c r="H799">
        <v>333894.85479759838</v>
      </c>
      <c r="I799">
        <v>43.020776756291504</v>
      </c>
    </row>
    <row r="800" spans="1:9" x14ac:dyDescent="0.2">
      <c r="A800">
        <v>790</v>
      </c>
      <c r="B800">
        <v>1027456.7894240636</v>
      </c>
      <c r="C800">
        <v>113597.43474660671</v>
      </c>
      <c r="D800">
        <v>47654.186780925927</v>
      </c>
      <c r="E800">
        <v>90034.591987161257</v>
      </c>
      <c r="F800">
        <v>42233.164060649629</v>
      </c>
      <c r="G800">
        <v>10000</v>
      </c>
      <c r="H800">
        <v>283519.37757534353</v>
      </c>
      <c r="I800">
        <v>27.884642828376883</v>
      </c>
    </row>
    <row r="801" spans="1:9" x14ac:dyDescent="0.2">
      <c r="A801">
        <v>791</v>
      </c>
      <c r="B801">
        <v>1202276.0895589306</v>
      </c>
      <c r="C801">
        <v>101195.55914300052</v>
      </c>
      <c r="D801">
        <v>41592.906543509591</v>
      </c>
      <c r="E801">
        <v>152111.62620944649</v>
      </c>
      <c r="F801">
        <v>46530.80489142322</v>
      </c>
      <c r="G801">
        <v>10000</v>
      </c>
      <c r="H801">
        <v>331430.89678737981</v>
      </c>
      <c r="I801">
        <v>28.734989558338356</v>
      </c>
    </row>
    <row r="802" spans="1:9" x14ac:dyDescent="0.2">
      <c r="A802">
        <v>792</v>
      </c>
      <c r="B802">
        <v>1867548.6182876271</v>
      </c>
      <c r="C802">
        <v>142773.24976568975</v>
      </c>
      <c r="D802">
        <v>130488.68065381107</v>
      </c>
      <c r="E802">
        <v>200607.41202132875</v>
      </c>
      <c r="F802">
        <v>49888.205447630455</v>
      </c>
      <c r="G802">
        <v>10000</v>
      </c>
      <c r="H802">
        <v>513757.54788845999</v>
      </c>
      <c r="I802">
        <v>36.504375583611889</v>
      </c>
    </row>
    <row r="803" spans="1:9" x14ac:dyDescent="0.2">
      <c r="A803">
        <v>793</v>
      </c>
      <c r="B803">
        <v>1185540.5069502199</v>
      </c>
      <c r="C803">
        <v>88466.119700109455</v>
      </c>
      <c r="D803">
        <v>70466.306165116388</v>
      </c>
      <c r="E803">
        <v>132723.32724389425</v>
      </c>
      <c r="F803">
        <v>45188.53803996191</v>
      </c>
      <c r="G803">
        <v>10000</v>
      </c>
      <c r="H803">
        <v>326844.29114908195</v>
      </c>
      <c r="I803">
        <v>29.886394162490507</v>
      </c>
    </row>
    <row r="804" spans="1:9" x14ac:dyDescent="0.2">
      <c r="A804">
        <v>794</v>
      </c>
      <c r="B804">
        <v>880349.7299345776</v>
      </c>
      <c r="C804">
        <v>108221.24513339398</v>
      </c>
      <c r="D804">
        <v>75113.979488075463</v>
      </c>
      <c r="E804">
        <v>31674.674238904343</v>
      </c>
      <c r="F804">
        <v>38192.862062693377</v>
      </c>
      <c r="G804">
        <v>10000</v>
      </c>
      <c r="H804">
        <v>243202.76092306717</v>
      </c>
      <c r="I804">
        <v>32.28791971054617</v>
      </c>
    </row>
    <row r="805" spans="1:9" x14ac:dyDescent="0.2">
      <c r="A805">
        <v>795</v>
      </c>
      <c r="B805">
        <v>1218138.5876144913</v>
      </c>
      <c r="C805">
        <v>92884.645794525757</v>
      </c>
      <c r="D805">
        <v>55872.503243674117</v>
      </c>
      <c r="E805">
        <v>150595.24825004334</v>
      </c>
      <c r="F805">
        <v>46425.824878849155</v>
      </c>
      <c r="G805">
        <v>10000</v>
      </c>
      <c r="H805">
        <v>335778.22216709232</v>
      </c>
      <c r="I805">
        <v>34.740544792456674</v>
      </c>
    </row>
    <row r="806" spans="1:9" x14ac:dyDescent="0.2">
      <c r="A806">
        <v>796</v>
      </c>
      <c r="B806">
        <v>916835.47405002289</v>
      </c>
      <c r="C806">
        <v>70879.017556725565</v>
      </c>
      <c r="D806">
        <v>67794.527409355578</v>
      </c>
      <c r="E806">
        <v>82796.543662077325</v>
      </c>
      <c r="F806">
        <v>41732.068407374587</v>
      </c>
      <c r="G806">
        <v>10000</v>
      </c>
      <c r="H806">
        <v>253202.15703553311</v>
      </c>
      <c r="I806">
        <v>33.389441270893833</v>
      </c>
    </row>
    <row r="807" spans="1:9" x14ac:dyDescent="0.2">
      <c r="A807">
        <v>797</v>
      </c>
      <c r="B807">
        <v>1619180.196822423</v>
      </c>
      <c r="C807">
        <v>110354.20647524271</v>
      </c>
      <c r="D807">
        <v>143256.0538857608</v>
      </c>
      <c r="E807">
        <v>155325.37311143606</v>
      </c>
      <c r="F807">
        <v>46753.295061560959</v>
      </c>
      <c r="G807">
        <v>10000</v>
      </c>
      <c r="H807">
        <v>445688.92853400053</v>
      </c>
      <c r="I807">
        <v>34.059171026310935</v>
      </c>
    </row>
    <row r="808" spans="1:9" x14ac:dyDescent="0.2">
      <c r="A808">
        <v>798</v>
      </c>
      <c r="B808">
        <v>847612.57625521801</v>
      </c>
      <c r="C808">
        <v>86259.666837001496</v>
      </c>
      <c r="D808">
        <v>45314.364192808353</v>
      </c>
      <c r="E808">
        <v>71693.30167036994</v>
      </c>
      <c r="F808">
        <v>40963.3824233333</v>
      </c>
      <c r="G808">
        <v>10000</v>
      </c>
      <c r="H808">
        <v>234230.71512351307</v>
      </c>
      <c r="I808">
        <v>32.16300989113499</v>
      </c>
    </row>
    <row r="809" spans="1:9" x14ac:dyDescent="0.2">
      <c r="A809">
        <v>799</v>
      </c>
      <c r="B809">
        <v>1214115.9668887726</v>
      </c>
      <c r="C809">
        <v>143165.00345520471</v>
      </c>
      <c r="D809">
        <v>50708.705939454361</v>
      </c>
      <c r="E809">
        <v>107368.83390629932</v>
      </c>
      <c r="F809">
        <v>43433.2269627438</v>
      </c>
      <c r="G809">
        <v>10000</v>
      </c>
      <c r="H809">
        <v>334675.7702637022</v>
      </c>
      <c r="I809">
        <v>35.03141488563125</v>
      </c>
    </row>
    <row r="810" spans="1:9" x14ac:dyDescent="0.2">
      <c r="A810">
        <v>800</v>
      </c>
      <c r="B810">
        <v>1663927.3492538817</v>
      </c>
      <c r="C810">
        <v>128415.9420900035</v>
      </c>
      <c r="D810">
        <v>153028.84980088682</v>
      </c>
      <c r="E810">
        <v>140762.57834546451</v>
      </c>
      <c r="F810">
        <v>45745.101577762929</v>
      </c>
      <c r="G810">
        <v>10000</v>
      </c>
      <c r="H810">
        <v>457952.4718141178</v>
      </c>
      <c r="I810">
        <v>28.20173057871428</v>
      </c>
    </row>
    <row r="811" spans="1:9" x14ac:dyDescent="0.2">
      <c r="A811">
        <v>801</v>
      </c>
      <c r="B811">
        <v>1214044.5962341418</v>
      </c>
      <c r="C811">
        <v>119555.88943353338</v>
      </c>
      <c r="D811">
        <v>147722.57832408775</v>
      </c>
      <c r="E811">
        <v>38698.608040472172</v>
      </c>
      <c r="F811">
        <v>38679.134402801916</v>
      </c>
      <c r="G811">
        <v>10000</v>
      </c>
      <c r="H811">
        <v>334656.21020089526</v>
      </c>
      <c r="I811">
        <v>42.853857417415298</v>
      </c>
    </row>
    <row r="812" spans="1:9" x14ac:dyDescent="0.2">
      <c r="A812">
        <v>802</v>
      </c>
      <c r="B812">
        <v>1057095.6978706643</v>
      </c>
      <c r="C812">
        <v>96055.05390454462</v>
      </c>
      <c r="D812">
        <v>60824.501027397659</v>
      </c>
      <c r="E812">
        <v>101720.56106309711</v>
      </c>
      <c r="F812">
        <v>43042.192688983647</v>
      </c>
      <c r="G812">
        <v>10000</v>
      </c>
      <c r="H812">
        <v>291642.30868402304</v>
      </c>
      <c r="I812">
        <v>37.696283721169408</v>
      </c>
    </row>
    <row r="813" spans="1:9" x14ac:dyDescent="0.2">
      <c r="A813">
        <v>803</v>
      </c>
      <c r="B813">
        <v>1422500.3634812413</v>
      </c>
      <c r="C813">
        <v>136649.363152512</v>
      </c>
      <c r="D813">
        <v>72803.364318171953</v>
      </c>
      <c r="E813">
        <v>146211.20235898663</v>
      </c>
      <c r="F813">
        <v>46122.314009468304</v>
      </c>
      <c r="G813">
        <v>10000</v>
      </c>
      <c r="H813">
        <v>391786.24383913889</v>
      </c>
      <c r="I813">
        <v>45.608029502658411</v>
      </c>
    </row>
    <row r="814" spans="1:9" x14ac:dyDescent="0.2">
      <c r="A814">
        <v>804</v>
      </c>
      <c r="B814">
        <v>1501865.7054199916</v>
      </c>
      <c r="C814">
        <v>95285.641720275133</v>
      </c>
      <c r="D814">
        <v>124064.81392791189</v>
      </c>
      <c r="E814">
        <v>157297.10051321686</v>
      </c>
      <c r="F814">
        <v>46889.799266299626</v>
      </c>
      <c r="G814">
        <v>10000</v>
      </c>
      <c r="H814">
        <v>413537.35542770353</v>
      </c>
      <c r="I814">
        <v>24.375600268689819</v>
      </c>
    </row>
    <row r="815" spans="1:9" x14ac:dyDescent="0.2">
      <c r="A815">
        <v>805</v>
      </c>
      <c r="B815">
        <v>1434976.588435373</v>
      </c>
      <c r="C815">
        <v>138764.82192159313</v>
      </c>
      <c r="D815">
        <v>108773.52780159499</v>
      </c>
      <c r="E815">
        <v>113789.43675736828</v>
      </c>
      <c r="F815">
        <v>43877.73023704857</v>
      </c>
      <c r="G815">
        <v>10000</v>
      </c>
      <c r="H815">
        <v>395205.516717605</v>
      </c>
      <c r="I815">
        <v>47.095307742153508</v>
      </c>
    </row>
    <row r="816" spans="1:9" x14ac:dyDescent="0.2">
      <c r="A816">
        <v>806</v>
      </c>
      <c r="B816">
        <v>1080238.3796863381</v>
      </c>
      <c r="C816">
        <v>99284.032930946036</v>
      </c>
      <c r="D816">
        <v>85898.100426834877</v>
      </c>
      <c r="E816">
        <v>81182.409755339191</v>
      </c>
      <c r="F816">
        <v>41620.320675369636</v>
      </c>
      <c r="G816">
        <v>10000</v>
      </c>
      <c r="H816">
        <v>297984.86378848978</v>
      </c>
      <c r="I816">
        <v>48.187422823474584</v>
      </c>
    </row>
    <row r="817" spans="1:9" x14ac:dyDescent="0.2">
      <c r="A817">
        <v>807</v>
      </c>
      <c r="B817">
        <v>1349098.0310437395</v>
      </c>
      <c r="C817">
        <v>93834.892459856535</v>
      </c>
      <c r="D817">
        <v>100634.43219552856</v>
      </c>
      <c r="E817">
        <v>141410.11726497606</v>
      </c>
      <c r="F817">
        <v>45789.931195267571</v>
      </c>
      <c r="G817">
        <v>10000</v>
      </c>
      <c r="H817">
        <v>371669.37311562872</v>
      </c>
      <c r="I817">
        <v>30.881428085376967</v>
      </c>
    </row>
    <row r="818" spans="1:9" x14ac:dyDescent="0.2">
      <c r="A818">
        <v>808</v>
      </c>
      <c r="B818">
        <v>1444393.8330236434</v>
      </c>
      <c r="C818">
        <v>129233.52221452042</v>
      </c>
      <c r="D818">
        <v>32288.092619728613</v>
      </c>
      <c r="E818">
        <v>196650.55212854798</v>
      </c>
      <c r="F818">
        <v>49614.268993514859</v>
      </c>
      <c r="G818">
        <v>10000</v>
      </c>
      <c r="H818">
        <v>397786.43595631188</v>
      </c>
      <c r="I818">
        <v>52.100160832885734</v>
      </c>
    </row>
    <row r="819" spans="1:9" x14ac:dyDescent="0.2">
      <c r="A819">
        <v>809</v>
      </c>
      <c r="B819">
        <v>1531052.2948799669</v>
      </c>
      <c r="C819">
        <v>127090.14842872212</v>
      </c>
      <c r="D819">
        <v>95570.882097454552</v>
      </c>
      <c r="E819">
        <v>161681.92783231568</v>
      </c>
      <c r="F819">
        <v>47193.364234544933</v>
      </c>
      <c r="G819">
        <v>10000</v>
      </c>
      <c r="H819">
        <v>421536.32259303727</v>
      </c>
      <c r="I819">
        <v>31.505170876200268</v>
      </c>
    </row>
    <row r="820" spans="1:9" x14ac:dyDescent="0.2">
      <c r="A820">
        <v>810</v>
      </c>
      <c r="B820">
        <v>986891.87056922587</v>
      </c>
      <c r="C820">
        <v>81907.099284072407</v>
      </c>
      <c r="D820">
        <v>74551.282385478175</v>
      </c>
      <c r="E820">
        <v>84119.959049045574</v>
      </c>
      <c r="F820">
        <v>41823.689472626233</v>
      </c>
      <c r="G820">
        <v>10000</v>
      </c>
      <c r="H820">
        <v>272402.03019122238</v>
      </c>
      <c r="I820">
        <v>41.593795822570371</v>
      </c>
    </row>
    <row r="821" spans="1:9" x14ac:dyDescent="0.2">
      <c r="A821">
        <v>811</v>
      </c>
      <c r="B821">
        <v>1304566.7769783209</v>
      </c>
      <c r="C821">
        <v>148274.02937741953</v>
      </c>
      <c r="D821">
        <v>66005.922737647197</v>
      </c>
      <c r="E821">
        <v>111468.03003201984</v>
      </c>
      <c r="F821">
        <v>43717.017463755219</v>
      </c>
      <c r="G821">
        <v>10000</v>
      </c>
      <c r="H821">
        <v>359464.9996108418</v>
      </c>
      <c r="I821">
        <v>55.720635220525502</v>
      </c>
    </row>
    <row r="822" spans="1:9" x14ac:dyDescent="0.2">
      <c r="A822">
        <v>812</v>
      </c>
      <c r="B822">
        <v>1212407.6013140564</v>
      </c>
      <c r="C822">
        <v>108006.74567630141</v>
      </c>
      <c r="D822">
        <v>101784.43314909266</v>
      </c>
      <c r="E822">
        <v>92044.107134113714</v>
      </c>
      <c r="F822">
        <v>42372.284340054022</v>
      </c>
      <c r="G822">
        <v>10000</v>
      </c>
      <c r="H822">
        <v>334207.57029956183</v>
      </c>
      <c r="I822">
        <v>38.240066453807515</v>
      </c>
    </row>
    <row r="823" spans="1:9" x14ac:dyDescent="0.2">
      <c r="A823">
        <v>813</v>
      </c>
      <c r="B823">
        <v>1365950.9000951634</v>
      </c>
      <c r="C823">
        <v>90129.74858389236</v>
      </c>
      <c r="D823">
        <v>51368.277769453482</v>
      </c>
      <c r="E823">
        <v>195271.31307377643</v>
      </c>
      <c r="F823">
        <v>49518.783212799899</v>
      </c>
      <c r="G823">
        <v>10000</v>
      </c>
      <c r="H823">
        <v>376288.12263992219</v>
      </c>
      <c r="I823">
        <v>39.516065399405676</v>
      </c>
    </row>
    <row r="824" spans="1:9" x14ac:dyDescent="0.2">
      <c r="A824">
        <v>814</v>
      </c>
      <c r="B824">
        <v>917108.56166923442</v>
      </c>
      <c r="C824">
        <v>128251.96783270939</v>
      </c>
      <c r="D824">
        <v>26807.942680091834</v>
      </c>
      <c r="E824">
        <v>67541.163086793269</v>
      </c>
      <c r="F824">
        <v>40675.926675239527</v>
      </c>
      <c r="G824">
        <v>10000</v>
      </c>
      <c r="H824">
        <v>253277.00027483405</v>
      </c>
      <c r="I824">
        <v>36.854047081217132</v>
      </c>
    </row>
    <row r="825" spans="1:9" x14ac:dyDescent="0.2">
      <c r="A825">
        <v>815</v>
      </c>
      <c r="B825">
        <v>1674437.3397820776</v>
      </c>
      <c r="C825">
        <v>101802.11588265214</v>
      </c>
      <c r="D825">
        <v>114115.56619623255</v>
      </c>
      <c r="E825">
        <v>204740.82547257229</v>
      </c>
      <c r="F825">
        <v>50174.364840408845</v>
      </c>
      <c r="G825">
        <v>10000</v>
      </c>
      <c r="H825">
        <v>460832.87239186582</v>
      </c>
      <c r="I825">
        <v>39.095131665484438</v>
      </c>
    </row>
    <row r="826" spans="1:9" x14ac:dyDescent="0.2">
      <c r="A826">
        <v>816</v>
      </c>
      <c r="B826">
        <v>1669159.8156822519</v>
      </c>
      <c r="C826">
        <v>98750.227484348608</v>
      </c>
      <c r="D826">
        <v>135475.45072727316</v>
      </c>
      <c r="E826">
        <v>186265.51470465839</v>
      </c>
      <c r="F826">
        <v>48895.304864168655</v>
      </c>
      <c r="G826">
        <v>10000</v>
      </c>
      <c r="H826">
        <v>459386.49778044876</v>
      </c>
      <c r="I826">
        <v>44.480571440607662</v>
      </c>
    </row>
    <row r="827" spans="1:9" x14ac:dyDescent="0.2">
      <c r="A827">
        <v>817</v>
      </c>
      <c r="B827">
        <v>1098042.5013667657</v>
      </c>
      <c r="C827">
        <v>118167.52178538636</v>
      </c>
      <c r="D827">
        <v>93562.075401037</v>
      </c>
      <c r="E827">
        <v>60917.363439642941</v>
      </c>
      <c r="F827">
        <v>40217.355930436817</v>
      </c>
      <c r="G827">
        <v>10000</v>
      </c>
      <c r="H827">
        <v>302864.31655650312</v>
      </c>
      <c r="I827">
        <v>34.697979020823283</v>
      </c>
    </row>
    <row r="828" spans="1:9" x14ac:dyDescent="0.2">
      <c r="A828">
        <v>818</v>
      </c>
      <c r="B828">
        <v>1116622.5633483855</v>
      </c>
      <c r="C828">
        <v>92410.616679899525</v>
      </c>
      <c r="D828">
        <v>120049.74114056342</v>
      </c>
      <c r="E828">
        <v>64996.322690812194</v>
      </c>
      <c r="F828">
        <v>40499.745417056227</v>
      </c>
      <c r="G828">
        <v>10000</v>
      </c>
      <c r="H828">
        <v>307956.42592833133</v>
      </c>
      <c r="I828">
        <v>34.565381554314961</v>
      </c>
    </row>
    <row r="829" spans="1:9" x14ac:dyDescent="0.2">
      <c r="A829">
        <v>819</v>
      </c>
      <c r="B829">
        <v>1549467.7565925471</v>
      </c>
      <c r="C829">
        <v>88330.778397633127</v>
      </c>
      <c r="D829">
        <v>119420.44477926838</v>
      </c>
      <c r="E829">
        <v>180346.5664075622</v>
      </c>
      <c r="F829">
        <v>48485.531520523538</v>
      </c>
      <c r="G829">
        <v>10000</v>
      </c>
      <c r="H829">
        <v>426583.32110498723</v>
      </c>
      <c r="I829">
        <v>36.714427731153293</v>
      </c>
    </row>
    <row r="830" spans="1:9" x14ac:dyDescent="0.2">
      <c r="A830">
        <v>820</v>
      </c>
      <c r="B830">
        <v>1028714.701002937</v>
      </c>
      <c r="C830">
        <v>95472.849745641288</v>
      </c>
      <c r="D830">
        <v>94265.68793632403</v>
      </c>
      <c r="E830">
        <v>63714.577806564688</v>
      </c>
      <c r="F830">
        <v>40411.009232762168</v>
      </c>
      <c r="G830">
        <v>10000</v>
      </c>
      <c r="H830">
        <v>283864.12472129217</v>
      </c>
      <c r="I830">
        <v>29.40685018913549</v>
      </c>
    </row>
    <row r="831" spans="1:9" x14ac:dyDescent="0.2">
      <c r="A831">
        <v>821</v>
      </c>
      <c r="B831">
        <v>1480244.2714645346</v>
      </c>
      <c r="C831">
        <v>145984.14218174267</v>
      </c>
      <c r="D831">
        <v>130933.2147248296</v>
      </c>
      <c r="E831">
        <v>97915.589723774421</v>
      </c>
      <c r="F831">
        <v>42778.771596261307</v>
      </c>
      <c r="G831">
        <v>10000</v>
      </c>
      <c r="H831">
        <v>407611.71822660795</v>
      </c>
      <c r="I831">
        <v>42.066278673510595</v>
      </c>
    </row>
    <row r="832" spans="1:9" x14ac:dyDescent="0.2">
      <c r="A832">
        <v>822</v>
      </c>
      <c r="B832">
        <v>1058464.5503444017</v>
      </c>
      <c r="C832">
        <v>104243.79859562514</v>
      </c>
      <c r="D832">
        <v>64940.845650344243</v>
      </c>
      <c r="E832">
        <v>90563.065688010043</v>
      </c>
      <c r="F832">
        <v>42269.75070147762</v>
      </c>
      <c r="G832">
        <v>10000</v>
      </c>
      <c r="H832">
        <v>292017.46063545701</v>
      </c>
      <c r="I832">
        <v>39.761110162719902</v>
      </c>
    </row>
    <row r="833" spans="1:9" x14ac:dyDescent="0.2">
      <c r="A833">
        <v>823</v>
      </c>
      <c r="B833">
        <v>1625247.5137639341</v>
      </c>
      <c r="C833">
        <v>136927.54285613538</v>
      </c>
      <c r="D833">
        <v>90075.196221319959</v>
      </c>
      <c r="E833">
        <v>181765.26783060809</v>
      </c>
      <c r="F833">
        <v>48583.749311349791</v>
      </c>
      <c r="G833">
        <v>10000</v>
      </c>
      <c r="H833">
        <v>447351.75621941325</v>
      </c>
      <c r="I833">
        <v>39.207053950628676</v>
      </c>
    </row>
    <row r="834" spans="1:9" x14ac:dyDescent="0.2">
      <c r="A834">
        <v>824</v>
      </c>
      <c r="B834">
        <v>1491436.2751094359</v>
      </c>
      <c r="C834">
        <v>119540.72045680018</v>
      </c>
      <c r="D834">
        <v>46623.454881027843</v>
      </c>
      <c r="E834">
        <v>204366.41404573401</v>
      </c>
      <c r="F834">
        <v>50148.444049320045</v>
      </c>
      <c r="G834">
        <v>10000</v>
      </c>
      <c r="H834">
        <v>410679.0334328821</v>
      </c>
      <c r="I834">
        <v>43.648694595846806</v>
      </c>
    </row>
    <row r="835" spans="1:9" x14ac:dyDescent="0.2">
      <c r="A835">
        <v>825</v>
      </c>
      <c r="B835">
        <v>1477323.0878843865</v>
      </c>
      <c r="C835">
        <v>86286.439172135957</v>
      </c>
      <c r="D835">
        <v>76498.447820569912</v>
      </c>
      <c r="E835">
        <v>203909.43553295077</v>
      </c>
      <c r="F835">
        <v>50116.807075358127</v>
      </c>
      <c r="G835">
        <v>10000</v>
      </c>
      <c r="H835">
        <v>406811.12960101478</v>
      </c>
      <c r="I835">
        <v>37.822117223973585</v>
      </c>
    </row>
    <row r="836" spans="1:9" x14ac:dyDescent="0.2">
      <c r="A836">
        <v>826</v>
      </c>
      <c r="B836">
        <v>1104240.1399739187</v>
      </c>
      <c r="C836">
        <v>111060.74292064407</v>
      </c>
      <c r="D836">
        <v>103580.67193619197</v>
      </c>
      <c r="E836">
        <v>59782.647099332768</v>
      </c>
      <c r="F836">
        <v>40138.798645338422</v>
      </c>
      <c r="G836">
        <v>10000</v>
      </c>
      <c r="H836">
        <v>304562.86060150724</v>
      </c>
      <c r="I836">
        <v>39.566680972686598</v>
      </c>
    </row>
    <row r="837" spans="1:9" x14ac:dyDescent="0.2">
      <c r="A837">
        <v>827</v>
      </c>
      <c r="B837">
        <v>1082874.087690654</v>
      </c>
      <c r="C837">
        <v>103283.03218549147</v>
      </c>
      <c r="D837">
        <v>75591.160768827336</v>
      </c>
      <c r="E837">
        <v>87757.501784374908</v>
      </c>
      <c r="F837">
        <v>42075.51935430288</v>
      </c>
      <c r="G837">
        <v>10000</v>
      </c>
      <c r="H837">
        <v>298707.21409299661</v>
      </c>
      <c r="I837">
        <v>27.941872379637189</v>
      </c>
    </row>
    <row r="838" spans="1:9" x14ac:dyDescent="0.2">
      <c r="A838">
        <v>828</v>
      </c>
      <c r="B838">
        <v>1099141.4789387309</v>
      </c>
      <c r="C838">
        <v>143114.71786561041</v>
      </c>
      <c r="D838">
        <v>82490.940464209096</v>
      </c>
      <c r="E838">
        <v>48221.440038812761</v>
      </c>
      <c r="F838">
        <v>39338.407387302417</v>
      </c>
      <c r="G838">
        <v>10000</v>
      </c>
      <c r="H838">
        <v>303165.50575593469</v>
      </c>
      <c r="I838">
        <v>37.768627709630294</v>
      </c>
    </row>
    <row r="839" spans="1:9" x14ac:dyDescent="0.2">
      <c r="A839">
        <v>829</v>
      </c>
      <c r="B839">
        <v>1452844.4275521587</v>
      </c>
      <c r="C839">
        <v>105072.67341164165</v>
      </c>
      <c r="D839">
        <v>114519.18941490327</v>
      </c>
      <c r="E839">
        <v>144506.28779446715</v>
      </c>
      <c r="F839">
        <v>46004.281462693878</v>
      </c>
      <c r="G839">
        <v>10000</v>
      </c>
      <c r="H839">
        <v>400102.43208370596</v>
      </c>
      <c r="I839">
        <v>43.562498489211087</v>
      </c>
    </row>
    <row r="840" spans="1:9" x14ac:dyDescent="0.2">
      <c r="A840">
        <v>830</v>
      </c>
      <c r="B840">
        <v>830476.96668651549</v>
      </c>
      <c r="C840">
        <v>96989.510168939945</v>
      </c>
      <c r="D840">
        <v>54788.373999437652</v>
      </c>
      <c r="E840">
        <v>48405.446399203938</v>
      </c>
      <c r="F840">
        <v>39351.146289175653</v>
      </c>
      <c r="G840">
        <v>10000</v>
      </c>
      <c r="H840">
        <v>229534.47685675719</v>
      </c>
      <c r="I840">
        <v>42.412066086422485</v>
      </c>
    </row>
    <row r="841" spans="1:9" x14ac:dyDescent="0.2">
      <c r="A841">
        <v>831</v>
      </c>
      <c r="B841">
        <v>1424196.071687496</v>
      </c>
      <c r="C841">
        <v>121976.17013382078</v>
      </c>
      <c r="D841">
        <v>101974.14107270498</v>
      </c>
      <c r="E841">
        <v>133086.95164234619</v>
      </c>
      <c r="F841">
        <v>45213.712036777819</v>
      </c>
      <c r="G841">
        <v>10000</v>
      </c>
      <c r="H841">
        <v>392250.9748856498</v>
      </c>
      <c r="I841">
        <v>37.876058780055175</v>
      </c>
    </row>
    <row r="842" spans="1:9" x14ac:dyDescent="0.2">
      <c r="A842">
        <v>832</v>
      </c>
      <c r="B842">
        <v>1389069.0108049919</v>
      </c>
      <c r="C842">
        <v>113220.64642646842</v>
      </c>
      <c r="D842">
        <v>59230.262165082058</v>
      </c>
      <c r="E842">
        <v>172248.16234190107</v>
      </c>
      <c r="F842">
        <v>47924.872777516233</v>
      </c>
      <c r="G842">
        <v>10000</v>
      </c>
      <c r="H842">
        <v>382623.94371096778</v>
      </c>
      <c r="I842">
        <v>40.57685194257364</v>
      </c>
    </row>
    <row r="843" spans="1:9" x14ac:dyDescent="0.2">
      <c r="A843">
        <v>833</v>
      </c>
      <c r="B843">
        <v>970131.06781359448</v>
      </c>
      <c r="C843">
        <v>77186.900534964108</v>
      </c>
      <c r="D843">
        <v>70876.628854990588</v>
      </c>
      <c r="E843">
        <v>87675.164191900738</v>
      </c>
      <c r="F843">
        <v>42069.81905943928</v>
      </c>
      <c r="G843">
        <v>10000</v>
      </c>
      <c r="H843">
        <v>267808.51264129474</v>
      </c>
      <c r="I843">
        <v>43.484247454617815</v>
      </c>
    </row>
    <row r="844" spans="1:9" x14ac:dyDescent="0.2">
      <c r="A844">
        <v>834</v>
      </c>
      <c r="B844">
        <v>962139.68705082254</v>
      </c>
      <c r="C844">
        <v>88321.93385616591</v>
      </c>
      <c r="D844">
        <v>86821.755209584226</v>
      </c>
      <c r="E844">
        <v>60300.061363193861</v>
      </c>
      <c r="F844">
        <v>40174.619632836497</v>
      </c>
      <c r="G844">
        <v>10000</v>
      </c>
      <c r="H844">
        <v>265618.3700617805</v>
      </c>
      <c r="I844">
        <v>34.90571956523037</v>
      </c>
    </row>
    <row r="845" spans="1:9" x14ac:dyDescent="0.2">
      <c r="A845">
        <v>835</v>
      </c>
      <c r="B845">
        <v>1727915.6493269214</v>
      </c>
      <c r="C845">
        <v>113875.22459316513</v>
      </c>
      <c r="D845">
        <v>117822.020640584</v>
      </c>
      <c r="E845">
        <v>203690.41434700711</v>
      </c>
      <c r="F845">
        <v>50101.644070177412</v>
      </c>
      <c r="G845">
        <v>10000</v>
      </c>
      <c r="H845">
        <v>475489.30365093361</v>
      </c>
      <c r="I845">
        <v>40.996559629756845</v>
      </c>
    </row>
    <row r="846" spans="1:9" x14ac:dyDescent="0.2">
      <c r="A846">
        <v>836</v>
      </c>
      <c r="B846">
        <v>1032416.4058300471</v>
      </c>
      <c r="C846">
        <v>102926.36100921806</v>
      </c>
      <c r="D846">
        <v>48497.273124995329</v>
      </c>
      <c r="E846">
        <v>100497.47386337188</v>
      </c>
      <c r="F846">
        <v>42957.51742131036</v>
      </c>
      <c r="G846">
        <v>10000</v>
      </c>
      <c r="H846">
        <v>284878.62541889562</v>
      </c>
      <c r="I846">
        <v>26.205073504025165</v>
      </c>
    </row>
    <row r="847" spans="1:9" x14ac:dyDescent="0.2">
      <c r="A847">
        <v>837</v>
      </c>
      <c r="B847">
        <v>882579.31205371488</v>
      </c>
      <c r="C847">
        <v>119720.48456252899</v>
      </c>
      <c r="D847">
        <v>69580.467392868974</v>
      </c>
      <c r="E847">
        <v>26666.699064311269</v>
      </c>
      <c r="F847">
        <v>37846.156089067699</v>
      </c>
      <c r="G847">
        <v>10000</v>
      </c>
      <c r="H847">
        <v>243813.80710877693</v>
      </c>
      <c r="I847">
        <v>31.004367563970256</v>
      </c>
    </row>
    <row r="848" spans="1:9" x14ac:dyDescent="0.2">
      <c r="A848">
        <v>838</v>
      </c>
      <c r="B848">
        <v>1527732.6611954581</v>
      </c>
      <c r="C848">
        <v>151275.46142113482</v>
      </c>
      <c r="D848">
        <v>144338.33712517159</v>
      </c>
      <c r="E848">
        <v>92601.838443026791</v>
      </c>
      <c r="F848">
        <v>42410.896507594167</v>
      </c>
      <c r="G848">
        <v>10000</v>
      </c>
      <c r="H848">
        <v>420626.53349692735</v>
      </c>
      <c r="I848">
        <v>34.786600994317595</v>
      </c>
    </row>
    <row r="849" spans="1:9" x14ac:dyDescent="0.2">
      <c r="A849">
        <v>839</v>
      </c>
      <c r="B849">
        <v>1202074.9787054902</v>
      </c>
      <c r="C849">
        <v>123435.59451546507</v>
      </c>
      <c r="D849">
        <v>69062.467586784725</v>
      </c>
      <c r="E849">
        <v>105569.08842283014</v>
      </c>
      <c r="F849">
        <v>43308.62919850363</v>
      </c>
      <c r="G849">
        <v>10000</v>
      </c>
      <c r="H849">
        <v>331375.77972358355</v>
      </c>
      <c r="I849">
        <v>39.009523989910015</v>
      </c>
    </row>
    <row r="850" spans="1:9" x14ac:dyDescent="0.2">
      <c r="A850">
        <v>840</v>
      </c>
      <c r="B850">
        <v>1714950.3083744771</v>
      </c>
      <c r="C850">
        <v>107965.52652371068</v>
      </c>
      <c r="D850">
        <v>133498.26048737593</v>
      </c>
      <c r="E850">
        <v>191232.98823701974</v>
      </c>
      <c r="F850">
        <v>49239.206877947516</v>
      </c>
      <c r="G850">
        <v>10000</v>
      </c>
      <c r="H850">
        <v>471935.98212605383</v>
      </c>
      <c r="I850">
        <v>45.302798966941623</v>
      </c>
    </row>
    <row r="851" spans="1:9" x14ac:dyDescent="0.2">
      <c r="A851">
        <v>841</v>
      </c>
      <c r="B851">
        <v>1354093.3833206631</v>
      </c>
      <c r="C851">
        <v>108681.39977991728</v>
      </c>
      <c r="D851">
        <v>55706.328872622449</v>
      </c>
      <c r="E851">
        <v>170824.38276780085</v>
      </c>
      <c r="F851">
        <v>47826.303422386212</v>
      </c>
      <c r="G851">
        <v>10000</v>
      </c>
      <c r="H851">
        <v>373038.41484272684</v>
      </c>
      <c r="I851">
        <v>29.038690968312679</v>
      </c>
    </row>
    <row r="852" spans="1:9" x14ac:dyDescent="0.2">
      <c r="A852">
        <v>842</v>
      </c>
      <c r="B852">
        <v>1509831.5804298089</v>
      </c>
      <c r="C852">
        <v>82352.765084901126</v>
      </c>
      <c r="D852">
        <v>132313.07474016951</v>
      </c>
      <c r="E852">
        <v>163720.19309019789</v>
      </c>
      <c r="F852">
        <v>47334.474906244468</v>
      </c>
      <c r="G852">
        <v>10000</v>
      </c>
      <c r="H852">
        <v>415720.50782151305</v>
      </c>
      <c r="I852">
        <v>27.154772017393654</v>
      </c>
    </row>
    <row r="853" spans="1:9" x14ac:dyDescent="0.2">
      <c r="A853">
        <v>843</v>
      </c>
      <c r="B853">
        <v>1560942.453144877</v>
      </c>
      <c r="C853">
        <v>134634.22266724543</v>
      </c>
      <c r="D853">
        <v>73578.40141972329</v>
      </c>
      <c r="E853">
        <v>182856.21172248025</v>
      </c>
      <c r="F853">
        <v>48659.276196171704</v>
      </c>
      <c r="G853">
        <v>10000</v>
      </c>
      <c r="H853">
        <v>429728.11200562067</v>
      </c>
      <c r="I853">
        <v>38.457745424165964</v>
      </c>
    </row>
    <row r="854" spans="1:9" x14ac:dyDescent="0.2">
      <c r="A854">
        <v>844</v>
      </c>
      <c r="B854">
        <v>1318244.3383679604</v>
      </c>
      <c r="C854">
        <v>156117.61454479254</v>
      </c>
      <c r="D854">
        <v>126389.84722746536</v>
      </c>
      <c r="E854">
        <v>51163.934183470483</v>
      </c>
      <c r="F854">
        <v>39542.118520394113</v>
      </c>
      <c r="G854">
        <v>10000</v>
      </c>
      <c r="H854">
        <v>363213.51447612257</v>
      </c>
      <c r="I854">
        <v>36.155359371354791</v>
      </c>
    </row>
    <row r="855" spans="1:9" x14ac:dyDescent="0.2">
      <c r="A855">
        <v>845</v>
      </c>
      <c r="B855">
        <v>1114161.7483152635</v>
      </c>
      <c r="C855">
        <v>112677.82694946231</v>
      </c>
      <c r="D855">
        <v>95780.082209206288</v>
      </c>
      <c r="E855">
        <v>68108.868796656578</v>
      </c>
      <c r="F855">
        <v>40715.229378230069</v>
      </c>
      <c r="G855">
        <v>10000</v>
      </c>
      <c r="H855">
        <v>307282.00733355526</v>
      </c>
      <c r="I855">
        <v>37.594094286341104</v>
      </c>
    </row>
    <row r="856" spans="1:9" x14ac:dyDescent="0.2">
      <c r="A856">
        <v>846</v>
      </c>
      <c r="B856">
        <v>967492.32691400731</v>
      </c>
      <c r="C856">
        <v>120405.36456982265</v>
      </c>
      <c r="D856">
        <v>51934.443971905799</v>
      </c>
      <c r="E856">
        <v>64294.373645680549</v>
      </c>
      <c r="F856">
        <v>40451.148944700966</v>
      </c>
      <c r="G856">
        <v>10000</v>
      </c>
      <c r="H856">
        <v>267085.33113210998</v>
      </c>
      <c r="I856">
        <v>50.834532310588656</v>
      </c>
    </row>
    <row r="857" spans="1:9" x14ac:dyDescent="0.2">
      <c r="A857">
        <v>847</v>
      </c>
      <c r="B857">
        <v>983233.47864082351</v>
      </c>
      <c r="C857">
        <v>88397.31346490237</v>
      </c>
      <c r="D857">
        <v>109296.13902844851</v>
      </c>
      <c r="E857">
        <v>44617.073171068841</v>
      </c>
      <c r="F857">
        <v>39088.874296458613</v>
      </c>
      <c r="G857">
        <v>10000</v>
      </c>
      <c r="H857">
        <v>271399.39996087836</v>
      </c>
      <c r="I857">
        <v>49.726525240736287</v>
      </c>
    </row>
    <row r="858" spans="1:9" x14ac:dyDescent="0.2">
      <c r="A858">
        <v>848</v>
      </c>
      <c r="B858">
        <v>1026059.0111334107</v>
      </c>
      <c r="C858">
        <v>112336.33147391384</v>
      </c>
      <c r="D858">
        <v>34997.275198434872</v>
      </c>
      <c r="E858">
        <v>102693.16466783125</v>
      </c>
      <c r="F858">
        <v>43109.526784696012</v>
      </c>
      <c r="G858">
        <v>10000</v>
      </c>
      <c r="H858">
        <v>283136.29812487599</v>
      </c>
      <c r="I858">
        <v>33.322616326140462</v>
      </c>
    </row>
    <row r="859" spans="1:9" x14ac:dyDescent="0.2">
      <c r="A859">
        <v>849</v>
      </c>
      <c r="B859">
        <v>1382156.096865613</v>
      </c>
      <c r="C859">
        <v>146306.83579171714</v>
      </c>
      <c r="D859">
        <v>170054.07325729218</v>
      </c>
      <c r="E859">
        <v>35884.171262819567</v>
      </c>
      <c r="F859">
        <v>38484.288779733659</v>
      </c>
      <c r="G859">
        <v>10000</v>
      </c>
      <c r="H859">
        <v>380729.36909156252</v>
      </c>
      <c r="I859">
        <v>29.554329842236339</v>
      </c>
    </row>
    <row r="860" spans="1:9" x14ac:dyDescent="0.2">
      <c r="A860">
        <v>850</v>
      </c>
      <c r="B860">
        <v>1630287.9337698175</v>
      </c>
      <c r="C860">
        <v>150133.35783607169</v>
      </c>
      <c r="D860">
        <v>89159.429093984116</v>
      </c>
      <c r="E860">
        <v>171562.92888008078</v>
      </c>
      <c r="F860">
        <v>47877.433537851743</v>
      </c>
      <c r="G860">
        <v>10000</v>
      </c>
      <c r="H860">
        <v>448733.14934798836</v>
      </c>
      <c r="I860">
        <v>40.568130135161944</v>
      </c>
    </row>
    <row r="861" spans="1:9" x14ac:dyDescent="0.2">
      <c r="A861">
        <v>851</v>
      </c>
      <c r="B861">
        <v>1453897.6574221088</v>
      </c>
      <c r="C861">
        <v>115683.90558191818</v>
      </c>
      <c r="D861">
        <v>92420.870770449823</v>
      </c>
      <c r="E861">
        <v>155519.56786035997</v>
      </c>
      <c r="F861">
        <v>46766.739313409533</v>
      </c>
      <c r="G861">
        <v>10000</v>
      </c>
      <c r="H861">
        <v>400391.08352613752</v>
      </c>
      <c r="I861">
        <v>36.711675338158315</v>
      </c>
    </row>
    <row r="862" spans="1:9" x14ac:dyDescent="0.2">
      <c r="A862">
        <v>852</v>
      </c>
      <c r="B862">
        <v>991972.11549949599</v>
      </c>
      <c r="C862">
        <v>75185.529743077379</v>
      </c>
      <c r="D862">
        <v>40645.59565179811</v>
      </c>
      <c r="E862">
        <v>123418.83180378946</v>
      </c>
      <c r="F862">
        <v>44544.380663339267</v>
      </c>
      <c r="G862">
        <v>10000</v>
      </c>
      <c r="H862">
        <v>273794.33786200423</v>
      </c>
      <c r="I862">
        <v>29.405840170461239</v>
      </c>
    </row>
    <row r="863" spans="1:9" x14ac:dyDescent="0.2">
      <c r="A863">
        <v>853</v>
      </c>
      <c r="B863">
        <v>1490517.1849023006</v>
      </c>
      <c r="C863">
        <v>144495.4563148233</v>
      </c>
      <c r="D863">
        <v>139212.922063623</v>
      </c>
      <c r="E863">
        <v>94197.407371837529</v>
      </c>
      <c r="F863">
        <v>42521.358971896443</v>
      </c>
      <c r="G863">
        <v>10000</v>
      </c>
      <c r="H863">
        <v>410427.14472218032</v>
      </c>
      <c r="I863">
        <v>35.057153641803737</v>
      </c>
    </row>
    <row r="864" spans="1:9" x14ac:dyDescent="0.2">
      <c r="A864">
        <v>854</v>
      </c>
      <c r="B864">
        <v>1292121.9316627006</v>
      </c>
      <c r="C864">
        <v>98614.704478316315</v>
      </c>
      <c r="D864">
        <v>105127.3156805538</v>
      </c>
      <c r="E864">
        <v>118133.81190420009</v>
      </c>
      <c r="F864">
        <v>44178.494670290776</v>
      </c>
      <c r="G864">
        <v>10000</v>
      </c>
      <c r="H864">
        <v>356054.326733361</v>
      </c>
      <c r="I864">
        <v>29.463376493453588</v>
      </c>
    </row>
    <row r="865" spans="1:9" x14ac:dyDescent="0.2">
      <c r="A865">
        <v>855</v>
      </c>
      <c r="B865">
        <v>1455403.0601591137</v>
      </c>
      <c r="C865">
        <v>105327.83151803957</v>
      </c>
      <c r="D865">
        <v>101340.71987974712</v>
      </c>
      <c r="E865">
        <v>157248.66166085572</v>
      </c>
      <c r="F865">
        <v>46886.445807290009</v>
      </c>
      <c r="G865">
        <v>10000</v>
      </c>
      <c r="H865">
        <v>400803.65886593249</v>
      </c>
      <c r="I865">
        <v>33.273078206530009</v>
      </c>
    </row>
    <row r="866" spans="1:9" x14ac:dyDescent="0.2">
      <c r="A866">
        <v>856</v>
      </c>
      <c r="B866">
        <v>910095.31077206624</v>
      </c>
      <c r="C866">
        <v>106635.90645997267</v>
      </c>
      <c r="D866">
        <v>41025.692293167973</v>
      </c>
      <c r="E866">
        <v>72662.824977022305</v>
      </c>
      <c r="F866">
        <v>41030.503267640008</v>
      </c>
      <c r="G866">
        <v>10000</v>
      </c>
      <c r="H866">
        <v>251354.92699780298</v>
      </c>
      <c r="I866">
        <v>50.552952335567689</v>
      </c>
    </row>
    <row r="867" spans="1:9" x14ac:dyDescent="0.2">
      <c r="A867">
        <v>857</v>
      </c>
      <c r="B867">
        <v>1408342.8591335572</v>
      </c>
      <c r="C867">
        <v>135293.54504182463</v>
      </c>
      <c r="D867">
        <v>137094.60203297288</v>
      </c>
      <c r="E867">
        <v>83721.914689094032</v>
      </c>
      <c r="F867">
        <v>41796.132555398821</v>
      </c>
      <c r="G867">
        <v>10000</v>
      </c>
      <c r="H867">
        <v>387906.1943192904</v>
      </c>
      <c r="I867">
        <v>32.079872567982392</v>
      </c>
    </row>
    <row r="868" spans="1:9" x14ac:dyDescent="0.2">
      <c r="A868">
        <v>858</v>
      </c>
      <c r="B868">
        <v>1079604.9548473449</v>
      </c>
      <c r="C868">
        <v>105283.88466599674</v>
      </c>
      <c r="D868">
        <v>127830.08119154556</v>
      </c>
      <c r="E868">
        <v>36191.719009583459</v>
      </c>
      <c r="F868">
        <v>38505.580546817313</v>
      </c>
      <c r="G868">
        <v>10000</v>
      </c>
      <c r="H868">
        <v>297811.2654139431</v>
      </c>
      <c r="I868">
        <v>37.231207151146883</v>
      </c>
    </row>
    <row r="869" spans="1:9" x14ac:dyDescent="0.2">
      <c r="A869">
        <v>859</v>
      </c>
      <c r="B869">
        <v>1564788.6233465543</v>
      </c>
      <c r="C869">
        <v>104856.73988747693</v>
      </c>
      <c r="D869">
        <v>80777.40732318777</v>
      </c>
      <c r="E869">
        <v>204958.61550871292</v>
      </c>
      <c r="F869">
        <v>50189.442612141662</v>
      </c>
      <c r="G869">
        <v>10000</v>
      </c>
      <c r="H869">
        <v>430782.2053315193</v>
      </c>
      <c r="I869">
        <v>26.511035115824214</v>
      </c>
    </row>
    <row r="870" spans="1:9" x14ac:dyDescent="0.2">
      <c r="A870">
        <v>860</v>
      </c>
      <c r="B870">
        <v>1037539.2317997313</v>
      </c>
      <c r="C870">
        <v>96430.493168305053</v>
      </c>
      <c r="D870">
        <v>42814.405999825714</v>
      </c>
      <c r="E870">
        <v>113200.73018498837</v>
      </c>
      <c r="F870">
        <v>43836.973628191503</v>
      </c>
      <c r="G870">
        <v>10000</v>
      </c>
      <c r="H870">
        <v>286282.60298131063</v>
      </c>
      <c r="I870">
        <v>30.790544271783887</v>
      </c>
    </row>
    <row r="871" spans="1:9" x14ac:dyDescent="0.2">
      <c r="A871">
        <v>861</v>
      </c>
      <c r="B871">
        <v>1515637.1944786215</v>
      </c>
      <c r="C871">
        <v>113019.20173052479</v>
      </c>
      <c r="D871">
        <v>86172.872001811498</v>
      </c>
      <c r="E871">
        <v>179680.14407866015</v>
      </c>
      <c r="F871">
        <v>48439.394590061085</v>
      </c>
      <c r="G871">
        <v>10000</v>
      </c>
      <c r="H871">
        <v>417311.61240105756</v>
      </c>
      <c r="I871">
        <v>38.149537084763487</v>
      </c>
    </row>
    <row r="872" spans="1:9" x14ac:dyDescent="0.2">
      <c r="A872">
        <v>862</v>
      </c>
      <c r="B872">
        <v>1012587.9972267954</v>
      </c>
      <c r="C872">
        <v>159766.22177593675</v>
      </c>
      <c r="D872">
        <v>33202.499167086862</v>
      </c>
      <c r="E872">
        <v>56559.978538055984</v>
      </c>
      <c r="F872">
        <v>39915.690821865413</v>
      </c>
      <c r="G872">
        <v>10000</v>
      </c>
      <c r="H872">
        <v>279444.39030294504</v>
      </c>
      <c r="I872">
        <v>51.299270257350543</v>
      </c>
    </row>
    <row r="873" spans="1:9" x14ac:dyDescent="0.2">
      <c r="A873">
        <v>863</v>
      </c>
      <c r="B873">
        <v>1363820.7508791373</v>
      </c>
      <c r="C873">
        <v>118728.27173700611</v>
      </c>
      <c r="D873">
        <v>74884.581418519665</v>
      </c>
      <c r="E873">
        <v>145984.83197465551</v>
      </c>
      <c r="F873">
        <v>46106.642213629988</v>
      </c>
      <c r="G873">
        <v>10000</v>
      </c>
      <c r="H873">
        <v>375704.32734381122</v>
      </c>
      <c r="I873">
        <v>28.275683928224652</v>
      </c>
    </row>
    <row r="874" spans="1:9" x14ac:dyDescent="0.2">
      <c r="A874">
        <v>864</v>
      </c>
      <c r="B874">
        <v>906279.6485458815</v>
      </c>
      <c r="C874">
        <v>133444.88685250559</v>
      </c>
      <c r="D874">
        <v>55247.17098201497</v>
      </c>
      <c r="E874">
        <v>33310.991389935822</v>
      </c>
      <c r="F874">
        <v>38306.145557764787</v>
      </c>
      <c r="G874">
        <v>10000</v>
      </c>
      <c r="H874">
        <v>250309.19478222117</v>
      </c>
      <c r="I874">
        <v>30.782276143070234</v>
      </c>
    </row>
    <row r="875" spans="1:9" x14ac:dyDescent="0.2">
      <c r="A875">
        <v>865</v>
      </c>
      <c r="B875">
        <v>1023682.0632565334</v>
      </c>
      <c r="C875">
        <v>119641.64782388255</v>
      </c>
      <c r="D875">
        <v>86425.576333523684</v>
      </c>
      <c r="E875">
        <v>47153.188737483732</v>
      </c>
      <c r="F875">
        <v>39264.451527979647</v>
      </c>
      <c r="G875">
        <v>10000</v>
      </c>
      <c r="H875">
        <v>282484.86442286964</v>
      </c>
      <c r="I875">
        <v>33.371589025960105</v>
      </c>
    </row>
    <row r="876" spans="1:9" x14ac:dyDescent="0.2">
      <c r="A876">
        <v>866</v>
      </c>
      <c r="B876">
        <v>899009.17004017346</v>
      </c>
      <c r="C876">
        <v>112335.40949857782</v>
      </c>
      <c r="D876">
        <v>71738.853251389664</v>
      </c>
      <c r="E876">
        <v>35766.237990993934</v>
      </c>
      <c r="F876">
        <v>38476.124168607268</v>
      </c>
      <c r="G876">
        <v>10000</v>
      </c>
      <c r="H876">
        <v>248316.62490956867</v>
      </c>
      <c r="I876">
        <v>33.101696747055755</v>
      </c>
    </row>
    <row r="877" spans="1:9" x14ac:dyDescent="0.2">
      <c r="A877">
        <v>867</v>
      </c>
      <c r="B877">
        <v>1653748.4222247116</v>
      </c>
      <c r="C877">
        <v>158509.70629743548</v>
      </c>
      <c r="D877">
        <v>107637.86957012478</v>
      </c>
      <c r="E877">
        <v>152460.28485945472</v>
      </c>
      <c r="F877">
        <v>46554.942797962249</v>
      </c>
      <c r="G877">
        <v>10000</v>
      </c>
      <c r="H877">
        <v>455162.80352497718</v>
      </c>
      <c r="I877">
        <v>25.381803238433609</v>
      </c>
    </row>
    <row r="878" spans="1:9" x14ac:dyDescent="0.2">
      <c r="A878">
        <v>868</v>
      </c>
      <c r="B878">
        <v>860716.0116326093</v>
      </c>
      <c r="C878">
        <v>86113.734895118338</v>
      </c>
      <c r="D878">
        <v>94774.543219398503</v>
      </c>
      <c r="E878">
        <v>28930.709824434922</v>
      </c>
      <c r="F878">
        <v>38002.895295537797</v>
      </c>
      <c r="G878">
        <v>10000</v>
      </c>
      <c r="H878">
        <v>237821.88323448956</v>
      </c>
      <c r="I878">
        <v>40.600817111828896</v>
      </c>
    </row>
    <row r="879" spans="1:9" x14ac:dyDescent="0.2">
      <c r="A879">
        <v>869</v>
      </c>
      <c r="B879">
        <v>1540276.8800249619</v>
      </c>
      <c r="C879">
        <v>88956.877938557751</v>
      </c>
      <c r="D879">
        <v>125975.37124738898</v>
      </c>
      <c r="E879">
        <v>171274.7117569524</v>
      </c>
      <c r="F879">
        <v>47857.480044712087</v>
      </c>
      <c r="G879">
        <v>10000</v>
      </c>
      <c r="H879">
        <v>424064.44098761119</v>
      </c>
      <c r="I879">
        <v>31.259229887820812</v>
      </c>
    </row>
    <row r="880" spans="1:9" x14ac:dyDescent="0.2">
      <c r="A880">
        <v>870</v>
      </c>
      <c r="B880">
        <v>1394119.0009908769</v>
      </c>
      <c r="C880">
        <v>137653.83728498287</v>
      </c>
      <c r="D880">
        <v>89228.640461434406</v>
      </c>
      <c r="E880">
        <v>122635.3428087863</v>
      </c>
      <c r="F880">
        <v>44490.139117531362</v>
      </c>
      <c r="G880">
        <v>10000</v>
      </c>
      <c r="H880">
        <v>384007.95967273496</v>
      </c>
      <c r="I880">
        <v>29.955002806522657</v>
      </c>
    </row>
    <row r="881" spans="1:9" x14ac:dyDescent="0.2">
      <c r="A881">
        <v>871</v>
      </c>
      <c r="B881">
        <v>1154285.8476333497</v>
      </c>
      <c r="C881">
        <v>91813.728227171901</v>
      </c>
      <c r="D881">
        <v>136998.49486624371</v>
      </c>
      <c r="E881">
        <v>59356.989232031621</v>
      </c>
      <c r="F881">
        <v>40109.330023756032</v>
      </c>
      <c r="G881">
        <v>10000</v>
      </c>
      <c r="H881">
        <v>318278.54234920326</v>
      </c>
      <c r="I881">
        <v>28.90480391357848</v>
      </c>
    </row>
    <row r="882" spans="1:9" x14ac:dyDescent="0.2">
      <c r="A882">
        <v>872</v>
      </c>
      <c r="B882">
        <v>1495982.5113512124</v>
      </c>
      <c r="C882">
        <v>121722.65292636867</v>
      </c>
      <c r="D882">
        <v>68745.880800032974</v>
      </c>
      <c r="E882">
        <v>182801.00136068664</v>
      </c>
      <c r="F882">
        <v>48655.453940355226</v>
      </c>
      <c r="G882">
        <v>10000</v>
      </c>
      <c r="H882">
        <v>411924.98902744346</v>
      </c>
      <c r="I882">
        <v>35.840058175315107</v>
      </c>
    </row>
    <row r="883" spans="1:9" x14ac:dyDescent="0.2">
      <c r="A883">
        <v>873</v>
      </c>
      <c r="B883">
        <v>1439302.4374282821</v>
      </c>
      <c r="C883">
        <v>85397.316183585703</v>
      </c>
      <c r="D883">
        <v>128218.17218942489</v>
      </c>
      <c r="E883">
        <v>146624.64683790723</v>
      </c>
      <c r="F883">
        <v>46150.937088778192</v>
      </c>
      <c r="G883">
        <v>10000</v>
      </c>
      <c r="H883">
        <v>396391.07229969598</v>
      </c>
      <c r="I883">
        <v>41.151123890705556</v>
      </c>
    </row>
    <row r="884" spans="1:9" x14ac:dyDescent="0.2">
      <c r="A884">
        <v>874</v>
      </c>
      <c r="B884">
        <v>849864.99790995568</v>
      </c>
      <c r="C884">
        <v>85912.580722754152</v>
      </c>
      <c r="D884">
        <v>85895.15444761097</v>
      </c>
      <c r="E884">
        <v>34641.993738562684</v>
      </c>
      <c r="F884">
        <v>38398.291874208189</v>
      </c>
      <c r="G884">
        <v>10000</v>
      </c>
      <c r="H884">
        <v>234848.02078313602</v>
      </c>
      <c r="I884">
        <v>30.850553251704874</v>
      </c>
    </row>
    <row r="885" spans="1:9" x14ac:dyDescent="0.2">
      <c r="A885">
        <v>875</v>
      </c>
      <c r="B885">
        <v>1404760.9601361072</v>
      </c>
      <c r="C885">
        <v>85650.224458909972</v>
      </c>
      <c r="D885">
        <v>79294.305352904732</v>
      </c>
      <c r="E885">
        <v>183290.64576756948</v>
      </c>
      <c r="F885">
        <v>48689.352399293268</v>
      </c>
      <c r="G885">
        <v>10000</v>
      </c>
      <c r="H885">
        <v>386924.52797867748</v>
      </c>
      <c r="I885">
        <v>38.105399088222875</v>
      </c>
    </row>
    <row r="886" spans="1:9" x14ac:dyDescent="0.2">
      <c r="A886">
        <v>876</v>
      </c>
      <c r="B886">
        <v>1540283.7738768943</v>
      </c>
      <c r="C886">
        <v>105468.75692850885</v>
      </c>
      <c r="D886">
        <v>102940.24867868985</v>
      </c>
      <c r="E886">
        <v>177377.35406481367</v>
      </c>
      <c r="F886">
        <v>48279.970666025562</v>
      </c>
      <c r="G886">
        <v>10000</v>
      </c>
      <c r="H886">
        <v>424066.33033803792</v>
      </c>
      <c r="I886">
        <v>35.989201174717707</v>
      </c>
    </row>
    <row r="887" spans="1:9" x14ac:dyDescent="0.2">
      <c r="A887">
        <v>877</v>
      </c>
      <c r="B887">
        <v>1390688.2400997095</v>
      </c>
      <c r="C887">
        <v>123054.69297659426</v>
      </c>
      <c r="D887">
        <v>68216.854062361745</v>
      </c>
      <c r="E887">
        <v>155061.16400884502</v>
      </c>
      <c r="F887">
        <v>46735.003662150804</v>
      </c>
      <c r="G887">
        <v>10000</v>
      </c>
      <c r="H887">
        <v>383067.71470995189</v>
      </c>
      <c r="I887">
        <v>35.255142512408455</v>
      </c>
    </row>
    <row r="888" spans="1:9" x14ac:dyDescent="0.2">
      <c r="A888">
        <v>878</v>
      </c>
      <c r="B888">
        <v>1204242.1776400586</v>
      </c>
      <c r="C888">
        <v>119049.73277685895</v>
      </c>
      <c r="D888">
        <v>30157.183541504357</v>
      </c>
      <c r="E888">
        <v>146612.70248966175</v>
      </c>
      <c r="F888">
        <v>46150.110172361201</v>
      </c>
      <c r="G888">
        <v>10000</v>
      </c>
      <c r="H888">
        <v>331969.72898038622</v>
      </c>
      <c r="I888">
        <v>37.024596024267325</v>
      </c>
    </row>
    <row r="889" spans="1:9" x14ac:dyDescent="0.2">
      <c r="A889">
        <v>879</v>
      </c>
      <c r="B889">
        <v>1149431.4112698948</v>
      </c>
      <c r="C889">
        <v>90870.834036801316</v>
      </c>
      <c r="D889">
        <v>79391.119089201195</v>
      </c>
      <c r="E889">
        <v>112871.95507375157</v>
      </c>
      <c r="F889">
        <v>43814.212274336642</v>
      </c>
      <c r="G889">
        <v>10000</v>
      </c>
      <c r="H889">
        <v>316948.12047409074</v>
      </c>
      <c r="I889">
        <v>27.803944861791283</v>
      </c>
    </row>
    <row r="890" spans="1:9" x14ac:dyDescent="0.2">
      <c r="A890">
        <v>880</v>
      </c>
      <c r="B890">
        <v>1750771.6439532167</v>
      </c>
      <c r="C890">
        <v>142624.33883790395</v>
      </c>
      <c r="D890">
        <v>115734.63516918912</v>
      </c>
      <c r="E890">
        <v>184613.38753903192</v>
      </c>
      <c r="F890">
        <v>48780.926829625285</v>
      </c>
      <c r="G890">
        <v>10000</v>
      </c>
      <c r="H890">
        <v>481753.28837575024</v>
      </c>
      <c r="I890">
        <v>38.450043155744339</v>
      </c>
    </row>
    <row r="891" spans="1:9" x14ac:dyDescent="0.2">
      <c r="A891">
        <v>881</v>
      </c>
      <c r="B891">
        <v>1142776.5377338717</v>
      </c>
      <c r="C891">
        <v>116529.70678524543</v>
      </c>
      <c r="D891">
        <v>41995.788263787421</v>
      </c>
      <c r="E891">
        <v>122142.73468046229</v>
      </c>
      <c r="F891">
        <v>44456.035477878155</v>
      </c>
      <c r="G891">
        <v>10000</v>
      </c>
      <c r="H891">
        <v>315124.2652073733</v>
      </c>
      <c r="I891">
        <v>27.867359297019902</v>
      </c>
    </row>
    <row r="892" spans="1:9" x14ac:dyDescent="0.2">
      <c r="A892">
        <v>882</v>
      </c>
      <c r="B892">
        <v>1416460.1762415904</v>
      </c>
      <c r="C892">
        <v>122491.9437795906</v>
      </c>
      <c r="D892">
        <v>60556.531749758797</v>
      </c>
      <c r="E892">
        <v>169357.6177244008</v>
      </c>
      <c r="F892">
        <v>47724.758150150825</v>
      </c>
      <c r="G892">
        <v>10000</v>
      </c>
      <c r="H892">
        <v>390130.85140390106</v>
      </c>
      <c r="I892">
        <v>51.534225592227209</v>
      </c>
    </row>
    <row r="893" spans="1:9" x14ac:dyDescent="0.2">
      <c r="A893">
        <v>883</v>
      </c>
      <c r="B893">
        <v>1975568.9347209227</v>
      </c>
      <c r="C893">
        <v>156721.8168140582</v>
      </c>
      <c r="D893">
        <v>157047.40733436408</v>
      </c>
      <c r="E893">
        <v>190410.44488024488</v>
      </c>
      <c r="F893">
        <v>49182.261568632333</v>
      </c>
      <c r="G893">
        <v>10000</v>
      </c>
      <c r="H893">
        <v>543361.93059729948</v>
      </c>
      <c r="I893">
        <v>34.42516522439719</v>
      </c>
    </row>
    <row r="894" spans="1:9" x14ac:dyDescent="0.2">
      <c r="A894">
        <v>884</v>
      </c>
      <c r="B894">
        <v>1371456.5931105884</v>
      </c>
      <c r="C894">
        <v>94177.168261788727</v>
      </c>
      <c r="D894">
        <v>124033.72221536688</v>
      </c>
      <c r="E894">
        <v>124936.67718752741</v>
      </c>
      <c r="F894">
        <v>44649.462266828821</v>
      </c>
      <c r="G894">
        <v>10000</v>
      </c>
      <c r="H894">
        <v>377797.02993151185</v>
      </c>
      <c r="I894">
        <v>44.676023161182044</v>
      </c>
    </row>
    <row r="895" spans="1:9" x14ac:dyDescent="0.2">
      <c r="A895">
        <v>885</v>
      </c>
      <c r="B895">
        <v>1461276.3288927071</v>
      </c>
      <c r="C895">
        <v>102093.19008021263</v>
      </c>
      <c r="D895">
        <v>102458.43520611107</v>
      </c>
      <c r="E895">
        <v>160733.94514767639</v>
      </c>
      <c r="F895">
        <v>47127.734664069911</v>
      </c>
      <c r="G895">
        <v>10000</v>
      </c>
      <c r="H895">
        <v>402413.30509807001</v>
      </c>
      <c r="I895">
        <v>32.570202212555728</v>
      </c>
    </row>
    <row r="896" spans="1:9" x14ac:dyDescent="0.2">
      <c r="A896">
        <v>886</v>
      </c>
      <c r="B896">
        <v>1809019.3397786303</v>
      </c>
      <c r="C896">
        <v>130580.01045170623</v>
      </c>
      <c r="D896">
        <v>169357.82824512149</v>
      </c>
      <c r="E896">
        <v>160656.61283520091</v>
      </c>
      <c r="F896">
        <v>47122.380888590837</v>
      </c>
      <c r="G896">
        <v>10000</v>
      </c>
      <c r="H896">
        <v>497716.83242061944</v>
      </c>
      <c r="I896">
        <v>33.619088645346444</v>
      </c>
    </row>
    <row r="897" spans="1:9" x14ac:dyDescent="0.2">
      <c r="A897">
        <v>887</v>
      </c>
      <c r="B897">
        <v>933117.36171397846</v>
      </c>
      <c r="C897">
        <v>130316.85300094685</v>
      </c>
      <c r="D897">
        <v>68085.998376968972</v>
      </c>
      <c r="E897">
        <v>31107.943402291854</v>
      </c>
      <c r="F897">
        <v>38153.626850927896</v>
      </c>
      <c r="G897">
        <v>10000</v>
      </c>
      <c r="H897">
        <v>257664.42163113557</v>
      </c>
      <c r="I897">
        <v>39.356956391932194</v>
      </c>
    </row>
    <row r="898" spans="1:9" x14ac:dyDescent="0.2">
      <c r="A898">
        <v>888</v>
      </c>
      <c r="B898">
        <v>1354520.3106637688</v>
      </c>
      <c r="C898">
        <v>136302.17435192631</v>
      </c>
      <c r="D898">
        <v>101381.54472118645</v>
      </c>
      <c r="E898">
        <v>102383.60506516029</v>
      </c>
      <c r="F898">
        <v>43088.095735280331</v>
      </c>
      <c r="G898">
        <v>10000</v>
      </c>
      <c r="H898">
        <v>373155.41987355333</v>
      </c>
      <c r="I898">
        <v>33.052248681633799</v>
      </c>
    </row>
    <row r="899" spans="1:9" x14ac:dyDescent="0.2">
      <c r="A899">
        <v>889</v>
      </c>
      <c r="B899">
        <v>1489166.399703999</v>
      </c>
      <c r="C899">
        <v>126177.93461410454</v>
      </c>
      <c r="D899">
        <v>45319.056345671946</v>
      </c>
      <c r="E899">
        <v>198797.07870490162</v>
      </c>
      <c r="F899">
        <v>49762.874679570108</v>
      </c>
      <c r="G899">
        <v>10000</v>
      </c>
      <c r="H899">
        <v>410056.94434424816</v>
      </c>
      <c r="I899">
        <v>41.203757576933256</v>
      </c>
    </row>
    <row r="900" spans="1:9" x14ac:dyDescent="0.2">
      <c r="A900">
        <v>890</v>
      </c>
      <c r="B900">
        <v>1230679.5310082182</v>
      </c>
      <c r="C900">
        <v>126701.57479309001</v>
      </c>
      <c r="D900">
        <v>132372.84971576685</v>
      </c>
      <c r="E900">
        <v>50635.287564525432</v>
      </c>
      <c r="F900">
        <v>39505.519908313305</v>
      </c>
      <c r="G900">
        <v>10000</v>
      </c>
      <c r="H900">
        <v>339215.23198169557</v>
      </c>
      <c r="I900">
        <v>34.03271788591934</v>
      </c>
    </row>
    <row r="901" spans="1:9" x14ac:dyDescent="0.2">
      <c r="A901">
        <v>891</v>
      </c>
      <c r="B901">
        <v>1555966.3985677832</v>
      </c>
      <c r="C901">
        <v>155997.57291156464</v>
      </c>
      <c r="D901">
        <v>148052.49294599079</v>
      </c>
      <c r="E901">
        <v>91948.619547416805</v>
      </c>
      <c r="F901">
        <v>42365.673660975008</v>
      </c>
      <c r="G901">
        <v>10000</v>
      </c>
      <c r="H901">
        <v>428364.35906594724</v>
      </c>
      <c r="I901">
        <v>28.27091162236983</v>
      </c>
    </row>
    <row r="902" spans="1:9" x14ac:dyDescent="0.2">
      <c r="A902">
        <v>892</v>
      </c>
      <c r="B902">
        <v>1410574.4777711055</v>
      </c>
      <c r="C902">
        <v>104014.1483169194</v>
      </c>
      <c r="D902">
        <v>82063.86374101926</v>
      </c>
      <c r="E902">
        <v>165015.62773819547</v>
      </c>
      <c r="F902">
        <v>47424.158843413534</v>
      </c>
      <c r="G902">
        <v>10000</v>
      </c>
      <c r="H902">
        <v>388517.79863954766</v>
      </c>
      <c r="I902">
        <v>37.704694497873632</v>
      </c>
    </row>
    <row r="903" spans="1:9" x14ac:dyDescent="0.2">
      <c r="A903">
        <v>893</v>
      </c>
      <c r="B903">
        <v>1108092.7787478326</v>
      </c>
      <c r="C903">
        <v>103334.16296244624</v>
      </c>
      <c r="D903">
        <v>119594.52842297727</v>
      </c>
      <c r="E903">
        <v>53019.457511236506</v>
      </c>
      <c r="F903">
        <v>39670.577827700989</v>
      </c>
      <c r="G903">
        <v>10000</v>
      </c>
      <c r="H903">
        <v>305618.72672436101</v>
      </c>
      <c r="I903">
        <v>38.742664070297863</v>
      </c>
    </row>
    <row r="904" spans="1:9" x14ac:dyDescent="0.2">
      <c r="A904">
        <v>894</v>
      </c>
      <c r="B904">
        <v>1106263.829491962</v>
      </c>
      <c r="C904">
        <v>113989.23229054391</v>
      </c>
      <c r="D904">
        <v>136956.25289351284</v>
      </c>
      <c r="E904">
        <v>26347.908093824892</v>
      </c>
      <c r="F904">
        <v>37824.085944957107</v>
      </c>
      <c r="G904">
        <v>10000</v>
      </c>
      <c r="H904">
        <v>305117.47922283871</v>
      </c>
      <c r="I904">
        <v>37.358827375127831</v>
      </c>
    </row>
    <row r="905" spans="1:9" x14ac:dyDescent="0.2">
      <c r="A905">
        <v>895</v>
      </c>
      <c r="B905">
        <v>1116642.0936390089</v>
      </c>
      <c r="C905">
        <v>92292.437379532043</v>
      </c>
      <c r="D905">
        <v>65323.54854429065</v>
      </c>
      <c r="E905">
        <v>116294.6261132613</v>
      </c>
      <c r="F905">
        <v>44051.166423225775</v>
      </c>
      <c r="G905">
        <v>10000</v>
      </c>
      <c r="H905">
        <v>307961.77846030972</v>
      </c>
      <c r="I905">
        <v>29.372766075261971</v>
      </c>
    </row>
    <row r="906" spans="1:9" x14ac:dyDescent="0.2">
      <c r="A906">
        <v>896</v>
      </c>
      <c r="B906">
        <v>1581927.7929110052</v>
      </c>
      <c r="C906">
        <v>157491.91735752419</v>
      </c>
      <c r="D906">
        <v>61252.446527009932</v>
      </c>
      <c r="E906">
        <v>178385.30359019575</v>
      </c>
      <c r="F906">
        <v>48349.751787013549</v>
      </c>
      <c r="G906">
        <v>10000</v>
      </c>
      <c r="H906">
        <v>435479.41926174337</v>
      </c>
      <c r="I906">
        <v>34.848597115667488</v>
      </c>
    </row>
    <row r="907" spans="1:9" x14ac:dyDescent="0.2">
      <c r="A907">
        <v>897</v>
      </c>
      <c r="B907">
        <v>1196747.3751949836</v>
      </c>
      <c r="C907">
        <v>143490.15877188681</v>
      </c>
      <c r="D907">
        <v>115150.03919592871</v>
      </c>
      <c r="E907">
        <v>42343.976182448394</v>
      </c>
      <c r="F907">
        <v>38931.506043400273</v>
      </c>
      <c r="G907">
        <v>10000</v>
      </c>
      <c r="H907">
        <v>329915.68019366416</v>
      </c>
      <c r="I907">
        <v>33.958307331744507</v>
      </c>
    </row>
    <row r="908" spans="1:9" x14ac:dyDescent="0.2">
      <c r="A908">
        <v>898</v>
      </c>
      <c r="B908">
        <v>1021822.2305597243</v>
      </c>
      <c r="C908">
        <v>144642.31102138065</v>
      </c>
      <c r="D908">
        <v>63147.39088509787</v>
      </c>
      <c r="E908">
        <v>45065.529715342913</v>
      </c>
      <c r="F908">
        <v>39119.921287985278</v>
      </c>
      <c r="G908">
        <v>10000</v>
      </c>
      <c r="H908">
        <v>281975.1529098067</v>
      </c>
      <c r="I908">
        <v>36.847594965148708</v>
      </c>
    </row>
    <row r="909" spans="1:9" x14ac:dyDescent="0.2">
      <c r="A909">
        <v>899</v>
      </c>
      <c r="B909">
        <v>952735.08859338076</v>
      </c>
      <c r="C909">
        <v>114741.32715541706</v>
      </c>
      <c r="D909">
        <v>54750.634378621959</v>
      </c>
      <c r="E909">
        <v>63175.281773306917</v>
      </c>
      <c r="F909">
        <v>40373.673353536629</v>
      </c>
      <c r="G909">
        <v>10000</v>
      </c>
      <c r="H909">
        <v>263040.91666088259</v>
      </c>
      <c r="I909">
        <v>42.234118642800084</v>
      </c>
    </row>
    <row r="910" spans="1:9" x14ac:dyDescent="0.2">
      <c r="A910">
        <v>900</v>
      </c>
      <c r="B910">
        <v>892920.68164886383</v>
      </c>
      <c r="C910">
        <v>85499.955276320426</v>
      </c>
      <c r="D910">
        <v>101505.59829856045</v>
      </c>
      <c r="E910">
        <v>31464.153767600532</v>
      </c>
      <c r="F910">
        <v>38178.28756852619</v>
      </c>
      <c r="G910">
        <v>10000</v>
      </c>
      <c r="H910">
        <v>246647.99491100761</v>
      </c>
      <c r="I910">
        <v>46.46886264625131</v>
      </c>
    </row>
    <row r="911" spans="1:9" x14ac:dyDescent="0.2">
      <c r="A911">
        <v>901</v>
      </c>
      <c r="B911">
        <v>1060291.8530165146</v>
      </c>
      <c r="C911">
        <v>126015.20243684285</v>
      </c>
      <c r="D911">
        <v>80008.247915105399</v>
      </c>
      <c r="E911">
        <v>56577.876598804389</v>
      </c>
      <c r="F911">
        <v>39916.929918378766</v>
      </c>
      <c r="G911">
        <v>10000</v>
      </c>
      <c r="H911">
        <v>292518.25686913141</v>
      </c>
      <c r="I911">
        <v>35.397234934865018</v>
      </c>
    </row>
    <row r="912" spans="1:9" x14ac:dyDescent="0.2">
      <c r="A912">
        <v>902</v>
      </c>
      <c r="B912">
        <v>1528784.2370067777</v>
      </c>
      <c r="C912">
        <v>129588.24357459457</v>
      </c>
      <c r="D912">
        <v>99305.139684221474</v>
      </c>
      <c r="E912">
        <v>155271.76465707959</v>
      </c>
      <c r="F912">
        <v>46749.583707028585</v>
      </c>
      <c r="G912">
        <v>10000</v>
      </c>
      <c r="H912">
        <v>420914.73162292421</v>
      </c>
      <c r="I912">
        <v>33.370570001298496</v>
      </c>
    </row>
    <row r="913" spans="1:9" x14ac:dyDescent="0.2">
      <c r="A913">
        <v>903</v>
      </c>
      <c r="B913">
        <v>1666642.8246004509</v>
      </c>
      <c r="C913">
        <v>146350.47771281804</v>
      </c>
      <c r="D913">
        <v>65393.419772475871</v>
      </c>
      <c r="E913">
        <v>206646.49042725388</v>
      </c>
      <c r="F913">
        <v>50306.295491117577</v>
      </c>
      <c r="G913">
        <v>10000</v>
      </c>
      <c r="H913">
        <v>458696.68340366537</v>
      </c>
      <c r="I913">
        <v>30.385403647439652</v>
      </c>
    </row>
    <row r="914" spans="1:9" x14ac:dyDescent="0.2">
      <c r="A914">
        <v>904</v>
      </c>
      <c r="B914">
        <v>1611235.9609091356</v>
      </c>
      <c r="C914">
        <v>113605.46922065673</v>
      </c>
      <c r="D914">
        <v>100653.31831154817</v>
      </c>
      <c r="E914">
        <v>190092.65813784261</v>
      </c>
      <c r="F914">
        <v>49160.260948004485</v>
      </c>
      <c r="G914">
        <v>10000</v>
      </c>
      <c r="H914">
        <v>443511.70661805198</v>
      </c>
      <c r="I914">
        <v>46.925412689758716</v>
      </c>
    </row>
    <row r="915" spans="1:9" x14ac:dyDescent="0.2">
      <c r="A915">
        <v>905</v>
      </c>
      <c r="B915">
        <v>1139210.0313520818</v>
      </c>
      <c r="C915">
        <v>84763.992883527433</v>
      </c>
      <c r="D915">
        <v>154453.78007312675</v>
      </c>
      <c r="E915">
        <v>45760.976831279513</v>
      </c>
      <c r="F915">
        <v>39168.067626780889</v>
      </c>
      <c r="G915">
        <v>10000</v>
      </c>
      <c r="H915">
        <v>314146.81741471461</v>
      </c>
      <c r="I915">
        <v>31.927984499947595</v>
      </c>
    </row>
    <row r="916" spans="1:9" x14ac:dyDescent="0.2">
      <c r="A916">
        <v>906</v>
      </c>
      <c r="B916">
        <v>951422.44852889236</v>
      </c>
      <c r="C916">
        <v>157258.88037340611</v>
      </c>
      <c r="D916">
        <v>44369.504116628814</v>
      </c>
      <c r="E916">
        <v>32783.18111975897</v>
      </c>
      <c r="F916">
        <v>38269.604846752547</v>
      </c>
      <c r="G916">
        <v>10000</v>
      </c>
      <c r="H916">
        <v>262681.17045654642</v>
      </c>
      <c r="I916">
        <v>41.453247308976572</v>
      </c>
    </row>
    <row r="917" spans="1:9" x14ac:dyDescent="0.2">
      <c r="A917">
        <v>907</v>
      </c>
      <c r="B917">
        <v>1287217.7178552933</v>
      </c>
      <c r="C917">
        <v>123966.81664788885</v>
      </c>
      <c r="D917">
        <v>50485.785104937786</v>
      </c>
      <c r="E917">
        <v>144269.75484051398</v>
      </c>
      <c r="F917">
        <v>45987.906104343274</v>
      </c>
      <c r="G917">
        <v>10000</v>
      </c>
      <c r="H917">
        <v>354710.26269768388</v>
      </c>
      <c r="I917">
        <v>47.949883121950265</v>
      </c>
    </row>
    <row r="918" spans="1:9" x14ac:dyDescent="0.2">
      <c r="A918">
        <v>908</v>
      </c>
      <c r="B918">
        <v>1240977.9314821288</v>
      </c>
      <c r="C918">
        <v>83429.292479350348</v>
      </c>
      <c r="D918">
        <v>116830.43005392331</v>
      </c>
      <c r="E918">
        <v>108281.50884902557</v>
      </c>
      <c r="F918">
        <v>43496.412151086384</v>
      </c>
      <c r="G918">
        <v>10000</v>
      </c>
      <c r="H918">
        <v>342037.64353338559</v>
      </c>
      <c r="I918">
        <v>35.017600018491663</v>
      </c>
    </row>
    <row r="919" spans="1:9" x14ac:dyDescent="0.2">
      <c r="A919">
        <v>909</v>
      </c>
      <c r="B919">
        <v>921965.72550642327</v>
      </c>
      <c r="C919">
        <v>148251.40476544804</v>
      </c>
      <c r="D919">
        <v>52454.63206419989</v>
      </c>
      <c r="E919">
        <v>26095.519903787335</v>
      </c>
      <c r="F919">
        <v>37806.612916416045</v>
      </c>
      <c r="G919">
        <v>10000</v>
      </c>
      <c r="H919">
        <v>254608.16964985128</v>
      </c>
      <c r="I919">
        <v>34.122928586061406</v>
      </c>
    </row>
    <row r="920" spans="1:9" x14ac:dyDescent="0.2">
      <c r="A920">
        <v>910</v>
      </c>
      <c r="B920">
        <v>920334.69858700619</v>
      </c>
      <c r="C920">
        <v>88897.930181571573</v>
      </c>
      <c r="D920">
        <v>83826.512668615498</v>
      </c>
      <c r="E920">
        <v>51847.294431091927</v>
      </c>
      <c r="F920">
        <v>39589.428075998672</v>
      </c>
      <c r="G920">
        <v>10000</v>
      </c>
      <c r="H920">
        <v>254161.16535727767</v>
      </c>
      <c r="I920">
        <v>37.381129073672838</v>
      </c>
    </row>
    <row r="921" spans="1:9" x14ac:dyDescent="0.2">
      <c r="A921">
        <v>911</v>
      </c>
      <c r="B921">
        <v>1427682.9196284637</v>
      </c>
      <c r="C921">
        <v>144684.26232410557</v>
      </c>
      <c r="D921">
        <v>82450.205540769311</v>
      </c>
      <c r="E921">
        <v>131002.70531405306</v>
      </c>
      <c r="F921">
        <v>45069.418060203672</v>
      </c>
      <c r="G921">
        <v>10000</v>
      </c>
      <c r="H921">
        <v>393206.59123913158</v>
      </c>
      <c r="I921">
        <v>26.892787864591526</v>
      </c>
    </row>
    <row r="922" spans="1:9" x14ac:dyDescent="0.2">
      <c r="A922">
        <v>912</v>
      </c>
      <c r="B922">
        <v>1075572.3977096088</v>
      </c>
      <c r="C922">
        <v>84559.173738405399</v>
      </c>
      <c r="D922">
        <v>156651.7054166226</v>
      </c>
      <c r="E922">
        <v>27585.449278523025</v>
      </c>
      <c r="F922">
        <v>37909.761873128518</v>
      </c>
      <c r="G922">
        <v>10000</v>
      </c>
      <c r="H922">
        <v>296706.09030667954</v>
      </c>
      <c r="I922">
        <v>39.969458512181419</v>
      </c>
    </row>
    <row r="923" spans="1:9" x14ac:dyDescent="0.2">
      <c r="A923">
        <v>913</v>
      </c>
      <c r="B923">
        <v>1716270.8378335594</v>
      </c>
      <c r="C923">
        <v>98225.234314309637</v>
      </c>
      <c r="D923">
        <v>128328.34255425549</v>
      </c>
      <c r="E923">
        <v>205516.26456826372</v>
      </c>
      <c r="F923">
        <v>50228.049085495179</v>
      </c>
      <c r="G923">
        <v>10000</v>
      </c>
      <c r="H923">
        <v>472297.89052232401</v>
      </c>
      <c r="I923">
        <v>26.814429952187293</v>
      </c>
    </row>
    <row r="924" spans="1:9" x14ac:dyDescent="0.2">
      <c r="A924">
        <v>914</v>
      </c>
      <c r="B924">
        <v>1156246.7334171692</v>
      </c>
      <c r="C924">
        <v>113304.11908754877</v>
      </c>
      <c r="D924">
        <v>151539.6934489058</v>
      </c>
      <c r="E924">
        <v>26160.990735568826</v>
      </c>
      <c r="F924">
        <v>37811.145512462455</v>
      </c>
      <c r="G924">
        <v>10000</v>
      </c>
      <c r="H924">
        <v>318815.94878448587</v>
      </c>
      <c r="I924">
        <v>31.698257165462952</v>
      </c>
    </row>
    <row r="925" spans="1:9" x14ac:dyDescent="0.2">
      <c r="A925">
        <v>915</v>
      </c>
      <c r="B925">
        <v>1005596.5047779037</v>
      </c>
      <c r="C925">
        <v>128970.76405752289</v>
      </c>
      <c r="D925">
        <v>82316.409382083279</v>
      </c>
      <c r="E925">
        <v>37635.567486548171</v>
      </c>
      <c r="F925">
        <v>38605.539287530257</v>
      </c>
      <c r="G925">
        <v>10000</v>
      </c>
      <c r="H925">
        <v>277528.28021368454</v>
      </c>
      <c r="I925">
        <v>31.885440474672404</v>
      </c>
    </row>
    <row r="926" spans="1:9" x14ac:dyDescent="0.2">
      <c r="A926">
        <v>916</v>
      </c>
      <c r="B926">
        <v>942693.68799093738</v>
      </c>
      <c r="C926">
        <v>99971.732059716815</v>
      </c>
      <c r="D926">
        <v>106483.36214200089</v>
      </c>
      <c r="E926">
        <v>26031.653680143063</v>
      </c>
      <c r="F926">
        <v>37802.191408625295</v>
      </c>
      <c r="G926">
        <v>10000</v>
      </c>
      <c r="H926">
        <v>260288.93929048604</v>
      </c>
      <c r="I926">
        <v>36.883306943218372</v>
      </c>
    </row>
    <row r="927" spans="1:9" x14ac:dyDescent="0.2">
      <c r="A927">
        <v>917</v>
      </c>
      <c r="B927">
        <v>1474586.4555099413</v>
      </c>
      <c r="C927">
        <v>100698.08992779329</v>
      </c>
      <c r="D927">
        <v>59656.931411589823</v>
      </c>
      <c r="E927">
        <v>205480.52360063893</v>
      </c>
      <c r="F927">
        <v>50225.574710813467</v>
      </c>
      <c r="G927">
        <v>10000</v>
      </c>
      <c r="H927">
        <v>406061.11965083552</v>
      </c>
      <c r="I927">
        <v>26.546553863829537</v>
      </c>
    </row>
    <row r="928" spans="1:9" x14ac:dyDescent="0.2">
      <c r="A928">
        <v>918</v>
      </c>
      <c r="B928">
        <v>1058131.0838991418</v>
      </c>
      <c r="C928">
        <v>111769.45599033308</v>
      </c>
      <c r="D928">
        <v>68249.243433105265</v>
      </c>
      <c r="E928">
        <v>80345.022643075194</v>
      </c>
      <c r="F928">
        <v>41562.347721443664</v>
      </c>
      <c r="G928">
        <v>10000</v>
      </c>
      <c r="H928">
        <v>291926.06978795724</v>
      </c>
      <c r="I928">
        <v>37.89982504045058</v>
      </c>
    </row>
    <row r="929" spans="1:9" x14ac:dyDescent="0.2">
      <c r="A929">
        <v>919</v>
      </c>
      <c r="B929">
        <v>1074280.0199424513</v>
      </c>
      <c r="C929">
        <v>141258.59920082823</v>
      </c>
      <c r="D929">
        <v>95733.010850649531</v>
      </c>
      <c r="E929">
        <v>31200.268603260705</v>
      </c>
      <c r="F929">
        <v>38160.01859561036</v>
      </c>
      <c r="G929">
        <v>10000</v>
      </c>
      <c r="H929">
        <v>296351.89725034882</v>
      </c>
      <c r="I929">
        <v>35.513978128287789</v>
      </c>
    </row>
    <row r="930" spans="1:9" x14ac:dyDescent="0.2">
      <c r="A930">
        <v>920</v>
      </c>
      <c r="B930">
        <v>1067681.8610456744</v>
      </c>
      <c r="C930">
        <v>103400.30282975997</v>
      </c>
      <c r="D930">
        <v>72749.910382303278</v>
      </c>
      <c r="E930">
        <v>86411.067489056237</v>
      </c>
      <c r="F930">
        <v>41982.304672319282</v>
      </c>
      <c r="G930">
        <v>10000</v>
      </c>
      <c r="H930">
        <v>294543.58537343872</v>
      </c>
      <c r="I930">
        <v>27.749735341137875</v>
      </c>
    </row>
    <row r="931" spans="1:9" x14ac:dyDescent="0.2">
      <c r="A931">
        <v>921</v>
      </c>
      <c r="B931">
        <v>996156.22869139083</v>
      </c>
      <c r="C931">
        <v>152806.50912205342</v>
      </c>
      <c r="D931">
        <v>68187.375028872644</v>
      </c>
      <c r="E931">
        <v>26137.636088014544</v>
      </c>
      <c r="F931">
        <v>37809.528652247158</v>
      </c>
      <c r="G931">
        <v>10000</v>
      </c>
      <c r="H931">
        <v>274941.04889118776</v>
      </c>
      <c r="I931">
        <v>33.83787017638862</v>
      </c>
    </row>
    <row r="932" spans="1:9" x14ac:dyDescent="0.2">
      <c r="A932">
        <v>922</v>
      </c>
      <c r="B932">
        <v>1537821.1451879954</v>
      </c>
      <c r="C932">
        <v>138789.5951497668</v>
      </c>
      <c r="D932">
        <v>98853.235590800687</v>
      </c>
      <c r="E932">
        <v>149405.15045362758</v>
      </c>
      <c r="F932">
        <v>46343.433492943448</v>
      </c>
      <c r="G932">
        <v>10000</v>
      </c>
      <c r="H932">
        <v>423391.41468713852</v>
      </c>
      <c r="I932">
        <v>36.57856313265134</v>
      </c>
    </row>
    <row r="933" spans="1:9" x14ac:dyDescent="0.2">
      <c r="A933">
        <v>923</v>
      </c>
      <c r="B933">
        <v>1630535.1819524937</v>
      </c>
      <c r="C933">
        <v>142457.22521053074</v>
      </c>
      <c r="D933">
        <v>142150.222281013</v>
      </c>
      <c r="E933">
        <v>129245.68525006475</v>
      </c>
      <c r="F933">
        <v>44947.778209619872</v>
      </c>
      <c r="G933">
        <v>10000</v>
      </c>
      <c r="H933">
        <v>448800.91095122835</v>
      </c>
      <c r="I933">
        <v>40.94659509696308</v>
      </c>
    </row>
    <row r="934" spans="1:9" x14ac:dyDescent="0.2">
      <c r="A934">
        <v>924</v>
      </c>
      <c r="B934">
        <v>975043.16795895319</v>
      </c>
      <c r="C934">
        <v>136289.95874929195</v>
      </c>
      <c r="D934">
        <v>40982.051162566873</v>
      </c>
      <c r="E934">
        <v>61616.939967722559</v>
      </c>
      <c r="F934">
        <v>40265.788151611559</v>
      </c>
      <c r="G934">
        <v>10000</v>
      </c>
      <c r="H934">
        <v>269154.73803119297</v>
      </c>
      <c r="I934">
        <v>29.934524896723559</v>
      </c>
    </row>
    <row r="935" spans="1:9" x14ac:dyDescent="0.2">
      <c r="A935">
        <v>925</v>
      </c>
      <c r="B935">
        <v>1701580.5392385041</v>
      </c>
      <c r="C935">
        <v>93540.345987946435</v>
      </c>
      <c r="D935">
        <v>133074.92330714519</v>
      </c>
      <c r="E935">
        <v>201693.17856407163</v>
      </c>
      <c r="F935">
        <v>49963.373900589577</v>
      </c>
      <c r="G935">
        <v>10000</v>
      </c>
      <c r="H935">
        <v>468271.82175975287</v>
      </c>
      <c r="I935">
        <v>34.333209237061794</v>
      </c>
    </row>
    <row r="936" spans="1:9" x14ac:dyDescent="0.2">
      <c r="A936">
        <v>926</v>
      </c>
      <c r="B936">
        <v>1671885.0827221991</v>
      </c>
      <c r="C936">
        <v>145805.68841368073</v>
      </c>
      <c r="D936">
        <v>92826.708536337261</v>
      </c>
      <c r="E936">
        <v>182842.65809378176</v>
      </c>
      <c r="F936">
        <v>48658.337868031042</v>
      </c>
      <c r="G936">
        <v>10000</v>
      </c>
      <c r="H936">
        <v>460133.39291183086</v>
      </c>
      <c r="I936">
        <v>29.648745023496353</v>
      </c>
    </row>
    <row r="937" spans="1:9" x14ac:dyDescent="0.2">
      <c r="A937">
        <v>927</v>
      </c>
      <c r="B937">
        <v>1076318.65553313</v>
      </c>
      <c r="C937">
        <v>97818.03602064916</v>
      </c>
      <c r="D937">
        <v>70071.855910409198</v>
      </c>
      <c r="E937">
        <v>96350.313769707791</v>
      </c>
      <c r="F937">
        <v>42670.406337902852</v>
      </c>
      <c r="G937">
        <v>10000</v>
      </c>
      <c r="H937">
        <v>296910.61203866906</v>
      </c>
      <c r="I937">
        <v>39.120505320996912</v>
      </c>
    </row>
    <row r="938" spans="1:9" x14ac:dyDescent="0.2">
      <c r="A938">
        <v>928</v>
      </c>
      <c r="B938">
        <v>924854.43306465319</v>
      </c>
      <c r="C938">
        <v>96457.253977734421</v>
      </c>
      <c r="D938">
        <v>75692.615417467066</v>
      </c>
      <c r="E938">
        <v>53543.154619662098</v>
      </c>
      <c r="F938">
        <v>39706.833781361223</v>
      </c>
      <c r="G938">
        <v>10000</v>
      </c>
      <c r="H938">
        <v>255399.85779622482</v>
      </c>
      <c r="I938">
        <v>32.412014136636813</v>
      </c>
    </row>
    <row r="939" spans="1:9" x14ac:dyDescent="0.2">
      <c r="A939">
        <v>929</v>
      </c>
      <c r="B939">
        <v>1303898.7066256213</v>
      </c>
      <c r="C939">
        <v>148886.50138664735</v>
      </c>
      <c r="D939">
        <v>133897.08467252503</v>
      </c>
      <c r="E939">
        <v>47228.644716789466</v>
      </c>
      <c r="F939">
        <v>39269.675403470043</v>
      </c>
      <c r="G939">
        <v>10000</v>
      </c>
      <c r="H939">
        <v>359281.90617943194</v>
      </c>
      <c r="I939">
        <v>34.837124609247546</v>
      </c>
    </row>
    <row r="940" spans="1:9" x14ac:dyDescent="0.2">
      <c r="A940">
        <v>930</v>
      </c>
      <c r="B940">
        <v>1497726.6603313186</v>
      </c>
      <c r="C940">
        <v>102090.74225081794</v>
      </c>
      <c r="D940">
        <v>80982.528978531031</v>
      </c>
      <c r="E940">
        <v>190164.49070157218</v>
      </c>
      <c r="F940">
        <v>49165.233971647307</v>
      </c>
      <c r="G940">
        <v>10000</v>
      </c>
      <c r="H940">
        <v>412402.99590256845</v>
      </c>
      <c r="I940">
        <v>47.863088874009996</v>
      </c>
    </row>
    <row r="941" spans="1:9" x14ac:dyDescent="0.2">
      <c r="A941">
        <v>931</v>
      </c>
      <c r="B941">
        <v>1094722.8915309268</v>
      </c>
      <c r="C941">
        <v>137603.85180791523</v>
      </c>
      <c r="D941">
        <v>49605.348770508834</v>
      </c>
      <c r="E941">
        <v>82999.232693102458</v>
      </c>
      <c r="F941">
        <v>41746.100724907097</v>
      </c>
      <c r="G941">
        <v>10000</v>
      </c>
      <c r="H941">
        <v>301954.5339964336</v>
      </c>
      <c r="I941">
        <v>30.975661132709341</v>
      </c>
    </row>
    <row r="942" spans="1:9" x14ac:dyDescent="0.2">
      <c r="A942">
        <v>932</v>
      </c>
      <c r="B942">
        <v>1356264.1455799865</v>
      </c>
      <c r="C942">
        <v>100110.99578461143</v>
      </c>
      <c r="D942">
        <v>69691.18935529601</v>
      </c>
      <c r="E942">
        <v>166316.9080547358</v>
      </c>
      <c r="F942">
        <v>47514.247480712474</v>
      </c>
      <c r="G942">
        <v>10000</v>
      </c>
      <c r="H942">
        <v>373633.34067535575</v>
      </c>
      <c r="I942">
        <v>29.893932869504205</v>
      </c>
    </row>
    <row r="943" spans="1:9" x14ac:dyDescent="0.2">
      <c r="A943">
        <v>933</v>
      </c>
      <c r="B943">
        <v>1304882.1823913991</v>
      </c>
      <c r="C943">
        <v>94183.085252218618</v>
      </c>
      <c r="D943">
        <v>125275.3984667984</v>
      </c>
      <c r="E943">
        <v>106705.64312225084</v>
      </c>
      <c r="F943">
        <v>43387.313754617368</v>
      </c>
      <c r="G943">
        <v>10000</v>
      </c>
      <c r="H943">
        <v>359551.44059588521</v>
      </c>
      <c r="I943">
        <v>37.804740894593152</v>
      </c>
    </row>
    <row r="944" spans="1:9" x14ac:dyDescent="0.2">
      <c r="A944">
        <v>934</v>
      </c>
      <c r="B944">
        <v>1149897.9240513695</v>
      </c>
      <c r="C944">
        <v>134190.91558340559</v>
      </c>
      <c r="D944">
        <v>110622.8461237507</v>
      </c>
      <c r="E944">
        <v>43266.817638412766</v>
      </c>
      <c r="F944">
        <v>38995.395067274731</v>
      </c>
      <c r="G944">
        <v>10000</v>
      </c>
      <c r="H944">
        <v>317075.97441284382</v>
      </c>
      <c r="I944">
        <v>26.301170723426331</v>
      </c>
    </row>
    <row r="945" spans="1:9" x14ac:dyDescent="0.2">
      <c r="A945">
        <v>935</v>
      </c>
      <c r="B945">
        <v>1048776.4686118579</v>
      </c>
      <c r="C945">
        <v>124534.0252503505</v>
      </c>
      <c r="D945">
        <v>50465.197998539232</v>
      </c>
      <c r="E945">
        <v>82641.740420794609</v>
      </c>
      <c r="F945">
        <v>41721.351259901166</v>
      </c>
      <c r="G945">
        <v>10000</v>
      </c>
      <c r="H945">
        <v>289362.3149295855</v>
      </c>
      <c r="I945">
        <v>41.262870251636741</v>
      </c>
    </row>
    <row r="946" spans="1:9" x14ac:dyDescent="0.2">
      <c r="A946">
        <v>936</v>
      </c>
      <c r="B946">
        <v>1146235.5095112047</v>
      </c>
      <c r="C946">
        <v>108296.03608364912</v>
      </c>
      <c r="D946">
        <v>78132.085012489522</v>
      </c>
      <c r="E946">
        <v>96933.350235962949</v>
      </c>
      <c r="F946">
        <v>42710.770400951282</v>
      </c>
      <c r="G946">
        <v>10000</v>
      </c>
      <c r="H946">
        <v>316072.24173305288</v>
      </c>
      <c r="I946">
        <v>34.983866055526022</v>
      </c>
    </row>
    <row r="947" spans="1:9" x14ac:dyDescent="0.2">
      <c r="A947">
        <v>937</v>
      </c>
      <c r="B947">
        <v>1007743.1390014645</v>
      </c>
      <c r="C947">
        <v>122364.17198511896</v>
      </c>
      <c r="D947">
        <v>94104.761932022884</v>
      </c>
      <c r="E947">
        <v>33339.537685168107</v>
      </c>
      <c r="F947">
        <v>38308.121839742402</v>
      </c>
      <c r="G947">
        <v>10000</v>
      </c>
      <c r="H947">
        <v>278116.59344205237</v>
      </c>
      <c r="I947">
        <v>34.914827728313</v>
      </c>
    </row>
    <row r="948" spans="1:9" x14ac:dyDescent="0.2">
      <c r="A948">
        <v>938</v>
      </c>
      <c r="B948">
        <v>1092228.621747026</v>
      </c>
      <c r="C948">
        <v>124449.2579685736</v>
      </c>
      <c r="D948">
        <v>51738.37351220681</v>
      </c>
      <c r="E948">
        <v>92667.848755863452</v>
      </c>
      <c r="F948">
        <v>42415.466452329005</v>
      </c>
      <c r="G948">
        <v>10000</v>
      </c>
      <c r="H948">
        <v>301270.94668897288</v>
      </c>
      <c r="I948">
        <v>45.66071886970515</v>
      </c>
    </row>
    <row r="949" spans="1:9" x14ac:dyDescent="0.2">
      <c r="A949">
        <v>939</v>
      </c>
      <c r="B949">
        <v>1809791.1891542592</v>
      </c>
      <c r="C949">
        <v>145842.92746328368</v>
      </c>
      <c r="D949">
        <v>155619.42347039573</v>
      </c>
      <c r="E949">
        <v>159428.64891706523</v>
      </c>
      <c r="F949">
        <v>47037.368001950665</v>
      </c>
      <c r="G949">
        <v>10000</v>
      </c>
      <c r="H949">
        <v>497928.36785269529</v>
      </c>
      <c r="I949">
        <v>44.924681178606789</v>
      </c>
    </row>
    <row r="950" spans="1:9" x14ac:dyDescent="0.2">
      <c r="A950">
        <v>940</v>
      </c>
      <c r="B950">
        <v>1122976.8708778496</v>
      </c>
      <c r="C950">
        <v>84342.478088171323</v>
      </c>
      <c r="D950">
        <v>84637.469211560761</v>
      </c>
      <c r="E950">
        <v>107290.17827138149</v>
      </c>
      <c r="F950">
        <v>43427.781572634107</v>
      </c>
      <c r="G950">
        <v>10000</v>
      </c>
      <c r="H950">
        <v>309697.90714374767</v>
      </c>
      <c r="I950">
        <v>46.668194394710341</v>
      </c>
    </row>
    <row r="951" spans="1:9" x14ac:dyDescent="0.2">
      <c r="A951">
        <v>941</v>
      </c>
      <c r="B951">
        <v>1492495.7545958841</v>
      </c>
      <c r="C951">
        <v>110902.52384783438</v>
      </c>
      <c r="D951">
        <v>118865.81558288372</v>
      </c>
      <c r="E951">
        <v>145152.06885181379</v>
      </c>
      <c r="F951">
        <v>46048.989382048647</v>
      </c>
      <c r="G951">
        <v>10000</v>
      </c>
      <c r="H951">
        <v>410969.39766458055</v>
      </c>
      <c r="I951">
        <v>33.841604378358554</v>
      </c>
    </row>
    <row r="952" spans="1:9" x14ac:dyDescent="0.2">
      <c r="A952">
        <v>942</v>
      </c>
      <c r="B952">
        <v>1092142.5960265615</v>
      </c>
      <c r="C952">
        <v>126300.10786421951</v>
      </c>
      <c r="D952">
        <v>56746.098364778205</v>
      </c>
      <c r="E952">
        <v>86231.304445846661</v>
      </c>
      <c r="F952">
        <v>41969.859538558616</v>
      </c>
      <c r="G952">
        <v>10000</v>
      </c>
      <c r="H952">
        <v>301247.37021340302</v>
      </c>
      <c r="I952">
        <v>40.166952183118227</v>
      </c>
    </row>
    <row r="953" spans="1:9" x14ac:dyDescent="0.2">
      <c r="A953">
        <v>943</v>
      </c>
      <c r="B953">
        <v>1168373.3292820696</v>
      </c>
      <c r="C953">
        <v>111215.5880507915</v>
      </c>
      <c r="D953">
        <v>66510.367460544425</v>
      </c>
      <c r="E953">
        <v>110746.38808328168</v>
      </c>
      <c r="F953">
        <v>43667.057636534882</v>
      </c>
      <c r="G953">
        <v>10000</v>
      </c>
      <c r="H953">
        <v>322139.40123115247</v>
      </c>
      <c r="I953">
        <v>34.838716735734778</v>
      </c>
    </row>
    <row r="954" spans="1:9" x14ac:dyDescent="0.2">
      <c r="A954">
        <v>944</v>
      </c>
      <c r="B954">
        <v>1296303.653233276</v>
      </c>
      <c r="C954">
        <v>108431.19934856745</v>
      </c>
      <c r="D954">
        <v>127164.41161814152</v>
      </c>
      <c r="E954">
        <v>89414.534347402703</v>
      </c>
      <c r="F954">
        <v>42190.236993281731</v>
      </c>
      <c r="G954">
        <v>10000</v>
      </c>
      <c r="H954">
        <v>357200.38230739342</v>
      </c>
      <c r="I954">
        <v>33.602027315870501</v>
      </c>
    </row>
    <row r="955" spans="1:9" x14ac:dyDescent="0.2">
      <c r="A955">
        <v>945</v>
      </c>
      <c r="B955">
        <v>1499645.284228039</v>
      </c>
      <c r="C955">
        <v>138453.17617951718</v>
      </c>
      <c r="D955">
        <v>77268.101602513474</v>
      </c>
      <c r="E955">
        <v>160122.16170624306</v>
      </c>
      <c r="F955">
        <v>47085.380425816824</v>
      </c>
      <c r="G955">
        <v>10000</v>
      </c>
      <c r="H955">
        <v>412928.81991409051</v>
      </c>
      <c r="I955">
        <v>44.084549897771083</v>
      </c>
    </row>
    <row r="956" spans="1:9" x14ac:dyDescent="0.2">
      <c r="A956">
        <v>946</v>
      </c>
      <c r="B956">
        <v>1411451.7961141542</v>
      </c>
      <c r="C956">
        <v>131119.22107256978</v>
      </c>
      <c r="D956">
        <v>92923.486665815042</v>
      </c>
      <c r="E956">
        <v>129733.95031002036</v>
      </c>
      <c r="F956">
        <v>44981.581175309097</v>
      </c>
      <c r="G956">
        <v>10000</v>
      </c>
      <c r="H956">
        <v>388758.23922371428</v>
      </c>
      <c r="I956">
        <v>30.796400924300283</v>
      </c>
    </row>
    <row r="957" spans="1:9" x14ac:dyDescent="0.2">
      <c r="A957">
        <v>947</v>
      </c>
      <c r="B957">
        <v>1360903.5016743562</v>
      </c>
      <c r="C957">
        <v>89488.591286532086</v>
      </c>
      <c r="D957">
        <v>86053.156112155979</v>
      </c>
      <c r="E957">
        <v>162138.12263498403</v>
      </c>
      <c r="F957">
        <v>47224.946951652739</v>
      </c>
      <c r="G957">
        <v>10000</v>
      </c>
      <c r="H957">
        <v>374904.81698532484</v>
      </c>
      <c r="I957">
        <v>30.54078082950231</v>
      </c>
    </row>
    <row r="958" spans="1:9" x14ac:dyDescent="0.2">
      <c r="A958">
        <v>948</v>
      </c>
      <c r="B958">
        <v>1687604.0833928543</v>
      </c>
      <c r="C958">
        <v>111426.51815437527</v>
      </c>
      <c r="D958">
        <v>114246.69706491716</v>
      </c>
      <c r="E958">
        <v>198991.81903198804</v>
      </c>
      <c r="F958">
        <v>49776.356702214551</v>
      </c>
      <c r="G958">
        <v>10000</v>
      </c>
      <c r="H958">
        <v>464441.39095349505</v>
      </c>
      <c r="I958">
        <v>30.781729710802171</v>
      </c>
    </row>
    <row r="959" spans="1:9" x14ac:dyDescent="0.2">
      <c r="A959">
        <v>949</v>
      </c>
      <c r="B959">
        <v>932836.18123146065</v>
      </c>
      <c r="C959">
        <v>130731.69209387134</v>
      </c>
      <c r="D959">
        <v>50372.296416999248</v>
      </c>
      <c r="E959">
        <v>47214.664391002349</v>
      </c>
      <c r="F959">
        <v>39268.707534761699</v>
      </c>
      <c r="G959">
        <v>10000</v>
      </c>
      <c r="H959">
        <v>257587.36043663468</v>
      </c>
      <c r="I959">
        <v>43.970099520689786</v>
      </c>
    </row>
    <row r="960" spans="1:9" x14ac:dyDescent="0.2">
      <c r="A960">
        <v>950</v>
      </c>
      <c r="B960">
        <v>1580005.3147084177</v>
      </c>
      <c r="C960">
        <v>102555.0090026956</v>
      </c>
      <c r="D960">
        <v>129043.18371645479</v>
      </c>
      <c r="E960">
        <v>165870.97127372466</v>
      </c>
      <c r="F960">
        <v>47483.374934334788</v>
      </c>
      <c r="G960">
        <v>10000</v>
      </c>
      <c r="H960">
        <v>434952.5389272098</v>
      </c>
      <c r="I960">
        <v>31.093041735136076</v>
      </c>
    </row>
    <row r="961" spans="1:9" x14ac:dyDescent="0.2">
      <c r="A961">
        <v>951</v>
      </c>
      <c r="B961">
        <v>1192237.3086678276</v>
      </c>
      <c r="C961">
        <v>133129.89123874673</v>
      </c>
      <c r="D961">
        <v>53783.680992479873</v>
      </c>
      <c r="E961">
        <v>108270.42064572347</v>
      </c>
      <c r="F961">
        <v>43495.644506242395</v>
      </c>
      <c r="G961">
        <v>10000</v>
      </c>
      <c r="H961">
        <v>328679.63738319249</v>
      </c>
      <c r="I961">
        <v>46.516780611216888</v>
      </c>
    </row>
    <row r="962" spans="1:9" x14ac:dyDescent="0.2">
      <c r="A962">
        <v>952</v>
      </c>
      <c r="B962">
        <v>1018255.9866254616</v>
      </c>
      <c r="C962">
        <v>93794.915168060717</v>
      </c>
      <c r="D962">
        <v>82267.845156900614</v>
      </c>
      <c r="E962">
        <v>73824.116356244733</v>
      </c>
      <c r="F962">
        <v>41110.900363124631</v>
      </c>
      <c r="G962">
        <v>10000</v>
      </c>
      <c r="H962">
        <v>280997.77704433067</v>
      </c>
      <c r="I962">
        <v>29.721251232684128</v>
      </c>
    </row>
    <row r="963" spans="1:9" x14ac:dyDescent="0.2">
      <c r="A963">
        <v>953</v>
      </c>
      <c r="B963">
        <v>1457460.2532524492</v>
      </c>
      <c r="C963">
        <v>143485.43426571551</v>
      </c>
      <c r="D963">
        <v>68237.583320346748</v>
      </c>
      <c r="E963">
        <v>153048.75870025103</v>
      </c>
      <c r="F963">
        <v>46595.683294632763</v>
      </c>
      <c r="G963">
        <v>10000</v>
      </c>
      <c r="H963">
        <v>401367.45958094607</v>
      </c>
      <c r="I963">
        <v>40.414107345144842</v>
      </c>
    </row>
    <row r="964" spans="1:9" x14ac:dyDescent="0.2">
      <c r="A964">
        <v>954</v>
      </c>
      <c r="B964">
        <v>1453685.2182569944</v>
      </c>
      <c r="C964">
        <v>105513.80423993053</v>
      </c>
      <c r="D964">
        <v>85025.011169143865</v>
      </c>
      <c r="E964">
        <v>171893.7124427176</v>
      </c>
      <c r="F964">
        <v>47900.333938341988</v>
      </c>
      <c r="G964">
        <v>10000</v>
      </c>
      <c r="H964">
        <v>400332.86179013399</v>
      </c>
      <c r="I964">
        <v>34.570431846212799</v>
      </c>
    </row>
    <row r="965" spans="1:9" x14ac:dyDescent="0.2">
      <c r="A965">
        <v>955</v>
      </c>
      <c r="B965">
        <v>1420018.4068497785</v>
      </c>
      <c r="C965">
        <v>117375.39476559428</v>
      </c>
      <c r="D965">
        <v>137111.13788874319</v>
      </c>
      <c r="E965">
        <v>103457.08488883307</v>
      </c>
      <c r="F965">
        <v>43162.413569226905</v>
      </c>
      <c r="G965">
        <v>10000</v>
      </c>
      <c r="H965">
        <v>391106.03111239744</v>
      </c>
      <c r="I965">
        <v>39.934363384146344</v>
      </c>
    </row>
    <row r="966" spans="1:9" x14ac:dyDescent="0.2">
      <c r="A966">
        <v>956</v>
      </c>
      <c r="B966">
        <v>914641.58858905954</v>
      </c>
      <c r="C966">
        <v>92228.637737490513</v>
      </c>
      <c r="D966">
        <v>92677.597256198889</v>
      </c>
      <c r="E966">
        <v>38995.004813510757</v>
      </c>
      <c r="F966">
        <v>38699.654179396901</v>
      </c>
      <c r="G966">
        <v>10000</v>
      </c>
      <c r="H966">
        <v>252600.89398659708</v>
      </c>
      <c r="I966">
        <v>36.064280557208903</v>
      </c>
    </row>
    <row r="967" spans="1:9" x14ac:dyDescent="0.2">
      <c r="A967">
        <v>957</v>
      </c>
      <c r="B967">
        <v>1413633.2722570004</v>
      </c>
      <c r="C967">
        <v>98089.017037345649</v>
      </c>
      <c r="D967">
        <v>135489.77611967243</v>
      </c>
      <c r="E967">
        <v>121374.4608872544</v>
      </c>
      <c r="F967">
        <v>44402.847292194536</v>
      </c>
      <c r="G967">
        <v>10000</v>
      </c>
      <c r="H967">
        <v>389356.10133646702</v>
      </c>
      <c r="I967">
        <v>39.617877421079093</v>
      </c>
    </row>
    <row r="968" spans="1:9" x14ac:dyDescent="0.2">
      <c r="A968">
        <v>958</v>
      </c>
      <c r="B968">
        <v>1232811.2329935185</v>
      </c>
      <c r="C968">
        <v>119943.18943155069</v>
      </c>
      <c r="D968">
        <v>112411.16694261733</v>
      </c>
      <c r="E968">
        <v>76171.672948573862</v>
      </c>
      <c r="F968">
        <v>41273.423511824345</v>
      </c>
      <c r="G968">
        <v>10000</v>
      </c>
      <c r="H968">
        <v>339799.45283456624</v>
      </c>
      <c r="I968">
        <v>40.251714511074944</v>
      </c>
    </row>
    <row r="969" spans="1:9" x14ac:dyDescent="0.2">
      <c r="A969">
        <v>959</v>
      </c>
      <c r="B969">
        <v>1517335.3556125022</v>
      </c>
      <c r="C969">
        <v>110249.88006419015</v>
      </c>
      <c r="D969">
        <v>122692.29123664231</v>
      </c>
      <c r="E969">
        <v>148550.57390272565</v>
      </c>
      <c r="F969">
        <v>46284.270500957929</v>
      </c>
      <c r="G969">
        <v>10000</v>
      </c>
      <c r="H969">
        <v>417777.01570451603</v>
      </c>
      <c r="I969">
        <v>42.143571032451106</v>
      </c>
    </row>
    <row r="970" spans="1:9" x14ac:dyDescent="0.2">
      <c r="A970">
        <v>960</v>
      </c>
      <c r="B970">
        <v>1251136.2492727854</v>
      </c>
      <c r="C970">
        <v>144325.7800779331</v>
      </c>
      <c r="D970">
        <v>130127.55750940826</v>
      </c>
      <c r="E970">
        <v>41495.556693830782</v>
      </c>
      <c r="F970">
        <v>38872.769309572897</v>
      </c>
      <c r="G970">
        <v>10000</v>
      </c>
      <c r="H970">
        <v>344821.66359074501</v>
      </c>
      <c r="I970">
        <v>41.419544545597049</v>
      </c>
    </row>
    <row r="971" spans="1:9" x14ac:dyDescent="0.2">
      <c r="A971">
        <v>961</v>
      </c>
      <c r="B971">
        <v>972184.14288537111</v>
      </c>
      <c r="C971">
        <v>103701.5490283852</v>
      </c>
      <c r="D971">
        <v>96241.88784864785</v>
      </c>
      <c r="E971">
        <v>39680.627515094246</v>
      </c>
      <c r="F971">
        <v>38747.120366429604</v>
      </c>
      <c r="G971">
        <v>10000</v>
      </c>
      <c r="H971">
        <v>268371.18475855689</v>
      </c>
      <c r="I971">
        <v>26.370914550147042</v>
      </c>
    </row>
    <row r="972" spans="1:9" x14ac:dyDescent="0.2">
      <c r="A972">
        <v>962</v>
      </c>
      <c r="B972">
        <v>1004887.3411226614</v>
      </c>
      <c r="C972">
        <v>90616.594348487866</v>
      </c>
      <c r="D972">
        <v>101378.4862203481</v>
      </c>
      <c r="E972">
        <v>55496.760627524127</v>
      </c>
      <c r="F972">
        <v>39842.083428059363</v>
      </c>
      <c r="G972">
        <v>10000</v>
      </c>
      <c r="H972">
        <v>277333.92462441942</v>
      </c>
      <c r="I972">
        <v>37.749072616013883</v>
      </c>
    </row>
    <row r="973" spans="1:9" x14ac:dyDescent="0.2">
      <c r="A973">
        <v>963</v>
      </c>
      <c r="B973">
        <v>1389981.0810359835</v>
      </c>
      <c r="C973">
        <v>102554.03491649788</v>
      </c>
      <c r="D973">
        <v>133198.95435889633</v>
      </c>
      <c r="E973">
        <v>113278.55755310308</v>
      </c>
      <c r="F973">
        <v>43842.361676753288</v>
      </c>
      <c r="G973">
        <v>10000</v>
      </c>
      <c r="H973">
        <v>382873.90850525058</v>
      </c>
      <c r="I973">
        <v>26.118472075592962</v>
      </c>
    </row>
    <row r="974" spans="1:9" x14ac:dyDescent="0.2">
      <c r="A974">
        <v>964</v>
      </c>
      <c r="B974">
        <v>1108571.8944068432</v>
      </c>
      <c r="C974">
        <v>98460.74602923356</v>
      </c>
      <c r="D974">
        <v>69755.38207103344</v>
      </c>
      <c r="E974">
        <v>104312.2866981885</v>
      </c>
      <c r="F974">
        <v>43221.61984833613</v>
      </c>
      <c r="G974">
        <v>10000</v>
      </c>
      <c r="H974">
        <v>305750.03464679164</v>
      </c>
      <c r="I974">
        <v>35.782660457947664</v>
      </c>
    </row>
    <row r="975" spans="1:9" x14ac:dyDescent="0.2">
      <c r="A975">
        <v>965</v>
      </c>
      <c r="B975">
        <v>1460813.8405276244</v>
      </c>
      <c r="C975">
        <v>151064.89253876481</v>
      </c>
      <c r="D975">
        <v>108224.78187402489</v>
      </c>
      <c r="E975">
        <v>109421.54215663558</v>
      </c>
      <c r="F975">
        <v>43575.337533920923</v>
      </c>
      <c r="G975">
        <v>10000</v>
      </c>
      <c r="H975">
        <v>402286.55410334625</v>
      </c>
      <c r="I975">
        <v>39.568630659192834</v>
      </c>
    </row>
    <row r="976" spans="1:9" x14ac:dyDescent="0.2">
      <c r="A976">
        <v>966</v>
      </c>
      <c r="B976">
        <v>1390514.2861057266</v>
      </c>
      <c r="C976">
        <v>87881.0830813262</v>
      </c>
      <c r="D976">
        <v>73856.900235301728</v>
      </c>
      <c r="E976">
        <v>182637.89505710578</v>
      </c>
      <c r="F976">
        <v>48644.161965491941</v>
      </c>
      <c r="G976">
        <v>10000</v>
      </c>
      <c r="H976">
        <v>383020.04033922567</v>
      </c>
      <c r="I976">
        <v>27.413529195333254</v>
      </c>
    </row>
    <row r="977" spans="1:9" x14ac:dyDescent="0.2">
      <c r="A977">
        <v>967</v>
      </c>
      <c r="B977">
        <v>1063899.5158614244</v>
      </c>
      <c r="C977">
        <v>129062.47935654718</v>
      </c>
      <c r="D977">
        <v>56334.830625475981</v>
      </c>
      <c r="E977">
        <v>76793.220425818436</v>
      </c>
      <c r="F977">
        <v>41316.453721787424</v>
      </c>
      <c r="G977">
        <v>10000</v>
      </c>
      <c r="H977">
        <v>293506.98412962898</v>
      </c>
      <c r="I977">
        <v>32.265368196523923</v>
      </c>
    </row>
    <row r="978" spans="1:9" x14ac:dyDescent="0.2">
      <c r="A978">
        <v>968</v>
      </c>
      <c r="B978">
        <v>1066317.5581215099</v>
      </c>
      <c r="C978">
        <v>90192.681241723592</v>
      </c>
      <c r="D978">
        <v>27622.253474523182</v>
      </c>
      <c r="E978">
        <v>140619.54621599903</v>
      </c>
      <c r="F978">
        <v>45735.199353415315</v>
      </c>
      <c r="G978">
        <v>10000</v>
      </c>
      <c r="H978">
        <v>294169.68028566113</v>
      </c>
      <c r="I978">
        <v>35.079304605624316</v>
      </c>
    </row>
    <row r="979" spans="1:9" x14ac:dyDescent="0.2">
      <c r="A979">
        <v>969</v>
      </c>
      <c r="B979">
        <v>895350.97418575792</v>
      </c>
      <c r="C979">
        <v>79245.233426483363</v>
      </c>
      <c r="D979">
        <v>54661.430362175539</v>
      </c>
      <c r="E979">
        <v>81747.913680124664</v>
      </c>
      <c r="F979">
        <v>41659.470947085552</v>
      </c>
      <c r="G979">
        <v>10000</v>
      </c>
      <c r="H979">
        <v>247314.04841586915</v>
      </c>
      <c r="I979">
        <v>41.043081089657164</v>
      </c>
    </row>
    <row r="980" spans="1:9" x14ac:dyDescent="0.2">
      <c r="A980">
        <v>970</v>
      </c>
      <c r="B980">
        <v>936974.9352341824</v>
      </c>
      <c r="C980">
        <v>78116.900564403375</v>
      </c>
      <c r="D980">
        <v>71076.587457551228</v>
      </c>
      <c r="E980">
        <v>78119.854541774388</v>
      </c>
      <c r="F980">
        <v>41408.297622122845</v>
      </c>
      <c r="G980">
        <v>10000</v>
      </c>
      <c r="H980">
        <v>258721.64018585184</v>
      </c>
      <c r="I980">
        <v>38.799082591197006</v>
      </c>
    </row>
    <row r="981" spans="1:9" x14ac:dyDescent="0.2">
      <c r="A981">
        <v>971</v>
      </c>
      <c r="B981">
        <v>874928.32666319481</v>
      </c>
      <c r="C981">
        <v>133665.08214279142</v>
      </c>
      <c r="D981">
        <v>44729.277542678006</v>
      </c>
      <c r="E981">
        <v>34906.02377758926</v>
      </c>
      <c r="F981">
        <v>38416.570876910024</v>
      </c>
      <c r="G981">
        <v>10000</v>
      </c>
      <c r="H981">
        <v>241716.95433996871</v>
      </c>
      <c r="I981">
        <v>34.351778207256288</v>
      </c>
    </row>
    <row r="982" spans="1:9" x14ac:dyDescent="0.2">
      <c r="A982">
        <v>972</v>
      </c>
      <c r="B982">
        <v>1438782.8228014486</v>
      </c>
      <c r="C982">
        <v>105872.1928032365</v>
      </c>
      <c r="D982">
        <v>116995.94516862111</v>
      </c>
      <c r="E982">
        <v>137837.90307381167</v>
      </c>
      <c r="F982">
        <v>45542.624058956193</v>
      </c>
      <c r="G982">
        <v>10000</v>
      </c>
      <c r="H982">
        <v>396248.66510462551</v>
      </c>
      <c r="I982">
        <v>27.087708828004686</v>
      </c>
    </row>
    <row r="983" spans="1:9" x14ac:dyDescent="0.2">
      <c r="A983">
        <v>973</v>
      </c>
      <c r="B983">
        <v>1306658.8243184572</v>
      </c>
      <c r="C983">
        <v>112610.82761087835</v>
      </c>
      <c r="D983">
        <v>125285.84885525893</v>
      </c>
      <c r="E983">
        <v>89916.675510364061</v>
      </c>
      <c r="F983">
        <v>42225.000612255972</v>
      </c>
      <c r="G983">
        <v>10000</v>
      </c>
      <c r="H983">
        <v>360038.35258875729</v>
      </c>
      <c r="I983">
        <v>35.330881363445158</v>
      </c>
    </row>
    <row r="984" spans="1:9" x14ac:dyDescent="0.2">
      <c r="A984">
        <v>974</v>
      </c>
      <c r="B984">
        <v>1176246.2100255426</v>
      </c>
      <c r="C984">
        <v>94811.816540414322</v>
      </c>
      <c r="D984">
        <v>158359.93618452927</v>
      </c>
      <c r="E984">
        <v>42203.531643249873</v>
      </c>
      <c r="F984">
        <v>38921.782959917298</v>
      </c>
      <c r="G984">
        <v>10000</v>
      </c>
      <c r="H984">
        <v>324297.0673281108</v>
      </c>
      <c r="I984">
        <v>23.821854704749256</v>
      </c>
    </row>
    <row r="985" spans="1:9" x14ac:dyDescent="0.2">
      <c r="A985">
        <v>975</v>
      </c>
      <c r="B985">
        <v>1324806.6436010937</v>
      </c>
      <c r="C985">
        <v>83481.751764970119</v>
      </c>
      <c r="D985">
        <v>111613.10932144185</v>
      </c>
      <c r="E985">
        <v>134598.76318746305</v>
      </c>
      <c r="F985">
        <v>45318.375912978205</v>
      </c>
      <c r="G985">
        <v>10000</v>
      </c>
      <c r="H985">
        <v>365012.00018685323</v>
      </c>
      <c r="I985">
        <v>43.91624553001995</v>
      </c>
    </row>
    <row r="986" spans="1:9" x14ac:dyDescent="0.2">
      <c r="A986">
        <v>976</v>
      </c>
      <c r="B986">
        <v>1276689.9688401055</v>
      </c>
      <c r="C986">
        <v>111964.11924000434</v>
      </c>
      <c r="D986">
        <v>62616.930717616015</v>
      </c>
      <c r="E986">
        <v>141451.17178505834</v>
      </c>
      <c r="F986">
        <v>45792.773431273265</v>
      </c>
      <c r="G986">
        <v>10000</v>
      </c>
      <c r="H986">
        <v>351824.99517395196</v>
      </c>
      <c r="I986">
        <v>48.171786559110345</v>
      </c>
    </row>
    <row r="987" spans="1:9" x14ac:dyDescent="0.2">
      <c r="A987">
        <v>977</v>
      </c>
      <c r="B987">
        <v>1266194.2444905529</v>
      </c>
      <c r="C987">
        <v>109516.36468179265</v>
      </c>
      <c r="D987">
        <v>135410.17927391766</v>
      </c>
      <c r="E987">
        <v>72970.178860227374</v>
      </c>
      <c r="F987">
        <v>41051.781613400359</v>
      </c>
      <c r="G987">
        <v>10000</v>
      </c>
      <c r="H987">
        <v>348948.50442933809</v>
      </c>
      <c r="I987">
        <v>40.032718545903847</v>
      </c>
    </row>
    <row r="988" spans="1:9" x14ac:dyDescent="0.2">
      <c r="A988">
        <v>978</v>
      </c>
      <c r="B988">
        <v>1025403.6779740187</v>
      </c>
      <c r="C988">
        <v>95194.720270769249</v>
      </c>
      <c r="D988">
        <v>61342.388039166945</v>
      </c>
      <c r="E988">
        <v>93917.599519183816</v>
      </c>
      <c r="F988">
        <v>42501.987659020415</v>
      </c>
      <c r="G988">
        <v>10000</v>
      </c>
      <c r="H988">
        <v>282956.69548814039</v>
      </c>
      <c r="I988">
        <v>40.862775668684748</v>
      </c>
    </row>
    <row r="989" spans="1:9" x14ac:dyDescent="0.2">
      <c r="A989">
        <v>979</v>
      </c>
      <c r="B989">
        <v>895322.76965040585</v>
      </c>
      <c r="C989">
        <v>94908.832189704932</v>
      </c>
      <c r="D989">
        <v>69913.064791469806</v>
      </c>
      <c r="E989">
        <v>52827.156903610114</v>
      </c>
      <c r="F989">
        <v>39657.264708711475</v>
      </c>
      <c r="G989">
        <v>10000</v>
      </c>
      <c r="H989">
        <v>247306.31859349634</v>
      </c>
      <c r="I989">
        <v>38.201743109188051</v>
      </c>
    </row>
    <row r="990" spans="1:9" x14ac:dyDescent="0.2">
      <c r="A990">
        <v>980</v>
      </c>
      <c r="B990">
        <v>1448471.1635608624</v>
      </c>
      <c r="C990">
        <v>75715.022145387251</v>
      </c>
      <c r="D990">
        <v>80526.437108864135</v>
      </c>
      <c r="E990">
        <v>202633.920366718</v>
      </c>
      <c r="F990">
        <v>50028.502179234325</v>
      </c>
      <c r="G990">
        <v>10000</v>
      </c>
      <c r="H990">
        <v>398903.88180020376</v>
      </c>
      <c r="I990">
        <v>25.292420548355722</v>
      </c>
    </row>
    <row r="991" spans="1:9" x14ac:dyDescent="0.2">
      <c r="A991">
        <v>981</v>
      </c>
      <c r="B991">
        <v>1580819.4860014217</v>
      </c>
      <c r="C991">
        <v>114564.73821419876</v>
      </c>
      <c r="D991">
        <v>89275.450789845185</v>
      </c>
      <c r="E991">
        <v>192040.38093554793</v>
      </c>
      <c r="F991">
        <v>49295.103295537934</v>
      </c>
      <c r="G991">
        <v>10000</v>
      </c>
      <c r="H991">
        <v>435175.6732351298</v>
      </c>
      <c r="I991">
        <v>37.45636462850284</v>
      </c>
    </row>
    <row r="992" spans="1:9" x14ac:dyDescent="0.2">
      <c r="A992">
        <v>982</v>
      </c>
      <c r="B992">
        <v>1345402.3804246807</v>
      </c>
      <c r="C992">
        <v>109745.13185008134</v>
      </c>
      <c r="D992">
        <v>80881.944000887772</v>
      </c>
      <c r="E992">
        <v>144056.32557028919</v>
      </c>
      <c r="F992">
        <v>45973.130231789255</v>
      </c>
      <c r="G992">
        <v>10000</v>
      </c>
      <c r="H992">
        <v>370656.5316530476</v>
      </c>
      <c r="I992">
        <v>32.630431997569104</v>
      </c>
    </row>
    <row r="993" spans="1:9" x14ac:dyDescent="0.2">
      <c r="A993">
        <v>983</v>
      </c>
      <c r="B993">
        <v>943965.37642632343</v>
      </c>
      <c r="C993">
        <v>106411.51861901529</v>
      </c>
      <c r="D993">
        <v>49482.547708188329</v>
      </c>
      <c r="E993">
        <v>73644.90258157783</v>
      </c>
      <c r="F993">
        <v>41098.493255647692</v>
      </c>
      <c r="G993">
        <v>10000</v>
      </c>
      <c r="H993">
        <v>260637.46216442913</v>
      </c>
      <c r="I993">
        <v>32.175244389904769</v>
      </c>
    </row>
    <row r="994" spans="1:9" x14ac:dyDescent="0.2">
      <c r="A994">
        <v>984</v>
      </c>
      <c r="B994">
        <v>1597613.7683324185</v>
      </c>
      <c r="C994">
        <v>102602.91006281477</v>
      </c>
      <c r="D994">
        <v>101933.07299530336</v>
      </c>
      <c r="E994">
        <v>195694.31526335631</v>
      </c>
      <c r="F994">
        <v>49548.067979770822</v>
      </c>
      <c r="G994">
        <v>10000</v>
      </c>
      <c r="H994">
        <v>439778.36630124529</v>
      </c>
      <c r="I994">
        <v>33.881046673169465</v>
      </c>
    </row>
    <row r="995" spans="1:9" x14ac:dyDescent="0.2">
      <c r="A995">
        <v>985</v>
      </c>
      <c r="B995">
        <v>1231472.8711099185</v>
      </c>
      <c r="C995">
        <v>117961.7741973688</v>
      </c>
      <c r="D995">
        <v>148624.89885580764</v>
      </c>
      <c r="E995">
        <v>43812.790955586206</v>
      </c>
      <c r="F995">
        <v>39033.193220002126</v>
      </c>
      <c r="G995">
        <v>10000</v>
      </c>
      <c r="H995">
        <v>339432.65722876473</v>
      </c>
      <c r="I995">
        <v>37.50181595111647</v>
      </c>
    </row>
    <row r="996" spans="1:9" x14ac:dyDescent="0.2">
      <c r="A996">
        <v>986</v>
      </c>
      <c r="B996">
        <v>1085101.6793254944</v>
      </c>
      <c r="C996">
        <v>74454.737229911247</v>
      </c>
      <c r="D996">
        <v>129761.2427398579</v>
      </c>
      <c r="E996">
        <v>64627.521746643361</v>
      </c>
      <c r="F996">
        <v>40474.213043998381</v>
      </c>
      <c r="G996">
        <v>10000</v>
      </c>
      <c r="H996">
        <v>299317.71476041089</v>
      </c>
      <c r="I996">
        <v>25.487652412953764</v>
      </c>
    </row>
    <row r="997" spans="1:9" x14ac:dyDescent="0.2">
      <c r="A997">
        <v>987</v>
      </c>
      <c r="B997">
        <v>1290807.2115247496</v>
      </c>
      <c r="C997">
        <v>122303.2008533827</v>
      </c>
      <c r="D997">
        <v>147858.66602483069</v>
      </c>
      <c r="E997">
        <v>55677.544354864025</v>
      </c>
      <c r="F997">
        <v>39854.599224567508</v>
      </c>
      <c r="G997">
        <v>10000</v>
      </c>
      <c r="H997">
        <v>355694.01045764494</v>
      </c>
      <c r="I997">
        <v>38.006066088750103</v>
      </c>
    </row>
    <row r="998" spans="1:9" x14ac:dyDescent="0.2">
      <c r="A998">
        <v>988</v>
      </c>
      <c r="B998">
        <v>1721585.0517695302</v>
      </c>
      <c r="C998">
        <v>102149.33009762681</v>
      </c>
      <c r="D998">
        <v>156878.03761281451</v>
      </c>
      <c r="E998">
        <v>176507.22199968231</v>
      </c>
      <c r="F998">
        <v>48219.730753824158</v>
      </c>
      <c r="G998">
        <v>10000</v>
      </c>
      <c r="H998">
        <v>473754.32046394778</v>
      </c>
      <c r="I998">
        <v>47.626706940865482</v>
      </c>
    </row>
    <row r="999" spans="1:9" x14ac:dyDescent="0.2">
      <c r="A999">
        <v>989</v>
      </c>
      <c r="B999">
        <v>1258104.4046649572</v>
      </c>
      <c r="C999">
        <v>157546.7474407985</v>
      </c>
      <c r="D999">
        <v>87984.356415499555</v>
      </c>
      <c r="E999">
        <v>70331.191508560209</v>
      </c>
      <c r="F999">
        <v>40869.08248905417</v>
      </c>
      <c r="G999">
        <v>10000</v>
      </c>
      <c r="H999">
        <v>346731.37785391242</v>
      </c>
      <c r="I999">
        <v>42.555478021839704</v>
      </c>
    </row>
    <row r="1000" spans="1:9" x14ac:dyDescent="0.2">
      <c r="A1000">
        <v>990</v>
      </c>
      <c r="B1000">
        <v>1844010.3883091141</v>
      </c>
      <c r="C1000">
        <v>122266.03715430461</v>
      </c>
      <c r="D1000">
        <v>167676.76233447794</v>
      </c>
      <c r="E1000">
        <v>178973.32703720566</v>
      </c>
      <c r="F1000">
        <v>48390.461102575769</v>
      </c>
      <c r="G1000">
        <v>10000</v>
      </c>
      <c r="H1000">
        <v>507306.58762856398</v>
      </c>
      <c r="I1000">
        <v>24.881634625538751</v>
      </c>
    </row>
    <row r="1001" spans="1:9" x14ac:dyDescent="0.2">
      <c r="A1001">
        <v>991</v>
      </c>
      <c r="B1001">
        <v>1190108.4132785746</v>
      </c>
      <c r="C1001">
        <v>109309.63395006604</v>
      </c>
      <c r="D1001">
        <v>125117.03779150329</v>
      </c>
      <c r="E1001">
        <v>63288.034651160262</v>
      </c>
      <c r="F1001">
        <v>40381.479322003404</v>
      </c>
      <c r="G1001">
        <v>10000</v>
      </c>
      <c r="H1001">
        <v>328096.18571473297</v>
      </c>
      <c r="I1001">
        <v>35.321697964836233</v>
      </c>
    </row>
    <row r="1002" spans="1:9" x14ac:dyDescent="0.2">
      <c r="A1002">
        <v>992</v>
      </c>
      <c r="B1002">
        <v>812897.24702656758</v>
      </c>
      <c r="C1002">
        <v>110659.07786756159</v>
      </c>
      <c r="D1002">
        <v>50141.718409602967</v>
      </c>
      <c r="E1002">
        <v>35460.752922475454</v>
      </c>
      <c r="F1002">
        <v>38454.975202325222</v>
      </c>
      <c r="G1002">
        <v>10000</v>
      </c>
      <c r="H1002">
        <v>224716.5244019652</v>
      </c>
      <c r="I1002">
        <v>36.61100636924607</v>
      </c>
    </row>
    <row r="1003" spans="1:9" x14ac:dyDescent="0.2">
      <c r="A1003">
        <v>993</v>
      </c>
      <c r="B1003">
        <v>1356034.9090550365</v>
      </c>
      <c r="C1003">
        <v>98811.914703580915</v>
      </c>
      <c r="D1003">
        <v>105781.52540721487</v>
      </c>
      <c r="E1003">
        <v>133719.5668199122</v>
      </c>
      <c r="F1003">
        <v>45257.508472147769</v>
      </c>
      <c r="G1003">
        <v>10000</v>
      </c>
      <c r="H1003">
        <v>373570.5154028557</v>
      </c>
      <c r="I1003">
        <v>30.598948845795874</v>
      </c>
    </row>
    <row r="1004" spans="1:9" x14ac:dyDescent="0.2">
      <c r="A1004">
        <v>994</v>
      </c>
      <c r="B1004">
        <v>1192992.1680362015</v>
      </c>
      <c r="C1004">
        <v>131385.33079025685</v>
      </c>
      <c r="D1004">
        <v>50788.59649401065</v>
      </c>
      <c r="E1004">
        <v>112896.66615542599</v>
      </c>
      <c r="F1004">
        <v>43815.923041529488</v>
      </c>
      <c r="G1004">
        <v>10000</v>
      </c>
      <c r="H1004">
        <v>328886.51648122299</v>
      </c>
      <c r="I1004">
        <v>43.178925414858455</v>
      </c>
    </row>
    <row r="1005" spans="1:9" x14ac:dyDescent="0.2">
      <c r="A1005">
        <v>995</v>
      </c>
      <c r="B1005">
        <v>1342501.6291910447</v>
      </c>
      <c r="C1005">
        <v>133437.59791823896</v>
      </c>
      <c r="D1005">
        <v>111252.650300323</v>
      </c>
      <c r="E1005">
        <v>92750.1316039097</v>
      </c>
      <c r="F1005">
        <v>42421.162957193752</v>
      </c>
      <c r="G1005">
        <v>10000</v>
      </c>
      <c r="H1005">
        <v>369861.54277966538</v>
      </c>
      <c r="I1005">
        <v>36.86698786291219</v>
      </c>
    </row>
    <row r="1006" spans="1:9" x14ac:dyDescent="0.2">
      <c r="A1006">
        <v>996</v>
      </c>
      <c r="B1006">
        <v>1313269.2680443991</v>
      </c>
      <c r="C1006">
        <v>125815.08980624288</v>
      </c>
      <c r="D1006">
        <v>117644.95104616547</v>
      </c>
      <c r="E1006">
        <v>86407.904720214763</v>
      </c>
      <c r="F1006">
        <v>41982.085711399486</v>
      </c>
      <c r="G1006">
        <v>10000</v>
      </c>
      <c r="H1006">
        <v>361850.03128402261</v>
      </c>
      <c r="I1006">
        <v>26.298898070631747</v>
      </c>
    </row>
    <row r="1007" spans="1:9" x14ac:dyDescent="0.2">
      <c r="A1007">
        <v>997</v>
      </c>
      <c r="B1007">
        <v>1242843.4400954724</v>
      </c>
      <c r="C1007">
        <v>121860.4164513647</v>
      </c>
      <c r="D1007">
        <v>97225.29980117282</v>
      </c>
      <c r="E1007">
        <v>91152.627812333885</v>
      </c>
      <c r="F1007">
        <v>42310.566540853884</v>
      </c>
      <c r="G1007">
        <v>10000</v>
      </c>
      <c r="H1007">
        <v>342548.91060572525</v>
      </c>
      <c r="I1007">
        <v>30.73164574060306</v>
      </c>
    </row>
    <row r="1008" spans="1:9" x14ac:dyDescent="0.2">
      <c r="A1008">
        <v>998</v>
      </c>
      <c r="B1008">
        <v>1005151.8082710304</v>
      </c>
      <c r="C1008">
        <v>104417.52180631421</v>
      </c>
      <c r="D1008">
        <v>91968.865560311926</v>
      </c>
      <c r="E1008">
        <v>51457.570739121715</v>
      </c>
      <c r="F1008">
        <v>39562.44720501612</v>
      </c>
      <c r="G1008">
        <v>10000</v>
      </c>
      <c r="H1008">
        <v>277406.40531076392</v>
      </c>
      <c r="I1008">
        <v>34.251366549848299</v>
      </c>
    </row>
    <row r="1009" spans="1:9" x14ac:dyDescent="0.2">
      <c r="A1009">
        <v>999</v>
      </c>
      <c r="B1009">
        <v>1363468.986197768</v>
      </c>
      <c r="C1009">
        <v>115650.19451320299</v>
      </c>
      <c r="D1009">
        <v>146264.49572275075</v>
      </c>
      <c r="E1009">
        <v>82015.252378255624</v>
      </c>
      <c r="F1009">
        <v>41677.979010802308</v>
      </c>
      <c r="G1009">
        <v>10000</v>
      </c>
      <c r="H1009">
        <v>375607.92162501166</v>
      </c>
      <c r="I1009">
        <v>44.463971337981121</v>
      </c>
    </row>
    <row r="1010" spans="1:9" x14ac:dyDescent="0.2">
      <c r="A1010">
        <v>1000</v>
      </c>
      <c r="B1010">
        <v>1198415.7269194976</v>
      </c>
      <c r="C1010">
        <v>115568.27177342199</v>
      </c>
      <c r="D1010">
        <v>101713.88935672918</v>
      </c>
      <c r="E1010">
        <v>81451.783108063086</v>
      </c>
      <c r="F1010">
        <v>41638.969599788987</v>
      </c>
      <c r="G1010">
        <v>10000</v>
      </c>
      <c r="H1010">
        <v>330372.9138380033</v>
      </c>
      <c r="I1010">
        <v>33.06877994942618</v>
      </c>
    </row>
    <row r="1015" spans="1:9" ht="19" x14ac:dyDescent="0.25">
      <c r="A1015" s="4" t="s">
        <v>491</v>
      </c>
    </row>
    <row r="1016" spans="1:9" x14ac:dyDescent="0.2">
      <c r="A1016" t="s">
        <v>492</v>
      </c>
      <c r="B1016" s="16">
        <f>AVERAGE(B11:B1010)</f>
        <v>1290413.4807705816</v>
      </c>
    </row>
    <row r="1017" spans="1:9" x14ac:dyDescent="0.2">
      <c r="A1017" t="s">
        <v>493</v>
      </c>
      <c r="B1017" s="16">
        <f>PERCENTILE(B11:B1010,0.1)</f>
        <v>940428.54115357378</v>
      </c>
    </row>
    <row r="1018" spans="1:9" x14ac:dyDescent="0.2">
      <c r="A1018" t="s">
        <v>494</v>
      </c>
      <c r="B1018" s="16">
        <f>PERCENTILE(B11:B1010,0.5)</f>
        <v>1301740.0225946764</v>
      </c>
    </row>
    <row r="1019" spans="1:9" x14ac:dyDescent="0.2">
      <c r="A1019" t="s">
        <v>495</v>
      </c>
      <c r="B1019" s="16">
        <f>PERCENTILE(B11:B1010,0.9)</f>
        <v>1620605.6407314283</v>
      </c>
    </row>
    <row r="1020" spans="1:9" x14ac:dyDescent="0.2">
      <c r="A1020" t="s">
        <v>496</v>
      </c>
      <c r="B1020" s="16">
        <f>STDEV(B11:B1010)</f>
        <v>253352.07458111588</v>
      </c>
    </row>
    <row r="1021" spans="1:9" x14ac:dyDescent="0.2">
      <c r="A1021" t="s">
        <v>497</v>
      </c>
      <c r="B1021" s="23">
        <f>COUNTIF(B11:B1010,"&gt;0")/1000</f>
        <v>1</v>
      </c>
    </row>
    <row r="1023" spans="1:9" ht="19" x14ac:dyDescent="0.25">
      <c r="A1023" s="4" t="s">
        <v>498</v>
      </c>
    </row>
    <row r="1024" spans="1:9" x14ac:dyDescent="0.2">
      <c r="A1024" t="s">
        <v>499</v>
      </c>
      <c r="B1024" s="21">
        <f>IFERROR(AVERAGE(I11:I1010),"Run MC")</f>
        <v>36.46139858377321</v>
      </c>
    </row>
    <row r="1025" spans="1:2" x14ac:dyDescent="0.2">
      <c r="A1025" t="s">
        <v>500</v>
      </c>
      <c r="B1025" s="21">
        <f>IFERROR(PERCENTILE(I11:I1010,0.1),"Run MC")</f>
        <v>27.940386667734948</v>
      </c>
    </row>
    <row r="1026" spans="1:2" x14ac:dyDescent="0.2">
      <c r="A1026" t="s">
        <v>501</v>
      </c>
      <c r="B1026" s="21">
        <f>IFERROR(PERCENTILE(I11:I1010,0.5),"Run MC")</f>
        <v>35.308726604527699</v>
      </c>
    </row>
    <row r="1027" spans="1:2" x14ac:dyDescent="0.2">
      <c r="A1027" t="s">
        <v>502</v>
      </c>
      <c r="B1027" s="21">
        <f>IFERROR(PERCENTILE(I11:I1010,0.9),"Run MC")</f>
        <v>46.232121247543041</v>
      </c>
    </row>
    <row r="1028" spans="1:2" x14ac:dyDescent="0.2">
      <c r="A1028" t="s">
        <v>503</v>
      </c>
      <c r="B1028" s="23">
        <f>IFERROR(COUNTIF(I11:I1010,"&lt;="&amp;Season_Length)/1000,"Run MC")</f>
        <v>1</v>
      </c>
    </row>
  </sheetData>
  <mergeCells count="2">
    <mergeCell ref="A4:E4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504</v>
      </c>
    </row>
    <row r="3" spans="1:4" x14ac:dyDescent="0.2">
      <c r="A3" s="33" t="s">
        <v>505</v>
      </c>
      <c r="B3" s="31"/>
      <c r="C3" s="31"/>
      <c r="D3" s="32"/>
    </row>
    <row r="4" spans="1:4" ht="300" customHeight="1" x14ac:dyDescent="0.2">
      <c r="A4" s="30" t="s">
        <v>506</v>
      </c>
      <c r="B4" s="31"/>
      <c r="C4" s="31"/>
      <c r="D4" s="32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507</v>
      </c>
    </row>
    <row r="3" spans="1:10" x14ac:dyDescent="0.2">
      <c r="A3" s="33" t="s">
        <v>508</v>
      </c>
      <c r="B3" s="31"/>
      <c r="C3" s="31"/>
      <c r="D3" s="31"/>
      <c r="E3" s="31"/>
      <c r="F3" s="31"/>
      <c r="G3" s="31"/>
      <c r="H3" s="31"/>
      <c r="I3" s="31"/>
      <c r="J3" s="32"/>
    </row>
    <row r="4" spans="1:10" ht="240" customHeight="1" x14ac:dyDescent="0.2">
      <c r="A4" s="30" t="s">
        <v>509</v>
      </c>
      <c r="B4" s="31"/>
      <c r="C4" s="31"/>
      <c r="D4" s="31"/>
      <c r="E4" s="31"/>
      <c r="F4" s="31"/>
      <c r="G4" s="31"/>
      <c r="H4" s="31"/>
      <c r="I4" s="31"/>
      <c r="J4" s="32"/>
    </row>
    <row r="6" spans="1:10" x14ac:dyDescent="0.2">
      <c r="A6" s="6" t="s">
        <v>507</v>
      </c>
    </row>
    <row r="7" spans="1:10" ht="13" customHeight="1" x14ac:dyDescent="0.2">
      <c r="A7" s="7" t="s">
        <v>46</v>
      </c>
      <c r="B7" s="28" t="s">
        <v>510</v>
      </c>
      <c r="C7" s="29"/>
      <c r="D7" s="29"/>
      <c r="E7" s="29"/>
      <c r="F7" s="29"/>
      <c r="G7" s="29"/>
      <c r="H7" s="29"/>
      <c r="I7" s="29"/>
      <c r="J7" s="29"/>
    </row>
    <row r="8" spans="1:10" ht="13" customHeight="1" x14ac:dyDescent="0.2">
      <c r="A8" s="7" t="s">
        <v>48</v>
      </c>
      <c r="B8" s="28" t="s">
        <v>511</v>
      </c>
      <c r="C8" s="29"/>
      <c r="D8" s="29"/>
      <c r="E8" s="29"/>
      <c r="F8" s="29"/>
      <c r="G8" s="29"/>
      <c r="H8" s="29"/>
      <c r="I8" s="29"/>
      <c r="J8" s="29"/>
    </row>
    <row r="9" spans="1:10" ht="26" customHeight="1" x14ac:dyDescent="0.2">
      <c r="A9" s="7" t="s">
        <v>50</v>
      </c>
      <c r="B9" s="28" t="s">
        <v>512</v>
      </c>
      <c r="C9" s="29"/>
      <c r="D9" s="29"/>
      <c r="E9" s="29"/>
      <c r="F9" s="29"/>
      <c r="G9" s="29"/>
      <c r="H9" s="29"/>
      <c r="I9" s="29"/>
      <c r="J9" s="29"/>
    </row>
    <row r="10" spans="1:10" ht="13" customHeight="1" x14ac:dyDescent="0.2">
      <c r="A10" s="7" t="s">
        <v>52</v>
      </c>
      <c r="B10" s="28" t="s">
        <v>513</v>
      </c>
      <c r="C10" s="29"/>
      <c r="D10" s="29"/>
      <c r="E10" s="29"/>
      <c r="F10" s="29"/>
      <c r="G10" s="29"/>
      <c r="H10" s="29"/>
      <c r="I10" s="29"/>
      <c r="J10" s="29"/>
    </row>
    <row r="11" spans="1:10" ht="13" customHeight="1" x14ac:dyDescent="0.2">
      <c r="A11" s="7" t="s">
        <v>54</v>
      </c>
      <c r="B11" s="28" t="s">
        <v>514</v>
      </c>
      <c r="C11" s="29"/>
      <c r="D11" s="29"/>
      <c r="E11" s="29"/>
      <c r="F11" s="29"/>
      <c r="G11" s="29"/>
      <c r="H11" s="29"/>
      <c r="I11" s="29"/>
      <c r="J11" s="29"/>
    </row>
    <row r="12" spans="1:10" x14ac:dyDescent="0.2">
      <c r="A12" s="9" t="s">
        <v>250</v>
      </c>
      <c r="B12" s="9" t="s">
        <v>515</v>
      </c>
      <c r="C12" s="9" t="s">
        <v>516</v>
      </c>
      <c r="D12" s="9" t="s">
        <v>517</v>
      </c>
      <c r="E12" s="9" t="s">
        <v>518</v>
      </c>
      <c r="F12" s="9" t="s">
        <v>519</v>
      </c>
      <c r="G12" s="9" t="s">
        <v>520</v>
      </c>
      <c r="H12" s="9" t="s">
        <v>521</v>
      </c>
      <c r="I12" s="9" t="s">
        <v>412</v>
      </c>
      <c r="J12" s="9" t="s">
        <v>522</v>
      </c>
    </row>
    <row r="13" spans="1:10" x14ac:dyDescent="0.2">
      <c r="A13">
        <f>Base_Year+0</f>
        <v>2026</v>
      </c>
      <c r="B13" s="16">
        <f ca="1">S1_Value*INDEX(Timeline_LearningMult,2)</f>
        <v>49763.532807413605</v>
      </c>
      <c r="C13" s="16">
        <f ca="1">S2_Value*INDEX(Timeline_LearningMult,2)</f>
        <v>29551.779015088447</v>
      </c>
      <c r="D13" s="16">
        <f ca="1">S3_Value*INDEX(Timeline_LearningMult,2)</f>
        <v>30048.532674844872</v>
      </c>
      <c r="E13" s="16">
        <f ca="1">S4_Value*INDEX(Timeline_LearningMult,2)</f>
        <v>20080.283031335413</v>
      </c>
      <c r="F13" s="16">
        <f ca="1">SUM(B13:E13)</f>
        <v>129444.12752868235</v>
      </c>
      <c r="G13" s="16">
        <f>Testing_Cost</f>
        <v>10000</v>
      </c>
      <c r="H13" s="16">
        <f ca="1">F13-G13</f>
        <v>119444.12752868235</v>
      </c>
      <c r="I13">
        <f>INDEX(Timeline_DiscountFactor,2)</f>
        <v>0.95419847328244267</v>
      </c>
      <c r="J13" s="16">
        <f ca="1">H13*I13</f>
        <v>113973.40413042209</v>
      </c>
    </row>
    <row r="14" spans="1:10" x14ac:dyDescent="0.2">
      <c r="A14">
        <f>Base_Year+1</f>
        <v>2027</v>
      </c>
      <c r="B14" s="16">
        <f ca="1">S1_Value*INDEX(Timeline_LearningMult,3)</f>
        <v>74645.299211120408</v>
      </c>
      <c r="C14" s="16">
        <f ca="1">S2_Value*INDEX(Timeline_LearningMult,3)</f>
        <v>44327.668522632666</v>
      </c>
      <c r="D14" s="16">
        <f ca="1">S3_Value*INDEX(Timeline_LearningMult,3)</f>
        <v>45072.799012267307</v>
      </c>
      <c r="E14" s="16">
        <f ca="1">S4_Value*INDEX(Timeline_LearningMult,3)</f>
        <v>30120.42454700312</v>
      </c>
      <c r="F14" s="16">
        <f ca="1">SUM(B14:E14)</f>
        <v>194166.1912930235</v>
      </c>
      <c r="G14" s="16">
        <f>Testing_Cost</f>
        <v>10000</v>
      </c>
      <c r="H14" s="16">
        <f ca="1">F14-G14</f>
        <v>184166.1912930235</v>
      </c>
      <c r="I14">
        <f>INDEX(Timeline_DiscountFactor,3)</f>
        <v>0.91049472641454443</v>
      </c>
      <c r="J14" s="16">
        <f ca="1">H14*I14</f>
        <v>167682.34595615009</v>
      </c>
    </row>
    <row r="15" spans="1:10" x14ac:dyDescent="0.2">
      <c r="A15">
        <f>Base_Year+2</f>
        <v>2028</v>
      </c>
      <c r="B15" s="16">
        <f ca="1">S1_Value*INDEX(Timeline_LearningMult,4)</f>
        <v>99527.06561482721</v>
      </c>
      <c r="C15" s="16">
        <f ca="1">S2_Value*INDEX(Timeline_LearningMult,4)</f>
        <v>59103.558030176893</v>
      </c>
      <c r="D15" s="16">
        <f ca="1">S3_Value*INDEX(Timeline_LearningMult,4)</f>
        <v>60097.065349689743</v>
      </c>
      <c r="E15" s="16">
        <f ca="1">S4_Value*INDEX(Timeline_LearningMult,4)</f>
        <v>40160.566062670827</v>
      </c>
      <c r="F15" s="16">
        <f ca="1">SUM(B15:E15)</f>
        <v>258888.2550573647</v>
      </c>
      <c r="G15" s="16">
        <f>Testing_Cost</f>
        <v>10000</v>
      </c>
      <c r="H15" s="16">
        <f ca="1">F15-G15</f>
        <v>248888.2550573647</v>
      </c>
      <c r="I15">
        <f>INDEX(Timeline_DiscountFactor,4)</f>
        <v>0.86879267787647374</v>
      </c>
      <c r="J15" s="16">
        <f ca="1">H15*I15</f>
        <v>216232.29360329069</v>
      </c>
    </row>
    <row r="16" spans="1:10" x14ac:dyDescent="0.2">
      <c r="A16">
        <f>Base_Year+3</f>
        <v>2029</v>
      </c>
      <c r="B16" s="16">
        <f ca="1">S1_Value*INDEX(Timeline_LearningMult,5)</f>
        <v>99527.06561482721</v>
      </c>
      <c r="C16" s="16">
        <f ca="1">S2_Value*INDEX(Timeline_LearningMult,5)</f>
        <v>59103.558030176893</v>
      </c>
      <c r="D16" s="16">
        <f ca="1">S3_Value*INDEX(Timeline_LearningMult,5)</f>
        <v>60097.065349689743</v>
      </c>
      <c r="E16" s="16">
        <f ca="1">S4_Value*INDEX(Timeline_LearningMult,5)</f>
        <v>40160.566062670827</v>
      </c>
      <c r="F16" s="16">
        <f ca="1">SUM(B16:E16)</f>
        <v>258888.2550573647</v>
      </c>
      <c r="G16" s="16">
        <f>Testing_Cost</f>
        <v>10000</v>
      </c>
      <c r="H16" s="16">
        <f ca="1">F16-G16</f>
        <v>248888.2550573647</v>
      </c>
      <c r="I16">
        <f>INDEX(Timeline_DiscountFactor,5)</f>
        <v>0.82900064682869612</v>
      </c>
      <c r="J16" s="16">
        <f ca="1">H16*I16</f>
        <v>206328.52443062083</v>
      </c>
    </row>
    <row r="17" spans="1:10" x14ac:dyDescent="0.2">
      <c r="A17">
        <f>Base_Year+4</f>
        <v>2030</v>
      </c>
      <c r="B17" s="16">
        <f ca="1">S1_Value*INDEX(Timeline_LearningMult,6)</f>
        <v>99527.06561482721</v>
      </c>
      <c r="C17" s="16">
        <f ca="1">S2_Value*INDEX(Timeline_LearningMult,6)</f>
        <v>59103.558030176893</v>
      </c>
      <c r="D17" s="16">
        <f ca="1">S3_Value*INDEX(Timeline_LearningMult,6)</f>
        <v>60097.065349689743</v>
      </c>
      <c r="E17" s="16">
        <f ca="1">S4_Value*INDEX(Timeline_LearningMult,6)</f>
        <v>40160.566062670827</v>
      </c>
      <c r="F17" s="16">
        <f ca="1">SUM(B17:E17)</f>
        <v>258888.2550573647</v>
      </c>
      <c r="G17" s="16">
        <f>Testing_Cost</f>
        <v>10000</v>
      </c>
      <c r="H17" s="16">
        <f ca="1">F17-G17</f>
        <v>248888.2550573647</v>
      </c>
      <c r="I17">
        <f>INDEX(Timeline_DiscountFactor,6)</f>
        <v>0.79103115155409931</v>
      </c>
      <c r="J17" s="16">
        <f ca="1">H17*I17</f>
        <v>196878.36300631758</v>
      </c>
    </row>
    <row r="20" spans="1:10" ht="19" x14ac:dyDescent="0.25">
      <c r="A20" s="4" t="s">
        <v>523</v>
      </c>
    </row>
    <row r="21" spans="1:10" x14ac:dyDescent="0.2">
      <c r="A21" t="s">
        <v>524</v>
      </c>
      <c r="B21" s="16">
        <f ca="1">SUM(J13:J17)</f>
        <v>901094.9311268013</v>
      </c>
    </row>
    <row r="22" spans="1:10" x14ac:dyDescent="0.2">
      <c r="A22" t="s">
        <v>525</v>
      </c>
      <c r="B22" s="16">
        <f ca="1">SUM(F13:F17)</f>
        <v>1100275.0839938</v>
      </c>
    </row>
    <row r="23" spans="1:10" x14ac:dyDescent="0.2">
      <c r="A23" t="s">
        <v>526</v>
      </c>
      <c r="B23" s="16">
        <f ca="1">SUM(H13:H17)</f>
        <v>1050275.0839938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527</v>
      </c>
    </row>
    <row r="3" spans="1:4" x14ac:dyDescent="0.2">
      <c r="A3" s="33" t="s">
        <v>528</v>
      </c>
      <c r="B3" s="31"/>
      <c r="C3" s="31"/>
      <c r="D3" s="32"/>
    </row>
    <row r="4" spans="1:4" ht="240" customHeight="1" x14ac:dyDescent="0.2">
      <c r="A4" s="30" t="s">
        <v>529</v>
      </c>
      <c r="B4" s="31"/>
      <c r="C4" s="31"/>
      <c r="D4" s="32"/>
    </row>
    <row r="6" spans="1:4" x14ac:dyDescent="0.2">
      <c r="A6" s="6" t="s">
        <v>530</v>
      </c>
    </row>
    <row r="7" spans="1:4" ht="13" customHeight="1" x14ac:dyDescent="0.2">
      <c r="A7" s="7" t="s">
        <v>46</v>
      </c>
      <c r="B7" s="28" t="s">
        <v>531</v>
      </c>
      <c r="C7" s="29"/>
      <c r="D7" s="29"/>
    </row>
    <row r="8" spans="1:4" ht="26" customHeight="1" x14ac:dyDescent="0.2">
      <c r="A8" s="7" t="s">
        <v>48</v>
      </c>
      <c r="B8" s="28" t="s">
        <v>532</v>
      </c>
      <c r="C8" s="29"/>
      <c r="D8" s="29"/>
    </row>
    <row r="9" spans="1:4" ht="39" customHeight="1" x14ac:dyDescent="0.2">
      <c r="A9" s="7" t="s">
        <v>50</v>
      </c>
      <c r="B9" s="28" t="s">
        <v>533</v>
      </c>
      <c r="C9" s="29"/>
      <c r="D9" s="29"/>
    </row>
    <row r="10" spans="1:4" ht="13" customHeight="1" x14ac:dyDescent="0.2">
      <c r="A10" s="7" t="s">
        <v>52</v>
      </c>
      <c r="B10" s="28" t="s">
        <v>534</v>
      </c>
      <c r="C10" s="29"/>
      <c r="D10" s="29"/>
    </row>
    <row r="11" spans="1:4" ht="13" customHeight="1" x14ac:dyDescent="0.2">
      <c r="A11" s="7" t="s">
        <v>54</v>
      </c>
      <c r="B11" s="28" t="s">
        <v>535</v>
      </c>
      <c r="C11" s="29"/>
      <c r="D11" s="29"/>
    </row>
    <row r="12" spans="1:4" x14ac:dyDescent="0.2">
      <c r="A12" s="9" t="s">
        <v>250</v>
      </c>
      <c r="B12" s="9" t="s">
        <v>536</v>
      </c>
      <c r="C12" s="9" t="s">
        <v>537</v>
      </c>
      <c r="D12" s="9" t="s">
        <v>538</v>
      </c>
    </row>
    <row r="13" spans="1:4" x14ac:dyDescent="0.2">
      <c r="A13">
        <f>Base_Year+0</f>
        <v>2026</v>
      </c>
      <c r="B13" s="16">
        <f ca="1">INDEX(tbl_Annual[Net_Annual],1)</f>
        <v>119444.12752868235</v>
      </c>
      <c r="C13" s="16">
        <f ca="1">B13</f>
        <v>119444.12752868235</v>
      </c>
      <c r="D13" s="16">
        <f ca="1">INDEX(tbl_Annual[Discounted],1)</f>
        <v>113973.40413042209</v>
      </c>
    </row>
    <row r="14" spans="1:4" x14ac:dyDescent="0.2">
      <c r="A14">
        <f>Base_Year+1</f>
        <v>2027</v>
      </c>
      <c r="B14" s="16">
        <f ca="1">INDEX(tbl_Annual[Net_Annual],2)</f>
        <v>184166.1912930235</v>
      </c>
      <c r="C14" s="16">
        <f ca="1">C13+B14</f>
        <v>303610.31882170588</v>
      </c>
      <c r="D14" s="16">
        <f ca="1">D13+INDEX(tbl_Annual[Discounted],2)</f>
        <v>281655.7500865722</v>
      </c>
    </row>
    <row r="15" spans="1:4" x14ac:dyDescent="0.2">
      <c r="A15">
        <f>Base_Year+2</f>
        <v>2028</v>
      </c>
      <c r="B15" s="16">
        <f ca="1">INDEX(tbl_Annual[Net_Annual],3)</f>
        <v>248888.2550573647</v>
      </c>
      <c r="C15" s="16">
        <f ca="1">C14+B15</f>
        <v>552498.57387907058</v>
      </c>
      <c r="D15" s="16">
        <f ca="1">D14+INDEX(tbl_Annual[Discounted],3)</f>
        <v>497888.04368986288</v>
      </c>
    </row>
    <row r="16" spans="1:4" x14ac:dyDescent="0.2">
      <c r="A16">
        <f>Base_Year+3</f>
        <v>2029</v>
      </c>
      <c r="B16" s="16">
        <f ca="1">INDEX(tbl_Annual[Net_Annual],4)</f>
        <v>248888.2550573647</v>
      </c>
      <c r="C16" s="16">
        <f ca="1">C15+B16</f>
        <v>801386.82893643528</v>
      </c>
      <c r="D16" s="16">
        <f ca="1">D15+INDEX(tbl_Annual[Discounted],4)</f>
        <v>704216.56812048377</v>
      </c>
    </row>
    <row r="17" spans="1:4" x14ac:dyDescent="0.2">
      <c r="A17">
        <f>Base_Year+4</f>
        <v>2030</v>
      </c>
      <c r="B17" s="16">
        <f ca="1">INDEX(tbl_Annual[Net_Annual],5)</f>
        <v>248888.2550573647</v>
      </c>
      <c r="C17" s="16">
        <f ca="1">C16+B17</f>
        <v>1050275.0839938</v>
      </c>
      <c r="D17" s="16">
        <f ca="1">D16+INDEX(tbl_Annual[Discounted],5)</f>
        <v>901094.9311268013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539</v>
      </c>
    </row>
    <row r="3" spans="1:4" x14ac:dyDescent="0.2">
      <c r="A3" s="33" t="s">
        <v>540</v>
      </c>
      <c r="B3" s="31"/>
      <c r="C3" s="31"/>
      <c r="D3" s="32"/>
    </row>
    <row r="4" spans="1:4" ht="315" customHeight="1" x14ac:dyDescent="0.2">
      <c r="A4" s="30" t="s">
        <v>541</v>
      </c>
      <c r="B4" s="31"/>
      <c r="C4" s="31"/>
      <c r="D4" s="32"/>
    </row>
    <row r="6" spans="1:4" x14ac:dyDescent="0.2">
      <c r="A6" s="6" t="s">
        <v>539</v>
      </c>
    </row>
    <row r="7" spans="1:4" ht="26" customHeight="1" x14ac:dyDescent="0.2">
      <c r="A7" s="7" t="s">
        <v>46</v>
      </c>
      <c r="B7" s="28" t="s">
        <v>542</v>
      </c>
      <c r="C7" s="29"/>
      <c r="D7" s="29"/>
    </row>
    <row r="8" spans="1:4" ht="26" customHeight="1" x14ac:dyDescent="0.2">
      <c r="A8" s="7" t="s">
        <v>48</v>
      </c>
      <c r="B8" s="28" t="s">
        <v>543</v>
      </c>
      <c r="C8" s="29"/>
      <c r="D8" s="29"/>
    </row>
    <row r="9" spans="1:4" ht="39" customHeight="1" x14ac:dyDescent="0.2">
      <c r="A9" s="7" t="s">
        <v>50</v>
      </c>
      <c r="B9" s="28" t="s">
        <v>544</v>
      </c>
      <c r="C9" s="29"/>
      <c r="D9" s="29"/>
    </row>
    <row r="10" spans="1:4" ht="13" customHeight="1" x14ac:dyDescent="0.2">
      <c r="A10" s="7" t="s">
        <v>52</v>
      </c>
      <c r="B10" s="28" t="s">
        <v>545</v>
      </c>
      <c r="C10" s="29"/>
      <c r="D10" s="29"/>
    </row>
    <row r="11" spans="1:4" ht="13" customHeight="1" x14ac:dyDescent="0.2">
      <c r="A11" s="7" t="s">
        <v>54</v>
      </c>
      <c r="B11" s="28" t="s">
        <v>546</v>
      </c>
      <c r="C11" s="29"/>
      <c r="D11" s="29"/>
    </row>
    <row r="12" spans="1:4" x14ac:dyDescent="0.2">
      <c r="A12" s="9" t="s">
        <v>416</v>
      </c>
      <c r="B12" s="9" t="s">
        <v>57</v>
      </c>
      <c r="C12" s="9" t="s">
        <v>182</v>
      </c>
      <c r="D12" s="9" t="s">
        <v>417</v>
      </c>
    </row>
    <row r="13" spans="1:4" x14ac:dyDescent="0.2">
      <c r="A13" t="s">
        <v>547</v>
      </c>
      <c r="B13">
        <f>Annual_Throughput</f>
        <v>50000</v>
      </c>
      <c r="C13" t="s">
        <v>228</v>
      </c>
      <c r="D13" t="s">
        <v>548</v>
      </c>
    </row>
    <row r="14" spans="1:4" x14ac:dyDescent="0.2">
      <c r="A14" t="s">
        <v>549</v>
      </c>
      <c r="B14" s="25">
        <f ca="1">Gross_Value</f>
        <v>258888.2550573647</v>
      </c>
      <c r="C14" t="s">
        <v>242</v>
      </c>
      <c r="D14" t="s">
        <v>550</v>
      </c>
    </row>
    <row r="15" spans="1:4" x14ac:dyDescent="0.2">
      <c r="A15" t="s">
        <v>551</v>
      </c>
      <c r="B15" s="25">
        <f>Testing_Cost</f>
        <v>10000</v>
      </c>
      <c r="C15" t="s">
        <v>242</v>
      </c>
      <c r="D15" t="s">
        <v>552</v>
      </c>
    </row>
    <row r="16" spans="1:4" x14ac:dyDescent="0.2">
      <c r="A16" t="s">
        <v>553</v>
      </c>
      <c r="B16" s="25">
        <f ca="1">Gross_Value-Testing_Cost</f>
        <v>248888.2550573647</v>
      </c>
      <c r="C16" t="s">
        <v>242</v>
      </c>
      <c r="D16" t="s">
        <v>554</v>
      </c>
    </row>
    <row r="17" spans="1:4" x14ac:dyDescent="0.2">
      <c r="A17" t="s">
        <v>555</v>
      </c>
      <c r="B17" s="25">
        <f ca="1">Gross_Value/Annual_Throughput</f>
        <v>5.177765101147294</v>
      </c>
      <c r="C17" t="s">
        <v>231</v>
      </c>
      <c r="D17" t="s">
        <v>556</v>
      </c>
    </row>
    <row r="18" spans="1:4" x14ac:dyDescent="0.2">
      <c r="A18" t="s">
        <v>557</v>
      </c>
      <c r="B18" s="25">
        <f ca="1">(Gross_Value-Testing_Cost)/Annual_Throughput</f>
        <v>4.9777651011472939</v>
      </c>
      <c r="C18" t="s">
        <v>231</v>
      </c>
      <c r="D18" t="s">
        <v>558</v>
      </c>
    </row>
    <row r="19" spans="1:4" x14ac:dyDescent="0.2">
      <c r="A19" t="s">
        <v>559</v>
      </c>
      <c r="B19" s="25">
        <f>Testing_Cost/Annual_Throughput</f>
        <v>0.2</v>
      </c>
      <c r="C19" t="s">
        <v>231</v>
      </c>
      <c r="D19" t="s">
        <v>560</v>
      </c>
    </row>
    <row r="20" spans="1:4" x14ac:dyDescent="0.2">
      <c r="A20" t="s">
        <v>561</v>
      </c>
      <c r="B20" s="25">
        <f ca="1">NPV_Total/(Annual_Throughput*5)</f>
        <v>3.6043797245072051</v>
      </c>
      <c r="C20" t="s">
        <v>231</v>
      </c>
      <c r="D20" t="s">
        <v>562</v>
      </c>
    </row>
    <row r="23" spans="1:4" ht="19" x14ac:dyDescent="0.25">
      <c r="A23" s="4" t="s">
        <v>563</v>
      </c>
    </row>
    <row r="24" spans="1:4" x14ac:dyDescent="0.2">
      <c r="A24" t="s">
        <v>564</v>
      </c>
      <c r="B24" s="16">
        <f>INDEX(TestOpt_Cost,MATCH(Testing_Option,TestOpt_Option,0))</f>
        <v>10</v>
      </c>
    </row>
    <row r="25" spans="1:4" x14ac:dyDescent="0.2">
      <c r="A25" t="s">
        <v>565</v>
      </c>
      <c r="B25">
        <f>Testing_Cost/INDEX(TestOpt_Cost,MATCH(Testing_Option,TestOpt_Option,0))</f>
        <v>1000</v>
      </c>
    </row>
    <row r="26" spans="1:4" x14ac:dyDescent="0.2">
      <c r="A26" t="s">
        <v>566</v>
      </c>
      <c r="B26" s="25">
        <f ca="1">(Gross_Value-Testing_Cost)/(Testing_Cost/INDEX(TestOpt_Cost,MATCH(Testing_Option,TestOpt_Option,0)))</f>
        <v>248.88825505736469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567</v>
      </c>
    </row>
    <row r="3" spans="1:7" x14ac:dyDescent="0.2">
      <c r="A3" s="33" t="s">
        <v>568</v>
      </c>
      <c r="B3" s="31"/>
      <c r="C3" s="31"/>
      <c r="D3" s="31"/>
      <c r="E3" s="31"/>
      <c r="F3" s="31"/>
      <c r="G3" s="32"/>
    </row>
    <row r="4" spans="1:7" ht="360" customHeight="1" x14ac:dyDescent="0.2">
      <c r="A4" s="30" t="s">
        <v>569</v>
      </c>
      <c r="B4" s="31"/>
      <c r="C4" s="31"/>
      <c r="D4" s="31"/>
      <c r="E4" s="31"/>
      <c r="F4" s="31"/>
      <c r="G4" s="32"/>
    </row>
    <row r="6" spans="1:7" x14ac:dyDescent="0.2">
      <c r="A6" s="6" t="s">
        <v>567</v>
      </c>
    </row>
    <row r="7" spans="1:7" ht="13" customHeight="1" x14ac:dyDescent="0.2">
      <c r="A7" s="7" t="s">
        <v>46</v>
      </c>
      <c r="B7" s="28" t="s">
        <v>570</v>
      </c>
      <c r="C7" s="29"/>
      <c r="D7" s="29"/>
      <c r="E7" s="29"/>
      <c r="F7" s="29"/>
      <c r="G7" s="29"/>
    </row>
    <row r="8" spans="1:7" ht="13" customHeight="1" x14ac:dyDescent="0.2">
      <c r="A8" s="7" t="s">
        <v>48</v>
      </c>
      <c r="B8" s="28" t="s">
        <v>571</v>
      </c>
      <c r="C8" s="29"/>
      <c r="D8" s="29"/>
      <c r="E8" s="29"/>
      <c r="F8" s="29"/>
      <c r="G8" s="29"/>
    </row>
    <row r="9" spans="1:7" ht="26" customHeight="1" x14ac:dyDescent="0.2">
      <c r="A9" s="7" t="s">
        <v>50</v>
      </c>
      <c r="B9" s="28" t="s">
        <v>572</v>
      </c>
      <c r="C9" s="29"/>
      <c r="D9" s="29"/>
      <c r="E9" s="29"/>
      <c r="F9" s="29"/>
      <c r="G9" s="29"/>
    </row>
    <row r="10" spans="1:7" ht="13" customHeight="1" x14ac:dyDescent="0.2">
      <c r="A10" s="7" t="s">
        <v>52</v>
      </c>
      <c r="B10" s="28" t="s">
        <v>573</v>
      </c>
      <c r="C10" s="29"/>
      <c r="D10" s="29"/>
      <c r="E10" s="29"/>
      <c r="F10" s="29"/>
      <c r="G10" s="29"/>
    </row>
    <row r="11" spans="1:7" ht="13" customHeight="1" x14ac:dyDescent="0.2">
      <c r="A11" s="7" t="s">
        <v>54</v>
      </c>
      <c r="B11" s="28" t="s">
        <v>574</v>
      </c>
      <c r="C11" s="29"/>
      <c r="D11" s="29"/>
      <c r="E11" s="29"/>
      <c r="F11" s="29"/>
      <c r="G11" s="29"/>
    </row>
    <row r="12" spans="1:7" x14ac:dyDescent="0.2">
      <c r="A12" s="9" t="s">
        <v>56</v>
      </c>
      <c r="B12" s="9" t="s">
        <v>393</v>
      </c>
      <c r="C12" s="9" t="s">
        <v>65</v>
      </c>
      <c r="D12" s="9" t="s">
        <v>394</v>
      </c>
      <c r="E12" s="9" t="s">
        <v>575</v>
      </c>
      <c r="F12" s="9" t="s">
        <v>576</v>
      </c>
      <c r="G12" s="9" t="s">
        <v>577</v>
      </c>
    </row>
    <row r="13" spans="1:7" x14ac:dyDescent="0.2">
      <c r="A13" t="s">
        <v>578</v>
      </c>
      <c r="B13">
        <v>3</v>
      </c>
      <c r="C13">
        <v>5</v>
      </c>
      <c r="D13">
        <v>10</v>
      </c>
      <c r="E13" s="16">
        <f ca="1">NPV_Total*(B13/C13)</f>
        <v>540656.9586760808</v>
      </c>
      <c r="F13" s="16">
        <f ca="1">NPV_Total*(D13/C13)</f>
        <v>1802189.8622536026</v>
      </c>
      <c r="G13" s="16">
        <f ca="1">ABS(F13-E13)</f>
        <v>1261532.9035775219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6">
        <f ca="1">NPV_Total*((1+C14)/(1+B14))^2.5</f>
        <v>918523.78140062757</v>
      </c>
      <c r="F14" s="16">
        <f ca="1">NPV_Total*((1+C14)/(1+D14))^2.5</f>
        <v>875808.36751109944</v>
      </c>
      <c r="G14" s="16">
        <f ca="1">ABS(F14-E14)</f>
        <v>42715.413889528136</v>
      </c>
    </row>
    <row r="15" spans="1:7" x14ac:dyDescent="0.2">
      <c r="A15" t="s">
        <v>579</v>
      </c>
      <c r="B15">
        <v>80</v>
      </c>
      <c r="C15">
        <v>100</v>
      </c>
      <c r="D15">
        <v>120</v>
      </c>
      <c r="E15" s="16">
        <f ca="1">NPV_Total*(B15/C15)</f>
        <v>720875.94490144111</v>
      </c>
      <c r="F15" s="16">
        <f ca="1">NPV_Total*(D15/C15)</f>
        <v>1081313.9173521616</v>
      </c>
      <c r="G15" s="16">
        <f ca="1">ABS(F15-E15)</f>
        <v>360437.9724507205</v>
      </c>
    </row>
    <row r="16" spans="1:7" x14ac:dyDescent="0.2">
      <c r="A16" t="s">
        <v>580</v>
      </c>
      <c r="B16">
        <v>0.5</v>
      </c>
      <c r="C16">
        <v>1</v>
      </c>
      <c r="D16">
        <v>2</v>
      </c>
      <c r="E16" s="16">
        <f ca="1">NPV_Total*(B16/C16)</f>
        <v>450547.46556340065</v>
      </c>
      <c r="F16" s="16">
        <f ca="1">NPV_Total*(D16/C16)</f>
        <v>1802189.8622536026</v>
      </c>
      <c r="G16" s="16">
        <f ca="1">ABS(F16-E16)</f>
        <v>1351642.3966902019</v>
      </c>
    </row>
    <row r="19" spans="1:1" ht="19" x14ac:dyDescent="0.25">
      <c r="A19" s="4" t="s">
        <v>581</v>
      </c>
    </row>
    <row r="20" spans="1:1" x14ac:dyDescent="0.2">
      <c r="A20" t="s">
        <v>582</v>
      </c>
    </row>
    <row r="21" spans="1:1" x14ac:dyDescent="0.2">
      <c r="A21" t="s">
        <v>583</v>
      </c>
    </row>
    <row r="22" spans="1:1" x14ac:dyDescent="0.2">
      <c r="A22" t="s">
        <v>584</v>
      </c>
    </row>
    <row r="24" spans="1:1" ht="19" x14ac:dyDescent="0.25">
      <c r="A24" s="4" t="s">
        <v>585</v>
      </c>
    </row>
    <row r="25" spans="1:1" x14ac:dyDescent="0.2">
      <c r="A25" t="s">
        <v>586</v>
      </c>
    </row>
    <row r="26" spans="1:1" x14ac:dyDescent="0.2">
      <c r="A26" t="s">
        <v>587</v>
      </c>
    </row>
    <row r="27" spans="1:1" x14ac:dyDescent="0.2">
      <c r="A27" t="s">
        <v>588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67"/>
  <sheetViews>
    <sheetView topLeftCell="A8" workbookViewId="0">
      <selection activeCell="E21" sqref="E21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2" ht="21" x14ac:dyDescent="0.25">
      <c r="A1" s="5" t="s">
        <v>589</v>
      </c>
    </row>
    <row r="3" spans="1:2" x14ac:dyDescent="0.2">
      <c r="A3" s="33" t="s">
        <v>590</v>
      </c>
      <c r="B3" s="32"/>
    </row>
    <row r="4" spans="1:2" ht="270" customHeight="1" x14ac:dyDescent="0.2">
      <c r="A4" s="30" t="s">
        <v>591</v>
      </c>
      <c r="B4" s="32"/>
    </row>
    <row r="6" spans="1:2" x14ac:dyDescent="0.2">
      <c r="A6" s="6" t="s">
        <v>592</v>
      </c>
    </row>
    <row r="7" spans="1:2" ht="65" customHeight="1" x14ac:dyDescent="0.2">
      <c r="A7" s="7" t="s">
        <v>46</v>
      </c>
      <c r="B7" s="8" t="s">
        <v>593</v>
      </c>
    </row>
    <row r="8" spans="1:2" ht="52" customHeight="1" x14ac:dyDescent="0.2">
      <c r="A8" s="7" t="s">
        <v>48</v>
      </c>
      <c r="B8" s="8" t="s">
        <v>594</v>
      </c>
    </row>
    <row r="9" spans="1:2" ht="156" customHeight="1" x14ac:dyDescent="0.2">
      <c r="A9" s="7" t="s">
        <v>50</v>
      </c>
      <c r="B9" s="8" t="s">
        <v>595</v>
      </c>
    </row>
    <row r="10" spans="1:2" ht="39" customHeight="1" x14ac:dyDescent="0.2">
      <c r="A10" s="7" t="s">
        <v>52</v>
      </c>
      <c r="B10" s="8" t="s">
        <v>596</v>
      </c>
    </row>
    <row r="11" spans="1:2" ht="39" customHeight="1" x14ac:dyDescent="0.2">
      <c r="A11" s="7" t="s">
        <v>54</v>
      </c>
      <c r="B11" s="8" t="s">
        <v>597</v>
      </c>
    </row>
    <row r="12" spans="1:2" x14ac:dyDescent="0.2">
      <c r="A12" s="9" t="s">
        <v>416</v>
      </c>
      <c r="B12" s="9" t="s">
        <v>57</v>
      </c>
    </row>
    <row r="13" spans="1:2" x14ac:dyDescent="0.2">
      <c r="A13" t="s">
        <v>598</v>
      </c>
      <c r="B13" t="str">
        <f>Testing_Option</f>
        <v>Daily_Biosensor</v>
      </c>
    </row>
    <row r="14" spans="1:2" x14ac:dyDescent="0.2">
      <c r="A14" t="s">
        <v>599</v>
      </c>
      <c r="B14" s="16">
        <f ca="1">NPV_Total</f>
        <v>901094.9311268013</v>
      </c>
    </row>
    <row r="15" spans="1:2" x14ac:dyDescent="0.2">
      <c r="A15" t="s">
        <v>600</v>
      </c>
      <c r="B15" s="16">
        <f>MC_P10</f>
        <v>940428.54115357378</v>
      </c>
    </row>
    <row r="16" spans="1:2" x14ac:dyDescent="0.2">
      <c r="A16" t="s">
        <v>601</v>
      </c>
      <c r="B16" s="16">
        <f>MC_P50</f>
        <v>1301740.0225946764</v>
      </c>
    </row>
    <row r="17" spans="1:3" x14ac:dyDescent="0.2">
      <c r="A17" t="s">
        <v>602</v>
      </c>
      <c r="B17" s="16">
        <f>MC_P90</f>
        <v>1620605.6407314283</v>
      </c>
    </row>
    <row r="18" spans="1:3" x14ac:dyDescent="0.2">
      <c r="A18" t="s">
        <v>603</v>
      </c>
      <c r="B18" s="23">
        <f>MC_Prob_Positive</f>
        <v>1</v>
      </c>
    </row>
    <row r="19" spans="1:3" x14ac:dyDescent="0.2">
      <c r="A19" t="s">
        <v>604</v>
      </c>
      <c r="B19" s="16">
        <f>Testing_Cost</f>
        <v>10000</v>
      </c>
    </row>
    <row r="20" spans="1:3" x14ac:dyDescent="0.2">
      <c r="A20" t="s">
        <v>605</v>
      </c>
      <c r="B20" s="16">
        <f ca="1">Year1_Gross_Value</f>
        <v>129444.12752868235</v>
      </c>
    </row>
    <row r="21" spans="1:3" x14ac:dyDescent="0.2">
      <c r="A21" t="s">
        <v>606</v>
      </c>
      <c r="B21" s="16">
        <f ca="1">Year1_Net_Value</f>
        <v>119444.12752868235</v>
      </c>
    </row>
    <row r="23" spans="1:3" x14ac:dyDescent="0.2">
      <c r="A23" s="6" t="s">
        <v>607</v>
      </c>
    </row>
    <row r="24" spans="1:3" ht="26" customHeight="1" x14ac:dyDescent="0.2">
      <c r="A24" s="7" t="s">
        <v>46</v>
      </c>
      <c r="B24" s="28" t="s">
        <v>608</v>
      </c>
      <c r="C24" s="29"/>
    </row>
    <row r="25" spans="1:3" ht="26" customHeight="1" x14ac:dyDescent="0.2">
      <c r="A25" s="7" t="s">
        <v>48</v>
      </c>
      <c r="B25" s="28" t="s">
        <v>609</v>
      </c>
      <c r="C25" s="29"/>
    </row>
    <row r="26" spans="1:3" ht="91" customHeight="1" x14ac:dyDescent="0.2">
      <c r="A26" s="7" t="s">
        <v>50</v>
      </c>
      <c r="B26" s="28" t="s">
        <v>610</v>
      </c>
      <c r="C26" s="29"/>
    </row>
    <row r="27" spans="1:3" ht="26" customHeight="1" x14ac:dyDescent="0.2">
      <c r="A27" s="7" t="s">
        <v>52</v>
      </c>
      <c r="B27" s="28" t="s">
        <v>611</v>
      </c>
      <c r="C27" s="29"/>
    </row>
    <row r="28" spans="1:3" ht="26" customHeight="1" x14ac:dyDescent="0.2">
      <c r="A28" s="7" t="s">
        <v>54</v>
      </c>
      <c r="B28" s="28" t="s">
        <v>612</v>
      </c>
      <c r="C28" s="29"/>
    </row>
    <row r="29" spans="1:3" x14ac:dyDescent="0.2">
      <c r="A29" s="9" t="s">
        <v>93</v>
      </c>
      <c r="B29" s="9" t="s">
        <v>457</v>
      </c>
      <c r="C29" s="9" t="s">
        <v>613</v>
      </c>
    </row>
    <row r="30" spans="1:3" x14ac:dyDescent="0.2">
      <c r="A30" t="s">
        <v>97</v>
      </c>
      <c r="B30" s="16">
        <f ca="1">S1_Value</f>
        <v>99527.06561482721</v>
      </c>
      <c r="C30" t="str">
        <f>INDEX(Gate_S1,MATCH(Testing_Option,TestOpt_Option,0))</f>
        <v>ENABLED</v>
      </c>
    </row>
    <row r="31" spans="1:3" x14ac:dyDescent="0.2">
      <c r="A31" t="s">
        <v>101</v>
      </c>
      <c r="B31" s="16">
        <f ca="1">S2_Value</f>
        <v>59103.558030176893</v>
      </c>
      <c r="C31" t="str">
        <f>INDEX(Gate_S2,MATCH(Testing_Option,TestOpt_Option,0))</f>
        <v>ENABLED</v>
      </c>
    </row>
    <row r="32" spans="1:3" x14ac:dyDescent="0.2">
      <c r="A32" t="s">
        <v>102</v>
      </c>
      <c r="B32" s="16">
        <f ca="1">S3_Value</f>
        <v>60097.065349689743</v>
      </c>
      <c r="C32" t="str">
        <f>INDEX(Gate_S3,MATCH(Testing_Option,TestOpt_Option,0))</f>
        <v>ENABLED</v>
      </c>
    </row>
    <row r="33" spans="1:3" x14ac:dyDescent="0.2">
      <c r="A33" t="s">
        <v>104</v>
      </c>
      <c r="B33" s="16">
        <f ca="1">S4_Value</f>
        <v>40160.566062670827</v>
      </c>
      <c r="C33" t="str">
        <f>INDEX(Gate_S4,MATCH(Testing_Option,TestOpt_Option,0))</f>
        <v>ENABLED</v>
      </c>
    </row>
    <row r="35" spans="1:3" x14ac:dyDescent="0.2">
      <c r="A35" s="6" t="s">
        <v>414</v>
      </c>
    </row>
    <row r="36" spans="1:3" ht="26" customHeight="1" x14ac:dyDescent="0.2">
      <c r="A36" s="7" t="s">
        <v>46</v>
      </c>
      <c r="B36" s="28" t="s">
        <v>614</v>
      </c>
      <c r="C36" s="29"/>
    </row>
    <row r="37" spans="1:3" ht="39" customHeight="1" x14ac:dyDescent="0.2">
      <c r="A37" s="7" t="s">
        <v>48</v>
      </c>
      <c r="B37" s="28" t="s">
        <v>615</v>
      </c>
      <c r="C37" s="29"/>
    </row>
    <row r="38" spans="1:3" ht="91" customHeight="1" x14ac:dyDescent="0.2">
      <c r="A38" s="7" t="s">
        <v>50</v>
      </c>
      <c r="B38" s="28" t="s">
        <v>616</v>
      </c>
      <c r="C38" s="29"/>
    </row>
    <row r="39" spans="1:3" ht="26" customHeight="1" x14ac:dyDescent="0.2">
      <c r="A39" s="7" t="s">
        <v>52</v>
      </c>
      <c r="B39" s="28" t="s">
        <v>617</v>
      </c>
      <c r="C39" s="29"/>
    </row>
    <row r="40" spans="1:3" ht="26" customHeight="1" x14ac:dyDescent="0.2">
      <c r="A40" s="7" t="s">
        <v>54</v>
      </c>
      <c r="B40" s="28" t="s">
        <v>618</v>
      </c>
      <c r="C40" s="29"/>
    </row>
    <row r="41" spans="1:3" x14ac:dyDescent="0.2">
      <c r="A41" s="9" t="s">
        <v>416</v>
      </c>
      <c r="B41" s="9" t="s">
        <v>57</v>
      </c>
      <c r="C41" s="9" t="s">
        <v>613</v>
      </c>
    </row>
    <row r="42" spans="1:3" x14ac:dyDescent="0.2">
      <c r="A42" t="s">
        <v>619</v>
      </c>
      <c r="B42" s="26">
        <f>Initial_NAFC</f>
        <v>63.1</v>
      </c>
      <c r="C42" t="str">
        <f>IF(Initial_NAFC&gt;Target_NAFC,"Above Target","At/Below Target")</f>
        <v>Above Target</v>
      </c>
    </row>
    <row r="43" spans="1:3" x14ac:dyDescent="0.2">
      <c r="A43" t="s">
        <v>620</v>
      </c>
      <c r="B43" s="26">
        <f>Target_NAFC</f>
        <v>50</v>
      </c>
      <c r="C43" t="s">
        <v>621</v>
      </c>
    </row>
    <row r="44" spans="1:3" x14ac:dyDescent="0.2">
      <c r="A44" t="s">
        <v>622</v>
      </c>
      <c r="B44" s="27">
        <f ca="1">Days_to_Compliance</f>
        <v>34.187500802243633</v>
      </c>
      <c r="C44" t="str">
        <f ca="1">Compliance_Status</f>
        <v>ACHIEVABLE</v>
      </c>
    </row>
    <row r="45" spans="1:3" x14ac:dyDescent="0.2">
      <c r="A45" t="s">
        <v>623</v>
      </c>
      <c r="B45" s="22">
        <f ca="1">Circulation_Cycles</f>
        <v>3</v>
      </c>
      <c r="C45" t="str">
        <f ca="1">IF(Circulation_Cycles&lt;=3,"Standard","Extended")</f>
        <v>Standard</v>
      </c>
    </row>
    <row r="46" spans="1:3" x14ac:dyDescent="0.2">
      <c r="A46" t="s">
        <v>624</v>
      </c>
      <c r="B46" s="23">
        <f>Treatment_Efficiency</f>
        <v>0.2076069730586371</v>
      </c>
      <c r="C46" t="str">
        <f>IF(Treatment_Efficiency&gt;0.2,"Good","Low")</f>
        <v>Good</v>
      </c>
    </row>
    <row r="47" spans="1:3" x14ac:dyDescent="0.2">
      <c r="A47" t="s">
        <v>625</v>
      </c>
      <c r="B47" s="27">
        <f>MC_Expected_Days</f>
        <v>36.46139858377321</v>
      </c>
      <c r="C47" t="str">
        <f>IF(MC_Expected_Days&lt;=Season_Length,"Achievable","Risk")</f>
        <v>Achievable</v>
      </c>
    </row>
    <row r="48" spans="1:3" x14ac:dyDescent="0.2">
      <c r="A48" t="s">
        <v>626</v>
      </c>
      <c r="B48" s="27">
        <f>MC_P90_Days</f>
        <v>46.232121247543041</v>
      </c>
      <c r="C48" t="str">
        <f>IF(MC_P90_Days&lt;=Season_Length,"Low Risk","High Risk")</f>
        <v>Low Risk</v>
      </c>
    </row>
    <row r="49" spans="1:4" x14ac:dyDescent="0.2">
      <c r="A49" t="s">
        <v>627</v>
      </c>
      <c r="B49" s="23">
        <f>MC_Prob_Achievable</f>
        <v>1</v>
      </c>
      <c r="C49" t="str">
        <f>IF(MC_Prob_Achievable&gt;=0.9,"High Confidence","Review Required")</f>
        <v>High Confidence</v>
      </c>
    </row>
    <row r="51" spans="1:4" x14ac:dyDescent="0.2">
      <c r="A51" s="6" t="s">
        <v>628</v>
      </c>
    </row>
    <row r="52" spans="1:4" ht="26" customHeight="1" x14ac:dyDescent="0.2">
      <c r="A52" s="7" t="s">
        <v>46</v>
      </c>
      <c r="B52" s="28" t="s">
        <v>629</v>
      </c>
      <c r="C52" s="29"/>
      <c r="D52" s="29"/>
    </row>
    <row r="53" spans="1:4" ht="26" customHeight="1" x14ac:dyDescent="0.2">
      <c r="A53" s="7" t="s">
        <v>48</v>
      </c>
      <c r="B53" s="28" t="s">
        <v>630</v>
      </c>
      <c r="C53" s="29"/>
      <c r="D53" s="29"/>
    </row>
    <row r="54" spans="1:4" ht="52" customHeight="1" x14ac:dyDescent="0.2">
      <c r="A54" s="7" t="s">
        <v>50</v>
      </c>
      <c r="B54" s="28" t="s">
        <v>631</v>
      </c>
      <c r="C54" s="29"/>
      <c r="D54" s="29"/>
    </row>
    <row r="55" spans="1:4" ht="13" customHeight="1" x14ac:dyDescent="0.2">
      <c r="A55" s="7" t="s">
        <v>52</v>
      </c>
      <c r="B55" s="28" t="s">
        <v>632</v>
      </c>
      <c r="C55" s="29"/>
      <c r="D55" s="29"/>
    </row>
    <row r="56" spans="1:4" ht="13" customHeight="1" x14ac:dyDescent="0.2">
      <c r="A56" s="7" t="s">
        <v>54</v>
      </c>
      <c r="B56" s="28" t="s">
        <v>633</v>
      </c>
      <c r="C56" s="29"/>
      <c r="D56" s="29"/>
    </row>
    <row r="57" spans="1:4" x14ac:dyDescent="0.2">
      <c r="A57" s="9" t="s">
        <v>416</v>
      </c>
      <c r="B57" s="9" t="s">
        <v>267</v>
      </c>
      <c r="C57" s="9" t="s">
        <v>268</v>
      </c>
      <c r="D57" s="9" t="s">
        <v>61</v>
      </c>
    </row>
    <row r="58" spans="1:4" x14ac:dyDescent="0.2">
      <c r="A58" t="s">
        <v>634</v>
      </c>
      <c r="B58" t="s">
        <v>99</v>
      </c>
      <c r="C58" t="s">
        <v>99</v>
      </c>
      <c r="D58" t="s">
        <v>100</v>
      </c>
    </row>
    <row r="59" spans="1:4" x14ac:dyDescent="0.2">
      <c r="A59" t="s">
        <v>635</v>
      </c>
      <c r="B59" t="s">
        <v>99</v>
      </c>
      <c r="C59" t="s">
        <v>99</v>
      </c>
      <c r="D59" t="s">
        <v>100</v>
      </c>
    </row>
    <row r="60" spans="1:4" x14ac:dyDescent="0.2">
      <c r="A60" t="s">
        <v>636</v>
      </c>
      <c r="B60" t="s">
        <v>99</v>
      </c>
      <c r="C60" t="s">
        <v>100</v>
      </c>
      <c r="D60" t="s">
        <v>100</v>
      </c>
    </row>
    <row r="61" spans="1:4" x14ac:dyDescent="0.2">
      <c r="A61" t="s">
        <v>637</v>
      </c>
      <c r="B61" t="s">
        <v>99</v>
      </c>
      <c r="C61" t="s">
        <v>99</v>
      </c>
      <c r="D61" t="s">
        <v>100</v>
      </c>
    </row>
    <row r="62" spans="1:4" x14ac:dyDescent="0.2">
      <c r="A62" t="s">
        <v>638</v>
      </c>
      <c r="B62" t="s">
        <v>639</v>
      </c>
      <c r="C62" t="s">
        <v>640</v>
      </c>
      <c r="D62" t="s">
        <v>641</v>
      </c>
    </row>
    <row r="63" spans="1:4" x14ac:dyDescent="0.2">
      <c r="A63" t="s">
        <v>642</v>
      </c>
      <c r="B63" t="s">
        <v>643</v>
      </c>
      <c r="C63" t="s">
        <v>644</v>
      </c>
      <c r="D63" t="s">
        <v>645</v>
      </c>
    </row>
    <row r="65" spans="1:2" ht="19" x14ac:dyDescent="0.25">
      <c r="A65" s="4" t="s">
        <v>646</v>
      </c>
    </row>
    <row r="66" spans="1:2" x14ac:dyDescent="0.2">
      <c r="A66" t="s">
        <v>647</v>
      </c>
      <c r="B66" t="str">
        <f ca="1">IF(COUNTIF('17_Checks'!D:D,"FAIL")=0,"HEALTHY","REVIEW REQUIRED")</f>
        <v>HEALTHY</v>
      </c>
    </row>
    <row r="67" spans="1:2" x14ac:dyDescent="0.2">
      <c r="A67" t="s">
        <v>648</v>
      </c>
      <c r="B67">
        <f ca="1">COUNTIF('17_Checks'!D:D,"FAIL")</f>
        <v>0</v>
      </c>
    </row>
  </sheetData>
  <mergeCells count="17">
    <mergeCell ref="A3:B3"/>
    <mergeCell ref="B54:D54"/>
    <mergeCell ref="B56:D56"/>
    <mergeCell ref="B36:C36"/>
    <mergeCell ref="B52:D52"/>
    <mergeCell ref="B53:D53"/>
    <mergeCell ref="B26:C26"/>
    <mergeCell ref="B27:C27"/>
    <mergeCell ref="B55:D55"/>
    <mergeCell ref="A4:B4"/>
    <mergeCell ref="B39:C39"/>
    <mergeCell ref="B24:C24"/>
    <mergeCell ref="B38:C38"/>
    <mergeCell ref="B40:C40"/>
    <mergeCell ref="B25:C25"/>
    <mergeCell ref="B37:C37"/>
    <mergeCell ref="B28:C28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649</v>
      </c>
    </row>
    <row r="3" spans="1:4" x14ac:dyDescent="0.2">
      <c r="A3" s="33" t="s">
        <v>650</v>
      </c>
      <c r="B3" s="31"/>
      <c r="C3" s="31"/>
      <c r="D3" s="32"/>
    </row>
    <row r="4" spans="1:4" ht="330" customHeight="1" x14ac:dyDescent="0.2">
      <c r="A4" s="30" t="s">
        <v>651</v>
      </c>
      <c r="B4" s="31"/>
      <c r="C4" s="31"/>
      <c r="D4" s="32"/>
    </row>
    <row r="6" spans="1:4" x14ac:dyDescent="0.2">
      <c r="A6" s="6" t="s">
        <v>649</v>
      </c>
    </row>
    <row r="7" spans="1:4" ht="26" customHeight="1" x14ac:dyDescent="0.2">
      <c r="A7" s="7" t="s">
        <v>46</v>
      </c>
      <c r="B7" s="28" t="s">
        <v>652</v>
      </c>
      <c r="C7" s="29"/>
      <c r="D7" s="29"/>
    </row>
    <row r="8" spans="1:4" ht="26" customHeight="1" x14ac:dyDescent="0.2">
      <c r="A8" s="7" t="s">
        <v>48</v>
      </c>
      <c r="B8" s="28" t="s">
        <v>653</v>
      </c>
      <c r="C8" s="29"/>
      <c r="D8" s="29"/>
    </row>
    <row r="9" spans="1:4" ht="65" customHeight="1" x14ac:dyDescent="0.2">
      <c r="A9" s="7" t="s">
        <v>50</v>
      </c>
      <c r="B9" s="28" t="s">
        <v>654</v>
      </c>
      <c r="C9" s="29"/>
      <c r="D9" s="29"/>
    </row>
    <row r="10" spans="1:4" ht="26" customHeight="1" x14ac:dyDescent="0.2">
      <c r="A10" s="7" t="s">
        <v>52</v>
      </c>
      <c r="B10" s="28" t="s">
        <v>655</v>
      </c>
      <c r="C10" s="29"/>
      <c r="D10" s="29"/>
    </row>
    <row r="11" spans="1:4" ht="13" customHeight="1" x14ac:dyDescent="0.2">
      <c r="A11" s="7" t="s">
        <v>54</v>
      </c>
      <c r="B11" s="28" t="s">
        <v>656</v>
      </c>
      <c r="C11" s="29"/>
      <c r="D11" s="29"/>
    </row>
    <row r="12" spans="1:4" x14ac:dyDescent="0.2">
      <c r="A12" s="9" t="s">
        <v>657</v>
      </c>
      <c r="B12" s="9" t="s">
        <v>658</v>
      </c>
      <c r="C12" s="9" t="s">
        <v>59</v>
      </c>
      <c r="D12" s="9" t="s">
        <v>613</v>
      </c>
    </row>
    <row r="13" spans="1:4" x14ac:dyDescent="0.2">
      <c r="A13" t="s">
        <v>659</v>
      </c>
      <c r="B13" t="s">
        <v>660</v>
      </c>
      <c r="C13" t="s">
        <v>661</v>
      </c>
      <c r="D13" t="str">
        <f>IF(AND(Discount_Rate&gt;=0,Discount_Rate&lt;=0.15),"PASS","FAIL")</f>
        <v>PASS</v>
      </c>
    </row>
    <row r="14" spans="1:4" x14ac:dyDescent="0.2">
      <c r="A14" t="s">
        <v>662</v>
      </c>
      <c r="B14" t="s">
        <v>660</v>
      </c>
      <c r="C14" t="s">
        <v>663</v>
      </c>
      <c r="D14" t="str">
        <f>IF(AND(Season_Length&gt;=60,Season_Length&lt;=150),"PASS","FAIL")</f>
        <v>PASS</v>
      </c>
    </row>
    <row r="15" spans="1:4" x14ac:dyDescent="0.2">
      <c r="A15" t="s">
        <v>664</v>
      </c>
      <c r="B15" t="s">
        <v>660</v>
      </c>
      <c r="C15" t="s">
        <v>665</v>
      </c>
      <c r="D15" t="str">
        <f>IF(AND(Projection_Years&gt;=1,Projection_Years&lt;=10),"PASS","FAIL")</f>
        <v>PASS</v>
      </c>
    </row>
    <row r="16" spans="1:4" x14ac:dyDescent="0.2">
      <c r="A16" t="s">
        <v>666</v>
      </c>
      <c r="B16" t="s">
        <v>660</v>
      </c>
      <c r="C16" t="s">
        <v>667</v>
      </c>
      <c r="D16" t="str">
        <f>IF(Value_Per_M3&gt;0,"PASS","FAIL")</f>
        <v>PASS</v>
      </c>
    </row>
    <row r="17" spans="1:4" x14ac:dyDescent="0.2">
      <c r="A17" t="s">
        <v>668</v>
      </c>
      <c r="B17" t="s">
        <v>669</v>
      </c>
      <c r="C17" t="s">
        <v>670</v>
      </c>
      <c r="D17" t="str">
        <f>IF(COUNTIF(List_TestingOptions,Testing_Option)=1,"PASS","FAIL")</f>
        <v>PASS</v>
      </c>
    </row>
    <row r="18" spans="1:4" x14ac:dyDescent="0.2">
      <c r="A18" t="s">
        <v>671</v>
      </c>
      <c r="B18" t="s">
        <v>669</v>
      </c>
      <c r="C18" t="s">
        <v>672</v>
      </c>
      <c r="D18" t="str">
        <f>IF(COUNTIF(List_Scenarios,Scenario_Select)=1,"PASS","FAIL")</f>
        <v>PASS</v>
      </c>
    </row>
    <row r="19" spans="1:4" x14ac:dyDescent="0.2">
      <c r="A19" t="s">
        <v>673</v>
      </c>
      <c r="B19" t="s">
        <v>674</v>
      </c>
      <c r="C19" t="s">
        <v>675</v>
      </c>
      <c r="D19" t="str">
        <f ca="1">IF(AND(NPV_Total&gt;-1000000,NPV_Total&lt;10000000),"PASS","FAIL")</f>
        <v>PASS</v>
      </c>
    </row>
    <row r="20" spans="1:4" x14ac:dyDescent="0.2">
      <c r="A20" t="s">
        <v>676</v>
      </c>
      <c r="B20" t="s">
        <v>674</v>
      </c>
      <c r="C20" t="s">
        <v>677</v>
      </c>
      <c r="D20" t="str">
        <f>IF(Testing_Cost&gt;0,"PASS","FAIL")</f>
        <v>PASS</v>
      </c>
    </row>
    <row r="21" spans="1:4" x14ac:dyDescent="0.2">
      <c r="A21" t="s">
        <v>678</v>
      </c>
      <c r="B21" t="s">
        <v>674</v>
      </c>
      <c r="C21" t="s">
        <v>679</v>
      </c>
      <c r="D21" t="str">
        <f ca="1">IF(Gross_Value&gt;=0,"PASS","FAIL")</f>
        <v>PASS</v>
      </c>
    </row>
    <row r="22" spans="1:4" x14ac:dyDescent="0.2">
      <c r="A22" t="s">
        <v>680</v>
      </c>
      <c r="B22" t="s">
        <v>681</v>
      </c>
      <c r="C22" t="s">
        <v>682</v>
      </c>
      <c r="D22" t="str">
        <f>IF(ISERROR(Testing_Option),"FAIL","PASS")</f>
        <v>PASS</v>
      </c>
    </row>
    <row r="23" spans="1:4" x14ac:dyDescent="0.2">
      <c r="A23" t="s">
        <v>683</v>
      </c>
      <c r="B23" t="s">
        <v>660</v>
      </c>
      <c r="C23" t="s">
        <v>684</v>
      </c>
      <c r="D23" t="str">
        <f>IF(AND(Initial_NAFC&gt;=40,Initial_NAFC&lt;=100),"PASS","FAIL")</f>
        <v>PASS</v>
      </c>
    </row>
    <row r="24" spans="1:4" x14ac:dyDescent="0.2">
      <c r="A24" t="s">
        <v>685</v>
      </c>
      <c r="B24" t="s">
        <v>669</v>
      </c>
      <c r="C24" t="s">
        <v>686</v>
      </c>
      <c r="D24" t="str">
        <f>IF(Target_NAFC&lt;Initial_NAFC,"PASS","FAIL")</f>
        <v>PASS</v>
      </c>
    </row>
    <row r="25" spans="1:4" x14ac:dyDescent="0.2">
      <c r="A25" t="s">
        <v>687</v>
      </c>
      <c r="B25" t="s">
        <v>674</v>
      </c>
      <c r="C25" t="s">
        <v>688</v>
      </c>
      <c r="D25" t="str">
        <f ca="1">IF(Days_to_Compliance&lt;=Season_Length,"PASS","FAIL")</f>
        <v>PASS</v>
      </c>
    </row>
    <row r="26" spans="1:4" x14ac:dyDescent="0.2">
      <c r="A26" t="s">
        <v>689</v>
      </c>
      <c r="B26" t="s">
        <v>660</v>
      </c>
      <c r="C26" t="s">
        <v>690</v>
      </c>
      <c r="D26" t="str">
        <f ca="1">IF(AND(Eff_Rapid_Rate&gt;0,Eff_Slow_Rate&gt;0),"PASS","FAIL")</f>
        <v>PASS</v>
      </c>
    </row>
    <row r="29" spans="1:4" ht="19" x14ac:dyDescent="0.25">
      <c r="A29" s="4" t="s">
        <v>691</v>
      </c>
    </row>
    <row r="30" spans="1:4" x14ac:dyDescent="0.2">
      <c r="A30" t="s">
        <v>692</v>
      </c>
      <c r="B30">
        <f>COUNTA(tbl_Checks[Check_ID])</f>
        <v>14</v>
      </c>
    </row>
    <row r="31" spans="1:4" x14ac:dyDescent="0.2">
      <c r="A31" t="s">
        <v>693</v>
      </c>
      <c r="B31">
        <f ca="1">COUNTIF(tbl_Checks[Status],"PASS")</f>
        <v>14</v>
      </c>
    </row>
    <row r="32" spans="1:4" x14ac:dyDescent="0.2">
      <c r="A32" t="s">
        <v>694</v>
      </c>
      <c r="B32">
        <f ca="1">COUNTIF(tbl_Checks[Status],"FAIL")</f>
        <v>0</v>
      </c>
    </row>
    <row r="33" spans="1:2" x14ac:dyDescent="0.2">
      <c r="A33" t="s">
        <v>695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2026-01-30T23:57:19Z</dcterms:created>
  <dcterms:modified xsi:type="dcterms:W3CDTF">2026-01-31T00:03:29Z</dcterms:modified>
</cp:coreProperties>
</file>