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greg/Luminous Dropbox/Obsidian/utils/financial_modeling/"/>
    </mc:Choice>
  </mc:AlternateContent>
  <xr:revisionPtr revIDLastSave="0" documentId="13_ncr:1_{0441124A-71C7-6942-8D28-13B9BC80EF14}" xr6:coauthVersionLast="47" xr6:coauthVersionMax="47" xr10:uidLastSave="{00000000-0000-0000-0000-000000000000}"/>
  <bookViews>
    <workbookView xWindow="0" yWindow="680" windowWidth="30240" windowHeight="18960" firstSheet="7" activeTab="10" xr2:uid="{00000000-000D-0000-FFFF-FFFF00000000}"/>
  </bookViews>
  <sheets>
    <sheet name="0_Cover" sheetId="1" r:id="rId1"/>
    <sheet name="1_TOC" sheetId="2" r:id="rId2"/>
    <sheet name="2_Instructions" sheetId="3" r:id="rId3"/>
    <sheet name="3_Assumptions" sheetId="4" r:id="rId4"/>
    <sheet name="4_Scenarios" sheetId="5" r:id="rId5"/>
    <sheet name="5_ServiceModels" sheetId="6" r:id="rId6"/>
    <sheet name="6_Calc_Timeline" sheetId="7" r:id="rId7"/>
    <sheet name="7_Calc_Stochastic" sheetId="8" r:id="rId8"/>
    <sheet name="8_Calc_Value" sheetId="9" r:id="rId9"/>
    <sheet name="9_Calc_Costs" sheetId="10" r:id="rId10"/>
    <sheet name="10_Calc_Sim" sheetId="11" r:id="rId11"/>
    <sheet name="11_PL_Monthly" sheetId="12" r:id="rId12"/>
    <sheet name="12_PL_Annual" sheetId="13" r:id="rId13"/>
    <sheet name="13_CashFlow" sheetId="14" r:id="rId14"/>
    <sheet name="14_UnitEconomics" sheetId="15" r:id="rId15"/>
    <sheet name="15_Sensitivity" sheetId="16" r:id="rId16"/>
    <sheet name="16_Dashboard" sheetId="17" r:id="rId17"/>
    <sheet name="17_Checks" sheetId="18" r:id="rId18"/>
  </sheets>
  <definedNames>
    <definedName name="Annual_Throughput">'3_Assumptions'!$B$25</definedName>
    <definedName name="AnnualThroughput_M3">'3_Assumptions'!$B$25</definedName>
    <definedName name="Base_Year">'1_TOC'!$B$9</definedName>
    <definedName name="Beta_Efficiency_Gain_Alpha">'5_ServiceModels'!$B$13</definedName>
    <definedName name="Beta_Efficiency_Gain_Beta">'5_ServiceModels'!$C$13</definedName>
    <definedName name="Beta_Efficiency_Gain_Max">'5_ServiceModels'!$E$13</definedName>
    <definedName name="Beta_Efficiency_Gain_Min">'5_ServiceModels'!$D$13</definedName>
    <definedName name="Circulation_Cycles">'6_Calc_Timeline'!$C$19</definedName>
    <definedName name="Compliance_Status">'6_Calc_Timeline'!$C$21</definedName>
    <definedName name="Day_80_Survival">'3_Assumptions'!$B$83</definedName>
    <definedName name="Day_LC50">'3_Assumptions'!$B$82</definedName>
    <definedName name="Day_Nontoxic">'3_Assumptions'!$B$84</definedName>
    <definedName name="Days_to_Compliance">'6_Calc_Timeline'!$C$18</definedName>
    <definedName name="Discount_Rate">'1_TOC'!$B$7</definedName>
    <definedName name="DowntimeCostPerDay">'3_Assumptions'!$B$33</definedName>
    <definedName name="Eff_Rapid_Rate">'6_Calc_Timeline'!$C$15</definedName>
    <definedName name="Eff_Slow_Rate">'6_Calc_Timeline'!$C$16</definedName>
    <definedName name="Gate_S1">'3_Assumptions'!$B$53:$B$55</definedName>
    <definedName name="Gate_S2">'3_Assumptions'!$C$53:$C$55</definedName>
    <definedName name="Gate_S3">'3_Assumptions'!$D$53:$D$55</definedName>
    <definedName name="Gate_S4">'3_Assumptions'!$E$53:$E$55</definedName>
    <definedName name="Gross_Value">'8_Calc_Value'!$E$9</definedName>
    <definedName name="Initial_NAFC">'3_Assumptions'!$B$70</definedName>
    <definedName name="LaborPerDay">'3_Assumptions'!$B$31</definedName>
    <definedName name="LearningCurve_Mult">'3_Assumptions'!$B$38:$B$42</definedName>
    <definedName name="List_Scenarios">'3_Assumptions'!$B$60:$B$62</definedName>
    <definedName name="List_TestingOptions">'3_Assumptions'!$A$60:$A$62</definedName>
    <definedName name="MC_Anchor">'3_Assumptions'!$B$65</definedName>
    <definedName name="MC_Expected_Days">'10_Calc_Sim'!$B$1019</definedName>
    <definedName name="MC_Expected_NPV">'10_Calc_Sim'!$B$1011</definedName>
    <definedName name="MC_P10">'10_Calc_Sim'!$B$1012</definedName>
    <definedName name="MC_P10_Days">'10_Calc_Sim'!$B$1020</definedName>
    <definedName name="MC_P50">'10_Calc_Sim'!$B$1013</definedName>
    <definedName name="MC_P50_Days">'10_Calc_Sim'!$B$1021</definedName>
    <definedName name="MC_P90">'10_Calc_Sim'!$B$1014</definedName>
    <definedName name="MC_P90_Days">'10_Calc_Sim'!$B$1022</definedName>
    <definedName name="MC_Prob_Achievable">'10_Calc_Sim'!$B$1023</definedName>
    <definedName name="MC_Prob_Positive">'10_Calc_Sim'!$B$1016</definedName>
    <definedName name="MC_StdDev">'10_Calc_Sim'!$B$1015</definedName>
    <definedName name="NAFC_After_Rapid">'6_Calc_Timeline'!$C$17</definedName>
    <definedName name="NPV_Total">'12_PL_Annual'!$B$12</definedName>
    <definedName name="Projection_Years">'1_TOC'!$B$8</definedName>
    <definedName name="Rapid_Phase_Duration">'3_Assumptions'!$B$74</definedName>
    <definedName name="Rapid_Phase_Rate">'3_Assumptions'!$B$72</definedName>
    <definedName name="Recirculation_Cycle">'3_Assumptions'!$B$75</definedName>
    <definedName name="RegulatoryPenalty">'3_Assumptions'!$B$32</definedName>
    <definedName name="S1_Value">'8_Calc_Value'!$E$4</definedName>
    <definedName name="S2_Value">'8_Calc_Value'!$E$5</definedName>
    <definedName name="S3_Value">'8_Calc_Value'!$E$6</definedName>
    <definedName name="S4_Value">'8_Calc_Value'!$E$7</definedName>
    <definedName name="Scenario_BaseValues">'4_Scenarios'!$C$4:$C$7</definedName>
    <definedName name="Scenario_Select">'1_TOC'!$B$6</definedName>
    <definedName name="Season_End_Day">'3_Assumptions'!$B$9</definedName>
    <definedName name="Season_End_Month">'3_Assumptions'!$B$8</definedName>
    <definedName name="Season_Length">'3_Assumptions'!$B$10</definedName>
    <definedName name="Season_Start_Day">'3_Assumptions'!$B$7</definedName>
    <definedName name="Season_Start_Month">'3_Assumptions'!$B$6</definedName>
    <definedName name="Slow_Phase_Rate">'3_Assumptions'!$B$73</definedName>
    <definedName name="Stoch_Efficiency">'7_Calc_Stochastic'!$C$8</definedName>
    <definedName name="Stoch_ExtValue">'7_Calc_Stochastic'!$C$6</definedName>
    <definedName name="Stoch_Interventions">'7_Calc_Stochastic'!$C$7</definedName>
    <definedName name="Stoch_SeasonExt">'7_Calc_Stochastic'!$C$5</definedName>
    <definedName name="Stoch_TreatmentRate">'7_Calc_Stochastic'!$C$9</definedName>
    <definedName name="System_Capacity">'3_Assumptions'!$B$76</definedName>
    <definedName name="Target_NAFC">'3_Assumptions'!$B$71</definedName>
    <definedName name="Testing_Cost">'9_Calc_Costs'!$C$10</definedName>
    <definedName name="Testing_Option">'1_TOC'!$B$5</definedName>
    <definedName name="TestOpt_Cost">'3_Assumptions'!$E$47:$E$49</definedName>
    <definedName name="TestOpt_Interval">'3_Assumptions'!$C$47:$C$49</definedName>
    <definedName name="TestOpt_Latency">'3_Assumptions'!$F$47:$F$49</definedName>
    <definedName name="TestOpt_Method">'3_Assumptions'!$B$47:$B$49</definedName>
    <definedName name="TestOpt_Option">'3_Assumptions'!$A$47:$A$49</definedName>
    <definedName name="TestOpt_Points">'3_Assumptions'!$D$47:$D$49</definedName>
    <definedName name="Timeline_DiscountFactor">'6_Calc_Timeline'!$D$4:$D$9</definedName>
    <definedName name="Timeline_LearningMult">'6_Calc_Timeline'!$E$4:$E$9</definedName>
    <definedName name="Treatment_Cells">'3_Assumptions'!$B$24</definedName>
    <definedName name="Treatment_Days">'3_Assumptions'!$B$10</definedName>
    <definedName name="Treatment_Efficiency">'6_Calc_Timeline'!$C$20</definedName>
    <definedName name="TreatmentCells">'3_Assumptions'!$B$24</definedName>
    <definedName name="Tri_Extension_Value_Per_Day_Max">'5_ServiceModels'!$D$6</definedName>
    <definedName name="Tri_Extension_Value_Per_Day_Min">'5_ServiceModels'!$B$6</definedName>
    <definedName name="Tri_Extension_Value_Per_Day_Mode">'5_ServiceModels'!$C$6</definedName>
    <definedName name="Tri_Interventions_Avoided_Max">'5_ServiceModels'!$D$7</definedName>
    <definedName name="Tri_Interventions_Avoided_Min">'5_ServiceModels'!$B$7</definedName>
    <definedName name="Tri_Interventions_Avoided_Mode">'5_ServiceModels'!$C$7</definedName>
    <definedName name="Tri_Season_Extension_Days_Max">'5_ServiceModels'!$D$5</definedName>
    <definedName name="Tri_Season_Extension_Days_Min">'5_ServiceModels'!$B$5</definedName>
    <definedName name="Tri_Season_Extension_Days_Mode">'5_ServiceModels'!$C$5</definedName>
    <definedName name="Tri_Treatment_Rate_Factor_Max">'5_ServiceModels'!$D$8</definedName>
    <definedName name="Tri_Treatment_Rate_Factor_Min">'5_ServiceModels'!$B$8</definedName>
    <definedName name="Tri_Treatment_Rate_Factor_Mode">'5_ServiceModels'!$C$8</definedName>
    <definedName name="Value_Per_M3">'3_Assumptions'!$B$26</definedName>
    <definedName name="ValuePer_M3">'3_Assumptions'!$B$26</definedName>
    <definedName name="Wetland_Area">'3_Assumptions'!$B$23</definedName>
    <definedName name="WetlandArea_Ha">'3_Assumptions'!$B$23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8" l="1"/>
  <c r="D15" i="18"/>
  <c r="D14" i="18"/>
  <c r="D13" i="18"/>
  <c r="D9" i="18"/>
  <c r="D8" i="18"/>
  <c r="D7" i="18"/>
  <c r="D6" i="18"/>
  <c r="D5" i="18"/>
  <c r="D4" i="18"/>
  <c r="B25" i="17"/>
  <c r="C24" i="17"/>
  <c r="B24" i="17"/>
  <c r="B5" i="17"/>
  <c r="B15" i="15"/>
  <c r="B4" i="15"/>
  <c r="A8" i="14"/>
  <c r="A7" i="14"/>
  <c r="A6" i="14"/>
  <c r="A5" i="14"/>
  <c r="A4" i="14"/>
  <c r="A8" i="13"/>
  <c r="A7" i="13"/>
  <c r="A6" i="13"/>
  <c r="A5" i="13"/>
  <c r="A4" i="13"/>
  <c r="B1023" i="11"/>
  <c r="B1022" i="11"/>
  <c r="B1021" i="11"/>
  <c r="B1020" i="11"/>
  <c r="B1019" i="11"/>
  <c r="B1016" i="11"/>
  <c r="B10" i="17" s="1"/>
  <c r="B1015" i="11"/>
  <c r="B1014" i="11"/>
  <c r="B9" i="17" s="1"/>
  <c r="B1013" i="11"/>
  <c r="B8" i="17" s="1"/>
  <c r="B1012" i="11"/>
  <c r="B7" i="17" s="1"/>
  <c r="B1011" i="11"/>
  <c r="C7" i="10"/>
  <c r="C6" i="10"/>
  <c r="C5" i="10"/>
  <c r="C8" i="10" s="1"/>
  <c r="C9" i="10" s="1"/>
  <c r="C10" i="10" s="1"/>
  <c r="C4" i="10"/>
  <c r="B7" i="9"/>
  <c r="B6" i="9"/>
  <c r="B5" i="9"/>
  <c r="B4" i="9"/>
  <c r="B9" i="8"/>
  <c r="C9" i="8" s="1"/>
  <c r="B8" i="8"/>
  <c r="C8" i="8" s="1"/>
  <c r="B7" i="8"/>
  <c r="C7" i="8" s="1"/>
  <c r="D5" i="9" s="1"/>
  <c r="B6" i="8"/>
  <c r="C6" i="8" s="1"/>
  <c r="B5" i="8"/>
  <c r="C5" i="8" s="1"/>
  <c r="D4" i="9" s="1"/>
  <c r="C20" i="7"/>
  <c r="E9" i="7"/>
  <c r="D9" i="7"/>
  <c r="I8" i="13" s="1"/>
  <c r="C9" i="7"/>
  <c r="B9" i="7"/>
  <c r="E8" i="7"/>
  <c r="D8" i="7"/>
  <c r="I7" i="13" s="1"/>
  <c r="C8" i="7"/>
  <c r="B8" i="7"/>
  <c r="E7" i="7"/>
  <c r="D7" i="7"/>
  <c r="I6" i="13" s="1"/>
  <c r="C7" i="7"/>
  <c r="B7" i="7"/>
  <c r="E6" i="7"/>
  <c r="D6" i="7"/>
  <c r="I5" i="13" s="1"/>
  <c r="C6" i="7"/>
  <c r="B6" i="7"/>
  <c r="E5" i="7"/>
  <c r="D5" i="7"/>
  <c r="I4" i="13" s="1"/>
  <c r="C5" i="7"/>
  <c r="B5" i="7"/>
  <c r="C4" i="7"/>
  <c r="B4" i="7"/>
  <c r="E55" i="4"/>
  <c r="D55" i="4"/>
  <c r="C55" i="4"/>
  <c r="B55" i="4"/>
  <c r="E54" i="4"/>
  <c r="D54" i="4"/>
  <c r="C54" i="4"/>
  <c r="B54" i="4"/>
  <c r="E53" i="4"/>
  <c r="D53" i="4"/>
  <c r="C53" i="4"/>
  <c r="B53" i="4"/>
  <c r="B5" i="1"/>
  <c r="C31" i="17" l="1"/>
  <c r="B31" i="17"/>
  <c r="C30" i="17"/>
  <c r="B30" i="17"/>
  <c r="C29" i="17"/>
  <c r="B29" i="17"/>
  <c r="B11" i="17"/>
  <c r="D11" i="18"/>
  <c r="G5" i="13"/>
  <c r="G6" i="13"/>
  <c r="G7" i="13"/>
  <c r="G4" i="13"/>
  <c r="G8" i="13"/>
  <c r="B6" i="15"/>
  <c r="B10" i="15"/>
  <c r="B16" i="15"/>
  <c r="G5" i="11"/>
  <c r="C15" i="7"/>
  <c r="C16" i="7"/>
  <c r="D7" i="9"/>
  <c r="D6" i="9"/>
  <c r="B28" i="17"/>
  <c r="C28" i="17"/>
  <c r="C20" i="17"/>
  <c r="C7" i="9"/>
  <c r="C19" i="17"/>
  <c r="C6" i="9"/>
  <c r="C18" i="17"/>
  <c r="C5" i="9"/>
  <c r="E5" i="9" s="1"/>
  <c r="C17" i="17"/>
  <c r="C4" i="9"/>
  <c r="E4" i="9" s="1"/>
  <c r="E7" i="9" l="1"/>
  <c r="E8" i="13" s="1"/>
  <c r="C17" i="7"/>
  <c r="C18" i="7" s="1"/>
  <c r="D17" i="18"/>
  <c r="D5" i="11"/>
  <c r="C4" i="13"/>
  <c r="C5" i="13"/>
  <c r="C6" i="13"/>
  <c r="C7" i="13"/>
  <c r="C8" i="13"/>
  <c r="B18" i="17"/>
  <c r="B4" i="13"/>
  <c r="B17" i="17"/>
  <c r="B6" i="13"/>
  <c r="B7" i="13"/>
  <c r="B8" i="13"/>
  <c r="B5" i="13"/>
  <c r="C5" i="11"/>
  <c r="E6" i="9"/>
  <c r="B20" i="17" l="1"/>
  <c r="F5" i="11"/>
  <c r="E4" i="13"/>
  <c r="E5" i="13"/>
  <c r="E6" i="13"/>
  <c r="E7" i="13"/>
  <c r="E9" i="9"/>
  <c r="C19" i="7"/>
  <c r="C21" i="7"/>
  <c r="C26" i="17" s="1"/>
  <c r="I5" i="11"/>
  <c r="B26" i="17"/>
  <c r="D16" i="18"/>
  <c r="D8" i="13"/>
  <c r="F8" i="13" s="1"/>
  <c r="H8" i="13" s="1"/>
  <c r="D5" i="13"/>
  <c r="D7" i="13"/>
  <c r="D6" i="13"/>
  <c r="D4" i="13"/>
  <c r="E5" i="11"/>
  <c r="B19" i="17"/>
  <c r="F6" i="13" l="1"/>
  <c r="H6" i="13" s="1"/>
  <c r="F7" i="13"/>
  <c r="F5" i="13"/>
  <c r="H5" i="13" s="1"/>
  <c r="F4" i="13"/>
  <c r="H5" i="11"/>
  <c r="B5" i="15"/>
  <c r="B7" i="15"/>
  <c r="B8" i="15"/>
  <c r="B9" i="15"/>
  <c r="B17" i="15"/>
  <c r="D12" i="18"/>
  <c r="B27" i="17"/>
  <c r="C27" i="17"/>
  <c r="J8" i="13"/>
  <c r="B8" i="14"/>
  <c r="B5" i="14"/>
  <c r="J5" i="13"/>
  <c r="H4" i="13"/>
  <c r="B12" i="17"/>
  <c r="B6" i="14" l="1"/>
  <c r="J6" i="13"/>
  <c r="H7" i="13"/>
  <c r="B13" i="13"/>
  <c r="B14" i="13"/>
  <c r="B4" i="14"/>
  <c r="C4" i="14" s="1"/>
  <c r="C5" i="14" s="1"/>
  <c r="C6" i="14" s="1"/>
  <c r="J4" i="13"/>
  <c r="B13" i="17"/>
  <c r="B7" i="14" l="1"/>
  <c r="C7" i="14" s="1"/>
  <c r="C8" i="14" s="1"/>
  <c r="J7" i="13"/>
  <c r="B12" i="13"/>
  <c r="D4" i="14"/>
  <c r="D5" i="14" s="1"/>
  <c r="D6" i="14" s="1"/>
  <c r="D7" i="14" s="1"/>
  <c r="D8" i="14" s="1"/>
  <c r="B11" i="15" l="1"/>
  <c r="B6" i="17"/>
  <c r="B5" i="11"/>
  <c r="D10" i="18"/>
  <c r="B44" i="17" l="1"/>
  <c r="B24" i="18"/>
  <c r="B43" i="17"/>
  <c r="B22" i="18"/>
  <c r="B23" i="18"/>
  <c r="B10" i="1"/>
  <c r="B9" i="1"/>
</calcChain>
</file>

<file path=xl/sharedStrings.xml><?xml version="1.0" encoding="utf-8"?>
<sst xmlns="http://schemas.openxmlformats.org/spreadsheetml/2006/main" count="691" uniqueCount="534">
  <si>
    <t>Luminous Wetland Monte Carlo Financial Model</t>
  </si>
  <si>
    <t>FAST Standard Compliant (18-Sheet Architecture)</t>
  </si>
  <si>
    <t>Version:</t>
  </si>
  <si>
    <t>3.0</t>
  </si>
  <si>
    <t>Date:</t>
  </si>
  <si>
    <t>Author:</t>
  </si>
  <si>
    <t>Luminous BioSolutions</t>
  </si>
  <si>
    <t>Model Status</t>
  </si>
  <si>
    <t>Health:</t>
  </si>
  <si>
    <t>Errors:</t>
  </si>
  <si>
    <t>Sheet Navigation</t>
  </si>
  <si>
    <t>1_TOC</t>
  </si>
  <si>
    <t>Table of Contents / Control panel</t>
  </si>
  <si>
    <t>2_Instructions</t>
  </si>
  <si>
    <t>Methodology and documentation</t>
  </si>
  <si>
    <t>3_Assumptions</t>
  </si>
  <si>
    <t>ALL inputs (timing, site, test options, validation)</t>
  </si>
  <si>
    <t>4_Scenarios</t>
  </si>
  <si>
    <t>Value scenario definitions</t>
  </si>
  <si>
    <t>5_ServiceModels</t>
  </si>
  <si>
    <t>Monte Carlo distributions</t>
  </si>
  <si>
    <t>6_Calc_Timeline</t>
  </si>
  <si>
    <t>Projection timeline</t>
  </si>
  <si>
    <t>7_Calc_Stochastic</t>
  </si>
  <si>
    <t>Random variable generation</t>
  </si>
  <si>
    <t>8_Calc_Value</t>
  </si>
  <si>
    <t>Gated value calculations</t>
  </si>
  <si>
    <t>9_Calc_Costs</t>
  </si>
  <si>
    <t>Cost calculations</t>
  </si>
  <si>
    <t>10_Calc_Sim</t>
  </si>
  <si>
    <t>1000-iteration Monte Carlo</t>
  </si>
  <si>
    <t>11_PL_Monthly</t>
  </si>
  <si>
    <t>Monthly P&amp;L (placeholder)</t>
  </si>
  <si>
    <t>12_PL_Annual</t>
  </si>
  <si>
    <t>Annual projections</t>
  </si>
  <si>
    <t>13_CashFlow</t>
  </si>
  <si>
    <t>Cumulative projections</t>
  </si>
  <si>
    <t>14_UnitEconomics</t>
  </si>
  <si>
    <t>Unit economics view</t>
  </si>
  <si>
    <t>15_Sensitivity</t>
  </si>
  <si>
    <t>Tornado analysis</t>
  </si>
  <si>
    <t>16_Dashboard</t>
  </si>
  <si>
    <t>Executive dashboard</t>
  </si>
  <si>
    <t>17_Checks</t>
  </si>
  <si>
    <t>Validation checks</t>
  </si>
  <si>
    <t>Control Panel</t>
  </si>
  <si>
    <t>User-editable parameters - change these to update model</t>
  </si>
  <si>
    <t>Parameter</t>
  </si>
  <si>
    <t>Value</t>
  </si>
  <si>
    <t>Validation</t>
  </si>
  <si>
    <t>Description</t>
  </si>
  <si>
    <t>Testing_Option</t>
  </si>
  <si>
    <t>Daily_Biosensor</t>
  </si>
  <si>
    <t>Dropdown</t>
  </si>
  <si>
    <t>Selected testing method</t>
  </si>
  <si>
    <t>Scenario_Select</t>
  </si>
  <si>
    <t>Base</t>
  </si>
  <si>
    <t>Model scenario</t>
  </si>
  <si>
    <t>Discount_Rate</t>
  </si>
  <si>
    <t>0%-15%</t>
  </si>
  <si>
    <t>NPV discount rate</t>
  </si>
  <si>
    <t>Projection_Years</t>
  </si>
  <si>
    <t>1-10</t>
  </si>
  <si>
    <t>Projection horizon</t>
  </si>
  <si>
    <t>Base_Year</t>
  </si>
  <si>
    <t>2024-2030</t>
  </si>
  <si>
    <t>Model start year</t>
  </si>
  <si>
    <t>Model Instructions &amp; Documentation</t>
  </si>
  <si>
    <t>1. Model Purpose</t>
  </si>
  <si>
    <t xml:space="preserve">  - Quantify value of high-frequency biosensor monitoring vs HRMS for OSPW wetland treatment</t>
  </si>
  <si>
    <t xml:space="preserve">  - Monte Carlo simulation for uncertainty quantification (1000 iterations)</t>
  </si>
  <si>
    <t xml:space="preserve">  - FAST Standard compliance for transparency and auditability</t>
  </si>
  <si>
    <t xml:space="preserve">  - All calculations performed in Excel - Python only generates structure/formulas</t>
  </si>
  <si>
    <t>2. How to Use This Model</t>
  </si>
  <si>
    <t>1. Edit yellow-highlighted cells in 1_TOC and 3_Assumptions</t>
  </si>
  <si>
    <t>2. Go to 10_Calc_Sim and set up the Data Table:</t>
  </si>
  <si>
    <t xml:space="preserve">   - Select A5:H1005</t>
  </si>
  <si>
    <t xml:space="preserve">   - Data &gt; What-If Analysis &gt; Data Table</t>
  </si>
  <si>
    <t xml:space="preserve">   - Column Input Cell: $J$1 (blank cell on same sheet)</t>
  </si>
  <si>
    <t>3. Press Ctrl+Alt+F9 to run Monte Carlo simulation</t>
  </si>
  <si>
    <t>4. View results in 16_Dashboard</t>
  </si>
  <si>
    <t>5. Check 17_Checks for any validation errors</t>
  </si>
  <si>
    <t>3. Latency Gating Logic</t>
  </si>
  <si>
    <t>HRMS lab testing has 42-day turnaround, blocking time-sensitive decisions:</t>
  </si>
  <si>
    <t>Scenario</t>
  </si>
  <si>
    <t>Required_Response</t>
  </si>
  <si>
    <t>HRMS_42d</t>
  </si>
  <si>
    <t>Biosensor_1d</t>
  </si>
  <si>
    <t>S1: Season Extension</t>
  </si>
  <si>
    <t>7 days</t>
  </si>
  <si>
    <t>BLOCKED</t>
  </si>
  <si>
    <t>ENABLED</t>
  </si>
  <si>
    <t>S2: Intervention Avoidance</t>
  </si>
  <si>
    <t>S3: Spatial Routing</t>
  </si>
  <si>
    <t>14 days</t>
  </si>
  <si>
    <t>S4: Early Detection</t>
  </si>
  <si>
    <t>3 days</t>
  </si>
  <si>
    <t>4. Glossary</t>
  </si>
  <si>
    <t>HRMS</t>
  </si>
  <si>
    <t>High-Resolution Mass Spectrometry</t>
  </si>
  <si>
    <t>OSPW</t>
  </si>
  <si>
    <t>Oil Sands Process-affected Water</t>
  </si>
  <si>
    <t>ARO</t>
  </si>
  <si>
    <t>Asset Retirement Obligation</t>
  </si>
  <si>
    <t>NPV</t>
  </si>
  <si>
    <t>Net Present Value</t>
  </si>
  <si>
    <t>HLR</t>
  </si>
  <si>
    <t>Hydraulic Loading Rate</t>
  </si>
  <si>
    <t>FAST</t>
  </si>
  <si>
    <t>Flexible, Appropriate, Structured, Transparent</t>
  </si>
  <si>
    <t>NAFC</t>
  </si>
  <si>
    <t>Naphthenic Acid Fraction Compounds</t>
  </si>
  <si>
    <t>5. Data Sources</t>
  </si>
  <si>
    <t xml:space="preserve">  - Zhang (2026) Long-Dated Environmental Liabilities in Oil Sands</t>
  </si>
  <si>
    <t xml:space="preserve">  - Kadlec &amp; Wallace (2009) Treatment Wetlands, 2nd Ed.</t>
  </si>
  <si>
    <t xml:space="preserve">  - FAST Standard Organisation (fast-standard.org)</t>
  </si>
  <si>
    <t xml:space="preserve">  - Luminous BioSolutions Financial Model Framework</t>
  </si>
  <si>
    <t xml:space="preserve">  - Kearl Wetland Pilot Data (GROW Presentation, Dec 2025)</t>
  </si>
  <si>
    <t>6. Value Per Cubic Meter Derivation</t>
  </si>
  <si>
    <t>The $5/m3 operational value is derived from:</t>
  </si>
  <si>
    <t xml:space="preserve">  - Conservative annual value: $250,000/year (Financial Model Framework)</t>
  </si>
  <si>
    <t xml:space="preserve">  - Annual throughput: 50,000 m3/year (3_Assumptions default)</t>
  </si>
  <si>
    <t xml:space="preserve">  - Calculation: $250,000 / 50,000 m3 = $5/m3</t>
  </si>
  <si>
    <t xml:space="preserve">  - This is the OPERATIONAL benefit only - excludes avoided treatment and ARO impacts</t>
  </si>
  <si>
    <t>Value Sensitivity Analysis (15_Sensitivity):</t>
  </si>
  <si>
    <t xml:space="preserve">  - Operational: $3-8/m3 (base $5) - Direct wetland treatment value</t>
  </si>
  <si>
    <t xml:space="preserve">  - Avoided Treatment: $10-30/m3 (base $20) - Alternative treatment costs</t>
  </si>
  <si>
    <t xml:space="preserve">  - ARO Liability: $21-93/m3 (base $50) - Zhang (2026) liability analysis</t>
  </si>
  <si>
    <t>7. Treatment Kinetics (Kearl 2022 Field Data)</t>
  </si>
  <si>
    <t>Source: Vander Meulen &amp; Headley (2024) GROW Presentation</t>
  </si>
  <si>
    <t>Project: Genome Canada LSARP - GROW (Genomics Research for Optimization of Constructed Treatment Wetlands)</t>
  </si>
  <si>
    <t>Two-Phase Kinetics Model:</t>
  </si>
  <si>
    <t xml:space="preserve">  - Rapid Phase (Days 0-15): -0.532 mg/L/day (R^2=0.43)</t>
  </si>
  <si>
    <t xml:space="preserve">  - Slow Phase (Days 30-69): -0.248 mg/L/day (R^2=0.50)</t>
  </si>
  <si>
    <t xml:space="preserve">  - The slowdown reflects preferential removal of labile compounds</t>
  </si>
  <si>
    <t>Toxicity Endpoints (Fathead Minnow Embryo):</t>
  </si>
  <si>
    <t xml:space="preserve">  - Day 14: ~50% survival (1 recirculation cycle = LC50)</t>
  </si>
  <si>
    <t xml:space="preserve">  - Day 28: 80-90% survival (2 cycles)</t>
  </si>
  <si>
    <t xml:space="preserve">  - Day 42: &gt;90% survival (3 cycles = non-toxic, equivalent to controls)</t>
  </si>
  <si>
    <t>The Concentration Paradox:</t>
  </si>
  <si>
    <t xml:space="preserve">  - Water at Day 42 was non-toxic despite ~50 mg/L NAFC concentration</t>
  </si>
  <si>
    <t xml:space="preserve">  - Literature LC50 values for fathead minnow: 18-34 mg/L</t>
  </si>
  <si>
    <t xml:space="preserve">  - Explanation: Wetlands preferentially remove high-carbon, lipophilic (most toxic) compounds</t>
  </si>
  <si>
    <t xml:space="preserve">  - Remaining NAFCs are oxidized (O3, O4 classes) and less bioavailable</t>
  </si>
  <si>
    <t xml:space="preserve">  - Implication: Total NAFC concentration alone may be inadequate for assessing safety</t>
  </si>
  <si>
    <t>Adjusting Parameters:</t>
  </si>
  <si>
    <t xml:space="preserve">  - All kinetics parameters are in 3_Assumptions Section H (yellow cells)</t>
  </si>
  <si>
    <t xml:space="preserve">  - Treatment_Rate_Factor in 5_ServiceModels captures seasonal/vegetation variability</t>
  </si>
  <si>
    <t xml:space="preserve">  - Modify Initial_NAFC to match your source water concentration</t>
  </si>
  <si>
    <t xml:space="preserve">  - Adjust Target_NAFC for different regulatory thresholds</t>
  </si>
  <si>
    <t>8. Change Log</t>
  </si>
  <si>
    <t>Version</t>
  </si>
  <si>
    <t>Date</t>
  </si>
  <si>
    <t>Changes</t>
  </si>
  <si>
    <t>3.2</t>
  </si>
  <si>
    <t>2026-01-29</t>
  </si>
  <si>
    <t>Value/m3 derivation documentation (Section 6)</t>
  </si>
  <si>
    <t>3.1</t>
  </si>
  <si>
    <t>Kearl treatment kinetics integration, Days_to_Compliance MC</t>
  </si>
  <si>
    <t>FAST 18-sheet refactor with LOCATIONS registry</t>
  </si>
  <si>
    <t>2.0</t>
  </si>
  <si>
    <t>2026-01-28</t>
  </si>
  <si>
    <t>Excel-native Monte Carlo via Data Tables</t>
  </si>
  <si>
    <t>1.0</t>
  </si>
  <si>
    <t>2025-12-01</t>
  </si>
  <si>
    <t>Initial Python-based model</t>
  </si>
  <si>
    <t>Model Assumptions (Single Source of Truth)</t>
  </si>
  <si>
    <t>All user-editable values are highlighted yellow</t>
  </si>
  <si>
    <t>A. TIMING PARAMETERS</t>
  </si>
  <si>
    <t>Unit</t>
  </si>
  <si>
    <t>Notes</t>
  </si>
  <si>
    <t>Season_Start_Month</t>
  </si>
  <si>
    <t>month</t>
  </si>
  <si>
    <t>May</t>
  </si>
  <si>
    <t>Season_Start_Day</t>
  </si>
  <si>
    <t>day</t>
  </si>
  <si>
    <t>Mid-May</t>
  </si>
  <si>
    <t>Season_End_Month</t>
  </si>
  <si>
    <t>September</t>
  </si>
  <si>
    <t>Season_End_Day</t>
  </si>
  <si>
    <t>Mid-September</t>
  </si>
  <si>
    <t>Treatment_Days</t>
  </si>
  <si>
    <t>days</t>
  </si>
  <si>
    <t>Active season length</t>
  </si>
  <si>
    <t>Seasonality Index</t>
  </si>
  <si>
    <t>Month</t>
  </si>
  <si>
    <t>Month_Num</t>
  </si>
  <si>
    <t>Multiplier</t>
  </si>
  <si>
    <t>Activity</t>
  </si>
  <si>
    <t>Ramp-up</t>
  </si>
  <si>
    <t>June</t>
  </si>
  <si>
    <t>Peak</t>
  </si>
  <si>
    <t>July</t>
  </si>
  <si>
    <t>August</t>
  </si>
  <si>
    <t>Slight decline</t>
  </si>
  <si>
    <t>Decline</t>
  </si>
  <si>
    <t>B. SITE CONFIGURATION</t>
  </si>
  <si>
    <t>Source</t>
  </si>
  <si>
    <t>WetlandAreaHa</t>
  </si>
  <si>
    <t>ha</t>
  </si>
  <si>
    <t>Standard design (Kearl pilot = 0.76 ha)</t>
  </si>
  <si>
    <t>TreatmentCells</t>
  </si>
  <si>
    <t>count</t>
  </si>
  <si>
    <t>Multi-cell design</t>
  </si>
  <si>
    <t>AnnualThroughputM3</t>
  </si>
  <si>
    <t>m3/yr</t>
  </si>
  <si>
    <t>HLR = 0.05 m3/m2/day</t>
  </si>
  <si>
    <t>ValuePerM3</t>
  </si>
  <si>
    <t>$/m3</t>
  </si>
  <si>
    <t>$250K/yr / 50K m3/yr (Section 6)</t>
  </si>
  <si>
    <t>C. COST PARAMETERS</t>
  </si>
  <si>
    <t>LaborPerDay</t>
  </si>
  <si>
    <t>$/day</t>
  </si>
  <si>
    <t>RegulatoryPenalty</t>
  </si>
  <si>
    <t>$</t>
  </si>
  <si>
    <t>DowntimeCostPerDay</t>
  </si>
  <si>
    <t>D. LEARNING CURVE</t>
  </si>
  <si>
    <t>Year</t>
  </si>
  <si>
    <t>Pilot learning</t>
  </si>
  <si>
    <t>Initial optimization</t>
  </si>
  <si>
    <t>Full maturity</t>
  </si>
  <si>
    <t>Steady state</t>
  </si>
  <si>
    <t>E. TEST OPTIONS</t>
  </si>
  <si>
    <t>Option</t>
  </si>
  <si>
    <t>Method</t>
  </si>
  <si>
    <t>Interval</t>
  </si>
  <si>
    <t>Points</t>
  </si>
  <si>
    <t>Cost_Per_Test</t>
  </si>
  <si>
    <t>Latency_Days</t>
  </si>
  <si>
    <t>Monthly_HRMS</t>
  </si>
  <si>
    <t>Weekly_HRMS</t>
  </si>
  <si>
    <t>Biosensor</t>
  </si>
  <si>
    <t>Latency Gating (Calculated)</t>
  </si>
  <si>
    <t>S1_Gate</t>
  </si>
  <si>
    <t>S2_Gate</t>
  </si>
  <si>
    <t>S3_Gate</t>
  </si>
  <si>
    <t>S4_Gate</t>
  </si>
  <si>
    <t>F. VALIDATION LISTS</t>
  </si>
  <si>
    <t>Testing_Options</t>
  </si>
  <si>
    <t>Scenarios</t>
  </si>
  <si>
    <t>Conservative</t>
  </si>
  <si>
    <t>Optimistic</t>
  </si>
  <si>
    <t>G. MC ANCHOR</t>
  </si>
  <si>
    <t>MC_Anchor --&gt;</t>
  </si>
  <si>
    <t>H. TREATMENT KINETICS</t>
  </si>
  <si>
    <t>Source: Vander Meulen &amp; Headley (2024) GROW Presentation - Kearl Pilot 2022</t>
  </si>
  <si>
    <t>Initial_NAFC</t>
  </si>
  <si>
    <t>mg/L</t>
  </si>
  <si>
    <t>Kearl 2022 Day 0 concentration</t>
  </si>
  <si>
    <t>Target_NAFC</t>
  </si>
  <si>
    <t>Regulatory threshold for non-toxicity</t>
  </si>
  <si>
    <t>Rapid_Phase_Rate</t>
  </si>
  <si>
    <t>mg/L/day</t>
  </si>
  <si>
    <t>Kearl Days 0-15 (R^2=0.43)</t>
  </si>
  <si>
    <t>Slow_Phase_Rate</t>
  </si>
  <si>
    <t>Kearl Days 30-69 (R^2=0.50)</t>
  </si>
  <si>
    <t>Rapid_Phase_Duration</t>
  </si>
  <si>
    <t>Duration of rapid removal phase</t>
  </si>
  <si>
    <t>Recirculation_Cycle</t>
  </si>
  <si>
    <t>Standard wetland recirculation</t>
  </si>
  <si>
    <t>System_Capacity</t>
  </si>
  <si>
    <t>m3</t>
  </si>
  <si>
    <t>Kearl 4-bay system volume</t>
  </si>
  <si>
    <t>I. TOXICITY MILESTONES</t>
  </si>
  <si>
    <t>Fathead minnow embryo survival endpoints (Parrott Lab, Burlington)</t>
  </si>
  <si>
    <t>Milestone</t>
  </si>
  <si>
    <t>Days</t>
  </si>
  <si>
    <t>Survival</t>
  </si>
  <si>
    <t>Day_LC50</t>
  </si>
  <si>
    <t>50%</t>
  </si>
  <si>
    <t>1 recirculation cycle - LC50 threshold</t>
  </si>
  <si>
    <t>Day_80_Survival</t>
  </si>
  <si>
    <t>80-90%</t>
  </si>
  <si>
    <t>2 recirculation cycles</t>
  </si>
  <si>
    <t>Day_Nontoxic</t>
  </si>
  <si>
    <t>&gt;90%</t>
  </si>
  <si>
    <t>3 cycles - equivalent to negative control</t>
  </si>
  <si>
    <t>Value Scenario Definitions</t>
  </si>
  <si>
    <t>ID</t>
  </si>
  <si>
    <t>Name</t>
  </si>
  <si>
    <t>Base_Value</t>
  </si>
  <si>
    <t>Required_Response_Days</t>
  </si>
  <si>
    <t>S1</t>
  </si>
  <si>
    <t>Season Extension</t>
  </si>
  <si>
    <t>Temperature-based vs calendar shutdown</t>
  </si>
  <si>
    <t>S2</t>
  </si>
  <si>
    <t>Intervention Avoidance</t>
  </si>
  <si>
    <t>Prevented false-positive interventions</t>
  </si>
  <si>
    <t>S3</t>
  </si>
  <si>
    <t>Spatial Routing</t>
  </si>
  <si>
    <t>Route to high-performing cells</t>
  </si>
  <si>
    <t>S4</t>
  </si>
  <si>
    <t>Early Detection</t>
  </si>
  <si>
    <t>Reduced bio-assay costs</t>
  </si>
  <si>
    <t>Model Scenarios</t>
  </si>
  <si>
    <t>Discount_Adj</t>
  </si>
  <si>
    <t>Growth_Adj</t>
  </si>
  <si>
    <t>Risk_Adj</t>
  </si>
  <si>
    <t>Monte Carlo Distribution Parameters</t>
  </si>
  <si>
    <t>Triangular Distributions</t>
  </si>
  <si>
    <t>Variable</t>
  </si>
  <si>
    <t>Min</t>
  </si>
  <si>
    <t>Mode</t>
  </si>
  <si>
    <t>Max</t>
  </si>
  <si>
    <t>Units</t>
  </si>
  <si>
    <t>Season_Extension_Days</t>
  </si>
  <si>
    <t>Extension_Value_Per_Day</t>
  </si>
  <si>
    <t>Interventions_Avoided</t>
  </si>
  <si>
    <t>events</t>
  </si>
  <si>
    <t>Treatment_Rate_Factor</t>
  </si>
  <si>
    <t>multiplier</t>
  </si>
  <si>
    <t>Beta Distributions</t>
  </si>
  <si>
    <t>Alpha</t>
  </si>
  <si>
    <t>Beta</t>
  </si>
  <si>
    <t>Efficiency_Gain</t>
  </si>
  <si>
    <t>%</t>
  </si>
  <si>
    <t>Value Per M3 Sensitivity Frames</t>
  </si>
  <si>
    <t>Frame</t>
  </si>
  <si>
    <t>Low</t>
  </si>
  <si>
    <t>High</t>
  </si>
  <si>
    <t>Context</t>
  </si>
  <si>
    <t>Operational</t>
  </si>
  <si>
    <t>Direct operational benefit</t>
  </si>
  <si>
    <t>Avoided Treatment</t>
  </si>
  <si>
    <t>Alternative treatment costs</t>
  </si>
  <si>
    <t>ARO Liability</t>
  </si>
  <si>
    <t>Zhang (2026) analysis</t>
  </si>
  <si>
    <t>Projection Timeline</t>
  </si>
  <si>
    <t>Year_Index</t>
  </si>
  <si>
    <t>Calendar_Year</t>
  </si>
  <si>
    <t>Discount_Factor</t>
  </si>
  <si>
    <t>Learning_Mult</t>
  </si>
  <si>
    <t>Treatment Kinetics (Kearl 2022)</t>
  </si>
  <si>
    <t>Source: Vander Meulen &amp; Headley (2024) GROW</t>
  </si>
  <si>
    <t>Metric</t>
  </si>
  <si>
    <t>Formula</t>
  </si>
  <si>
    <t>Eff_Rapid_Rate</t>
  </si>
  <si>
    <t>'=Rapid_Phase_Rate * Stoch_TreatmentRate</t>
  </si>
  <si>
    <t>Eff_Slow_Rate</t>
  </si>
  <si>
    <t>'=Slow_Phase_Rate * Stoch_TreatmentRate</t>
  </si>
  <si>
    <t>NAFC_After_Rapid</t>
  </si>
  <si>
    <t>'=MAX(0, Initial - Rate * Duration)</t>
  </si>
  <si>
    <t>Days_to_Compliance</t>
  </si>
  <si>
    <t>Two-phase calculation</t>
  </si>
  <si>
    <t>Circulation_Cycles</t>
  </si>
  <si>
    <t>'=CEILING(Days / Cycle, 1)</t>
  </si>
  <si>
    <t>cycles</t>
  </si>
  <si>
    <t>Treatment_Efficiency</t>
  </si>
  <si>
    <t>'=(Initial - Target) / Initial</t>
  </si>
  <si>
    <t>Compliance_Status</t>
  </si>
  <si>
    <t>Achievable within season?</t>
  </si>
  <si>
    <t>status</t>
  </si>
  <si>
    <t>Stochastic Variables</t>
  </si>
  <si>
    <t>(Press F9 to recalculate random draws)</t>
  </si>
  <si>
    <t>Random_U</t>
  </si>
  <si>
    <t>Realized_Value</t>
  </si>
  <si>
    <t>Season_Extension</t>
  </si>
  <si>
    <t>Extension_Value</t>
  </si>
  <si>
    <t>Gated Value Calculations</t>
  </si>
  <si>
    <t>Gate_Status</t>
  </si>
  <si>
    <t>Stoch_Mult</t>
  </si>
  <si>
    <t>Gated_Value</t>
  </si>
  <si>
    <t>S1_Season_Extension</t>
  </si>
  <si>
    <t>S2_Intervention_Avoidance</t>
  </si>
  <si>
    <t>S3_Spatial_Routing</t>
  </si>
  <si>
    <t>S4_Early_Detection</t>
  </si>
  <si>
    <t>Total_Gross_Value</t>
  </si>
  <si>
    <t>Cost Calculations</t>
  </si>
  <si>
    <t>Component</t>
  </si>
  <si>
    <t>Selected_Option</t>
  </si>
  <si>
    <t>Interval_Days</t>
  </si>
  <si>
    <t>INDEX/MATCH</t>
  </si>
  <si>
    <t>Monitoring_Points</t>
  </si>
  <si>
    <t>Events_Per_Season</t>
  </si>
  <si>
    <t>Season_Length / Interval</t>
  </si>
  <si>
    <t>Total_Tests</t>
  </si>
  <si>
    <t>Events * Points</t>
  </si>
  <si>
    <t>Season_Testing_Cost</t>
  </si>
  <si>
    <t>Total_Tests * Cost_Per_Test</t>
  </si>
  <si>
    <t>Monte Carlo Simulation (1000 iterations)</t>
  </si>
  <si>
    <t>Select A5:I1005 &gt; Data &gt; What-If Analysis &gt; Data Table</t>
  </si>
  <si>
    <t>Column Input Cell: $K$1 (blank cell on this sheet)</t>
  </si>
  <si>
    <t>Iteration</t>
  </si>
  <si>
    <t>Cost</t>
  </si>
  <si>
    <t>Net</t>
  </si>
  <si>
    <t>Monte Carlo Statistics</t>
  </si>
  <si>
    <t>Expected NPV</t>
  </si>
  <si>
    <t>P10 NPV</t>
  </si>
  <si>
    <t>P50 NPV (Median)</t>
  </si>
  <si>
    <t>P90 NPV</t>
  </si>
  <si>
    <t>StdDev</t>
  </si>
  <si>
    <t>Prob(NPV&gt;0)</t>
  </si>
  <si>
    <t>Treatment Kinetics Statistics</t>
  </si>
  <si>
    <t>Expected Days to Compliance</t>
  </si>
  <si>
    <t>P10 Days (optimistic)</t>
  </si>
  <si>
    <t>P50 Days (median)</t>
  </si>
  <si>
    <t>P90 Days (conservative)</t>
  </si>
  <si>
    <t>Prob(Achievable in Season)</t>
  </si>
  <si>
    <t>Monthly P&amp;L (Placeholder)</t>
  </si>
  <si>
    <t>This sheet is a placeholder for monthly granularity if required.</t>
  </si>
  <si>
    <t>Current model uses annual projections in 12_PL_Annual.</t>
  </si>
  <si>
    <t>Annual Projections</t>
  </si>
  <si>
    <t>S1_Value</t>
  </si>
  <si>
    <t>S2_Value</t>
  </si>
  <si>
    <t>S3_Value</t>
  </si>
  <si>
    <t>S4_Value</t>
  </si>
  <si>
    <t>Gross_Value</t>
  </si>
  <si>
    <t>Costs</t>
  </si>
  <si>
    <t>Net_Annual</t>
  </si>
  <si>
    <t>Discounted</t>
  </si>
  <si>
    <t>Aggregate KPIs</t>
  </si>
  <si>
    <t>NPV_Total</t>
  </si>
  <si>
    <t>Total_Gross_5Yr</t>
  </si>
  <si>
    <t>Total_Net_5Yr</t>
  </si>
  <si>
    <t>Cumulative Cash Flow</t>
  </si>
  <si>
    <t>Annual_Net</t>
  </si>
  <si>
    <t>Cumulative_Net</t>
  </si>
  <si>
    <t>Cumulative_NPV</t>
  </si>
  <si>
    <t>Unit Economics</t>
  </si>
  <si>
    <t>Annual Throughput</t>
  </si>
  <si>
    <t>From 3_Assumptions</t>
  </si>
  <si>
    <t>Gross Value per Season</t>
  </si>
  <si>
    <t>Sum of S1-S4</t>
  </si>
  <si>
    <t>Testing Cost per Season</t>
  </si>
  <si>
    <t>Based on option selected</t>
  </si>
  <si>
    <t>Net Value per Season</t>
  </si>
  <si>
    <t>Gross - Testing</t>
  </si>
  <si>
    <t>Value per m3 (Gross)</t>
  </si>
  <si>
    <t>Gross / Throughput</t>
  </si>
  <si>
    <t>Value per m3 (Net)</t>
  </si>
  <si>
    <t>Net / Throughput</t>
  </si>
  <si>
    <t>Cost per m3</t>
  </si>
  <si>
    <t>Testing / Throughput</t>
  </si>
  <si>
    <t>5-Year NPV per m3</t>
  </si>
  <si>
    <t>NPV / (5yr throughput)</t>
  </si>
  <si>
    <t>Breakeven Analysis</t>
  </si>
  <si>
    <t>Testing cost per test:</t>
  </si>
  <si>
    <t>Tests per season:</t>
  </si>
  <si>
    <t>Value per test (net):</t>
  </si>
  <si>
    <t>Sensitivity Analysis</t>
  </si>
  <si>
    <t>Automatic scaling - no manual Data Table setup required</t>
  </si>
  <si>
    <t>NPV_at_Low</t>
  </si>
  <si>
    <t>NPV_at_High</t>
  </si>
  <si>
    <t>Swing</t>
  </si>
  <si>
    <t>Value_Per_M3</t>
  </si>
  <si>
    <t>[Use Data Table]</t>
  </si>
  <si>
    <t>Season_Length</t>
  </si>
  <si>
    <t>Wetland_Area</t>
  </si>
  <si>
    <t>Methodology</t>
  </si>
  <si>
    <t>Proportional parameters: NPV scales linearly with parameter ratio (Low/Base, High/Base)</t>
  </si>
  <si>
    <t>Discount Rate: Uses time-value adjustment formula NPV * ((1+Base)/(1+Rate))^2.5</t>
  </si>
  <si>
    <t>Note: These are first-order approximations. For precise sensitivity, use Monte Carlo.</t>
  </si>
  <si>
    <t>Tornado Chart</t>
  </si>
  <si>
    <t>1. Select Parameter and Swing columns (A4:A8, G4:G8)</t>
  </si>
  <si>
    <t>2. Insert -&gt; Chart -&gt; Bar Chart (horizontal)</t>
  </si>
  <si>
    <t>3. Sort data by Swing descending for tornado effect</t>
  </si>
  <si>
    <t>Executive Dashboard</t>
  </si>
  <si>
    <t>Key Performance Indicators</t>
  </si>
  <si>
    <t>Selected Testing Option</t>
  </si>
  <si>
    <t>Expected NPV (5-Year)</t>
  </si>
  <si>
    <t>Monte Carlo P10</t>
  </si>
  <si>
    <t>Monte Carlo P50</t>
  </si>
  <si>
    <t>Monte Carlo P90</t>
  </si>
  <si>
    <t>Probability NPV &gt; 0</t>
  </si>
  <si>
    <t>Annual Testing Cost</t>
  </si>
  <si>
    <t>Year 1 Gross Value</t>
  </si>
  <si>
    <t>Year 1 Net Value</t>
  </si>
  <si>
    <t>Scenario Value Breakdown</t>
  </si>
  <si>
    <t>Status</t>
  </si>
  <si>
    <t>Initial NAFC Concentration</t>
  </si>
  <si>
    <t>Target NAFC Concentration</t>
  </si>
  <si>
    <t>"-"</t>
  </si>
  <si>
    <t>Days to Regulatory Compliance</t>
  </si>
  <si>
    <t>Circulation Cycles Required</t>
  </si>
  <si>
    <t>Treatment Efficiency</t>
  </si>
  <si>
    <t>MC Expected Days</t>
  </si>
  <si>
    <t>MC P90 Days (conservative)</t>
  </si>
  <si>
    <t>MC Prob(Achievable)</t>
  </si>
  <si>
    <t>Testing Option Comparison</t>
  </si>
  <si>
    <t>S1 Gate</t>
  </si>
  <si>
    <t>S2 Gate</t>
  </si>
  <si>
    <t>S3 Gate</t>
  </si>
  <si>
    <t>S4 Gate</t>
  </si>
  <si>
    <t>Testing Cost/Season</t>
  </si>
  <si>
    <t>$60,000</t>
  </si>
  <si>
    <t>$28,571</t>
  </si>
  <si>
    <t>$10,000</t>
  </si>
  <si>
    <t>Potential 5-Year NPV</t>
  </si>
  <si>
    <t>-$29k</t>
  </si>
  <si>
    <t>$180k</t>
  </si>
  <si>
    <t>$1.1M+</t>
  </si>
  <si>
    <t>Model Health</t>
  </si>
  <si>
    <t>Check Status:</t>
  </si>
  <si>
    <t>Errors Found:</t>
  </si>
  <si>
    <t>Model Validation Checks</t>
  </si>
  <si>
    <t>Check_ID</t>
  </si>
  <si>
    <t>Category</t>
  </si>
  <si>
    <t>CHK001</t>
  </si>
  <si>
    <t>Range</t>
  </si>
  <si>
    <t>Discount rate between 0-15%</t>
  </si>
  <si>
    <t>CHK002</t>
  </si>
  <si>
    <t>Season length between 60-150 days</t>
  </si>
  <si>
    <t>CHK003</t>
  </si>
  <si>
    <t>Projection years between 1-10</t>
  </si>
  <si>
    <t>CHK004</t>
  </si>
  <si>
    <t>Value per M3 positive</t>
  </si>
  <si>
    <t>CHK005</t>
  </si>
  <si>
    <t>Logic</t>
  </si>
  <si>
    <t>Testing option valid</t>
  </si>
  <si>
    <t>CHK006</t>
  </si>
  <si>
    <t>Scenario selection valid</t>
  </si>
  <si>
    <t>CHK007</t>
  </si>
  <si>
    <t>Sanity</t>
  </si>
  <si>
    <t>NPV within reasonable bounds</t>
  </si>
  <si>
    <t>CHK008</t>
  </si>
  <si>
    <t>Testing cost positive</t>
  </si>
  <si>
    <t>CHK009</t>
  </si>
  <si>
    <t>Gross value non-negative</t>
  </si>
  <si>
    <t>CHK010</t>
  </si>
  <si>
    <t>Integrity</t>
  </si>
  <si>
    <t>All named ranges defined</t>
  </si>
  <si>
    <t>CHK011</t>
  </si>
  <si>
    <t>Initial NAFC in range (40-100 mg/L)</t>
  </si>
  <si>
    <t>CHK012</t>
  </si>
  <si>
    <t>Target NAFC &lt; Initial NAFC</t>
  </si>
  <si>
    <t>CHK013</t>
  </si>
  <si>
    <t>Days to compliance &lt;= season length</t>
  </si>
  <si>
    <t>CHK014</t>
  </si>
  <si>
    <t>Treatment rates positive</t>
  </si>
  <si>
    <t>Summary</t>
  </si>
  <si>
    <t>Total Checks:</t>
  </si>
  <si>
    <t>Passed:</t>
  </si>
  <si>
    <t>Failed:</t>
  </si>
  <si>
    <t>Model Health: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</si>
</sst>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0.0%"/>
    <numFmt numFmtId="166" formatCode="\$#,##0.00"/>
    <numFmt numFmtId="167" formatCode="\$#,##0"/>
    <numFmt numFmtId="168" formatCode="0.000"/>
    <numFmt numFmtId="169" formatCode="0.0"/>
    <numFmt numFmtId="170" formatCode="0.0\ &quot;mg/L&quot;"/>
    <numFmt numFmtId="171" formatCode="0.0\ &quot;days&quot;"/>
  </numFmts>
  <fonts count="11" x14ac:knownFonts="1">
    <font>
      <sz val="11"/>
      <color theme="1"/>
      <name val="Calibri"/>
      <family val="2"/>
      <scheme val="minor"/>
    </font>
    <font>
      <b/>
      <sz val="20"/>
      <name val="Calibri"/>
      <family val="2"/>
    </font>
    <font>
      <i/>
      <sz val="12"/>
      <name val="Calibri"/>
      <family val="2"/>
    </font>
    <font>
      <b/>
      <sz val="14"/>
      <name val="Calibri"/>
      <family val="2"/>
    </font>
    <font>
      <b/>
      <sz val="16"/>
      <name val="Calibri"/>
      <family val="2"/>
    </font>
    <font>
      <i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i/>
      <sz val="11"/>
      <name val="Calibri"/>
      <family val="2"/>
    </font>
    <font>
      <i/>
      <sz val="9"/>
      <name val="Calibri"/>
      <family val="2"/>
    </font>
    <font>
      <i/>
      <sz val="11"/>
      <color rgb="FF666666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99"/>
        <bgColor rgb="FF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0" fillId="3" borderId="0" xfId="0" applyFill="1"/>
    <xf numFmtId="165" fontId="0" fillId="3" borderId="0" xfId="0" applyNumberFormat="1" applyFill="1"/>
    <xf numFmtId="0" fontId="7" fillId="0" borderId="0" xfId="0" applyFont="1"/>
    <xf numFmtId="0" fontId="8" fillId="0" borderId="0" xfId="0" applyFont="1"/>
    <xf numFmtId="166" fontId="0" fillId="3" borderId="0" xfId="0" applyNumberFormat="1" applyFill="1"/>
    <xf numFmtId="167" fontId="0" fillId="3" borderId="0" xfId="0" applyNumberFormat="1" applyFill="1"/>
    <xf numFmtId="167" fontId="0" fillId="0" borderId="0" xfId="0" applyNumberFormat="1"/>
    <xf numFmtId="0" fontId="9" fillId="0" borderId="0" xfId="0" applyFont="1"/>
    <xf numFmtId="168" fontId="0" fillId="3" borderId="0" xfId="0" applyNumberFormat="1" applyFill="1"/>
    <xf numFmtId="168" fontId="0" fillId="0" borderId="0" xfId="0" applyNumberFormat="1"/>
    <xf numFmtId="2" fontId="0" fillId="0" borderId="0" xfId="0" applyNumberFormat="1"/>
    <xf numFmtId="169" fontId="0" fillId="0" borderId="0" xfId="0" applyNumberFormat="1"/>
    <xf numFmtId="1" fontId="0" fillId="0" borderId="0" xfId="0" applyNumberFormat="1"/>
    <xf numFmtId="165" fontId="0" fillId="0" borderId="0" xfId="0" applyNumberFormat="1"/>
    <xf numFmtId="167" fontId="7" fillId="0" borderId="0" xfId="0" applyNumberFormat="1" applyFont="1"/>
    <xf numFmtId="166" fontId="0" fillId="0" borderId="0" xfId="0" applyNumberFormat="1"/>
    <xf numFmtId="0" fontId="10" fillId="0" borderId="0" xfId="0" applyFont="1"/>
    <xf numFmtId="170" fontId="0" fillId="0" borderId="0" xfId="0" applyNumberFormat="1"/>
    <xf numFmtId="17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ntrol" displayName="tbl_Control" ref="A4:D9">
  <autoFilter ref="A4:D9" xr:uid="{00000000-0009-0000-0100-000001000000}"/>
  <tableColumns count="4">
    <tableColumn id="1" xr3:uid="{00000000-0010-0000-0000-000001000000}" name="Parameter"/>
    <tableColumn id="2" xr3:uid="{00000000-0010-0000-0000-000002000000}" name="Value"/>
    <tableColumn id="3" xr3:uid="{00000000-0010-0000-0000-000003000000}" name="Validation"/>
    <tableColumn id="4" xr3:uid="{00000000-0010-0000-0000-000004000000}" name="Descript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Timing" displayName="tbl_Timing" ref="A5:D10">
  <autoFilter ref="A5:D10" xr:uid="{00000000-0009-0000-0100-000002000000}"/>
  <tableColumns count="4">
    <tableColumn id="1" xr3:uid="{00000000-0010-0000-0100-000001000000}" name="Parameter"/>
    <tableColumn id="2" xr3:uid="{00000000-0010-0000-0100-000002000000}" name="Value"/>
    <tableColumn id="3" xr3:uid="{00000000-0010-0000-0100-000003000000}" name="Unit"/>
    <tableColumn id="4" xr3:uid="{00000000-0010-0000-0100-000004000000}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easonality" displayName="tbl_Seasonality" ref="A13:D18">
  <autoFilter ref="A13:D18" xr:uid="{00000000-0009-0000-0100-000003000000}"/>
  <tableColumns count="4">
    <tableColumn id="1" xr3:uid="{00000000-0010-0000-0200-000001000000}" name="Month"/>
    <tableColumn id="2" xr3:uid="{00000000-0010-0000-0200-000002000000}" name="Month_Num"/>
    <tableColumn id="3" xr3:uid="{00000000-0010-0000-0200-000003000000}" name="Multiplier"/>
    <tableColumn id="4" xr3:uid="{00000000-0010-0000-0200-000004000000}" name="Activ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iteConfig" displayName="tbl_SiteConfig" ref="A22:D26">
  <autoFilter ref="A22:D26" xr:uid="{00000000-0009-0000-0100-000004000000}"/>
  <tableColumns count="4">
    <tableColumn id="1" xr3:uid="{00000000-0010-0000-0300-000001000000}" name="Parameter"/>
    <tableColumn id="2" xr3:uid="{00000000-0010-0000-0300-000002000000}" name="Value"/>
    <tableColumn id="3" xr3:uid="{00000000-0010-0000-0300-000003000000}" name="Unit"/>
    <tableColumn id="4" xr3:uid="{00000000-0010-0000-0300-000004000000}" name="Sour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CostParams" displayName="tbl_CostParams" ref="A30:C33">
  <autoFilter ref="A30:C33" xr:uid="{00000000-0009-0000-0100-000005000000}"/>
  <tableColumns count="3">
    <tableColumn id="1" xr3:uid="{00000000-0010-0000-0400-000001000000}" name="Parameter"/>
    <tableColumn id="2" xr3:uid="{00000000-0010-0000-0400-000002000000}" name="Value"/>
    <tableColumn id="3" xr3:uid="{00000000-0010-0000-0400-000003000000}" name="Uni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LearningCurve" displayName="tbl_LearningCurve" ref="A37:C42">
  <autoFilter ref="A37:C42" xr:uid="{00000000-0009-0000-0100-000006000000}"/>
  <tableColumns count="3">
    <tableColumn id="1" xr3:uid="{00000000-0010-0000-0500-000001000000}" name="Year"/>
    <tableColumn id="2" xr3:uid="{00000000-0010-0000-0500-000002000000}" name="Multiplier"/>
    <tableColumn id="3" xr3:uid="{00000000-0010-0000-0500-000003000000}" name="Notes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TestOptions" displayName="tbl_TestOptions" ref="A46:F49">
  <autoFilter ref="A46:F49" xr:uid="{00000000-0009-0000-0100-000007000000}"/>
  <tableColumns count="6">
    <tableColumn id="1" xr3:uid="{00000000-0010-0000-0600-000001000000}" name="Option"/>
    <tableColumn id="2" xr3:uid="{00000000-0010-0000-0600-000002000000}" name="Method"/>
    <tableColumn id="3" xr3:uid="{00000000-0010-0000-0600-000003000000}" name="Interval"/>
    <tableColumn id="4" xr3:uid="{00000000-0010-0000-0600-000004000000}" name="Points"/>
    <tableColumn id="5" xr3:uid="{00000000-0010-0000-0600-000005000000}" name="Cost_Per_Test"/>
    <tableColumn id="6" xr3:uid="{00000000-0010-0000-0600-000006000000}" name="Latency_Days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LatencyGating" displayName="tbl_LatencyGating" ref="A52:E55">
  <autoFilter ref="A52:E55" xr:uid="{00000000-0009-0000-0100-000008000000}"/>
  <tableColumns count="5">
    <tableColumn id="1" xr3:uid="{00000000-0010-0000-0700-000001000000}" name="Option"/>
    <tableColumn id="2" xr3:uid="{00000000-0010-0000-0700-000002000000}" name="S1_Gate"/>
    <tableColumn id="3" xr3:uid="{00000000-0010-0000-0700-000003000000}" name="S2_Gate"/>
    <tableColumn id="4" xr3:uid="{00000000-0010-0000-0700-000004000000}" name="S3_Gate"/>
    <tableColumn id="5" xr3:uid="{00000000-0010-0000-0700-000005000000}" name="S4_Gate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TreatmentKinetics" displayName="tbl_TreatmentKinetics" ref="A69:D76">
  <autoFilter ref="A69:D76" xr:uid="{00000000-0009-0000-0100-000009000000}"/>
  <tableColumns count="4">
    <tableColumn id="1" xr3:uid="{00000000-0010-0000-0800-000001000000}" name="Parameter"/>
    <tableColumn id="2" xr3:uid="{00000000-0010-0000-0800-000002000000}" name="Value"/>
    <tableColumn id="3" xr3:uid="{00000000-0010-0000-0800-000003000000}" name="Unit"/>
    <tableColumn id="4" xr3:uid="{00000000-0010-0000-0800-000004000000}" name="Notes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ToxicityMilestones" displayName="tbl_ToxicityMilestones" ref="A81:D84">
  <autoFilter ref="A81:D84" xr:uid="{00000000-0009-0000-0100-00000A000000}"/>
  <tableColumns count="4">
    <tableColumn id="1" xr3:uid="{00000000-0010-0000-0900-000001000000}" name="Milestone"/>
    <tableColumn id="2" xr3:uid="{00000000-0010-0000-0900-000002000000}" name="Days"/>
    <tableColumn id="3" xr3:uid="{00000000-0010-0000-0900-000003000000}" name="Survival"/>
    <tableColumn id="4" xr3:uid="{00000000-0010-0000-0900-000004000000}" name="Notes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ValueScenarios" displayName="tbl_ValueScenarios" ref="A3:E7">
  <autoFilter ref="A3:E7" xr:uid="{00000000-0009-0000-0100-00000B000000}"/>
  <tableColumns count="5">
    <tableColumn id="1" xr3:uid="{00000000-0010-0000-0A00-000001000000}" name="ID"/>
    <tableColumn id="2" xr3:uid="{00000000-0010-0000-0A00-000002000000}" name="Name"/>
    <tableColumn id="3" xr3:uid="{00000000-0010-0000-0A00-000003000000}" name="Base_Value"/>
    <tableColumn id="4" xr3:uid="{00000000-0010-0000-0A00-000004000000}" name="Required_Response_Days"/>
    <tableColumn id="5" xr3:uid="{00000000-0010-0000-0A00-000005000000}" name="Description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ModelScenarios" displayName="tbl_ModelScenarios" ref="A11:D14">
  <autoFilter ref="A11:D14" xr:uid="{00000000-0009-0000-0100-00000C000000}"/>
  <tableColumns count="4">
    <tableColumn id="1" xr3:uid="{00000000-0010-0000-0B00-000001000000}" name="Scenario"/>
    <tableColumn id="2" xr3:uid="{00000000-0010-0000-0B00-000002000000}" name="Discount_Adj"/>
    <tableColumn id="3" xr3:uid="{00000000-0010-0000-0B00-000003000000}" name="Growth_Adj"/>
    <tableColumn id="4" xr3:uid="{00000000-0010-0000-0B00-000004000000}" name="Risk_Adj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Triangular" displayName="tbl_Triangular" ref="A4:E8">
  <autoFilter ref="A4:E8" xr:uid="{00000000-0009-0000-0100-00000D000000}"/>
  <tableColumns count="5">
    <tableColumn id="1" xr3:uid="{00000000-0010-0000-0C00-000001000000}" name="Variable"/>
    <tableColumn id="2" xr3:uid="{00000000-0010-0000-0C00-000002000000}" name="Min"/>
    <tableColumn id="3" xr3:uid="{00000000-0010-0000-0C00-000003000000}" name="Mode"/>
    <tableColumn id="4" xr3:uid="{00000000-0010-0000-0C00-000004000000}" name="Max"/>
    <tableColumn id="5" xr3:uid="{00000000-0010-0000-0C00-000005000000}" name="Uni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Beta" displayName="tbl_Beta" ref="A12:F13">
  <autoFilter ref="A12:F13" xr:uid="{00000000-0009-0000-0100-00000E000000}"/>
  <tableColumns count="6">
    <tableColumn id="1" xr3:uid="{00000000-0010-0000-0D00-000001000000}" name="Variable"/>
    <tableColumn id="2" xr3:uid="{00000000-0010-0000-0D00-000002000000}" name="Alpha"/>
    <tableColumn id="3" xr3:uid="{00000000-0010-0000-0D00-000003000000}" name="Beta"/>
    <tableColumn id="4" xr3:uid="{00000000-0010-0000-0D00-000004000000}" name="Min"/>
    <tableColumn id="5" xr3:uid="{00000000-0010-0000-0D00-000005000000}" name="Max"/>
    <tableColumn id="6" xr3:uid="{00000000-0010-0000-0D00-000006000000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ValueSensitivity" displayName="tbl_ValueSensitivity" ref="A17:E20">
  <autoFilter ref="A17:E20" xr:uid="{00000000-0009-0000-0100-00000F000000}"/>
  <tableColumns count="5">
    <tableColumn id="1" xr3:uid="{00000000-0010-0000-0E00-000001000000}" name="Frame"/>
    <tableColumn id="2" xr3:uid="{00000000-0010-0000-0E00-000002000000}" name="Low"/>
    <tableColumn id="3" xr3:uid="{00000000-0010-0000-0E00-000003000000}" name="Base"/>
    <tableColumn id="4" xr3:uid="{00000000-0010-0000-0E00-000004000000}" name="High"/>
    <tableColumn id="5" xr3:uid="{00000000-0010-0000-0E00-000005000000}" name="Context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Timeline" displayName="tbl_Timeline" ref="A3:E9">
  <autoFilter ref="A3:E9" xr:uid="{00000000-0009-0000-0100-000010000000}"/>
  <tableColumns count="5">
    <tableColumn id="1" xr3:uid="{00000000-0010-0000-0F00-000001000000}" name="Year_Index"/>
    <tableColumn id="2" xr3:uid="{00000000-0010-0000-0F00-000002000000}" name="Calendar_Year"/>
    <tableColumn id="3" xr3:uid="{00000000-0010-0000-0F00-000003000000}" name="Treatment_Days"/>
    <tableColumn id="4" xr3:uid="{00000000-0010-0000-0F00-000004000000}" name="Discount_Factor"/>
    <tableColumn id="5" xr3:uid="{00000000-0010-0000-0F00-000005000000}" name="Learning_Mult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Stochastic" displayName="tbl_Stochastic" ref="A4:C9">
  <autoFilter ref="A4:C9" xr:uid="{00000000-0009-0000-0100-000011000000}"/>
  <tableColumns count="3">
    <tableColumn id="1" xr3:uid="{00000000-0010-0000-1000-000001000000}" name="Variable"/>
    <tableColumn id="2" xr3:uid="{00000000-0010-0000-1000-000002000000}" name="Random_U"/>
    <tableColumn id="3" xr3:uid="{00000000-0010-0000-1000-000003000000}" name="Realized_Value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GatedValues" displayName="tbl_GatedValues" ref="A3:E7">
  <autoFilter ref="A3:E7" xr:uid="{00000000-0009-0000-0100-000012000000}"/>
  <tableColumns count="5">
    <tableColumn id="1" xr3:uid="{00000000-0010-0000-1100-000001000000}" name="Scenario"/>
    <tableColumn id="2" xr3:uid="{00000000-0010-0000-1100-000002000000}" name="Base_Value"/>
    <tableColumn id="3" xr3:uid="{00000000-0010-0000-1100-000003000000}" name="Gate_Status"/>
    <tableColumn id="4" xr3:uid="{00000000-0010-0000-1100-000004000000}" name="Stoch_Mult"/>
    <tableColumn id="5" xr3:uid="{00000000-0010-0000-1100-000005000000}" name="Gated_Value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CostCalc" displayName="tbl_CostCalc" ref="A3:C10">
  <autoFilter ref="A3:C10" xr:uid="{00000000-0009-0000-0100-000013000000}"/>
  <tableColumns count="3">
    <tableColumn id="1" xr3:uid="{00000000-0010-0000-1200-000001000000}" name="Component"/>
    <tableColumn id="2" xr3:uid="{00000000-0010-0000-1200-000002000000}" name="Formula"/>
    <tableColumn id="3" xr3:uid="{00000000-0010-0000-1200-000003000000}" name="Value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Annual" displayName="tbl_Annual" ref="A3:J8">
  <autoFilter ref="A3:J8" xr:uid="{00000000-0009-0000-0100-000014000000}"/>
  <tableColumns count="10">
    <tableColumn id="1" xr3:uid="{00000000-0010-0000-1300-000001000000}" name="Year"/>
    <tableColumn id="2" xr3:uid="{00000000-0010-0000-1300-000002000000}" name="S1_Value"/>
    <tableColumn id="3" xr3:uid="{00000000-0010-0000-1300-000003000000}" name="S2_Value"/>
    <tableColumn id="4" xr3:uid="{00000000-0010-0000-1300-000004000000}" name="S3_Value"/>
    <tableColumn id="5" xr3:uid="{00000000-0010-0000-1300-000005000000}" name="S4_Value"/>
    <tableColumn id="6" xr3:uid="{00000000-0010-0000-1300-000006000000}" name="Gross_Value"/>
    <tableColumn id="7" xr3:uid="{00000000-0010-0000-1300-000007000000}" name="Costs"/>
    <tableColumn id="8" xr3:uid="{00000000-0010-0000-1300-000008000000}" name="Net_Annual"/>
    <tableColumn id="9" xr3:uid="{00000000-0010-0000-1300-000009000000}" name="Discount_Factor"/>
    <tableColumn id="10" xr3:uid="{00000000-0010-0000-1300-00000A000000}" name="Discounted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ashFlow" displayName="tbl_CashFlow" ref="A3:D8">
  <autoFilter ref="A3:D8" xr:uid="{00000000-0009-0000-0100-000015000000}"/>
  <tableColumns count="4">
    <tableColumn id="1" xr3:uid="{00000000-0010-0000-1400-000001000000}" name="Year"/>
    <tableColumn id="2" xr3:uid="{00000000-0010-0000-1400-000002000000}" name="Annual_Net"/>
    <tableColumn id="3" xr3:uid="{00000000-0010-0000-1400-000003000000}" name="Cumulative_Net"/>
    <tableColumn id="4" xr3:uid="{00000000-0010-0000-1400-000004000000}" name="Cumulative_NPV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UnitEconomics" displayName="tbl_UnitEconomics" ref="A3:D11">
  <autoFilter ref="A3:D11" xr:uid="{00000000-0009-0000-0100-000016000000}"/>
  <tableColumns count="4">
    <tableColumn id="1" xr3:uid="{00000000-0010-0000-1500-000001000000}" name="Metric"/>
    <tableColumn id="2" xr3:uid="{00000000-0010-0000-1500-000002000000}" name="Value"/>
    <tableColumn id="3" xr3:uid="{00000000-0010-0000-1500-000003000000}" name="Unit"/>
    <tableColumn id="4" xr3:uid="{00000000-0010-0000-1500-000004000000}" name="Formula"/>
  </tableColumns>
  <tableStyleInfo name="TableStyleMedium9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Sensitivity" displayName="tbl_Sensitivity" ref="A4:G8">
  <autoFilter ref="A4:G8" xr:uid="{00000000-0009-0000-0100-000017000000}"/>
  <tableColumns count="7">
    <tableColumn id="1" xr3:uid="{00000000-0010-0000-1600-000001000000}" name="Parameter"/>
    <tableColumn id="2" xr3:uid="{00000000-0010-0000-1600-000002000000}" name="Low"/>
    <tableColumn id="3" xr3:uid="{00000000-0010-0000-1600-000003000000}" name="Base"/>
    <tableColumn id="4" xr3:uid="{00000000-0010-0000-1600-000004000000}" name="High"/>
    <tableColumn id="5" xr3:uid="{00000000-0010-0000-1600-000005000000}" name="NPV_at_Low"/>
    <tableColumn id="6" xr3:uid="{00000000-0010-0000-1600-000006000000}" name="NPV_at_High"/>
    <tableColumn id="7" xr3:uid="{00000000-0010-0000-1600-000007000000}" name="Swing"/>
  </tableColumns>
  <tableStyleInfo name="TableStyleMedium9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KPIs" displayName="tbl_KPIs" ref="A4:B13">
  <autoFilter ref="A4:B13" xr:uid="{00000000-0009-0000-0100-000018000000}"/>
  <tableColumns count="2">
    <tableColumn id="1" xr3:uid="{00000000-0010-0000-1700-000001000000}" name="Metric"/>
    <tableColumn id="2" xr3:uid="{00000000-0010-0000-1700-000002000000}" name="Value"/>
  </tableColumns>
  <tableStyleInfo name="TableStyleMedium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_ScenarioBreakdown" displayName="tbl_ScenarioBreakdown" ref="A16:C20">
  <autoFilter ref="A16:C20" xr:uid="{00000000-0009-0000-0100-000019000000}"/>
  <tableColumns count="3">
    <tableColumn id="1" xr3:uid="{00000000-0010-0000-1800-000001000000}" name="Scenario"/>
    <tableColumn id="2" xr3:uid="{00000000-0010-0000-1800-000002000000}" name="Gated_Value"/>
    <tableColumn id="3" xr3:uid="{00000000-0010-0000-1800-000003000000}" name="Status"/>
  </tableColumns>
  <tableStyleInfo name="TableStyleMedium9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bl_TreatmentKPIs" displayName="tbl_TreatmentKPIs" ref="A23:C31">
  <autoFilter ref="A23:C31" xr:uid="{00000000-0009-0000-0100-00001A000000}"/>
  <tableColumns count="3">
    <tableColumn id="1" xr3:uid="{00000000-0010-0000-1900-000001000000}" name="Metric"/>
    <tableColumn id="2" xr3:uid="{00000000-0010-0000-1900-000002000000}" name="Value"/>
    <tableColumn id="3" xr3:uid="{00000000-0010-0000-1900-000003000000}" name="Status"/>
  </tableColumns>
  <tableStyleInfo name="TableStyleMedium9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bl_OptionComparison" displayName="tbl_OptionComparison" ref="A34:D40">
  <autoFilter ref="A34:D40" xr:uid="{00000000-0009-0000-0100-00001B000000}"/>
  <tableColumns count="4">
    <tableColumn id="1" xr3:uid="{00000000-0010-0000-1A00-000001000000}" name="Metric"/>
    <tableColumn id="2" xr3:uid="{00000000-0010-0000-1A00-000002000000}" name="Monthly_HRMS"/>
    <tableColumn id="3" xr3:uid="{00000000-0010-0000-1A00-000003000000}" name="Weekly_HRMS"/>
    <tableColumn id="4" xr3:uid="{00000000-0010-0000-1A00-000004000000}" name="Daily_Biosensor"/>
  </tableColumns>
  <tableStyleInfo name="TableStyleMedium9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bl_Checks" displayName="tbl_Checks" ref="A3:D17">
  <autoFilter ref="A3:D17" xr:uid="{00000000-0009-0000-0100-00001C000000}"/>
  <tableColumns count="4">
    <tableColumn id="1" xr3:uid="{00000000-0010-0000-1B00-000001000000}" name="Check_ID"/>
    <tableColumn id="2" xr3:uid="{00000000-0010-0000-1B00-000002000000}" name="Category"/>
    <tableColumn id="3" xr3:uid="{00000000-0010-0000-1B00-000003000000}" name="Description"/>
    <tableColumn id="4" xr3:uid="{00000000-0010-0000-1B00-000004000000}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4" Type="http://schemas.openxmlformats.org/officeDocument/2006/relationships/table" Target="../tables/table2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</sheetPr>
  <dimension ref="A1:B29"/>
  <sheetViews>
    <sheetView workbookViewId="0"/>
  </sheetViews>
  <sheetFormatPr baseColWidth="10" defaultColWidth="8.83203125" defaultRowHeight="15" x14ac:dyDescent="0.2"/>
  <cols>
    <col min="1" max="1" width="20" customWidth="1"/>
    <col min="2" max="2" width="45" customWidth="1"/>
  </cols>
  <sheetData>
    <row r="1" spans="1:2" ht="26" x14ac:dyDescent="0.3">
      <c r="A1" s="1" t="s">
        <v>0</v>
      </c>
    </row>
    <row r="2" spans="1:2" ht="16" x14ac:dyDescent="0.2">
      <c r="A2" s="2" t="s">
        <v>1</v>
      </c>
    </row>
    <row r="4" spans="1:2" x14ac:dyDescent="0.2">
      <c r="A4" t="s">
        <v>2</v>
      </c>
      <c r="B4" t="s">
        <v>3</v>
      </c>
    </row>
    <row r="5" spans="1:2" x14ac:dyDescent="0.2">
      <c r="A5" t="s">
        <v>4</v>
      </c>
      <c r="B5" s="3">
        <f ca="1">TODAY()</f>
        <v>46051</v>
      </c>
    </row>
    <row r="6" spans="1:2" x14ac:dyDescent="0.2">
      <c r="A6" t="s">
        <v>5</v>
      </c>
      <c r="B6" t="s">
        <v>6</v>
      </c>
    </row>
    <row r="8" spans="1:2" ht="19" x14ac:dyDescent="0.25">
      <c r="A8" s="4" t="s">
        <v>7</v>
      </c>
    </row>
    <row r="9" spans="1:2" x14ac:dyDescent="0.2">
      <c r="A9" t="s">
        <v>8</v>
      </c>
      <c r="B9" t="str">
        <f ca="1">IF(COUNTIF('17_Checks'!D:D,"FAIL")=0, "All Checks Pass", "Review 17_Checks")</f>
        <v>All Checks Pass</v>
      </c>
    </row>
    <row r="10" spans="1:2" x14ac:dyDescent="0.2">
      <c r="A10" t="s">
        <v>9</v>
      </c>
      <c r="B10">
        <f ca="1">COUNTIF('17_Checks'!D:D,"FAIL")</f>
        <v>0</v>
      </c>
    </row>
    <row r="12" spans="1:2" ht="19" x14ac:dyDescent="0.25">
      <c r="A12" s="4" t="s">
        <v>10</v>
      </c>
    </row>
    <row r="13" spans="1:2" x14ac:dyDescent="0.2">
      <c r="A13" t="s">
        <v>11</v>
      </c>
      <c r="B13" t="s">
        <v>12</v>
      </c>
    </row>
    <row r="14" spans="1:2" x14ac:dyDescent="0.2">
      <c r="A14" t="s">
        <v>13</v>
      </c>
      <c r="B14" t="s">
        <v>14</v>
      </c>
    </row>
    <row r="15" spans="1:2" x14ac:dyDescent="0.2">
      <c r="A15" t="s">
        <v>15</v>
      </c>
      <c r="B15" t="s">
        <v>16</v>
      </c>
    </row>
    <row r="16" spans="1:2" x14ac:dyDescent="0.2">
      <c r="A16" t="s">
        <v>17</v>
      </c>
      <c r="B16" t="s">
        <v>18</v>
      </c>
    </row>
    <row r="17" spans="1:2" x14ac:dyDescent="0.2">
      <c r="A17" t="s">
        <v>19</v>
      </c>
      <c r="B17" t="s">
        <v>20</v>
      </c>
    </row>
    <row r="18" spans="1:2" x14ac:dyDescent="0.2">
      <c r="A18" t="s">
        <v>21</v>
      </c>
      <c r="B18" t="s">
        <v>22</v>
      </c>
    </row>
    <row r="19" spans="1:2" x14ac:dyDescent="0.2">
      <c r="A19" t="s">
        <v>23</v>
      </c>
      <c r="B19" t="s">
        <v>24</v>
      </c>
    </row>
    <row r="20" spans="1:2" x14ac:dyDescent="0.2">
      <c r="A20" t="s">
        <v>25</v>
      </c>
      <c r="B20" t="s">
        <v>26</v>
      </c>
    </row>
    <row r="21" spans="1:2" x14ac:dyDescent="0.2">
      <c r="A21" t="s">
        <v>27</v>
      </c>
      <c r="B21" t="s">
        <v>28</v>
      </c>
    </row>
    <row r="22" spans="1:2" x14ac:dyDescent="0.2">
      <c r="A22" t="s">
        <v>29</v>
      </c>
      <c r="B22" t="s">
        <v>30</v>
      </c>
    </row>
    <row r="23" spans="1:2" x14ac:dyDescent="0.2">
      <c r="A23" t="s">
        <v>31</v>
      </c>
      <c r="B23" t="s">
        <v>32</v>
      </c>
    </row>
    <row r="24" spans="1:2" x14ac:dyDescent="0.2">
      <c r="A24" t="s">
        <v>33</v>
      </c>
      <c r="B24" t="s">
        <v>34</v>
      </c>
    </row>
    <row r="25" spans="1:2" x14ac:dyDescent="0.2">
      <c r="A25" t="s">
        <v>35</v>
      </c>
      <c r="B25" t="s">
        <v>36</v>
      </c>
    </row>
    <row r="26" spans="1:2" x14ac:dyDescent="0.2">
      <c r="A26" t="s">
        <v>37</v>
      </c>
      <c r="B26" t="s">
        <v>38</v>
      </c>
    </row>
    <row r="27" spans="1:2" x14ac:dyDescent="0.2">
      <c r="A27" t="s">
        <v>39</v>
      </c>
      <c r="B27" t="s">
        <v>40</v>
      </c>
    </row>
    <row r="28" spans="1:2" x14ac:dyDescent="0.2">
      <c r="A28" t="s">
        <v>41</v>
      </c>
      <c r="B28" t="s">
        <v>42</v>
      </c>
    </row>
    <row r="29" spans="1:2" x14ac:dyDescent="0.2">
      <c r="A29" t="s">
        <v>43</v>
      </c>
      <c r="B29" t="s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D9"/>
  <sheetViews>
    <sheetView workbookViewId="0"/>
  </sheetViews>
  <sheetFormatPr baseColWidth="10" defaultColWidth="8.83203125" defaultRowHeight="15" x14ac:dyDescent="0.2"/>
  <cols>
    <col min="1" max="1" width="20" customWidth="1"/>
    <col min="2" max="2" width="18" customWidth="1"/>
    <col min="3" max="3" width="12" customWidth="1"/>
    <col min="4" max="4" width="35" customWidth="1"/>
  </cols>
  <sheetData>
    <row r="1" spans="1:4" ht="21" x14ac:dyDescent="0.25">
      <c r="A1" s="5" t="s">
        <v>45</v>
      </c>
    </row>
    <row r="2" spans="1:4" x14ac:dyDescent="0.2">
      <c r="A2" s="6" t="s">
        <v>46</v>
      </c>
    </row>
    <row r="4" spans="1:4" x14ac:dyDescent="0.2">
      <c r="A4" s="7" t="s">
        <v>47</v>
      </c>
      <c r="B4" s="7" t="s">
        <v>48</v>
      </c>
      <c r="C4" s="7" t="s">
        <v>49</v>
      </c>
      <c r="D4" s="7" t="s">
        <v>50</v>
      </c>
    </row>
    <row r="5" spans="1:4" x14ac:dyDescent="0.2">
      <c r="A5" t="s">
        <v>51</v>
      </c>
      <c r="B5" s="8" t="s">
        <v>52</v>
      </c>
      <c r="C5" t="s">
        <v>53</v>
      </c>
      <c r="D5" t="s">
        <v>54</v>
      </c>
    </row>
    <row r="6" spans="1:4" x14ac:dyDescent="0.2">
      <c r="A6" t="s">
        <v>55</v>
      </c>
      <c r="B6" s="8" t="s">
        <v>56</v>
      </c>
      <c r="C6" t="s">
        <v>53</v>
      </c>
      <c r="D6" t="s">
        <v>57</v>
      </c>
    </row>
    <row r="7" spans="1:4" x14ac:dyDescent="0.2">
      <c r="A7" t="s">
        <v>58</v>
      </c>
      <c r="B7" s="9">
        <v>4.8000000000000001E-2</v>
      </c>
      <c r="C7" t="s">
        <v>59</v>
      </c>
      <c r="D7" t="s">
        <v>60</v>
      </c>
    </row>
    <row r="8" spans="1:4" x14ac:dyDescent="0.2">
      <c r="A8" t="s">
        <v>61</v>
      </c>
      <c r="B8" s="8">
        <v>5</v>
      </c>
      <c r="C8" t="s">
        <v>62</v>
      </c>
      <c r="D8" t="s">
        <v>63</v>
      </c>
    </row>
    <row r="9" spans="1:4" x14ac:dyDescent="0.2">
      <c r="A9" t="s">
        <v>64</v>
      </c>
      <c r="B9" s="8">
        <v>2026</v>
      </c>
      <c r="C9" t="s">
        <v>65</v>
      </c>
      <c r="D9" t="s">
        <v>66</v>
      </c>
    </row>
  </sheetData>
  <dataValidations count="2">
    <dataValidation type="list" errorTitle="Invalid Input" error="Select from dropdown" sqref="B5" xr:uid="{00000000-0002-0000-0100-000000000000}">
      <formula1>List_TestingOptions</formula1>
    </dataValidation>
    <dataValidation type="list" sqref="B6" xr:uid="{00000000-0002-0000-0100-000001000000}">
      <formula1>List_Scenarios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8080"/>
  </sheetPr>
  <dimension ref="A1:D88"/>
  <sheetViews>
    <sheetView workbookViewId="0"/>
  </sheetViews>
  <sheetFormatPr baseColWidth="10" defaultColWidth="8.83203125" defaultRowHeight="15" x14ac:dyDescent="0.2"/>
  <cols>
    <col min="1" max="1" width="35" customWidth="1"/>
    <col min="2" max="2" width="30" customWidth="1"/>
    <col min="3" max="3" width="50" customWidth="1"/>
    <col min="4" max="4" width="15" customWidth="1"/>
  </cols>
  <sheetData>
    <row r="1" spans="1:1" ht="21" x14ac:dyDescent="0.25">
      <c r="A1" s="5" t="s">
        <v>67</v>
      </c>
    </row>
    <row r="3" spans="1:1" ht="19" x14ac:dyDescent="0.25">
      <c r="A3" s="4" t="s">
        <v>68</v>
      </c>
    </row>
    <row r="4" spans="1:1" x14ac:dyDescent="0.2">
      <c r="A4" t="s">
        <v>69</v>
      </c>
    </row>
    <row r="5" spans="1:1" x14ac:dyDescent="0.2">
      <c r="A5" t="s">
        <v>70</v>
      </c>
    </row>
    <row r="6" spans="1:1" x14ac:dyDescent="0.2">
      <c r="A6" t="s">
        <v>71</v>
      </c>
    </row>
    <row r="7" spans="1:1" x14ac:dyDescent="0.2">
      <c r="A7" t="s">
        <v>72</v>
      </c>
    </row>
    <row r="9" spans="1:1" ht="19" x14ac:dyDescent="0.25">
      <c r="A9" s="4" t="s">
        <v>73</v>
      </c>
    </row>
    <row r="10" spans="1:1" x14ac:dyDescent="0.2">
      <c r="A10" t="s">
        <v>74</v>
      </c>
    </row>
    <row r="11" spans="1:1" x14ac:dyDescent="0.2">
      <c r="A11" t="s">
        <v>75</v>
      </c>
    </row>
    <row r="12" spans="1:1" x14ac:dyDescent="0.2">
      <c r="A12" t="s">
        <v>76</v>
      </c>
    </row>
    <row r="13" spans="1:1" x14ac:dyDescent="0.2">
      <c r="A13" t="s">
        <v>77</v>
      </c>
    </row>
    <row r="14" spans="1:1" x14ac:dyDescent="0.2">
      <c r="A14" t="s">
        <v>78</v>
      </c>
    </row>
    <row r="15" spans="1:1" x14ac:dyDescent="0.2">
      <c r="A15" t="s">
        <v>79</v>
      </c>
    </row>
    <row r="16" spans="1:1" x14ac:dyDescent="0.2">
      <c r="A16" t="s">
        <v>80</v>
      </c>
    </row>
    <row r="17" spans="1:4" x14ac:dyDescent="0.2">
      <c r="A17" t="s">
        <v>81</v>
      </c>
    </row>
    <row r="19" spans="1:4" ht="19" x14ac:dyDescent="0.25">
      <c r="A19" s="4" t="s">
        <v>82</v>
      </c>
    </row>
    <row r="20" spans="1:4" x14ac:dyDescent="0.2">
      <c r="A20" t="s">
        <v>83</v>
      </c>
    </row>
    <row r="21" spans="1:4" x14ac:dyDescent="0.2">
      <c r="A21" s="7" t="s">
        <v>84</v>
      </c>
      <c r="B21" s="7" t="s">
        <v>85</v>
      </c>
      <c r="C21" s="7" t="s">
        <v>86</v>
      </c>
      <c r="D21" s="7" t="s">
        <v>87</v>
      </c>
    </row>
    <row r="22" spans="1:4" x14ac:dyDescent="0.2">
      <c r="A22" t="s">
        <v>88</v>
      </c>
      <c r="B22" t="s">
        <v>89</v>
      </c>
      <c r="C22" t="s">
        <v>90</v>
      </c>
      <c r="D22" t="s">
        <v>91</v>
      </c>
    </row>
    <row r="23" spans="1:4" x14ac:dyDescent="0.2">
      <c r="A23" t="s">
        <v>92</v>
      </c>
      <c r="B23" t="s">
        <v>89</v>
      </c>
      <c r="C23" t="s">
        <v>90</v>
      </c>
      <c r="D23" t="s">
        <v>91</v>
      </c>
    </row>
    <row r="24" spans="1:4" x14ac:dyDescent="0.2">
      <c r="A24" t="s">
        <v>93</v>
      </c>
      <c r="B24" t="s">
        <v>94</v>
      </c>
      <c r="C24" t="s">
        <v>90</v>
      </c>
      <c r="D24" t="s">
        <v>91</v>
      </c>
    </row>
    <row r="25" spans="1:4" x14ac:dyDescent="0.2">
      <c r="A25" t="s">
        <v>95</v>
      </c>
      <c r="B25" t="s">
        <v>96</v>
      </c>
      <c r="C25" t="s">
        <v>90</v>
      </c>
      <c r="D25" t="s">
        <v>91</v>
      </c>
    </row>
    <row r="27" spans="1:4" ht="19" x14ac:dyDescent="0.25">
      <c r="A27" s="4" t="s">
        <v>97</v>
      </c>
    </row>
    <row r="28" spans="1:4" x14ac:dyDescent="0.2">
      <c r="A28" s="10" t="s">
        <v>98</v>
      </c>
      <c r="B28" t="s">
        <v>99</v>
      </c>
    </row>
    <row r="29" spans="1:4" x14ac:dyDescent="0.2">
      <c r="A29" s="10" t="s">
        <v>100</v>
      </c>
      <c r="B29" t="s">
        <v>101</v>
      </c>
    </row>
    <row r="30" spans="1:4" x14ac:dyDescent="0.2">
      <c r="A30" s="10" t="s">
        <v>102</v>
      </c>
      <c r="B30" t="s">
        <v>103</v>
      </c>
    </row>
    <row r="31" spans="1:4" x14ac:dyDescent="0.2">
      <c r="A31" s="10" t="s">
        <v>104</v>
      </c>
      <c r="B31" t="s">
        <v>105</v>
      </c>
    </row>
    <row r="32" spans="1:4" x14ac:dyDescent="0.2">
      <c r="A32" s="10" t="s">
        <v>106</v>
      </c>
      <c r="B32" t="s">
        <v>107</v>
      </c>
    </row>
    <row r="33" spans="1:2" x14ac:dyDescent="0.2">
      <c r="A33" s="10" t="s">
        <v>108</v>
      </c>
      <c r="B33" t="s">
        <v>109</v>
      </c>
    </row>
    <row r="34" spans="1:2" x14ac:dyDescent="0.2">
      <c r="A34" s="10" t="s">
        <v>110</v>
      </c>
      <c r="B34" t="s">
        <v>111</v>
      </c>
    </row>
    <row r="36" spans="1:2" ht="19" x14ac:dyDescent="0.25">
      <c r="A36" s="4" t="s">
        <v>112</v>
      </c>
    </row>
    <row r="37" spans="1:2" x14ac:dyDescent="0.2">
      <c r="A37" t="s">
        <v>113</v>
      </c>
    </row>
    <row r="38" spans="1:2" x14ac:dyDescent="0.2">
      <c r="A38" t="s">
        <v>114</v>
      </c>
    </row>
    <row r="39" spans="1:2" x14ac:dyDescent="0.2">
      <c r="A39" t="s">
        <v>115</v>
      </c>
    </row>
    <row r="40" spans="1:2" x14ac:dyDescent="0.2">
      <c r="A40" t="s">
        <v>116</v>
      </c>
    </row>
    <row r="41" spans="1:2" x14ac:dyDescent="0.2">
      <c r="A41" t="s">
        <v>117</v>
      </c>
    </row>
    <row r="43" spans="1:2" ht="19" x14ac:dyDescent="0.25">
      <c r="A43" s="4" t="s">
        <v>118</v>
      </c>
    </row>
    <row r="44" spans="1:2" x14ac:dyDescent="0.2">
      <c r="A44" s="6" t="s">
        <v>119</v>
      </c>
    </row>
    <row r="45" spans="1:2" x14ac:dyDescent="0.2">
      <c r="A45" t="s">
        <v>120</v>
      </c>
    </row>
    <row r="46" spans="1:2" x14ac:dyDescent="0.2">
      <c r="A46" t="s">
        <v>121</v>
      </c>
    </row>
    <row r="47" spans="1:2" x14ac:dyDescent="0.2">
      <c r="A47" t="s">
        <v>122</v>
      </c>
    </row>
    <row r="48" spans="1:2" x14ac:dyDescent="0.2">
      <c r="A48" t="s">
        <v>123</v>
      </c>
    </row>
    <row r="50" spans="1:1" x14ac:dyDescent="0.2">
      <c r="A50" s="10" t="s">
        <v>124</v>
      </c>
    </row>
    <row r="51" spans="1:1" x14ac:dyDescent="0.2">
      <c r="A51" t="s">
        <v>125</v>
      </c>
    </row>
    <row r="52" spans="1:1" x14ac:dyDescent="0.2">
      <c r="A52" t="s">
        <v>126</v>
      </c>
    </row>
    <row r="53" spans="1:1" x14ac:dyDescent="0.2">
      <c r="A53" t="s">
        <v>127</v>
      </c>
    </row>
    <row r="55" spans="1:1" ht="19" x14ac:dyDescent="0.25">
      <c r="A55" s="4" t="s">
        <v>128</v>
      </c>
    </row>
    <row r="56" spans="1:1" x14ac:dyDescent="0.2">
      <c r="A56" s="6" t="s">
        <v>129</v>
      </c>
    </row>
    <row r="57" spans="1:1" x14ac:dyDescent="0.2">
      <c r="A57" t="s">
        <v>130</v>
      </c>
    </row>
    <row r="59" spans="1:1" x14ac:dyDescent="0.2">
      <c r="A59" s="10" t="s">
        <v>131</v>
      </c>
    </row>
    <row r="60" spans="1:1" x14ac:dyDescent="0.2">
      <c r="A60" t="s">
        <v>132</v>
      </c>
    </row>
    <row r="61" spans="1:1" x14ac:dyDescent="0.2">
      <c r="A61" t="s">
        <v>133</v>
      </c>
    </row>
    <row r="62" spans="1:1" x14ac:dyDescent="0.2">
      <c r="A62" t="s">
        <v>134</v>
      </c>
    </row>
    <row r="64" spans="1:1" x14ac:dyDescent="0.2">
      <c r="A64" s="10" t="s">
        <v>135</v>
      </c>
    </row>
    <row r="65" spans="1:1" x14ac:dyDescent="0.2">
      <c r="A65" t="s">
        <v>136</v>
      </c>
    </row>
    <row r="66" spans="1:1" x14ac:dyDescent="0.2">
      <c r="A66" t="s">
        <v>137</v>
      </c>
    </row>
    <row r="67" spans="1:1" x14ac:dyDescent="0.2">
      <c r="A67" t="s">
        <v>138</v>
      </c>
    </row>
    <row r="69" spans="1:1" x14ac:dyDescent="0.2">
      <c r="A69" s="10" t="s">
        <v>139</v>
      </c>
    </row>
    <row r="70" spans="1:1" x14ac:dyDescent="0.2">
      <c r="A70" t="s">
        <v>140</v>
      </c>
    </row>
    <row r="71" spans="1:1" x14ac:dyDescent="0.2">
      <c r="A71" t="s">
        <v>141</v>
      </c>
    </row>
    <row r="72" spans="1:1" x14ac:dyDescent="0.2">
      <c r="A72" t="s">
        <v>142</v>
      </c>
    </row>
    <row r="73" spans="1:1" x14ac:dyDescent="0.2">
      <c r="A73" t="s">
        <v>143</v>
      </c>
    </row>
    <row r="74" spans="1:1" x14ac:dyDescent="0.2">
      <c r="A74" t="s">
        <v>144</v>
      </c>
    </row>
    <row r="76" spans="1:1" x14ac:dyDescent="0.2">
      <c r="A76" s="10" t="s">
        <v>145</v>
      </c>
    </row>
    <row r="77" spans="1:1" x14ac:dyDescent="0.2">
      <c r="A77" t="s">
        <v>146</v>
      </c>
    </row>
    <row r="78" spans="1:1" x14ac:dyDescent="0.2">
      <c r="A78" t="s">
        <v>147</v>
      </c>
    </row>
    <row r="79" spans="1:1" x14ac:dyDescent="0.2">
      <c r="A79" t="s">
        <v>148</v>
      </c>
    </row>
    <row r="80" spans="1:1" x14ac:dyDescent="0.2">
      <c r="A80" t="s">
        <v>149</v>
      </c>
    </row>
    <row r="82" spans="1:3" ht="19" x14ac:dyDescent="0.25">
      <c r="A82" s="4" t="s">
        <v>150</v>
      </c>
    </row>
    <row r="83" spans="1:3" x14ac:dyDescent="0.2">
      <c r="A83" s="7" t="s">
        <v>151</v>
      </c>
      <c r="B83" s="7" t="s">
        <v>152</v>
      </c>
      <c r="C83" s="7" t="s">
        <v>153</v>
      </c>
    </row>
    <row r="84" spans="1:3" x14ac:dyDescent="0.2">
      <c r="A84" t="s">
        <v>154</v>
      </c>
      <c r="B84" t="s">
        <v>155</v>
      </c>
      <c r="C84" t="s">
        <v>156</v>
      </c>
    </row>
    <row r="85" spans="1:3" x14ac:dyDescent="0.2">
      <c r="A85" t="s">
        <v>157</v>
      </c>
      <c r="B85" t="s">
        <v>155</v>
      </c>
      <c r="C85" t="s">
        <v>158</v>
      </c>
    </row>
    <row r="86" spans="1:3" x14ac:dyDescent="0.2">
      <c r="A86" t="s">
        <v>3</v>
      </c>
      <c r="B86" t="s">
        <v>155</v>
      </c>
      <c r="C86" t="s">
        <v>159</v>
      </c>
    </row>
    <row r="87" spans="1:3" x14ac:dyDescent="0.2">
      <c r="A87" t="s">
        <v>160</v>
      </c>
      <c r="B87" t="s">
        <v>161</v>
      </c>
      <c r="C87" t="s">
        <v>162</v>
      </c>
    </row>
    <row r="88" spans="1:3" x14ac:dyDescent="0.2">
      <c r="A88" t="s">
        <v>163</v>
      </c>
      <c r="B88" t="s">
        <v>164</v>
      </c>
      <c r="C88" t="s">
        <v>165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F84"/>
  <sheetViews>
    <sheetView workbookViewId="0"/>
  </sheetViews>
  <sheetFormatPr baseColWidth="10" defaultColWidth="8.83203125" defaultRowHeight="15" x14ac:dyDescent="0.2"/>
  <cols>
    <col min="1" max="1" width="24" customWidth="1"/>
    <col min="2" max="2" width="14" customWidth="1"/>
    <col min="3" max="3" width="12" customWidth="1"/>
    <col min="4" max="4" width="42" customWidth="1"/>
    <col min="5" max="5" width="16" customWidth="1"/>
    <col min="6" max="6" width="14" customWidth="1"/>
  </cols>
  <sheetData>
    <row r="1" spans="1:4" ht="21" x14ac:dyDescent="0.25">
      <c r="A1" s="5" t="s">
        <v>166</v>
      </c>
    </row>
    <row r="2" spans="1:4" x14ac:dyDescent="0.2">
      <c r="A2" s="6" t="s">
        <v>167</v>
      </c>
    </row>
    <row r="4" spans="1:4" ht="19" x14ac:dyDescent="0.25">
      <c r="A4" s="4" t="s">
        <v>168</v>
      </c>
    </row>
    <row r="5" spans="1:4" x14ac:dyDescent="0.2">
      <c r="A5" s="7" t="s">
        <v>47</v>
      </c>
      <c r="B5" s="7" t="s">
        <v>48</v>
      </c>
      <c r="C5" s="7" t="s">
        <v>169</v>
      </c>
      <c r="D5" s="7" t="s">
        <v>170</v>
      </c>
    </row>
    <row r="6" spans="1:4" x14ac:dyDescent="0.2">
      <c r="A6" t="s">
        <v>171</v>
      </c>
      <c r="B6" s="8">
        <v>5</v>
      </c>
      <c r="C6" t="s">
        <v>172</v>
      </c>
      <c r="D6" t="s">
        <v>173</v>
      </c>
    </row>
    <row r="7" spans="1:4" x14ac:dyDescent="0.2">
      <c r="A7" t="s">
        <v>174</v>
      </c>
      <c r="B7" s="8">
        <v>15</v>
      </c>
      <c r="C7" t="s">
        <v>175</v>
      </c>
      <c r="D7" t="s">
        <v>176</v>
      </c>
    </row>
    <row r="8" spans="1:4" x14ac:dyDescent="0.2">
      <c r="A8" t="s">
        <v>177</v>
      </c>
      <c r="B8" s="8">
        <v>9</v>
      </c>
      <c r="C8" t="s">
        <v>172</v>
      </c>
      <c r="D8" t="s">
        <v>178</v>
      </c>
    </row>
    <row r="9" spans="1:4" x14ac:dyDescent="0.2">
      <c r="A9" t="s">
        <v>179</v>
      </c>
      <c r="B9" s="8">
        <v>15</v>
      </c>
      <c r="C9" t="s">
        <v>175</v>
      </c>
      <c r="D9" t="s">
        <v>180</v>
      </c>
    </row>
    <row r="10" spans="1:4" x14ac:dyDescent="0.2">
      <c r="A10" t="s">
        <v>181</v>
      </c>
      <c r="B10" s="8">
        <v>100</v>
      </c>
      <c r="C10" t="s">
        <v>182</v>
      </c>
      <c r="D10" t="s">
        <v>183</v>
      </c>
    </row>
    <row r="12" spans="1:4" x14ac:dyDescent="0.2">
      <c r="A12" s="11" t="s">
        <v>184</v>
      </c>
    </row>
    <row r="13" spans="1:4" x14ac:dyDescent="0.2">
      <c r="A13" s="7" t="s">
        <v>185</v>
      </c>
      <c r="B13" s="7" t="s">
        <v>186</v>
      </c>
      <c r="C13" s="7" t="s">
        <v>187</v>
      </c>
      <c r="D13" s="7" t="s">
        <v>188</v>
      </c>
    </row>
    <row r="14" spans="1:4" x14ac:dyDescent="0.2">
      <c r="A14" t="s">
        <v>173</v>
      </c>
      <c r="B14">
        <v>5</v>
      </c>
      <c r="C14" s="8">
        <v>0.85</v>
      </c>
      <c r="D14" t="s">
        <v>189</v>
      </c>
    </row>
    <row r="15" spans="1:4" x14ac:dyDescent="0.2">
      <c r="A15" t="s">
        <v>190</v>
      </c>
      <c r="B15">
        <v>6</v>
      </c>
      <c r="C15" s="8">
        <v>1</v>
      </c>
      <c r="D15" t="s">
        <v>191</v>
      </c>
    </row>
    <row r="16" spans="1:4" x14ac:dyDescent="0.2">
      <c r="A16" t="s">
        <v>192</v>
      </c>
      <c r="B16">
        <v>7</v>
      </c>
      <c r="C16" s="8">
        <v>1</v>
      </c>
      <c r="D16" t="s">
        <v>191</v>
      </c>
    </row>
    <row r="17" spans="1:4" x14ac:dyDescent="0.2">
      <c r="A17" t="s">
        <v>193</v>
      </c>
      <c r="B17">
        <v>8</v>
      </c>
      <c r="C17" s="8">
        <v>0.95</v>
      </c>
      <c r="D17" t="s">
        <v>194</v>
      </c>
    </row>
    <row r="18" spans="1:4" x14ac:dyDescent="0.2">
      <c r="A18" t="s">
        <v>178</v>
      </c>
      <c r="B18">
        <v>9</v>
      </c>
      <c r="C18" s="8">
        <v>0.75</v>
      </c>
      <c r="D18" t="s">
        <v>195</v>
      </c>
    </row>
    <row r="21" spans="1:4" ht="19" x14ac:dyDescent="0.25">
      <c r="A21" s="4" t="s">
        <v>196</v>
      </c>
    </row>
    <row r="22" spans="1:4" x14ac:dyDescent="0.2">
      <c r="A22" s="7" t="s">
        <v>47</v>
      </c>
      <c r="B22" s="7" t="s">
        <v>48</v>
      </c>
      <c r="C22" s="7" t="s">
        <v>169</v>
      </c>
      <c r="D22" s="7" t="s">
        <v>197</v>
      </c>
    </row>
    <row r="23" spans="1:4" x14ac:dyDescent="0.2">
      <c r="A23" t="s">
        <v>198</v>
      </c>
      <c r="B23" s="8">
        <v>1</v>
      </c>
      <c r="C23" t="s">
        <v>199</v>
      </c>
      <c r="D23" t="s">
        <v>200</v>
      </c>
    </row>
    <row r="24" spans="1:4" x14ac:dyDescent="0.2">
      <c r="A24" t="s">
        <v>201</v>
      </c>
      <c r="B24" s="8">
        <v>5</v>
      </c>
      <c r="C24" t="s">
        <v>202</v>
      </c>
      <c r="D24" t="s">
        <v>203</v>
      </c>
    </row>
    <row r="25" spans="1:4" x14ac:dyDescent="0.2">
      <c r="A25" t="s">
        <v>204</v>
      </c>
      <c r="B25" s="8">
        <v>50000</v>
      </c>
      <c r="C25" t="s">
        <v>205</v>
      </c>
      <c r="D25" t="s">
        <v>206</v>
      </c>
    </row>
    <row r="26" spans="1:4" x14ac:dyDescent="0.2">
      <c r="A26" t="s">
        <v>207</v>
      </c>
      <c r="B26" s="12">
        <v>5</v>
      </c>
      <c r="C26" t="s">
        <v>208</v>
      </c>
      <c r="D26" t="s">
        <v>209</v>
      </c>
    </row>
    <row r="29" spans="1:4" ht="19" x14ac:dyDescent="0.25">
      <c r="A29" s="4" t="s">
        <v>210</v>
      </c>
    </row>
    <row r="30" spans="1:4" x14ac:dyDescent="0.2">
      <c r="A30" s="7" t="s">
        <v>47</v>
      </c>
      <c r="B30" s="7" t="s">
        <v>48</v>
      </c>
      <c r="C30" s="7" t="s">
        <v>169</v>
      </c>
    </row>
    <row r="31" spans="1:4" x14ac:dyDescent="0.2">
      <c r="A31" t="s">
        <v>211</v>
      </c>
      <c r="B31" s="13">
        <v>1500</v>
      </c>
      <c r="C31" t="s">
        <v>212</v>
      </c>
    </row>
    <row r="32" spans="1:4" x14ac:dyDescent="0.2">
      <c r="A32" t="s">
        <v>213</v>
      </c>
      <c r="B32" s="13">
        <v>50000</v>
      </c>
      <c r="C32" t="s">
        <v>214</v>
      </c>
    </row>
    <row r="33" spans="1:6" x14ac:dyDescent="0.2">
      <c r="A33" t="s">
        <v>215</v>
      </c>
      <c r="B33" s="13">
        <v>15000</v>
      </c>
      <c r="C33" t="s">
        <v>212</v>
      </c>
    </row>
    <row r="36" spans="1:6" ht="19" x14ac:dyDescent="0.25">
      <c r="A36" s="4" t="s">
        <v>216</v>
      </c>
    </row>
    <row r="37" spans="1:6" x14ac:dyDescent="0.2">
      <c r="A37" s="7" t="s">
        <v>217</v>
      </c>
      <c r="B37" s="7" t="s">
        <v>187</v>
      </c>
      <c r="C37" s="7" t="s">
        <v>170</v>
      </c>
    </row>
    <row r="38" spans="1:6" x14ac:dyDescent="0.2">
      <c r="A38">
        <v>1</v>
      </c>
      <c r="B38" s="8">
        <v>0.5</v>
      </c>
      <c r="C38" t="s">
        <v>218</v>
      </c>
    </row>
    <row r="39" spans="1:6" x14ac:dyDescent="0.2">
      <c r="A39">
        <v>2</v>
      </c>
      <c r="B39" s="8">
        <v>0.75</v>
      </c>
      <c r="C39" t="s">
        <v>219</v>
      </c>
    </row>
    <row r="40" spans="1:6" x14ac:dyDescent="0.2">
      <c r="A40">
        <v>3</v>
      </c>
      <c r="B40" s="8">
        <v>1</v>
      </c>
      <c r="C40" t="s">
        <v>220</v>
      </c>
    </row>
    <row r="41" spans="1:6" x14ac:dyDescent="0.2">
      <c r="A41">
        <v>4</v>
      </c>
      <c r="B41" s="8">
        <v>1</v>
      </c>
      <c r="C41" t="s">
        <v>221</v>
      </c>
    </row>
    <row r="42" spans="1:6" x14ac:dyDescent="0.2">
      <c r="A42">
        <v>5</v>
      </c>
      <c r="B42" s="8">
        <v>1</v>
      </c>
      <c r="C42" t="s">
        <v>221</v>
      </c>
    </row>
    <row r="45" spans="1:6" ht="19" x14ac:dyDescent="0.25">
      <c r="A45" s="4" t="s">
        <v>222</v>
      </c>
    </row>
    <row r="46" spans="1:6" x14ac:dyDescent="0.2">
      <c r="A46" s="7" t="s">
        <v>223</v>
      </c>
      <c r="B46" s="7" t="s">
        <v>224</v>
      </c>
      <c r="C46" s="7" t="s">
        <v>225</v>
      </c>
      <c r="D46" s="7" t="s">
        <v>226</v>
      </c>
      <c r="E46" s="7" t="s">
        <v>227</v>
      </c>
      <c r="F46" s="7" t="s">
        <v>228</v>
      </c>
    </row>
    <row r="47" spans="1:6" x14ac:dyDescent="0.2">
      <c r="A47" t="s">
        <v>229</v>
      </c>
      <c r="B47" t="s">
        <v>98</v>
      </c>
      <c r="C47">
        <v>30</v>
      </c>
      <c r="D47">
        <v>2</v>
      </c>
      <c r="E47" s="14">
        <v>1000</v>
      </c>
      <c r="F47">
        <v>42</v>
      </c>
    </row>
    <row r="48" spans="1:6" x14ac:dyDescent="0.2">
      <c r="A48" t="s">
        <v>230</v>
      </c>
      <c r="B48" t="s">
        <v>98</v>
      </c>
      <c r="C48">
        <v>7</v>
      </c>
      <c r="D48">
        <v>2</v>
      </c>
      <c r="E48" s="14">
        <v>1000</v>
      </c>
      <c r="F48">
        <v>42</v>
      </c>
    </row>
    <row r="49" spans="1:6" x14ac:dyDescent="0.2">
      <c r="A49" t="s">
        <v>52</v>
      </c>
      <c r="B49" t="s">
        <v>231</v>
      </c>
      <c r="C49">
        <v>1</v>
      </c>
      <c r="D49">
        <v>10</v>
      </c>
      <c r="E49" s="14">
        <v>10</v>
      </c>
      <c r="F49">
        <v>1</v>
      </c>
    </row>
    <row r="51" spans="1:6" x14ac:dyDescent="0.2">
      <c r="A51" s="11" t="s">
        <v>232</v>
      </c>
    </row>
    <row r="52" spans="1:6" x14ac:dyDescent="0.2">
      <c r="A52" s="7" t="s">
        <v>223</v>
      </c>
      <c r="B52" s="7" t="s">
        <v>233</v>
      </c>
      <c r="C52" s="7" t="s">
        <v>234</v>
      </c>
      <c r="D52" s="7" t="s">
        <v>235</v>
      </c>
      <c r="E52" s="7" t="s">
        <v>236</v>
      </c>
    </row>
    <row r="53" spans="1:6" x14ac:dyDescent="0.2">
      <c r="A53" t="s">
        <v>229</v>
      </c>
      <c r="B53" t="str">
        <f>IF(INDEX(TestOpt_Latency,1)&lt;=7,"ENABLED","BLOCKED")</f>
        <v>BLOCKED</v>
      </c>
      <c r="C53" t="str">
        <f>IF(INDEX(TestOpt_Latency,1)&lt;=7,"ENABLED","BLOCKED")</f>
        <v>BLOCKED</v>
      </c>
      <c r="D53" t="str">
        <f>IF(INDEX(TestOpt_Latency,1)&lt;=14,"ENABLED","BLOCKED")</f>
        <v>BLOCKED</v>
      </c>
      <c r="E53" t="str">
        <f>IF(INDEX(TestOpt_Latency,1)&lt;=3,"ENABLED","BLOCKED")</f>
        <v>BLOCKED</v>
      </c>
    </row>
    <row r="54" spans="1:6" x14ac:dyDescent="0.2">
      <c r="A54" t="s">
        <v>230</v>
      </c>
      <c r="B54" t="str">
        <f>IF(INDEX(TestOpt_Latency,2)&lt;=7,"ENABLED","BLOCKED")</f>
        <v>BLOCKED</v>
      </c>
      <c r="C54" t="str">
        <f>IF(INDEX(TestOpt_Latency,2)&lt;=7,"ENABLED","BLOCKED")</f>
        <v>BLOCKED</v>
      </c>
      <c r="D54" t="str">
        <f>IF(INDEX(TestOpt_Latency,2)&lt;=14,"ENABLED","BLOCKED")</f>
        <v>BLOCKED</v>
      </c>
      <c r="E54" t="str">
        <f>IF(INDEX(TestOpt_Latency,2)&lt;=3,"ENABLED","BLOCKED")</f>
        <v>BLOCKED</v>
      </c>
    </row>
    <row r="55" spans="1:6" x14ac:dyDescent="0.2">
      <c r="A55" t="s">
        <v>52</v>
      </c>
      <c r="B55" t="str">
        <f>IF(INDEX(TestOpt_Latency,3)&lt;=7,"ENABLED","BLOCKED")</f>
        <v>ENABLED</v>
      </c>
      <c r="C55" t="str">
        <f>IF(INDEX(TestOpt_Latency,3)&lt;=7,"ENABLED","BLOCKED")</f>
        <v>ENABLED</v>
      </c>
      <c r="D55" t="str">
        <f>IF(INDEX(TestOpt_Latency,3)&lt;=14,"ENABLED","BLOCKED")</f>
        <v>ENABLED</v>
      </c>
      <c r="E55" t="str">
        <f>IF(INDEX(TestOpt_Latency,3)&lt;=3,"ENABLED","BLOCKED")</f>
        <v>ENABLED</v>
      </c>
    </row>
    <row r="58" spans="1:6" ht="19" x14ac:dyDescent="0.25">
      <c r="A58" s="4" t="s">
        <v>237</v>
      </c>
    </row>
    <row r="59" spans="1:6" x14ac:dyDescent="0.2">
      <c r="A59" t="s">
        <v>238</v>
      </c>
      <c r="B59" t="s">
        <v>239</v>
      </c>
    </row>
    <row r="60" spans="1:6" x14ac:dyDescent="0.2">
      <c r="A60" t="s">
        <v>229</v>
      </c>
      <c r="B60" t="s">
        <v>56</v>
      </c>
    </row>
    <row r="61" spans="1:6" x14ac:dyDescent="0.2">
      <c r="A61" t="s">
        <v>230</v>
      </c>
      <c r="B61" t="s">
        <v>240</v>
      </c>
    </row>
    <row r="62" spans="1:6" x14ac:dyDescent="0.2">
      <c r="A62" t="s">
        <v>52</v>
      </c>
      <c r="B62" t="s">
        <v>241</v>
      </c>
    </row>
    <row r="64" spans="1:6" ht="19" x14ac:dyDescent="0.25">
      <c r="A64" s="4" t="s">
        <v>242</v>
      </c>
    </row>
    <row r="65" spans="1:4" x14ac:dyDescent="0.2">
      <c r="A65" t="s">
        <v>243</v>
      </c>
    </row>
    <row r="67" spans="1:4" ht="19" x14ac:dyDescent="0.25">
      <c r="A67" s="4" t="s">
        <v>244</v>
      </c>
    </row>
    <row r="68" spans="1:4" x14ac:dyDescent="0.2">
      <c r="A68" s="15" t="s">
        <v>245</v>
      </c>
    </row>
    <row r="69" spans="1:4" x14ac:dyDescent="0.2">
      <c r="A69" s="7" t="s">
        <v>47</v>
      </c>
      <c r="B69" s="7" t="s">
        <v>48</v>
      </c>
      <c r="C69" s="7" t="s">
        <v>169</v>
      </c>
      <c r="D69" s="7" t="s">
        <v>170</v>
      </c>
    </row>
    <row r="70" spans="1:4" x14ac:dyDescent="0.2">
      <c r="A70" t="s">
        <v>246</v>
      </c>
      <c r="B70" s="16">
        <v>63.1</v>
      </c>
      <c r="C70" t="s">
        <v>247</v>
      </c>
      <c r="D70" t="s">
        <v>248</v>
      </c>
    </row>
    <row r="71" spans="1:4" x14ac:dyDescent="0.2">
      <c r="A71" t="s">
        <v>249</v>
      </c>
      <c r="B71" s="16">
        <v>50</v>
      </c>
      <c r="C71" t="s">
        <v>247</v>
      </c>
      <c r="D71" t="s">
        <v>250</v>
      </c>
    </row>
    <row r="72" spans="1:4" x14ac:dyDescent="0.2">
      <c r="A72" t="s">
        <v>251</v>
      </c>
      <c r="B72" s="16">
        <v>0.53200000000000003</v>
      </c>
      <c r="C72" t="s">
        <v>252</v>
      </c>
      <c r="D72" t="s">
        <v>253</v>
      </c>
    </row>
    <row r="73" spans="1:4" x14ac:dyDescent="0.2">
      <c r="A73" t="s">
        <v>254</v>
      </c>
      <c r="B73" s="16">
        <v>0.248</v>
      </c>
      <c r="C73" t="s">
        <v>252</v>
      </c>
      <c r="D73" t="s">
        <v>255</v>
      </c>
    </row>
    <row r="74" spans="1:4" x14ac:dyDescent="0.2">
      <c r="A74" t="s">
        <v>256</v>
      </c>
      <c r="B74" s="8">
        <v>15</v>
      </c>
      <c r="C74" t="s">
        <v>182</v>
      </c>
      <c r="D74" t="s">
        <v>257</v>
      </c>
    </row>
    <row r="75" spans="1:4" x14ac:dyDescent="0.2">
      <c r="A75" t="s">
        <v>258</v>
      </c>
      <c r="B75" s="8">
        <v>14</v>
      </c>
      <c r="C75" t="s">
        <v>182</v>
      </c>
      <c r="D75" t="s">
        <v>259</v>
      </c>
    </row>
    <row r="76" spans="1:4" x14ac:dyDescent="0.2">
      <c r="A76" t="s">
        <v>260</v>
      </c>
      <c r="B76" s="8">
        <v>8772</v>
      </c>
      <c r="C76" t="s">
        <v>261</v>
      </c>
      <c r="D76" t="s">
        <v>262</v>
      </c>
    </row>
    <row r="79" spans="1:4" ht="19" x14ac:dyDescent="0.25">
      <c r="A79" s="4" t="s">
        <v>263</v>
      </c>
    </row>
    <row r="80" spans="1:4" x14ac:dyDescent="0.2">
      <c r="A80" s="15" t="s">
        <v>264</v>
      </c>
    </row>
    <row r="81" spans="1:4" x14ac:dyDescent="0.2">
      <c r="A81" s="7" t="s">
        <v>265</v>
      </c>
      <c r="B81" s="7" t="s">
        <v>266</v>
      </c>
      <c r="C81" s="7" t="s">
        <v>267</v>
      </c>
      <c r="D81" s="7" t="s">
        <v>170</v>
      </c>
    </row>
    <row r="82" spans="1:4" x14ac:dyDescent="0.2">
      <c r="A82" t="s">
        <v>268</v>
      </c>
      <c r="B82" s="8">
        <v>14</v>
      </c>
      <c r="C82" t="s">
        <v>269</v>
      </c>
      <c r="D82" t="s">
        <v>270</v>
      </c>
    </row>
    <row r="83" spans="1:4" x14ac:dyDescent="0.2">
      <c r="A83" t="s">
        <v>271</v>
      </c>
      <c r="B83" s="8">
        <v>28</v>
      </c>
      <c r="C83" t="s">
        <v>272</v>
      </c>
      <c r="D83" t="s">
        <v>273</v>
      </c>
    </row>
    <row r="84" spans="1:4" x14ac:dyDescent="0.2">
      <c r="A84" t="s">
        <v>274</v>
      </c>
      <c r="B84" s="8">
        <v>42</v>
      </c>
      <c r="C84" t="s">
        <v>275</v>
      </c>
      <c r="D84" t="s">
        <v>276</v>
      </c>
    </row>
  </sheetData>
  <pageMargins left="0.75" right="0.75" top="1" bottom="1" header="0.5" footer="0.5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E14"/>
  <sheetViews>
    <sheetView workbookViewId="0"/>
  </sheetViews>
  <sheetFormatPr baseColWidth="10" defaultColWidth="8.83203125" defaultRowHeight="15" x14ac:dyDescent="0.2"/>
  <cols>
    <col min="1" max="1" width="12" customWidth="1"/>
    <col min="2" max="2" width="22" customWidth="1"/>
    <col min="3" max="3" width="14" customWidth="1"/>
    <col min="4" max="4" width="24" customWidth="1"/>
    <col min="5" max="5" width="40" customWidth="1"/>
  </cols>
  <sheetData>
    <row r="1" spans="1:5" ht="21" x14ac:dyDescent="0.25">
      <c r="A1" s="5" t="s">
        <v>277</v>
      </c>
    </row>
    <row r="3" spans="1:5" x14ac:dyDescent="0.2">
      <c r="A3" s="7" t="s">
        <v>278</v>
      </c>
      <c r="B3" s="7" t="s">
        <v>279</v>
      </c>
      <c r="C3" s="7" t="s">
        <v>280</v>
      </c>
      <c r="D3" s="7" t="s">
        <v>281</v>
      </c>
      <c r="E3" s="7" t="s">
        <v>50</v>
      </c>
    </row>
    <row r="4" spans="1:5" x14ac:dyDescent="0.2">
      <c r="A4" t="s">
        <v>282</v>
      </c>
      <c r="B4" t="s">
        <v>283</v>
      </c>
      <c r="C4" s="13">
        <v>104000</v>
      </c>
      <c r="D4">
        <v>7</v>
      </c>
      <c r="E4" t="s">
        <v>284</v>
      </c>
    </row>
    <row r="5" spans="1:5" x14ac:dyDescent="0.2">
      <c r="A5" t="s">
        <v>285</v>
      </c>
      <c r="B5" t="s">
        <v>286</v>
      </c>
      <c r="C5" s="13">
        <v>67500</v>
      </c>
      <c r="D5">
        <v>7</v>
      </c>
      <c r="E5" t="s">
        <v>287</v>
      </c>
    </row>
    <row r="6" spans="1:5" x14ac:dyDescent="0.2">
      <c r="A6" t="s">
        <v>288</v>
      </c>
      <c r="B6" t="s">
        <v>289</v>
      </c>
      <c r="C6" s="13">
        <v>78000</v>
      </c>
      <c r="D6">
        <v>14</v>
      </c>
      <c r="E6" t="s">
        <v>290</v>
      </c>
    </row>
    <row r="7" spans="1:5" x14ac:dyDescent="0.2">
      <c r="A7" t="s">
        <v>291</v>
      </c>
      <c r="B7" t="s">
        <v>292</v>
      </c>
      <c r="C7" s="13">
        <v>36000</v>
      </c>
      <c r="D7">
        <v>3</v>
      </c>
      <c r="E7" t="s">
        <v>293</v>
      </c>
    </row>
    <row r="10" spans="1:5" ht="19" x14ac:dyDescent="0.25">
      <c r="A10" s="4" t="s">
        <v>294</v>
      </c>
    </row>
    <row r="11" spans="1:5" x14ac:dyDescent="0.2">
      <c r="A11" s="7" t="s">
        <v>84</v>
      </c>
      <c r="B11" s="7" t="s">
        <v>295</v>
      </c>
      <c r="C11" s="7" t="s">
        <v>296</v>
      </c>
      <c r="D11" s="7" t="s">
        <v>297</v>
      </c>
    </row>
    <row r="12" spans="1:5" x14ac:dyDescent="0.2">
      <c r="A12" t="s">
        <v>56</v>
      </c>
      <c r="B12" s="9">
        <v>0</v>
      </c>
      <c r="C12" s="9">
        <v>0</v>
      </c>
      <c r="D12" s="9">
        <v>0</v>
      </c>
    </row>
    <row r="13" spans="1:5" x14ac:dyDescent="0.2">
      <c r="A13" t="s">
        <v>240</v>
      </c>
      <c r="B13" s="9">
        <v>4.0000000000000001E-3</v>
      </c>
      <c r="C13" s="9">
        <v>-0.02</v>
      </c>
      <c r="D13" s="9">
        <v>0.1</v>
      </c>
    </row>
    <row r="14" spans="1:5" x14ac:dyDescent="0.2">
      <c r="A14" t="s">
        <v>241</v>
      </c>
      <c r="B14" s="9">
        <v>-3.0000000000000001E-3</v>
      </c>
      <c r="C14" s="9">
        <v>0.01</v>
      </c>
      <c r="D14" s="9">
        <v>-0.1</v>
      </c>
    </row>
  </sheetData>
  <pageMargins left="0.75" right="0.75" top="1" bottom="1" header="0.5" footer="0.5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F20"/>
  <sheetViews>
    <sheetView workbookViewId="0"/>
  </sheetViews>
  <sheetFormatPr baseColWidth="10" defaultColWidth="8.83203125" defaultRowHeight="15" x14ac:dyDescent="0.2"/>
  <cols>
    <col min="1" max="1" width="28" customWidth="1"/>
    <col min="2" max="5" width="12" customWidth="1"/>
    <col min="6" max="6" width="35" customWidth="1"/>
  </cols>
  <sheetData>
    <row r="1" spans="1:6" ht="21" x14ac:dyDescent="0.25">
      <c r="A1" s="5" t="s">
        <v>298</v>
      </c>
    </row>
    <row r="3" spans="1:6" ht="19" x14ac:dyDescent="0.25">
      <c r="A3" s="4" t="s">
        <v>299</v>
      </c>
    </row>
    <row r="4" spans="1:6" x14ac:dyDescent="0.2">
      <c r="A4" s="7" t="s">
        <v>300</v>
      </c>
      <c r="B4" s="7" t="s">
        <v>301</v>
      </c>
      <c r="C4" s="7" t="s">
        <v>302</v>
      </c>
      <c r="D4" s="7" t="s">
        <v>303</v>
      </c>
      <c r="E4" s="7" t="s">
        <v>304</v>
      </c>
    </row>
    <row r="5" spans="1:6" x14ac:dyDescent="0.2">
      <c r="A5" t="s">
        <v>305</v>
      </c>
      <c r="B5" s="8">
        <v>14</v>
      </c>
      <c r="C5" s="8">
        <v>21</v>
      </c>
      <c r="D5" s="8">
        <v>35</v>
      </c>
      <c r="E5" t="s">
        <v>182</v>
      </c>
    </row>
    <row r="6" spans="1:6" x14ac:dyDescent="0.2">
      <c r="A6" t="s">
        <v>306</v>
      </c>
      <c r="B6" s="13">
        <v>3000</v>
      </c>
      <c r="C6" s="13">
        <v>7500</v>
      </c>
      <c r="D6" s="13">
        <v>15000</v>
      </c>
      <c r="E6" t="s">
        <v>212</v>
      </c>
    </row>
    <row r="7" spans="1:6" x14ac:dyDescent="0.2">
      <c r="A7" t="s">
        <v>307</v>
      </c>
      <c r="B7" s="8">
        <v>1</v>
      </c>
      <c r="C7" s="8">
        <v>3</v>
      </c>
      <c r="D7" s="8">
        <v>8</v>
      </c>
      <c r="E7" t="s">
        <v>308</v>
      </c>
    </row>
    <row r="8" spans="1:6" x14ac:dyDescent="0.2">
      <c r="A8" t="s">
        <v>309</v>
      </c>
      <c r="B8" s="8">
        <v>0.7</v>
      </c>
      <c r="C8" s="8">
        <v>1</v>
      </c>
      <c r="D8" s="8">
        <v>1.3</v>
      </c>
      <c r="E8" t="s">
        <v>310</v>
      </c>
    </row>
    <row r="11" spans="1:6" ht="19" x14ac:dyDescent="0.25">
      <c r="A11" s="4" t="s">
        <v>311</v>
      </c>
    </row>
    <row r="12" spans="1:6" x14ac:dyDescent="0.2">
      <c r="A12" s="7" t="s">
        <v>300</v>
      </c>
      <c r="B12" s="7" t="s">
        <v>312</v>
      </c>
      <c r="C12" s="7" t="s">
        <v>313</v>
      </c>
      <c r="D12" s="7" t="s">
        <v>301</v>
      </c>
      <c r="E12" s="7" t="s">
        <v>303</v>
      </c>
      <c r="F12" s="7" t="s">
        <v>304</v>
      </c>
    </row>
    <row r="13" spans="1:6" x14ac:dyDescent="0.2">
      <c r="A13" t="s">
        <v>314</v>
      </c>
      <c r="B13" s="8">
        <v>2</v>
      </c>
      <c r="C13" s="8">
        <v>5</v>
      </c>
      <c r="D13" s="8">
        <v>0.05</v>
      </c>
      <c r="E13" s="8">
        <v>0.4</v>
      </c>
      <c r="F13" t="s">
        <v>315</v>
      </c>
    </row>
    <row r="16" spans="1:6" ht="19" x14ac:dyDescent="0.25">
      <c r="A16" s="4" t="s">
        <v>316</v>
      </c>
    </row>
    <row r="17" spans="1:5" x14ac:dyDescent="0.2">
      <c r="A17" s="7" t="s">
        <v>317</v>
      </c>
      <c r="B17" s="7" t="s">
        <v>318</v>
      </c>
      <c r="C17" s="7" t="s">
        <v>56</v>
      </c>
      <c r="D17" s="7" t="s">
        <v>319</v>
      </c>
      <c r="E17" s="7" t="s">
        <v>320</v>
      </c>
    </row>
    <row r="18" spans="1:5" x14ac:dyDescent="0.2">
      <c r="A18" t="s">
        <v>321</v>
      </c>
      <c r="B18" s="13">
        <v>3</v>
      </c>
      <c r="C18" s="13">
        <v>5</v>
      </c>
      <c r="D18" s="13">
        <v>8</v>
      </c>
      <c r="E18" t="s">
        <v>322</v>
      </c>
    </row>
    <row r="19" spans="1:5" x14ac:dyDescent="0.2">
      <c r="A19" t="s">
        <v>323</v>
      </c>
      <c r="B19" s="13">
        <v>10</v>
      </c>
      <c r="C19" s="13">
        <v>20</v>
      </c>
      <c r="D19" s="13">
        <v>30</v>
      </c>
      <c r="E19" t="s">
        <v>324</v>
      </c>
    </row>
    <row r="20" spans="1:5" x14ac:dyDescent="0.2">
      <c r="A20" t="s">
        <v>325</v>
      </c>
      <c r="B20" s="13">
        <v>21</v>
      </c>
      <c r="C20" s="13">
        <v>50</v>
      </c>
      <c r="D20" s="13">
        <v>93</v>
      </c>
      <c r="E20" t="s">
        <v>326</v>
      </c>
    </row>
  </sheetData>
  <pageMargins left="0.75" right="0.75" top="1" bottom="1" header="0.5" footer="0.5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A1:E21"/>
  <sheetViews>
    <sheetView workbookViewId="0"/>
  </sheetViews>
  <sheetFormatPr baseColWidth="10" defaultColWidth="8.83203125" defaultRowHeight="15" x14ac:dyDescent="0.2"/>
  <cols>
    <col min="1" max="1" width="20" customWidth="1"/>
    <col min="2" max="2" width="36" customWidth="1"/>
    <col min="3" max="3" width="16" customWidth="1"/>
    <col min="4" max="4" width="12" customWidth="1"/>
    <col min="5" max="5" width="14" customWidth="1"/>
  </cols>
  <sheetData>
    <row r="1" spans="1:5" ht="21" x14ac:dyDescent="0.25">
      <c r="A1" s="5" t="s">
        <v>327</v>
      </c>
    </row>
    <row r="3" spans="1:5" x14ac:dyDescent="0.2">
      <c r="A3" s="7" t="s">
        <v>328</v>
      </c>
      <c r="B3" s="7" t="s">
        <v>329</v>
      </c>
      <c r="C3" s="7" t="s">
        <v>181</v>
      </c>
      <c r="D3" s="7" t="s">
        <v>330</v>
      </c>
      <c r="E3" s="7" t="s">
        <v>331</v>
      </c>
    </row>
    <row r="4" spans="1:5" x14ac:dyDescent="0.2">
      <c r="A4">
        <v>0</v>
      </c>
      <c r="B4">
        <f>Base_Year+0</f>
        <v>2026</v>
      </c>
      <c r="C4">
        <f t="shared" ref="C4:C9" si="0">Season_Length</f>
        <v>100</v>
      </c>
      <c r="D4">
        <v>1</v>
      </c>
      <c r="E4">
        <v>1</v>
      </c>
    </row>
    <row r="5" spans="1:5" x14ac:dyDescent="0.2">
      <c r="A5">
        <v>1</v>
      </c>
      <c r="B5">
        <f>Base_Year+1</f>
        <v>2027</v>
      </c>
      <c r="C5">
        <f t="shared" si="0"/>
        <v>100</v>
      </c>
      <c r="D5">
        <f>1/(1+Discount_Rate)^1</f>
        <v>0.95419847328244267</v>
      </c>
      <c r="E5">
        <f>INDEX(LearningCurve_Mult,1)</f>
        <v>0.5</v>
      </c>
    </row>
    <row r="6" spans="1:5" x14ac:dyDescent="0.2">
      <c r="A6">
        <v>2</v>
      </c>
      <c r="B6">
        <f>Base_Year+2</f>
        <v>2028</v>
      </c>
      <c r="C6">
        <f t="shared" si="0"/>
        <v>100</v>
      </c>
      <c r="D6">
        <f>1/(1+Discount_Rate)^2</f>
        <v>0.91049472641454443</v>
      </c>
      <c r="E6">
        <f>INDEX(LearningCurve_Mult,2)</f>
        <v>0.75</v>
      </c>
    </row>
    <row r="7" spans="1:5" x14ac:dyDescent="0.2">
      <c r="A7">
        <v>3</v>
      </c>
      <c r="B7">
        <f>Base_Year+3</f>
        <v>2029</v>
      </c>
      <c r="C7">
        <f t="shared" si="0"/>
        <v>100</v>
      </c>
      <c r="D7">
        <f>1/(1+Discount_Rate)^3</f>
        <v>0.86879267787647374</v>
      </c>
      <c r="E7">
        <f>INDEX(LearningCurve_Mult,3)</f>
        <v>1</v>
      </c>
    </row>
    <row r="8" spans="1:5" x14ac:dyDescent="0.2">
      <c r="A8">
        <v>4</v>
      </c>
      <c r="B8">
        <f>Base_Year+4</f>
        <v>2030</v>
      </c>
      <c r="C8">
        <f t="shared" si="0"/>
        <v>100</v>
      </c>
      <c r="D8">
        <f>1/(1+Discount_Rate)^4</f>
        <v>0.82900064682869612</v>
      </c>
      <c r="E8">
        <f>INDEX(LearningCurve_Mult,4)</f>
        <v>1</v>
      </c>
    </row>
    <row r="9" spans="1:5" x14ac:dyDescent="0.2">
      <c r="A9">
        <v>5</v>
      </c>
      <c r="B9">
        <f>Base_Year+5</f>
        <v>2031</v>
      </c>
      <c r="C9">
        <f t="shared" si="0"/>
        <v>100</v>
      </c>
      <c r="D9">
        <f>1/(1+Discount_Rate)^5</f>
        <v>0.79103115155409931</v>
      </c>
      <c r="E9">
        <f>INDEX(LearningCurve_Mult,5)</f>
        <v>1</v>
      </c>
    </row>
    <row r="12" spans="1:5" ht="19" x14ac:dyDescent="0.25">
      <c r="A12" s="4" t="s">
        <v>332</v>
      </c>
    </row>
    <row r="13" spans="1:5" x14ac:dyDescent="0.2">
      <c r="A13" s="15" t="s">
        <v>333</v>
      </c>
    </row>
    <row r="14" spans="1:5" x14ac:dyDescent="0.2">
      <c r="A14" s="7" t="s">
        <v>334</v>
      </c>
      <c r="B14" s="7" t="s">
        <v>335</v>
      </c>
      <c r="C14" s="7" t="s">
        <v>48</v>
      </c>
      <c r="D14" s="7" t="s">
        <v>169</v>
      </c>
    </row>
    <row r="15" spans="1:5" x14ac:dyDescent="0.2">
      <c r="A15" t="s">
        <v>336</v>
      </c>
      <c r="B15" t="s">
        <v>337</v>
      </c>
      <c r="C15" s="17">
        <f ca="1">Rapid_Phase_Rate*Stoch_TreatmentRate</f>
        <v>0.63917614809741652</v>
      </c>
      <c r="D15" t="s">
        <v>252</v>
      </c>
    </row>
    <row r="16" spans="1:5" x14ac:dyDescent="0.2">
      <c r="A16" t="s">
        <v>338</v>
      </c>
      <c r="B16" t="s">
        <v>339</v>
      </c>
      <c r="C16" s="17">
        <f ca="1">Slow_Phase_Rate*Stoch_TreatmentRate</f>
        <v>0.29796181339879563</v>
      </c>
      <c r="D16" t="s">
        <v>252</v>
      </c>
    </row>
    <row r="17" spans="1:4" x14ac:dyDescent="0.2">
      <c r="A17" t="s">
        <v>340</v>
      </c>
      <c r="B17" t="s">
        <v>341</v>
      </c>
      <c r="C17" s="18">
        <f ca="1">MAX(0,Initial_NAFC-Eff_Rapid_Rate*Rapid_Phase_Duration)</f>
        <v>53.512357778538757</v>
      </c>
      <c r="D17" t="s">
        <v>247</v>
      </c>
    </row>
    <row r="18" spans="1:4" x14ac:dyDescent="0.2">
      <c r="A18" t="s">
        <v>342</v>
      </c>
      <c r="B18" t="s">
        <v>343</v>
      </c>
      <c r="C18" s="19">
        <f ca="1">IF(Initial_NAFC&lt;=Target_NAFC,0,IF(NAFC_After_Rapid&lt;=Target_NAFC,(Initial_NAFC-Target_NAFC)/Eff_Rapid_Rate,Rapid_Phase_Duration+(NAFC_After_Rapid-Target_NAFC)/Eff_Slow_Rate))</f>
        <v>26.787946040715546</v>
      </c>
      <c r="D18" t="s">
        <v>182</v>
      </c>
    </row>
    <row r="19" spans="1:4" x14ac:dyDescent="0.2">
      <c r="A19" t="s">
        <v>344</v>
      </c>
      <c r="B19" t="s">
        <v>345</v>
      </c>
      <c r="C19" s="20">
        <f ca="1">CEILING(Days_to_Compliance/Recirculation_Cycle,1)</f>
        <v>2</v>
      </c>
      <c r="D19" t="s">
        <v>346</v>
      </c>
    </row>
    <row r="20" spans="1:4" x14ac:dyDescent="0.2">
      <c r="A20" t="s">
        <v>347</v>
      </c>
      <c r="B20" t="s">
        <v>348</v>
      </c>
      <c r="C20" s="21">
        <f>(Initial_NAFC-Target_NAFC)/Initial_NAFC</f>
        <v>0.2076069730586371</v>
      </c>
      <c r="D20" t="s">
        <v>315</v>
      </c>
    </row>
    <row r="21" spans="1:4" x14ac:dyDescent="0.2">
      <c r="A21" t="s">
        <v>349</v>
      </c>
      <c r="B21" t="s">
        <v>350</v>
      </c>
      <c r="C21" t="str">
        <f ca="1">IF(Days_to_Compliance&lt;=Season_Length,"ACHIEVABLE","EXCEEDS SEASON")</f>
        <v>ACHIEVABLE</v>
      </c>
      <c r="D21" t="s">
        <v>351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C9"/>
  <sheetViews>
    <sheetView workbookViewId="0"/>
  </sheetViews>
  <sheetFormatPr baseColWidth="10" defaultColWidth="8.83203125" defaultRowHeight="15" x14ac:dyDescent="0.2"/>
  <cols>
    <col min="1" max="1" width="22" customWidth="1"/>
    <col min="2" max="2" width="12" customWidth="1"/>
    <col min="3" max="3" width="70" customWidth="1"/>
  </cols>
  <sheetData>
    <row r="1" spans="1:3" ht="21" x14ac:dyDescent="0.25">
      <c r="A1" s="5" t="s">
        <v>352</v>
      </c>
    </row>
    <row r="2" spans="1:3" x14ac:dyDescent="0.2">
      <c r="A2" s="6" t="s">
        <v>353</v>
      </c>
    </row>
    <row r="4" spans="1:3" x14ac:dyDescent="0.2">
      <c r="A4" s="7" t="s">
        <v>300</v>
      </c>
      <c r="B4" s="7" t="s">
        <v>354</v>
      </c>
      <c r="C4" s="7" t="s">
        <v>355</v>
      </c>
    </row>
    <row r="5" spans="1:3" x14ac:dyDescent="0.2">
      <c r="A5" t="s">
        <v>356</v>
      </c>
      <c r="B5">
        <f ca="1">RAND()</f>
        <v>0.59224792649815472</v>
      </c>
      <c r="C5">
        <f ca="1">IF(B5&lt;(Tri_Season_Extension_Days_Mode-Tri_Season_Extension_Days_Min)/(Tri_Season_Extension_Days_Max-Tri_Season_Extension_Days_Min),Tri_Season_Extension_Days_Min+SQRT(B5*(Tri_Season_Extension_Days_Max-Tri_Season_Extension_Days_Min)*(Tri_Season_Extension_Days_Mode-Tri_Season_Extension_Days_Min)),Tri_Season_Extension_Days_Max-SQRT((1-B5)*(Tri_Season_Extension_Days_Max-Tri_Season_Extension_Days_Min)*(Tri_Season_Extension_Days_Max-Tri_Season_Extension_Days_Mode)))</f>
        <v>24.051068106452462</v>
      </c>
    </row>
    <row r="6" spans="1:3" x14ac:dyDescent="0.2">
      <c r="A6" t="s">
        <v>357</v>
      </c>
      <c r="B6">
        <f ca="1">RAND()</f>
        <v>2.0471680958034089E-4</v>
      </c>
      <c r="C6">
        <f ca="1">IF(B6&lt;(Tri_Extension_Value_Per_Day_Mode-Tri_Extension_Value_Per_Day_Min)/(Tri_Extension_Value_Per_Day_Max-Tri_Extension_Value_Per_Day_Min),Tri_Extension_Value_Per_Day_Min+SQRT(B6*(Tri_Extension_Value_Per_Day_Max-Tri_Extension_Value_Per_Day_Min)*(Tri_Extension_Value_Per_Day_Mode-Tri_Extension_Value_Per_Day_Min)),Tri_Extension_Value_Per_Day_Max-SQRT((1-B6)*(Tri_Extension_Value_Per_Day_Max-Tri_Extension_Value_Per_Day_Min)*(Tri_Extension_Value_Per_Day_Max-Tri_Extension_Value_Per_Day_Mode)))</f>
        <v>3105.1413701515175</v>
      </c>
    </row>
    <row r="7" spans="1:3" x14ac:dyDescent="0.2">
      <c r="A7" t="s">
        <v>307</v>
      </c>
      <c r="B7">
        <f ca="1">RAND()</f>
        <v>0.4331664272452963</v>
      </c>
      <c r="C7">
        <f ca="1">IF(B7&lt;(Tri_Interventions_Avoided_Mode-Tri_Interventions_Avoided_Min)/(Tri_Interventions_Avoided_Max-Tri_Interventions_Avoided_Min),Tri_Interventions_Avoided_Min+SQRT(B7*(Tri_Interventions_Avoided_Max-Tri_Interventions_Avoided_Min)*(Tri_Interventions_Avoided_Mode-Tri_Interventions_Avoided_Min)),Tri_Interventions_Avoided_Max-SQRT((1-B7)*(Tri_Interventions_Avoided_Max-Tri_Interventions_Avoided_Min)*(Tri_Interventions_Avoided_Max-Tri_Interventions_Avoided_Mode)))</f>
        <v>3.5458811144722873</v>
      </c>
    </row>
    <row r="8" spans="1:3" x14ac:dyDescent="0.2">
      <c r="A8" t="s">
        <v>314</v>
      </c>
      <c r="B8">
        <f ca="1">RAND()</f>
        <v>0.85315850649710789</v>
      </c>
      <c r="C8">
        <f ca="1">Beta_Efficiency_Gain_Min+(Beta_Efficiency_Gain_Max-Beta_Efficiency_Gain_Min)*B8</f>
        <v>0.34860547727398777</v>
      </c>
    </row>
    <row r="9" spans="1:3" x14ac:dyDescent="0.2">
      <c r="A9" t="s">
        <v>309</v>
      </c>
      <c r="B9">
        <f ca="1">RAND()</f>
        <v>0.94605364742715148</v>
      </c>
      <c r="C9">
        <f ca="1">IF(B9&lt;(Tri_Treatment_Rate_Factor_Mode-Tri_Treatment_Rate_Factor_Min)/(Tri_Treatment_Rate_Factor_Max-Tri_Treatment_Rate_Factor_Min),Tri_Treatment_Rate_Factor_Min+SQRT(B9*(Tri_Treatment_Rate_Factor_Max-Tri_Treatment_Rate_Factor_Min)*(Tri_Treatment_Rate_Factor_Mode-Tri_Treatment_Rate_Factor_Min)),Tri_Treatment_Rate_Factor_Max-SQRT((1-B9)*(Tri_Treatment_Rate_Factor_Max-Tri_Treatment_Rate_Factor_Min)*(Tri_Treatment_Rate_Factor_Max-Tri_Treatment_Rate_Factor_Mode)))</f>
        <v>1.2014589249951437</v>
      </c>
    </row>
  </sheetData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</sheetPr>
  <dimension ref="A1:E9"/>
  <sheetViews>
    <sheetView workbookViewId="0"/>
  </sheetViews>
  <sheetFormatPr baseColWidth="10" defaultColWidth="8.83203125" defaultRowHeight="15" x14ac:dyDescent="0.2"/>
  <cols>
    <col min="1" max="1" width="28" customWidth="1"/>
    <col min="2" max="5" width="14" customWidth="1"/>
  </cols>
  <sheetData>
    <row r="1" spans="1:5" ht="21" x14ac:dyDescent="0.25">
      <c r="A1" s="5" t="s">
        <v>358</v>
      </c>
    </row>
    <row r="3" spans="1:5" x14ac:dyDescent="0.2">
      <c r="A3" s="7" t="s">
        <v>84</v>
      </c>
      <c r="B3" s="7" t="s">
        <v>280</v>
      </c>
      <c r="C3" s="7" t="s">
        <v>359</v>
      </c>
      <c r="D3" s="7" t="s">
        <v>360</v>
      </c>
      <c r="E3" s="7" t="s">
        <v>361</v>
      </c>
    </row>
    <row r="4" spans="1:5" x14ac:dyDescent="0.2">
      <c r="A4" t="s">
        <v>362</v>
      </c>
      <c r="B4">
        <f>INDEX(Scenario_BaseValues,1)</f>
        <v>104000</v>
      </c>
      <c r="C4" t="str">
        <f>INDEX(Gate_S1,MATCH(Testing_Option,TestOpt_Option,0))</f>
        <v>ENABLED</v>
      </c>
      <c r="D4">
        <f ca="1">Stoch_SeasonExt/21</f>
        <v>1.1452889574501173</v>
      </c>
      <c r="E4">
        <f ca="1">IF(C4="ENABLED",B4*D4,0)</f>
        <v>119110.0515748122</v>
      </c>
    </row>
    <row r="5" spans="1:5" x14ac:dyDescent="0.2">
      <c r="A5" t="s">
        <v>363</v>
      </c>
      <c r="B5">
        <f>INDEX(Scenario_BaseValues,2)</f>
        <v>67500</v>
      </c>
      <c r="C5" t="str">
        <f>INDEX(Gate_S2,MATCH(Testing_Option,TestOpt_Option,0))</f>
        <v>ENABLED</v>
      </c>
      <c r="D5">
        <f ca="1">Stoch_Interventions/3</f>
        <v>1.1819603714907625</v>
      </c>
      <c r="E5">
        <f ca="1">IF(C5="ENABLED",B5*D5,0)</f>
        <v>79782.325075626475</v>
      </c>
    </row>
    <row r="6" spans="1:5" x14ac:dyDescent="0.2">
      <c r="A6" t="s">
        <v>364</v>
      </c>
      <c r="B6">
        <f>INDEX(Scenario_BaseValues,3)</f>
        <v>78000</v>
      </c>
      <c r="C6" t="str">
        <f>INDEX(Gate_S3,MATCH(Testing_Option,TestOpt_Option,0))</f>
        <v>ENABLED</v>
      </c>
      <c r="D6">
        <f ca="1">Stoch_Efficiency/0.15</f>
        <v>2.3240365151599187</v>
      </c>
      <c r="E6">
        <f ca="1">IF(C6="ENABLED",B6*D6,0)</f>
        <v>181274.84818247365</v>
      </c>
    </row>
    <row r="7" spans="1:5" x14ac:dyDescent="0.2">
      <c r="A7" t="s">
        <v>365</v>
      </c>
      <c r="B7">
        <f>INDEX(Scenario_BaseValues,4)</f>
        <v>36000</v>
      </c>
      <c r="C7" t="str">
        <f>INDEX(Gate_S4,MATCH(Testing_Option,TestOpt_Option,0))</f>
        <v>ENABLED</v>
      </c>
      <c r="D7">
        <f ca="1">1+Stoch_Efficiency</f>
        <v>1.3486054772739877</v>
      </c>
      <c r="E7">
        <f ca="1">IF(C7="ENABLED",B7*D7,0)</f>
        <v>48549.797181863556</v>
      </c>
    </row>
    <row r="9" spans="1:5" x14ac:dyDescent="0.2">
      <c r="A9" s="10" t="s">
        <v>366</v>
      </c>
      <c r="E9" s="14">
        <f ca="1">SUM(E4:E7)</f>
        <v>428717.0220147759</v>
      </c>
    </row>
  </sheetData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C10"/>
  <sheetViews>
    <sheetView workbookViewId="0"/>
  </sheetViews>
  <sheetFormatPr baseColWidth="10" defaultColWidth="8.83203125" defaultRowHeight="15" x14ac:dyDescent="0.2"/>
  <cols>
    <col min="1" max="1" width="22" customWidth="1"/>
    <col min="2" max="2" width="25" customWidth="1"/>
    <col min="3" max="3" width="18" customWidth="1"/>
  </cols>
  <sheetData>
    <row r="1" spans="1:3" ht="21" x14ac:dyDescent="0.25">
      <c r="A1" s="5" t="s">
        <v>367</v>
      </c>
    </row>
    <row r="3" spans="1:3" x14ac:dyDescent="0.2">
      <c r="A3" s="7" t="s">
        <v>368</v>
      </c>
      <c r="B3" s="7" t="s">
        <v>335</v>
      </c>
      <c r="C3" s="7" t="s">
        <v>48</v>
      </c>
    </row>
    <row r="4" spans="1:3" x14ac:dyDescent="0.2">
      <c r="A4" t="s">
        <v>369</v>
      </c>
      <c r="B4" t="s">
        <v>51</v>
      </c>
      <c r="C4" t="str">
        <f>Testing_Option</f>
        <v>Daily_Biosensor</v>
      </c>
    </row>
    <row r="5" spans="1:3" x14ac:dyDescent="0.2">
      <c r="A5" t="s">
        <v>370</v>
      </c>
      <c r="B5" t="s">
        <v>371</v>
      </c>
      <c r="C5">
        <f>INDEX(TestOpt_Interval,MATCH(Testing_Option,TestOpt_Option,0))</f>
        <v>1</v>
      </c>
    </row>
    <row r="6" spans="1:3" x14ac:dyDescent="0.2">
      <c r="A6" t="s">
        <v>372</v>
      </c>
      <c r="B6" t="s">
        <v>371</v>
      </c>
      <c r="C6">
        <f>INDEX(TestOpt_Points,MATCH(Testing_Option,TestOpt_Option,0))</f>
        <v>10</v>
      </c>
    </row>
    <row r="7" spans="1:3" x14ac:dyDescent="0.2">
      <c r="A7" t="s">
        <v>227</v>
      </c>
      <c r="B7" t="s">
        <v>371</v>
      </c>
      <c r="C7" s="14">
        <f>INDEX(TestOpt_Cost,MATCH(Testing_Option,TestOpt_Option,0))</f>
        <v>10</v>
      </c>
    </row>
    <row r="8" spans="1:3" x14ac:dyDescent="0.2">
      <c r="A8" t="s">
        <v>373</v>
      </c>
      <c r="B8" t="s">
        <v>374</v>
      </c>
      <c r="C8">
        <f>Season_Length/C5</f>
        <v>100</v>
      </c>
    </row>
    <row r="9" spans="1:3" x14ac:dyDescent="0.2">
      <c r="A9" t="s">
        <v>375</v>
      </c>
      <c r="B9" t="s">
        <v>376</v>
      </c>
      <c r="C9">
        <f>C8*C6</f>
        <v>1000</v>
      </c>
    </row>
    <row r="10" spans="1:3" x14ac:dyDescent="0.2">
      <c r="A10" t="s">
        <v>377</v>
      </c>
      <c r="B10" t="s">
        <v>378</v>
      </c>
      <c r="C10" s="22">
        <f>C9*C7</f>
        <v>10000</v>
      </c>
    </row>
  </sheetData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I1023"/>
  <sheetViews>
    <sheetView tabSelected="1" workbookViewId="0">
      <selection activeCell="O16" sqref="O16"/>
    </sheetView>
  </sheetViews>
  <sheetFormatPr baseColWidth="10" defaultColWidth="8.83203125" defaultRowHeight="15" x14ac:dyDescent="0.2"/>
  <cols>
    <col min="1" max="1" width="26" customWidth="1"/>
    <col min="2" max="8" width="14" customWidth="1"/>
    <col min="9" max="9" width="18" customWidth="1"/>
    <col min="11" max="11" width="8" customWidth="1"/>
  </cols>
  <sheetData>
    <row r="1" spans="1:9" ht="21" x14ac:dyDescent="0.25">
      <c r="A1" s="5" t="s">
        <v>379</v>
      </c>
    </row>
    <row r="2" spans="1:9" x14ac:dyDescent="0.2">
      <c r="A2" s="6" t="s">
        <v>380</v>
      </c>
    </row>
    <row r="3" spans="1:9" x14ac:dyDescent="0.2">
      <c r="A3" s="6" t="s">
        <v>381</v>
      </c>
    </row>
    <row r="4" spans="1:9" x14ac:dyDescent="0.2">
      <c r="A4" s="10" t="s">
        <v>382</v>
      </c>
      <c r="B4" s="10" t="s">
        <v>104</v>
      </c>
      <c r="C4" s="10" t="s">
        <v>282</v>
      </c>
      <c r="D4" s="10" t="s">
        <v>285</v>
      </c>
      <c r="E4" s="10" t="s">
        <v>288</v>
      </c>
      <c r="F4" s="10" t="s">
        <v>291</v>
      </c>
      <c r="G4" s="10" t="s">
        <v>383</v>
      </c>
      <c r="H4" s="10" t="s">
        <v>384</v>
      </c>
      <c r="I4" s="10" t="s">
        <v>342</v>
      </c>
    </row>
    <row r="5" spans="1:9" x14ac:dyDescent="0.2">
      <c r="B5" s="14">
        <f ca="1">NPV_Total</f>
        <v>1520765.2457095941</v>
      </c>
      <c r="C5" s="14">
        <f ca="1">S1_Value</f>
        <v>119110.0515748122</v>
      </c>
      <c r="D5" s="14">
        <f ca="1">S2_Value</f>
        <v>79782.325075626475</v>
      </c>
      <c r="E5" s="14">
        <f ca="1">S3_Value</f>
        <v>181274.84818247365</v>
      </c>
      <c r="F5" s="14">
        <f ca="1">S4_Value</f>
        <v>48549.797181863556</v>
      </c>
      <c r="G5" s="14">
        <f>Testing_Cost</f>
        <v>10000</v>
      </c>
      <c r="H5" s="14">
        <f ca="1">Gross_Value-Testing_Cost</f>
        <v>418717.0220147759</v>
      </c>
      <c r="I5" s="19">
        <f ca="1">Days_to_Compliance</f>
        <v>26.787946040715546</v>
      </c>
    </row>
    <row r="6" spans="1:9" x14ac:dyDescent="0.2">
      <c r="A6">
        <v>1</v>
      </c>
      <c r="B6">
        <f t="dataTable" ref="B6:I1005" dt2D="0" dtr="0" r1="J1" ca="1"/>
        <v>1120848.2780016391</v>
      </c>
      <c r="C6">
        <v>153572.27858883145</v>
      </c>
      <c r="D6">
        <v>75034.455476571093</v>
      </c>
      <c r="E6">
        <v>50978.522023605707</v>
      </c>
      <c r="F6">
        <v>39529.282293941935</v>
      </c>
      <c r="G6">
        <v>10000</v>
      </c>
      <c r="H6">
        <v>309114.53838295018</v>
      </c>
      <c r="I6">
        <v>35.092079082037998</v>
      </c>
    </row>
    <row r="7" spans="1:9" x14ac:dyDescent="0.2">
      <c r="A7">
        <v>2</v>
      </c>
      <c r="B7">
        <v>1040158.3803367288</v>
      </c>
      <c r="C7">
        <v>114167.28336920131</v>
      </c>
      <c r="D7">
        <v>97347.928149168059</v>
      </c>
      <c r="E7">
        <v>46281.125508680358</v>
      </c>
      <c r="F7">
        <v>39204.07791983171</v>
      </c>
      <c r="G7">
        <v>10000</v>
      </c>
      <c r="H7">
        <v>287000.41494688147</v>
      </c>
      <c r="I7">
        <v>35.308503055024758</v>
      </c>
    </row>
    <row r="8" spans="1:9" x14ac:dyDescent="0.2">
      <c r="A8">
        <v>3</v>
      </c>
      <c r="B8">
        <v>1180869.384789719</v>
      </c>
      <c r="C8">
        <v>112144.49628328216</v>
      </c>
      <c r="D8">
        <v>71240.10594089824</v>
      </c>
      <c r="E8">
        <v>108657.09260497466</v>
      </c>
      <c r="F8">
        <v>43522.414103421317</v>
      </c>
      <c r="G8">
        <v>10000</v>
      </c>
      <c r="H8">
        <v>325564.10893257643</v>
      </c>
      <c r="I8">
        <v>31.998164123142729</v>
      </c>
    </row>
    <row r="9" spans="1:9" x14ac:dyDescent="0.2">
      <c r="A9">
        <v>4</v>
      </c>
      <c r="B9">
        <v>1333355.4380182975</v>
      </c>
      <c r="C9">
        <v>93422.070466953868</v>
      </c>
      <c r="D9">
        <v>105020.5880929166</v>
      </c>
      <c r="E9">
        <v>133658.93952250929</v>
      </c>
      <c r="F9">
        <v>45253.311197712188</v>
      </c>
      <c r="G9">
        <v>10000</v>
      </c>
      <c r="H9">
        <v>367354.90928009199</v>
      </c>
      <c r="I9">
        <v>36.160404205679789</v>
      </c>
    </row>
    <row r="10" spans="1:9" x14ac:dyDescent="0.2">
      <c r="A10">
        <v>5</v>
      </c>
      <c r="B10">
        <v>928922.52285105013</v>
      </c>
      <c r="C10">
        <v>93104.593049292467</v>
      </c>
      <c r="D10">
        <v>104909.06889967056</v>
      </c>
      <c r="E10">
        <v>30396.720780609059</v>
      </c>
      <c r="F10">
        <v>38104.388361734469</v>
      </c>
      <c r="G10">
        <v>10000</v>
      </c>
      <c r="H10">
        <v>256514.77109130652</v>
      </c>
      <c r="I10">
        <v>29.917234322382097</v>
      </c>
    </row>
    <row r="11" spans="1:9" x14ac:dyDescent="0.2">
      <c r="A11">
        <v>6</v>
      </c>
      <c r="B11">
        <v>1004669.864400483</v>
      </c>
      <c r="C11">
        <v>115311.31367651578</v>
      </c>
      <c r="D11">
        <v>101362.07488156998</v>
      </c>
      <c r="E11">
        <v>32360.585495235133</v>
      </c>
      <c r="F11">
        <v>38240.348226593196</v>
      </c>
      <c r="G11">
        <v>10000</v>
      </c>
      <c r="H11">
        <v>277274.32227991411</v>
      </c>
      <c r="I11">
        <v>27.379658641720276</v>
      </c>
    </row>
    <row r="12" spans="1:9" x14ac:dyDescent="0.2">
      <c r="A12">
        <v>7</v>
      </c>
      <c r="B12">
        <v>1326595.2761720549</v>
      </c>
      <c r="C12">
        <v>97863.367707810175</v>
      </c>
      <c r="D12">
        <v>123700.19808812365</v>
      </c>
      <c r="E12">
        <v>110302.3182373156</v>
      </c>
      <c r="F12">
        <v>43636.314339506462</v>
      </c>
      <c r="G12">
        <v>10000</v>
      </c>
      <c r="H12">
        <v>365502.1983727559</v>
      </c>
      <c r="I12">
        <v>30.758120532548283</v>
      </c>
    </row>
    <row r="13" spans="1:9" x14ac:dyDescent="0.2">
      <c r="A13">
        <v>8</v>
      </c>
      <c r="B13">
        <v>1330173.9949757857</v>
      </c>
      <c r="C13">
        <v>108994.34240794757</v>
      </c>
      <c r="D13">
        <v>75026.014426951937</v>
      </c>
      <c r="E13">
        <v>146331.96201161071</v>
      </c>
      <c r="F13">
        <v>46130.674293111508</v>
      </c>
      <c r="G13">
        <v>10000</v>
      </c>
      <c r="H13">
        <v>366482.99313962174</v>
      </c>
      <c r="I13">
        <v>33.692821986544224</v>
      </c>
    </row>
    <row r="14" spans="1:9" x14ac:dyDescent="0.2">
      <c r="A14">
        <v>9</v>
      </c>
      <c r="B14">
        <v>1433442.8394457689</v>
      </c>
      <c r="C14">
        <v>140767.16202508073</v>
      </c>
      <c r="D14">
        <v>49062.517636491939</v>
      </c>
      <c r="E14">
        <v>167368.44674152185</v>
      </c>
      <c r="F14">
        <v>47587.046312874591</v>
      </c>
      <c r="G14">
        <v>10000</v>
      </c>
      <c r="H14">
        <v>394785.17271596909</v>
      </c>
      <c r="I14">
        <v>41.536250672589972</v>
      </c>
    </row>
    <row r="15" spans="1:9" x14ac:dyDescent="0.2">
      <c r="A15">
        <v>10</v>
      </c>
      <c r="B15">
        <v>1171176.9389438624</v>
      </c>
      <c r="C15">
        <v>133092.840187175</v>
      </c>
      <c r="D15">
        <v>76611.588018583105</v>
      </c>
      <c r="E15">
        <v>81557.07962020475</v>
      </c>
      <c r="F15">
        <v>41646.25935832187</v>
      </c>
      <c r="G15">
        <v>10000</v>
      </c>
      <c r="H15">
        <v>322907.76718428475</v>
      </c>
      <c r="I15">
        <v>42.348555387287554</v>
      </c>
    </row>
    <row r="16" spans="1:9" x14ac:dyDescent="0.2">
      <c r="A16">
        <v>11</v>
      </c>
      <c r="B16">
        <v>1072013.0469313327</v>
      </c>
      <c r="C16">
        <v>77895.593623679626</v>
      </c>
      <c r="D16">
        <v>100152.76719257206</v>
      </c>
      <c r="E16">
        <v>85745.982460459796</v>
      </c>
      <c r="F16">
        <v>41936.260324185678</v>
      </c>
      <c r="G16">
        <v>10000</v>
      </c>
      <c r="H16">
        <v>295730.60360089713</v>
      </c>
      <c r="I16">
        <v>28.34672978333743</v>
      </c>
    </row>
    <row r="17" spans="1:9" x14ac:dyDescent="0.2">
      <c r="A17">
        <v>12</v>
      </c>
      <c r="B17">
        <v>719912.74640664831</v>
      </c>
      <c r="C17">
        <v>94175.183170139499</v>
      </c>
      <c r="D17">
        <v>43645.156260865129</v>
      </c>
      <c r="E17">
        <v>33119.664681818576</v>
      </c>
      <c r="F17">
        <v>38292.899862587437</v>
      </c>
      <c r="G17">
        <v>10000</v>
      </c>
      <c r="H17">
        <v>199232.90397541062</v>
      </c>
      <c r="I17">
        <v>38.19050007256007</v>
      </c>
    </row>
    <row r="18" spans="1:9" x14ac:dyDescent="0.2">
      <c r="A18">
        <v>13</v>
      </c>
      <c r="B18">
        <v>1162254.8665883029</v>
      </c>
      <c r="C18">
        <v>159496.76440683519</v>
      </c>
      <c r="D18">
        <v>84603.047742612529</v>
      </c>
      <c r="E18">
        <v>47101.84712430714</v>
      </c>
      <c r="F18">
        <v>39260.897108605881</v>
      </c>
      <c r="G18">
        <v>10000</v>
      </c>
      <c r="H18">
        <v>320462.55638236075</v>
      </c>
      <c r="I18">
        <v>39.61247262838679</v>
      </c>
    </row>
    <row r="19" spans="1:9" x14ac:dyDescent="0.2">
      <c r="A19">
        <v>14</v>
      </c>
      <c r="B19">
        <v>1032289.3611812405</v>
      </c>
      <c r="C19">
        <v>124021.23864511969</v>
      </c>
      <c r="D19">
        <v>98089.819496640339</v>
      </c>
      <c r="E19">
        <v>34354.369593535877</v>
      </c>
      <c r="F19">
        <v>38378.379433398637</v>
      </c>
      <c r="G19">
        <v>10000</v>
      </c>
      <c r="H19">
        <v>284843.80716869456</v>
      </c>
      <c r="I19">
        <v>31.659556398793935</v>
      </c>
    </row>
    <row r="20" spans="1:9" x14ac:dyDescent="0.2">
      <c r="A20">
        <v>15</v>
      </c>
      <c r="B20">
        <v>1012318.2034545462</v>
      </c>
      <c r="C20">
        <v>129275.66834760742</v>
      </c>
      <c r="D20">
        <v>65221.091674157993</v>
      </c>
      <c r="E20">
        <v>55061.724239511823</v>
      </c>
      <c r="F20">
        <v>39811.965524273895</v>
      </c>
      <c r="G20">
        <v>10000</v>
      </c>
      <c r="H20">
        <v>279370.44978555117</v>
      </c>
      <c r="I20">
        <v>27.364735877130865</v>
      </c>
    </row>
    <row r="21" spans="1:9" x14ac:dyDescent="0.2">
      <c r="A21">
        <v>16</v>
      </c>
      <c r="B21">
        <v>1557572.3706645768</v>
      </c>
      <c r="C21">
        <v>127999.5191489399</v>
      </c>
      <c r="D21">
        <v>64803.368193006259</v>
      </c>
      <c r="E21">
        <v>196404.38290539884</v>
      </c>
      <c r="F21">
        <v>49597.226508835302</v>
      </c>
      <c r="G21">
        <v>10000</v>
      </c>
      <c r="H21">
        <v>428804.49675618031</v>
      </c>
      <c r="I21">
        <v>50.195732898575351</v>
      </c>
    </row>
    <row r="22" spans="1:9" x14ac:dyDescent="0.2">
      <c r="A22">
        <v>17</v>
      </c>
      <c r="B22">
        <v>1589240.0998470983</v>
      </c>
      <c r="C22">
        <v>120509.99482352249</v>
      </c>
      <c r="D22">
        <v>88176.349063609188</v>
      </c>
      <c r="E22">
        <v>189666.36081978036</v>
      </c>
      <c r="F22">
        <v>49130.748056754026</v>
      </c>
      <c r="G22">
        <v>10000</v>
      </c>
      <c r="H22">
        <v>437483.45276366605</v>
      </c>
      <c r="I22">
        <v>28.586526511647648</v>
      </c>
    </row>
    <row r="23" spans="1:9" x14ac:dyDescent="0.2">
      <c r="A23">
        <v>18</v>
      </c>
      <c r="B23">
        <v>1436548.6366184568</v>
      </c>
      <c r="C23">
        <v>132464.46499529498</v>
      </c>
      <c r="D23">
        <v>82220.959153371878</v>
      </c>
      <c r="E23">
        <v>144918.13874540388</v>
      </c>
      <c r="F23">
        <v>46032.794220835654</v>
      </c>
      <c r="G23">
        <v>10000</v>
      </c>
      <c r="H23">
        <v>395636.35711490642</v>
      </c>
      <c r="I23">
        <v>48.970297850754982</v>
      </c>
    </row>
    <row r="24" spans="1:9" x14ac:dyDescent="0.2">
      <c r="A24">
        <v>19</v>
      </c>
      <c r="B24">
        <v>1690518.0583512515</v>
      </c>
      <c r="C24">
        <v>126355.61918437955</v>
      </c>
      <c r="D24">
        <v>109254.66010813144</v>
      </c>
      <c r="E24">
        <v>190445.06623752957</v>
      </c>
      <c r="F24">
        <v>49184.658431828968</v>
      </c>
      <c r="G24">
        <v>10000</v>
      </c>
      <c r="H24">
        <v>465240.00396186952</v>
      </c>
      <c r="I24">
        <v>33.007972555446329</v>
      </c>
    </row>
    <row r="25" spans="1:9" x14ac:dyDescent="0.2">
      <c r="A25">
        <v>20</v>
      </c>
      <c r="B25">
        <v>746531.75731231144</v>
      </c>
      <c r="C25">
        <v>98644.430357104968</v>
      </c>
      <c r="D25">
        <v>47806.885652824334</v>
      </c>
      <c r="E25">
        <v>31870.460124380272</v>
      </c>
      <c r="F25">
        <v>38206.416470149408</v>
      </c>
      <c r="G25">
        <v>10000</v>
      </c>
      <c r="H25">
        <v>206528.19260445898</v>
      </c>
      <c r="I25">
        <v>37.720936955420555</v>
      </c>
    </row>
    <row r="26" spans="1:9" x14ac:dyDescent="0.2">
      <c r="A26">
        <v>21</v>
      </c>
      <c r="B26">
        <v>1319015.9245443137</v>
      </c>
      <c r="C26">
        <v>94561.342924613258</v>
      </c>
      <c r="D26">
        <v>138002.7831470145</v>
      </c>
      <c r="E26">
        <v>98071.300154222961</v>
      </c>
      <c r="F26">
        <v>42789.551549138516</v>
      </c>
      <c r="G26">
        <v>10000</v>
      </c>
      <c r="H26">
        <v>363424.97777498921</v>
      </c>
      <c r="I26">
        <v>32.996441988749716</v>
      </c>
    </row>
    <row r="27" spans="1:9" x14ac:dyDescent="0.2">
      <c r="A27">
        <v>22</v>
      </c>
      <c r="B27">
        <v>1360009.0362669113</v>
      </c>
      <c r="C27">
        <v>115386.00276248132</v>
      </c>
      <c r="D27">
        <v>108405.56377405768</v>
      </c>
      <c r="E27">
        <v>116783.12491590569</v>
      </c>
      <c r="F27">
        <v>44084.985571101162</v>
      </c>
      <c r="G27">
        <v>10000</v>
      </c>
      <c r="H27">
        <v>374659.67702354584</v>
      </c>
      <c r="I27">
        <v>43.936232146582071</v>
      </c>
    </row>
    <row r="28" spans="1:9" x14ac:dyDescent="0.2">
      <c r="A28">
        <v>23</v>
      </c>
      <c r="B28">
        <v>837830.36929153581</v>
      </c>
      <c r="C28">
        <v>78565.577465834518</v>
      </c>
      <c r="D28">
        <v>68906.536650380731</v>
      </c>
      <c r="E28">
        <v>54317.235081666135</v>
      </c>
      <c r="F28">
        <v>39760.42396719227</v>
      </c>
      <c r="G28">
        <v>10000</v>
      </c>
      <c r="H28">
        <v>231549.77316507368</v>
      </c>
      <c r="I28">
        <v>25.505223208203589</v>
      </c>
    </row>
    <row r="29" spans="1:9" x14ac:dyDescent="0.2">
      <c r="A29">
        <v>24</v>
      </c>
      <c r="B29">
        <v>1020555.1457436935</v>
      </c>
      <c r="C29">
        <v>91954.829178391417</v>
      </c>
      <c r="D29">
        <v>63399.680664321546</v>
      </c>
      <c r="E29">
        <v>93780.860746720136</v>
      </c>
      <c r="F29">
        <v>42492.521128619082</v>
      </c>
      <c r="G29">
        <v>10000</v>
      </c>
      <c r="H29">
        <v>281627.89171805215</v>
      </c>
      <c r="I29">
        <v>34.068429026280285</v>
      </c>
    </row>
    <row r="30" spans="1:9" x14ac:dyDescent="0.2">
      <c r="A30">
        <v>25</v>
      </c>
      <c r="B30">
        <v>1172735.9198197795</v>
      </c>
      <c r="C30">
        <v>132204.39454408351</v>
      </c>
      <c r="D30">
        <v>107951.31824959865</v>
      </c>
      <c r="E30">
        <v>53477.055811196486</v>
      </c>
      <c r="F30">
        <v>39702.257710005913</v>
      </c>
      <c r="G30">
        <v>10000</v>
      </c>
      <c r="H30">
        <v>323335.0263148846</v>
      </c>
      <c r="I30">
        <v>49.707269759007524</v>
      </c>
    </row>
    <row r="31" spans="1:9" x14ac:dyDescent="0.2">
      <c r="A31">
        <v>26</v>
      </c>
      <c r="B31">
        <v>1258288.4251845577</v>
      </c>
      <c r="C31">
        <v>102580.80952864066</v>
      </c>
      <c r="D31">
        <v>68179.865736789623</v>
      </c>
      <c r="E31">
        <v>140307.53710010336</v>
      </c>
      <c r="F31">
        <v>45713.598722314848</v>
      </c>
      <c r="G31">
        <v>10000</v>
      </c>
      <c r="H31">
        <v>346781.81108784856</v>
      </c>
      <c r="I31">
        <v>34.120897986126934</v>
      </c>
    </row>
    <row r="32" spans="1:9" x14ac:dyDescent="0.2">
      <c r="A32">
        <v>27</v>
      </c>
      <c r="B32">
        <v>1112149.1258522398</v>
      </c>
      <c r="C32">
        <v>91069.590397183434</v>
      </c>
      <c r="D32">
        <v>140632.74813685828</v>
      </c>
      <c r="E32">
        <v>45853.603039176363</v>
      </c>
      <c r="F32">
        <v>39174.480210404516</v>
      </c>
      <c r="G32">
        <v>10000</v>
      </c>
      <c r="H32">
        <v>306730.42178362259</v>
      </c>
      <c r="I32">
        <v>32.59632165151465</v>
      </c>
    </row>
    <row r="33" spans="1:9" x14ac:dyDescent="0.2">
      <c r="A33">
        <v>28</v>
      </c>
      <c r="B33">
        <v>1361001.5993212066</v>
      </c>
      <c r="C33">
        <v>136775.3411889562</v>
      </c>
      <c r="D33">
        <v>37570.83113497954</v>
      </c>
      <c r="E33">
        <v>163281.43056724773</v>
      </c>
      <c r="F33">
        <v>47304.099039270994</v>
      </c>
      <c r="G33">
        <v>10000</v>
      </c>
      <c r="H33">
        <v>374931.70193045447</v>
      </c>
      <c r="I33">
        <v>40.828122354368055</v>
      </c>
    </row>
    <row r="34" spans="1:9" x14ac:dyDescent="0.2">
      <c r="A34">
        <v>29</v>
      </c>
      <c r="B34">
        <v>1515480.1953675363</v>
      </c>
      <c r="C34">
        <v>98681.461630703809</v>
      </c>
      <c r="D34">
        <v>79684.334232021618</v>
      </c>
      <c r="E34">
        <v>199117.71621436655</v>
      </c>
      <c r="F34">
        <v>49785.072660994607</v>
      </c>
      <c r="G34">
        <v>10000</v>
      </c>
      <c r="H34">
        <v>417268.58473808656</v>
      </c>
      <c r="I34">
        <v>43.152492410337175</v>
      </c>
    </row>
    <row r="35" spans="1:9" x14ac:dyDescent="0.2">
      <c r="A35">
        <v>30</v>
      </c>
      <c r="B35">
        <v>1625097.3100985719</v>
      </c>
      <c r="C35">
        <v>144587.72098459373</v>
      </c>
      <c r="D35">
        <v>55593.553929369868</v>
      </c>
      <c r="E35">
        <v>206811.59052547693</v>
      </c>
      <c r="F35">
        <v>50317.725497917636</v>
      </c>
      <c r="G35">
        <v>10000</v>
      </c>
      <c r="H35">
        <v>447310.59093735815</v>
      </c>
      <c r="I35">
        <v>26.617449643305331</v>
      </c>
    </row>
    <row r="36" spans="1:9" x14ac:dyDescent="0.2">
      <c r="A36">
        <v>31</v>
      </c>
      <c r="B36">
        <v>1561420.9210992474</v>
      </c>
      <c r="C36">
        <v>97178.376300320975</v>
      </c>
      <c r="D36">
        <v>122029.50296006403</v>
      </c>
      <c r="E36">
        <v>172695.5194981602</v>
      </c>
      <c r="F36">
        <v>47955.843657564932</v>
      </c>
      <c r="G36">
        <v>10000</v>
      </c>
      <c r="H36">
        <v>429859.24241611012</v>
      </c>
      <c r="I36">
        <v>30.089810932536075</v>
      </c>
    </row>
    <row r="37" spans="1:9" x14ac:dyDescent="0.2">
      <c r="A37">
        <v>32</v>
      </c>
      <c r="B37">
        <v>1673353.5086054082</v>
      </c>
      <c r="C37">
        <v>110646.0189818003</v>
      </c>
      <c r="D37">
        <v>102748.71206092702</v>
      </c>
      <c r="E37">
        <v>206822.61452019314</v>
      </c>
      <c r="F37">
        <v>50318.488697551831</v>
      </c>
      <c r="G37">
        <v>10000</v>
      </c>
      <c r="H37">
        <v>460535.83426047227</v>
      </c>
      <c r="I37">
        <v>29.448578381944543</v>
      </c>
    </row>
    <row r="38" spans="1:9" x14ac:dyDescent="0.2">
      <c r="A38">
        <v>33</v>
      </c>
      <c r="B38">
        <v>1165930.8652744552</v>
      </c>
      <c r="C38">
        <v>113693.06674363851</v>
      </c>
      <c r="D38">
        <v>80256.744417091162</v>
      </c>
      <c r="E38">
        <v>94946.95040211828</v>
      </c>
      <c r="F38">
        <v>42573.250412454341</v>
      </c>
      <c r="G38">
        <v>10000</v>
      </c>
      <c r="H38">
        <v>321470.0119753023</v>
      </c>
      <c r="I38">
        <v>39.171073282012514</v>
      </c>
    </row>
    <row r="39" spans="1:9" x14ac:dyDescent="0.2">
      <c r="A39">
        <v>34</v>
      </c>
      <c r="B39">
        <v>1123529.7472021263</v>
      </c>
      <c r="C39">
        <v>156149.34595686317</v>
      </c>
      <c r="D39">
        <v>67581.313288645149</v>
      </c>
      <c r="E39">
        <v>56226.188608891163</v>
      </c>
      <c r="F39">
        <v>39892.582288307851</v>
      </c>
      <c r="G39">
        <v>10000</v>
      </c>
      <c r="H39">
        <v>309849.43014270731</v>
      </c>
      <c r="I39">
        <v>37.006544415093984</v>
      </c>
    </row>
    <row r="40" spans="1:9" x14ac:dyDescent="0.2">
      <c r="A40">
        <v>35</v>
      </c>
      <c r="B40">
        <v>1335026.9478412489</v>
      </c>
      <c r="C40">
        <v>129475.23312760699</v>
      </c>
      <c r="D40">
        <v>60392.887865390003</v>
      </c>
      <c r="E40">
        <v>142106.7292694847</v>
      </c>
      <c r="F40">
        <v>45838.158180195096</v>
      </c>
      <c r="G40">
        <v>10000</v>
      </c>
      <c r="H40">
        <v>367813.0084426768</v>
      </c>
      <c r="I40">
        <v>36.110210457333508</v>
      </c>
    </row>
    <row r="41" spans="1:9" x14ac:dyDescent="0.2">
      <c r="A41">
        <v>36</v>
      </c>
      <c r="B41">
        <v>1263954.367847759</v>
      </c>
      <c r="C41">
        <v>164445.10391132435</v>
      </c>
      <c r="D41">
        <v>70036.804051146231</v>
      </c>
      <c r="E41">
        <v>82164.422742250506</v>
      </c>
      <c r="F41">
        <v>41688.30618984811</v>
      </c>
      <c r="G41">
        <v>10000</v>
      </c>
      <c r="H41">
        <v>348334.63689456921</v>
      </c>
      <c r="I41">
        <v>52.17449010824857</v>
      </c>
    </row>
    <row r="42" spans="1:9" x14ac:dyDescent="0.2">
      <c r="A42">
        <v>37</v>
      </c>
      <c r="B42">
        <v>1393485.0392712606</v>
      </c>
      <c r="C42">
        <v>118897.12334942329</v>
      </c>
      <c r="D42">
        <v>133934.74381810217</v>
      </c>
      <c r="E42">
        <v>98203.633876937951</v>
      </c>
      <c r="F42">
        <v>42798.713114557242</v>
      </c>
      <c r="G42">
        <v>10000</v>
      </c>
      <c r="H42">
        <v>383834.21415902069</v>
      </c>
      <c r="I42">
        <v>42.706673649645651</v>
      </c>
    </row>
    <row r="43" spans="1:9" x14ac:dyDescent="0.2">
      <c r="A43">
        <v>38</v>
      </c>
      <c r="B43">
        <v>1836835.8886511209</v>
      </c>
      <c r="C43">
        <v>131920.58168063758</v>
      </c>
      <c r="D43">
        <v>171455.31052520435</v>
      </c>
      <c r="E43">
        <v>164571.04946309625</v>
      </c>
      <c r="F43">
        <v>47393.380347445127</v>
      </c>
      <c r="G43">
        <v>10000</v>
      </c>
      <c r="H43">
        <v>505340.32201638335</v>
      </c>
      <c r="I43">
        <v>38.981413136452147</v>
      </c>
    </row>
    <row r="44" spans="1:9" x14ac:dyDescent="0.2">
      <c r="A44">
        <v>39</v>
      </c>
      <c r="B44">
        <v>1423485.9122481858</v>
      </c>
      <c r="C44">
        <v>146045.42952240648</v>
      </c>
      <c r="D44">
        <v>57704.031310659273</v>
      </c>
      <c r="E44">
        <v>151797.80663478162</v>
      </c>
      <c r="F44">
        <v>46509.078920869491</v>
      </c>
      <c r="G44">
        <v>10000</v>
      </c>
      <c r="H44">
        <v>392056.34638871689</v>
      </c>
      <c r="I44">
        <v>31.858079732936464</v>
      </c>
    </row>
    <row r="45" spans="1:9" x14ac:dyDescent="0.2">
      <c r="A45">
        <v>40</v>
      </c>
      <c r="B45">
        <v>1716658.2965731141</v>
      </c>
      <c r="C45">
        <v>164314.94598543606</v>
      </c>
      <c r="D45">
        <v>137156.66348458172</v>
      </c>
      <c r="E45">
        <v>135548.35248483039</v>
      </c>
      <c r="F45">
        <v>45384.116710488255</v>
      </c>
      <c r="G45">
        <v>10000</v>
      </c>
      <c r="H45">
        <v>472404.07866533642</v>
      </c>
      <c r="I45">
        <v>29.5828477547525</v>
      </c>
    </row>
    <row r="46" spans="1:9" x14ac:dyDescent="0.2">
      <c r="A46">
        <v>41</v>
      </c>
      <c r="B46">
        <v>1210117.7037434413</v>
      </c>
      <c r="C46">
        <v>129780.02506188287</v>
      </c>
      <c r="D46">
        <v>95708.804369859252</v>
      </c>
      <c r="E46">
        <v>76775.909190866965</v>
      </c>
      <c r="F46">
        <v>41315.2552516754</v>
      </c>
      <c r="G46">
        <v>10000</v>
      </c>
      <c r="H46">
        <v>333579.9938742845</v>
      </c>
      <c r="I46">
        <v>29.338996758504731</v>
      </c>
    </row>
    <row r="47" spans="1:9" x14ac:dyDescent="0.2">
      <c r="A47">
        <v>42</v>
      </c>
      <c r="B47">
        <v>1071224.4717663869</v>
      </c>
      <c r="C47">
        <v>116651.29749738968</v>
      </c>
      <c r="D47">
        <v>92153.121586372508</v>
      </c>
      <c r="E47">
        <v>56779.197634835095</v>
      </c>
      <c r="F47">
        <v>39930.867528565504</v>
      </c>
      <c r="G47">
        <v>10000</v>
      </c>
      <c r="H47">
        <v>295514.48424716282</v>
      </c>
      <c r="I47">
        <v>43.865623716706651</v>
      </c>
    </row>
    <row r="48" spans="1:9" x14ac:dyDescent="0.2">
      <c r="A48">
        <v>43</v>
      </c>
      <c r="B48">
        <v>1579144.4904421845</v>
      </c>
      <c r="C48">
        <v>122628.45371444274</v>
      </c>
      <c r="D48">
        <v>169036.85249079121</v>
      </c>
      <c r="E48">
        <v>109472.45059158816</v>
      </c>
      <c r="F48">
        <v>43578.861964033029</v>
      </c>
      <c r="G48">
        <v>10000</v>
      </c>
      <c r="H48">
        <v>434716.61876085517</v>
      </c>
      <c r="I48">
        <v>43.357116272079409</v>
      </c>
    </row>
    <row r="49" spans="1:9" x14ac:dyDescent="0.2">
      <c r="A49">
        <v>44</v>
      </c>
      <c r="B49">
        <v>1256625.3861680417</v>
      </c>
      <c r="C49">
        <v>153797.40142079079</v>
      </c>
      <c r="D49">
        <v>70679.277342052548</v>
      </c>
      <c r="E49">
        <v>89643.281372123238</v>
      </c>
      <c r="F49">
        <v>42206.073325762372</v>
      </c>
      <c r="G49">
        <v>10000</v>
      </c>
      <c r="H49">
        <v>346326.03346072894</v>
      </c>
      <c r="I49">
        <v>46.716999165606552</v>
      </c>
    </row>
    <row r="50" spans="1:9" x14ac:dyDescent="0.2">
      <c r="A50">
        <v>45</v>
      </c>
      <c r="B50">
        <v>1768598.0209497618</v>
      </c>
      <c r="C50">
        <v>141443.78375800798</v>
      </c>
      <c r="D50">
        <v>148646.36507329129</v>
      </c>
      <c r="E50">
        <v>159505.97062977558</v>
      </c>
      <c r="F50">
        <v>47042.72104359985</v>
      </c>
      <c r="G50">
        <v>10000</v>
      </c>
      <c r="H50">
        <v>486638.84050467465</v>
      </c>
      <c r="I50">
        <v>40.432635879870276</v>
      </c>
    </row>
    <row r="51" spans="1:9" x14ac:dyDescent="0.2">
      <c r="A51">
        <v>46</v>
      </c>
      <c r="B51">
        <v>1626016.7110104635</v>
      </c>
      <c r="C51">
        <v>89357.698731149532</v>
      </c>
      <c r="D51">
        <v>155174.97975913985</v>
      </c>
      <c r="E51">
        <v>165567.51957095155</v>
      </c>
      <c r="F51">
        <v>47462.366739527417</v>
      </c>
      <c r="G51">
        <v>10000</v>
      </c>
      <c r="H51">
        <v>447562.56480076839</v>
      </c>
      <c r="I51">
        <v>44.140224014819907</v>
      </c>
    </row>
    <row r="52" spans="1:9" x14ac:dyDescent="0.2">
      <c r="A52">
        <v>47</v>
      </c>
      <c r="B52">
        <v>1471090.9353478546</v>
      </c>
      <c r="C52">
        <v>155414.14732035357</v>
      </c>
      <c r="D52">
        <v>61941.277620555527</v>
      </c>
      <c r="E52">
        <v>151274.82885384254</v>
      </c>
      <c r="F52">
        <v>46472.872766804481</v>
      </c>
      <c r="G52">
        <v>10000</v>
      </c>
      <c r="H52">
        <v>405103.12656155607</v>
      </c>
      <c r="I52">
        <v>38.004751637669791</v>
      </c>
    </row>
    <row r="53" spans="1:9" x14ac:dyDescent="0.2">
      <c r="A53">
        <v>48</v>
      </c>
      <c r="B53">
        <v>864874.05449723848</v>
      </c>
      <c r="C53">
        <v>106336.96887954215</v>
      </c>
      <c r="D53">
        <v>58561.160160609463</v>
      </c>
      <c r="E53">
        <v>44951.306763655251</v>
      </c>
      <c r="F53">
        <v>39112.013545176138</v>
      </c>
      <c r="G53">
        <v>10000</v>
      </c>
      <c r="H53">
        <v>238961.44934898298</v>
      </c>
      <c r="I53">
        <v>42.374160369928397</v>
      </c>
    </row>
    <row r="54" spans="1:9" x14ac:dyDescent="0.2">
      <c r="A54">
        <v>49</v>
      </c>
      <c r="B54">
        <v>1457663.2681382445</v>
      </c>
      <c r="C54">
        <v>87888.154598224457</v>
      </c>
      <c r="D54">
        <v>102890.9226862759</v>
      </c>
      <c r="E54">
        <v>172688.65290706867</v>
      </c>
      <c r="F54">
        <v>47955.368278181675</v>
      </c>
      <c r="G54">
        <v>10000</v>
      </c>
      <c r="H54">
        <v>401423.09846975072</v>
      </c>
      <c r="I54">
        <v>29.195334005534484</v>
      </c>
    </row>
    <row r="55" spans="1:9" x14ac:dyDescent="0.2">
      <c r="A55">
        <v>50</v>
      </c>
      <c r="B55">
        <v>1808686.7804067621</v>
      </c>
      <c r="C55">
        <v>161303.44630529871</v>
      </c>
      <c r="D55">
        <v>155238.56028944763</v>
      </c>
      <c r="E55">
        <v>145042.29398980853</v>
      </c>
      <c r="F55">
        <v>46041.389583909819</v>
      </c>
      <c r="G55">
        <v>10000</v>
      </c>
      <c r="H55">
        <v>497625.69016846473</v>
      </c>
      <c r="I55">
        <v>26.297825905524299</v>
      </c>
    </row>
    <row r="56" spans="1:9" x14ac:dyDescent="0.2">
      <c r="A56">
        <v>51</v>
      </c>
      <c r="B56">
        <v>1270625.3432997838</v>
      </c>
      <c r="C56">
        <v>102960.1473124583</v>
      </c>
      <c r="D56">
        <v>92739.229039345024</v>
      </c>
      <c r="E56">
        <v>120145.74631340547</v>
      </c>
      <c r="F56">
        <v>44317.782437081922</v>
      </c>
      <c r="G56">
        <v>10000</v>
      </c>
      <c r="H56">
        <v>350162.90510229068</v>
      </c>
      <c r="I56">
        <v>40.498795551781996</v>
      </c>
    </row>
    <row r="57" spans="1:9" x14ac:dyDescent="0.2">
      <c r="A57">
        <v>52</v>
      </c>
      <c r="B57">
        <v>956600.70978603198</v>
      </c>
      <c r="C57">
        <v>103278.95978299648</v>
      </c>
      <c r="D57">
        <v>55409.958495479412</v>
      </c>
      <c r="E57">
        <v>74269.675726135858</v>
      </c>
      <c r="F57">
        <v>41141.746781040179</v>
      </c>
      <c r="G57">
        <v>10000</v>
      </c>
      <c r="H57">
        <v>264100.34078565188</v>
      </c>
      <c r="I57">
        <v>24.027169909450656</v>
      </c>
    </row>
    <row r="58" spans="1:9" x14ac:dyDescent="0.2">
      <c r="A58">
        <v>53</v>
      </c>
      <c r="B58">
        <v>1359676.1139554242</v>
      </c>
      <c r="C58">
        <v>121569.93348339776</v>
      </c>
      <c r="D58">
        <v>119388.30226082099</v>
      </c>
      <c r="E58">
        <v>100642.63268090664</v>
      </c>
      <c r="F58">
        <v>42967.566877908917</v>
      </c>
      <c r="G58">
        <v>10000</v>
      </c>
      <c r="H58">
        <v>374568.43530303426</v>
      </c>
      <c r="I58">
        <v>33.456620464125685</v>
      </c>
    </row>
    <row r="59" spans="1:9" x14ac:dyDescent="0.2">
      <c r="A59">
        <v>54</v>
      </c>
      <c r="B59">
        <v>1152362.6325781427</v>
      </c>
      <c r="C59">
        <v>94548.67948697129</v>
      </c>
      <c r="D59">
        <v>121629.34559565532</v>
      </c>
      <c r="E59">
        <v>70680.190995906087</v>
      </c>
      <c r="F59">
        <v>40893.243992024269</v>
      </c>
      <c r="G59">
        <v>10000</v>
      </c>
      <c r="H59">
        <v>317751.46007055696</v>
      </c>
      <c r="I59">
        <v>24.828170111079537</v>
      </c>
    </row>
    <row r="60" spans="1:9" x14ac:dyDescent="0.2">
      <c r="A60">
        <v>55</v>
      </c>
      <c r="B60">
        <v>1132652.5672581173</v>
      </c>
      <c r="C60">
        <v>153234.0567373313</v>
      </c>
      <c r="D60">
        <v>53318.766088800214</v>
      </c>
      <c r="E60">
        <v>74630.134066254715</v>
      </c>
      <c r="F60">
        <v>41166.701589202254</v>
      </c>
      <c r="G60">
        <v>10000</v>
      </c>
      <c r="H60">
        <v>312349.65848158847</v>
      </c>
      <c r="I60">
        <v>38.871884449593708</v>
      </c>
    </row>
    <row r="61" spans="1:9" x14ac:dyDescent="0.2">
      <c r="A61">
        <v>56</v>
      </c>
      <c r="B61">
        <v>1229234.568271863</v>
      </c>
      <c r="C61">
        <v>152085.36969077619</v>
      </c>
      <c r="D61">
        <v>58070.328505279314</v>
      </c>
      <c r="E61">
        <v>96016.244363789985</v>
      </c>
      <c r="F61">
        <v>42647.278455954693</v>
      </c>
      <c r="G61">
        <v>10000</v>
      </c>
      <c r="H61">
        <v>338819.2210158002</v>
      </c>
      <c r="I61">
        <v>47.710119634126244</v>
      </c>
    </row>
    <row r="62" spans="1:9" x14ac:dyDescent="0.2">
      <c r="A62">
        <v>57</v>
      </c>
      <c r="B62">
        <v>1100072.9784646668</v>
      </c>
      <c r="C62">
        <v>139131.00275958376</v>
      </c>
      <c r="D62">
        <v>103949.96707421141</v>
      </c>
      <c r="E62">
        <v>32116.38362588171</v>
      </c>
      <c r="F62">
        <v>38223.441943330276</v>
      </c>
      <c r="G62">
        <v>10000</v>
      </c>
      <c r="H62">
        <v>303420.79540300713</v>
      </c>
      <c r="I62">
        <v>30.321088877649828</v>
      </c>
    </row>
    <row r="63" spans="1:9" x14ac:dyDescent="0.2">
      <c r="A63">
        <v>58</v>
      </c>
      <c r="B63">
        <v>1090095.0558841724</v>
      </c>
      <c r="C63">
        <v>104456.27911004379</v>
      </c>
      <c r="D63">
        <v>48845.175885713332</v>
      </c>
      <c r="E63">
        <v>113525.31512688629</v>
      </c>
      <c r="F63">
        <v>43859.444893399821</v>
      </c>
      <c r="G63">
        <v>10000</v>
      </c>
      <c r="H63">
        <v>300686.21501604322</v>
      </c>
      <c r="I63">
        <v>38.788118116434468</v>
      </c>
    </row>
    <row r="64" spans="1:9" x14ac:dyDescent="0.2">
      <c r="A64">
        <v>59</v>
      </c>
      <c r="B64">
        <v>1579821.5203332552</v>
      </c>
      <c r="C64">
        <v>124730.70480967243</v>
      </c>
      <c r="D64">
        <v>64503.248726438556</v>
      </c>
      <c r="E64">
        <v>205445.09235648258</v>
      </c>
      <c r="F64">
        <v>50223.121778525718</v>
      </c>
      <c r="G64">
        <v>10000</v>
      </c>
      <c r="H64">
        <v>434902.16767111927</v>
      </c>
      <c r="I64">
        <v>35.842070785337981</v>
      </c>
    </row>
    <row r="65" spans="1:9" x14ac:dyDescent="0.2">
      <c r="A65">
        <v>60</v>
      </c>
      <c r="B65">
        <v>1233477.7517743027</v>
      </c>
      <c r="C65">
        <v>83864.935506107402</v>
      </c>
      <c r="D65">
        <v>84645.003850518988</v>
      </c>
      <c r="E65">
        <v>136053.11955752829</v>
      </c>
      <c r="F65">
        <v>45419.062123213494</v>
      </c>
      <c r="G65">
        <v>10000</v>
      </c>
      <c r="H65">
        <v>339982.12103736814</v>
      </c>
      <c r="I65">
        <v>35.873493034014835</v>
      </c>
    </row>
    <row r="66" spans="1:9" x14ac:dyDescent="0.2">
      <c r="A66">
        <v>61</v>
      </c>
      <c r="B66">
        <v>1001778.8838501386</v>
      </c>
      <c r="C66">
        <v>79706.126765140914</v>
      </c>
      <c r="D66">
        <v>111902.73582159428</v>
      </c>
      <c r="E66">
        <v>55061.218118420409</v>
      </c>
      <c r="F66">
        <v>39811.930485121411</v>
      </c>
      <c r="G66">
        <v>10000</v>
      </c>
      <c r="H66">
        <v>276482.01119027706</v>
      </c>
      <c r="I66">
        <v>31.35279852696619</v>
      </c>
    </row>
    <row r="67" spans="1:9" x14ac:dyDescent="0.2">
      <c r="A67">
        <v>62</v>
      </c>
      <c r="B67">
        <v>1318070.3156302779</v>
      </c>
      <c r="C67">
        <v>133715.4871771516</v>
      </c>
      <c r="D67">
        <v>58539.173105540234</v>
      </c>
      <c r="E67">
        <v>135528.42394055467</v>
      </c>
      <c r="F67">
        <v>45382.737042038403</v>
      </c>
      <c r="G67">
        <v>10000</v>
      </c>
      <c r="H67">
        <v>363165.8212652849</v>
      </c>
      <c r="I67">
        <v>29.216635780754412</v>
      </c>
    </row>
    <row r="68" spans="1:9" x14ac:dyDescent="0.2">
      <c r="A68">
        <v>63</v>
      </c>
      <c r="B68">
        <v>1222026.8239925662</v>
      </c>
      <c r="C68">
        <v>96132.476236331495</v>
      </c>
      <c r="D68">
        <v>134113.79782459402</v>
      </c>
      <c r="E68">
        <v>75379.022506739464</v>
      </c>
      <c r="F68">
        <v>41218.547712005042</v>
      </c>
      <c r="G68">
        <v>10000</v>
      </c>
      <c r="H68">
        <v>336843.84427967004</v>
      </c>
      <c r="I68">
        <v>38.052227678045938</v>
      </c>
    </row>
    <row r="69" spans="1:9" x14ac:dyDescent="0.2">
      <c r="A69">
        <v>64</v>
      </c>
      <c r="B69">
        <v>912685.49622687208</v>
      </c>
      <c r="C69">
        <v>151550.4157883086</v>
      </c>
      <c r="D69">
        <v>36335.50653470066</v>
      </c>
      <c r="E69">
        <v>35706.86518473531</v>
      </c>
      <c r="F69">
        <v>38472.013743558593</v>
      </c>
      <c r="G69">
        <v>10000</v>
      </c>
      <c r="H69">
        <v>252064.80125130317</v>
      </c>
      <c r="I69">
        <v>38.626755772080585</v>
      </c>
    </row>
    <row r="70" spans="1:9" x14ac:dyDescent="0.2">
      <c r="A70">
        <v>65</v>
      </c>
      <c r="B70">
        <v>1275274.8427766091</v>
      </c>
      <c r="C70">
        <v>87770.693893338452</v>
      </c>
      <c r="D70">
        <v>75526.343127525208</v>
      </c>
      <c r="E70">
        <v>151641.8428875526</v>
      </c>
      <c r="F70">
        <v>46498.281430676718</v>
      </c>
      <c r="G70">
        <v>10000</v>
      </c>
      <c r="H70">
        <v>351437.161339093</v>
      </c>
      <c r="I70">
        <v>29.02758442248733</v>
      </c>
    </row>
    <row r="71" spans="1:9" x14ac:dyDescent="0.2">
      <c r="A71">
        <v>66</v>
      </c>
      <c r="B71">
        <v>1393152.4843315172</v>
      </c>
      <c r="C71">
        <v>76086.236316720097</v>
      </c>
      <c r="D71">
        <v>95100.723911179433</v>
      </c>
      <c r="E71">
        <v>174476.94011636171</v>
      </c>
      <c r="F71">
        <v>48079.172777286585</v>
      </c>
      <c r="G71">
        <v>10000</v>
      </c>
      <c r="H71">
        <v>383743.07312154782</v>
      </c>
      <c r="I71">
        <v>41.428638640835842</v>
      </c>
    </row>
    <row r="72" spans="1:9" x14ac:dyDescent="0.2">
      <c r="A72">
        <v>67</v>
      </c>
      <c r="B72">
        <v>1404527.1234224536</v>
      </c>
      <c r="C72">
        <v>116499.16398755492</v>
      </c>
      <c r="D72">
        <v>68396.717516454024</v>
      </c>
      <c r="E72">
        <v>164571.17165341979</v>
      </c>
      <c r="F72">
        <v>47393.38880677522</v>
      </c>
      <c r="G72">
        <v>10000</v>
      </c>
      <c r="H72">
        <v>386860.44196420396</v>
      </c>
      <c r="I72">
        <v>30.353406894443037</v>
      </c>
    </row>
    <row r="73" spans="1:9" x14ac:dyDescent="0.2">
      <c r="A73">
        <v>68</v>
      </c>
      <c r="B73">
        <v>1795789.3991025381</v>
      </c>
      <c r="C73">
        <v>121821.94744142824</v>
      </c>
      <c r="D73">
        <v>152435.14986361892</v>
      </c>
      <c r="E73">
        <v>181283.50038954176</v>
      </c>
      <c r="F73">
        <v>48550.39618081443</v>
      </c>
      <c r="G73">
        <v>10000</v>
      </c>
      <c r="H73">
        <v>494090.99387540336</v>
      </c>
      <c r="I73">
        <v>28.950250747922965</v>
      </c>
    </row>
    <row r="74" spans="1:9" x14ac:dyDescent="0.2">
      <c r="A74">
        <v>69</v>
      </c>
      <c r="B74">
        <v>1194792.9278291874</v>
      </c>
      <c r="C74">
        <v>92485.204377589558</v>
      </c>
      <c r="D74">
        <v>28534.386001803465</v>
      </c>
      <c r="E74">
        <v>170552.93689591545</v>
      </c>
      <c r="F74">
        <v>47807.511015871074</v>
      </c>
      <c r="G74">
        <v>10000</v>
      </c>
      <c r="H74">
        <v>329380.03829117958</v>
      </c>
      <c r="I74">
        <v>34.859739636779025</v>
      </c>
    </row>
    <row r="75" spans="1:9" x14ac:dyDescent="0.2">
      <c r="A75">
        <v>70</v>
      </c>
      <c r="B75">
        <v>1454657.9078967418</v>
      </c>
      <c r="C75">
        <v>88066.586573177294</v>
      </c>
      <c r="D75">
        <v>76788.140528768054</v>
      </c>
      <c r="E75">
        <v>196164.1200958032</v>
      </c>
      <c r="F75">
        <v>49580.592929709455</v>
      </c>
      <c r="G75">
        <v>10000</v>
      </c>
      <c r="H75">
        <v>400599.44012745802</v>
      </c>
      <c r="I75">
        <v>25.817295757921496</v>
      </c>
    </row>
    <row r="76" spans="1:9" x14ac:dyDescent="0.2">
      <c r="A76">
        <v>71</v>
      </c>
      <c r="B76">
        <v>1464068.7767928175</v>
      </c>
      <c r="C76">
        <v>137425.43626333046</v>
      </c>
      <c r="D76">
        <v>69258.684671491923</v>
      </c>
      <c r="E76">
        <v>159455.27943611043</v>
      </c>
      <c r="F76">
        <v>47039.211653269187</v>
      </c>
      <c r="G76">
        <v>10000</v>
      </c>
      <c r="H76">
        <v>403178.61202420195</v>
      </c>
      <c r="I76">
        <v>50.113333688396558</v>
      </c>
    </row>
    <row r="77" spans="1:9" x14ac:dyDescent="0.2">
      <c r="A77">
        <v>72</v>
      </c>
      <c r="B77">
        <v>971123.22536611813</v>
      </c>
      <c r="C77">
        <v>159746.33248757845</v>
      </c>
      <c r="D77">
        <v>37438.327912563487</v>
      </c>
      <c r="E77">
        <v>41988.845913299214</v>
      </c>
      <c r="F77">
        <v>38906.920101689946</v>
      </c>
      <c r="G77">
        <v>10000</v>
      </c>
      <c r="H77">
        <v>268080.42641513108</v>
      </c>
      <c r="I77">
        <v>47.941199200085364</v>
      </c>
    </row>
    <row r="78" spans="1:9" x14ac:dyDescent="0.2">
      <c r="A78">
        <v>73</v>
      </c>
      <c r="B78">
        <v>893196.09517678025</v>
      </c>
      <c r="C78">
        <v>84608.715146468137</v>
      </c>
      <c r="D78">
        <v>90677.317823028847</v>
      </c>
      <c r="E78">
        <v>42495.449938509337</v>
      </c>
      <c r="F78">
        <v>38941.992688050646</v>
      </c>
      <c r="G78">
        <v>10000</v>
      </c>
      <c r="H78">
        <v>246723.47559605693</v>
      </c>
      <c r="I78">
        <v>29.798272674062098</v>
      </c>
    </row>
    <row r="79" spans="1:9" x14ac:dyDescent="0.2">
      <c r="A79">
        <v>74</v>
      </c>
      <c r="B79">
        <v>1220640.123297639</v>
      </c>
      <c r="C79">
        <v>109138.09017373771</v>
      </c>
      <c r="D79">
        <v>112287.64929453009</v>
      </c>
      <c r="E79">
        <v>83273.006991005546</v>
      </c>
      <c r="F79">
        <v>41765.054330146537</v>
      </c>
      <c r="G79">
        <v>10000</v>
      </c>
      <c r="H79">
        <v>336463.80078941985</v>
      </c>
      <c r="I79">
        <v>43.517114108804307</v>
      </c>
    </row>
    <row r="80" spans="1:9" x14ac:dyDescent="0.2">
      <c r="A80">
        <v>75</v>
      </c>
      <c r="B80">
        <v>1506576.3996988593</v>
      </c>
      <c r="C80">
        <v>103309.14817216502</v>
      </c>
      <c r="D80">
        <v>89432.277083321038</v>
      </c>
      <c r="E80">
        <v>183390.67981292593</v>
      </c>
      <c r="F80">
        <v>48696.277833202563</v>
      </c>
      <c r="G80">
        <v>10000</v>
      </c>
      <c r="H80">
        <v>414828.38290161453</v>
      </c>
      <c r="I80">
        <v>34.522083026886321</v>
      </c>
    </row>
    <row r="81" spans="1:9" x14ac:dyDescent="0.2">
      <c r="A81">
        <v>76</v>
      </c>
      <c r="B81">
        <v>1617442.5193924422</v>
      </c>
      <c r="C81">
        <v>109795.44706369772</v>
      </c>
      <c r="D81">
        <v>134369.97640001882</v>
      </c>
      <c r="E81">
        <v>163713.27579188254</v>
      </c>
      <c r="F81">
        <v>47333.996016361103</v>
      </c>
      <c r="G81">
        <v>10000</v>
      </c>
      <c r="H81">
        <v>445212.69527196017</v>
      </c>
      <c r="I81">
        <v>39.919311232402293</v>
      </c>
    </row>
    <row r="82" spans="1:9" x14ac:dyDescent="0.2">
      <c r="A82">
        <v>77</v>
      </c>
      <c r="B82">
        <v>1782470.1083525307</v>
      </c>
      <c r="C82">
        <v>130280.71147247939</v>
      </c>
      <c r="D82">
        <v>123779.83405393436</v>
      </c>
      <c r="E82">
        <v>196758.38771170657</v>
      </c>
      <c r="F82">
        <v>49621.734533887378</v>
      </c>
      <c r="G82">
        <v>10000</v>
      </c>
      <c r="H82">
        <v>490440.6677720077</v>
      </c>
      <c r="I82">
        <v>50.529772868544796</v>
      </c>
    </row>
    <row r="83" spans="1:9" x14ac:dyDescent="0.2">
      <c r="A83">
        <v>78</v>
      </c>
      <c r="B83">
        <v>1424902.4634491955</v>
      </c>
      <c r="C83">
        <v>94856.330525525322</v>
      </c>
      <c r="D83">
        <v>72093.664698216337</v>
      </c>
      <c r="E83">
        <v>186577.66061199235</v>
      </c>
      <c r="F83">
        <v>48916.914965445627</v>
      </c>
      <c r="G83">
        <v>10000</v>
      </c>
      <c r="H83">
        <v>392444.57080117962</v>
      </c>
      <c r="I83">
        <v>47.53972227997486</v>
      </c>
    </row>
    <row r="84" spans="1:9" x14ac:dyDescent="0.2">
      <c r="A84">
        <v>79</v>
      </c>
      <c r="B84">
        <v>1040489.4183642183</v>
      </c>
      <c r="C84">
        <v>103984.22920046587</v>
      </c>
      <c r="D84">
        <v>69219.915489615669</v>
      </c>
      <c r="E84">
        <v>82196.470671927294</v>
      </c>
      <c r="F84">
        <v>41690.524892671892</v>
      </c>
      <c r="G84">
        <v>10000</v>
      </c>
      <c r="H84">
        <v>287091.14025468071</v>
      </c>
      <c r="I84">
        <v>36.805492095434374</v>
      </c>
    </row>
    <row r="85" spans="1:9" x14ac:dyDescent="0.2">
      <c r="A85">
        <v>80</v>
      </c>
      <c r="B85">
        <v>1156336.1826179274</v>
      </c>
      <c r="C85">
        <v>92674.931534437739</v>
      </c>
      <c r="D85">
        <v>69637.242400119736</v>
      </c>
      <c r="E85">
        <v>122076.81758823978</v>
      </c>
      <c r="F85">
        <v>44451.471986878139</v>
      </c>
      <c r="G85">
        <v>10000</v>
      </c>
      <c r="H85">
        <v>318840.46350967541</v>
      </c>
      <c r="I85">
        <v>31.067924487524511</v>
      </c>
    </row>
    <row r="86" spans="1:9" x14ac:dyDescent="0.2">
      <c r="A86">
        <v>81</v>
      </c>
      <c r="B86">
        <v>1574469.8573097801</v>
      </c>
      <c r="C86">
        <v>151367.05319930281</v>
      </c>
      <c r="D86">
        <v>76960.507342195458</v>
      </c>
      <c r="E86">
        <v>167510.99849461357</v>
      </c>
      <c r="F86">
        <v>47596.91528039633</v>
      </c>
      <c r="G86">
        <v>10000</v>
      </c>
      <c r="H86">
        <v>433435.47431650816</v>
      </c>
      <c r="I86">
        <v>28.349835954887389</v>
      </c>
    </row>
    <row r="87" spans="1:9" x14ac:dyDescent="0.2">
      <c r="A87">
        <v>82</v>
      </c>
      <c r="B87">
        <v>1325331.2827149301</v>
      </c>
      <c r="C87">
        <v>101677.01511074067</v>
      </c>
      <c r="D87">
        <v>55580.417736386757</v>
      </c>
      <c r="E87">
        <v>170120.76045299263</v>
      </c>
      <c r="F87">
        <v>47777.591108284105</v>
      </c>
      <c r="G87">
        <v>10000</v>
      </c>
      <c r="H87">
        <v>365155.78440840414</v>
      </c>
      <c r="I87">
        <v>34.126392006402092</v>
      </c>
    </row>
    <row r="88" spans="1:9" x14ac:dyDescent="0.2">
      <c r="A88">
        <v>83</v>
      </c>
      <c r="B88">
        <v>1383918.4251432971</v>
      </c>
      <c r="C88">
        <v>135545.44698554371</v>
      </c>
      <c r="D88">
        <v>126067.95346567756</v>
      </c>
      <c r="E88">
        <v>87538.593616643528</v>
      </c>
      <c r="F88">
        <v>42060.364173459937</v>
      </c>
      <c r="G88">
        <v>10000</v>
      </c>
      <c r="H88">
        <v>381212.35824132472</v>
      </c>
      <c r="I88">
        <v>32.618173467652539</v>
      </c>
    </row>
    <row r="89" spans="1:9" x14ac:dyDescent="0.2">
      <c r="A89">
        <v>84</v>
      </c>
      <c r="B89">
        <v>1373365.7459070173</v>
      </c>
      <c r="C89">
        <v>136306.35164238585</v>
      </c>
      <c r="D89">
        <v>32084.387703123026</v>
      </c>
      <c r="E89">
        <v>172020.41337694461</v>
      </c>
      <c r="F89">
        <v>47909.105541480778</v>
      </c>
      <c r="G89">
        <v>10000</v>
      </c>
      <c r="H89">
        <v>378320.25826393423</v>
      </c>
      <c r="I89">
        <v>29.135778423370446</v>
      </c>
    </row>
    <row r="90" spans="1:9" x14ac:dyDescent="0.2">
      <c r="A90">
        <v>85</v>
      </c>
      <c r="B90">
        <v>1494653.7602675124</v>
      </c>
      <c r="C90">
        <v>106945.55467493559</v>
      </c>
      <c r="D90">
        <v>104585.68006330186</v>
      </c>
      <c r="E90">
        <v>162761.48952785277</v>
      </c>
      <c r="F90">
        <v>47268.103121159031</v>
      </c>
      <c r="G90">
        <v>10000</v>
      </c>
      <c r="H90">
        <v>411560.82738724921</v>
      </c>
      <c r="I90">
        <v>28.752345479249037</v>
      </c>
    </row>
    <row r="91" spans="1:9" x14ac:dyDescent="0.2">
      <c r="A91">
        <v>86</v>
      </c>
      <c r="B91">
        <v>1088155.7426668894</v>
      </c>
      <c r="C91">
        <v>101259.47712764458</v>
      </c>
      <c r="D91">
        <v>101641.26577584118</v>
      </c>
      <c r="E91">
        <v>66640.411005924863</v>
      </c>
      <c r="F91">
        <v>40613.5669157948</v>
      </c>
      <c r="G91">
        <v>10000</v>
      </c>
      <c r="H91">
        <v>300154.72082520544</v>
      </c>
      <c r="I91">
        <v>44.60426439264846</v>
      </c>
    </row>
    <row r="92" spans="1:9" x14ac:dyDescent="0.2">
      <c r="A92">
        <v>87</v>
      </c>
      <c r="B92">
        <v>1502010.9704030773</v>
      </c>
      <c r="C92">
        <v>105435.58401060359</v>
      </c>
      <c r="D92">
        <v>107997.74620170578</v>
      </c>
      <c r="E92">
        <v>162868.3367503176</v>
      </c>
      <c r="F92">
        <v>47275.500236560452</v>
      </c>
      <c r="G92">
        <v>10000</v>
      </c>
      <c r="H92">
        <v>413577.16719918745</v>
      </c>
      <c r="I92">
        <v>34.043692081367269</v>
      </c>
    </row>
    <row r="93" spans="1:9" x14ac:dyDescent="0.2">
      <c r="A93">
        <v>88</v>
      </c>
      <c r="B93">
        <v>1263677.8018643328</v>
      </c>
      <c r="C93">
        <v>103199.6231584075</v>
      </c>
      <c r="D93">
        <v>82900.720084739674</v>
      </c>
      <c r="E93">
        <v>127342.4793216525</v>
      </c>
      <c r="F93">
        <v>44816.01779919133</v>
      </c>
      <c r="G93">
        <v>10000</v>
      </c>
      <c r="H93">
        <v>348258.84036399104</v>
      </c>
      <c r="I93">
        <v>31.799850162546758</v>
      </c>
    </row>
    <row r="94" spans="1:9" x14ac:dyDescent="0.2">
      <c r="A94">
        <v>89</v>
      </c>
      <c r="B94">
        <v>1448308.3510608175</v>
      </c>
      <c r="C94">
        <v>121622.53390718644</v>
      </c>
      <c r="D94">
        <v>136734.10271272587</v>
      </c>
      <c r="E94">
        <v>107088.78529964181</v>
      </c>
      <c r="F94">
        <v>43413.83898228289</v>
      </c>
      <c r="G94">
        <v>10000</v>
      </c>
      <c r="H94">
        <v>398859.26090183703</v>
      </c>
      <c r="I94">
        <v>36.157783787973756</v>
      </c>
    </row>
    <row r="95" spans="1:9" x14ac:dyDescent="0.2">
      <c r="A95">
        <v>90</v>
      </c>
      <c r="B95">
        <v>1272332.8291274172</v>
      </c>
      <c r="C95">
        <v>76272.315693361408</v>
      </c>
      <c r="D95">
        <v>92068.282265858245</v>
      </c>
      <c r="E95">
        <v>146170.7523750354</v>
      </c>
      <c r="F95">
        <v>46119.513625963991</v>
      </c>
      <c r="G95">
        <v>10000</v>
      </c>
      <c r="H95">
        <v>350630.86396021902</v>
      </c>
      <c r="I95">
        <v>31.625731288208776</v>
      </c>
    </row>
    <row r="96" spans="1:9" x14ac:dyDescent="0.2">
      <c r="A96">
        <v>91</v>
      </c>
      <c r="B96">
        <v>1588439.5799034585</v>
      </c>
      <c r="C96">
        <v>114018.51549114528</v>
      </c>
      <c r="D96">
        <v>151390.80691739975</v>
      </c>
      <c r="E96">
        <v>136410.90546173559</v>
      </c>
      <c r="F96">
        <v>45443.831916581694</v>
      </c>
      <c r="G96">
        <v>10000</v>
      </c>
      <c r="H96">
        <v>437264.05978686234</v>
      </c>
      <c r="I96">
        <v>32.300969261440351</v>
      </c>
    </row>
    <row r="97" spans="1:9" x14ac:dyDescent="0.2">
      <c r="A97">
        <v>92</v>
      </c>
      <c r="B97">
        <v>1268341.7815435654</v>
      </c>
      <c r="C97">
        <v>136244.18239736292</v>
      </c>
      <c r="D97">
        <v>71418.334081530833</v>
      </c>
      <c r="E97">
        <v>108371.8799959459</v>
      </c>
      <c r="F97">
        <v>43502.668615103947</v>
      </c>
      <c r="G97">
        <v>10000</v>
      </c>
      <c r="H97">
        <v>349537.06508994359</v>
      </c>
      <c r="I97">
        <v>33.796421225125258</v>
      </c>
    </row>
    <row r="98" spans="1:9" x14ac:dyDescent="0.2">
      <c r="A98">
        <v>93</v>
      </c>
      <c r="B98">
        <v>1050203.7208295052</v>
      </c>
      <c r="C98">
        <v>114501.44441001229</v>
      </c>
      <c r="D98">
        <v>79656.865054590278</v>
      </c>
      <c r="E98">
        <v>65089.001022014643</v>
      </c>
      <c r="F98">
        <v>40506.161609216404</v>
      </c>
      <c r="G98">
        <v>10000</v>
      </c>
      <c r="H98">
        <v>289753.47209583363</v>
      </c>
      <c r="I98">
        <v>31.136267629525655</v>
      </c>
    </row>
    <row r="99" spans="1:9" x14ac:dyDescent="0.2">
      <c r="A99">
        <v>94</v>
      </c>
      <c r="B99">
        <v>1715189.8288217881</v>
      </c>
      <c r="C99">
        <v>103202.2654903106</v>
      </c>
      <c r="D99">
        <v>151276.95002371998</v>
      </c>
      <c r="E99">
        <v>179121.67872417701</v>
      </c>
      <c r="F99">
        <v>48400.731603981483</v>
      </c>
      <c r="G99">
        <v>10000</v>
      </c>
      <c r="H99">
        <v>472001.62584218907</v>
      </c>
      <c r="I99">
        <v>36.630760163455612</v>
      </c>
    </row>
    <row r="100" spans="1:9" x14ac:dyDescent="0.2">
      <c r="A100">
        <v>95</v>
      </c>
      <c r="B100">
        <v>1479535.6256870676</v>
      </c>
      <c r="C100">
        <v>136723.12499521032</v>
      </c>
      <c r="D100">
        <v>144254.25657209413</v>
      </c>
      <c r="E100">
        <v>93936.805684600433</v>
      </c>
      <c r="F100">
        <v>42503.317316626184</v>
      </c>
      <c r="G100">
        <v>10000</v>
      </c>
      <c r="H100">
        <v>407417.50456853112</v>
      </c>
      <c r="I100">
        <v>53.718491850436422</v>
      </c>
    </row>
    <row r="101" spans="1:9" x14ac:dyDescent="0.2">
      <c r="A101">
        <v>96</v>
      </c>
      <c r="B101">
        <v>1807434.2431176309</v>
      </c>
      <c r="C101">
        <v>147588.18105288132</v>
      </c>
      <c r="D101">
        <v>101317.39187094491</v>
      </c>
      <c r="E101">
        <v>207978.34236773461</v>
      </c>
      <c r="F101">
        <v>50398.500625458546</v>
      </c>
      <c r="G101">
        <v>10000</v>
      </c>
      <c r="H101">
        <v>497282.41591701936</v>
      </c>
      <c r="I101">
        <v>38.131710725014415</v>
      </c>
    </row>
    <row r="102" spans="1:9" x14ac:dyDescent="0.2">
      <c r="A102">
        <v>97</v>
      </c>
      <c r="B102">
        <v>1189203.8411125492</v>
      </c>
      <c r="C102">
        <v>119834.26044604948</v>
      </c>
      <c r="D102">
        <v>47545.23533652231</v>
      </c>
      <c r="E102">
        <v>125762.16842089371</v>
      </c>
      <c r="F102">
        <v>44706.611659908027</v>
      </c>
      <c r="G102">
        <v>10000</v>
      </c>
      <c r="H102">
        <v>327848.27586337354</v>
      </c>
      <c r="I102">
        <v>37.089480322162132</v>
      </c>
    </row>
    <row r="103" spans="1:9" x14ac:dyDescent="0.2">
      <c r="A103">
        <v>98</v>
      </c>
      <c r="B103">
        <v>1176773.0969584081</v>
      </c>
      <c r="C103">
        <v>131881.19049898765</v>
      </c>
      <c r="D103">
        <v>41896.486452818637</v>
      </c>
      <c r="E103">
        <v>116592.03441347959</v>
      </c>
      <c r="F103">
        <v>44071.756228625512</v>
      </c>
      <c r="G103">
        <v>10000</v>
      </c>
      <c r="H103">
        <v>324441.46759391145</v>
      </c>
      <c r="I103">
        <v>45.292999396430488</v>
      </c>
    </row>
    <row r="104" spans="1:9" x14ac:dyDescent="0.2">
      <c r="A104">
        <v>99</v>
      </c>
      <c r="B104">
        <v>1329108.3847565043</v>
      </c>
      <c r="C104">
        <v>92760.191679364842</v>
      </c>
      <c r="D104">
        <v>68800.409761778414</v>
      </c>
      <c r="E104">
        <v>167064.35355171259</v>
      </c>
      <c r="F104">
        <v>47565.993707426256</v>
      </c>
      <c r="G104">
        <v>10000</v>
      </c>
      <c r="H104">
        <v>366190.94870028208</v>
      </c>
      <c r="I104">
        <v>38.360538048852042</v>
      </c>
    </row>
    <row r="105" spans="1:9" x14ac:dyDescent="0.2">
      <c r="A105">
        <v>100</v>
      </c>
      <c r="B105">
        <v>1336015.8066744001</v>
      </c>
      <c r="C105">
        <v>93592.234418300461</v>
      </c>
      <c r="D105">
        <v>62575.50169268802</v>
      </c>
      <c r="E105">
        <v>173878.53716744651</v>
      </c>
      <c r="F105">
        <v>48037.744880823222</v>
      </c>
      <c r="G105">
        <v>10000</v>
      </c>
      <c r="H105">
        <v>368084.01815925824</v>
      </c>
      <c r="I105">
        <v>48.264856639217527</v>
      </c>
    </row>
    <row r="106" spans="1:9" x14ac:dyDescent="0.2">
      <c r="A106">
        <v>101</v>
      </c>
      <c r="B106">
        <v>1126999.3792727792</v>
      </c>
      <c r="C106">
        <v>142748.58071560142</v>
      </c>
      <c r="D106">
        <v>101491.93642863393</v>
      </c>
      <c r="E106">
        <v>37933.63629664154</v>
      </c>
      <c r="F106">
        <v>38626.174820536718</v>
      </c>
      <c r="G106">
        <v>10000</v>
      </c>
      <c r="H106">
        <v>310800.32826141361</v>
      </c>
      <c r="I106">
        <v>34.782825053419501</v>
      </c>
    </row>
    <row r="107" spans="1:9" x14ac:dyDescent="0.2">
      <c r="A107">
        <v>102</v>
      </c>
      <c r="B107">
        <v>1281519.9308651979</v>
      </c>
      <c r="C107">
        <v>148786.63808524108</v>
      </c>
      <c r="D107">
        <v>117371.09517965659</v>
      </c>
      <c r="E107">
        <v>57041.920253585879</v>
      </c>
      <c r="F107">
        <v>39949.056017555944</v>
      </c>
      <c r="G107">
        <v>10000</v>
      </c>
      <c r="H107">
        <v>353148.70953603945</v>
      </c>
      <c r="I107">
        <v>44.851481640576495</v>
      </c>
    </row>
    <row r="108" spans="1:9" x14ac:dyDescent="0.2">
      <c r="A108">
        <v>103</v>
      </c>
      <c r="B108">
        <v>1294221.1471811379</v>
      </c>
      <c r="C108">
        <v>89737.856743794109</v>
      </c>
      <c r="D108">
        <v>136052.94462611657</v>
      </c>
      <c r="E108">
        <v>98050.716357471552</v>
      </c>
      <c r="F108">
        <v>42788.126517055724</v>
      </c>
      <c r="G108">
        <v>10000</v>
      </c>
      <c r="H108">
        <v>356629.64424443798</v>
      </c>
      <c r="I108">
        <v>55.465589214340845</v>
      </c>
    </row>
    <row r="109" spans="1:9" x14ac:dyDescent="0.2">
      <c r="A109">
        <v>104</v>
      </c>
      <c r="B109">
        <v>1170859.6399351368</v>
      </c>
      <c r="C109">
        <v>102450.52501861668</v>
      </c>
      <c r="D109">
        <v>66243.433016032388</v>
      </c>
      <c r="E109">
        <v>119830.86615817997</v>
      </c>
      <c r="F109">
        <v>44295.983041720159</v>
      </c>
      <c r="G109">
        <v>10000</v>
      </c>
      <c r="H109">
        <v>322820.80723454925</v>
      </c>
      <c r="I109">
        <v>32.632821988649212</v>
      </c>
    </row>
    <row r="110" spans="1:9" x14ac:dyDescent="0.2">
      <c r="A110">
        <v>105</v>
      </c>
      <c r="B110">
        <v>1219156.2054729355</v>
      </c>
      <c r="C110">
        <v>91274.632522404543</v>
      </c>
      <c r="D110">
        <v>136121.27450089875</v>
      </c>
      <c r="E110">
        <v>77309.042188753621</v>
      </c>
      <c r="F110">
        <v>41352.1644592214</v>
      </c>
      <c r="G110">
        <v>10000</v>
      </c>
      <c r="H110">
        <v>336057.11367127835</v>
      </c>
      <c r="I110">
        <v>32.293824880036084</v>
      </c>
    </row>
    <row r="111" spans="1:9" x14ac:dyDescent="0.2">
      <c r="A111">
        <v>106</v>
      </c>
      <c r="B111">
        <v>1004985.7989640647</v>
      </c>
      <c r="C111">
        <v>103269.06436654049</v>
      </c>
      <c r="D111">
        <v>82910.944780442864</v>
      </c>
      <c r="E111">
        <v>60960.553151209824</v>
      </c>
      <c r="F111">
        <v>40220.345987391454</v>
      </c>
      <c r="G111">
        <v>10000</v>
      </c>
      <c r="H111">
        <v>277360.90828558465</v>
      </c>
      <c r="I111">
        <v>54.000750033330235</v>
      </c>
    </row>
    <row r="112" spans="1:9" x14ac:dyDescent="0.2">
      <c r="A112">
        <v>107</v>
      </c>
      <c r="B112">
        <v>1425664.3148121778</v>
      </c>
      <c r="C112">
        <v>100246.54336449211</v>
      </c>
      <c r="D112">
        <v>70360.076737972093</v>
      </c>
      <c r="E112">
        <v>183353.07184014111</v>
      </c>
      <c r="F112">
        <v>48693.67420431746</v>
      </c>
      <c r="G112">
        <v>10000</v>
      </c>
      <c r="H112">
        <v>392653.36614692275</v>
      </c>
      <c r="I112">
        <v>36.920623285371917</v>
      </c>
    </row>
    <row r="113" spans="1:9" x14ac:dyDescent="0.2">
      <c r="A113">
        <v>108</v>
      </c>
      <c r="B113">
        <v>893902.1128183041</v>
      </c>
      <c r="C113">
        <v>105357.13808770008</v>
      </c>
      <c r="D113">
        <v>78493.868097700732</v>
      </c>
      <c r="E113">
        <v>34666.008368162875</v>
      </c>
      <c r="F113">
        <v>38399.954425488198</v>
      </c>
      <c r="G113">
        <v>10000</v>
      </c>
      <c r="H113">
        <v>246916.96897905189</v>
      </c>
      <c r="I113">
        <v>37.240370175853933</v>
      </c>
    </row>
    <row r="114" spans="1:9" x14ac:dyDescent="0.2">
      <c r="A114">
        <v>109</v>
      </c>
      <c r="B114">
        <v>701651.29899450275</v>
      </c>
      <c r="C114">
        <v>95026.99277910612</v>
      </c>
      <c r="D114">
        <v>40571.959380189139</v>
      </c>
      <c r="E114">
        <v>30516.483325814657</v>
      </c>
      <c r="F114">
        <v>38112.679614864086</v>
      </c>
      <c r="G114">
        <v>10000</v>
      </c>
      <c r="H114">
        <v>194228.11509997401</v>
      </c>
      <c r="I114">
        <v>36.356213124814232</v>
      </c>
    </row>
    <row r="115" spans="1:9" x14ac:dyDescent="0.2">
      <c r="A115">
        <v>110</v>
      </c>
      <c r="B115">
        <v>1075588.8670006928</v>
      </c>
      <c r="C115">
        <v>103989.95459319989</v>
      </c>
      <c r="D115">
        <v>109704.12578089764</v>
      </c>
      <c r="E115">
        <v>53324.806204893313</v>
      </c>
      <c r="F115">
        <v>39691.717352646461</v>
      </c>
      <c r="G115">
        <v>10000</v>
      </c>
      <c r="H115">
        <v>296710.60393163731</v>
      </c>
      <c r="I115">
        <v>27.751949160172813</v>
      </c>
    </row>
    <row r="116" spans="1:9" x14ac:dyDescent="0.2">
      <c r="A116">
        <v>111</v>
      </c>
      <c r="B116">
        <v>1225507.4186663982</v>
      </c>
      <c r="C116">
        <v>93017.143335092347</v>
      </c>
      <c r="D116">
        <v>102979.32103627763</v>
      </c>
      <c r="E116">
        <v>108303.35770763521</v>
      </c>
      <c r="F116">
        <v>43497.924764374744</v>
      </c>
      <c r="G116">
        <v>10000</v>
      </c>
      <c r="H116">
        <v>337797.74684337992</v>
      </c>
      <c r="I116">
        <v>35.867513608084892</v>
      </c>
    </row>
    <row r="117" spans="1:9" x14ac:dyDescent="0.2">
      <c r="A117">
        <v>112</v>
      </c>
      <c r="B117">
        <v>1153765.1336745499</v>
      </c>
      <c r="C117">
        <v>137418.59529128284</v>
      </c>
      <c r="D117">
        <v>111737.41600482522</v>
      </c>
      <c r="E117">
        <v>40196.956362020537</v>
      </c>
      <c r="F117">
        <v>38782.866209678345</v>
      </c>
      <c r="G117">
        <v>10000</v>
      </c>
      <c r="H117">
        <v>318135.83386780694</v>
      </c>
      <c r="I117">
        <v>37.254461625287611</v>
      </c>
    </row>
    <row r="118" spans="1:9" x14ac:dyDescent="0.2">
      <c r="A118">
        <v>113</v>
      </c>
      <c r="B118">
        <v>1549654.0379718654</v>
      </c>
      <c r="C118">
        <v>144715.95917148574</v>
      </c>
      <c r="D118">
        <v>123763.05232507621</v>
      </c>
      <c r="E118">
        <v>123598.5404307608</v>
      </c>
      <c r="F118">
        <v>44556.822029821902</v>
      </c>
      <c r="G118">
        <v>10000</v>
      </c>
      <c r="H118">
        <v>426634.37395714468</v>
      </c>
      <c r="I118">
        <v>31.663912851174928</v>
      </c>
    </row>
    <row r="119" spans="1:9" x14ac:dyDescent="0.2">
      <c r="A119">
        <v>114</v>
      </c>
      <c r="B119">
        <v>1622096.3187686841</v>
      </c>
      <c r="C119">
        <v>81019.369517578394</v>
      </c>
      <c r="D119">
        <v>130996.64461253076</v>
      </c>
      <c r="E119">
        <v>194973.92127276139</v>
      </c>
      <c r="F119">
        <v>49498.194549652711</v>
      </c>
      <c r="G119">
        <v>10000</v>
      </c>
      <c r="H119">
        <v>446488.12995252322</v>
      </c>
      <c r="I119">
        <v>40.126850274965378</v>
      </c>
    </row>
    <row r="120" spans="1:9" x14ac:dyDescent="0.2">
      <c r="A120">
        <v>115</v>
      </c>
      <c r="B120">
        <v>1565804.9450288853</v>
      </c>
      <c r="C120">
        <v>106847.89474336404</v>
      </c>
      <c r="D120">
        <v>77372.467742409062</v>
      </c>
      <c r="E120">
        <v>206541.36176306204</v>
      </c>
      <c r="F120">
        <v>50299.017352827374</v>
      </c>
      <c r="G120">
        <v>10000</v>
      </c>
      <c r="H120">
        <v>431060.74160166248</v>
      </c>
      <c r="I120">
        <v>41.250073553493394</v>
      </c>
    </row>
    <row r="121" spans="1:9" x14ac:dyDescent="0.2">
      <c r="A121">
        <v>116</v>
      </c>
      <c r="B121">
        <v>1012977.2218128513</v>
      </c>
      <c r="C121">
        <v>78670.288318060673</v>
      </c>
      <c r="D121">
        <v>78796.976502276462</v>
      </c>
      <c r="E121">
        <v>89862.544498331568</v>
      </c>
      <c r="F121">
        <v>42221.253080653725</v>
      </c>
      <c r="G121">
        <v>10000</v>
      </c>
      <c r="H121">
        <v>279551.0623993224</v>
      </c>
      <c r="I121">
        <v>24.383584498429229</v>
      </c>
    </row>
    <row r="122" spans="1:9" x14ac:dyDescent="0.2">
      <c r="A122">
        <v>117</v>
      </c>
      <c r="B122">
        <v>1116075.9167316649</v>
      </c>
      <c r="C122">
        <v>90750.222933058874</v>
      </c>
      <c r="D122">
        <v>144931.74902346625</v>
      </c>
      <c r="E122">
        <v>43138.150933488658</v>
      </c>
      <c r="F122">
        <v>38986.48737231845</v>
      </c>
      <c r="G122">
        <v>10000</v>
      </c>
      <c r="H122">
        <v>307806.61026233225</v>
      </c>
      <c r="I122">
        <v>32.369784306946741</v>
      </c>
    </row>
    <row r="123" spans="1:9" x14ac:dyDescent="0.2">
      <c r="A123">
        <v>118</v>
      </c>
      <c r="B123">
        <v>1503952.5157768584</v>
      </c>
      <c r="C123">
        <v>159474.42735846786</v>
      </c>
      <c r="D123">
        <v>45902.055707801308</v>
      </c>
      <c r="E123">
        <v>170901.1705741937</v>
      </c>
      <c r="F123">
        <v>47831.619501290334</v>
      </c>
      <c r="G123">
        <v>10000</v>
      </c>
      <c r="H123">
        <v>414109.27314175322</v>
      </c>
      <c r="I123">
        <v>32.778277432553125</v>
      </c>
    </row>
    <row r="124" spans="1:9" x14ac:dyDescent="0.2">
      <c r="A124">
        <v>119</v>
      </c>
      <c r="B124">
        <v>1618337.9131904971</v>
      </c>
      <c r="C124">
        <v>139913.18569731724</v>
      </c>
      <c r="D124">
        <v>77669.481947128152</v>
      </c>
      <c r="E124">
        <v>188804.35153595128</v>
      </c>
      <c r="F124">
        <v>49071.070490950471</v>
      </c>
      <c r="G124">
        <v>10000</v>
      </c>
      <c r="H124">
        <v>445458.08967134717</v>
      </c>
      <c r="I124">
        <v>25.317230465535996</v>
      </c>
    </row>
    <row r="125" spans="1:9" x14ac:dyDescent="0.2">
      <c r="A125">
        <v>120</v>
      </c>
      <c r="B125">
        <v>1423992.3555200351</v>
      </c>
      <c r="C125">
        <v>154801.42219958288</v>
      </c>
      <c r="D125">
        <v>41658.876483478911</v>
      </c>
      <c r="E125">
        <v>158744.8191754414</v>
      </c>
      <c r="F125">
        <v>46990.02594291517</v>
      </c>
      <c r="G125">
        <v>10000</v>
      </c>
      <c r="H125">
        <v>392195.14380141837</v>
      </c>
      <c r="I125">
        <v>51.160619437290947</v>
      </c>
    </row>
    <row r="126" spans="1:9" x14ac:dyDescent="0.2">
      <c r="A126">
        <v>121</v>
      </c>
      <c r="B126">
        <v>1143318.9426333227</v>
      </c>
      <c r="C126">
        <v>82862.493156857789</v>
      </c>
      <c r="D126">
        <v>124467.95230417304</v>
      </c>
      <c r="E126">
        <v>76636.845171516892</v>
      </c>
      <c r="F126">
        <v>41305.627742643483</v>
      </c>
      <c r="G126">
        <v>10000</v>
      </c>
      <c r="H126">
        <v>315272.91837519116</v>
      </c>
      <c r="I126">
        <v>40.006808855409169</v>
      </c>
    </row>
    <row r="127" spans="1:9" x14ac:dyDescent="0.2">
      <c r="A127">
        <v>122</v>
      </c>
      <c r="B127">
        <v>1326379.4611663304</v>
      </c>
      <c r="C127">
        <v>81149.114215749418</v>
      </c>
      <c r="D127">
        <v>139686.19808134416</v>
      </c>
      <c r="E127">
        <v>110928.10135986618</v>
      </c>
      <c r="F127">
        <v>43679.637786452273</v>
      </c>
      <c r="G127">
        <v>10000</v>
      </c>
      <c r="H127">
        <v>365443.05144341203</v>
      </c>
      <c r="I127">
        <v>33.311139123487472</v>
      </c>
    </row>
    <row r="128" spans="1:9" x14ac:dyDescent="0.2">
      <c r="A128">
        <v>123</v>
      </c>
      <c r="B128">
        <v>1687575.1147555483</v>
      </c>
      <c r="C128">
        <v>132943.40600945102</v>
      </c>
      <c r="D128">
        <v>149033.98926998305</v>
      </c>
      <c r="E128">
        <v>146325.80818086324</v>
      </c>
      <c r="F128">
        <v>46130.248258675143</v>
      </c>
      <c r="G128">
        <v>10000</v>
      </c>
      <c r="H128">
        <v>464433.45171897247</v>
      </c>
      <c r="I128">
        <v>51.278484798668629</v>
      </c>
    </row>
    <row r="129" spans="1:9" x14ac:dyDescent="0.2">
      <c r="A129">
        <v>124</v>
      </c>
      <c r="B129">
        <v>909163.82734487276</v>
      </c>
      <c r="C129">
        <v>108144.59656909257</v>
      </c>
      <c r="D129">
        <v>51990.206580712576</v>
      </c>
      <c r="E129">
        <v>60758.482156040045</v>
      </c>
      <c r="F129">
        <v>40206.356456956615</v>
      </c>
      <c r="G129">
        <v>10000</v>
      </c>
      <c r="H129">
        <v>251099.64176280182</v>
      </c>
      <c r="I129">
        <v>37.256531299084273</v>
      </c>
    </row>
    <row r="130" spans="1:9" x14ac:dyDescent="0.2">
      <c r="A130">
        <v>125</v>
      </c>
      <c r="B130">
        <v>963928.51733464247</v>
      </c>
      <c r="C130">
        <v>128353.63920898193</v>
      </c>
      <c r="D130">
        <v>65116.543214566678</v>
      </c>
      <c r="E130">
        <v>43618.684901376611</v>
      </c>
      <c r="F130">
        <v>39019.755108556841</v>
      </c>
      <c r="G130">
        <v>10000</v>
      </c>
      <c r="H130">
        <v>266108.62243348203</v>
      </c>
      <c r="I130">
        <v>31.324623382035767</v>
      </c>
    </row>
    <row r="131" spans="1:9" x14ac:dyDescent="0.2">
      <c r="A131">
        <v>126</v>
      </c>
      <c r="B131">
        <v>1359679.0408406905</v>
      </c>
      <c r="C131">
        <v>103830.82211471854</v>
      </c>
      <c r="D131">
        <v>85746.356086870859</v>
      </c>
      <c r="E131">
        <v>148697.60937302149</v>
      </c>
      <c r="F131">
        <v>46294.449879670719</v>
      </c>
      <c r="G131">
        <v>10000</v>
      </c>
      <c r="H131">
        <v>374569.23745428165</v>
      </c>
      <c r="I131">
        <v>35.403996278095747</v>
      </c>
    </row>
    <row r="132" spans="1:9" x14ac:dyDescent="0.2">
      <c r="A132">
        <v>127</v>
      </c>
      <c r="B132">
        <v>942531.07751499466</v>
      </c>
      <c r="C132">
        <v>136211.35532002515</v>
      </c>
      <c r="D132">
        <v>51010.83426581043</v>
      </c>
      <c r="E132">
        <v>43977.582320666123</v>
      </c>
      <c r="F132">
        <v>39044.601852969194</v>
      </c>
      <c r="G132">
        <v>10000</v>
      </c>
      <c r="H132">
        <v>260244.37375947088</v>
      </c>
      <c r="I132">
        <v>31.574337361830924</v>
      </c>
    </row>
    <row r="133" spans="1:9" x14ac:dyDescent="0.2">
      <c r="A133">
        <v>128</v>
      </c>
      <c r="B133">
        <v>1133076.906807919</v>
      </c>
      <c r="C133">
        <v>110692.76700492617</v>
      </c>
      <c r="D133">
        <v>116480.42128542607</v>
      </c>
      <c r="E133">
        <v>55453.666046354228</v>
      </c>
      <c r="F133">
        <v>39839.099957055289</v>
      </c>
      <c r="G133">
        <v>10000</v>
      </c>
      <c r="H133">
        <v>312465.95429376175</v>
      </c>
      <c r="I133">
        <v>34.309516431420292</v>
      </c>
    </row>
    <row r="134" spans="1:9" x14ac:dyDescent="0.2">
      <c r="A134">
        <v>129</v>
      </c>
      <c r="B134">
        <v>1023561.8940609711</v>
      </c>
      <c r="C134">
        <v>91372.079767440358</v>
      </c>
      <c r="D134">
        <v>76859.830350192016</v>
      </c>
      <c r="E134">
        <v>82507.932713654489</v>
      </c>
      <c r="F134">
        <v>41712.087649406843</v>
      </c>
      <c r="G134">
        <v>10000</v>
      </c>
      <c r="H134">
        <v>282451.9304806937</v>
      </c>
      <c r="I134">
        <v>31.659748422636586</v>
      </c>
    </row>
    <row r="135" spans="1:9" x14ac:dyDescent="0.2">
      <c r="A135">
        <v>130</v>
      </c>
      <c r="B135">
        <v>1208887.0043484401</v>
      </c>
      <c r="C135">
        <v>87249.369870409661</v>
      </c>
      <c r="D135">
        <v>89546.3543569834</v>
      </c>
      <c r="E135">
        <v>122000.77299518813</v>
      </c>
      <c r="F135">
        <v>44446.207361205335</v>
      </c>
      <c r="G135">
        <v>10000</v>
      </c>
      <c r="H135">
        <v>333242.70458378654</v>
      </c>
      <c r="I135">
        <v>41.328242001291606</v>
      </c>
    </row>
    <row r="136" spans="1:9" x14ac:dyDescent="0.2">
      <c r="A136">
        <v>131</v>
      </c>
      <c r="B136">
        <v>1714392.4489875182</v>
      </c>
      <c r="C136">
        <v>154832.76142088324</v>
      </c>
      <c r="D136">
        <v>126240.71071463151</v>
      </c>
      <c r="E136">
        <v>154044.96957796387</v>
      </c>
      <c r="F136">
        <v>46664.651740012887</v>
      </c>
      <c r="G136">
        <v>10000</v>
      </c>
      <c r="H136">
        <v>471783.09345349146</v>
      </c>
      <c r="I136">
        <v>46.896489096445023</v>
      </c>
    </row>
    <row r="137" spans="1:9" x14ac:dyDescent="0.2">
      <c r="A137">
        <v>132</v>
      </c>
      <c r="B137">
        <v>994658.03223844792</v>
      </c>
      <c r="C137">
        <v>107400.43533030993</v>
      </c>
      <c r="D137">
        <v>105317.74154465816</v>
      </c>
      <c r="E137">
        <v>33493.4914739999</v>
      </c>
      <c r="F137">
        <v>38318.780178969224</v>
      </c>
      <c r="G137">
        <v>10000</v>
      </c>
      <c r="H137">
        <v>274530.44852793723</v>
      </c>
      <c r="I137">
        <v>35.505857733636034</v>
      </c>
    </row>
    <row r="138" spans="1:9" x14ac:dyDescent="0.2">
      <c r="A138">
        <v>133</v>
      </c>
      <c r="B138">
        <v>1080887.7949408935</v>
      </c>
      <c r="C138">
        <v>110961.03175456433</v>
      </c>
      <c r="D138">
        <v>110647.70558417853</v>
      </c>
      <c r="E138">
        <v>47280.81969013247</v>
      </c>
      <c r="F138">
        <v>39273.287517009172</v>
      </c>
      <c r="G138">
        <v>10000</v>
      </c>
      <c r="H138">
        <v>298162.84454588452</v>
      </c>
      <c r="I138">
        <v>31.197135180195168</v>
      </c>
    </row>
    <row r="139" spans="1:9" x14ac:dyDescent="0.2">
      <c r="A139">
        <v>134</v>
      </c>
      <c r="B139">
        <v>1649546.7194751753</v>
      </c>
      <c r="C139">
        <v>98195.084378001004</v>
      </c>
      <c r="D139">
        <v>144755.92204403528</v>
      </c>
      <c r="E139">
        <v>173077.94608100524</v>
      </c>
      <c r="F139">
        <v>47982.319344069598</v>
      </c>
      <c r="G139">
        <v>10000</v>
      </c>
      <c r="H139">
        <v>454011.27184711106</v>
      </c>
      <c r="I139">
        <v>43.033026917890695</v>
      </c>
    </row>
    <row r="140" spans="1:9" x14ac:dyDescent="0.2">
      <c r="A140">
        <v>135</v>
      </c>
      <c r="B140">
        <v>1807443.1689752026</v>
      </c>
      <c r="C140">
        <v>169952.79182097531</v>
      </c>
      <c r="D140">
        <v>113996.27102707667</v>
      </c>
      <c r="E140">
        <v>175206.14324626219</v>
      </c>
      <c r="F140">
        <v>48129.656070895071</v>
      </c>
      <c r="G140">
        <v>10000</v>
      </c>
      <c r="H140">
        <v>497284.86216520931</v>
      </c>
      <c r="I140">
        <v>32.370769307102201</v>
      </c>
    </row>
    <row r="141" spans="1:9" x14ac:dyDescent="0.2">
      <c r="A141">
        <v>136</v>
      </c>
      <c r="B141">
        <v>1057702.3832037493</v>
      </c>
      <c r="C141">
        <v>152813.06539837399</v>
      </c>
      <c r="D141">
        <v>67301.187875206451</v>
      </c>
      <c r="E141">
        <v>42735.700082780058</v>
      </c>
      <c r="F141">
        <v>38958.625390346315</v>
      </c>
      <c r="G141">
        <v>10000</v>
      </c>
      <c r="H141">
        <v>291808.57874670683</v>
      </c>
      <c r="I141">
        <v>41.319575611676655</v>
      </c>
    </row>
    <row r="142" spans="1:9" x14ac:dyDescent="0.2">
      <c r="A142">
        <v>137</v>
      </c>
      <c r="B142">
        <v>1088921.9784753365</v>
      </c>
      <c r="C142">
        <v>103815.10261787513</v>
      </c>
      <c r="D142">
        <v>57989.353091304831</v>
      </c>
      <c r="E142">
        <v>105272.18755354373</v>
      </c>
      <c r="F142">
        <v>43288.074522937641</v>
      </c>
      <c r="G142">
        <v>10000</v>
      </c>
      <c r="H142">
        <v>300364.71778566134</v>
      </c>
      <c r="I142">
        <v>36.233925579209348</v>
      </c>
    </row>
    <row r="143" spans="1:9" x14ac:dyDescent="0.2">
      <c r="A143">
        <v>138</v>
      </c>
      <c r="B143">
        <v>1233516.7045037833</v>
      </c>
      <c r="C143">
        <v>74860.614105823741</v>
      </c>
      <c r="D143">
        <v>87605.408152266551</v>
      </c>
      <c r="E143">
        <v>141715.68818025826</v>
      </c>
      <c r="F143">
        <v>45811.086104787115</v>
      </c>
      <c r="G143">
        <v>10000</v>
      </c>
      <c r="H143">
        <v>339992.79654313572</v>
      </c>
      <c r="I143">
        <v>25.760832771719812</v>
      </c>
    </row>
    <row r="144" spans="1:9" x14ac:dyDescent="0.2">
      <c r="A144">
        <v>139</v>
      </c>
      <c r="B144">
        <v>1223099.4196722591</v>
      </c>
      <c r="C144">
        <v>166492.87586473805</v>
      </c>
      <c r="D144">
        <v>45908.362013199796</v>
      </c>
      <c r="E144">
        <v>92343.550278707247</v>
      </c>
      <c r="F144">
        <v>42393.015019295111</v>
      </c>
      <c r="G144">
        <v>10000</v>
      </c>
      <c r="H144">
        <v>337137.80317594018</v>
      </c>
      <c r="I144">
        <v>41.684475606212999</v>
      </c>
    </row>
    <row r="145" spans="1:9" x14ac:dyDescent="0.2">
      <c r="A145">
        <v>140</v>
      </c>
      <c r="B145">
        <v>1199719.8965517336</v>
      </c>
      <c r="C145">
        <v>121045.52243527687</v>
      </c>
      <c r="D145">
        <v>50113.132966898804</v>
      </c>
      <c r="E145">
        <v>124923.15695641936</v>
      </c>
      <c r="F145">
        <v>44648.526250829033</v>
      </c>
      <c r="G145">
        <v>10000</v>
      </c>
      <c r="H145">
        <v>330730.33860942407</v>
      </c>
      <c r="I145">
        <v>32.991357888637808</v>
      </c>
    </row>
    <row r="146" spans="1:9" x14ac:dyDescent="0.2">
      <c r="A146">
        <v>141</v>
      </c>
      <c r="B146">
        <v>1616133.4329037128</v>
      </c>
      <c r="C146">
        <v>135577.44002311057</v>
      </c>
      <c r="D146">
        <v>92430.483877966064</v>
      </c>
      <c r="E146">
        <v>178489.06387891626</v>
      </c>
      <c r="F146">
        <v>48356.935191617275</v>
      </c>
      <c r="G146">
        <v>10000</v>
      </c>
      <c r="H146">
        <v>444853.92297161015</v>
      </c>
      <c r="I146">
        <v>37.956448656367527</v>
      </c>
    </row>
    <row r="147" spans="1:9" x14ac:dyDescent="0.2">
      <c r="A147">
        <v>142</v>
      </c>
      <c r="B147">
        <v>1058889.3390435735</v>
      </c>
      <c r="C147">
        <v>97211.733612352808</v>
      </c>
      <c r="D147">
        <v>68031.246480797854</v>
      </c>
      <c r="E147">
        <v>94358.395168829069</v>
      </c>
      <c r="F147">
        <v>42532.50428091894</v>
      </c>
      <c r="G147">
        <v>10000</v>
      </c>
      <c r="H147">
        <v>292133.87954289868</v>
      </c>
      <c r="I147">
        <v>42.234058514225921</v>
      </c>
    </row>
    <row r="148" spans="1:9" x14ac:dyDescent="0.2">
      <c r="A148">
        <v>143</v>
      </c>
      <c r="B148">
        <v>1591191.5453426875</v>
      </c>
      <c r="C148">
        <v>122925.61743650251</v>
      </c>
      <c r="D148">
        <v>92574.847380031089</v>
      </c>
      <c r="E148">
        <v>183793.63258424005</v>
      </c>
      <c r="F148">
        <v>48724.174563524306</v>
      </c>
      <c r="G148">
        <v>10000</v>
      </c>
      <c r="H148">
        <v>438018.27196429798</v>
      </c>
      <c r="I148">
        <v>30.256756462552914</v>
      </c>
    </row>
    <row r="149" spans="1:9" x14ac:dyDescent="0.2">
      <c r="A149">
        <v>144</v>
      </c>
      <c r="B149">
        <v>1376988.4972054635</v>
      </c>
      <c r="C149">
        <v>96415.743107401038</v>
      </c>
      <c r="D149">
        <v>62867.79107498208</v>
      </c>
      <c r="E149">
        <v>181466.51977662233</v>
      </c>
      <c r="F149">
        <v>48563.066753766165</v>
      </c>
      <c r="G149">
        <v>10000</v>
      </c>
      <c r="H149">
        <v>379313.1207127716</v>
      </c>
      <c r="I149">
        <v>52.22250479358479</v>
      </c>
    </row>
    <row r="150" spans="1:9" x14ac:dyDescent="0.2">
      <c r="A150">
        <v>145</v>
      </c>
      <c r="B150">
        <v>1634289.717186626</v>
      </c>
      <c r="C150">
        <v>121369.37676882917</v>
      </c>
      <c r="D150">
        <v>98886.536470304389</v>
      </c>
      <c r="E150">
        <v>190392.92838648858</v>
      </c>
      <c r="F150">
        <v>49181.048888295358</v>
      </c>
      <c r="G150">
        <v>10000</v>
      </c>
      <c r="H150">
        <v>449829.89051391749</v>
      </c>
      <c r="I150">
        <v>29.892892952191389</v>
      </c>
    </row>
    <row r="151" spans="1:9" x14ac:dyDescent="0.2">
      <c r="A151">
        <v>146</v>
      </c>
      <c r="B151">
        <v>1122686.2993252387</v>
      </c>
      <c r="C151">
        <v>71726.901023499275</v>
      </c>
      <c r="D151">
        <v>130610.26840759999</v>
      </c>
      <c r="E151">
        <v>76018.297556894773</v>
      </c>
      <c r="F151">
        <v>41262.805215477332</v>
      </c>
      <c r="G151">
        <v>10000</v>
      </c>
      <c r="H151">
        <v>309618.2722034714</v>
      </c>
      <c r="I151">
        <v>34.046960156974961</v>
      </c>
    </row>
    <row r="152" spans="1:9" x14ac:dyDescent="0.2">
      <c r="A152">
        <v>147</v>
      </c>
      <c r="B152">
        <v>1081886.2495023129</v>
      </c>
      <c r="C152">
        <v>96723.466629429298</v>
      </c>
      <c r="D152">
        <v>84023.26135040287</v>
      </c>
      <c r="E152">
        <v>85753.009318677607</v>
      </c>
      <c r="F152">
        <v>41936.746798985369</v>
      </c>
      <c r="G152">
        <v>10000</v>
      </c>
      <c r="H152">
        <v>298436.48409749509</v>
      </c>
      <c r="I152">
        <v>31.786895144300278</v>
      </c>
    </row>
    <row r="153" spans="1:9" x14ac:dyDescent="0.2">
      <c r="A153">
        <v>148</v>
      </c>
      <c r="B153">
        <v>1558118.4371181375</v>
      </c>
      <c r="C153">
        <v>128235.6472926186</v>
      </c>
      <c r="D153">
        <v>53136.172667056868</v>
      </c>
      <c r="E153">
        <v>207235.27589895495</v>
      </c>
      <c r="F153">
        <v>50347.057562235343</v>
      </c>
      <c r="G153">
        <v>10000</v>
      </c>
      <c r="H153">
        <v>428954.15342086571</v>
      </c>
      <c r="I153">
        <v>50.464276225175887</v>
      </c>
    </row>
    <row r="154" spans="1:9" x14ac:dyDescent="0.2">
      <c r="A154">
        <v>149</v>
      </c>
      <c r="B154">
        <v>1608207.1062092064</v>
      </c>
      <c r="C154">
        <v>104663.78668851034</v>
      </c>
      <c r="D154">
        <v>121013.33902501533</v>
      </c>
      <c r="E154">
        <v>178637.28681840529</v>
      </c>
      <c r="F154">
        <v>48367.19677973575</v>
      </c>
      <c r="G154">
        <v>10000</v>
      </c>
      <c r="H154">
        <v>442681.60931166669</v>
      </c>
      <c r="I154">
        <v>28.004222278585345</v>
      </c>
    </row>
    <row r="155" spans="1:9" x14ac:dyDescent="0.2">
      <c r="A155">
        <v>150</v>
      </c>
      <c r="B155">
        <v>1224672.4200894414</v>
      </c>
      <c r="C155">
        <v>120607.5300480171</v>
      </c>
      <c r="D155">
        <v>57792.043580691949</v>
      </c>
      <c r="E155">
        <v>124546.85625308557</v>
      </c>
      <c r="F155">
        <v>44622.474663675152</v>
      </c>
      <c r="G155">
        <v>10000</v>
      </c>
      <c r="H155">
        <v>337568.90454546979</v>
      </c>
      <c r="I155">
        <v>30.471111219037475</v>
      </c>
    </row>
    <row r="156" spans="1:9" x14ac:dyDescent="0.2">
      <c r="A156">
        <v>151</v>
      </c>
      <c r="B156">
        <v>1028688.1662235593</v>
      </c>
      <c r="C156">
        <v>159668.98921029811</v>
      </c>
      <c r="D156">
        <v>51374.494860905259</v>
      </c>
      <c r="E156">
        <v>43782.287036026915</v>
      </c>
      <c r="F156">
        <v>39031.081410186482</v>
      </c>
      <c r="G156">
        <v>10000</v>
      </c>
      <c r="H156">
        <v>283856.85251741676</v>
      </c>
      <c r="I156">
        <v>30.534871873957837</v>
      </c>
    </row>
    <row r="157" spans="1:9" x14ac:dyDescent="0.2">
      <c r="A157">
        <v>152</v>
      </c>
      <c r="B157">
        <v>1257266.7859853837</v>
      </c>
      <c r="C157">
        <v>138276.24940994626</v>
      </c>
      <c r="D157">
        <v>61085.888958156589</v>
      </c>
      <c r="E157">
        <v>113296.10276891557</v>
      </c>
      <c r="F157">
        <v>43843.576345540307</v>
      </c>
      <c r="G157">
        <v>10000</v>
      </c>
      <c r="H157">
        <v>346501.81748255872</v>
      </c>
      <c r="I157">
        <v>37.834545048744069</v>
      </c>
    </row>
    <row r="158" spans="1:9" x14ac:dyDescent="0.2">
      <c r="A158">
        <v>153</v>
      </c>
      <c r="B158">
        <v>982145.9095136713</v>
      </c>
      <c r="C158">
        <v>89424.48528096902</v>
      </c>
      <c r="D158">
        <v>120209.48738624922</v>
      </c>
      <c r="E158">
        <v>33170.916652060296</v>
      </c>
      <c r="F158">
        <v>38296.448075911867</v>
      </c>
      <c r="G158">
        <v>10000</v>
      </c>
      <c r="H158">
        <v>271101.33739519038</v>
      </c>
      <c r="I158">
        <v>33.865366040161433</v>
      </c>
    </row>
    <row r="159" spans="1:9" x14ac:dyDescent="0.2">
      <c r="A159">
        <v>154</v>
      </c>
      <c r="B159">
        <v>850644.30877029314</v>
      </c>
      <c r="C159">
        <v>120693.75360099511</v>
      </c>
      <c r="D159">
        <v>51526.884075567119</v>
      </c>
      <c r="E159">
        <v>34455.577333206144</v>
      </c>
      <c r="F159">
        <v>38385.386123068114</v>
      </c>
      <c r="G159">
        <v>10000</v>
      </c>
      <c r="H159">
        <v>235061.60113283648</v>
      </c>
      <c r="I159">
        <v>35.044333890344006</v>
      </c>
    </row>
    <row r="160" spans="1:9" x14ac:dyDescent="0.2">
      <c r="A160">
        <v>155</v>
      </c>
      <c r="B160">
        <v>1553669.643042845</v>
      </c>
      <c r="C160">
        <v>104014.93311299995</v>
      </c>
      <c r="D160">
        <v>76226.64753039628</v>
      </c>
      <c r="E160">
        <v>207152.02822343464</v>
      </c>
      <c r="F160">
        <v>50341.294261622395</v>
      </c>
      <c r="G160">
        <v>10000</v>
      </c>
      <c r="H160">
        <v>427734.9031284533</v>
      </c>
      <c r="I160">
        <v>39.814505794443264</v>
      </c>
    </row>
    <row r="161" spans="1:9" x14ac:dyDescent="0.2">
      <c r="A161">
        <v>156</v>
      </c>
      <c r="B161">
        <v>1263503.1947629647</v>
      </c>
      <c r="C161">
        <v>88063.592704069612</v>
      </c>
      <c r="D161">
        <v>42075.096621836834</v>
      </c>
      <c r="E161">
        <v>179635.96185405864</v>
      </c>
      <c r="F161">
        <v>48436.335820665598</v>
      </c>
      <c r="G161">
        <v>10000</v>
      </c>
      <c r="H161">
        <v>348210.9870006307</v>
      </c>
      <c r="I161">
        <v>32.46435610343103</v>
      </c>
    </row>
    <row r="162" spans="1:9" x14ac:dyDescent="0.2">
      <c r="A162">
        <v>157</v>
      </c>
      <c r="B162">
        <v>1456699.4573441194</v>
      </c>
      <c r="C162">
        <v>131822.83462368927</v>
      </c>
      <c r="D162">
        <v>70781.343385426982</v>
      </c>
      <c r="E162">
        <v>161382.16412477536</v>
      </c>
      <c r="F162">
        <v>47172.611362484444</v>
      </c>
      <c r="G162">
        <v>10000</v>
      </c>
      <c r="H162">
        <v>401158.95349637611</v>
      </c>
      <c r="I162">
        <v>43.105518248713281</v>
      </c>
    </row>
    <row r="163" spans="1:9" x14ac:dyDescent="0.2">
      <c r="A163">
        <v>158</v>
      </c>
      <c r="B163">
        <v>1725188.6115146931</v>
      </c>
      <c r="C163">
        <v>168470.14176993255</v>
      </c>
      <c r="D163">
        <v>122182.57171482926</v>
      </c>
      <c r="E163">
        <v>147853.21773444978</v>
      </c>
      <c r="F163">
        <v>46235.991997000368</v>
      </c>
      <c r="G163">
        <v>10000</v>
      </c>
      <c r="H163">
        <v>474741.92321621196</v>
      </c>
      <c r="I163">
        <v>34.131984698369777</v>
      </c>
    </row>
    <row r="164" spans="1:9" x14ac:dyDescent="0.2">
      <c r="A164">
        <v>159</v>
      </c>
      <c r="B164">
        <v>1295548.7511802753</v>
      </c>
      <c r="C164">
        <v>81657.464349977075</v>
      </c>
      <c r="D164">
        <v>52914.212701520613</v>
      </c>
      <c r="E164">
        <v>183703.85524997077</v>
      </c>
      <c r="F164">
        <v>48717.959209613357</v>
      </c>
      <c r="G164">
        <v>10000</v>
      </c>
      <c r="H164">
        <v>356993.49151108181</v>
      </c>
      <c r="I164">
        <v>35.984176653185827</v>
      </c>
    </row>
    <row r="165" spans="1:9" x14ac:dyDescent="0.2">
      <c r="A165">
        <v>160</v>
      </c>
      <c r="B165">
        <v>1333363.2817638991</v>
      </c>
      <c r="C165">
        <v>102088.39657783402</v>
      </c>
      <c r="D165">
        <v>72395.429023500343</v>
      </c>
      <c r="E165">
        <v>156068.49163164274</v>
      </c>
      <c r="F165">
        <v>46804.741728344503</v>
      </c>
      <c r="G165">
        <v>10000</v>
      </c>
      <c r="H165">
        <v>367357.05896132166</v>
      </c>
      <c r="I165">
        <v>33.800713712984177</v>
      </c>
    </row>
    <row r="166" spans="1:9" x14ac:dyDescent="0.2">
      <c r="A166">
        <v>161</v>
      </c>
      <c r="B166">
        <v>1605971.5720233514</v>
      </c>
      <c r="C166">
        <v>121441.02664011469</v>
      </c>
      <c r="D166">
        <v>79457.644019973101</v>
      </c>
      <c r="E166">
        <v>201238.37380663486</v>
      </c>
      <c r="F166">
        <v>49931.887417382415</v>
      </c>
      <c r="G166">
        <v>10000</v>
      </c>
      <c r="H166">
        <v>442068.93188410508</v>
      </c>
      <c r="I166">
        <v>26.429602878775107</v>
      </c>
    </row>
    <row r="167" spans="1:9" x14ac:dyDescent="0.2">
      <c r="A167">
        <v>162</v>
      </c>
      <c r="B167">
        <v>1363074.3723653927</v>
      </c>
      <c r="C167">
        <v>119591.83236581893</v>
      </c>
      <c r="D167">
        <v>107999.28554752935</v>
      </c>
      <c r="E167">
        <v>114015.28849514955</v>
      </c>
      <c r="F167">
        <v>43893.36612658728</v>
      </c>
      <c r="G167">
        <v>10000</v>
      </c>
      <c r="H167">
        <v>375499.7725350851</v>
      </c>
      <c r="I167">
        <v>31.815028754337938</v>
      </c>
    </row>
    <row r="168" spans="1:9" x14ac:dyDescent="0.2">
      <c r="A168">
        <v>163</v>
      </c>
      <c r="B168">
        <v>938372.97643998766</v>
      </c>
      <c r="C168">
        <v>134268.60057191024</v>
      </c>
      <c r="D168">
        <v>37550.491790910732</v>
      </c>
      <c r="E168">
        <v>57317.560523375461</v>
      </c>
      <c r="F168">
        <v>39968.138805464449</v>
      </c>
      <c r="G168">
        <v>10000</v>
      </c>
      <c r="H168">
        <v>259104.79169166088</v>
      </c>
      <c r="I168">
        <v>36.07898305851576</v>
      </c>
    </row>
    <row r="169" spans="1:9" x14ac:dyDescent="0.2">
      <c r="A169">
        <v>164</v>
      </c>
      <c r="B169">
        <v>1446588.0669265387</v>
      </c>
      <c r="C169">
        <v>131467.03526462597</v>
      </c>
      <c r="D169">
        <v>102588.96867448796</v>
      </c>
      <c r="E169">
        <v>129375.0559205559</v>
      </c>
      <c r="F169">
        <v>44956.734640653871</v>
      </c>
      <c r="G169">
        <v>10000</v>
      </c>
      <c r="H169">
        <v>398387.79450032371</v>
      </c>
      <c r="I169">
        <v>23.584629180031847</v>
      </c>
    </row>
    <row r="170" spans="1:9" x14ac:dyDescent="0.2">
      <c r="A170">
        <v>165</v>
      </c>
      <c r="B170">
        <v>1874765.460970938</v>
      </c>
      <c r="C170">
        <v>151360.16603322333</v>
      </c>
      <c r="D170">
        <v>120825.14496913264</v>
      </c>
      <c r="E170">
        <v>203464.12899766047</v>
      </c>
      <c r="F170">
        <v>50085.978161376494</v>
      </c>
      <c r="G170">
        <v>10000</v>
      </c>
      <c r="H170">
        <v>515735.41816139291</v>
      </c>
      <c r="I170">
        <v>34.797143217750182</v>
      </c>
    </row>
    <row r="171" spans="1:9" x14ac:dyDescent="0.2">
      <c r="A171">
        <v>166</v>
      </c>
      <c r="B171">
        <v>1604899.2416357705</v>
      </c>
      <c r="C171">
        <v>142791.87249301589</v>
      </c>
      <c r="D171">
        <v>51666.202823418185</v>
      </c>
      <c r="E171">
        <v>206987.0945982972</v>
      </c>
      <c r="F171">
        <v>50329.875779882117</v>
      </c>
      <c r="G171">
        <v>10000</v>
      </c>
      <c r="H171">
        <v>441775.04569461342</v>
      </c>
      <c r="I171">
        <v>34.699183911864417</v>
      </c>
    </row>
    <row r="172" spans="1:9" x14ac:dyDescent="0.2">
      <c r="A172">
        <v>167</v>
      </c>
      <c r="B172">
        <v>1187139.078847623</v>
      </c>
      <c r="C172">
        <v>125624.34580607581</v>
      </c>
      <c r="D172">
        <v>99665.841572833786</v>
      </c>
      <c r="E172">
        <v>71071.854201778799</v>
      </c>
      <c r="F172">
        <v>40920.359137046224</v>
      </c>
      <c r="G172">
        <v>10000</v>
      </c>
      <c r="H172">
        <v>327282.40071773465</v>
      </c>
      <c r="I172">
        <v>36.370264752111254</v>
      </c>
    </row>
    <row r="173" spans="1:9" x14ac:dyDescent="0.2">
      <c r="A173">
        <v>168</v>
      </c>
      <c r="B173">
        <v>1067227.2748597213</v>
      </c>
      <c r="C173">
        <v>142432.93169827302</v>
      </c>
      <c r="D173">
        <v>64325.090026381011</v>
      </c>
      <c r="E173">
        <v>57668.54090265734</v>
      </c>
      <c r="F173">
        <v>39992.437447107048</v>
      </c>
      <c r="G173">
        <v>10000</v>
      </c>
      <c r="H173">
        <v>294419.00007441844</v>
      </c>
      <c r="I173">
        <v>35.383112224874807</v>
      </c>
    </row>
    <row r="174" spans="1:9" x14ac:dyDescent="0.2">
      <c r="A174">
        <v>169</v>
      </c>
      <c r="B174">
        <v>1280265.210170351</v>
      </c>
      <c r="C174">
        <v>99791.085666171086</v>
      </c>
      <c r="D174">
        <v>53657.981826646988</v>
      </c>
      <c r="E174">
        <v>162131.29512308646</v>
      </c>
      <c r="F174">
        <v>47224.474277752139</v>
      </c>
      <c r="G174">
        <v>10000</v>
      </c>
      <c r="H174">
        <v>352804.8368936567</v>
      </c>
      <c r="I174">
        <v>29.157996267263613</v>
      </c>
    </row>
    <row r="175" spans="1:9" x14ac:dyDescent="0.2">
      <c r="A175">
        <v>170</v>
      </c>
      <c r="B175">
        <v>718375.90878967894</v>
      </c>
      <c r="C175">
        <v>102191.48595703032</v>
      </c>
      <c r="D175">
        <v>38863.208597223274</v>
      </c>
      <c r="E175">
        <v>29700.809081261017</v>
      </c>
      <c r="F175">
        <v>38056.209859471921</v>
      </c>
      <c r="G175">
        <v>10000</v>
      </c>
      <c r="H175">
        <v>198811.71349498653</v>
      </c>
      <c r="I175">
        <v>27.520804118777594</v>
      </c>
    </row>
    <row r="176" spans="1:9" x14ac:dyDescent="0.2">
      <c r="A176">
        <v>171</v>
      </c>
      <c r="B176">
        <v>1216076.6813676241</v>
      </c>
      <c r="C176">
        <v>118444.46787519832</v>
      </c>
      <c r="D176">
        <v>70067.294025190626</v>
      </c>
      <c r="E176">
        <v>112886.1713707145</v>
      </c>
      <c r="F176">
        <v>43815.196479511003</v>
      </c>
      <c r="G176">
        <v>10000</v>
      </c>
      <c r="H176">
        <v>335213.1297506144</v>
      </c>
      <c r="I176">
        <v>33.710758537975529</v>
      </c>
    </row>
    <row r="177" spans="1:9" x14ac:dyDescent="0.2">
      <c r="A177">
        <v>172</v>
      </c>
      <c r="B177">
        <v>1107642.4552399497</v>
      </c>
      <c r="C177">
        <v>105445.24387202827</v>
      </c>
      <c r="D177">
        <v>40854.788391568516</v>
      </c>
      <c r="E177">
        <v>124571.12275241684</v>
      </c>
      <c r="F177">
        <v>44624.154652090394</v>
      </c>
      <c r="G177">
        <v>10000</v>
      </c>
      <c r="H177">
        <v>305495.30966810399</v>
      </c>
      <c r="I177">
        <v>28.230911042462438</v>
      </c>
    </row>
    <row r="178" spans="1:9" x14ac:dyDescent="0.2">
      <c r="A178">
        <v>173</v>
      </c>
      <c r="B178">
        <v>742495.81211253861</v>
      </c>
      <c r="C178">
        <v>99846.4280346218</v>
      </c>
      <c r="D178">
        <v>39818.180292570054</v>
      </c>
      <c r="E178">
        <v>37183.255262868792</v>
      </c>
      <c r="F178">
        <v>38574.225364352453</v>
      </c>
      <c r="G178">
        <v>10000</v>
      </c>
      <c r="H178">
        <v>205422.08895441311</v>
      </c>
      <c r="I178">
        <v>27.165067893161396</v>
      </c>
    </row>
    <row r="179" spans="1:9" x14ac:dyDescent="0.2">
      <c r="A179">
        <v>174</v>
      </c>
      <c r="B179">
        <v>1353779.1824693135</v>
      </c>
      <c r="C179">
        <v>99068.279473300674</v>
      </c>
      <c r="D179">
        <v>86294.055442942205</v>
      </c>
      <c r="E179">
        <v>151127.30919969024</v>
      </c>
      <c r="F179">
        <v>46462.65986767086</v>
      </c>
      <c r="G179">
        <v>10000</v>
      </c>
      <c r="H179">
        <v>372952.30398360395</v>
      </c>
      <c r="I179">
        <v>26.576917532068908</v>
      </c>
    </row>
    <row r="180" spans="1:9" x14ac:dyDescent="0.2">
      <c r="A180">
        <v>175</v>
      </c>
      <c r="B180">
        <v>1586470.5000518323</v>
      </c>
      <c r="C180">
        <v>149480.80781838889</v>
      </c>
      <c r="D180">
        <v>122209.70170575504</v>
      </c>
      <c r="E180">
        <v>130031.70329249057</v>
      </c>
      <c r="F180">
        <v>45002.194843326273</v>
      </c>
      <c r="G180">
        <v>10000</v>
      </c>
      <c r="H180">
        <v>436724.40765996079</v>
      </c>
      <c r="I180">
        <v>29.502213006563967</v>
      </c>
    </row>
    <row r="181" spans="1:9" x14ac:dyDescent="0.2">
      <c r="A181">
        <v>176</v>
      </c>
      <c r="B181">
        <v>1081440.5213319727</v>
      </c>
      <c r="C181">
        <v>84894.616914089362</v>
      </c>
      <c r="D181">
        <v>113332.63583416273</v>
      </c>
      <c r="E181">
        <v>69290.068933140836</v>
      </c>
      <c r="F181">
        <v>40797.004772294364</v>
      </c>
      <c r="G181">
        <v>10000</v>
      </c>
      <c r="H181">
        <v>298314.32645368733</v>
      </c>
      <c r="I181">
        <v>35.764421749236433</v>
      </c>
    </row>
    <row r="182" spans="1:9" x14ac:dyDescent="0.2">
      <c r="A182">
        <v>177</v>
      </c>
      <c r="B182">
        <v>949315.21374084079</v>
      </c>
      <c r="C182">
        <v>133201.93518646556</v>
      </c>
      <c r="D182">
        <v>66884.702812270712</v>
      </c>
      <c r="E182">
        <v>33684.980078491426</v>
      </c>
      <c r="F182">
        <v>38332.037082357099</v>
      </c>
      <c r="G182">
        <v>10000</v>
      </c>
      <c r="H182">
        <v>262103.65515958483</v>
      </c>
      <c r="I182">
        <v>34.840286145706997</v>
      </c>
    </row>
    <row r="183" spans="1:9" x14ac:dyDescent="0.2">
      <c r="A183">
        <v>178</v>
      </c>
      <c r="B183">
        <v>1400858.6054689977</v>
      </c>
      <c r="C183">
        <v>137185.25726688324</v>
      </c>
      <c r="D183">
        <v>99679.972230535815</v>
      </c>
      <c r="E183">
        <v>115026.43826375574</v>
      </c>
      <c r="F183">
        <v>43963.368802875397</v>
      </c>
      <c r="G183">
        <v>10000</v>
      </c>
      <c r="H183">
        <v>385855.03656405018</v>
      </c>
      <c r="I183">
        <v>30.949261864723031</v>
      </c>
    </row>
    <row r="184" spans="1:9" x14ac:dyDescent="0.2">
      <c r="A184">
        <v>179</v>
      </c>
      <c r="B184">
        <v>1447174.2204722969</v>
      </c>
      <c r="C184">
        <v>106763.48091099384</v>
      </c>
      <c r="D184">
        <v>89270.402273521511</v>
      </c>
      <c r="E184">
        <v>165085.55444977718</v>
      </c>
      <c r="F184">
        <v>47428.999923446107</v>
      </c>
      <c r="G184">
        <v>10000</v>
      </c>
      <c r="H184">
        <v>398548.43755773862</v>
      </c>
      <c r="I184">
        <v>27.597276819617854</v>
      </c>
    </row>
    <row r="185" spans="1:9" x14ac:dyDescent="0.2">
      <c r="A185">
        <v>180</v>
      </c>
      <c r="B185">
        <v>1207240.2255129537</v>
      </c>
      <c r="C185">
        <v>130193.38519303309</v>
      </c>
      <c r="D185">
        <v>130735.67451017411</v>
      </c>
      <c r="E185">
        <v>42892.820604164262</v>
      </c>
      <c r="F185">
        <v>38969.502964903681</v>
      </c>
      <c r="G185">
        <v>10000</v>
      </c>
      <c r="H185">
        <v>332791.3832722751</v>
      </c>
      <c r="I185">
        <v>26.382556287786549</v>
      </c>
    </row>
    <row r="186" spans="1:9" x14ac:dyDescent="0.2">
      <c r="A186">
        <v>181</v>
      </c>
      <c r="B186">
        <v>1179505.3327707094</v>
      </c>
      <c r="C186">
        <v>100072.16714850115</v>
      </c>
      <c r="D186">
        <v>106648.92790686969</v>
      </c>
      <c r="E186">
        <v>86481.964618168422</v>
      </c>
      <c r="F186">
        <v>41987.212935103969</v>
      </c>
      <c r="G186">
        <v>10000</v>
      </c>
      <c r="H186">
        <v>325190.27260864322</v>
      </c>
      <c r="I186">
        <v>43.363329624609861</v>
      </c>
    </row>
    <row r="187" spans="1:9" x14ac:dyDescent="0.2">
      <c r="A187">
        <v>182</v>
      </c>
      <c r="B187">
        <v>899333.51120778383</v>
      </c>
      <c r="C187">
        <v>89703.22548030359</v>
      </c>
      <c r="D187">
        <v>66082.739602672475</v>
      </c>
      <c r="E187">
        <v>62306.053743800803</v>
      </c>
      <c r="F187">
        <v>40313.496028416979</v>
      </c>
      <c r="G187">
        <v>10000</v>
      </c>
      <c r="H187">
        <v>248405.51485519385</v>
      </c>
      <c r="I187">
        <v>53.089149485474174</v>
      </c>
    </row>
    <row r="188" spans="1:9" x14ac:dyDescent="0.2">
      <c r="A188">
        <v>183</v>
      </c>
      <c r="B188">
        <v>683657.22668209462</v>
      </c>
      <c r="C188">
        <v>83802.765018240301</v>
      </c>
      <c r="D188">
        <v>42150.551706892016</v>
      </c>
      <c r="E188">
        <v>34925.376469272218</v>
      </c>
      <c r="F188">
        <v>38417.910678641922</v>
      </c>
      <c r="G188">
        <v>10000</v>
      </c>
      <c r="H188">
        <v>189296.60387304646</v>
      </c>
      <c r="I188">
        <v>49.371110452005396</v>
      </c>
    </row>
    <row r="189" spans="1:9" x14ac:dyDescent="0.2">
      <c r="A189">
        <v>184</v>
      </c>
      <c r="B189">
        <v>1148503.2996449384</v>
      </c>
      <c r="C189">
        <v>126363.40447540625</v>
      </c>
      <c r="D189">
        <v>54747.067021905568</v>
      </c>
      <c r="E189">
        <v>102487.96703370777</v>
      </c>
      <c r="F189">
        <v>43095.320794641302</v>
      </c>
      <c r="G189">
        <v>10000</v>
      </c>
      <c r="H189">
        <v>316693.75932566088</v>
      </c>
      <c r="I189">
        <v>32.616132851230702</v>
      </c>
    </row>
    <row r="190" spans="1:9" x14ac:dyDescent="0.2">
      <c r="A190">
        <v>185</v>
      </c>
      <c r="B190">
        <v>1218753.7322700468</v>
      </c>
      <c r="C190">
        <v>158964.85788125801</v>
      </c>
      <c r="D190">
        <v>107416.84684237286</v>
      </c>
      <c r="E190">
        <v>40744.343642131891</v>
      </c>
      <c r="F190">
        <v>38820.762252147593</v>
      </c>
      <c r="G190">
        <v>10000</v>
      </c>
      <c r="H190">
        <v>335946.81061791035</v>
      </c>
      <c r="I190">
        <v>34.675815663584345</v>
      </c>
    </row>
    <row r="191" spans="1:9" x14ac:dyDescent="0.2">
      <c r="A191">
        <v>186</v>
      </c>
      <c r="B191">
        <v>994235.47715672338</v>
      </c>
      <c r="C191">
        <v>92897.131626024406</v>
      </c>
      <c r="D191">
        <v>78939.653065301798</v>
      </c>
      <c r="E191">
        <v>71619.578565234915</v>
      </c>
      <c r="F191">
        <v>40958.278516054728</v>
      </c>
      <c r="G191">
        <v>10000</v>
      </c>
      <c r="H191">
        <v>274414.64177261584</v>
      </c>
      <c r="I191">
        <v>31.266079062723371</v>
      </c>
    </row>
    <row r="192" spans="1:9" x14ac:dyDescent="0.2">
      <c r="A192">
        <v>187</v>
      </c>
      <c r="B192">
        <v>1356597.174924145</v>
      </c>
      <c r="C192">
        <v>105316.42911987174</v>
      </c>
      <c r="D192">
        <v>119727.15427561612</v>
      </c>
      <c r="E192">
        <v>114737.65239878451</v>
      </c>
      <c r="F192">
        <v>43943.375935300464</v>
      </c>
      <c r="G192">
        <v>10000</v>
      </c>
      <c r="H192">
        <v>373724.61172957288</v>
      </c>
      <c r="I192">
        <v>34.897684507138464</v>
      </c>
    </row>
    <row r="193" spans="1:9" x14ac:dyDescent="0.2">
      <c r="A193">
        <v>188</v>
      </c>
      <c r="B193">
        <v>1212202.7285823836</v>
      </c>
      <c r="C193">
        <v>164187.47660673459</v>
      </c>
      <c r="D193">
        <v>80005.333523421228</v>
      </c>
      <c r="E193">
        <v>59817.407012721429</v>
      </c>
      <c r="F193">
        <v>40141.205100880718</v>
      </c>
      <c r="G193">
        <v>10000</v>
      </c>
      <c r="H193">
        <v>334151.42224375793</v>
      </c>
      <c r="I193">
        <v>29.916645437251837</v>
      </c>
    </row>
    <row r="194" spans="1:9" x14ac:dyDescent="0.2">
      <c r="A194">
        <v>189</v>
      </c>
      <c r="B194">
        <v>1147566.789683904</v>
      </c>
      <c r="C194">
        <v>111245.69714368311</v>
      </c>
      <c r="D194">
        <v>143048.65295419912</v>
      </c>
      <c r="E194">
        <v>33802.568580528488</v>
      </c>
      <c r="F194">
        <v>38340.177824805825</v>
      </c>
      <c r="G194">
        <v>10000</v>
      </c>
      <c r="H194">
        <v>316437.09650321654</v>
      </c>
      <c r="I194">
        <v>38.423608668948248</v>
      </c>
    </row>
    <row r="195" spans="1:9" x14ac:dyDescent="0.2">
      <c r="A195">
        <v>190</v>
      </c>
      <c r="B195">
        <v>1355441.4346847229</v>
      </c>
      <c r="C195">
        <v>93664.487443209888</v>
      </c>
      <c r="D195">
        <v>120527.27443833956</v>
      </c>
      <c r="E195">
        <v>124590.6009531162</v>
      </c>
      <c r="F195">
        <v>44625.503142908048</v>
      </c>
      <c r="G195">
        <v>10000</v>
      </c>
      <c r="H195">
        <v>373407.86597757367</v>
      </c>
      <c r="I195">
        <v>38.54242309361851</v>
      </c>
    </row>
    <row r="196" spans="1:9" x14ac:dyDescent="0.2">
      <c r="A196">
        <v>191</v>
      </c>
      <c r="B196">
        <v>1120196.5733173063</v>
      </c>
      <c r="C196">
        <v>106984.0302862668</v>
      </c>
      <c r="D196">
        <v>92556.763652093563</v>
      </c>
      <c r="E196">
        <v>77995.451158753363</v>
      </c>
      <c r="F196">
        <v>41399.685080221388</v>
      </c>
      <c r="G196">
        <v>10000</v>
      </c>
      <c r="H196">
        <v>308935.9301773351</v>
      </c>
      <c r="I196">
        <v>37.056359889136928</v>
      </c>
    </row>
    <row r="197" spans="1:9" x14ac:dyDescent="0.2">
      <c r="A197">
        <v>192</v>
      </c>
      <c r="B197">
        <v>1088640.1037867859</v>
      </c>
      <c r="C197">
        <v>138029.47653242096</v>
      </c>
      <c r="D197">
        <v>75048.49465068664</v>
      </c>
      <c r="E197">
        <v>57246.290429737273</v>
      </c>
      <c r="F197">
        <v>39963.204722058734</v>
      </c>
      <c r="G197">
        <v>10000</v>
      </c>
      <c r="H197">
        <v>300287.46633490361</v>
      </c>
      <c r="I197">
        <v>48.512246781802233</v>
      </c>
    </row>
    <row r="198" spans="1:9" x14ac:dyDescent="0.2">
      <c r="A198">
        <v>193</v>
      </c>
      <c r="B198">
        <v>1266200.5589774316</v>
      </c>
      <c r="C198">
        <v>97010.881125417713</v>
      </c>
      <c r="D198">
        <v>50736.938263437252</v>
      </c>
      <c r="E198">
        <v>163858.37430994661</v>
      </c>
      <c r="F198">
        <v>47344.041298380915</v>
      </c>
      <c r="G198">
        <v>10000</v>
      </c>
      <c r="H198">
        <v>348950.2349971825</v>
      </c>
      <c r="I198">
        <v>33.228493648107623</v>
      </c>
    </row>
    <row r="199" spans="1:9" x14ac:dyDescent="0.2">
      <c r="A199">
        <v>194</v>
      </c>
      <c r="B199">
        <v>931352.8824132178</v>
      </c>
      <c r="C199">
        <v>92427.27600441128</v>
      </c>
      <c r="D199">
        <v>70076.88145069778</v>
      </c>
      <c r="E199">
        <v>64229.993642645437</v>
      </c>
      <c r="F199">
        <v>40446.691867567766</v>
      </c>
      <c r="G199">
        <v>10000</v>
      </c>
      <c r="H199">
        <v>257180.84296532226</v>
      </c>
      <c r="I199">
        <v>35.628426641103786</v>
      </c>
    </row>
    <row r="200" spans="1:9" x14ac:dyDescent="0.2">
      <c r="A200">
        <v>195</v>
      </c>
      <c r="B200">
        <v>969563.21418876108</v>
      </c>
      <c r="C200">
        <v>101244.82632060438</v>
      </c>
      <c r="D200">
        <v>68778.989769585765</v>
      </c>
      <c r="E200">
        <v>66991.215449464609</v>
      </c>
      <c r="F200">
        <v>40637.853377270629</v>
      </c>
      <c r="G200">
        <v>10000</v>
      </c>
      <c r="H200">
        <v>267652.8849169254</v>
      </c>
      <c r="I200">
        <v>37.48998002382438</v>
      </c>
    </row>
    <row r="201" spans="1:9" x14ac:dyDescent="0.2">
      <c r="A201">
        <v>196</v>
      </c>
      <c r="B201">
        <v>769984.3045300449</v>
      </c>
      <c r="C201">
        <v>99934.669301809656</v>
      </c>
      <c r="D201">
        <v>41422.125682223086</v>
      </c>
      <c r="E201">
        <v>42646.430227734214</v>
      </c>
      <c r="F201">
        <v>38952.445169612365</v>
      </c>
      <c r="G201">
        <v>10000</v>
      </c>
      <c r="H201">
        <v>212955.67038137931</v>
      </c>
      <c r="I201">
        <v>39.318587936455494</v>
      </c>
    </row>
    <row r="202" spans="1:9" x14ac:dyDescent="0.2">
      <c r="A202">
        <v>197</v>
      </c>
      <c r="B202">
        <v>881566.66414321796</v>
      </c>
      <c r="C202">
        <v>100313.20441517801</v>
      </c>
      <c r="D202">
        <v>83723.100575721634</v>
      </c>
      <c r="E202">
        <v>31330.909712904875</v>
      </c>
      <c r="F202">
        <v>38169.062980124181</v>
      </c>
      <c r="G202">
        <v>10000</v>
      </c>
      <c r="H202">
        <v>243536.2776839287</v>
      </c>
      <c r="I202">
        <v>31.941871406434977</v>
      </c>
    </row>
    <row r="203" spans="1:9" x14ac:dyDescent="0.2">
      <c r="A203">
        <v>198</v>
      </c>
      <c r="B203">
        <v>1070887.2330871653</v>
      </c>
      <c r="C203">
        <v>94826.365848299276</v>
      </c>
      <c r="D203">
        <v>52239.95802611814</v>
      </c>
      <c r="E203">
        <v>114433.42187312903</v>
      </c>
      <c r="F203">
        <v>43922.313821985859</v>
      </c>
      <c r="G203">
        <v>10000</v>
      </c>
      <c r="H203">
        <v>295422.05956953228</v>
      </c>
      <c r="I203">
        <v>32.928362699988242</v>
      </c>
    </row>
    <row r="204" spans="1:9" x14ac:dyDescent="0.2">
      <c r="A204">
        <v>199</v>
      </c>
      <c r="B204">
        <v>1847917.7589691305</v>
      </c>
      <c r="C204">
        <v>164088.56188000483</v>
      </c>
      <c r="D204">
        <v>115325.67293166203</v>
      </c>
      <c r="E204">
        <v>189821.71554612412</v>
      </c>
      <c r="F204">
        <v>49141.503383962438</v>
      </c>
      <c r="G204">
        <v>10000</v>
      </c>
      <c r="H204">
        <v>508377.45374175347</v>
      </c>
      <c r="I204">
        <v>37.210412165299608</v>
      </c>
    </row>
    <row r="205" spans="1:9" x14ac:dyDescent="0.2">
      <c r="A205">
        <v>200</v>
      </c>
      <c r="B205">
        <v>1148786.4218758543</v>
      </c>
      <c r="C205">
        <v>129397.27790803029</v>
      </c>
      <c r="D205">
        <v>68091.259025511768</v>
      </c>
      <c r="E205">
        <v>87242.921203356032</v>
      </c>
      <c r="F205">
        <v>42039.894544847724</v>
      </c>
      <c r="G205">
        <v>10000</v>
      </c>
      <c r="H205">
        <v>316771.35268174583</v>
      </c>
      <c r="I205">
        <v>41.091941157169714</v>
      </c>
    </row>
    <row r="206" spans="1:9" x14ac:dyDescent="0.2">
      <c r="A206">
        <v>201</v>
      </c>
      <c r="B206">
        <v>1125700.2484790678</v>
      </c>
      <c r="C206">
        <v>109972.58722947665</v>
      </c>
      <c r="D206">
        <v>60521.495450047973</v>
      </c>
      <c r="E206">
        <v>106572.13115195866</v>
      </c>
      <c r="F206">
        <v>43378.070618212521</v>
      </c>
      <c r="G206">
        <v>10000</v>
      </c>
      <c r="H206">
        <v>310444.28444969578</v>
      </c>
      <c r="I206">
        <v>34.545572620825112</v>
      </c>
    </row>
    <row r="207" spans="1:9" x14ac:dyDescent="0.2">
      <c r="A207">
        <v>202</v>
      </c>
      <c r="B207">
        <v>1462869.7944532288</v>
      </c>
      <c r="C207">
        <v>100531.98269477871</v>
      </c>
      <c r="D207">
        <v>72304.003198602979</v>
      </c>
      <c r="E207">
        <v>190804.48784840151</v>
      </c>
      <c r="F207">
        <v>49209.541466427792</v>
      </c>
      <c r="G207">
        <v>10000</v>
      </c>
      <c r="H207">
        <v>402850.01520821097</v>
      </c>
      <c r="I207">
        <v>39.02388593857053</v>
      </c>
    </row>
    <row r="208" spans="1:9" x14ac:dyDescent="0.2">
      <c r="A208">
        <v>203</v>
      </c>
      <c r="B208">
        <v>1232309.4138961674</v>
      </c>
      <c r="C208">
        <v>112020.71208490366</v>
      </c>
      <c r="D208">
        <v>115147.3063525215</v>
      </c>
      <c r="E208">
        <v>80893.579561183084</v>
      </c>
      <c r="F208">
        <v>41600.324738851137</v>
      </c>
      <c r="G208">
        <v>10000</v>
      </c>
      <c r="H208">
        <v>339661.92273745942</v>
      </c>
      <c r="I208">
        <v>27.599366066506427</v>
      </c>
    </row>
    <row r="209" spans="1:9" x14ac:dyDescent="0.2">
      <c r="A209">
        <v>204</v>
      </c>
      <c r="B209">
        <v>971804.05487153749</v>
      </c>
      <c r="C209">
        <v>131485.13638141341</v>
      </c>
      <c r="D209">
        <v>69073.715856456038</v>
      </c>
      <c r="E209">
        <v>39007.635789995184</v>
      </c>
      <c r="F209">
        <v>38700.528631615045</v>
      </c>
      <c r="G209">
        <v>10000</v>
      </c>
      <c r="H209">
        <v>268267.0166594797</v>
      </c>
      <c r="I209">
        <v>34.861999100348214</v>
      </c>
    </row>
    <row r="210" spans="1:9" x14ac:dyDescent="0.2">
      <c r="A210">
        <v>205</v>
      </c>
      <c r="B210">
        <v>1502802.0025592742</v>
      </c>
      <c r="C210">
        <v>111836.3634966712</v>
      </c>
      <c r="D210">
        <v>149752.73777394625</v>
      </c>
      <c r="E210">
        <v>118033.32104231944</v>
      </c>
      <c r="F210">
        <v>44171.537610622116</v>
      </c>
      <c r="G210">
        <v>10000</v>
      </c>
      <c r="H210">
        <v>413793.95992355898</v>
      </c>
      <c r="I210">
        <v>36.908898761813958</v>
      </c>
    </row>
    <row r="211" spans="1:9" x14ac:dyDescent="0.2">
      <c r="A211">
        <v>206</v>
      </c>
      <c r="B211">
        <v>944171.84704198956</v>
      </c>
      <c r="C211">
        <v>136528.36236811933</v>
      </c>
      <c r="D211">
        <v>63699.178948938126</v>
      </c>
      <c r="E211">
        <v>32234.862497467333</v>
      </c>
      <c r="F211">
        <v>38231.644326747737</v>
      </c>
      <c r="G211">
        <v>10000</v>
      </c>
      <c r="H211">
        <v>260694.04814127251</v>
      </c>
      <c r="I211">
        <v>55.688528378480299</v>
      </c>
    </row>
    <row r="212" spans="1:9" x14ac:dyDescent="0.2">
      <c r="A212">
        <v>207</v>
      </c>
      <c r="B212">
        <v>809086.47639689548</v>
      </c>
      <c r="C212">
        <v>95806.993514761925</v>
      </c>
      <c r="D212">
        <v>43937.218317271858</v>
      </c>
      <c r="E212">
        <v>54177.192265169411</v>
      </c>
      <c r="F212">
        <v>39750.728695280959</v>
      </c>
      <c r="G212">
        <v>10000</v>
      </c>
      <c r="H212">
        <v>223672.13279248416</v>
      </c>
      <c r="I212">
        <v>36.839083965682875</v>
      </c>
    </row>
    <row r="213" spans="1:9" x14ac:dyDescent="0.2">
      <c r="A213">
        <v>208</v>
      </c>
      <c r="B213">
        <v>1082022.7088745954</v>
      </c>
      <c r="C213">
        <v>93836.309491686043</v>
      </c>
      <c r="D213">
        <v>69507.947611401105</v>
      </c>
      <c r="E213">
        <v>102063.67849983825</v>
      </c>
      <c r="F213">
        <v>43065.946973065722</v>
      </c>
      <c r="G213">
        <v>10000</v>
      </c>
      <c r="H213">
        <v>298473.8825759911</v>
      </c>
      <c r="I213">
        <v>47.42077952814352</v>
      </c>
    </row>
    <row r="214" spans="1:9" x14ac:dyDescent="0.2">
      <c r="A214">
        <v>209</v>
      </c>
      <c r="B214">
        <v>1378143.9606295396</v>
      </c>
      <c r="C214">
        <v>98986.462755923712</v>
      </c>
      <c r="D214">
        <v>100794.66744616874</v>
      </c>
      <c r="E214">
        <v>143887.23634327244</v>
      </c>
      <c r="F214">
        <v>45961.424054534247</v>
      </c>
      <c r="G214">
        <v>10000</v>
      </c>
      <c r="H214">
        <v>379629.79059989913</v>
      </c>
      <c r="I214">
        <v>33.561184386681468</v>
      </c>
    </row>
    <row r="215" spans="1:9" x14ac:dyDescent="0.2">
      <c r="A215">
        <v>210</v>
      </c>
      <c r="B215">
        <v>965694.59044578741</v>
      </c>
      <c r="C215">
        <v>118458.30222448013</v>
      </c>
      <c r="D215">
        <v>51190.163981428421</v>
      </c>
      <c r="E215">
        <v>66350.664177985978</v>
      </c>
      <c r="F215">
        <v>40593.507520014413</v>
      </c>
      <c r="G215">
        <v>10000</v>
      </c>
      <c r="H215">
        <v>266592.63790390891</v>
      </c>
      <c r="I215">
        <v>39.288409957320695</v>
      </c>
    </row>
    <row r="216" spans="1:9" x14ac:dyDescent="0.2">
      <c r="A216">
        <v>211</v>
      </c>
      <c r="B216">
        <v>1052191.7888517615</v>
      </c>
      <c r="C216">
        <v>104330.07355081757</v>
      </c>
      <c r="D216">
        <v>88327.735147351297</v>
      </c>
      <c r="E216">
        <v>67001.924694889909</v>
      </c>
      <c r="F216">
        <v>40638.594786569302</v>
      </c>
      <c r="G216">
        <v>10000</v>
      </c>
      <c r="H216">
        <v>290298.32817962806</v>
      </c>
      <c r="I216">
        <v>35.422809345420561</v>
      </c>
    </row>
    <row r="217" spans="1:9" x14ac:dyDescent="0.2">
      <c r="A217">
        <v>212</v>
      </c>
      <c r="B217">
        <v>1344004.0531505435</v>
      </c>
      <c r="C217">
        <v>147115.20981283867</v>
      </c>
      <c r="D217">
        <v>91504.350251260039</v>
      </c>
      <c r="E217">
        <v>98812.851933148224</v>
      </c>
      <c r="F217">
        <v>42840.889749217946</v>
      </c>
      <c r="G217">
        <v>10000</v>
      </c>
      <c r="H217">
        <v>370273.30174646486</v>
      </c>
      <c r="I217">
        <v>33.079123527490999</v>
      </c>
    </row>
    <row r="218" spans="1:9" x14ac:dyDescent="0.2">
      <c r="A218">
        <v>213</v>
      </c>
      <c r="B218">
        <v>1357801.2420564466</v>
      </c>
      <c r="C218">
        <v>124097.41035912848</v>
      </c>
      <c r="D218">
        <v>56683.248610026705</v>
      </c>
      <c r="E218">
        <v>156443.25616517744</v>
      </c>
      <c r="F218">
        <v>46830.686965281515</v>
      </c>
      <c r="G218">
        <v>10000</v>
      </c>
      <c r="H218">
        <v>374054.6020996141</v>
      </c>
      <c r="I218">
        <v>38.809606243694446</v>
      </c>
    </row>
    <row r="219" spans="1:9" x14ac:dyDescent="0.2">
      <c r="A219">
        <v>214</v>
      </c>
      <c r="B219">
        <v>1158551.8175571768</v>
      </c>
      <c r="C219">
        <v>123830.88821133479</v>
      </c>
      <c r="D219">
        <v>72591.804999196349</v>
      </c>
      <c r="E219">
        <v>90742.800216373827</v>
      </c>
      <c r="F219">
        <v>42282.193861133572</v>
      </c>
      <c r="G219">
        <v>10000</v>
      </c>
      <c r="H219">
        <v>319447.68728803855</v>
      </c>
      <c r="I219">
        <v>36.30271958114264</v>
      </c>
    </row>
    <row r="220" spans="1:9" x14ac:dyDescent="0.2">
      <c r="A220">
        <v>215</v>
      </c>
      <c r="B220">
        <v>1424442.3633229511</v>
      </c>
      <c r="C220">
        <v>92002.205371860255</v>
      </c>
      <c r="D220">
        <v>133911.04080258065</v>
      </c>
      <c r="E220">
        <v>131314.24216417174</v>
      </c>
      <c r="F220">
        <v>45090.985995981115</v>
      </c>
      <c r="G220">
        <v>10000</v>
      </c>
      <c r="H220">
        <v>392318.47433459375</v>
      </c>
      <c r="I220">
        <v>47.087410935476498</v>
      </c>
    </row>
    <row r="221" spans="1:9" x14ac:dyDescent="0.2">
      <c r="A221">
        <v>216</v>
      </c>
      <c r="B221">
        <v>1744590.9014852687</v>
      </c>
      <c r="C221">
        <v>152139.75606537069</v>
      </c>
      <c r="D221">
        <v>80797.913489333296</v>
      </c>
      <c r="E221">
        <v>206804.47266159314</v>
      </c>
      <c r="F221">
        <v>50317.232722725676</v>
      </c>
      <c r="G221">
        <v>10000</v>
      </c>
      <c r="H221">
        <v>480059.37493902276</v>
      </c>
      <c r="I221">
        <v>45.309405713712451</v>
      </c>
    </row>
    <row r="222" spans="1:9" x14ac:dyDescent="0.2">
      <c r="A222">
        <v>217</v>
      </c>
      <c r="B222">
        <v>917005.21056862047</v>
      </c>
      <c r="C222">
        <v>106750.40485096355</v>
      </c>
      <c r="D222">
        <v>53283.128654388929</v>
      </c>
      <c r="E222">
        <v>62863.082489561813</v>
      </c>
      <c r="F222">
        <v>40352.059556969667</v>
      </c>
      <c r="G222">
        <v>10000</v>
      </c>
      <c r="H222">
        <v>253248.67555188393</v>
      </c>
      <c r="I222">
        <v>40.678746911211526</v>
      </c>
    </row>
    <row r="223" spans="1:9" x14ac:dyDescent="0.2">
      <c r="A223">
        <v>218</v>
      </c>
      <c r="B223">
        <v>1679176.5915376018</v>
      </c>
      <c r="C223">
        <v>168014.54515338907</v>
      </c>
      <c r="D223">
        <v>84839.192229918684</v>
      </c>
      <c r="E223">
        <v>171411.06887981188</v>
      </c>
      <c r="F223">
        <v>47866.920153217747</v>
      </c>
      <c r="G223">
        <v>10000</v>
      </c>
      <c r="H223">
        <v>462131.72641633742</v>
      </c>
      <c r="I223">
        <v>37.019492016767117</v>
      </c>
    </row>
    <row r="224" spans="1:9" x14ac:dyDescent="0.2">
      <c r="A224">
        <v>219</v>
      </c>
      <c r="B224">
        <v>1191291.0301809949</v>
      </c>
      <c r="C224">
        <v>82953.93069066554</v>
      </c>
      <c r="D224">
        <v>67781.816363860882</v>
      </c>
      <c r="E224">
        <v>141863.24849488898</v>
      </c>
      <c r="F224">
        <v>45821.301818876927</v>
      </c>
      <c r="G224">
        <v>10000</v>
      </c>
      <c r="H224">
        <v>328420.29736829229</v>
      </c>
      <c r="I224">
        <v>31.816381000399367</v>
      </c>
    </row>
    <row r="225" spans="1:9" x14ac:dyDescent="0.2">
      <c r="A225">
        <v>220</v>
      </c>
      <c r="B225">
        <v>1442294.9752694387</v>
      </c>
      <c r="C225">
        <v>108392.94193832797</v>
      </c>
      <c r="D225">
        <v>123672.39699658146</v>
      </c>
      <c r="E225">
        <v>130136.43225064017</v>
      </c>
      <c r="F225">
        <v>45009.445309659699</v>
      </c>
      <c r="G225">
        <v>10000</v>
      </c>
      <c r="H225">
        <v>397211.21649520932</v>
      </c>
      <c r="I225">
        <v>31.35410127661693</v>
      </c>
    </row>
    <row r="226" spans="1:9" x14ac:dyDescent="0.2">
      <c r="A226">
        <v>221</v>
      </c>
      <c r="B226">
        <v>1311393.8649677397</v>
      </c>
      <c r="C226">
        <v>118534.3674626124</v>
      </c>
      <c r="D226">
        <v>154576.69110850623</v>
      </c>
      <c r="E226">
        <v>58196.037491558774</v>
      </c>
      <c r="F226">
        <v>40028.956441723305</v>
      </c>
      <c r="G226">
        <v>10000</v>
      </c>
      <c r="H226">
        <v>361336.05250440072</v>
      </c>
      <c r="I226">
        <v>50.075545334418017</v>
      </c>
    </row>
    <row r="227" spans="1:9" x14ac:dyDescent="0.2">
      <c r="A227">
        <v>222</v>
      </c>
      <c r="B227">
        <v>956120.82226650277</v>
      </c>
      <c r="C227">
        <v>99323.295229173877</v>
      </c>
      <c r="D227">
        <v>98625.542015689236</v>
      </c>
      <c r="E227">
        <v>37428.762089089236</v>
      </c>
      <c r="F227">
        <v>38591.221990783102</v>
      </c>
      <c r="G227">
        <v>10000</v>
      </c>
      <c r="H227">
        <v>263968.82132473541</v>
      </c>
      <c r="I227">
        <v>39.828914622787465</v>
      </c>
    </row>
    <row r="228" spans="1:9" x14ac:dyDescent="0.2">
      <c r="A228">
        <v>223</v>
      </c>
      <c r="B228">
        <v>1193744.2306116519</v>
      </c>
      <c r="C228">
        <v>113459.93886858415</v>
      </c>
      <c r="D228">
        <v>54925.942799049488</v>
      </c>
      <c r="E228">
        <v>125984.7277971569</v>
      </c>
      <c r="F228">
        <v>44722.019616726247</v>
      </c>
      <c r="G228">
        <v>10000</v>
      </c>
      <c r="H228">
        <v>329092.62908151682</v>
      </c>
      <c r="I228">
        <v>31.692800557985048</v>
      </c>
    </row>
    <row r="229" spans="1:9" x14ac:dyDescent="0.2">
      <c r="A229">
        <v>224</v>
      </c>
      <c r="B229">
        <v>1229885.1903825696</v>
      </c>
      <c r="C229">
        <v>137676.16369144444</v>
      </c>
      <c r="D229">
        <v>103153.63571892737</v>
      </c>
      <c r="E229">
        <v>67495.002196279471</v>
      </c>
      <c r="F229">
        <v>40672.730921280883</v>
      </c>
      <c r="G229">
        <v>10000</v>
      </c>
      <c r="H229">
        <v>338997.53252793214</v>
      </c>
      <c r="I229">
        <v>29.591702228798614</v>
      </c>
    </row>
    <row r="230" spans="1:9" x14ac:dyDescent="0.2">
      <c r="A230">
        <v>225</v>
      </c>
      <c r="B230">
        <v>1314960.2191220799</v>
      </c>
      <c r="C230">
        <v>140256.68974792663</v>
      </c>
      <c r="D230">
        <v>101908.23473563972</v>
      </c>
      <c r="E230">
        <v>88052.585842903936</v>
      </c>
      <c r="F230">
        <v>42095.948250662579</v>
      </c>
      <c r="G230">
        <v>10000</v>
      </c>
      <c r="H230">
        <v>362313.4585771329</v>
      </c>
      <c r="I230">
        <v>43.369300721346804</v>
      </c>
    </row>
    <row r="231" spans="1:9" x14ac:dyDescent="0.2">
      <c r="A231">
        <v>226</v>
      </c>
      <c r="B231">
        <v>1406478.3714611079</v>
      </c>
      <c r="C231">
        <v>161960.74226863202</v>
      </c>
      <c r="D231">
        <v>108568.82584390865</v>
      </c>
      <c r="E231">
        <v>84982.252242896677</v>
      </c>
      <c r="F231">
        <v>41883.386693738998</v>
      </c>
      <c r="G231">
        <v>10000</v>
      </c>
      <c r="H231">
        <v>387395.20704917633</v>
      </c>
      <c r="I231">
        <v>44.879179821437852</v>
      </c>
    </row>
    <row r="232" spans="1:9" x14ac:dyDescent="0.2">
      <c r="A232">
        <v>227</v>
      </c>
      <c r="B232">
        <v>1525869.9615878225</v>
      </c>
      <c r="C232">
        <v>85338.164111736318</v>
      </c>
      <c r="D232">
        <v>108046.05352763254</v>
      </c>
      <c r="E232">
        <v>187734.79440218545</v>
      </c>
      <c r="F232">
        <v>48997.024227843613</v>
      </c>
      <c r="G232">
        <v>10000</v>
      </c>
      <c r="H232">
        <v>420116.03626939794</v>
      </c>
      <c r="I232">
        <v>32.483142569672928</v>
      </c>
    </row>
    <row r="233" spans="1:9" x14ac:dyDescent="0.2">
      <c r="A233">
        <v>228</v>
      </c>
      <c r="B233">
        <v>1652389.9748086159</v>
      </c>
      <c r="C233">
        <v>130584.49075074689</v>
      </c>
      <c r="D233">
        <v>117747.21709406901</v>
      </c>
      <c r="E233">
        <v>168774.41293697472</v>
      </c>
      <c r="F233">
        <v>47684.382434098254</v>
      </c>
      <c r="G233">
        <v>10000</v>
      </c>
      <c r="H233">
        <v>454790.50321588886</v>
      </c>
      <c r="I233">
        <v>45.70927463252012</v>
      </c>
    </row>
    <row r="234" spans="1:9" x14ac:dyDescent="0.2">
      <c r="A234">
        <v>229</v>
      </c>
      <c r="B234">
        <v>1493614.310043707</v>
      </c>
      <c r="C234">
        <v>120071.58136772354</v>
      </c>
      <c r="D234">
        <v>146151.4979094156</v>
      </c>
      <c r="E234">
        <v>111344.41374695726</v>
      </c>
      <c r="F234">
        <v>43708.459413250894</v>
      </c>
      <c r="G234">
        <v>10000</v>
      </c>
      <c r="H234">
        <v>411275.95243734733</v>
      </c>
      <c r="I234">
        <v>32.658451732047752</v>
      </c>
    </row>
    <row r="235" spans="1:9" x14ac:dyDescent="0.2">
      <c r="A235">
        <v>230</v>
      </c>
      <c r="B235">
        <v>1513800.1348308567</v>
      </c>
      <c r="C235">
        <v>110381.10177903187</v>
      </c>
      <c r="D235">
        <v>138967.54097797052</v>
      </c>
      <c r="E235">
        <v>132300.25122187912</v>
      </c>
      <c r="F235">
        <v>45159.248161514712</v>
      </c>
      <c r="G235">
        <v>10000</v>
      </c>
      <c r="H235">
        <v>416808.14214039623</v>
      </c>
      <c r="I235">
        <v>26.260926676613838</v>
      </c>
    </row>
    <row r="236" spans="1:9" x14ac:dyDescent="0.2">
      <c r="A236">
        <v>231</v>
      </c>
      <c r="B236">
        <v>1352313.8491122732</v>
      </c>
      <c r="C236">
        <v>125089.8915332644</v>
      </c>
      <c r="D236">
        <v>127259.13466290689</v>
      </c>
      <c r="E236">
        <v>88102.29437548705</v>
      </c>
      <c r="F236">
        <v>42099.38961061064</v>
      </c>
      <c r="G236">
        <v>10000</v>
      </c>
      <c r="H236">
        <v>372550.71018226899</v>
      </c>
      <c r="I236">
        <v>27.381582643866309</v>
      </c>
    </row>
    <row r="237" spans="1:9" x14ac:dyDescent="0.2">
      <c r="A237">
        <v>232</v>
      </c>
      <c r="B237">
        <v>1524133.9262463842</v>
      </c>
      <c r="C237">
        <v>160322.5316726676</v>
      </c>
      <c r="D237">
        <v>101211.62244023672</v>
      </c>
      <c r="E237">
        <v>123552.46662548702</v>
      </c>
      <c r="F237">
        <v>44553.632304841412</v>
      </c>
      <c r="G237">
        <v>10000</v>
      </c>
      <c r="H237">
        <v>419640.25304323278</v>
      </c>
      <c r="I237">
        <v>35.038807355286892</v>
      </c>
    </row>
    <row r="238" spans="1:9" x14ac:dyDescent="0.2">
      <c r="A238">
        <v>233</v>
      </c>
      <c r="B238">
        <v>1098204.73135636</v>
      </c>
      <c r="C238">
        <v>100966.37139434351</v>
      </c>
      <c r="D238">
        <v>70908.00473687402</v>
      </c>
      <c r="E238">
        <v>98233.613081109957</v>
      </c>
      <c r="F238">
        <v>42800.788597922998</v>
      </c>
      <c r="G238">
        <v>10000</v>
      </c>
      <c r="H238">
        <v>302908.77781025047</v>
      </c>
      <c r="I238">
        <v>47.276371245244093</v>
      </c>
    </row>
    <row r="239" spans="1:9" x14ac:dyDescent="0.2">
      <c r="A239">
        <v>234</v>
      </c>
      <c r="B239">
        <v>1110808.6893340172</v>
      </c>
      <c r="C239">
        <v>80099.777820269592</v>
      </c>
      <c r="D239">
        <v>81024.377115767624</v>
      </c>
      <c r="E239">
        <v>111518.39817214834</v>
      </c>
      <c r="F239">
        <v>43720.504488841041</v>
      </c>
      <c r="G239">
        <v>10000</v>
      </c>
      <c r="H239">
        <v>306363.05759702658</v>
      </c>
      <c r="I239">
        <v>32.019971604173087</v>
      </c>
    </row>
    <row r="240" spans="1:9" x14ac:dyDescent="0.2">
      <c r="A240">
        <v>235</v>
      </c>
      <c r="B240">
        <v>1305136.0694152699</v>
      </c>
      <c r="C240">
        <v>99082.603763843479</v>
      </c>
      <c r="D240">
        <v>133113.6349319242</v>
      </c>
      <c r="E240">
        <v>94857.710686457867</v>
      </c>
      <c r="F240">
        <v>42567.072278293235</v>
      </c>
      <c r="G240">
        <v>10000</v>
      </c>
      <c r="H240">
        <v>359621.02166051877</v>
      </c>
      <c r="I240">
        <v>41.890121006345609</v>
      </c>
    </row>
    <row r="241" spans="1:9" x14ac:dyDescent="0.2">
      <c r="A241">
        <v>236</v>
      </c>
      <c r="B241">
        <v>1693361.9977992624</v>
      </c>
      <c r="C241">
        <v>118956.31350331895</v>
      </c>
      <c r="D241">
        <v>146287.95099459792</v>
      </c>
      <c r="E241">
        <v>163458.78116566682</v>
      </c>
      <c r="F241">
        <v>47316.377157623087</v>
      </c>
      <c r="G241">
        <v>10000</v>
      </c>
      <c r="H241">
        <v>466019.42282120674</v>
      </c>
      <c r="I241">
        <v>50.155715101655723</v>
      </c>
    </row>
    <row r="242" spans="1:9" x14ac:dyDescent="0.2">
      <c r="A242">
        <v>237</v>
      </c>
      <c r="B242">
        <v>1345466.9913451318</v>
      </c>
      <c r="C242">
        <v>155184.17914725532</v>
      </c>
      <c r="D242">
        <v>36292.930230797152</v>
      </c>
      <c r="E242">
        <v>143277.89112757784</v>
      </c>
      <c r="F242">
        <v>45919.238616524621</v>
      </c>
      <c r="G242">
        <v>10000</v>
      </c>
      <c r="H242">
        <v>370674.23912215489</v>
      </c>
      <c r="I242">
        <v>29.242709315556787</v>
      </c>
    </row>
    <row r="243" spans="1:9" x14ac:dyDescent="0.2">
      <c r="A243">
        <v>238</v>
      </c>
      <c r="B243">
        <v>1115867.3216377972</v>
      </c>
      <c r="C243">
        <v>125812.68166189989</v>
      </c>
      <c r="D243">
        <v>67122.349502972342</v>
      </c>
      <c r="E243">
        <v>83063.837513235369</v>
      </c>
      <c r="F243">
        <v>41750.573366300909</v>
      </c>
      <c r="G243">
        <v>10000</v>
      </c>
      <c r="H243">
        <v>307749.44204440853</v>
      </c>
      <c r="I243">
        <v>31.610126973698041</v>
      </c>
    </row>
    <row r="244" spans="1:9" x14ac:dyDescent="0.2">
      <c r="A244">
        <v>239</v>
      </c>
      <c r="B244">
        <v>1316601.4228127371</v>
      </c>
      <c r="C244">
        <v>127325.59279777853</v>
      </c>
      <c r="D244">
        <v>92924.507837626326</v>
      </c>
      <c r="E244">
        <v>108969.13432035901</v>
      </c>
      <c r="F244">
        <v>43544.016991409466</v>
      </c>
      <c r="G244">
        <v>10000</v>
      </c>
      <c r="H244">
        <v>362763.25194717338</v>
      </c>
      <c r="I244">
        <v>40.392462446288697</v>
      </c>
    </row>
    <row r="245" spans="1:9" x14ac:dyDescent="0.2">
      <c r="A245">
        <v>240</v>
      </c>
      <c r="B245">
        <v>1298979.61000171</v>
      </c>
      <c r="C245">
        <v>89378.767913973221</v>
      </c>
      <c r="D245">
        <v>117304.38473912477</v>
      </c>
      <c r="E245">
        <v>117140.85889049734</v>
      </c>
      <c r="F245">
        <v>44109.751769342118</v>
      </c>
      <c r="G245">
        <v>10000</v>
      </c>
      <c r="H245">
        <v>357933.76331293746</v>
      </c>
      <c r="I245">
        <v>42.023222492727648</v>
      </c>
    </row>
    <row r="246" spans="1:9" x14ac:dyDescent="0.2">
      <c r="A246">
        <v>241</v>
      </c>
      <c r="B246">
        <v>972853.72786581505</v>
      </c>
      <c r="C246">
        <v>78336.136960934964</v>
      </c>
      <c r="D246">
        <v>53616.194636463486</v>
      </c>
      <c r="E246">
        <v>103441.05770142793</v>
      </c>
      <c r="F246">
        <v>43161.303994714239</v>
      </c>
      <c r="G246">
        <v>10000</v>
      </c>
      <c r="H246">
        <v>268554.69329354062</v>
      </c>
      <c r="I246">
        <v>36.354186487480781</v>
      </c>
    </row>
    <row r="247" spans="1:9" x14ac:dyDescent="0.2">
      <c r="A247">
        <v>242</v>
      </c>
      <c r="B247">
        <v>1002005.5082311323</v>
      </c>
      <c r="C247">
        <v>110508.62782513509</v>
      </c>
      <c r="D247">
        <v>43734.515369217719</v>
      </c>
      <c r="E247">
        <v>90065.662294246489</v>
      </c>
      <c r="F247">
        <v>42235.315081909372</v>
      </c>
      <c r="G247">
        <v>10000</v>
      </c>
      <c r="H247">
        <v>276544.12057050865</v>
      </c>
      <c r="I247">
        <v>37.301286017201591</v>
      </c>
    </row>
    <row r="248" spans="1:9" x14ac:dyDescent="0.2">
      <c r="A248">
        <v>243</v>
      </c>
      <c r="B248">
        <v>1588020.5252258221</v>
      </c>
      <c r="C248">
        <v>118043.07483565185</v>
      </c>
      <c r="D248">
        <v>77609.922001344472</v>
      </c>
      <c r="E248">
        <v>201543.22315394177</v>
      </c>
      <c r="F248">
        <v>49952.992372195971</v>
      </c>
      <c r="G248">
        <v>10000</v>
      </c>
      <c r="H248">
        <v>437149.21236313408</v>
      </c>
      <c r="I248">
        <v>35.624591519176889</v>
      </c>
    </row>
    <row r="249" spans="1:9" x14ac:dyDescent="0.2">
      <c r="A249">
        <v>244</v>
      </c>
      <c r="B249">
        <v>1378137.812162824</v>
      </c>
      <c r="C249">
        <v>154510.74519516819</v>
      </c>
      <c r="D249">
        <v>46322.126924836652</v>
      </c>
      <c r="E249">
        <v>142902.0168601909</v>
      </c>
      <c r="F249">
        <v>45893.216551859368</v>
      </c>
      <c r="G249">
        <v>10000</v>
      </c>
      <c r="H249">
        <v>379628.10553205514</v>
      </c>
      <c r="I249">
        <v>32.235007209525364</v>
      </c>
    </row>
    <row r="250" spans="1:9" x14ac:dyDescent="0.2">
      <c r="A250">
        <v>245</v>
      </c>
      <c r="B250">
        <v>1145973.295684326</v>
      </c>
      <c r="C250">
        <v>135318.23288739962</v>
      </c>
      <c r="D250">
        <v>123074.82374136447</v>
      </c>
      <c r="E250">
        <v>29560.80472034559</v>
      </c>
      <c r="F250">
        <v>38046.517249870078</v>
      </c>
      <c r="G250">
        <v>10000</v>
      </c>
      <c r="H250">
        <v>316000.37859897973</v>
      </c>
      <c r="I250">
        <v>30.403577382983528</v>
      </c>
    </row>
    <row r="251" spans="1:9" x14ac:dyDescent="0.2">
      <c r="A251">
        <v>246</v>
      </c>
      <c r="B251">
        <v>917487.63319700561</v>
      </c>
      <c r="C251">
        <v>117405.33320021992</v>
      </c>
      <c r="D251">
        <v>37119.133174618612</v>
      </c>
      <c r="E251">
        <v>68139.101038185399</v>
      </c>
      <c r="F251">
        <v>40717.322379566678</v>
      </c>
      <c r="G251">
        <v>10000</v>
      </c>
      <c r="H251">
        <v>253380.88979259058</v>
      </c>
      <c r="I251">
        <v>43.525502239381453</v>
      </c>
    </row>
    <row r="252" spans="1:9" x14ac:dyDescent="0.2">
      <c r="A252">
        <v>247</v>
      </c>
      <c r="B252">
        <v>1607907.1715303406</v>
      </c>
      <c r="C252">
        <v>99700.764489283669</v>
      </c>
      <c r="D252">
        <v>129131.77504248406</v>
      </c>
      <c r="E252">
        <v>175609.30171071133</v>
      </c>
      <c r="F252">
        <v>48157.567041510782</v>
      </c>
      <c r="G252">
        <v>10000</v>
      </c>
      <c r="H252">
        <v>442599.40828398982</v>
      </c>
      <c r="I252">
        <v>34.08361003768168</v>
      </c>
    </row>
    <row r="253" spans="1:9" x14ac:dyDescent="0.2">
      <c r="A253">
        <v>248</v>
      </c>
      <c r="B253">
        <v>1537278.865337786</v>
      </c>
      <c r="C253">
        <v>136967.40328107867</v>
      </c>
      <c r="D253">
        <v>112367.47156153264</v>
      </c>
      <c r="E253">
        <v>138331.14908814363</v>
      </c>
      <c r="F253">
        <v>45576.771859948407</v>
      </c>
      <c r="G253">
        <v>10000</v>
      </c>
      <c r="H253">
        <v>423242.79579070339</v>
      </c>
      <c r="I253">
        <v>41.877946901281604</v>
      </c>
    </row>
    <row r="254" spans="1:9" x14ac:dyDescent="0.2">
      <c r="A254">
        <v>249</v>
      </c>
      <c r="B254">
        <v>1595985.7384423988</v>
      </c>
      <c r="C254">
        <v>109445.84155254487</v>
      </c>
      <c r="D254">
        <v>113298.15177012334</v>
      </c>
      <c r="E254">
        <v>178247.94753922263</v>
      </c>
      <c r="F254">
        <v>48340.242521946187</v>
      </c>
      <c r="G254">
        <v>10000</v>
      </c>
      <c r="H254">
        <v>439332.18338383699</v>
      </c>
      <c r="I254">
        <v>41.075889865169003</v>
      </c>
    </row>
    <row r="255" spans="1:9" x14ac:dyDescent="0.2">
      <c r="A255">
        <v>250</v>
      </c>
      <c r="B255">
        <v>972702.09394315502</v>
      </c>
      <c r="C255">
        <v>130173.39388374162</v>
      </c>
      <c r="D255">
        <v>68370.632121774921</v>
      </c>
      <c r="E255">
        <v>41122.189232221295</v>
      </c>
      <c r="F255">
        <v>38846.920792999932</v>
      </c>
      <c r="G255">
        <v>10000</v>
      </c>
      <c r="H255">
        <v>268513.13603073772</v>
      </c>
      <c r="I255">
        <v>34.319508666584795</v>
      </c>
    </row>
    <row r="256" spans="1:9" x14ac:dyDescent="0.2">
      <c r="A256">
        <v>251</v>
      </c>
      <c r="B256">
        <v>1143219.5309134938</v>
      </c>
      <c r="C256">
        <v>106092.94798018511</v>
      </c>
      <c r="D256">
        <v>124645.15181712667</v>
      </c>
      <c r="E256">
        <v>54719.313339559354</v>
      </c>
      <c r="F256">
        <v>39788.260154277188</v>
      </c>
      <c r="G256">
        <v>10000</v>
      </c>
      <c r="H256">
        <v>315245.67329114833</v>
      </c>
      <c r="I256">
        <v>38.563008731476671</v>
      </c>
    </row>
    <row r="257" spans="1:9" x14ac:dyDescent="0.2">
      <c r="A257">
        <v>252</v>
      </c>
      <c r="B257">
        <v>1577552.2158311687</v>
      </c>
      <c r="C257">
        <v>94111.201979423015</v>
      </c>
      <c r="D257">
        <v>146272.90588983259</v>
      </c>
      <c r="E257">
        <v>157025.15491352722</v>
      </c>
      <c r="F257">
        <v>46870.972263244192</v>
      </c>
      <c r="G257">
        <v>10000</v>
      </c>
      <c r="H257">
        <v>434280.235046027</v>
      </c>
      <c r="I257">
        <v>36.911424035841762</v>
      </c>
    </row>
    <row r="258" spans="1:9" x14ac:dyDescent="0.2">
      <c r="A258">
        <v>253</v>
      </c>
      <c r="B258">
        <v>1257191.9178417837</v>
      </c>
      <c r="C258">
        <v>104429.1854879467</v>
      </c>
      <c r="D258">
        <v>83058.009704468626</v>
      </c>
      <c r="E258">
        <v>124382.9746784681</v>
      </c>
      <c r="F258">
        <v>44611.129016201638</v>
      </c>
      <c r="G258">
        <v>10000</v>
      </c>
      <c r="H258">
        <v>346481.29888708511</v>
      </c>
      <c r="I258">
        <v>33.051441832996986</v>
      </c>
    </row>
    <row r="259" spans="1:9" x14ac:dyDescent="0.2">
      <c r="A259">
        <v>254</v>
      </c>
      <c r="B259">
        <v>1045756.9034238685</v>
      </c>
      <c r="C259">
        <v>119558.74431805695</v>
      </c>
      <c r="D259">
        <v>68453.864756521609</v>
      </c>
      <c r="E259">
        <v>69696.978992353383</v>
      </c>
      <c r="F259">
        <v>40825.175468701389</v>
      </c>
      <c r="G259">
        <v>10000</v>
      </c>
      <c r="H259">
        <v>288534.76353563333</v>
      </c>
      <c r="I259">
        <v>32.777767845612999</v>
      </c>
    </row>
    <row r="260" spans="1:9" x14ac:dyDescent="0.2">
      <c r="A260">
        <v>255</v>
      </c>
      <c r="B260">
        <v>1400591.1678003294</v>
      </c>
      <c r="C260">
        <v>131673.12086571925</v>
      </c>
      <c r="D260">
        <v>93509.084044918636</v>
      </c>
      <c r="E260">
        <v>125884.4589310708</v>
      </c>
      <c r="F260">
        <v>44715.077925997211</v>
      </c>
      <c r="G260">
        <v>10000</v>
      </c>
      <c r="H260">
        <v>385781.74176770588</v>
      </c>
      <c r="I260">
        <v>36.917358925611232</v>
      </c>
    </row>
    <row r="261" spans="1:9" x14ac:dyDescent="0.2">
      <c r="A261">
        <v>256</v>
      </c>
      <c r="B261">
        <v>1368019.2514309518</v>
      </c>
      <c r="C261">
        <v>74846.21615516064</v>
      </c>
      <c r="D261">
        <v>69479.231207633493</v>
      </c>
      <c r="E261">
        <v>193157.11818060884</v>
      </c>
      <c r="F261">
        <v>49372.415874042148</v>
      </c>
      <c r="G261">
        <v>10000</v>
      </c>
      <c r="H261">
        <v>376854.98141744512</v>
      </c>
      <c r="I261">
        <v>31.430833085050438</v>
      </c>
    </row>
    <row r="262" spans="1:9" x14ac:dyDescent="0.2">
      <c r="A262">
        <v>257</v>
      </c>
      <c r="B262">
        <v>1759258.0168332634</v>
      </c>
      <c r="C262">
        <v>110466.46388468838</v>
      </c>
      <c r="D262">
        <v>161471.15929295661</v>
      </c>
      <c r="E262">
        <v>174089.14165959007</v>
      </c>
      <c r="F262">
        <v>48052.32519181777</v>
      </c>
      <c r="G262">
        <v>10000</v>
      </c>
      <c r="H262">
        <v>484079.09002905281</v>
      </c>
      <c r="I262">
        <v>35.405451055918462</v>
      </c>
    </row>
    <row r="263" spans="1:9" x14ac:dyDescent="0.2">
      <c r="A263">
        <v>258</v>
      </c>
      <c r="B263">
        <v>1413899.4991431583</v>
      </c>
      <c r="C263">
        <v>95287.046444594642</v>
      </c>
      <c r="D263">
        <v>81921.381002982962</v>
      </c>
      <c r="E263">
        <v>174163.1855473051</v>
      </c>
      <c r="F263">
        <v>48057.451307121126</v>
      </c>
      <c r="G263">
        <v>10000</v>
      </c>
      <c r="H263">
        <v>389429.06430200383</v>
      </c>
      <c r="I263">
        <v>25.700117551836815</v>
      </c>
    </row>
    <row r="264" spans="1:9" x14ac:dyDescent="0.2">
      <c r="A264">
        <v>259</v>
      </c>
      <c r="B264">
        <v>1273467.6708784658</v>
      </c>
      <c r="C264">
        <v>125824.9212761599</v>
      </c>
      <c r="D264">
        <v>131452.89679653497</v>
      </c>
      <c r="E264">
        <v>63282.937680243071</v>
      </c>
      <c r="F264">
        <v>40381.126454786063</v>
      </c>
      <c r="G264">
        <v>10000</v>
      </c>
      <c r="H264">
        <v>350941.88220772397</v>
      </c>
      <c r="I264">
        <v>44.325900031061153</v>
      </c>
    </row>
    <row r="265" spans="1:9" x14ac:dyDescent="0.2">
      <c r="A265">
        <v>260</v>
      </c>
      <c r="B265">
        <v>1305224.7820909873</v>
      </c>
      <c r="C265">
        <v>143074.19782133392</v>
      </c>
      <c r="D265">
        <v>119377.66225714638</v>
      </c>
      <c r="E265">
        <v>66583.825027885177</v>
      </c>
      <c r="F265">
        <v>40609.649425007439</v>
      </c>
      <c r="G265">
        <v>10000</v>
      </c>
      <c r="H265">
        <v>359645.33453137294</v>
      </c>
      <c r="I265">
        <v>38.31816199892171</v>
      </c>
    </row>
    <row r="266" spans="1:9" x14ac:dyDescent="0.2">
      <c r="A266">
        <v>261</v>
      </c>
      <c r="B266">
        <v>1409573.0568932465</v>
      </c>
      <c r="C266">
        <v>110793.229480971</v>
      </c>
      <c r="D266">
        <v>74616.048882448507</v>
      </c>
      <c r="E266">
        <v>165384.37992563503</v>
      </c>
      <c r="F266">
        <v>47449.687841005507</v>
      </c>
      <c r="G266">
        <v>10000</v>
      </c>
      <c r="H266">
        <v>388243.34613006003</v>
      </c>
      <c r="I266">
        <v>54.51832079692543</v>
      </c>
    </row>
    <row r="267" spans="1:9" x14ac:dyDescent="0.2">
      <c r="A267">
        <v>262</v>
      </c>
      <c r="B267">
        <v>909706.17285710247</v>
      </c>
      <c r="C267">
        <v>95736.912241716796</v>
      </c>
      <c r="D267">
        <v>46035.653844090899</v>
      </c>
      <c r="E267">
        <v>78070.810316299161</v>
      </c>
      <c r="F267">
        <v>41404.902252666863</v>
      </c>
      <c r="G267">
        <v>10000</v>
      </c>
      <c r="H267">
        <v>251248.27865477369</v>
      </c>
      <c r="I267">
        <v>31.006529166244015</v>
      </c>
    </row>
    <row r="268" spans="1:9" x14ac:dyDescent="0.2">
      <c r="A268">
        <v>263</v>
      </c>
      <c r="B268">
        <v>1514366.7332621533</v>
      </c>
      <c r="C268">
        <v>124673.33359320577</v>
      </c>
      <c r="D268">
        <v>115281.53859538626</v>
      </c>
      <c r="E268">
        <v>141231.02142167292</v>
      </c>
      <c r="F268">
        <v>45777.532252269666</v>
      </c>
      <c r="G268">
        <v>10000</v>
      </c>
      <c r="H268">
        <v>416963.42586253467</v>
      </c>
      <c r="I268">
        <v>47.341754334764822</v>
      </c>
    </row>
    <row r="269" spans="1:9" x14ac:dyDescent="0.2">
      <c r="A269">
        <v>264</v>
      </c>
      <c r="B269">
        <v>1176534.8591764718</v>
      </c>
      <c r="C269">
        <v>138344.03558820838</v>
      </c>
      <c r="D269">
        <v>75908.907226411364</v>
      </c>
      <c r="E269">
        <v>78676.404584694712</v>
      </c>
      <c r="F269">
        <v>41446.828009709629</v>
      </c>
      <c r="G269">
        <v>10000</v>
      </c>
      <c r="H269">
        <v>324376.17540902412</v>
      </c>
      <c r="I269">
        <v>35.927785112759281</v>
      </c>
    </row>
    <row r="270" spans="1:9" x14ac:dyDescent="0.2">
      <c r="A270">
        <v>265</v>
      </c>
      <c r="B270">
        <v>1324581.3990859981</v>
      </c>
      <c r="C270">
        <v>137176.07763116545</v>
      </c>
      <c r="D270">
        <v>137898.11026508315</v>
      </c>
      <c r="E270">
        <v>59740.219715760424</v>
      </c>
      <c r="F270">
        <v>40135.861364937256</v>
      </c>
      <c r="G270">
        <v>10000</v>
      </c>
      <c r="H270">
        <v>364950.2689769463</v>
      </c>
      <c r="I270">
        <v>35.29534680253775</v>
      </c>
    </row>
    <row r="271" spans="1:9" x14ac:dyDescent="0.2">
      <c r="A271">
        <v>266</v>
      </c>
      <c r="B271">
        <v>1380033.1285405213</v>
      </c>
      <c r="C271">
        <v>138952.07308374194</v>
      </c>
      <c r="D271">
        <v>74726.298898667432</v>
      </c>
      <c r="E271">
        <v>131374.04372614942</v>
      </c>
      <c r="F271">
        <v>45095.126104118033</v>
      </c>
      <c r="G271">
        <v>10000</v>
      </c>
      <c r="H271">
        <v>380147.54181267682</v>
      </c>
      <c r="I271">
        <v>41.548648785235351</v>
      </c>
    </row>
    <row r="272" spans="1:9" x14ac:dyDescent="0.2">
      <c r="A272">
        <v>267</v>
      </c>
      <c r="B272">
        <v>1080231.3952432047</v>
      </c>
      <c r="C272">
        <v>134050.08970560131</v>
      </c>
      <c r="D272">
        <v>55500.877397908647</v>
      </c>
      <c r="E272">
        <v>77094.659898490747</v>
      </c>
      <c r="F272">
        <v>41337.322608357055</v>
      </c>
      <c r="G272">
        <v>10000</v>
      </c>
      <c r="H272">
        <v>297982.94961035775</v>
      </c>
      <c r="I272">
        <v>34.910835835546393</v>
      </c>
    </row>
    <row r="273" spans="1:9" x14ac:dyDescent="0.2">
      <c r="A273">
        <v>268</v>
      </c>
      <c r="B273">
        <v>1569074.9288506657</v>
      </c>
      <c r="C273">
        <v>94620.814851372124</v>
      </c>
      <c r="D273">
        <v>107554.26645159388</v>
      </c>
      <c r="E273">
        <v>190587.33443123125</v>
      </c>
      <c r="F273">
        <v>49194.507768316013</v>
      </c>
      <c r="G273">
        <v>10000</v>
      </c>
      <c r="H273">
        <v>431956.92350251327</v>
      </c>
      <c r="I273">
        <v>34.518174786637871</v>
      </c>
    </row>
    <row r="274" spans="1:9" x14ac:dyDescent="0.2">
      <c r="A274">
        <v>269</v>
      </c>
      <c r="B274">
        <v>925324.60137041367</v>
      </c>
      <c r="C274">
        <v>101108.25554135034</v>
      </c>
      <c r="D274">
        <v>100311.06477696431</v>
      </c>
      <c r="E274">
        <v>26289.360603792789</v>
      </c>
      <c r="F274">
        <v>37820.032657185657</v>
      </c>
      <c r="G274">
        <v>10000</v>
      </c>
      <c r="H274">
        <v>255528.71357929311</v>
      </c>
      <c r="I274">
        <v>41.289967253462599</v>
      </c>
    </row>
    <row r="275" spans="1:9" x14ac:dyDescent="0.2">
      <c r="A275">
        <v>270</v>
      </c>
      <c r="B275">
        <v>1659146.2408434763</v>
      </c>
      <c r="C275">
        <v>116240.46493231926</v>
      </c>
      <c r="D275">
        <v>98594.548016719171</v>
      </c>
      <c r="E275">
        <v>201834.00972579734</v>
      </c>
      <c r="F275">
        <v>49973.123750247505</v>
      </c>
      <c r="G275">
        <v>10000</v>
      </c>
      <c r="H275">
        <v>456642.14642508328</v>
      </c>
      <c r="I275">
        <v>29.779097859045656</v>
      </c>
    </row>
    <row r="276" spans="1:9" x14ac:dyDescent="0.2">
      <c r="A276">
        <v>271</v>
      </c>
      <c r="B276">
        <v>1353427.4814102992</v>
      </c>
      <c r="C276">
        <v>141938.92651692341</v>
      </c>
      <c r="D276">
        <v>134494.09563496846</v>
      </c>
      <c r="E276">
        <v>65863.137852005777</v>
      </c>
      <c r="F276">
        <v>40559.755697446548</v>
      </c>
      <c r="G276">
        <v>10000</v>
      </c>
      <c r="H276">
        <v>372855.91570134414</v>
      </c>
      <c r="I276">
        <v>42.148943939551998</v>
      </c>
    </row>
    <row r="277" spans="1:9" x14ac:dyDescent="0.2">
      <c r="A277">
        <v>272</v>
      </c>
      <c r="B277">
        <v>1288601.9861976826</v>
      </c>
      <c r="C277">
        <v>120771.53892412657</v>
      </c>
      <c r="D277">
        <v>86960.568935057701</v>
      </c>
      <c r="E277">
        <v>113499.84980135034</v>
      </c>
      <c r="F277">
        <v>43857.681909324252</v>
      </c>
      <c r="G277">
        <v>10000</v>
      </c>
      <c r="H277">
        <v>355089.63956985885</v>
      </c>
      <c r="I277">
        <v>34.59980526182396</v>
      </c>
    </row>
    <row r="278" spans="1:9" x14ac:dyDescent="0.2">
      <c r="A278">
        <v>273</v>
      </c>
      <c r="B278">
        <v>1587637.2659437156</v>
      </c>
      <c r="C278">
        <v>86373.122133781551</v>
      </c>
      <c r="D278">
        <v>149154.31126941467</v>
      </c>
      <c r="E278">
        <v>164152.34838361427</v>
      </c>
      <c r="F278">
        <v>47364.393349634825</v>
      </c>
      <c r="G278">
        <v>10000</v>
      </c>
      <c r="H278">
        <v>437044.17513644532</v>
      </c>
      <c r="I278">
        <v>40.505787561578451</v>
      </c>
    </row>
    <row r="279" spans="1:9" x14ac:dyDescent="0.2">
      <c r="A279">
        <v>274</v>
      </c>
      <c r="B279">
        <v>1473081.8428086066</v>
      </c>
      <c r="C279">
        <v>111779.04690422608</v>
      </c>
      <c r="D279">
        <v>94912.493450872455</v>
      </c>
      <c r="E279">
        <v>161758.55152391098</v>
      </c>
      <c r="F279">
        <v>47198.668951655374</v>
      </c>
      <c r="G279">
        <v>10000</v>
      </c>
      <c r="H279">
        <v>405648.76083066489</v>
      </c>
      <c r="I279">
        <v>30.09193772028798</v>
      </c>
    </row>
    <row r="280" spans="1:9" x14ac:dyDescent="0.2">
      <c r="A280">
        <v>275</v>
      </c>
      <c r="B280">
        <v>1251635.3059645859</v>
      </c>
      <c r="C280">
        <v>92915.765365110055</v>
      </c>
      <c r="D280">
        <v>101198.5545731501</v>
      </c>
      <c r="E280">
        <v>116760.68466116153</v>
      </c>
      <c r="F280">
        <v>44083.432015003484</v>
      </c>
      <c r="G280">
        <v>10000</v>
      </c>
      <c r="H280">
        <v>344958.43661442515</v>
      </c>
      <c r="I280">
        <v>33.351771036257105</v>
      </c>
    </row>
    <row r="281" spans="1:9" x14ac:dyDescent="0.2">
      <c r="A281">
        <v>276</v>
      </c>
      <c r="B281">
        <v>1361245.5989194859</v>
      </c>
      <c r="C281">
        <v>122355.92551017868</v>
      </c>
      <c r="D281">
        <v>70491.86342707093</v>
      </c>
      <c r="E281">
        <v>146040.30184398399</v>
      </c>
      <c r="F281">
        <v>46110.482435352737</v>
      </c>
      <c r="G281">
        <v>10000</v>
      </c>
      <c r="H281">
        <v>374998.57321658637</v>
      </c>
      <c r="I281">
        <v>50.77684937404188</v>
      </c>
    </row>
    <row r="282" spans="1:9" x14ac:dyDescent="0.2">
      <c r="A282">
        <v>277</v>
      </c>
      <c r="B282">
        <v>1342774.0864710631</v>
      </c>
      <c r="C282">
        <v>87494.023897445528</v>
      </c>
      <c r="D282">
        <v>70496.609204489447</v>
      </c>
      <c r="E282">
        <v>173905.93828317558</v>
      </c>
      <c r="F282">
        <v>48039.641881142925</v>
      </c>
      <c r="G282">
        <v>10000</v>
      </c>
      <c r="H282">
        <v>369936.21326625347</v>
      </c>
      <c r="I282">
        <v>37.941694446483041</v>
      </c>
    </row>
    <row r="283" spans="1:9" x14ac:dyDescent="0.2">
      <c r="A283">
        <v>278</v>
      </c>
      <c r="B283">
        <v>1158659.9886869099</v>
      </c>
      <c r="C283">
        <v>85684.3689157185</v>
      </c>
      <c r="D283">
        <v>159554.58667612742</v>
      </c>
      <c r="E283">
        <v>45115.029233554269</v>
      </c>
      <c r="F283">
        <v>39123.348177707609</v>
      </c>
      <c r="G283">
        <v>10000</v>
      </c>
      <c r="H283">
        <v>319477.33300310781</v>
      </c>
      <c r="I283">
        <v>30.380091644504802</v>
      </c>
    </row>
    <row r="284" spans="1:9" x14ac:dyDescent="0.2">
      <c r="A284">
        <v>279</v>
      </c>
      <c r="B284">
        <v>993613.28777036502</v>
      </c>
      <c r="C284">
        <v>124093.8265815374</v>
      </c>
      <c r="D284">
        <v>69651.958251627482</v>
      </c>
      <c r="E284">
        <v>50969.668434703563</v>
      </c>
      <c r="F284">
        <v>39528.66935317179</v>
      </c>
      <c r="G284">
        <v>10000</v>
      </c>
      <c r="H284">
        <v>274244.12262104021</v>
      </c>
      <c r="I284">
        <v>42.235781651626574</v>
      </c>
    </row>
    <row r="285" spans="1:9" x14ac:dyDescent="0.2">
      <c r="A285">
        <v>280</v>
      </c>
      <c r="B285">
        <v>928508.98173824255</v>
      </c>
      <c r="C285">
        <v>112906.31598085767</v>
      </c>
      <c r="D285">
        <v>50893.866683235661</v>
      </c>
      <c r="E285">
        <v>62288.940783161932</v>
      </c>
      <c r="F285">
        <v>40312.311284988136</v>
      </c>
      <c r="G285">
        <v>10000</v>
      </c>
      <c r="H285">
        <v>256401.43473224342</v>
      </c>
      <c r="I285">
        <v>42.994436586291982</v>
      </c>
    </row>
    <row r="286" spans="1:9" x14ac:dyDescent="0.2">
      <c r="A286">
        <v>281</v>
      </c>
      <c r="B286">
        <v>1372047.4284485788</v>
      </c>
      <c r="C286">
        <v>92861.034831407829</v>
      </c>
      <c r="D286">
        <v>43315.244667681567</v>
      </c>
      <c r="E286">
        <v>201811.13638505386</v>
      </c>
      <c r="F286">
        <v>49971.540211272964</v>
      </c>
      <c r="G286">
        <v>10000</v>
      </c>
      <c r="H286">
        <v>377958.95609541622</v>
      </c>
      <c r="I286">
        <v>41.83035630259225</v>
      </c>
    </row>
    <row r="287" spans="1:9" x14ac:dyDescent="0.2">
      <c r="A287">
        <v>282</v>
      </c>
      <c r="B287">
        <v>1405676.3527592896</v>
      </c>
      <c r="C287">
        <v>149217.13819748367</v>
      </c>
      <c r="D287">
        <v>77538.524200717031</v>
      </c>
      <c r="E287">
        <v>125716.30445742342</v>
      </c>
      <c r="F287">
        <v>44703.436462437006</v>
      </c>
      <c r="G287">
        <v>10000</v>
      </c>
      <c r="H287">
        <v>387175.40331806114</v>
      </c>
      <c r="I287">
        <v>30.473793549627203</v>
      </c>
    </row>
    <row r="288" spans="1:9" x14ac:dyDescent="0.2">
      <c r="A288">
        <v>283</v>
      </c>
      <c r="B288">
        <v>1605118.6207110146</v>
      </c>
      <c r="C288">
        <v>135576.76760974145</v>
      </c>
      <c r="D288">
        <v>144095.73421789226</v>
      </c>
      <c r="E288">
        <v>127346.37974758331</v>
      </c>
      <c r="F288">
        <v>44816.287828678847</v>
      </c>
      <c r="G288">
        <v>10000</v>
      </c>
      <c r="H288">
        <v>441835.16940389585</v>
      </c>
      <c r="I288">
        <v>28.777988036119986</v>
      </c>
    </row>
    <row r="289" spans="1:9" x14ac:dyDescent="0.2">
      <c r="A289">
        <v>284</v>
      </c>
      <c r="B289">
        <v>1438957.2323717382</v>
      </c>
      <c r="C289">
        <v>102291.2003165191</v>
      </c>
      <c r="D289">
        <v>110584.67534716531</v>
      </c>
      <c r="E289">
        <v>147227.88868260314</v>
      </c>
      <c r="F289">
        <v>46192.699985718675</v>
      </c>
      <c r="G289">
        <v>10000</v>
      </c>
      <c r="H289">
        <v>396296.46433200617</v>
      </c>
      <c r="I289">
        <v>39.575952664836734</v>
      </c>
    </row>
    <row r="290" spans="1:9" x14ac:dyDescent="0.2">
      <c r="A290">
        <v>285</v>
      </c>
      <c r="B290">
        <v>1539954.0605408072</v>
      </c>
      <c r="C290">
        <v>93176.758059730622</v>
      </c>
      <c r="D290">
        <v>100585.67891280918</v>
      </c>
      <c r="E290">
        <v>190991.07225809299</v>
      </c>
      <c r="F290">
        <v>49222.458848637209</v>
      </c>
      <c r="G290">
        <v>10000</v>
      </c>
      <c r="H290">
        <v>423975.96807926998</v>
      </c>
      <c r="I290">
        <v>39.022861375057857</v>
      </c>
    </row>
    <row r="291" spans="1:9" x14ac:dyDescent="0.2">
      <c r="A291">
        <v>286</v>
      </c>
      <c r="B291">
        <v>1368956.4972911673</v>
      </c>
      <c r="C291">
        <v>123378.73912212011</v>
      </c>
      <c r="D291">
        <v>90852.985553101127</v>
      </c>
      <c r="E291">
        <v>128017.37958397277</v>
      </c>
      <c r="F291">
        <v>44862.741663505811</v>
      </c>
      <c r="G291">
        <v>10000</v>
      </c>
      <c r="H291">
        <v>377111.84592269978</v>
      </c>
      <c r="I291">
        <v>25.840406485075807</v>
      </c>
    </row>
    <row r="292" spans="1:9" x14ac:dyDescent="0.2">
      <c r="A292">
        <v>287</v>
      </c>
      <c r="B292">
        <v>1013048.5608988886</v>
      </c>
      <c r="C292">
        <v>153658.9336121805</v>
      </c>
      <c r="D292">
        <v>36569.138574985656</v>
      </c>
      <c r="E292">
        <v>59241.225978510658</v>
      </c>
      <c r="F292">
        <v>40101.315644666123</v>
      </c>
      <c r="G292">
        <v>10000</v>
      </c>
      <c r="H292">
        <v>279570.61381034291</v>
      </c>
      <c r="I292">
        <v>39.642819861209517</v>
      </c>
    </row>
    <row r="293" spans="1:9" x14ac:dyDescent="0.2">
      <c r="A293">
        <v>288</v>
      </c>
      <c r="B293">
        <v>1331158.4130589168</v>
      </c>
      <c r="C293">
        <v>92181.763776897744</v>
      </c>
      <c r="D293">
        <v>93379.550994866368</v>
      </c>
      <c r="E293">
        <v>145143.10241031871</v>
      </c>
      <c r="F293">
        <v>46048.368628406679</v>
      </c>
      <c r="G293">
        <v>10000</v>
      </c>
      <c r="H293">
        <v>366752.78581048944</v>
      </c>
      <c r="I293">
        <v>31.156574497799575</v>
      </c>
    </row>
    <row r="294" spans="1:9" x14ac:dyDescent="0.2">
      <c r="A294">
        <v>289</v>
      </c>
      <c r="B294">
        <v>1332400.1585388109</v>
      </c>
      <c r="C294">
        <v>90365.370490970745</v>
      </c>
      <c r="D294">
        <v>43550.575466797527</v>
      </c>
      <c r="E294">
        <v>193762.80820699569</v>
      </c>
      <c r="F294">
        <v>49414.348260484316</v>
      </c>
      <c r="G294">
        <v>10000</v>
      </c>
      <c r="H294">
        <v>367093.10242524825</v>
      </c>
      <c r="I294">
        <v>37.103245478018437</v>
      </c>
    </row>
    <row r="295" spans="1:9" x14ac:dyDescent="0.2">
      <c r="A295">
        <v>290</v>
      </c>
      <c r="B295">
        <v>1437517.8474164472</v>
      </c>
      <c r="C295">
        <v>111975.38952646226</v>
      </c>
      <c r="D295">
        <v>118419.62214452594</v>
      </c>
      <c r="E295">
        <v>130474.14494015461</v>
      </c>
      <c r="F295">
        <v>45032.825418933782</v>
      </c>
      <c r="G295">
        <v>10000</v>
      </c>
      <c r="H295">
        <v>395901.98203007656</v>
      </c>
      <c r="I295">
        <v>32.544321084474916</v>
      </c>
    </row>
    <row r="296" spans="1:9" x14ac:dyDescent="0.2">
      <c r="A296">
        <v>291</v>
      </c>
      <c r="B296">
        <v>1347969.5651800137</v>
      </c>
      <c r="C296">
        <v>103852.84283281351</v>
      </c>
      <c r="D296">
        <v>35406.104032532814</v>
      </c>
      <c r="E296">
        <v>192756.47627171464</v>
      </c>
      <c r="F296">
        <v>49344.679126503324</v>
      </c>
      <c r="G296">
        <v>10000</v>
      </c>
      <c r="H296">
        <v>371360.10226356424</v>
      </c>
      <c r="I296">
        <v>42.26849521443156</v>
      </c>
    </row>
    <row r="297" spans="1:9" x14ac:dyDescent="0.2">
      <c r="A297">
        <v>292</v>
      </c>
      <c r="B297">
        <v>1215903.1188658443</v>
      </c>
      <c r="C297">
        <v>127677.79622720819</v>
      </c>
      <c r="D297">
        <v>82961.409929501795</v>
      </c>
      <c r="E297">
        <v>92146.952137962682</v>
      </c>
      <c r="F297">
        <v>42379.404378782026</v>
      </c>
      <c r="G297">
        <v>10000</v>
      </c>
      <c r="H297">
        <v>335165.5626734547</v>
      </c>
      <c r="I297">
        <v>36.532522439671766</v>
      </c>
    </row>
    <row r="298" spans="1:9" x14ac:dyDescent="0.2">
      <c r="A298">
        <v>293</v>
      </c>
      <c r="B298">
        <v>1411552.6499914967</v>
      </c>
      <c r="C298">
        <v>109259.91235156797</v>
      </c>
      <c r="D298">
        <v>65100.527770224428</v>
      </c>
      <c r="E298">
        <v>176225.2311198269</v>
      </c>
      <c r="F298">
        <v>48200.208308295703</v>
      </c>
      <c r="G298">
        <v>10000</v>
      </c>
      <c r="H298">
        <v>388785.87954991497</v>
      </c>
      <c r="I298">
        <v>31.149460749347938</v>
      </c>
    </row>
    <row r="299" spans="1:9" x14ac:dyDescent="0.2">
      <c r="A299">
        <v>294</v>
      </c>
      <c r="B299">
        <v>1829300.8006693437</v>
      </c>
      <c r="C299">
        <v>138275.99291958971</v>
      </c>
      <c r="D299">
        <v>125970.47088671417</v>
      </c>
      <c r="E299">
        <v>199235.53901985995</v>
      </c>
      <c r="F299">
        <v>49793.229624451837</v>
      </c>
      <c r="G299">
        <v>10000</v>
      </c>
      <c r="H299">
        <v>503275.23245061573</v>
      </c>
      <c r="I299">
        <v>33.809605274676869</v>
      </c>
    </row>
    <row r="300" spans="1:9" x14ac:dyDescent="0.2">
      <c r="A300">
        <v>295</v>
      </c>
      <c r="B300">
        <v>1130579.9203028437</v>
      </c>
      <c r="C300">
        <v>116586.87596913836</v>
      </c>
      <c r="D300">
        <v>81968.728155107252</v>
      </c>
      <c r="E300">
        <v>81578.290504848614</v>
      </c>
      <c r="F300">
        <v>41647.727804181828</v>
      </c>
      <c r="G300">
        <v>10000</v>
      </c>
      <c r="H300">
        <v>311781.62243327603</v>
      </c>
      <c r="I300">
        <v>24.997791789247579</v>
      </c>
    </row>
    <row r="301" spans="1:9" x14ac:dyDescent="0.2">
      <c r="A301">
        <v>296</v>
      </c>
      <c r="B301">
        <v>1369223.1119142848</v>
      </c>
      <c r="C301">
        <v>103260.83418710294</v>
      </c>
      <c r="D301">
        <v>60791.085921804464</v>
      </c>
      <c r="E301">
        <v>175016.47018477606</v>
      </c>
      <c r="F301">
        <v>48116.524858946032</v>
      </c>
      <c r="G301">
        <v>10000</v>
      </c>
      <c r="H301">
        <v>377184.91515262949</v>
      </c>
      <c r="I301">
        <v>49.269500878403051</v>
      </c>
    </row>
    <row r="302" spans="1:9" x14ac:dyDescent="0.2">
      <c r="A302">
        <v>297</v>
      </c>
      <c r="B302">
        <v>1051044.2449383365</v>
      </c>
      <c r="C302">
        <v>105538.98758989396</v>
      </c>
      <c r="D302">
        <v>125695.38136265373</v>
      </c>
      <c r="E302">
        <v>30628.99116637613</v>
      </c>
      <c r="F302">
        <v>38120.468619210653</v>
      </c>
      <c r="G302">
        <v>10000</v>
      </c>
      <c r="H302">
        <v>289983.82873813447</v>
      </c>
      <c r="I302">
        <v>40.185147036950056</v>
      </c>
    </row>
    <row r="303" spans="1:9" x14ac:dyDescent="0.2">
      <c r="A303">
        <v>298</v>
      </c>
      <c r="B303">
        <v>986443.38708612451</v>
      </c>
      <c r="C303">
        <v>122192.87850050307</v>
      </c>
      <c r="D303">
        <v>73242.503676916647</v>
      </c>
      <c r="E303">
        <v>47551.694829188484</v>
      </c>
      <c r="F303">
        <v>39292.04041125151</v>
      </c>
      <c r="G303">
        <v>10000</v>
      </c>
      <c r="H303">
        <v>272279.11741785973</v>
      </c>
      <c r="I303">
        <v>29.605744842321528</v>
      </c>
    </row>
    <row r="304" spans="1:9" x14ac:dyDescent="0.2">
      <c r="A304">
        <v>299</v>
      </c>
      <c r="B304">
        <v>1303030.9066389073</v>
      </c>
      <c r="C304">
        <v>136544.95561853991</v>
      </c>
      <c r="D304">
        <v>62762.395748789815</v>
      </c>
      <c r="E304">
        <v>125077.51058678026</v>
      </c>
      <c r="F304">
        <v>44659.212271392484</v>
      </c>
      <c r="G304">
        <v>10000</v>
      </c>
      <c r="H304">
        <v>359044.07422550244</v>
      </c>
      <c r="I304">
        <v>28.905735535323711</v>
      </c>
    </row>
    <row r="305" spans="1:9" x14ac:dyDescent="0.2">
      <c r="A305">
        <v>300</v>
      </c>
      <c r="B305">
        <v>719596.63080780709</v>
      </c>
      <c r="C305">
        <v>94923.368371791512</v>
      </c>
      <c r="D305">
        <v>47697.81184054551</v>
      </c>
      <c r="E305">
        <v>28548.643586341361</v>
      </c>
      <c r="F305">
        <v>37976.444555977483</v>
      </c>
      <c r="G305">
        <v>10000</v>
      </c>
      <c r="H305">
        <v>199146.26835465585</v>
      </c>
      <c r="I305">
        <v>38.215317278137036</v>
      </c>
    </row>
    <row r="306" spans="1:9" x14ac:dyDescent="0.2">
      <c r="A306">
        <v>301</v>
      </c>
      <c r="B306">
        <v>1374363.9624080327</v>
      </c>
      <c r="C306">
        <v>112564.53723003357</v>
      </c>
      <c r="D306">
        <v>99394.660909280603</v>
      </c>
      <c r="E306">
        <v>131528.79479313397</v>
      </c>
      <c r="F306">
        <v>45105.83963952466</v>
      </c>
      <c r="G306">
        <v>10000</v>
      </c>
      <c r="H306">
        <v>378593.8325719728</v>
      </c>
      <c r="I306">
        <v>39.970335223335589</v>
      </c>
    </row>
    <row r="307" spans="1:9" x14ac:dyDescent="0.2">
      <c r="A307">
        <v>302</v>
      </c>
      <c r="B307">
        <v>971521.34654713527</v>
      </c>
      <c r="C307">
        <v>97816.821215203148</v>
      </c>
      <c r="D307">
        <v>105910.01074911719</v>
      </c>
      <c r="E307">
        <v>35972.313818884395</v>
      </c>
      <c r="F307">
        <v>38490.39095669199</v>
      </c>
      <c r="G307">
        <v>10000</v>
      </c>
      <c r="H307">
        <v>268189.53673989675</v>
      </c>
      <c r="I307">
        <v>42.265910832647634</v>
      </c>
    </row>
    <row r="308" spans="1:9" x14ac:dyDescent="0.2">
      <c r="A308">
        <v>303</v>
      </c>
      <c r="B308">
        <v>1644969.3961262479</v>
      </c>
      <c r="C308">
        <v>137207.16777802524</v>
      </c>
      <c r="D308">
        <v>156462.67303878782</v>
      </c>
      <c r="E308">
        <v>124469.81459629037</v>
      </c>
      <c r="F308">
        <v>44617.141010512409</v>
      </c>
      <c r="G308">
        <v>10000</v>
      </c>
      <c r="H308">
        <v>452756.79642361583</v>
      </c>
      <c r="I308">
        <v>43.740707041244939</v>
      </c>
    </row>
    <row r="309" spans="1:9" x14ac:dyDescent="0.2">
      <c r="A309">
        <v>304</v>
      </c>
      <c r="B309">
        <v>1368719.0626314587</v>
      </c>
      <c r="C309">
        <v>123916.47103992761</v>
      </c>
      <c r="D309">
        <v>68284.338632812156</v>
      </c>
      <c r="E309">
        <v>148560.97368533205</v>
      </c>
      <c r="F309">
        <v>46284.990485907598</v>
      </c>
      <c r="G309">
        <v>10000</v>
      </c>
      <c r="H309">
        <v>377046.7738439794</v>
      </c>
      <c r="I309">
        <v>27.0121520427486</v>
      </c>
    </row>
    <row r="310" spans="1:9" x14ac:dyDescent="0.2">
      <c r="A310">
        <v>305</v>
      </c>
      <c r="B310">
        <v>1390327.9366348549</v>
      </c>
      <c r="C310">
        <v>112220.09508767303</v>
      </c>
      <c r="D310">
        <v>122710.98079802335</v>
      </c>
      <c r="E310">
        <v>114136.15886473848</v>
      </c>
      <c r="F310">
        <v>43901.734075251123</v>
      </c>
      <c r="G310">
        <v>10000</v>
      </c>
      <c r="H310">
        <v>382968.96882568602</v>
      </c>
      <c r="I310">
        <v>48.439346847545274</v>
      </c>
    </row>
    <row r="311" spans="1:9" x14ac:dyDescent="0.2">
      <c r="A311">
        <v>306</v>
      </c>
      <c r="B311">
        <v>1200839.8084066359</v>
      </c>
      <c r="C311">
        <v>132470.97374875465</v>
      </c>
      <c r="D311">
        <v>121895.8008873096</v>
      </c>
      <c r="E311">
        <v>47389.667362180626</v>
      </c>
      <c r="F311">
        <v>39280.823125074043</v>
      </c>
      <c r="G311">
        <v>10000</v>
      </c>
      <c r="H311">
        <v>331037.26512331888</v>
      </c>
      <c r="I311">
        <v>35.093646158609246</v>
      </c>
    </row>
    <row r="312" spans="1:9" x14ac:dyDescent="0.2">
      <c r="A312">
        <v>307</v>
      </c>
      <c r="B312">
        <v>1502593.4296482017</v>
      </c>
      <c r="C312">
        <v>123995.29330171183</v>
      </c>
      <c r="D312">
        <v>71425.717498980695</v>
      </c>
      <c r="E312">
        <v>179863.68566888984</v>
      </c>
      <c r="F312">
        <v>48452.10131553853</v>
      </c>
      <c r="G312">
        <v>10000</v>
      </c>
      <c r="H312">
        <v>413736.7977851209</v>
      </c>
      <c r="I312">
        <v>35.877138251899879</v>
      </c>
    </row>
    <row r="313" spans="1:9" x14ac:dyDescent="0.2">
      <c r="A313">
        <v>308</v>
      </c>
      <c r="B313">
        <v>1050317.8667391322</v>
      </c>
      <c r="C313">
        <v>141157.35015121981</v>
      </c>
      <c r="D313">
        <v>39204.423227655199</v>
      </c>
      <c r="E313">
        <v>78021.493862115196</v>
      </c>
      <c r="F313">
        <v>41401.488036607974</v>
      </c>
      <c r="G313">
        <v>10000</v>
      </c>
      <c r="H313">
        <v>289784.75527759816</v>
      </c>
      <c r="I313">
        <v>42.452300710480451</v>
      </c>
    </row>
    <row r="314" spans="1:9" x14ac:dyDescent="0.2">
      <c r="A314">
        <v>309</v>
      </c>
      <c r="B314">
        <v>1491788.9995784005</v>
      </c>
      <c r="C314">
        <v>89334.86798062711</v>
      </c>
      <c r="D314">
        <v>121407.38040973769</v>
      </c>
      <c r="E314">
        <v>162765.10067970061</v>
      </c>
      <c r="F314">
        <v>47268.353123979272</v>
      </c>
      <c r="G314">
        <v>10000</v>
      </c>
      <c r="H314">
        <v>410775.70219404472</v>
      </c>
      <c r="I314">
        <v>41.934697064548843</v>
      </c>
    </row>
    <row r="315" spans="1:9" x14ac:dyDescent="0.2">
      <c r="A315">
        <v>310</v>
      </c>
      <c r="B315">
        <v>901714.13262433838</v>
      </c>
      <c r="C315">
        <v>112728.18829845665</v>
      </c>
      <c r="D315">
        <v>42937.08413743454</v>
      </c>
      <c r="E315">
        <v>63029.127894871912</v>
      </c>
      <c r="F315">
        <v>40363.555008106516</v>
      </c>
      <c r="G315">
        <v>10000</v>
      </c>
      <c r="H315">
        <v>249057.95533886959</v>
      </c>
      <c r="I315">
        <v>28.283075977448821</v>
      </c>
    </row>
    <row r="316" spans="1:9" x14ac:dyDescent="0.2">
      <c r="A316">
        <v>311</v>
      </c>
      <c r="B316">
        <v>1279776.6165523494</v>
      </c>
      <c r="C316">
        <v>148325.69055864328</v>
      </c>
      <c r="D316">
        <v>119264.7912631181</v>
      </c>
      <c r="E316">
        <v>55255.096739455614</v>
      </c>
      <c r="F316">
        <v>39825.352851193078</v>
      </c>
      <c r="G316">
        <v>10000</v>
      </c>
      <c r="H316">
        <v>352670.93141240999</v>
      </c>
      <c r="I316">
        <v>42.632401532977013</v>
      </c>
    </row>
    <row r="317" spans="1:9" x14ac:dyDescent="0.2">
      <c r="A317">
        <v>312</v>
      </c>
      <c r="B317">
        <v>1199297.5733722732</v>
      </c>
      <c r="C317">
        <v>132067.84188297289</v>
      </c>
      <c r="D317">
        <v>126777.50609171018</v>
      </c>
      <c r="E317">
        <v>42805.770982629154</v>
      </c>
      <c r="F317">
        <v>38963.476452643554</v>
      </c>
      <c r="G317">
        <v>10000</v>
      </c>
      <c r="H317">
        <v>330614.59540995577</v>
      </c>
      <c r="I317">
        <v>36.273738732334358</v>
      </c>
    </row>
    <row r="318" spans="1:9" x14ac:dyDescent="0.2">
      <c r="A318">
        <v>313</v>
      </c>
      <c r="B318">
        <v>1182504.3629922592</v>
      </c>
      <c r="C318">
        <v>123759.76143682977</v>
      </c>
      <c r="D318">
        <v>53602.001717906329</v>
      </c>
      <c r="E318">
        <v>114709.03803072419</v>
      </c>
      <c r="F318">
        <v>43941.394940588601</v>
      </c>
      <c r="G318">
        <v>10000</v>
      </c>
      <c r="H318">
        <v>326012.19612604892</v>
      </c>
      <c r="I318">
        <v>36.209436424288825</v>
      </c>
    </row>
    <row r="319" spans="1:9" x14ac:dyDescent="0.2">
      <c r="A319">
        <v>314</v>
      </c>
      <c r="B319">
        <v>1528642.4409428611</v>
      </c>
      <c r="C319">
        <v>124651.93753766853</v>
      </c>
      <c r="D319">
        <v>147575.11254792841</v>
      </c>
      <c r="E319">
        <v>114707.52993464506</v>
      </c>
      <c r="F319">
        <v>43941.290533936968</v>
      </c>
      <c r="G319">
        <v>10000</v>
      </c>
      <c r="H319">
        <v>420875.87055417901</v>
      </c>
      <c r="I319">
        <v>38.5837720426982</v>
      </c>
    </row>
    <row r="320" spans="1:9" x14ac:dyDescent="0.2">
      <c r="A320">
        <v>315</v>
      </c>
      <c r="B320">
        <v>1336355.2273502932</v>
      </c>
      <c r="C320">
        <v>116438.7966154148</v>
      </c>
      <c r="D320">
        <v>91413.705400097519</v>
      </c>
      <c r="E320">
        <v>125627.2665280511</v>
      </c>
      <c r="F320">
        <v>44697.272298095842</v>
      </c>
      <c r="G320">
        <v>10000</v>
      </c>
      <c r="H320">
        <v>368177.0408416593</v>
      </c>
      <c r="I320">
        <v>29.45705076341617</v>
      </c>
    </row>
    <row r="321" spans="1:9" x14ac:dyDescent="0.2">
      <c r="A321">
        <v>316</v>
      </c>
      <c r="B321">
        <v>1403250.6163961645</v>
      </c>
      <c r="C321">
        <v>115475.91477680927</v>
      </c>
      <c r="D321">
        <v>80245.790421896992</v>
      </c>
      <c r="E321">
        <v>154119.10883573873</v>
      </c>
      <c r="F321">
        <v>46669.784457858826</v>
      </c>
      <c r="G321">
        <v>10000</v>
      </c>
      <c r="H321">
        <v>386510.5984923038</v>
      </c>
      <c r="I321">
        <v>32.800198043887605</v>
      </c>
    </row>
    <row r="322" spans="1:9" x14ac:dyDescent="0.2">
      <c r="A322">
        <v>317</v>
      </c>
      <c r="B322">
        <v>895381.30107606715</v>
      </c>
      <c r="C322">
        <v>84978.890073523726</v>
      </c>
      <c r="D322">
        <v>92710.00769046323</v>
      </c>
      <c r="E322">
        <v>40808.273937742553</v>
      </c>
      <c r="F322">
        <v>38825.188195689865</v>
      </c>
      <c r="G322">
        <v>10000</v>
      </c>
      <c r="H322">
        <v>247322.35989741937</v>
      </c>
      <c r="I322">
        <v>32.869424265978182</v>
      </c>
    </row>
    <row r="323" spans="1:9" x14ac:dyDescent="0.2">
      <c r="A323">
        <v>318</v>
      </c>
      <c r="B323">
        <v>1381545.5917918307</v>
      </c>
      <c r="C323">
        <v>119343.21116708059</v>
      </c>
      <c r="D323">
        <v>60132.845066827678</v>
      </c>
      <c r="E323">
        <v>163749.49261042837</v>
      </c>
      <c r="F323">
        <v>47336.503334568115</v>
      </c>
      <c r="G323">
        <v>10000</v>
      </c>
      <c r="H323">
        <v>380562.05217890476</v>
      </c>
      <c r="I323">
        <v>44.319353950877044</v>
      </c>
    </row>
    <row r="324" spans="1:9" x14ac:dyDescent="0.2">
      <c r="A324">
        <v>319</v>
      </c>
      <c r="B324">
        <v>1221905.7301656432</v>
      </c>
      <c r="C324">
        <v>100685.92382191148</v>
      </c>
      <c r="D324">
        <v>52098.854366990643</v>
      </c>
      <c r="E324">
        <v>147793.98731196561</v>
      </c>
      <c r="F324">
        <v>46231.891429289928</v>
      </c>
      <c r="G324">
        <v>10000</v>
      </c>
      <c r="H324">
        <v>336810.65693015768</v>
      </c>
      <c r="I324">
        <v>33.136737592075619</v>
      </c>
    </row>
    <row r="325" spans="1:9" x14ac:dyDescent="0.2">
      <c r="A325">
        <v>320</v>
      </c>
      <c r="B325">
        <v>1325486.3108412332</v>
      </c>
      <c r="C325">
        <v>134059.15795363588</v>
      </c>
      <c r="D325">
        <v>53286.086696714592</v>
      </c>
      <c r="E325">
        <v>142020.81684955006</v>
      </c>
      <c r="F325">
        <v>45832.210397276547</v>
      </c>
      <c r="G325">
        <v>10000</v>
      </c>
      <c r="H325">
        <v>365198.2718971771</v>
      </c>
      <c r="I325">
        <v>37.513988891098215</v>
      </c>
    </row>
    <row r="326" spans="1:9" x14ac:dyDescent="0.2">
      <c r="A326">
        <v>321</v>
      </c>
      <c r="B326">
        <v>1254674.0298446575</v>
      </c>
      <c r="C326">
        <v>91259.91859249711</v>
      </c>
      <c r="D326">
        <v>57892.08498761012</v>
      </c>
      <c r="E326">
        <v>159590.6515499574</v>
      </c>
      <c r="F326">
        <v>47048.583568843205</v>
      </c>
      <c r="G326">
        <v>10000</v>
      </c>
      <c r="H326">
        <v>345791.23869890784</v>
      </c>
      <c r="I326">
        <v>52.226890553223754</v>
      </c>
    </row>
    <row r="327" spans="1:9" x14ac:dyDescent="0.2">
      <c r="A327">
        <v>322</v>
      </c>
      <c r="B327">
        <v>1186595.9458674167</v>
      </c>
      <c r="C327">
        <v>104206.92310042905</v>
      </c>
      <c r="D327">
        <v>68388.621669625878</v>
      </c>
      <c r="E327">
        <v>120215.39871347595</v>
      </c>
      <c r="F327">
        <v>44322.604526317569</v>
      </c>
      <c r="G327">
        <v>10000</v>
      </c>
      <c r="H327">
        <v>327133.54800984845</v>
      </c>
      <c r="I327">
        <v>33.955124979495864</v>
      </c>
    </row>
    <row r="328" spans="1:9" x14ac:dyDescent="0.2">
      <c r="A328">
        <v>323</v>
      </c>
      <c r="B328">
        <v>1209846.4038844758</v>
      </c>
      <c r="C328">
        <v>126444.28956274952</v>
      </c>
      <c r="D328">
        <v>44021.162918292408</v>
      </c>
      <c r="E328">
        <v>128167.08240789357</v>
      </c>
      <c r="F328">
        <v>44873.105705161863</v>
      </c>
      <c r="G328">
        <v>10000</v>
      </c>
      <c r="H328">
        <v>333505.64059409738</v>
      </c>
      <c r="I328">
        <v>36.248511602829254</v>
      </c>
    </row>
    <row r="329" spans="1:9" x14ac:dyDescent="0.2">
      <c r="A329">
        <v>324</v>
      </c>
      <c r="B329">
        <v>1702730.2708448621</v>
      </c>
      <c r="C329">
        <v>98621.534407308965</v>
      </c>
      <c r="D329">
        <v>128831.31851222499</v>
      </c>
      <c r="E329">
        <v>201204.52388626136</v>
      </c>
      <c r="F329">
        <v>49929.543961356554</v>
      </c>
      <c r="G329">
        <v>10000</v>
      </c>
      <c r="H329">
        <v>468586.92076715193</v>
      </c>
      <c r="I329">
        <v>38.151749956778559</v>
      </c>
    </row>
    <row r="330" spans="1:9" x14ac:dyDescent="0.2">
      <c r="A330">
        <v>325</v>
      </c>
      <c r="B330">
        <v>1070697.2433252328</v>
      </c>
      <c r="C330">
        <v>125455.43394676343</v>
      </c>
      <c r="D330">
        <v>83103.885911471691</v>
      </c>
      <c r="E330">
        <v>56873.288983308768</v>
      </c>
      <c r="F330">
        <v>39937.381544998294</v>
      </c>
      <c r="G330">
        <v>10000</v>
      </c>
      <c r="H330">
        <v>295369.99038654217</v>
      </c>
      <c r="I330">
        <v>43.431971510630689</v>
      </c>
    </row>
    <row r="331" spans="1:9" x14ac:dyDescent="0.2">
      <c r="A331">
        <v>326</v>
      </c>
      <c r="B331">
        <v>1319133.8314310459</v>
      </c>
      <c r="C331">
        <v>91141.873797766544</v>
      </c>
      <c r="D331">
        <v>67230.239308880002</v>
      </c>
      <c r="E331">
        <v>167489.73537675812</v>
      </c>
      <c r="F331">
        <v>47595.443218390945</v>
      </c>
      <c r="G331">
        <v>10000</v>
      </c>
      <c r="H331">
        <v>363457.29170179559</v>
      </c>
      <c r="I331">
        <v>38.403216545615834</v>
      </c>
    </row>
    <row r="332" spans="1:9" x14ac:dyDescent="0.2">
      <c r="A332">
        <v>327</v>
      </c>
      <c r="B332">
        <v>1679119.5336627215</v>
      </c>
      <c r="C332">
        <v>103224.18575231597</v>
      </c>
      <c r="D332">
        <v>169600.43344995999</v>
      </c>
      <c r="E332">
        <v>152718.64077902315</v>
      </c>
      <c r="F332">
        <v>46572.828977009296</v>
      </c>
      <c r="G332">
        <v>10000</v>
      </c>
      <c r="H332">
        <v>462116.08895830845</v>
      </c>
      <c r="I332">
        <v>38.391703345047162</v>
      </c>
    </row>
    <row r="333" spans="1:9" x14ac:dyDescent="0.2">
      <c r="A333">
        <v>328</v>
      </c>
      <c r="B333">
        <v>1149134.136608039</v>
      </c>
      <c r="C333">
        <v>125788.77595168946</v>
      </c>
      <c r="D333">
        <v>106112.18068096954</v>
      </c>
      <c r="E333">
        <v>55147.769333913064</v>
      </c>
      <c r="F333">
        <v>39817.922492347825</v>
      </c>
      <c r="G333">
        <v>10000</v>
      </c>
      <c r="H333">
        <v>316866.6484589199</v>
      </c>
      <c r="I333">
        <v>32.772561259706706</v>
      </c>
    </row>
    <row r="334" spans="1:9" x14ac:dyDescent="0.2">
      <c r="A334">
        <v>329</v>
      </c>
      <c r="B334">
        <v>1362744.4762350817</v>
      </c>
      <c r="C334">
        <v>78215.867485374867</v>
      </c>
      <c r="D334">
        <v>71681.094670388775</v>
      </c>
      <c r="E334">
        <v>186594.32908663503</v>
      </c>
      <c r="F334">
        <v>48918.068936767042</v>
      </c>
      <c r="G334">
        <v>10000</v>
      </c>
      <c r="H334">
        <v>375409.36017916573</v>
      </c>
      <c r="I334">
        <v>26.737684153217458</v>
      </c>
    </row>
    <row r="335" spans="1:9" x14ac:dyDescent="0.2">
      <c r="A335">
        <v>330</v>
      </c>
      <c r="B335">
        <v>896727.46006976091</v>
      </c>
      <c r="C335">
        <v>83438.903416276822</v>
      </c>
      <c r="D335">
        <v>95243.407957864023</v>
      </c>
      <c r="E335">
        <v>40224.22686187717</v>
      </c>
      <c r="F335">
        <v>38784.754167360727</v>
      </c>
      <c r="G335">
        <v>10000</v>
      </c>
      <c r="H335">
        <v>247691.29240337873</v>
      </c>
      <c r="I335">
        <v>35.807231276109306</v>
      </c>
    </row>
    <row r="336" spans="1:9" x14ac:dyDescent="0.2">
      <c r="A336">
        <v>331</v>
      </c>
      <c r="B336">
        <v>1263754.1788495476</v>
      </c>
      <c r="C336">
        <v>88062.349996581645</v>
      </c>
      <c r="D336">
        <v>51871.151885965715</v>
      </c>
      <c r="E336">
        <v>170539.67753463646</v>
      </c>
      <c r="F336">
        <v>47806.593060090221</v>
      </c>
      <c r="G336">
        <v>10000</v>
      </c>
      <c r="H336">
        <v>348279.77247727406</v>
      </c>
      <c r="I336">
        <v>32.602151150327202</v>
      </c>
    </row>
    <row r="337" spans="1:9" x14ac:dyDescent="0.2">
      <c r="A337">
        <v>332</v>
      </c>
      <c r="B337">
        <v>1574698.7638173082</v>
      </c>
      <c r="C337">
        <v>121498.67704576842</v>
      </c>
      <c r="D337">
        <v>80632.620744357293</v>
      </c>
      <c r="E337">
        <v>192069.77320810832</v>
      </c>
      <c r="F337">
        <v>49297.138145176737</v>
      </c>
      <c r="G337">
        <v>10000</v>
      </c>
      <c r="H337">
        <v>433498.20914341079</v>
      </c>
      <c r="I337">
        <v>44.155169978268319</v>
      </c>
    </row>
    <row r="338" spans="1:9" x14ac:dyDescent="0.2">
      <c r="A338">
        <v>333</v>
      </c>
      <c r="B338">
        <v>723073.73680500756</v>
      </c>
      <c r="C338">
        <v>118881.18439898363</v>
      </c>
      <c r="D338">
        <v>27041.549642968272</v>
      </c>
      <c r="E338">
        <v>26352.104306869616</v>
      </c>
      <c r="F338">
        <v>37824.376452014047</v>
      </c>
      <c r="G338">
        <v>10000</v>
      </c>
      <c r="H338">
        <v>200099.21480083559</v>
      </c>
      <c r="I338">
        <v>44.95270781863978</v>
      </c>
    </row>
    <row r="339" spans="1:9" x14ac:dyDescent="0.2">
      <c r="A339">
        <v>334</v>
      </c>
      <c r="B339">
        <v>1394091.8465798476</v>
      </c>
      <c r="C339">
        <v>122244.26428737277</v>
      </c>
      <c r="D339">
        <v>86677.676048261012</v>
      </c>
      <c r="E339">
        <v>139426.00756084267</v>
      </c>
      <c r="F339">
        <v>45652.569754212178</v>
      </c>
      <c r="G339">
        <v>10000</v>
      </c>
      <c r="H339">
        <v>384000.51765068865</v>
      </c>
      <c r="I339">
        <v>29.112715117056403</v>
      </c>
    </row>
    <row r="340" spans="1:9" x14ac:dyDescent="0.2">
      <c r="A340">
        <v>335</v>
      </c>
      <c r="B340">
        <v>979076.56456690154</v>
      </c>
      <c r="C340">
        <v>100708.02826689901</v>
      </c>
      <c r="D340">
        <v>115011.18326226166</v>
      </c>
      <c r="E340">
        <v>26692.957683622382</v>
      </c>
      <c r="F340">
        <v>37847.973993481544</v>
      </c>
      <c r="G340">
        <v>10000</v>
      </c>
      <c r="H340">
        <v>270260.14320626459</v>
      </c>
      <c r="I340">
        <v>47.547106851258803</v>
      </c>
    </row>
    <row r="341" spans="1:9" x14ac:dyDescent="0.2">
      <c r="A341">
        <v>336</v>
      </c>
      <c r="B341">
        <v>1740623.1591567863</v>
      </c>
      <c r="C341">
        <v>154597.566851107</v>
      </c>
      <c r="D341">
        <v>110143.63591441975</v>
      </c>
      <c r="E341">
        <v>176043.15722148077</v>
      </c>
      <c r="F341">
        <v>48187.603192256356</v>
      </c>
      <c r="G341">
        <v>10000</v>
      </c>
      <c r="H341">
        <v>478971.96317926381</v>
      </c>
      <c r="I341">
        <v>29.226144092090923</v>
      </c>
    </row>
    <row r="342" spans="1:9" x14ac:dyDescent="0.2">
      <c r="A342">
        <v>337</v>
      </c>
      <c r="B342">
        <v>1117296.0068718526</v>
      </c>
      <c r="C342">
        <v>104632.76556399987</v>
      </c>
      <c r="D342">
        <v>143633.42584855531</v>
      </c>
      <c r="E342">
        <v>31681.468126277246</v>
      </c>
      <c r="F342">
        <v>38193.332408742273</v>
      </c>
      <c r="G342">
        <v>10000</v>
      </c>
      <c r="H342">
        <v>308140.99194757472</v>
      </c>
      <c r="I342">
        <v>41.010445182237802</v>
      </c>
    </row>
    <row r="343" spans="1:9" x14ac:dyDescent="0.2">
      <c r="A343">
        <v>338</v>
      </c>
      <c r="B343">
        <v>1022448.1930480197</v>
      </c>
      <c r="C343">
        <v>137164.09583940092</v>
      </c>
      <c r="D343">
        <v>47816.576469580999</v>
      </c>
      <c r="E343">
        <v>66558.161127003317</v>
      </c>
      <c r="F343">
        <v>40607.872693407917</v>
      </c>
      <c r="G343">
        <v>10000</v>
      </c>
      <c r="H343">
        <v>282146.70612939313</v>
      </c>
      <c r="I343">
        <v>37.783377703162785</v>
      </c>
    </row>
    <row r="344" spans="1:9" x14ac:dyDescent="0.2">
      <c r="A344">
        <v>339</v>
      </c>
      <c r="B344">
        <v>1476642.6449540495</v>
      </c>
      <c r="C344">
        <v>101360.23880616344</v>
      </c>
      <c r="D344">
        <v>137734.9362017815</v>
      </c>
      <c r="E344">
        <v>132365.69164251248</v>
      </c>
      <c r="F344">
        <v>45163.77865217394</v>
      </c>
      <c r="G344">
        <v>10000</v>
      </c>
      <c r="H344">
        <v>406624.64530263131</v>
      </c>
      <c r="I344">
        <v>39.286059206621339</v>
      </c>
    </row>
    <row r="345" spans="1:9" x14ac:dyDescent="0.2">
      <c r="A345">
        <v>340</v>
      </c>
      <c r="B345">
        <v>1014659.4861010428</v>
      </c>
      <c r="C345">
        <v>83682.510106027898</v>
      </c>
      <c r="D345">
        <v>31803.01751749442</v>
      </c>
      <c r="E345">
        <v>129557.23434719276</v>
      </c>
      <c r="F345">
        <v>44969.346993267187</v>
      </c>
      <c r="G345">
        <v>10000</v>
      </c>
      <c r="H345">
        <v>280012.10896398226</v>
      </c>
      <c r="I345">
        <v>33.852037673419375</v>
      </c>
    </row>
    <row r="346" spans="1:9" x14ac:dyDescent="0.2">
      <c r="A346">
        <v>341</v>
      </c>
      <c r="B346">
        <v>982555.28908668342</v>
      </c>
      <c r="C346">
        <v>103559.59338949695</v>
      </c>
      <c r="D346">
        <v>43149.683900417927</v>
      </c>
      <c r="E346">
        <v>92126.282533667487</v>
      </c>
      <c r="F346">
        <v>42377.973406176978</v>
      </c>
      <c r="G346">
        <v>10000</v>
      </c>
      <c r="H346">
        <v>271213.53322975931</v>
      </c>
      <c r="I346">
        <v>29.438049231349005</v>
      </c>
    </row>
    <row r="347" spans="1:9" x14ac:dyDescent="0.2">
      <c r="A347">
        <v>342</v>
      </c>
      <c r="B347">
        <v>1744751.670964031</v>
      </c>
      <c r="C347">
        <v>103260.38722099873</v>
      </c>
      <c r="D347">
        <v>134990.03034683145</v>
      </c>
      <c r="E347">
        <v>201876.92363932313</v>
      </c>
      <c r="F347">
        <v>49976.094713491606</v>
      </c>
      <c r="G347">
        <v>10000</v>
      </c>
      <c r="H347">
        <v>480103.4359206449</v>
      </c>
      <c r="I347">
        <v>35.345708479452163</v>
      </c>
    </row>
    <row r="348" spans="1:9" x14ac:dyDescent="0.2">
      <c r="A348">
        <v>343</v>
      </c>
      <c r="B348">
        <v>1700253.8875077369</v>
      </c>
      <c r="C348">
        <v>140159.58984925316</v>
      </c>
      <c r="D348">
        <v>92876.535982675181</v>
      </c>
      <c r="E348">
        <v>195348.01621269214</v>
      </c>
      <c r="F348">
        <v>49524.093430109453</v>
      </c>
      <c r="G348">
        <v>10000</v>
      </c>
      <c r="H348">
        <v>467908.23547472991</v>
      </c>
      <c r="I348">
        <v>33.591177607546356</v>
      </c>
    </row>
    <row r="349" spans="1:9" x14ac:dyDescent="0.2">
      <c r="A349">
        <v>344</v>
      </c>
      <c r="B349">
        <v>1385273.1698184325</v>
      </c>
      <c r="C349">
        <v>144810.70487265001</v>
      </c>
      <c r="D349">
        <v>44027.149944504228</v>
      </c>
      <c r="E349">
        <v>155949.29901667198</v>
      </c>
      <c r="F349">
        <v>46796.489931923446</v>
      </c>
      <c r="G349">
        <v>10000</v>
      </c>
      <c r="H349">
        <v>381583.64376574964</v>
      </c>
      <c r="I349">
        <v>33.585496067273795</v>
      </c>
    </row>
    <row r="350" spans="1:9" x14ac:dyDescent="0.2">
      <c r="A350">
        <v>345</v>
      </c>
      <c r="B350">
        <v>1977995.1608083616</v>
      </c>
      <c r="C350">
        <v>146556.52645204496</v>
      </c>
      <c r="D350">
        <v>158537.05414102596</v>
      </c>
      <c r="E350">
        <v>199146.24155320431</v>
      </c>
      <c r="F350">
        <v>49787.047492144913</v>
      </c>
      <c r="G350">
        <v>10000</v>
      </c>
      <c r="H350">
        <v>544026.86963842018</v>
      </c>
      <c r="I350">
        <v>36.419577441418589</v>
      </c>
    </row>
    <row r="351" spans="1:9" x14ac:dyDescent="0.2">
      <c r="A351">
        <v>346</v>
      </c>
      <c r="B351">
        <v>1453520.7364428372</v>
      </c>
      <c r="C351">
        <v>106743.74612280443</v>
      </c>
      <c r="D351">
        <v>128065.19912462267</v>
      </c>
      <c r="E351">
        <v>130447.83423814614</v>
      </c>
      <c r="F351">
        <v>45031.00390879473</v>
      </c>
      <c r="G351">
        <v>10000</v>
      </c>
      <c r="H351">
        <v>400287.78339436796</v>
      </c>
      <c r="I351">
        <v>43.51779540243723</v>
      </c>
    </row>
    <row r="352" spans="1:9" x14ac:dyDescent="0.2">
      <c r="A352">
        <v>347</v>
      </c>
      <c r="B352">
        <v>1618564.3279709453</v>
      </c>
      <c r="C352">
        <v>124978.17069302741</v>
      </c>
      <c r="D352">
        <v>113038.31297334995</v>
      </c>
      <c r="E352">
        <v>169751.62253514683</v>
      </c>
      <c r="F352">
        <v>47752.035406279392</v>
      </c>
      <c r="G352">
        <v>10000</v>
      </c>
      <c r="H352">
        <v>445520.14160780358</v>
      </c>
      <c r="I352">
        <v>26.207437215419649</v>
      </c>
    </row>
    <row r="353" spans="1:9" x14ac:dyDescent="0.2">
      <c r="A353">
        <v>348</v>
      </c>
      <c r="B353">
        <v>1470500.778344979</v>
      </c>
      <c r="C353">
        <v>113820.75200557924</v>
      </c>
      <c r="D353">
        <v>89175.452905317827</v>
      </c>
      <c r="E353">
        <v>164553.04734632542</v>
      </c>
      <c r="F353">
        <v>47392.134047053303</v>
      </c>
      <c r="G353">
        <v>10000</v>
      </c>
      <c r="H353">
        <v>404941.38630427577</v>
      </c>
      <c r="I353">
        <v>41.387546649208339</v>
      </c>
    </row>
    <row r="354" spans="1:9" x14ac:dyDescent="0.2">
      <c r="A354">
        <v>349</v>
      </c>
      <c r="B354">
        <v>1481116.3496415652</v>
      </c>
      <c r="C354">
        <v>124598.74682468393</v>
      </c>
      <c r="D354">
        <v>66333.664198078011</v>
      </c>
      <c r="E354">
        <v>178556.69435067265</v>
      </c>
      <c r="F354">
        <v>48361.617301200415</v>
      </c>
      <c r="G354">
        <v>10000</v>
      </c>
      <c r="H354">
        <v>407850.72267463501</v>
      </c>
      <c r="I354">
        <v>47.610098231345106</v>
      </c>
    </row>
    <row r="355" spans="1:9" x14ac:dyDescent="0.2">
      <c r="A355">
        <v>350</v>
      </c>
      <c r="B355">
        <v>1270156.7615522335</v>
      </c>
      <c r="C355">
        <v>105108.2934270666</v>
      </c>
      <c r="D355">
        <v>125170.23516533623</v>
      </c>
      <c r="E355">
        <v>87685.42604823297</v>
      </c>
      <c r="F355">
        <v>42070.529495646901</v>
      </c>
      <c r="G355">
        <v>10000</v>
      </c>
      <c r="H355">
        <v>350034.48413628264</v>
      </c>
      <c r="I355">
        <v>48.479295141255875</v>
      </c>
    </row>
    <row r="356" spans="1:9" x14ac:dyDescent="0.2">
      <c r="A356">
        <v>351</v>
      </c>
      <c r="B356">
        <v>1198273.3873168505</v>
      </c>
      <c r="C356">
        <v>105712.2791363596</v>
      </c>
      <c r="D356">
        <v>74779.875908071597</v>
      </c>
      <c r="E356">
        <v>115823.21826560663</v>
      </c>
      <c r="F356">
        <v>44018.530495311228</v>
      </c>
      <c r="G356">
        <v>10000</v>
      </c>
      <c r="H356">
        <v>330333.90380534908</v>
      </c>
      <c r="I356">
        <v>35.228533039795366</v>
      </c>
    </row>
    <row r="357" spans="1:9" x14ac:dyDescent="0.2">
      <c r="A357">
        <v>352</v>
      </c>
      <c r="B357">
        <v>1207757.3791192309</v>
      </c>
      <c r="C357">
        <v>162497.482827751</v>
      </c>
      <c r="D357">
        <v>65900.131718361605</v>
      </c>
      <c r="E357">
        <v>73450.468978565099</v>
      </c>
      <c r="F357">
        <v>41085.032467746816</v>
      </c>
      <c r="G357">
        <v>10000</v>
      </c>
      <c r="H357">
        <v>332933.11599242449</v>
      </c>
      <c r="I357">
        <v>48.645136553887674</v>
      </c>
    </row>
    <row r="358" spans="1:9" x14ac:dyDescent="0.2">
      <c r="A358">
        <v>353</v>
      </c>
      <c r="B358">
        <v>1052151.2114587359</v>
      </c>
      <c r="C358">
        <v>96039.479420789401</v>
      </c>
      <c r="D358">
        <v>104432.36700370183</v>
      </c>
      <c r="E358">
        <v>59683.43114083141</v>
      </c>
      <c r="F358">
        <v>40131.929848211403</v>
      </c>
      <c r="G358">
        <v>10000</v>
      </c>
      <c r="H358">
        <v>290287.20741353405</v>
      </c>
      <c r="I358">
        <v>34.275887068440959</v>
      </c>
    </row>
    <row r="359" spans="1:9" x14ac:dyDescent="0.2">
      <c r="A359">
        <v>354</v>
      </c>
      <c r="B359">
        <v>1104007.193633541</v>
      </c>
      <c r="C359">
        <v>84567.224727868059</v>
      </c>
      <c r="D359">
        <v>65996.786565364848</v>
      </c>
      <c r="E359">
        <v>119651.44568772557</v>
      </c>
      <c r="F359">
        <v>44283.56162453485</v>
      </c>
      <c r="G359">
        <v>10000</v>
      </c>
      <c r="H359">
        <v>304499.0186054933</v>
      </c>
      <c r="I359">
        <v>42.64966711193258</v>
      </c>
    </row>
    <row r="360" spans="1:9" x14ac:dyDescent="0.2">
      <c r="A360">
        <v>355</v>
      </c>
      <c r="B360">
        <v>1179793.5724971632</v>
      </c>
      <c r="C360">
        <v>100587.42445879224</v>
      </c>
      <c r="D360">
        <v>122764.69251369208</v>
      </c>
      <c r="E360">
        <v>71001.652490367647</v>
      </c>
      <c r="F360">
        <v>40915.499018563911</v>
      </c>
      <c r="G360">
        <v>10000</v>
      </c>
      <c r="H360">
        <v>325269.26848141587</v>
      </c>
      <c r="I360">
        <v>48.167250389275516</v>
      </c>
    </row>
    <row r="361" spans="1:9" x14ac:dyDescent="0.2">
      <c r="A361">
        <v>356</v>
      </c>
      <c r="B361">
        <v>1352229.0379040339</v>
      </c>
      <c r="C361">
        <v>105300.19060514441</v>
      </c>
      <c r="D361">
        <v>103370.6979975587</v>
      </c>
      <c r="E361">
        <v>128930.6124777517</v>
      </c>
      <c r="F361">
        <v>44925.965479228958</v>
      </c>
      <c r="G361">
        <v>10000</v>
      </c>
      <c r="H361">
        <v>372527.46655968373</v>
      </c>
      <c r="I361">
        <v>33.45677635388067</v>
      </c>
    </row>
    <row r="362" spans="1:9" x14ac:dyDescent="0.2">
      <c r="A362">
        <v>357</v>
      </c>
      <c r="B362">
        <v>1733626.1849142741</v>
      </c>
      <c r="C362">
        <v>162376.69015374742</v>
      </c>
      <c r="D362">
        <v>66666.156475198703</v>
      </c>
      <c r="E362">
        <v>207636.65851425918</v>
      </c>
      <c r="F362">
        <v>50374.845589448712</v>
      </c>
      <c r="G362">
        <v>10000</v>
      </c>
      <c r="H362">
        <v>477054.35073265398</v>
      </c>
      <c r="I362">
        <v>29.847422811057292</v>
      </c>
    </row>
    <row r="363" spans="1:9" x14ac:dyDescent="0.2">
      <c r="A363">
        <v>358</v>
      </c>
      <c r="B363">
        <v>1415073.4869638579</v>
      </c>
      <c r="C363">
        <v>92330.651020892808</v>
      </c>
      <c r="D363">
        <v>53499.458486450108</v>
      </c>
      <c r="E363">
        <v>203810.72805463427</v>
      </c>
      <c r="F363">
        <v>50109.973480705448</v>
      </c>
      <c r="G363">
        <v>10000</v>
      </c>
      <c r="H363">
        <v>389750.81104268268</v>
      </c>
      <c r="I363">
        <v>25.200507796109001</v>
      </c>
    </row>
    <row r="364" spans="1:9" x14ac:dyDescent="0.2">
      <c r="A364">
        <v>359</v>
      </c>
      <c r="B364">
        <v>1166033.9203437029</v>
      </c>
      <c r="C364">
        <v>140432.62462397659</v>
      </c>
      <c r="D364">
        <v>119257.01077233847</v>
      </c>
      <c r="E364">
        <v>33490.076418606222</v>
      </c>
      <c r="F364">
        <v>38318.543752057354</v>
      </c>
      <c r="G364">
        <v>10000</v>
      </c>
      <c r="H364">
        <v>321498.25556697865</v>
      </c>
      <c r="I364">
        <v>36.559891212294438</v>
      </c>
    </row>
    <row r="365" spans="1:9" x14ac:dyDescent="0.2">
      <c r="A365">
        <v>360</v>
      </c>
      <c r="B365">
        <v>1117693.5537819362</v>
      </c>
      <c r="C365">
        <v>142329.56239819326</v>
      </c>
      <c r="D365">
        <v>66572.478157632038</v>
      </c>
      <c r="E365">
        <v>68598.759445364238</v>
      </c>
      <c r="F365">
        <v>40749.144884679066</v>
      </c>
      <c r="G365">
        <v>10000</v>
      </c>
      <c r="H365">
        <v>308249.94488586858</v>
      </c>
      <c r="I365">
        <v>34.603058641659302</v>
      </c>
    </row>
    <row r="366" spans="1:9" x14ac:dyDescent="0.2">
      <c r="A366">
        <v>361</v>
      </c>
      <c r="B366">
        <v>925940.93742725463</v>
      </c>
      <c r="C366">
        <v>91941.469185475406</v>
      </c>
      <c r="D366">
        <v>83909.060897329546</v>
      </c>
      <c r="E366">
        <v>50360.595688032758</v>
      </c>
      <c r="F366">
        <v>39486.502778402268</v>
      </c>
      <c r="G366">
        <v>10000</v>
      </c>
      <c r="H366">
        <v>255697.62854923995</v>
      </c>
      <c r="I366">
        <v>30.849838191412239</v>
      </c>
    </row>
    <row r="367" spans="1:9" x14ac:dyDescent="0.2">
      <c r="A367">
        <v>362</v>
      </c>
      <c r="B367">
        <v>1434432.9106743096</v>
      </c>
      <c r="C367">
        <v>98380.218505279976</v>
      </c>
      <c r="D367">
        <v>83321.932510672428</v>
      </c>
      <c r="E367">
        <v>175223.50560882527</v>
      </c>
      <c r="F367">
        <v>48130.858080610975</v>
      </c>
      <c r="G367">
        <v>10000</v>
      </c>
      <c r="H367">
        <v>395056.51470538869</v>
      </c>
      <c r="I367">
        <v>37.547955763050794</v>
      </c>
    </row>
    <row r="368" spans="1:9" x14ac:dyDescent="0.2">
      <c r="A368">
        <v>363</v>
      </c>
      <c r="B368">
        <v>1308776.4658923836</v>
      </c>
      <c r="C368">
        <v>89234.191589647235</v>
      </c>
      <c r="D368">
        <v>57723.813205044331</v>
      </c>
      <c r="E368">
        <v>175510.02141663543</v>
      </c>
      <c r="F368">
        <v>48150.693790382451</v>
      </c>
      <c r="G368">
        <v>10000</v>
      </c>
      <c r="H368">
        <v>360618.72000170947</v>
      </c>
      <c r="I368">
        <v>31.214557992332292</v>
      </c>
    </row>
    <row r="369" spans="1:9" x14ac:dyDescent="0.2">
      <c r="A369">
        <v>364</v>
      </c>
      <c r="B369">
        <v>1662788.9328889265</v>
      </c>
      <c r="C369">
        <v>102435.21884010396</v>
      </c>
      <c r="D369">
        <v>120948.36422348101</v>
      </c>
      <c r="E369">
        <v>194772.63171456146</v>
      </c>
      <c r="F369">
        <v>49484.259118700407</v>
      </c>
      <c r="G369">
        <v>10000</v>
      </c>
      <c r="H369">
        <v>457640.47389684687</v>
      </c>
      <c r="I369">
        <v>43.921972075938349</v>
      </c>
    </row>
    <row r="370" spans="1:9" x14ac:dyDescent="0.2">
      <c r="A370">
        <v>365</v>
      </c>
      <c r="B370">
        <v>1251206.6459310052</v>
      </c>
      <c r="C370">
        <v>105007.09075098454</v>
      </c>
      <c r="D370">
        <v>106278.31489805727</v>
      </c>
      <c r="E370">
        <v>100591.52258161567</v>
      </c>
      <c r="F370">
        <v>42964.028486419549</v>
      </c>
      <c r="G370">
        <v>10000</v>
      </c>
      <c r="H370">
        <v>344840.956717077</v>
      </c>
      <c r="I370">
        <v>49.56770677993164</v>
      </c>
    </row>
    <row r="371" spans="1:9" x14ac:dyDescent="0.2">
      <c r="A371">
        <v>366</v>
      </c>
      <c r="B371">
        <v>1245764.5081841012</v>
      </c>
      <c r="C371">
        <v>94168.681127962249</v>
      </c>
      <c r="D371">
        <v>116195.17505665823</v>
      </c>
      <c r="E371">
        <v>100058.48547708971</v>
      </c>
      <c r="F371">
        <v>42927.125917644669</v>
      </c>
      <c r="G371">
        <v>10000</v>
      </c>
      <c r="H371">
        <v>343349.46757935482</v>
      </c>
      <c r="I371">
        <v>27.259908598210018</v>
      </c>
    </row>
    <row r="372" spans="1:9" x14ac:dyDescent="0.2">
      <c r="A372">
        <v>367</v>
      </c>
      <c r="B372">
        <v>961439.14086594852</v>
      </c>
      <c r="C372">
        <v>126632.75815073164</v>
      </c>
      <c r="D372">
        <v>57485.522892722234</v>
      </c>
      <c r="E372">
        <v>51726.995473099618</v>
      </c>
      <c r="F372">
        <v>39581.099686599206</v>
      </c>
      <c r="G372">
        <v>10000</v>
      </c>
      <c r="H372">
        <v>265426.3762031527</v>
      </c>
      <c r="I372">
        <v>36.172358145553346</v>
      </c>
    </row>
    <row r="373" spans="1:9" x14ac:dyDescent="0.2">
      <c r="A373">
        <v>368</v>
      </c>
      <c r="B373">
        <v>1721096.0371703571</v>
      </c>
      <c r="C373">
        <v>137086.41247593489</v>
      </c>
      <c r="D373">
        <v>108891.63107934089</v>
      </c>
      <c r="E373">
        <v>188586.28263858054</v>
      </c>
      <c r="F373">
        <v>49055.973413440188</v>
      </c>
      <c r="G373">
        <v>10000</v>
      </c>
      <c r="H373">
        <v>473620.29960729647</v>
      </c>
      <c r="I373">
        <v>44.392883939266149</v>
      </c>
    </row>
    <row r="374" spans="1:9" x14ac:dyDescent="0.2">
      <c r="A374">
        <v>369</v>
      </c>
      <c r="B374">
        <v>1408510.4755259871</v>
      </c>
      <c r="C374">
        <v>95643.765622195075</v>
      </c>
      <c r="D374">
        <v>171974.79069754452</v>
      </c>
      <c r="E374">
        <v>88225.646120733145</v>
      </c>
      <c r="F374">
        <v>42107.92934681999</v>
      </c>
      <c r="G374">
        <v>10000</v>
      </c>
      <c r="H374">
        <v>387952.13178729278</v>
      </c>
      <c r="I374">
        <v>35.884344364821601</v>
      </c>
    </row>
    <row r="375" spans="1:9" x14ac:dyDescent="0.2">
      <c r="A375">
        <v>370</v>
      </c>
      <c r="B375">
        <v>1126637.5728552621</v>
      </c>
      <c r="C375">
        <v>114098.35119049255</v>
      </c>
      <c r="D375">
        <v>109789.36190357985</v>
      </c>
      <c r="E375">
        <v>56875.895390628582</v>
      </c>
      <c r="F375">
        <v>39937.561988581976</v>
      </c>
      <c r="G375">
        <v>10000</v>
      </c>
      <c r="H375">
        <v>310701.17047328298</v>
      </c>
      <c r="I375">
        <v>41.691027353580623</v>
      </c>
    </row>
    <row r="376" spans="1:9" x14ac:dyDescent="0.2">
      <c r="A376">
        <v>371</v>
      </c>
      <c r="B376">
        <v>1245276.0461450028</v>
      </c>
      <c r="C376">
        <v>163287.43841475947</v>
      </c>
      <c r="D376">
        <v>38061.095320868451</v>
      </c>
      <c r="E376">
        <v>108364.88039598774</v>
      </c>
      <c r="F376">
        <v>43502.184027414536</v>
      </c>
      <c r="G376">
        <v>10000</v>
      </c>
      <c r="H376">
        <v>343215.5981590302</v>
      </c>
      <c r="I376">
        <v>32.934164208807303</v>
      </c>
    </row>
    <row r="377" spans="1:9" x14ac:dyDescent="0.2">
      <c r="A377">
        <v>372</v>
      </c>
      <c r="B377">
        <v>1225196.4151548066</v>
      </c>
      <c r="C377">
        <v>134694.48010629631</v>
      </c>
      <c r="D377">
        <v>136125.765430867</v>
      </c>
      <c r="E377">
        <v>38244.56599706367</v>
      </c>
      <c r="F377">
        <v>38647.70072287364</v>
      </c>
      <c r="G377">
        <v>10000</v>
      </c>
      <c r="H377">
        <v>337712.51225710061</v>
      </c>
      <c r="I377">
        <v>38.058706023938669</v>
      </c>
    </row>
    <row r="378" spans="1:9" x14ac:dyDescent="0.2">
      <c r="A378">
        <v>373</v>
      </c>
      <c r="B378">
        <v>1140312.5798153556</v>
      </c>
      <c r="C378">
        <v>116147.81005416713</v>
      </c>
      <c r="D378">
        <v>107409.4541893751</v>
      </c>
      <c r="E378">
        <v>60690.098795817314</v>
      </c>
      <c r="F378">
        <v>40201.622224325816</v>
      </c>
      <c r="G378">
        <v>10000</v>
      </c>
      <c r="H378">
        <v>314448.98526368535</v>
      </c>
      <c r="I378">
        <v>43.811386549168532</v>
      </c>
    </row>
    <row r="379" spans="1:9" x14ac:dyDescent="0.2">
      <c r="A379">
        <v>374</v>
      </c>
      <c r="B379">
        <v>1535005.4611014868</v>
      </c>
      <c r="C379">
        <v>102427.92722428824</v>
      </c>
      <c r="D379">
        <v>80831.041080505893</v>
      </c>
      <c r="E379">
        <v>199546.04507729347</v>
      </c>
      <c r="F379">
        <v>49814.726197658776</v>
      </c>
      <c r="G379">
        <v>10000</v>
      </c>
      <c r="H379">
        <v>422619.73957974638</v>
      </c>
      <c r="I379">
        <v>34.272137430790593</v>
      </c>
    </row>
    <row r="380" spans="1:9" x14ac:dyDescent="0.2">
      <c r="A380">
        <v>375</v>
      </c>
      <c r="B380">
        <v>1147275.7049385505</v>
      </c>
      <c r="C380">
        <v>104158.97037211042</v>
      </c>
      <c r="D380">
        <v>83670.204640206968</v>
      </c>
      <c r="E380">
        <v>95889.63285932233</v>
      </c>
      <c r="F380">
        <v>42638.513044106927</v>
      </c>
      <c r="G380">
        <v>10000</v>
      </c>
      <c r="H380">
        <v>316357.32091574668</v>
      </c>
      <c r="I380">
        <v>29.233653011094027</v>
      </c>
    </row>
    <row r="381" spans="1:9" x14ac:dyDescent="0.2">
      <c r="A381">
        <v>376</v>
      </c>
      <c r="B381">
        <v>1581032.9868110958</v>
      </c>
      <c r="C381">
        <v>117255.15942426735</v>
      </c>
      <c r="D381">
        <v>73261.430248574368</v>
      </c>
      <c r="E381">
        <v>204556.02527529281</v>
      </c>
      <c r="F381">
        <v>50161.570980597193</v>
      </c>
      <c r="G381">
        <v>10000</v>
      </c>
      <c r="H381">
        <v>435234.18592873169</v>
      </c>
      <c r="I381">
        <v>40.042702407875588</v>
      </c>
    </row>
    <row r="382" spans="1:9" x14ac:dyDescent="0.2">
      <c r="A382">
        <v>377</v>
      </c>
      <c r="B382">
        <v>1079969.7609895216</v>
      </c>
      <c r="C382">
        <v>151694.21241715513</v>
      </c>
      <c r="D382">
        <v>77014.646162524266</v>
      </c>
      <c r="E382">
        <v>40405.10989719491</v>
      </c>
      <c r="F382">
        <v>38797.276839036567</v>
      </c>
      <c r="G382">
        <v>10000</v>
      </c>
      <c r="H382">
        <v>297911.24531591084</v>
      </c>
      <c r="I382">
        <v>29.717145068649327</v>
      </c>
    </row>
    <row r="383" spans="1:9" x14ac:dyDescent="0.2">
      <c r="A383">
        <v>378</v>
      </c>
      <c r="B383">
        <v>1043123.9428902576</v>
      </c>
      <c r="C383">
        <v>107086.34573451805</v>
      </c>
      <c r="D383">
        <v>78570.49724615259</v>
      </c>
      <c r="E383">
        <v>71225.338273403031</v>
      </c>
      <c r="F383">
        <v>40930.984957389446</v>
      </c>
      <c r="G383">
        <v>10000</v>
      </c>
      <c r="H383">
        <v>287813.1662114631</v>
      </c>
      <c r="I383">
        <v>34.570119131466896</v>
      </c>
    </row>
    <row r="384" spans="1:9" x14ac:dyDescent="0.2">
      <c r="A384">
        <v>379</v>
      </c>
      <c r="B384">
        <v>1433231.3472442941</v>
      </c>
      <c r="C384">
        <v>108585.69468401177</v>
      </c>
      <c r="D384">
        <v>55117.921410381903</v>
      </c>
      <c r="E384">
        <v>191748.68542256879</v>
      </c>
      <c r="F384">
        <v>49274.908990793221</v>
      </c>
      <c r="G384">
        <v>10000</v>
      </c>
      <c r="H384">
        <v>394727.21050775569</v>
      </c>
      <c r="I384">
        <v>30.207932332042319</v>
      </c>
    </row>
    <row r="385" spans="1:9" x14ac:dyDescent="0.2">
      <c r="A385">
        <v>380</v>
      </c>
      <c r="B385">
        <v>1029094.9225288836</v>
      </c>
      <c r="C385">
        <v>110269.89427464532</v>
      </c>
      <c r="D385">
        <v>62786.996362944716</v>
      </c>
      <c r="E385">
        <v>79413.575831352253</v>
      </c>
      <c r="F385">
        <v>41497.862942170541</v>
      </c>
      <c r="G385">
        <v>10000</v>
      </c>
      <c r="H385">
        <v>283968.32941111282</v>
      </c>
      <c r="I385">
        <v>49.692967102350664</v>
      </c>
    </row>
    <row r="386" spans="1:9" x14ac:dyDescent="0.2">
      <c r="A386">
        <v>381</v>
      </c>
      <c r="B386">
        <v>1259825.9025896341</v>
      </c>
      <c r="C386">
        <v>97082.352641150123</v>
      </c>
      <c r="D386">
        <v>71271.671728714995</v>
      </c>
      <c r="E386">
        <v>142952.44482225511</v>
      </c>
      <c r="F386">
        <v>45896.707718463818</v>
      </c>
      <c r="G386">
        <v>10000</v>
      </c>
      <c r="H386">
        <v>347203.17691058409</v>
      </c>
      <c r="I386">
        <v>38.012613304976227</v>
      </c>
    </row>
    <row r="387" spans="1:9" x14ac:dyDescent="0.2">
      <c r="A387">
        <v>382</v>
      </c>
      <c r="B387">
        <v>1201461.7175757668</v>
      </c>
      <c r="C387">
        <v>105328.50659310729</v>
      </c>
      <c r="D387">
        <v>54311.116098302089</v>
      </c>
      <c r="E387">
        <v>136142.81310947356</v>
      </c>
      <c r="F387">
        <v>45425.271676809709</v>
      </c>
      <c r="G387">
        <v>10000</v>
      </c>
      <c r="H387">
        <v>331207.70747769263</v>
      </c>
      <c r="I387">
        <v>51.515041040314472</v>
      </c>
    </row>
    <row r="388" spans="1:9" x14ac:dyDescent="0.2">
      <c r="A388">
        <v>383</v>
      </c>
      <c r="B388">
        <v>1782558.2918711528</v>
      </c>
      <c r="C388">
        <v>114873.08805607799</v>
      </c>
      <c r="D388">
        <v>136688.73335966517</v>
      </c>
      <c r="E388">
        <v>199117.926954022</v>
      </c>
      <c r="F388">
        <v>49785.087250663062</v>
      </c>
      <c r="G388">
        <v>10000</v>
      </c>
      <c r="H388">
        <v>490464.8356204282</v>
      </c>
      <c r="I388">
        <v>37.11862942200392</v>
      </c>
    </row>
    <row r="389" spans="1:9" x14ac:dyDescent="0.2">
      <c r="A389">
        <v>384</v>
      </c>
      <c r="B389">
        <v>1596881.442461397</v>
      </c>
      <c r="C389">
        <v>114308.37139319304</v>
      </c>
      <c r="D389">
        <v>81938.447011559823</v>
      </c>
      <c r="E389">
        <v>203259.0631065896</v>
      </c>
      <c r="F389">
        <v>50071.781291994666</v>
      </c>
      <c r="G389">
        <v>10000</v>
      </c>
      <c r="H389">
        <v>439577.66280333715</v>
      </c>
      <c r="I389">
        <v>34.25390399508413</v>
      </c>
    </row>
    <row r="390" spans="1:9" x14ac:dyDescent="0.2">
      <c r="A390">
        <v>385</v>
      </c>
      <c r="B390">
        <v>984124.1275084354</v>
      </c>
      <c r="C390">
        <v>97858.803640138707</v>
      </c>
      <c r="D390">
        <v>48644.833109794883</v>
      </c>
      <c r="E390">
        <v>92720.729755384949</v>
      </c>
      <c r="F390">
        <v>42419.127444603575</v>
      </c>
      <c r="G390">
        <v>10000</v>
      </c>
      <c r="H390">
        <v>271643.49394992215</v>
      </c>
      <c r="I390">
        <v>38.179585328553053</v>
      </c>
    </row>
    <row r="391" spans="1:9" x14ac:dyDescent="0.2">
      <c r="A391">
        <v>386</v>
      </c>
      <c r="B391">
        <v>1541367.4121056523</v>
      </c>
      <c r="C391">
        <v>104720.24666809999</v>
      </c>
      <c r="D391">
        <v>142681.17816537709</v>
      </c>
      <c r="E391">
        <v>141187.37984378941</v>
      </c>
      <c r="F391">
        <v>45774.51091226234</v>
      </c>
      <c r="G391">
        <v>10000</v>
      </c>
      <c r="H391">
        <v>424363.31558952888</v>
      </c>
      <c r="I391">
        <v>33.750334945266019</v>
      </c>
    </row>
    <row r="392" spans="1:9" x14ac:dyDescent="0.2">
      <c r="A392">
        <v>387</v>
      </c>
      <c r="B392">
        <v>1317757.0217482951</v>
      </c>
      <c r="C392">
        <v>93983.506933526674</v>
      </c>
      <c r="D392">
        <v>94161.326219570197</v>
      </c>
      <c r="E392">
        <v>139291.8442919935</v>
      </c>
      <c r="F392">
        <v>45643.281527907246</v>
      </c>
      <c r="G392">
        <v>10000</v>
      </c>
      <c r="H392">
        <v>363079.95897299761</v>
      </c>
      <c r="I392">
        <v>43.533424016162655</v>
      </c>
    </row>
    <row r="393" spans="1:9" x14ac:dyDescent="0.2">
      <c r="A393">
        <v>388</v>
      </c>
      <c r="B393">
        <v>1213973.9300247137</v>
      </c>
      <c r="C393">
        <v>134784.05933209381</v>
      </c>
      <c r="D393">
        <v>60325.852502259084</v>
      </c>
      <c r="E393">
        <v>106176.26674533963</v>
      </c>
      <c r="F393">
        <v>43350.664620831201</v>
      </c>
      <c r="G393">
        <v>10000</v>
      </c>
      <c r="H393">
        <v>334636.8432005237</v>
      </c>
      <c r="I393">
        <v>27.208069492506851</v>
      </c>
    </row>
    <row r="394" spans="1:9" x14ac:dyDescent="0.2">
      <c r="A394">
        <v>389</v>
      </c>
      <c r="B394">
        <v>1277741.9942725908</v>
      </c>
      <c r="C394">
        <v>153010.5258048859</v>
      </c>
      <c r="D394">
        <v>57062.294310723155</v>
      </c>
      <c r="E394">
        <v>108527.08297236182</v>
      </c>
      <c r="F394">
        <v>43513.41343654813</v>
      </c>
      <c r="G394">
        <v>10000</v>
      </c>
      <c r="H394">
        <v>352113.316524519</v>
      </c>
      <c r="I394">
        <v>29.242146703477481</v>
      </c>
    </row>
    <row r="395" spans="1:9" x14ac:dyDescent="0.2">
      <c r="A395">
        <v>390</v>
      </c>
      <c r="B395">
        <v>961330.80159100494</v>
      </c>
      <c r="C395">
        <v>126347.14927048652</v>
      </c>
      <c r="D395">
        <v>47566.021616273989</v>
      </c>
      <c r="E395">
        <v>61243.573794678472</v>
      </c>
      <c r="F395">
        <v>40239.939724246971</v>
      </c>
      <c r="G395">
        <v>10000</v>
      </c>
      <c r="H395">
        <v>265396.68440568598</v>
      </c>
      <c r="I395">
        <v>39.706410602991596</v>
      </c>
    </row>
    <row r="396" spans="1:9" x14ac:dyDescent="0.2">
      <c r="A396">
        <v>391</v>
      </c>
      <c r="B396">
        <v>865791.16462832154</v>
      </c>
      <c r="C396">
        <v>108612.74565004683</v>
      </c>
      <c r="D396">
        <v>58540.998473151456</v>
      </c>
      <c r="E396">
        <v>43076.810540948791</v>
      </c>
      <c r="F396">
        <v>38982.240729757992</v>
      </c>
      <c r="G396">
        <v>10000</v>
      </c>
      <c r="H396">
        <v>239212.79539390505</v>
      </c>
      <c r="I396">
        <v>28.797924354706225</v>
      </c>
    </row>
    <row r="397" spans="1:9" x14ac:dyDescent="0.2">
      <c r="A397">
        <v>392</v>
      </c>
      <c r="B397">
        <v>1417529.1922466417</v>
      </c>
      <c r="C397">
        <v>93059.348049576234</v>
      </c>
      <c r="D397">
        <v>118642.69550554098</v>
      </c>
      <c r="E397">
        <v>142833.32474447865</v>
      </c>
      <c r="F397">
        <v>45888.46094384852</v>
      </c>
      <c r="G397">
        <v>10000</v>
      </c>
      <c r="H397">
        <v>390423.82924344443</v>
      </c>
      <c r="I397">
        <v>33.28694344928833</v>
      </c>
    </row>
    <row r="398" spans="1:9" x14ac:dyDescent="0.2">
      <c r="A398">
        <v>393</v>
      </c>
      <c r="B398">
        <v>1689746.6206160332</v>
      </c>
      <c r="C398">
        <v>105192.80940222045</v>
      </c>
      <c r="D398">
        <v>122849.86285819678</v>
      </c>
      <c r="E398">
        <v>197324.95094264031</v>
      </c>
      <c r="F398">
        <v>49660.95814218279</v>
      </c>
      <c r="G398">
        <v>10000</v>
      </c>
      <c r="H398">
        <v>465028.58134524035</v>
      </c>
      <c r="I398">
        <v>44.22491294093409</v>
      </c>
    </row>
    <row r="399" spans="1:9" x14ac:dyDescent="0.2">
      <c r="A399">
        <v>394</v>
      </c>
      <c r="B399">
        <v>1343322.535068071</v>
      </c>
      <c r="C399">
        <v>141116.25791725115</v>
      </c>
      <c r="D399">
        <v>77912.242562912928</v>
      </c>
      <c r="E399">
        <v>116960.74028842313</v>
      </c>
      <c r="F399">
        <v>44097.282019967752</v>
      </c>
      <c r="G399">
        <v>10000</v>
      </c>
      <c r="H399">
        <v>370086.52278855495</v>
      </c>
      <c r="I399">
        <v>30.018249356240652</v>
      </c>
    </row>
    <row r="400" spans="1:9" x14ac:dyDescent="0.2">
      <c r="A400">
        <v>395</v>
      </c>
      <c r="B400">
        <v>1563741.4983828645</v>
      </c>
      <c r="C400">
        <v>150115.16502180856</v>
      </c>
      <c r="D400">
        <v>141619.9391724242</v>
      </c>
      <c r="E400">
        <v>105459.10767748291</v>
      </c>
      <c r="F400">
        <v>43301.015146902668</v>
      </c>
      <c r="G400">
        <v>10000</v>
      </c>
      <c r="H400">
        <v>430495.22701861826</v>
      </c>
      <c r="I400">
        <v>44.989667414678308</v>
      </c>
    </row>
    <row r="401" spans="1:9" x14ac:dyDescent="0.2">
      <c r="A401">
        <v>396</v>
      </c>
      <c r="B401">
        <v>1381357.4807430096</v>
      </c>
      <c r="C401">
        <v>94412.392202831543</v>
      </c>
      <c r="D401">
        <v>85070.045526744245</v>
      </c>
      <c r="E401">
        <v>163695.30805608633</v>
      </c>
      <c r="F401">
        <v>47332.75209619059</v>
      </c>
      <c r="G401">
        <v>10000</v>
      </c>
      <c r="H401">
        <v>380510.49788185267</v>
      </c>
      <c r="I401">
        <v>29.433661666283562</v>
      </c>
    </row>
    <row r="402" spans="1:9" x14ac:dyDescent="0.2">
      <c r="A402">
        <v>397</v>
      </c>
      <c r="B402">
        <v>1441258.7280198198</v>
      </c>
      <c r="C402">
        <v>100278.67581471123</v>
      </c>
      <c r="D402">
        <v>55792.497050932943</v>
      </c>
      <c r="E402">
        <v>200944.50391777296</v>
      </c>
      <c r="F402">
        <v>49911.542578922745</v>
      </c>
      <c r="G402">
        <v>10000</v>
      </c>
      <c r="H402">
        <v>396927.21936233988</v>
      </c>
      <c r="I402">
        <v>33.253636366596581</v>
      </c>
    </row>
    <row r="403" spans="1:9" x14ac:dyDescent="0.2">
      <c r="A403">
        <v>398</v>
      </c>
      <c r="B403">
        <v>1250930.7896854267</v>
      </c>
      <c r="C403">
        <v>136320.306526103</v>
      </c>
      <c r="D403">
        <v>148986.17047765054</v>
      </c>
      <c r="E403">
        <v>31292.475542740576</v>
      </c>
      <c r="F403">
        <v>38166.402152958959</v>
      </c>
      <c r="G403">
        <v>10000</v>
      </c>
      <c r="H403">
        <v>344765.35469945305</v>
      </c>
      <c r="I403">
        <v>34.259607156601319</v>
      </c>
    </row>
    <row r="404" spans="1:9" x14ac:dyDescent="0.2">
      <c r="A404">
        <v>399</v>
      </c>
      <c r="B404">
        <v>1012932.8270387283</v>
      </c>
      <c r="C404">
        <v>78812.361984972144</v>
      </c>
      <c r="D404">
        <v>77888.989240894967</v>
      </c>
      <c r="E404">
        <v>90567.487385098255</v>
      </c>
      <c r="F404">
        <v>42270.05681896834</v>
      </c>
      <c r="G404">
        <v>10000</v>
      </c>
      <c r="H404">
        <v>279538.89542993368</v>
      </c>
      <c r="I404">
        <v>53.306869407207977</v>
      </c>
    </row>
    <row r="405" spans="1:9" x14ac:dyDescent="0.2">
      <c r="A405">
        <v>400</v>
      </c>
      <c r="B405">
        <v>1449419.7291522634</v>
      </c>
      <c r="C405">
        <v>76659.615625680541</v>
      </c>
      <c r="D405">
        <v>100979.17364615473</v>
      </c>
      <c r="E405">
        <v>182865.16342482425</v>
      </c>
      <c r="F405">
        <v>48659.895929410908</v>
      </c>
      <c r="G405">
        <v>10000</v>
      </c>
      <c r="H405">
        <v>399163.84862607042</v>
      </c>
      <c r="I405">
        <v>28.824695521431586</v>
      </c>
    </row>
    <row r="406" spans="1:9" x14ac:dyDescent="0.2">
      <c r="A406">
        <v>401</v>
      </c>
      <c r="B406">
        <v>934841.31391129363</v>
      </c>
      <c r="C406">
        <v>116806.31861189037</v>
      </c>
      <c r="D406">
        <v>79080.33295278484</v>
      </c>
      <c r="E406">
        <v>33903.103793746173</v>
      </c>
      <c r="F406">
        <v>38347.137954951657</v>
      </c>
      <c r="G406">
        <v>10000</v>
      </c>
      <c r="H406">
        <v>258136.89331337303</v>
      </c>
      <c r="I406">
        <v>29.082918886674214</v>
      </c>
    </row>
    <row r="407" spans="1:9" x14ac:dyDescent="0.2">
      <c r="A407">
        <v>402</v>
      </c>
      <c r="B407">
        <v>1616473.8089862801</v>
      </c>
      <c r="C407">
        <v>99861.680078395962</v>
      </c>
      <c r="D407">
        <v>117362.74488217829</v>
      </c>
      <c r="E407">
        <v>188661.59517675999</v>
      </c>
      <c r="F407">
        <v>49061.187358391078</v>
      </c>
      <c r="G407">
        <v>10000</v>
      </c>
      <c r="H407">
        <v>444947.20749572531</v>
      </c>
      <c r="I407">
        <v>37.367298352836684</v>
      </c>
    </row>
    <row r="408" spans="1:9" x14ac:dyDescent="0.2">
      <c r="A408">
        <v>403</v>
      </c>
      <c r="B408">
        <v>1116526.8310599416</v>
      </c>
      <c r="C408">
        <v>103149.68761816779</v>
      </c>
      <c r="D408">
        <v>72303.389143092325</v>
      </c>
      <c r="E408">
        <v>99582.910951954356</v>
      </c>
      <c r="F408">
        <v>42894.201527442987</v>
      </c>
      <c r="G408">
        <v>10000</v>
      </c>
      <c r="H408">
        <v>307930.18924065749</v>
      </c>
      <c r="I408">
        <v>26.68136272877058</v>
      </c>
    </row>
    <row r="409" spans="1:9" x14ac:dyDescent="0.2">
      <c r="A409">
        <v>404</v>
      </c>
      <c r="B409">
        <v>1385975.0033781894</v>
      </c>
      <c r="C409">
        <v>94903.252163222292</v>
      </c>
      <c r="D409">
        <v>116311.47549665114</v>
      </c>
      <c r="E409">
        <v>135201.18102330266</v>
      </c>
      <c r="F409">
        <v>45360.08176315172</v>
      </c>
      <c r="G409">
        <v>10000</v>
      </c>
      <c r="H409">
        <v>381775.99044632784</v>
      </c>
      <c r="I409">
        <v>35.876932415786335</v>
      </c>
    </row>
    <row r="410" spans="1:9" x14ac:dyDescent="0.2">
      <c r="A410">
        <v>405</v>
      </c>
      <c r="B410">
        <v>1142557.3953918961</v>
      </c>
      <c r="C410">
        <v>87356.944007630853</v>
      </c>
      <c r="D410">
        <v>34552.893918719048</v>
      </c>
      <c r="E410">
        <v>156331.4237317068</v>
      </c>
      <c r="F410">
        <v>46822.94471988739</v>
      </c>
      <c r="G410">
        <v>10000</v>
      </c>
      <c r="H410">
        <v>315064.20637794409</v>
      </c>
      <c r="I410">
        <v>25.827978057214324</v>
      </c>
    </row>
    <row r="411" spans="1:9" x14ac:dyDescent="0.2">
      <c r="A411">
        <v>406</v>
      </c>
      <c r="B411">
        <v>1105496.4427446735</v>
      </c>
      <c r="C411">
        <v>137566.77298283877</v>
      </c>
      <c r="D411">
        <v>55108.423710409304</v>
      </c>
      <c r="E411">
        <v>80648.605166222493</v>
      </c>
      <c r="F411">
        <v>41583.364973046177</v>
      </c>
      <c r="G411">
        <v>10000</v>
      </c>
      <c r="H411">
        <v>304907.16683251673</v>
      </c>
      <c r="I411">
        <v>42.160284146846706</v>
      </c>
    </row>
    <row r="412" spans="1:9" x14ac:dyDescent="0.2">
      <c r="A412">
        <v>407</v>
      </c>
      <c r="B412">
        <v>1643561.1039823678</v>
      </c>
      <c r="C412">
        <v>106594.24600692686</v>
      </c>
      <c r="D412">
        <v>119857.72331944561</v>
      </c>
      <c r="E412">
        <v>186974.47916823547</v>
      </c>
      <c r="F412">
        <v>48944.387019339381</v>
      </c>
      <c r="G412">
        <v>10000</v>
      </c>
      <c r="H412">
        <v>452370.8355139473</v>
      </c>
      <c r="I412">
        <v>34.0519322273489</v>
      </c>
    </row>
    <row r="413" spans="1:9" x14ac:dyDescent="0.2">
      <c r="A413">
        <v>408</v>
      </c>
      <c r="B413">
        <v>916394.16987528</v>
      </c>
      <c r="C413">
        <v>108965.22450271949</v>
      </c>
      <c r="D413">
        <v>85725.704144429023</v>
      </c>
      <c r="E413">
        <v>30293.070617322213</v>
      </c>
      <c r="F413">
        <v>38097.21258119923</v>
      </c>
      <c r="G413">
        <v>10000</v>
      </c>
      <c r="H413">
        <v>253081.21184566995</v>
      </c>
      <c r="I413">
        <v>33.521856988372789</v>
      </c>
    </row>
    <row r="414" spans="1:9" x14ac:dyDescent="0.2">
      <c r="A414">
        <v>409</v>
      </c>
      <c r="B414">
        <v>1352619.8908514583</v>
      </c>
      <c r="C414">
        <v>142432.99871234622</v>
      </c>
      <c r="D414">
        <v>51033.563123628141</v>
      </c>
      <c r="E414">
        <v>143250.66908057925</v>
      </c>
      <c r="F414">
        <v>45917.354013270873</v>
      </c>
      <c r="G414">
        <v>10000</v>
      </c>
      <c r="H414">
        <v>372634.58492982452</v>
      </c>
      <c r="I414">
        <v>36.941945927167154</v>
      </c>
    </row>
    <row r="415" spans="1:9" x14ac:dyDescent="0.2">
      <c r="A415">
        <v>410</v>
      </c>
      <c r="B415">
        <v>983262.43724833138</v>
      </c>
      <c r="C415">
        <v>105328.97867646041</v>
      </c>
      <c r="D415">
        <v>67271.496054876348</v>
      </c>
      <c r="E415">
        <v>68092.748366796062</v>
      </c>
      <c r="F415">
        <v>40714.113348470491</v>
      </c>
      <c r="G415">
        <v>10000</v>
      </c>
      <c r="H415">
        <v>271407.33644660329</v>
      </c>
      <c r="I415">
        <v>40.018705917513216</v>
      </c>
    </row>
    <row r="416" spans="1:9" x14ac:dyDescent="0.2">
      <c r="A416">
        <v>411</v>
      </c>
      <c r="B416">
        <v>1191461.9415982356</v>
      </c>
      <c r="C416">
        <v>77957.141403618472</v>
      </c>
      <c r="D416">
        <v>78984.10346405438</v>
      </c>
      <c r="E416">
        <v>136103.35317793809</v>
      </c>
      <c r="F416">
        <v>45422.539835395713</v>
      </c>
      <c r="G416">
        <v>10000</v>
      </c>
      <c r="H416">
        <v>328467.13788100664</v>
      </c>
      <c r="I416">
        <v>30.379290258188622</v>
      </c>
    </row>
    <row r="417" spans="1:9" x14ac:dyDescent="0.2">
      <c r="A417">
        <v>412</v>
      </c>
      <c r="B417">
        <v>1254582.7690108763</v>
      </c>
      <c r="C417">
        <v>94653.896708758548</v>
      </c>
      <c r="D417">
        <v>48914.571000251424</v>
      </c>
      <c r="E417">
        <v>164789.27172074211</v>
      </c>
      <c r="F417">
        <v>47408.488042205223</v>
      </c>
      <c r="G417">
        <v>10000</v>
      </c>
      <c r="H417">
        <v>345766.22747195733</v>
      </c>
      <c r="I417">
        <v>28.165270611998068</v>
      </c>
    </row>
    <row r="418" spans="1:9" x14ac:dyDescent="0.2">
      <c r="A418">
        <v>413</v>
      </c>
      <c r="B418">
        <v>1202847.9838419594</v>
      </c>
      <c r="C418">
        <v>122626.66722618441</v>
      </c>
      <c r="D418">
        <v>104840.19522126798</v>
      </c>
      <c r="E418">
        <v>73062.590142076602</v>
      </c>
      <c r="F418">
        <v>41058.179317528382</v>
      </c>
      <c r="G418">
        <v>10000</v>
      </c>
      <c r="H418">
        <v>331587.63190705737</v>
      </c>
      <c r="I418">
        <v>39.968250039139065</v>
      </c>
    </row>
    <row r="419" spans="1:9" x14ac:dyDescent="0.2">
      <c r="A419">
        <v>414</v>
      </c>
      <c r="B419">
        <v>1415535.7630475357</v>
      </c>
      <c r="C419">
        <v>121489.48430932917</v>
      </c>
      <c r="D419">
        <v>134161.11968153296</v>
      </c>
      <c r="E419">
        <v>101219.40275428622</v>
      </c>
      <c r="F419">
        <v>43007.497113758276</v>
      </c>
      <c r="G419">
        <v>10000</v>
      </c>
      <c r="H419">
        <v>389877.50385890662</v>
      </c>
      <c r="I419">
        <v>31.637647948443636</v>
      </c>
    </row>
    <row r="420" spans="1:9" x14ac:dyDescent="0.2">
      <c r="A420">
        <v>415</v>
      </c>
      <c r="B420">
        <v>1561611.7686589567</v>
      </c>
      <c r="C420">
        <v>103931.48383432296</v>
      </c>
      <c r="D420">
        <v>103827.97708716719</v>
      </c>
      <c r="E420">
        <v>183451.59100634928</v>
      </c>
      <c r="F420">
        <v>48700.494761978029</v>
      </c>
      <c r="G420">
        <v>10000</v>
      </c>
      <c r="H420">
        <v>429911.54668981745</v>
      </c>
      <c r="I420">
        <v>32.069777000708171</v>
      </c>
    </row>
    <row r="421" spans="1:9" x14ac:dyDescent="0.2">
      <c r="A421">
        <v>416</v>
      </c>
      <c r="B421">
        <v>1432798.159905985</v>
      </c>
      <c r="C421">
        <v>125632.84535790091</v>
      </c>
      <c r="D421">
        <v>96487.216521733673</v>
      </c>
      <c r="E421">
        <v>137003.56572135957</v>
      </c>
      <c r="F421">
        <v>45484.862242247975</v>
      </c>
      <c r="G421">
        <v>10000</v>
      </c>
      <c r="H421">
        <v>394608.4898432421</v>
      </c>
      <c r="I421">
        <v>33.966949414352861</v>
      </c>
    </row>
    <row r="422" spans="1:9" x14ac:dyDescent="0.2">
      <c r="A422">
        <v>417</v>
      </c>
      <c r="B422">
        <v>1715399.3356105494</v>
      </c>
      <c r="C422">
        <v>126209.73785528688</v>
      </c>
      <c r="D422">
        <v>150947.63722097647</v>
      </c>
      <c r="E422">
        <v>157965.58956799345</v>
      </c>
      <c r="F422">
        <v>46936.079277784163</v>
      </c>
      <c r="G422">
        <v>10000</v>
      </c>
      <c r="H422">
        <v>472059.0439220409</v>
      </c>
      <c r="I422">
        <v>39.698502810777384</v>
      </c>
    </row>
    <row r="423" spans="1:9" x14ac:dyDescent="0.2">
      <c r="A423">
        <v>418</v>
      </c>
      <c r="B423">
        <v>1479771.731541852</v>
      </c>
      <c r="C423">
        <v>133527.61097616257</v>
      </c>
      <c r="D423">
        <v>86512.427799818164</v>
      </c>
      <c r="E423">
        <v>150989.08331175358</v>
      </c>
      <c r="F423">
        <v>46453.090383121402</v>
      </c>
      <c r="G423">
        <v>10000</v>
      </c>
      <c r="H423">
        <v>407482.21247085568</v>
      </c>
      <c r="I423">
        <v>41.496972916569547</v>
      </c>
    </row>
    <row r="424" spans="1:9" x14ac:dyDescent="0.2">
      <c r="A424">
        <v>419</v>
      </c>
      <c r="B424">
        <v>983829.04988313955</v>
      </c>
      <c r="C424">
        <v>105975.98302996486</v>
      </c>
      <c r="D424">
        <v>80542.670977018948</v>
      </c>
      <c r="E424">
        <v>55220.979187583594</v>
      </c>
      <c r="F424">
        <v>39822.990866832704</v>
      </c>
      <c r="G424">
        <v>10000</v>
      </c>
      <c r="H424">
        <v>271562.62406140013</v>
      </c>
      <c r="I424">
        <v>37.146216040075878</v>
      </c>
    </row>
    <row r="425" spans="1:9" x14ac:dyDescent="0.2">
      <c r="A425">
        <v>420</v>
      </c>
      <c r="B425">
        <v>1728056.085402847</v>
      </c>
      <c r="C425">
        <v>130159.81115953103</v>
      </c>
      <c r="D425">
        <v>147420.91561134651</v>
      </c>
      <c r="E425">
        <v>160813.80201018756</v>
      </c>
      <c r="F425">
        <v>47133.263216089908</v>
      </c>
      <c r="G425">
        <v>10000</v>
      </c>
      <c r="H425">
        <v>475527.79199715506</v>
      </c>
      <c r="I425">
        <v>31.472285592937308</v>
      </c>
    </row>
    <row r="426" spans="1:9" x14ac:dyDescent="0.2">
      <c r="A426">
        <v>421</v>
      </c>
      <c r="B426">
        <v>1839334.3634415457</v>
      </c>
      <c r="C426">
        <v>133102.82188151104</v>
      </c>
      <c r="D426">
        <v>146322.02521915536</v>
      </c>
      <c r="E426">
        <v>187611.71155279691</v>
      </c>
      <c r="F426">
        <v>48988.503107501325</v>
      </c>
      <c r="G426">
        <v>10000</v>
      </c>
      <c r="H426">
        <v>506025.06176096457</v>
      </c>
      <c r="I426">
        <v>36.47705096166969</v>
      </c>
    </row>
    <row r="427" spans="1:9" x14ac:dyDescent="0.2">
      <c r="A427">
        <v>422</v>
      </c>
      <c r="B427">
        <v>727600.27485837939</v>
      </c>
      <c r="C427">
        <v>73125.375499833928</v>
      </c>
      <c r="D427">
        <v>29854.730371516118</v>
      </c>
      <c r="E427">
        <v>67674.507748724325</v>
      </c>
      <c r="F427">
        <v>40685.158228757835</v>
      </c>
      <c r="G427">
        <v>10000</v>
      </c>
      <c r="H427">
        <v>201339.7718488322</v>
      </c>
      <c r="I427">
        <v>27.544548545593784</v>
      </c>
    </row>
    <row r="428" spans="1:9" x14ac:dyDescent="0.2">
      <c r="A428">
        <v>423</v>
      </c>
      <c r="B428">
        <v>981579.37733174465</v>
      </c>
      <c r="C428">
        <v>114995.66555983268</v>
      </c>
      <c r="D428">
        <v>42150.139376607054</v>
      </c>
      <c r="E428">
        <v>82115.357525939471</v>
      </c>
      <c r="F428">
        <v>41684.909367180422</v>
      </c>
      <c r="G428">
        <v>10000</v>
      </c>
      <c r="H428">
        <v>270946.07182955963</v>
      </c>
      <c r="I428">
        <v>36.966056677715628</v>
      </c>
    </row>
    <row r="429" spans="1:9" x14ac:dyDescent="0.2">
      <c r="A429">
        <v>424</v>
      </c>
      <c r="B429">
        <v>1504185.7850670239</v>
      </c>
      <c r="C429">
        <v>105742.89445650653</v>
      </c>
      <c r="D429">
        <v>72184.255979370078</v>
      </c>
      <c r="E429">
        <v>196632.99940551334</v>
      </c>
      <c r="F429">
        <v>49613.053804997078</v>
      </c>
      <c r="G429">
        <v>10000</v>
      </c>
      <c r="H429">
        <v>414173.20364638703</v>
      </c>
      <c r="I429">
        <v>25.167321614690252</v>
      </c>
    </row>
    <row r="430" spans="1:9" x14ac:dyDescent="0.2">
      <c r="A430">
        <v>425</v>
      </c>
      <c r="B430">
        <v>1531723.3257129735</v>
      </c>
      <c r="C430">
        <v>102590.31620524837</v>
      </c>
      <c r="D430">
        <v>115199.74044198514</v>
      </c>
      <c r="E430">
        <v>166409.51219878311</v>
      </c>
      <c r="F430">
        <v>47520.658536838833</v>
      </c>
      <c r="G430">
        <v>10000</v>
      </c>
      <c r="H430">
        <v>421720.22738285543</v>
      </c>
      <c r="I430">
        <v>47.16401049763946</v>
      </c>
    </row>
    <row r="431" spans="1:9" x14ac:dyDescent="0.2">
      <c r="A431">
        <v>426</v>
      </c>
      <c r="B431">
        <v>1296829.8450841687</v>
      </c>
      <c r="C431">
        <v>127524.67370940403</v>
      </c>
      <c r="D431">
        <v>58121.178060109305</v>
      </c>
      <c r="E431">
        <v>136265.00892055343</v>
      </c>
      <c r="F431">
        <v>45433.731386807543</v>
      </c>
      <c r="G431">
        <v>10000</v>
      </c>
      <c r="H431">
        <v>357344.59207687434</v>
      </c>
      <c r="I431">
        <v>29.427984245242961</v>
      </c>
    </row>
    <row r="432" spans="1:9" x14ac:dyDescent="0.2">
      <c r="A432">
        <v>427</v>
      </c>
      <c r="B432">
        <v>1270427.4842517572</v>
      </c>
      <c r="C432">
        <v>85935.528117370995</v>
      </c>
      <c r="D432">
        <v>101936.794783344</v>
      </c>
      <c r="E432">
        <v>127415.29729420446</v>
      </c>
      <c r="F432">
        <v>44821.059043444926</v>
      </c>
      <c r="G432">
        <v>10000</v>
      </c>
      <c r="H432">
        <v>350108.67923836439</v>
      </c>
      <c r="I432">
        <v>31.708080105638864</v>
      </c>
    </row>
    <row r="433" spans="1:9" x14ac:dyDescent="0.2">
      <c r="A433">
        <v>428</v>
      </c>
      <c r="B433">
        <v>1046248.7498192214</v>
      </c>
      <c r="C433">
        <v>77052.387364591807</v>
      </c>
      <c r="D433">
        <v>56989.46993102428</v>
      </c>
      <c r="E433">
        <v>120299.29075090501</v>
      </c>
      <c r="F433">
        <v>44328.412436601116</v>
      </c>
      <c r="G433">
        <v>10000</v>
      </c>
      <c r="H433">
        <v>288669.56048312224</v>
      </c>
      <c r="I433">
        <v>52.081979253526512</v>
      </c>
    </row>
    <row r="434" spans="1:9" x14ac:dyDescent="0.2">
      <c r="A434">
        <v>429</v>
      </c>
      <c r="B434">
        <v>923844.5902040425</v>
      </c>
      <c r="C434">
        <v>119822.64003195248</v>
      </c>
      <c r="D434">
        <v>45447.813033379549</v>
      </c>
      <c r="E434">
        <v>59718.300206275533</v>
      </c>
      <c r="F434">
        <v>40134.343860434463</v>
      </c>
      <c r="G434">
        <v>10000</v>
      </c>
      <c r="H434">
        <v>255123.09713204205</v>
      </c>
      <c r="I434">
        <v>28.196449392736966</v>
      </c>
    </row>
    <row r="435" spans="1:9" x14ac:dyDescent="0.2">
      <c r="A435">
        <v>430</v>
      </c>
      <c r="B435">
        <v>1221188.4380956071</v>
      </c>
      <c r="C435">
        <v>122620.69663753512</v>
      </c>
      <c r="D435">
        <v>107306.32575029756</v>
      </c>
      <c r="E435">
        <v>75462.709806375438</v>
      </c>
      <c r="F435">
        <v>41224.34144813368</v>
      </c>
      <c r="G435">
        <v>10000</v>
      </c>
      <c r="H435">
        <v>336614.07364234183</v>
      </c>
      <c r="I435">
        <v>40.905869154814646</v>
      </c>
    </row>
    <row r="436" spans="1:9" x14ac:dyDescent="0.2">
      <c r="A436">
        <v>431</v>
      </c>
      <c r="B436">
        <v>1670843.7503374624</v>
      </c>
      <c r="C436">
        <v>150078.00848150326</v>
      </c>
      <c r="D436">
        <v>69967.475609023022</v>
      </c>
      <c r="E436">
        <v>199959.18953432213</v>
      </c>
      <c r="F436">
        <v>49843.3285062223</v>
      </c>
      <c r="G436">
        <v>10000</v>
      </c>
      <c r="H436">
        <v>459848.00213107071</v>
      </c>
      <c r="I436">
        <v>28.04484887440114</v>
      </c>
    </row>
    <row r="437" spans="1:9" x14ac:dyDescent="0.2">
      <c r="A437">
        <v>432</v>
      </c>
      <c r="B437">
        <v>1665792.4613835143</v>
      </c>
      <c r="C437">
        <v>86723.14355385142</v>
      </c>
      <c r="D437">
        <v>168244.9013613303</v>
      </c>
      <c r="E437">
        <v>166003.06539758103</v>
      </c>
      <c r="F437">
        <v>47492.519912140226</v>
      </c>
      <c r="G437">
        <v>10000</v>
      </c>
      <c r="H437">
        <v>458463.63022490294</v>
      </c>
      <c r="I437">
        <v>56.166747813595897</v>
      </c>
    </row>
    <row r="438" spans="1:9" x14ac:dyDescent="0.2">
      <c r="A438">
        <v>433</v>
      </c>
      <c r="B438">
        <v>1475684.6719815147</v>
      </c>
      <c r="C438">
        <v>118120.0544678711</v>
      </c>
      <c r="D438">
        <v>64029.913577378065</v>
      </c>
      <c r="E438">
        <v>185378.25315117367</v>
      </c>
      <c r="F438">
        <v>48833.879064312023</v>
      </c>
      <c r="G438">
        <v>10000</v>
      </c>
      <c r="H438">
        <v>406362.10026073485</v>
      </c>
      <c r="I438">
        <v>51.252086989632616</v>
      </c>
    </row>
    <row r="439" spans="1:9" x14ac:dyDescent="0.2">
      <c r="A439">
        <v>434</v>
      </c>
      <c r="B439">
        <v>1721079.0846444177</v>
      </c>
      <c r="C439">
        <v>116543.0517042111</v>
      </c>
      <c r="D439">
        <v>141465.29824649441</v>
      </c>
      <c r="E439">
        <v>177330.57170735861</v>
      </c>
      <c r="F439">
        <v>48276.731887432521</v>
      </c>
      <c r="G439">
        <v>10000</v>
      </c>
      <c r="H439">
        <v>473615.65354549664</v>
      </c>
      <c r="I439">
        <v>42.04965617119732</v>
      </c>
    </row>
    <row r="440" spans="1:9" x14ac:dyDescent="0.2">
      <c r="A440">
        <v>435</v>
      </c>
      <c r="B440">
        <v>1539431.2934881018</v>
      </c>
      <c r="C440">
        <v>137526.94707596625</v>
      </c>
      <c r="D440">
        <v>48775.574348930793</v>
      </c>
      <c r="E440">
        <v>197833.97708230728</v>
      </c>
      <c r="F440">
        <v>49696.198413390506</v>
      </c>
      <c r="G440">
        <v>10000</v>
      </c>
      <c r="H440">
        <v>423832.69692059484</v>
      </c>
      <c r="I440">
        <v>31.024567122696183</v>
      </c>
    </row>
    <row r="441" spans="1:9" x14ac:dyDescent="0.2">
      <c r="A441">
        <v>436</v>
      </c>
      <c r="B441">
        <v>1397673.3745482748</v>
      </c>
      <c r="C441">
        <v>93718.436561606737</v>
      </c>
      <c r="D441">
        <v>68529.930193312859</v>
      </c>
      <c r="E441">
        <v>183995.56130670753</v>
      </c>
      <c r="F441">
        <v>48738.154244310521</v>
      </c>
      <c r="G441">
        <v>10000</v>
      </c>
      <c r="H441">
        <v>384982.0823059376</v>
      </c>
      <c r="I441">
        <v>34.378161435573801</v>
      </c>
    </row>
    <row r="442" spans="1:9" x14ac:dyDescent="0.2">
      <c r="A442">
        <v>437</v>
      </c>
      <c r="B442">
        <v>993693.08628779533</v>
      </c>
      <c r="C442">
        <v>106397.41350742038</v>
      </c>
      <c r="D442">
        <v>87577.499217358345</v>
      </c>
      <c r="E442">
        <v>50775.82995888358</v>
      </c>
      <c r="F442">
        <v>39515.249766384244</v>
      </c>
      <c r="G442">
        <v>10000</v>
      </c>
      <c r="H442">
        <v>274265.99245004653</v>
      </c>
      <c r="I442">
        <v>51.099908174742687</v>
      </c>
    </row>
    <row r="443" spans="1:9" x14ac:dyDescent="0.2">
      <c r="A443">
        <v>438</v>
      </c>
      <c r="B443">
        <v>1574676.726419783</v>
      </c>
      <c r="C443">
        <v>134158.29653736737</v>
      </c>
      <c r="D443">
        <v>89313.308550135946</v>
      </c>
      <c r="E443">
        <v>172105.5638445853</v>
      </c>
      <c r="F443">
        <v>47915.000573855905</v>
      </c>
      <c r="G443">
        <v>10000</v>
      </c>
      <c r="H443">
        <v>433492.16950594453</v>
      </c>
      <c r="I443">
        <v>35.88317078902103</v>
      </c>
    </row>
    <row r="444" spans="1:9" x14ac:dyDescent="0.2">
      <c r="A444">
        <v>439</v>
      </c>
      <c r="B444">
        <v>1100490.5701980225</v>
      </c>
      <c r="C444">
        <v>92658.391955305895</v>
      </c>
      <c r="D444">
        <v>72942.594564404644</v>
      </c>
      <c r="E444">
        <v>104686.71365350758</v>
      </c>
      <c r="F444">
        <v>43247.541714473598</v>
      </c>
      <c r="G444">
        <v>10000</v>
      </c>
      <c r="H444">
        <v>303535.24188769178</v>
      </c>
      <c r="I444">
        <v>49.522290896247966</v>
      </c>
    </row>
    <row r="445" spans="1:9" x14ac:dyDescent="0.2">
      <c r="A445">
        <v>440</v>
      </c>
      <c r="B445">
        <v>1118341.0258738527</v>
      </c>
      <c r="C445">
        <v>108469.1511251886</v>
      </c>
      <c r="D445">
        <v>87803.568989435138</v>
      </c>
      <c r="E445">
        <v>80576.312858491772</v>
      </c>
      <c r="F445">
        <v>41578.360120972509</v>
      </c>
      <c r="G445">
        <v>10000</v>
      </c>
      <c r="H445">
        <v>308427.39309408801</v>
      </c>
      <c r="I445">
        <v>45.495449821048012</v>
      </c>
    </row>
    <row r="446" spans="1:9" x14ac:dyDescent="0.2">
      <c r="A446">
        <v>441</v>
      </c>
      <c r="B446">
        <v>1692396.6203385622</v>
      </c>
      <c r="C446">
        <v>135593.86906381827</v>
      </c>
      <c r="D446">
        <v>138021.30164387033</v>
      </c>
      <c r="E446">
        <v>155382.43245110815</v>
      </c>
      <c r="F446">
        <v>46757.245323538256</v>
      </c>
      <c r="G446">
        <v>10000</v>
      </c>
      <c r="H446">
        <v>465754.84848233504</v>
      </c>
      <c r="I446">
        <v>32.066938491819883</v>
      </c>
    </row>
    <row r="447" spans="1:9" x14ac:dyDescent="0.2">
      <c r="A447">
        <v>442</v>
      </c>
      <c r="B447">
        <v>1280825.7808864827</v>
      </c>
      <c r="C447">
        <v>100579.75392951324</v>
      </c>
      <c r="D447">
        <v>110888.05570689221</v>
      </c>
      <c r="E447">
        <v>108012.8465515229</v>
      </c>
      <c r="F447">
        <v>43477.812453566963</v>
      </c>
      <c r="G447">
        <v>10000</v>
      </c>
      <c r="H447">
        <v>352958.46864149533</v>
      </c>
      <c r="I447">
        <v>32.219681135033042</v>
      </c>
    </row>
    <row r="448" spans="1:9" x14ac:dyDescent="0.2">
      <c r="A448">
        <v>443</v>
      </c>
      <c r="B448">
        <v>1368389.940767237</v>
      </c>
      <c r="C448">
        <v>154637.30855238921</v>
      </c>
      <c r="D448">
        <v>69062.026935616581</v>
      </c>
      <c r="E448">
        <v>119017.56090443443</v>
      </c>
      <c r="F448">
        <v>44239.677293383924</v>
      </c>
      <c r="G448">
        <v>10000</v>
      </c>
      <c r="H448">
        <v>376956.57368582411</v>
      </c>
      <c r="I448">
        <v>35.466847765901775</v>
      </c>
    </row>
    <row r="449" spans="1:9" x14ac:dyDescent="0.2">
      <c r="A449">
        <v>444</v>
      </c>
      <c r="B449">
        <v>913822.27581422124</v>
      </c>
      <c r="C449">
        <v>115606.60887214758</v>
      </c>
      <c r="D449">
        <v>53405.315381921493</v>
      </c>
      <c r="E449">
        <v>53650.182902453191</v>
      </c>
      <c r="F449">
        <v>39714.243431708295</v>
      </c>
      <c r="G449">
        <v>10000</v>
      </c>
      <c r="H449">
        <v>252376.35058823059</v>
      </c>
      <c r="I449">
        <v>33.595692865303434</v>
      </c>
    </row>
    <row r="450" spans="1:9" x14ac:dyDescent="0.2">
      <c r="A450">
        <v>445</v>
      </c>
      <c r="B450">
        <v>1530022.9383212731</v>
      </c>
      <c r="C450">
        <v>141604.56557409797</v>
      </c>
      <c r="D450">
        <v>73492.453395738019</v>
      </c>
      <c r="E450">
        <v>168492.34062357989</v>
      </c>
      <c r="F450">
        <v>47664.854350863221</v>
      </c>
      <c r="G450">
        <v>10000</v>
      </c>
      <c r="H450">
        <v>421254.21394427906</v>
      </c>
      <c r="I450">
        <v>25.379227855749203</v>
      </c>
    </row>
    <row r="451" spans="1:9" x14ac:dyDescent="0.2">
      <c r="A451">
        <v>446</v>
      </c>
      <c r="B451">
        <v>1443092.7759286822</v>
      </c>
      <c r="C451">
        <v>112076.76920975168</v>
      </c>
      <c r="D451">
        <v>52457.834203615697</v>
      </c>
      <c r="E451">
        <v>193499.16477991146</v>
      </c>
      <c r="F451">
        <v>49396.096023224643</v>
      </c>
      <c r="G451">
        <v>10000</v>
      </c>
      <c r="H451">
        <v>397429.86421650345</v>
      </c>
      <c r="I451">
        <v>47.969465366305357</v>
      </c>
    </row>
    <row r="452" spans="1:9" x14ac:dyDescent="0.2">
      <c r="A452">
        <v>447</v>
      </c>
      <c r="B452">
        <v>1254051.8174594445</v>
      </c>
      <c r="C452">
        <v>129213.78238890663</v>
      </c>
      <c r="D452">
        <v>63698.925209774905</v>
      </c>
      <c r="E452">
        <v>118503.89017206294</v>
      </c>
      <c r="F452">
        <v>44204.115473450511</v>
      </c>
      <c r="G452">
        <v>10000</v>
      </c>
      <c r="H452">
        <v>345620.71324419498</v>
      </c>
      <c r="I452">
        <v>36.92301987679695</v>
      </c>
    </row>
    <row r="453" spans="1:9" x14ac:dyDescent="0.2">
      <c r="A453">
        <v>448</v>
      </c>
      <c r="B453">
        <v>860633.37964028621</v>
      </c>
      <c r="C453">
        <v>105320.74773317041</v>
      </c>
      <c r="D453">
        <v>64254.26690558016</v>
      </c>
      <c r="E453">
        <v>39490.279770192981</v>
      </c>
      <c r="F453">
        <v>38733.942445628745</v>
      </c>
      <c r="G453">
        <v>10000</v>
      </c>
      <c r="H453">
        <v>237799.23685457231</v>
      </c>
      <c r="I453">
        <v>29.894227432019665</v>
      </c>
    </row>
    <row r="454" spans="1:9" x14ac:dyDescent="0.2">
      <c r="A454">
        <v>449</v>
      </c>
      <c r="B454">
        <v>1360378.9671033472</v>
      </c>
      <c r="C454">
        <v>130378.68349526009</v>
      </c>
      <c r="D454">
        <v>51777.961327906305</v>
      </c>
      <c r="E454">
        <v>155817.08026584209</v>
      </c>
      <c r="F454">
        <v>46787.33632609676</v>
      </c>
      <c r="G454">
        <v>10000</v>
      </c>
      <c r="H454">
        <v>374761.06141510524</v>
      </c>
      <c r="I454">
        <v>37.756681129793137</v>
      </c>
    </row>
    <row r="455" spans="1:9" x14ac:dyDescent="0.2">
      <c r="A455">
        <v>450</v>
      </c>
      <c r="B455">
        <v>1292517.9062214757</v>
      </c>
      <c r="C455">
        <v>153097.75890785546</v>
      </c>
      <c r="D455">
        <v>113172.34568772533</v>
      </c>
      <c r="E455">
        <v>59755.803883727778</v>
      </c>
      <c r="F455">
        <v>40136.940268873463</v>
      </c>
      <c r="G455">
        <v>10000</v>
      </c>
      <c r="H455">
        <v>356162.848748182</v>
      </c>
      <c r="I455">
        <v>25.434081252773797</v>
      </c>
    </row>
    <row r="456" spans="1:9" x14ac:dyDescent="0.2">
      <c r="A456">
        <v>451</v>
      </c>
      <c r="B456">
        <v>1200765.7632723958</v>
      </c>
      <c r="C456">
        <v>168237.5017234757</v>
      </c>
      <c r="D456">
        <v>85525.509589875437</v>
      </c>
      <c r="E456">
        <v>47935.358994451104</v>
      </c>
      <c r="F456">
        <v>39318.601776538919</v>
      </c>
      <c r="G456">
        <v>10000</v>
      </c>
      <c r="H456">
        <v>331016.97208434116</v>
      </c>
      <c r="I456">
        <v>36.098028144530076</v>
      </c>
    </row>
    <row r="457" spans="1:9" x14ac:dyDescent="0.2">
      <c r="A457">
        <v>452</v>
      </c>
      <c r="B457">
        <v>1049187.2240015953</v>
      </c>
      <c r="C457">
        <v>108693.28686899313</v>
      </c>
      <c r="D457">
        <v>44659.048340575151</v>
      </c>
      <c r="E457">
        <v>102992.31539549392</v>
      </c>
      <c r="F457">
        <v>43130.237219688039</v>
      </c>
      <c r="G457">
        <v>10000</v>
      </c>
      <c r="H457">
        <v>289474.88782475021</v>
      </c>
      <c r="I457">
        <v>35.467071964150719</v>
      </c>
    </row>
    <row r="458" spans="1:9" x14ac:dyDescent="0.2">
      <c r="A458">
        <v>453</v>
      </c>
      <c r="B458">
        <v>1105048.584094225</v>
      </c>
      <c r="C458">
        <v>124125.8928565448</v>
      </c>
      <c r="D458">
        <v>97152.528555302153</v>
      </c>
      <c r="E458">
        <v>53782.593567010605</v>
      </c>
      <c r="F458">
        <v>39723.410323869961</v>
      </c>
      <c r="G458">
        <v>10000</v>
      </c>
      <c r="H458">
        <v>304784.4253027275</v>
      </c>
      <c r="I458">
        <v>31.394605402663277</v>
      </c>
    </row>
    <row r="459" spans="1:9" x14ac:dyDescent="0.2">
      <c r="A459">
        <v>454</v>
      </c>
      <c r="B459">
        <v>1573107.177844085</v>
      </c>
      <c r="C459">
        <v>105492.6165450183</v>
      </c>
      <c r="D459">
        <v>117973.24721894882</v>
      </c>
      <c r="E459">
        <v>171708.62986566199</v>
      </c>
      <c r="F459">
        <v>47887.520529161215</v>
      </c>
      <c r="G459">
        <v>10000</v>
      </c>
      <c r="H459">
        <v>433062.01415879035</v>
      </c>
      <c r="I459">
        <v>39.779399415057</v>
      </c>
    </row>
    <row r="460" spans="1:9" x14ac:dyDescent="0.2">
      <c r="A460">
        <v>455</v>
      </c>
      <c r="B460">
        <v>854196.05118371057</v>
      </c>
      <c r="C460">
        <v>78303.71941126592</v>
      </c>
      <c r="D460">
        <v>46694.556174149002</v>
      </c>
      <c r="E460">
        <v>79530.751946399527</v>
      </c>
      <c r="F460">
        <v>41505.975134750734</v>
      </c>
      <c r="G460">
        <v>10000</v>
      </c>
      <c r="H460">
        <v>236035.00266656521</v>
      </c>
      <c r="I460">
        <v>40.362725437880599</v>
      </c>
    </row>
    <row r="461" spans="1:9" x14ac:dyDescent="0.2">
      <c r="A461">
        <v>456</v>
      </c>
      <c r="B461">
        <v>869129.83446523198</v>
      </c>
      <c r="C461">
        <v>120769.63695977835</v>
      </c>
      <c r="D461">
        <v>56141.602385830636</v>
      </c>
      <c r="E461">
        <v>34806.856781821145</v>
      </c>
      <c r="F461">
        <v>38409.705469510693</v>
      </c>
      <c r="G461">
        <v>10000</v>
      </c>
      <c r="H461">
        <v>240127.80159694082</v>
      </c>
      <c r="I461">
        <v>36.346086704960584</v>
      </c>
    </row>
    <row r="462" spans="1:9" x14ac:dyDescent="0.2">
      <c r="A462">
        <v>457</v>
      </c>
      <c r="B462">
        <v>1251381.6744915741</v>
      </c>
      <c r="C462">
        <v>76442.151750618636</v>
      </c>
      <c r="D462">
        <v>67166.986143326023</v>
      </c>
      <c r="E462">
        <v>163930.73669120835</v>
      </c>
      <c r="F462">
        <v>47349.051001699045</v>
      </c>
      <c r="G462">
        <v>10000</v>
      </c>
      <c r="H462">
        <v>344888.92558685207</v>
      </c>
      <c r="I462">
        <v>36.293051584857395</v>
      </c>
    </row>
    <row r="463" spans="1:9" x14ac:dyDescent="0.2">
      <c r="A463">
        <v>458</v>
      </c>
      <c r="B463">
        <v>1382929.6992627273</v>
      </c>
      <c r="C463">
        <v>89431.017894413482</v>
      </c>
      <c r="D463">
        <v>76523.713309191109</v>
      </c>
      <c r="E463">
        <v>176750.10783172361</v>
      </c>
      <c r="F463">
        <v>48236.545926811632</v>
      </c>
      <c r="G463">
        <v>10000</v>
      </c>
      <c r="H463">
        <v>380941.38496213988</v>
      </c>
      <c r="I463">
        <v>41.323088683128432</v>
      </c>
    </row>
    <row r="464" spans="1:9" x14ac:dyDescent="0.2">
      <c r="A464">
        <v>459</v>
      </c>
      <c r="B464">
        <v>986042.83248297335</v>
      </c>
      <c r="C464">
        <v>114990.95442769519</v>
      </c>
      <c r="D464">
        <v>65971.861258367499</v>
      </c>
      <c r="E464">
        <v>60984.519312636912</v>
      </c>
      <c r="F464">
        <v>40222.005183182555</v>
      </c>
      <c r="G464">
        <v>10000</v>
      </c>
      <c r="H464">
        <v>272169.34018188214</v>
      </c>
      <c r="I464">
        <v>41.393446635491699</v>
      </c>
    </row>
    <row r="465" spans="1:9" x14ac:dyDescent="0.2">
      <c r="A465">
        <v>460</v>
      </c>
      <c r="B465">
        <v>1280055.4991547614</v>
      </c>
      <c r="C465">
        <v>121055.47232344538</v>
      </c>
      <c r="D465">
        <v>89433.293558027668</v>
      </c>
      <c r="E465">
        <v>108731.06190624645</v>
      </c>
      <c r="F465">
        <v>43527.535055047825</v>
      </c>
      <c r="G465">
        <v>10000</v>
      </c>
      <c r="H465">
        <v>352747.36284276732</v>
      </c>
      <c r="I465">
        <v>28.112291724728674</v>
      </c>
    </row>
    <row r="466" spans="1:9" x14ac:dyDescent="0.2">
      <c r="A466">
        <v>461</v>
      </c>
      <c r="B466">
        <v>1564739.325507588</v>
      </c>
      <c r="C466">
        <v>115268.91464121603</v>
      </c>
      <c r="D466">
        <v>128356.02774781433</v>
      </c>
      <c r="E466">
        <v>150709.98409434463</v>
      </c>
      <c r="F466">
        <v>46433.768129608477</v>
      </c>
      <c r="G466">
        <v>10000</v>
      </c>
      <c r="H466">
        <v>430768.6946129835</v>
      </c>
      <c r="I466">
        <v>40.470145712039574</v>
      </c>
    </row>
    <row r="467" spans="1:9" x14ac:dyDescent="0.2">
      <c r="A467">
        <v>462</v>
      </c>
      <c r="B467">
        <v>1416799.3793522464</v>
      </c>
      <c r="C467">
        <v>98328.642717131355</v>
      </c>
      <c r="D467">
        <v>70331.785392787671</v>
      </c>
      <c r="E467">
        <v>182901.008816341</v>
      </c>
      <c r="F467">
        <v>48662.377533438994</v>
      </c>
      <c r="G467">
        <v>10000</v>
      </c>
      <c r="H467">
        <v>390223.81445969897</v>
      </c>
      <c r="I467">
        <v>32.427552401433886</v>
      </c>
    </row>
    <row r="468" spans="1:9" x14ac:dyDescent="0.2">
      <c r="A468">
        <v>463</v>
      </c>
      <c r="B468">
        <v>1148438.4290205578</v>
      </c>
      <c r="C468">
        <v>120747.09985652732</v>
      </c>
      <c r="D468">
        <v>78769.618662208173</v>
      </c>
      <c r="E468">
        <v>85256.863893036425</v>
      </c>
      <c r="F468">
        <v>41902.3982695179</v>
      </c>
      <c r="G468">
        <v>10000</v>
      </c>
      <c r="H468">
        <v>316675.9806812898</v>
      </c>
      <c r="I468">
        <v>35.229319651244808</v>
      </c>
    </row>
    <row r="469" spans="1:9" x14ac:dyDescent="0.2">
      <c r="A469">
        <v>464</v>
      </c>
      <c r="B469">
        <v>1591830.5328019352</v>
      </c>
      <c r="C469">
        <v>154448.5243227396</v>
      </c>
      <c r="D469">
        <v>121431.84430575639</v>
      </c>
      <c r="E469">
        <v>127487.00293890979</v>
      </c>
      <c r="F469">
        <v>44826.023280386064</v>
      </c>
      <c r="G469">
        <v>10000</v>
      </c>
      <c r="H469">
        <v>438193.39484779182</v>
      </c>
      <c r="I469">
        <v>33.457871950734429</v>
      </c>
    </row>
    <row r="470" spans="1:9" x14ac:dyDescent="0.2">
      <c r="A470">
        <v>465</v>
      </c>
      <c r="B470">
        <v>1561960.1981305475</v>
      </c>
      <c r="C470">
        <v>113339.09907654654</v>
      </c>
      <c r="D470">
        <v>126187.90156511634</v>
      </c>
      <c r="E470">
        <v>153830.25109477207</v>
      </c>
      <c r="F470">
        <v>46649.786614253448</v>
      </c>
      <c r="G470">
        <v>10000</v>
      </c>
      <c r="H470">
        <v>430007.03835068841</v>
      </c>
      <c r="I470">
        <v>28.566404020906859</v>
      </c>
    </row>
    <row r="471" spans="1:9" x14ac:dyDescent="0.2">
      <c r="A471">
        <v>466</v>
      </c>
      <c r="B471">
        <v>1580339.9252884947</v>
      </c>
      <c r="C471">
        <v>113407.58594490025</v>
      </c>
      <c r="D471">
        <v>172937.84059216513</v>
      </c>
      <c r="E471">
        <v>114754.28909612351</v>
      </c>
      <c r="F471">
        <v>43944.527706654706</v>
      </c>
      <c r="G471">
        <v>10000</v>
      </c>
      <c r="H471">
        <v>435044.24333984352</v>
      </c>
      <c r="I471">
        <v>33.29172575982021</v>
      </c>
    </row>
    <row r="472" spans="1:9" x14ac:dyDescent="0.2">
      <c r="A472">
        <v>467</v>
      </c>
      <c r="B472">
        <v>1298558.2697483557</v>
      </c>
      <c r="C472">
        <v>109672.44338839037</v>
      </c>
      <c r="D472">
        <v>56504.287959657006</v>
      </c>
      <c r="E472">
        <v>154916.56517550777</v>
      </c>
      <c r="F472">
        <v>46724.992973689004</v>
      </c>
      <c r="G472">
        <v>10000</v>
      </c>
      <c r="H472">
        <v>357818.28949724417</v>
      </c>
      <c r="I472">
        <v>46.369703746941681</v>
      </c>
    </row>
    <row r="473" spans="1:9" x14ac:dyDescent="0.2">
      <c r="A473">
        <v>468</v>
      </c>
      <c r="B473">
        <v>1545297.2304686643</v>
      </c>
      <c r="C473">
        <v>104697.35996553121</v>
      </c>
      <c r="D473">
        <v>113997.82555617078</v>
      </c>
      <c r="E473">
        <v>169042.22499891574</v>
      </c>
      <c r="F473">
        <v>47702.923269155704</v>
      </c>
      <c r="G473">
        <v>10000</v>
      </c>
      <c r="H473">
        <v>425440.33378977346</v>
      </c>
      <c r="I473">
        <v>32.454364310733695</v>
      </c>
    </row>
    <row r="474" spans="1:9" x14ac:dyDescent="0.2">
      <c r="A474">
        <v>469</v>
      </c>
      <c r="B474">
        <v>1402930.7898220662</v>
      </c>
      <c r="C474">
        <v>148623.78662761033</v>
      </c>
      <c r="D474">
        <v>119320.12761327169</v>
      </c>
      <c r="E474">
        <v>86491.18062307364</v>
      </c>
      <c r="F474">
        <v>41987.850966212791</v>
      </c>
      <c r="G474">
        <v>10000</v>
      </c>
      <c r="H474">
        <v>386422.94583016849</v>
      </c>
      <c r="I474">
        <v>44.355724274268042</v>
      </c>
    </row>
    <row r="475" spans="1:9" x14ac:dyDescent="0.2">
      <c r="A475">
        <v>470</v>
      </c>
      <c r="B475">
        <v>1511039.8588949861</v>
      </c>
      <c r="C475">
        <v>117259.31824015561</v>
      </c>
      <c r="D475">
        <v>149724.99563045849</v>
      </c>
      <c r="E475">
        <v>115098.94966866497</v>
      </c>
      <c r="F475">
        <v>43968.388823215268</v>
      </c>
      <c r="G475">
        <v>10000</v>
      </c>
      <c r="H475">
        <v>416051.65236249432</v>
      </c>
      <c r="I475">
        <v>29.182697142993849</v>
      </c>
    </row>
    <row r="476" spans="1:9" x14ac:dyDescent="0.2">
      <c r="A476">
        <v>471</v>
      </c>
      <c r="B476">
        <v>1632162.1639607071</v>
      </c>
      <c r="C476">
        <v>98830.442935255211</v>
      </c>
      <c r="D476">
        <v>113205.54978717995</v>
      </c>
      <c r="E476">
        <v>197535.29363209047</v>
      </c>
      <c r="F476">
        <v>49675.520328375496</v>
      </c>
      <c r="G476">
        <v>10000</v>
      </c>
      <c r="H476">
        <v>449246.80668290111</v>
      </c>
      <c r="I476">
        <v>36.691842148680095</v>
      </c>
    </row>
    <row r="477" spans="1:9" x14ac:dyDescent="0.2">
      <c r="A477">
        <v>472</v>
      </c>
      <c r="B477">
        <v>1009756.6839904159</v>
      </c>
      <c r="C477">
        <v>89310.434359885592</v>
      </c>
      <c r="D477">
        <v>122269.19959030637</v>
      </c>
      <c r="E477">
        <v>38428.372110604621</v>
      </c>
      <c r="F477">
        <v>38660.4257615034</v>
      </c>
      <c r="G477">
        <v>10000</v>
      </c>
      <c r="H477">
        <v>278668.43182229996</v>
      </c>
      <c r="I477">
        <v>25.178033888301215</v>
      </c>
    </row>
    <row r="478" spans="1:9" x14ac:dyDescent="0.2">
      <c r="A478">
        <v>473</v>
      </c>
      <c r="B478">
        <v>1503079.6210775836</v>
      </c>
      <c r="C478">
        <v>85699.899930826985</v>
      </c>
      <c r="D478">
        <v>111395.91722276941</v>
      </c>
      <c r="E478">
        <v>178421.93963306968</v>
      </c>
      <c r="F478">
        <v>48352.288128443288</v>
      </c>
      <c r="G478">
        <v>10000</v>
      </c>
      <c r="H478">
        <v>413870.04491510935</v>
      </c>
      <c r="I478">
        <v>41.917641351815583</v>
      </c>
    </row>
    <row r="479" spans="1:9" x14ac:dyDescent="0.2">
      <c r="A479">
        <v>474</v>
      </c>
      <c r="B479">
        <v>807951.16831198649</v>
      </c>
      <c r="C479">
        <v>87517.746949050474</v>
      </c>
      <c r="D479">
        <v>80087.517301252839</v>
      </c>
      <c r="E479">
        <v>27829.092976046522</v>
      </c>
      <c r="F479">
        <v>37926.629513726293</v>
      </c>
      <c r="G479">
        <v>10000</v>
      </c>
      <c r="H479">
        <v>223360.98674007616</v>
      </c>
      <c r="I479">
        <v>35.468168882096549</v>
      </c>
    </row>
    <row r="480" spans="1:9" x14ac:dyDescent="0.2">
      <c r="A480">
        <v>475</v>
      </c>
      <c r="B480">
        <v>1065104.9640334921</v>
      </c>
      <c r="C480">
        <v>113817.16684547266</v>
      </c>
      <c r="D480">
        <v>74047.823782249819</v>
      </c>
      <c r="E480">
        <v>74794.2957361023</v>
      </c>
      <c r="F480">
        <v>41178.066627884007</v>
      </c>
      <c r="G480">
        <v>10000</v>
      </c>
      <c r="H480">
        <v>293837.35299170873</v>
      </c>
      <c r="I480">
        <v>32.905984302615337</v>
      </c>
    </row>
    <row r="481" spans="1:9" x14ac:dyDescent="0.2">
      <c r="A481">
        <v>476</v>
      </c>
      <c r="B481">
        <v>912997.56510815187</v>
      </c>
      <c r="C481">
        <v>87601.289459150736</v>
      </c>
      <c r="D481">
        <v>76494.579232751159</v>
      </c>
      <c r="E481">
        <v>58036.544504646728</v>
      </c>
      <c r="F481">
        <v>40017.914619552466</v>
      </c>
      <c r="G481">
        <v>10000</v>
      </c>
      <c r="H481">
        <v>252150.32781610114</v>
      </c>
      <c r="I481">
        <v>32.641923507857456</v>
      </c>
    </row>
    <row r="482" spans="1:9" x14ac:dyDescent="0.2">
      <c r="A482">
        <v>477</v>
      </c>
      <c r="B482">
        <v>1122904.0168764985</v>
      </c>
      <c r="C482">
        <v>88552.688922376416</v>
      </c>
      <c r="D482">
        <v>56315.55528883946</v>
      </c>
      <c r="E482">
        <v>129822.01815889415</v>
      </c>
      <c r="F482">
        <v>44987.678180231138</v>
      </c>
      <c r="G482">
        <v>10000</v>
      </c>
      <c r="H482">
        <v>309677.94055034115</v>
      </c>
      <c r="I482">
        <v>35.51678742963302</v>
      </c>
    </row>
    <row r="483" spans="1:9" x14ac:dyDescent="0.2">
      <c r="A483">
        <v>478</v>
      </c>
      <c r="B483">
        <v>1590175.1628943733</v>
      </c>
      <c r="C483">
        <v>118088.88082054646</v>
      </c>
      <c r="D483">
        <v>96188.584829492727</v>
      </c>
      <c r="E483">
        <v>184676.92763131103</v>
      </c>
      <c r="F483">
        <v>48785.32575909076</v>
      </c>
      <c r="G483">
        <v>10000</v>
      </c>
      <c r="H483">
        <v>437739.71904044104</v>
      </c>
      <c r="I483">
        <v>38.405070944319505</v>
      </c>
    </row>
    <row r="484" spans="1:9" x14ac:dyDescent="0.2">
      <c r="A484">
        <v>479</v>
      </c>
      <c r="B484">
        <v>1271479.6083593641</v>
      </c>
      <c r="C484">
        <v>124690.04660265295</v>
      </c>
      <c r="D484">
        <v>78892.523999797355</v>
      </c>
      <c r="E484">
        <v>112991.93822920724</v>
      </c>
      <c r="F484">
        <v>43822.51880048358</v>
      </c>
      <c r="G484">
        <v>10000</v>
      </c>
      <c r="H484">
        <v>350397.02763214114</v>
      </c>
      <c r="I484">
        <v>33.546456369841238</v>
      </c>
    </row>
    <row r="485" spans="1:9" x14ac:dyDescent="0.2">
      <c r="A485">
        <v>480</v>
      </c>
      <c r="B485">
        <v>1664891.003939853</v>
      </c>
      <c r="C485">
        <v>147869.93794995244</v>
      </c>
      <c r="D485">
        <v>107864.65495884085</v>
      </c>
      <c r="E485">
        <v>165055.09023293463</v>
      </c>
      <c r="F485">
        <v>47426.890862280088</v>
      </c>
      <c r="G485">
        <v>10000</v>
      </c>
      <c r="H485">
        <v>458216.57400400803</v>
      </c>
      <c r="I485">
        <v>31.290503598101033</v>
      </c>
    </row>
    <row r="486" spans="1:9" x14ac:dyDescent="0.2">
      <c r="A486">
        <v>481</v>
      </c>
      <c r="B486">
        <v>1741137.4344104808</v>
      </c>
      <c r="C486">
        <v>143726.5130233457</v>
      </c>
      <c r="D486">
        <v>97683.115801020904</v>
      </c>
      <c r="E486">
        <v>197995.87172105172</v>
      </c>
      <c r="F486">
        <v>49707.406503765116</v>
      </c>
      <c r="G486">
        <v>10000</v>
      </c>
      <c r="H486">
        <v>479112.9070491835</v>
      </c>
      <c r="I486">
        <v>36.447005704538597</v>
      </c>
    </row>
    <row r="487" spans="1:9" x14ac:dyDescent="0.2">
      <c r="A487">
        <v>482</v>
      </c>
      <c r="B487">
        <v>1631749.4030848462</v>
      </c>
      <c r="C487">
        <v>135657.77902023625</v>
      </c>
      <c r="D487">
        <v>96737.481139399984</v>
      </c>
      <c r="E487">
        <v>178388.45409918329</v>
      </c>
      <c r="F487">
        <v>48349.969899174226</v>
      </c>
      <c r="G487">
        <v>10000</v>
      </c>
      <c r="H487">
        <v>449133.68415799376</v>
      </c>
      <c r="I487">
        <v>29.330623178332729</v>
      </c>
    </row>
    <row r="488" spans="1:9" x14ac:dyDescent="0.2">
      <c r="A488">
        <v>483</v>
      </c>
      <c r="B488">
        <v>912710.42109817709</v>
      </c>
      <c r="C488">
        <v>110840.07724252633</v>
      </c>
      <c r="D488">
        <v>47440.500421757446</v>
      </c>
      <c r="E488">
        <v>63401.705717157187</v>
      </c>
      <c r="F488">
        <v>40389.348857341654</v>
      </c>
      <c r="G488">
        <v>10000</v>
      </c>
      <c r="H488">
        <v>252071.63223878262</v>
      </c>
      <c r="I488">
        <v>33.004885536782936</v>
      </c>
    </row>
    <row r="489" spans="1:9" x14ac:dyDescent="0.2">
      <c r="A489">
        <v>484</v>
      </c>
      <c r="B489">
        <v>1315537.3715005615</v>
      </c>
      <c r="C489">
        <v>100636.18035836937</v>
      </c>
      <c r="D489">
        <v>70219.073629881619</v>
      </c>
      <c r="E489">
        <v>154893.01797557142</v>
      </c>
      <c r="F489">
        <v>46723.362782924174</v>
      </c>
      <c r="G489">
        <v>10000</v>
      </c>
      <c r="H489">
        <v>362471.63474674663</v>
      </c>
      <c r="I489">
        <v>40.538452739193247</v>
      </c>
    </row>
    <row r="490" spans="1:9" x14ac:dyDescent="0.2">
      <c r="A490">
        <v>485</v>
      </c>
      <c r="B490">
        <v>1099975.5261232425</v>
      </c>
      <c r="C490">
        <v>90954.097469493892</v>
      </c>
      <c r="D490">
        <v>149847.71887774376</v>
      </c>
      <c r="E490">
        <v>34222.987233495267</v>
      </c>
      <c r="F490">
        <v>38369.283731549673</v>
      </c>
      <c r="G490">
        <v>10000</v>
      </c>
      <c r="H490">
        <v>303394.08731228259</v>
      </c>
      <c r="I490">
        <v>34.972743168601326</v>
      </c>
    </row>
    <row r="491" spans="1:9" x14ac:dyDescent="0.2">
      <c r="A491">
        <v>486</v>
      </c>
      <c r="B491">
        <v>908286.9109023565</v>
      </c>
      <c r="C491">
        <v>95578.689811042161</v>
      </c>
      <c r="D491">
        <v>38050.384437135195</v>
      </c>
      <c r="E491">
        <v>85323.243309015917</v>
      </c>
      <c r="F491">
        <v>41906.993767547254</v>
      </c>
      <c r="G491">
        <v>10000</v>
      </c>
      <c r="H491">
        <v>250859.31132474053</v>
      </c>
      <c r="I491">
        <v>33.478540327634803</v>
      </c>
    </row>
    <row r="492" spans="1:9" x14ac:dyDescent="0.2">
      <c r="A492">
        <v>487</v>
      </c>
      <c r="B492">
        <v>1480628.7029309135</v>
      </c>
      <c r="C492">
        <v>145220.86725387798</v>
      </c>
      <c r="D492">
        <v>129194.19429366413</v>
      </c>
      <c r="E492">
        <v>100354.40266595117</v>
      </c>
      <c r="F492">
        <v>42947.612492258158</v>
      </c>
      <c r="G492">
        <v>10000</v>
      </c>
      <c r="H492">
        <v>407717.07670575142</v>
      </c>
      <c r="I492">
        <v>28.278488805078222</v>
      </c>
    </row>
    <row r="493" spans="1:9" x14ac:dyDescent="0.2">
      <c r="A493">
        <v>488</v>
      </c>
      <c r="B493">
        <v>1343285.2946759153</v>
      </c>
      <c r="C493">
        <v>103431.40336200957</v>
      </c>
      <c r="D493">
        <v>163209.329314948</v>
      </c>
      <c r="E493">
        <v>72421.769109780827</v>
      </c>
      <c r="F493">
        <v>41013.814784523289</v>
      </c>
      <c r="G493">
        <v>10000</v>
      </c>
      <c r="H493">
        <v>370076.31657126168</v>
      </c>
      <c r="I493">
        <v>31.485103990517953</v>
      </c>
    </row>
    <row r="494" spans="1:9" x14ac:dyDescent="0.2">
      <c r="A494">
        <v>489</v>
      </c>
      <c r="B494">
        <v>916874.75730856415</v>
      </c>
      <c r="C494">
        <v>126976.99469956974</v>
      </c>
      <c r="D494">
        <v>50347.747289768944</v>
      </c>
      <c r="E494">
        <v>46658.011136053945</v>
      </c>
      <c r="F494">
        <v>39230.170001726809</v>
      </c>
      <c r="G494">
        <v>10000</v>
      </c>
      <c r="H494">
        <v>253212.92312711943</v>
      </c>
      <c r="I494">
        <v>38.341226221224176</v>
      </c>
    </row>
    <row r="495" spans="1:9" x14ac:dyDescent="0.2">
      <c r="A495">
        <v>490</v>
      </c>
      <c r="B495">
        <v>1176839.9433357182</v>
      </c>
      <c r="C495">
        <v>111709.62073296147</v>
      </c>
      <c r="D495">
        <v>30887.448999224394</v>
      </c>
      <c r="E495">
        <v>145770.88732603483</v>
      </c>
      <c r="F495">
        <v>46091.830661033186</v>
      </c>
      <c r="G495">
        <v>10000</v>
      </c>
      <c r="H495">
        <v>324459.78771925386</v>
      </c>
      <c r="I495">
        <v>31.95815328273012</v>
      </c>
    </row>
    <row r="496" spans="1:9" x14ac:dyDescent="0.2">
      <c r="A496">
        <v>491</v>
      </c>
      <c r="B496">
        <v>1501355.4328659363</v>
      </c>
      <c r="C496">
        <v>145585.52098038062</v>
      </c>
      <c r="D496">
        <v>61721.747806346342</v>
      </c>
      <c r="E496">
        <v>168429.72064195917</v>
      </c>
      <c r="F496">
        <v>47660.519121366407</v>
      </c>
      <c r="G496">
        <v>10000</v>
      </c>
      <c r="H496">
        <v>413397.50855005253</v>
      </c>
      <c r="I496">
        <v>27.357976992235674</v>
      </c>
    </row>
    <row r="497" spans="1:9" x14ac:dyDescent="0.2">
      <c r="A497">
        <v>492</v>
      </c>
      <c r="B497">
        <v>1313451.4680569163</v>
      </c>
      <c r="C497">
        <v>155274.39009503808</v>
      </c>
      <c r="D497">
        <v>54867.001603407429</v>
      </c>
      <c r="E497">
        <v>117615.93241108606</v>
      </c>
      <c r="F497">
        <v>44142.641474613651</v>
      </c>
      <c r="G497">
        <v>10000</v>
      </c>
      <c r="H497">
        <v>361899.96558414522</v>
      </c>
      <c r="I497">
        <v>33.624296682155304</v>
      </c>
    </row>
    <row r="498" spans="1:9" x14ac:dyDescent="0.2">
      <c r="A498">
        <v>493</v>
      </c>
      <c r="B498">
        <v>1582096.1794601916</v>
      </c>
      <c r="C498">
        <v>142860.51139069727</v>
      </c>
      <c r="D498">
        <v>75249.156763234249</v>
      </c>
      <c r="E498">
        <v>179022.06441839613</v>
      </c>
      <c r="F498">
        <v>48393.835228965887</v>
      </c>
      <c r="G498">
        <v>10000</v>
      </c>
      <c r="H498">
        <v>435525.56780129351</v>
      </c>
      <c r="I498">
        <v>29.836773333523549</v>
      </c>
    </row>
    <row r="499" spans="1:9" x14ac:dyDescent="0.2">
      <c r="A499">
        <v>494</v>
      </c>
      <c r="B499">
        <v>1560042.8638246781</v>
      </c>
      <c r="C499">
        <v>104491.43504788401</v>
      </c>
      <c r="D499">
        <v>118596.40992954942</v>
      </c>
      <c r="E499">
        <v>168713.55368942284</v>
      </c>
      <c r="F499">
        <v>47680.169101575426</v>
      </c>
      <c r="G499">
        <v>10000</v>
      </c>
      <c r="H499">
        <v>429481.56776843173</v>
      </c>
      <c r="I499">
        <v>34.508616968527413</v>
      </c>
    </row>
    <row r="500" spans="1:9" x14ac:dyDescent="0.2">
      <c r="A500">
        <v>495</v>
      </c>
      <c r="B500">
        <v>1351753.3271170033</v>
      </c>
      <c r="C500">
        <v>127509.29421151702</v>
      </c>
      <c r="D500">
        <v>93938.634945349229</v>
      </c>
      <c r="E500">
        <v>116858.92907856173</v>
      </c>
      <c r="F500">
        <v>44090.233551592741</v>
      </c>
      <c r="G500">
        <v>10000</v>
      </c>
      <c r="H500">
        <v>372397.09178702073</v>
      </c>
      <c r="I500">
        <v>31.435495225074227</v>
      </c>
    </row>
    <row r="501" spans="1:9" x14ac:dyDescent="0.2">
      <c r="A501">
        <v>496</v>
      </c>
      <c r="B501">
        <v>1689956.7519746232</v>
      </c>
      <c r="C501">
        <v>163691.14874418188</v>
      </c>
      <c r="D501">
        <v>141614.3965859579</v>
      </c>
      <c r="E501">
        <v>125118.57039312521</v>
      </c>
      <c r="F501">
        <v>44662.054873370209</v>
      </c>
      <c r="G501">
        <v>10000</v>
      </c>
      <c r="H501">
        <v>465086.1705966352</v>
      </c>
      <c r="I501">
        <v>27.77898132513015</v>
      </c>
    </row>
    <row r="502" spans="1:9" x14ac:dyDescent="0.2">
      <c r="A502">
        <v>497</v>
      </c>
      <c r="B502">
        <v>1384565.7108239888</v>
      </c>
      <c r="C502">
        <v>164205.98160117579</v>
      </c>
      <c r="D502">
        <v>149937.9476439578</v>
      </c>
      <c r="E502">
        <v>38575.233058103935</v>
      </c>
      <c r="F502">
        <v>38670.593057868733</v>
      </c>
      <c r="G502">
        <v>10000</v>
      </c>
      <c r="H502">
        <v>381389.75536110625</v>
      </c>
      <c r="I502">
        <v>46.550949316996679</v>
      </c>
    </row>
    <row r="503" spans="1:9" x14ac:dyDescent="0.2">
      <c r="A503">
        <v>498</v>
      </c>
      <c r="B503">
        <v>1622725.214729063</v>
      </c>
      <c r="C503">
        <v>143133.01088211857</v>
      </c>
      <c r="D503">
        <v>55176.075729155418</v>
      </c>
      <c r="E503">
        <v>207954.54724638315</v>
      </c>
      <c r="F503">
        <v>50396.853270903448</v>
      </c>
      <c r="G503">
        <v>10000</v>
      </c>
      <c r="H503">
        <v>446660.48712856061</v>
      </c>
      <c r="I503">
        <v>42.039947656225657</v>
      </c>
    </row>
    <row r="504" spans="1:9" x14ac:dyDescent="0.2">
      <c r="A504">
        <v>499</v>
      </c>
      <c r="B504">
        <v>1283323.7433967267</v>
      </c>
      <c r="C504">
        <v>127432.66268205165</v>
      </c>
      <c r="D504">
        <v>54446.497655873442</v>
      </c>
      <c r="E504">
        <v>136325.95679595298</v>
      </c>
      <c r="F504">
        <v>45437.950855104442</v>
      </c>
      <c r="G504">
        <v>10000</v>
      </c>
      <c r="H504">
        <v>353643.06798898248</v>
      </c>
      <c r="I504">
        <v>28.924906696068348</v>
      </c>
    </row>
    <row r="505" spans="1:9" x14ac:dyDescent="0.2">
      <c r="A505">
        <v>500</v>
      </c>
      <c r="B505">
        <v>1209672.5577682937</v>
      </c>
      <c r="C505">
        <v>100597.88000814362</v>
      </c>
      <c r="D505">
        <v>76623.071973568411</v>
      </c>
      <c r="E505">
        <v>121804.4294597688</v>
      </c>
      <c r="F505">
        <v>44432.61434721476</v>
      </c>
      <c r="G505">
        <v>10000</v>
      </c>
      <c r="H505">
        <v>333457.99578869558</v>
      </c>
      <c r="I505">
        <v>46.368787895798405</v>
      </c>
    </row>
    <row r="506" spans="1:9" x14ac:dyDescent="0.2">
      <c r="A506">
        <v>501</v>
      </c>
      <c r="B506">
        <v>1954259.4733706706</v>
      </c>
      <c r="C506">
        <v>171776.41137308016</v>
      </c>
      <c r="D506">
        <v>130195.27995095756</v>
      </c>
      <c r="E506">
        <v>195982.11001914972</v>
      </c>
      <c r="F506">
        <v>49567.992232094985</v>
      </c>
      <c r="G506">
        <v>10000</v>
      </c>
      <c r="H506">
        <v>537521.79357528244</v>
      </c>
      <c r="I506">
        <v>43.604414219031597</v>
      </c>
    </row>
    <row r="507" spans="1:9" x14ac:dyDescent="0.2">
      <c r="A507">
        <v>502</v>
      </c>
      <c r="B507">
        <v>1597743.5210533373</v>
      </c>
      <c r="C507">
        <v>156389.88929122986</v>
      </c>
      <c r="D507">
        <v>131207.31797147135</v>
      </c>
      <c r="E507">
        <v>118044.41389409771</v>
      </c>
      <c r="F507">
        <v>44172.305577283689</v>
      </c>
      <c r="G507">
        <v>10000</v>
      </c>
      <c r="H507">
        <v>439813.92673408263</v>
      </c>
      <c r="I507">
        <v>44.135019888627973</v>
      </c>
    </row>
    <row r="508" spans="1:9" x14ac:dyDescent="0.2">
      <c r="A508">
        <v>503</v>
      </c>
      <c r="B508">
        <v>1479077.8349436633</v>
      </c>
      <c r="C508">
        <v>89927.598037286996</v>
      </c>
      <c r="D508">
        <v>118717.07951812712</v>
      </c>
      <c r="E508">
        <v>161468.75719575156</v>
      </c>
      <c r="F508">
        <v>47178.60626739818</v>
      </c>
      <c r="G508">
        <v>10000</v>
      </c>
      <c r="H508">
        <v>407292.04101856385</v>
      </c>
      <c r="I508">
        <v>35.946529127777957</v>
      </c>
    </row>
    <row r="509" spans="1:9" x14ac:dyDescent="0.2">
      <c r="A509">
        <v>504</v>
      </c>
      <c r="B509">
        <v>1090967.232837446</v>
      </c>
      <c r="C509">
        <v>162702.66465110073</v>
      </c>
      <c r="D509">
        <v>39701.51460027766</v>
      </c>
      <c r="E509">
        <v>67825.458610575311</v>
      </c>
      <c r="F509">
        <v>40695.608673039824</v>
      </c>
      <c r="G509">
        <v>10000</v>
      </c>
      <c r="H509">
        <v>300925.24653499352</v>
      </c>
      <c r="I509">
        <v>51.773413364393718</v>
      </c>
    </row>
    <row r="510" spans="1:9" x14ac:dyDescent="0.2">
      <c r="A510">
        <v>505</v>
      </c>
      <c r="B510">
        <v>1085646.620471328</v>
      </c>
      <c r="C510">
        <v>118239.83767676036</v>
      </c>
      <c r="D510">
        <v>73794.882364104356</v>
      </c>
      <c r="E510">
        <v>76159.745232072441</v>
      </c>
      <c r="F510">
        <v>41272.597746835789</v>
      </c>
      <c r="G510">
        <v>10000</v>
      </c>
      <c r="H510">
        <v>299467.06301977293</v>
      </c>
      <c r="I510">
        <v>27.983077730355483</v>
      </c>
    </row>
    <row r="511" spans="1:9" x14ac:dyDescent="0.2">
      <c r="A511">
        <v>506</v>
      </c>
      <c r="B511">
        <v>864840.69629016146</v>
      </c>
      <c r="C511">
        <v>105266.71094317551</v>
      </c>
      <c r="D511">
        <v>67927.213512591552</v>
      </c>
      <c r="E511">
        <v>37184.098871565926</v>
      </c>
      <c r="F511">
        <v>38574.283768031484</v>
      </c>
      <c r="G511">
        <v>10000</v>
      </c>
      <c r="H511">
        <v>238952.30709536446</v>
      </c>
      <c r="I511">
        <v>40.717724452910602</v>
      </c>
    </row>
    <row r="512" spans="1:9" x14ac:dyDescent="0.2">
      <c r="A512">
        <v>507</v>
      </c>
      <c r="B512">
        <v>1714818.6779140313</v>
      </c>
      <c r="C512">
        <v>125713.399610459</v>
      </c>
      <c r="D512">
        <v>109981.27967790559</v>
      </c>
      <c r="E512">
        <v>196594.81735356749</v>
      </c>
      <c r="F512">
        <v>49610.410432170058</v>
      </c>
      <c r="G512">
        <v>10000</v>
      </c>
      <c r="H512">
        <v>471899.90707410208</v>
      </c>
      <c r="I512">
        <v>39.285470566053455</v>
      </c>
    </row>
    <row r="513" spans="1:9" x14ac:dyDescent="0.2">
      <c r="A513">
        <v>508</v>
      </c>
      <c r="B513">
        <v>1301784.2553898408</v>
      </c>
      <c r="C513">
        <v>133253.47107246422</v>
      </c>
      <c r="D513">
        <v>68980.942831127992</v>
      </c>
      <c r="E513">
        <v>122020.43092223164</v>
      </c>
      <c r="F513">
        <v>44447.568294616038</v>
      </c>
      <c r="G513">
        <v>10000</v>
      </c>
      <c r="H513">
        <v>358702.41312043986</v>
      </c>
      <c r="I513">
        <v>34.822332366021961</v>
      </c>
    </row>
    <row r="514" spans="1:9" x14ac:dyDescent="0.2">
      <c r="A514">
        <v>509</v>
      </c>
      <c r="B514">
        <v>1018186.8949127288</v>
      </c>
      <c r="C514">
        <v>100796.88835780347</v>
      </c>
      <c r="D514">
        <v>108463.82707913527</v>
      </c>
      <c r="E514">
        <v>42757.959679139516</v>
      </c>
      <c r="F514">
        <v>38960.166439325039</v>
      </c>
      <c r="G514">
        <v>10000</v>
      </c>
      <c r="H514">
        <v>280978.84155540331</v>
      </c>
      <c r="I514">
        <v>25.187322408392145</v>
      </c>
    </row>
    <row r="515" spans="1:9" x14ac:dyDescent="0.2">
      <c r="A515">
        <v>510</v>
      </c>
      <c r="B515">
        <v>799858.66468032624</v>
      </c>
      <c r="C515">
        <v>107881.68921947292</v>
      </c>
      <c r="D515">
        <v>33374.276586173291</v>
      </c>
      <c r="E515">
        <v>50398.067338471803</v>
      </c>
      <c r="F515">
        <v>39489.096969586506</v>
      </c>
      <c r="G515">
        <v>10000</v>
      </c>
      <c r="H515">
        <v>221143.13011370451</v>
      </c>
      <c r="I515">
        <v>34.171859492729148</v>
      </c>
    </row>
    <row r="516" spans="1:9" x14ac:dyDescent="0.2">
      <c r="A516">
        <v>511</v>
      </c>
      <c r="B516">
        <v>1084535.7167285411</v>
      </c>
      <c r="C516">
        <v>116019.40440811469</v>
      </c>
      <c r="D516">
        <v>117681.46272405209</v>
      </c>
      <c r="E516">
        <v>36906.66159301249</v>
      </c>
      <c r="F516">
        <v>38555.076571823942</v>
      </c>
      <c r="G516">
        <v>10000</v>
      </c>
      <c r="H516">
        <v>299162.60529700317</v>
      </c>
      <c r="I516">
        <v>33.485184714164298</v>
      </c>
    </row>
    <row r="517" spans="1:9" x14ac:dyDescent="0.2">
      <c r="A517">
        <v>512</v>
      </c>
      <c r="B517">
        <v>1731060.3276575683</v>
      </c>
      <c r="C517">
        <v>119632.95649383699</v>
      </c>
      <c r="D517">
        <v>136222.69543844863</v>
      </c>
      <c r="E517">
        <v>181902.25871274213</v>
      </c>
      <c r="F517">
        <v>48593.233295497535</v>
      </c>
      <c r="G517">
        <v>10000</v>
      </c>
      <c r="H517">
        <v>476351.1439405253</v>
      </c>
      <c r="I517">
        <v>30.979995092142119</v>
      </c>
    </row>
    <row r="518" spans="1:9" x14ac:dyDescent="0.2">
      <c r="A518">
        <v>513</v>
      </c>
      <c r="B518">
        <v>1295576.9594094451</v>
      </c>
      <c r="C518">
        <v>115436.74309348258</v>
      </c>
      <c r="D518">
        <v>81802.220947560898</v>
      </c>
      <c r="E518">
        <v>125101.39265911895</v>
      </c>
      <c r="F518">
        <v>44660.865645631318</v>
      </c>
      <c r="G518">
        <v>10000</v>
      </c>
      <c r="H518">
        <v>357001.22234579374</v>
      </c>
      <c r="I518">
        <v>50.733235714001331</v>
      </c>
    </row>
    <row r="519" spans="1:9" x14ac:dyDescent="0.2">
      <c r="A519">
        <v>514</v>
      </c>
      <c r="B519">
        <v>1111298.8878039955</v>
      </c>
      <c r="C519">
        <v>82437.075050917832</v>
      </c>
      <c r="D519">
        <v>48702.348088442726</v>
      </c>
      <c r="E519">
        <v>139687.31920899643</v>
      </c>
      <c r="F519">
        <v>45670.660560622833</v>
      </c>
      <c r="G519">
        <v>10000</v>
      </c>
      <c r="H519">
        <v>306497.4029089798</v>
      </c>
      <c r="I519">
        <v>41.50069544969358</v>
      </c>
    </row>
    <row r="520" spans="1:9" x14ac:dyDescent="0.2">
      <c r="A520">
        <v>515</v>
      </c>
      <c r="B520">
        <v>1180085.7731589493</v>
      </c>
      <c r="C520">
        <v>139205.76017081179</v>
      </c>
      <c r="D520">
        <v>94398.919947934104</v>
      </c>
      <c r="E520">
        <v>61487.820659102683</v>
      </c>
      <c r="F520">
        <v>40256.849122553263</v>
      </c>
      <c r="G520">
        <v>10000</v>
      </c>
      <c r="H520">
        <v>325349.34990040184</v>
      </c>
      <c r="I520">
        <v>44.130078840095692</v>
      </c>
    </row>
    <row r="521" spans="1:9" x14ac:dyDescent="0.2">
      <c r="A521">
        <v>516</v>
      </c>
      <c r="B521">
        <v>1203032.6348242047</v>
      </c>
      <c r="C521">
        <v>103620.61283572204</v>
      </c>
      <c r="D521">
        <v>66248.044285880154</v>
      </c>
      <c r="E521">
        <v>126978.74463864678</v>
      </c>
      <c r="F521">
        <v>44790.836167290923</v>
      </c>
      <c r="G521">
        <v>10000</v>
      </c>
      <c r="H521">
        <v>331638.23792753991</v>
      </c>
      <c r="I521">
        <v>32.198065206773663</v>
      </c>
    </row>
    <row r="522" spans="1:9" x14ac:dyDescent="0.2">
      <c r="A522">
        <v>517</v>
      </c>
      <c r="B522">
        <v>985278.60657928546</v>
      </c>
      <c r="C522">
        <v>74095.302589208688</v>
      </c>
      <c r="D522">
        <v>40993.587141828197</v>
      </c>
      <c r="E522">
        <v>122397.34218018125</v>
      </c>
      <c r="F522">
        <v>44473.662150935626</v>
      </c>
      <c r="G522">
        <v>10000</v>
      </c>
      <c r="H522">
        <v>271959.89406215376</v>
      </c>
      <c r="I522">
        <v>28.33374867148007</v>
      </c>
    </row>
    <row r="523" spans="1:9" x14ac:dyDescent="0.2">
      <c r="A523">
        <v>518</v>
      </c>
      <c r="B523">
        <v>1024770.7324868737</v>
      </c>
      <c r="C523">
        <v>156869.43654006376</v>
      </c>
      <c r="D523">
        <v>56305.826701429076</v>
      </c>
      <c r="E523">
        <v>40784.427926748402</v>
      </c>
      <c r="F523">
        <v>38823.537318005663</v>
      </c>
      <c r="G523">
        <v>10000</v>
      </c>
      <c r="H523">
        <v>282783.2284862469</v>
      </c>
      <c r="I523">
        <v>35.626528038823885</v>
      </c>
    </row>
    <row r="524" spans="1:9" x14ac:dyDescent="0.2">
      <c r="A524">
        <v>519</v>
      </c>
      <c r="B524">
        <v>1506692.8291559578</v>
      </c>
      <c r="C524">
        <v>158499.90562531029</v>
      </c>
      <c r="D524">
        <v>49281.455899031636</v>
      </c>
      <c r="E524">
        <v>169354.39533357913</v>
      </c>
      <c r="F524">
        <v>47724.535061555485</v>
      </c>
      <c r="G524">
        <v>10000</v>
      </c>
      <c r="H524">
        <v>414860.29191947653</v>
      </c>
      <c r="I524">
        <v>43.559335684389325</v>
      </c>
    </row>
    <row r="525" spans="1:9" x14ac:dyDescent="0.2">
      <c r="A525">
        <v>520</v>
      </c>
      <c r="B525">
        <v>1034641.5209859987</v>
      </c>
      <c r="C525">
        <v>101539.42427441778</v>
      </c>
      <c r="D525">
        <v>79355.380983264447</v>
      </c>
      <c r="E525">
        <v>73504.845145534142</v>
      </c>
      <c r="F525">
        <v>41088.796971613905</v>
      </c>
      <c r="G525">
        <v>10000</v>
      </c>
      <c r="H525">
        <v>285488.44737483026</v>
      </c>
      <c r="I525">
        <v>36.092339228347633</v>
      </c>
    </row>
    <row r="526" spans="1:9" x14ac:dyDescent="0.2">
      <c r="A526">
        <v>521</v>
      </c>
      <c r="B526">
        <v>983286.12821826339</v>
      </c>
      <c r="C526">
        <v>91910.048426021924</v>
      </c>
      <c r="D526">
        <v>84997.898055495127</v>
      </c>
      <c r="E526">
        <v>64070.250087374472</v>
      </c>
      <c r="F526">
        <v>40435.632698356698</v>
      </c>
      <c r="G526">
        <v>10000</v>
      </c>
      <c r="H526">
        <v>271413.82926724822</v>
      </c>
      <c r="I526">
        <v>28.389492932945238</v>
      </c>
    </row>
    <row r="527" spans="1:9" x14ac:dyDescent="0.2">
      <c r="A527">
        <v>522</v>
      </c>
      <c r="B527">
        <v>1533174.7328172866</v>
      </c>
      <c r="C527">
        <v>117444.06982741161</v>
      </c>
      <c r="D527">
        <v>117710.98556441785</v>
      </c>
      <c r="E527">
        <v>150540.88766653952</v>
      </c>
      <c r="F527">
        <v>46422.061453837348</v>
      </c>
      <c r="G527">
        <v>10000</v>
      </c>
      <c r="H527">
        <v>422118.0045122063</v>
      </c>
      <c r="I527">
        <v>46.315082013672239</v>
      </c>
    </row>
    <row r="528" spans="1:9" x14ac:dyDescent="0.2">
      <c r="A528">
        <v>523</v>
      </c>
      <c r="B528">
        <v>1077144.6648709239</v>
      </c>
      <c r="C528">
        <v>108582.73334123185</v>
      </c>
      <c r="D528">
        <v>120925.34232703714</v>
      </c>
      <c r="E528">
        <v>38933.517672254762</v>
      </c>
      <c r="F528">
        <v>38695.397377309942</v>
      </c>
      <c r="G528">
        <v>10000</v>
      </c>
      <c r="H528">
        <v>297136.99071783375</v>
      </c>
      <c r="I528">
        <v>32.825109916651876</v>
      </c>
    </row>
    <row r="529" spans="1:9" x14ac:dyDescent="0.2">
      <c r="A529">
        <v>524</v>
      </c>
      <c r="B529">
        <v>1399484.7260839618</v>
      </c>
      <c r="C529">
        <v>119735.49818550744</v>
      </c>
      <c r="D529">
        <v>116559.90960562811</v>
      </c>
      <c r="E529">
        <v>115207.21501422107</v>
      </c>
      <c r="F529">
        <v>43975.884116369154</v>
      </c>
      <c r="G529">
        <v>10000</v>
      </c>
      <c r="H529">
        <v>385478.50692172581</v>
      </c>
      <c r="I529">
        <v>37.200219557229673</v>
      </c>
    </row>
    <row r="530" spans="1:9" x14ac:dyDescent="0.2">
      <c r="A530">
        <v>525</v>
      </c>
      <c r="B530">
        <v>1720045.929884292</v>
      </c>
      <c r="C530">
        <v>125200.70975920517</v>
      </c>
      <c r="D530">
        <v>124814.43215473174</v>
      </c>
      <c r="E530">
        <v>184541.41773145969</v>
      </c>
      <c r="F530">
        <v>48775.944304485667</v>
      </c>
      <c r="G530">
        <v>10000</v>
      </c>
      <c r="H530">
        <v>473332.50394988229</v>
      </c>
      <c r="I530">
        <v>45.027580120032638</v>
      </c>
    </row>
    <row r="531" spans="1:9" x14ac:dyDescent="0.2">
      <c r="A531">
        <v>526</v>
      </c>
      <c r="B531">
        <v>1285894.6257230062</v>
      </c>
      <c r="C531">
        <v>159050.73387631433</v>
      </c>
      <c r="D531">
        <v>61577.095921040636</v>
      </c>
      <c r="E531">
        <v>100745.15742508424</v>
      </c>
      <c r="F531">
        <v>42974.664744813526</v>
      </c>
      <c r="G531">
        <v>10000</v>
      </c>
      <c r="H531">
        <v>354347.65196725272</v>
      </c>
      <c r="I531">
        <v>27.696186090008361</v>
      </c>
    </row>
    <row r="532" spans="1:9" x14ac:dyDescent="0.2">
      <c r="A532">
        <v>527</v>
      </c>
      <c r="B532">
        <v>1361167.6688762824</v>
      </c>
      <c r="C532">
        <v>92986.824564415132</v>
      </c>
      <c r="D532">
        <v>152384.8267386388</v>
      </c>
      <c r="E532">
        <v>96897.290225663863</v>
      </c>
      <c r="F532">
        <v>42708.2739386998</v>
      </c>
      <c r="G532">
        <v>10000</v>
      </c>
      <c r="H532">
        <v>374977.21546741761</v>
      </c>
      <c r="I532">
        <v>41.877908199691205</v>
      </c>
    </row>
    <row r="533" spans="1:9" x14ac:dyDescent="0.2">
      <c r="A533">
        <v>528</v>
      </c>
      <c r="B533">
        <v>926508.40129191463</v>
      </c>
      <c r="C533">
        <v>107184.64921068026</v>
      </c>
      <c r="D533">
        <v>67751.661974763672</v>
      </c>
      <c r="E533">
        <v>51361.071762639898</v>
      </c>
      <c r="F533">
        <v>39555.766506644293</v>
      </c>
      <c r="G533">
        <v>10000</v>
      </c>
      <c r="H533">
        <v>255853.14945472818</v>
      </c>
      <c r="I533">
        <v>42.788193325261787</v>
      </c>
    </row>
    <row r="534" spans="1:9" x14ac:dyDescent="0.2">
      <c r="A534">
        <v>529</v>
      </c>
      <c r="B534">
        <v>1331076.4857850401</v>
      </c>
      <c r="C534">
        <v>121546.55277805813</v>
      </c>
      <c r="D534">
        <v>49267.929650033817</v>
      </c>
      <c r="E534">
        <v>158914.10444729665</v>
      </c>
      <c r="F534">
        <v>47001.745692505152</v>
      </c>
      <c r="G534">
        <v>10000</v>
      </c>
      <c r="H534">
        <v>366730.33256789378</v>
      </c>
      <c r="I534">
        <v>31.817159716862495</v>
      </c>
    </row>
    <row r="535" spans="1:9" x14ac:dyDescent="0.2">
      <c r="A535">
        <v>530</v>
      </c>
      <c r="B535">
        <v>1856966.75412664</v>
      </c>
      <c r="C535">
        <v>145022.02557907123</v>
      </c>
      <c r="D535">
        <v>175490.83245429298</v>
      </c>
      <c r="E535">
        <v>153703.5746595852</v>
      </c>
      <c r="F535">
        <v>46641.016707202056</v>
      </c>
      <c r="G535">
        <v>10000</v>
      </c>
      <c r="H535">
        <v>510857.44940015144</v>
      </c>
      <c r="I535">
        <v>42.292908837950677</v>
      </c>
    </row>
    <row r="536" spans="1:9" x14ac:dyDescent="0.2">
      <c r="A536">
        <v>531</v>
      </c>
      <c r="B536">
        <v>1651300.2408371784</v>
      </c>
      <c r="C536">
        <v>148261.23702610112</v>
      </c>
      <c r="D536">
        <v>61505.657111581961</v>
      </c>
      <c r="E536">
        <v>204562.90587853137</v>
      </c>
      <c r="F536">
        <v>50162.04733005217</v>
      </c>
      <c r="G536">
        <v>10000</v>
      </c>
      <c r="H536">
        <v>454491.84734626667</v>
      </c>
      <c r="I536">
        <v>48.387479711018152</v>
      </c>
    </row>
    <row r="537" spans="1:9" x14ac:dyDescent="0.2">
      <c r="A537">
        <v>532</v>
      </c>
      <c r="B537">
        <v>1200304.5390123478</v>
      </c>
      <c r="C537">
        <v>88970.648855117513</v>
      </c>
      <c r="D537">
        <v>111462.36648132004</v>
      </c>
      <c r="E537">
        <v>97694.113566216212</v>
      </c>
      <c r="F537">
        <v>42763.43863150727</v>
      </c>
      <c r="G537">
        <v>10000</v>
      </c>
      <c r="H537">
        <v>330890.56753416103</v>
      </c>
      <c r="I537">
        <v>34.138569634617433</v>
      </c>
    </row>
    <row r="538" spans="1:9" x14ac:dyDescent="0.2">
      <c r="A538">
        <v>533</v>
      </c>
      <c r="B538">
        <v>1091121.6357435186</v>
      </c>
      <c r="C538">
        <v>130694.09830240841</v>
      </c>
      <c r="D538">
        <v>109376.27857924749</v>
      </c>
      <c r="E538">
        <v>32637.655776986638</v>
      </c>
      <c r="F538">
        <v>38259.530015329845</v>
      </c>
      <c r="G538">
        <v>10000</v>
      </c>
      <c r="H538">
        <v>300967.56267397234</v>
      </c>
      <c r="I538">
        <v>28.253760510767336</v>
      </c>
    </row>
    <row r="539" spans="1:9" x14ac:dyDescent="0.2">
      <c r="A539">
        <v>534</v>
      </c>
      <c r="B539">
        <v>841967.63125614449</v>
      </c>
      <c r="C539">
        <v>106304.462885152</v>
      </c>
      <c r="D539">
        <v>55946.722796838927</v>
      </c>
      <c r="E539">
        <v>41555.536558002503</v>
      </c>
      <c r="F539">
        <v>38876.921761707868</v>
      </c>
      <c r="G539">
        <v>10000</v>
      </c>
      <c r="H539">
        <v>232683.64400170129</v>
      </c>
      <c r="I539">
        <v>52.605662449952625</v>
      </c>
    </row>
    <row r="540" spans="1:9" x14ac:dyDescent="0.2">
      <c r="A540">
        <v>535</v>
      </c>
      <c r="B540">
        <v>1056060.4997333449</v>
      </c>
      <c r="C540">
        <v>119773.63873526886</v>
      </c>
      <c r="D540">
        <v>43194.338963999566</v>
      </c>
      <c r="E540">
        <v>95761.012796625611</v>
      </c>
      <c r="F540">
        <v>42629.608578227933</v>
      </c>
      <c r="G540">
        <v>10000</v>
      </c>
      <c r="H540">
        <v>291358.59907412197</v>
      </c>
      <c r="I540">
        <v>25.668860930066806</v>
      </c>
    </row>
    <row r="541" spans="1:9" x14ac:dyDescent="0.2">
      <c r="A541">
        <v>536</v>
      </c>
      <c r="B541">
        <v>1017656.1431091473</v>
      </c>
      <c r="C541">
        <v>109054.80089957939</v>
      </c>
      <c r="D541">
        <v>108751.54778187173</v>
      </c>
      <c r="E541">
        <v>34629.599573105181</v>
      </c>
      <c r="F541">
        <v>38397.433816599594</v>
      </c>
      <c r="G541">
        <v>10000</v>
      </c>
      <c r="H541">
        <v>280833.38207115588</v>
      </c>
      <c r="I541">
        <v>39.897651185934919</v>
      </c>
    </row>
    <row r="542" spans="1:9" x14ac:dyDescent="0.2">
      <c r="A542">
        <v>537</v>
      </c>
      <c r="B542">
        <v>1260548.8344896645</v>
      </c>
      <c r="C542">
        <v>128706.18663394083</v>
      </c>
      <c r="D542">
        <v>79067.166032395166</v>
      </c>
      <c r="E542">
        <v>106270.74759838647</v>
      </c>
      <c r="F542">
        <v>43357.205602965216</v>
      </c>
      <c r="G542">
        <v>10000</v>
      </c>
      <c r="H542">
        <v>347401.30586768768</v>
      </c>
      <c r="I542">
        <v>44.797719550380599</v>
      </c>
    </row>
    <row r="543" spans="1:9" x14ac:dyDescent="0.2">
      <c r="A543">
        <v>538</v>
      </c>
      <c r="B543">
        <v>1534691.889353978</v>
      </c>
      <c r="C543">
        <v>117383.218084818</v>
      </c>
      <c r="D543">
        <v>70505.135739748075</v>
      </c>
      <c r="E543">
        <v>195136.02985846589</v>
      </c>
      <c r="F543">
        <v>49509.417451739944</v>
      </c>
      <c r="G543">
        <v>10000</v>
      </c>
      <c r="H543">
        <v>422533.8011347719</v>
      </c>
      <c r="I543">
        <v>36.387331759007353</v>
      </c>
    </row>
    <row r="544" spans="1:9" x14ac:dyDescent="0.2">
      <c r="A544">
        <v>539</v>
      </c>
      <c r="B544">
        <v>1214289.4577353413</v>
      </c>
      <c r="C544">
        <v>91500.174830134434</v>
      </c>
      <c r="D544">
        <v>56943.504530652019</v>
      </c>
      <c r="E544">
        <v>149901.82003211082</v>
      </c>
      <c r="F544">
        <v>46377.818309915361</v>
      </c>
      <c r="G544">
        <v>10000</v>
      </c>
      <c r="H544">
        <v>334723.31770281261</v>
      </c>
      <c r="I544">
        <v>30.940873558021025</v>
      </c>
    </row>
    <row r="545" spans="1:9" x14ac:dyDescent="0.2">
      <c r="A545">
        <v>540</v>
      </c>
      <c r="B545">
        <v>1494628.3197940555</v>
      </c>
      <c r="C545">
        <v>142462.33470016636</v>
      </c>
      <c r="D545">
        <v>75817.124709752272</v>
      </c>
      <c r="E545">
        <v>156443.67941512639</v>
      </c>
      <c r="F545">
        <v>46830.716267201053</v>
      </c>
      <c r="G545">
        <v>10000</v>
      </c>
      <c r="H545">
        <v>411553.85509224609</v>
      </c>
      <c r="I545">
        <v>38.166966939474293</v>
      </c>
    </row>
    <row r="546" spans="1:9" x14ac:dyDescent="0.2">
      <c r="A546">
        <v>541</v>
      </c>
      <c r="B546">
        <v>1204604.7914951472</v>
      </c>
      <c r="C546">
        <v>117133.3490851149</v>
      </c>
      <c r="D546">
        <v>95065.502976029762</v>
      </c>
      <c r="E546">
        <v>87792.325751856217</v>
      </c>
      <c r="F546">
        <v>42077.930244359275</v>
      </c>
      <c r="G546">
        <v>10000</v>
      </c>
      <c r="H546">
        <v>332069.10805736016</v>
      </c>
      <c r="I546">
        <v>38.284803407545468</v>
      </c>
    </row>
    <row r="547" spans="1:9" x14ac:dyDescent="0.2">
      <c r="A547">
        <v>542</v>
      </c>
      <c r="B547">
        <v>997677.24772098043</v>
      </c>
      <c r="C547">
        <v>140919.37151115699</v>
      </c>
      <c r="D547">
        <v>68497.94920466379</v>
      </c>
      <c r="E547">
        <v>37354.502427424079</v>
      </c>
      <c r="F547">
        <v>38586.080937283208</v>
      </c>
      <c r="G547">
        <v>10000</v>
      </c>
      <c r="H547">
        <v>275357.90408052807</v>
      </c>
      <c r="I547">
        <v>40.342882508678137</v>
      </c>
    </row>
    <row r="548" spans="1:9" x14ac:dyDescent="0.2">
      <c r="A548">
        <v>543</v>
      </c>
      <c r="B548">
        <v>1747082.0607226116</v>
      </c>
      <c r="C548">
        <v>130594.70209928429</v>
      </c>
      <c r="D548">
        <v>101896.69099022419</v>
      </c>
      <c r="E548">
        <v>207860.38249800602</v>
      </c>
      <c r="F548">
        <v>50390.334172938878</v>
      </c>
      <c r="G548">
        <v>10000</v>
      </c>
      <c r="H548">
        <v>480742.1097604534</v>
      </c>
      <c r="I548">
        <v>28.407264396290586</v>
      </c>
    </row>
    <row r="549" spans="1:9" x14ac:dyDescent="0.2">
      <c r="A549">
        <v>544</v>
      </c>
      <c r="B549">
        <v>1170001.6835086585</v>
      </c>
      <c r="C549">
        <v>95993.010271782361</v>
      </c>
      <c r="D549">
        <v>111925.85752420468</v>
      </c>
      <c r="E549">
        <v>82925.789074558896</v>
      </c>
      <c r="F549">
        <v>41741.016166700225</v>
      </c>
      <c r="G549">
        <v>10000</v>
      </c>
      <c r="H549">
        <v>322585.67303724616</v>
      </c>
      <c r="I549">
        <v>44.460594559888861</v>
      </c>
    </row>
    <row r="550" spans="1:9" x14ac:dyDescent="0.2">
      <c r="A550">
        <v>545</v>
      </c>
      <c r="B550">
        <v>1551253.8171404577</v>
      </c>
      <c r="C550">
        <v>135607.54448717664</v>
      </c>
      <c r="D550">
        <v>68082.673847879356</v>
      </c>
      <c r="E550">
        <v>184602.4279690595</v>
      </c>
      <c r="F550">
        <v>48780.168090165658</v>
      </c>
      <c r="G550">
        <v>10000</v>
      </c>
      <c r="H550">
        <v>427072.81439428113</v>
      </c>
      <c r="I550">
        <v>33.62836429972517</v>
      </c>
    </row>
    <row r="551" spans="1:9" x14ac:dyDescent="0.2">
      <c r="A551">
        <v>546</v>
      </c>
      <c r="B551">
        <v>1056392.9881893494</v>
      </c>
      <c r="C551">
        <v>104266.42671005125</v>
      </c>
      <c r="D551">
        <v>79838.623567438655</v>
      </c>
      <c r="E551">
        <v>76077.75042976618</v>
      </c>
      <c r="F551">
        <v>41266.921183599196</v>
      </c>
      <c r="G551">
        <v>10000</v>
      </c>
      <c r="H551">
        <v>291449.72189085529</v>
      </c>
      <c r="I551">
        <v>46.171132574347894</v>
      </c>
    </row>
    <row r="552" spans="1:9" x14ac:dyDescent="0.2">
      <c r="A552">
        <v>547</v>
      </c>
      <c r="B552">
        <v>1380812.7234237345</v>
      </c>
      <c r="C552">
        <v>147352.78817053779</v>
      </c>
      <c r="D552">
        <v>144510.00698325946</v>
      </c>
      <c r="E552">
        <v>58451.745542014796</v>
      </c>
      <c r="F552">
        <v>40046.659306754867</v>
      </c>
      <c r="G552">
        <v>10000</v>
      </c>
      <c r="H552">
        <v>380361.20000256691</v>
      </c>
      <c r="I552">
        <v>41.073987962420695</v>
      </c>
    </row>
    <row r="553" spans="1:9" x14ac:dyDescent="0.2">
      <c r="A553">
        <v>548</v>
      </c>
      <c r="B553">
        <v>1465645.5584266698</v>
      </c>
      <c r="C553">
        <v>122303.10338188798</v>
      </c>
      <c r="D553">
        <v>88707.698106424577</v>
      </c>
      <c r="E553">
        <v>155812.90119179321</v>
      </c>
      <c r="F553">
        <v>46787.047005585686</v>
      </c>
      <c r="G553">
        <v>10000</v>
      </c>
      <c r="H553">
        <v>403610.74968569144</v>
      </c>
      <c r="I553">
        <v>40.006541159719745</v>
      </c>
    </row>
    <row r="554" spans="1:9" x14ac:dyDescent="0.2">
      <c r="A554">
        <v>549</v>
      </c>
      <c r="B554">
        <v>1627648.8903176754</v>
      </c>
      <c r="C554">
        <v>96688.249545180603</v>
      </c>
      <c r="D554">
        <v>128753.75139074169</v>
      </c>
      <c r="E554">
        <v>183840.46703576078</v>
      </c>
      <c r="F554">
        <v>48727.416948629594</v>
      </c>
      <c r="G554">
        <v>10000</v>
      </c>
      <c r="H554">
        <v>448009.88492031267</v>
      </c>
      <c r="I554">
        <v>47.434521311803792</v>
      </c>
    </row>
    <row r="555" spans="1:9" x14ac:dyDescent="0.2">
      <c r="A555">
        <v>550</v>
      </c>
      <c r="B555">
        <v>1479962.9505600506</v>
      </c>
      <c r="C555">
        <v>119089.11741409219</v>
      </c>
      <c r="D555">
        <v>97530.556739458407</v>
      </c>
      <c r="E555">
        <v>154236.99835417297</v>
      </c>
      <c r="F555">
        <v>46677.94603990428</v>
      </c>
      <c r="G555">
        <v>10000</v>
      </c>
      <c r="H555">
        <v>407534.61854762782</v>
      </c>
      <c r="I555">
        <v>28.627010083194619</v>
      </c>
    </row>
    <row r="556" spans="1:9" x14ac:dyDescent="0.2">
      <c r="A556">
        <v>551</v>
      </c>
      <c r="B556">
        <v>1107988.651684202</v>
      </c>
      <c r="C556">
        <v>99517.766614331893</v>
      </c>
      <c r="D556">
        <v>79658.718197934577</v>
      </c>
      <c r="E556">
        <v>93912.097758424265</v>
      </c>
      <c r="F556">
        <v>42501.606767890909</v>
      </c>
      <c r="G556">
        <v>10000</v>
      </c>
      <c r="H556">
        <v>305590.18933858169</v>
      </c>
      <c r="I556">
        <v>43.984613855805669</v>
      </c>
    </row>
    <row r="557" spans="1:9" x14ac:dyDescent="0.2">
      <c r="A557">
        <v>552</v>
      </c>
      <c r="B557">
        <v>1152503.2265258653</v>
      </c>
      <c r="C557">
        <v>96418.312612127876</v>
      </c>
      <c r="D557">
        <v>69796.507098384624</v>
      </c>
      <c r="E557">
        <v>117444.40544246745</v>
      </c>
      <c r="F557">
        <v>44130.766530632362</v>
      </c>
      <c r="G557">
        <v>10000</v>
      </c>
      <c r="H557">
        <v>317789.99168361234</v>
      </c>
      <c r="I557">
        <v>35.716214281345032</v>
      </c>
    </row>
    <row r="558" spans="1:9" x14ac:dyDescent="0.2">
      <c r="A558">
        <v>553</v>
      </c>
      <c r="B558">
        <v>1167192.5848956888</v>
      </c>
      <c r="C558">
        <v>87202.325249984206</v>
      </c>
      <c r="D558">
        <v>114030.09828067548</v>
      </c>
      <c r="E558">
        <v>88459.27554304144</v>
      </c>
      <c r="F558">
        <v>42124.103691441327</v>
      </c>
      <c r="G558">
        <v>10000</v>
      </c>
      <c r="H558">
        <v>321815.80276514252</v>
      </c>
      <c r="I558">
        <v>45.148382009729744</v>
      </c>
    </row>
    <row r="559" spans="1:9" x14ac:dyDescent="0.2">
      <c r="A559">
        <v>554</v>
      </c>
      <c r="B559">
        <v>866265.35254331492</v>
      </c>
      <c r="C559">
        <v>96762.381535277862</v>
      </c>
      <c r="D559">
        <v>42243.551835304548</v>
      </c>
      <c r="E559">
        <v>69523.644073986972</v>
      </c>
      <c r="F559">
        <v>40813.175358968329</v>
      </c>
      <c r="G559">
        <v>10000</v>
      </c>
      <c r="H559">
        <v>239342.7528035377</v>
      </c>
      <c r="I559">
        <v>36.650795389833874</v>
      </c>
    </row>
    <row r="560" spans="1:9" x14ac:dyDescent="0.2">
      <c r="A560">
        <v>555</v>
      </c>
      <c r="B560">
        <v>1086741.5227974055</v>
      </c>
      <c r="C560">
        <v>145238.99320063929</v>
      </c>
      <c r="D560">
        <v>97766.89555099982</v>
      </c>
      <c r="E560">
        <v>28769.511202130299</v>
      </c>
      <c r="F560">
        <v>37991.735390916714</v>
      </c>
      <c r="G560">
        <v>10000</v>
      </c>
      <c r="H560">
        <v>299767.1353446861</v>
      </c>
      <c r="I560">
        <v>39.031700826749997</v>
      </c>
    </row>
    <row r="561" spans="1:9" x14ac:dyDescent="0.2">
      <c r="A561">
        <v>556</v>
      </c>
      <c r="B561">
        <v>1258470.9811359511</v>
      </c>
      <c r="C561">
        <v>89559.906438679478</v>
      </c>
      <c r="D561">
        <v>94259.594997064298</v>
      </c>
      <c r="E561">
        <v>128141.03881476294</v>
      </c>
      <c r="F561">
        <v>44871.302687175892</v>
      </c>
      <c r="G561">
        <v>10000</v>
      </c>
      <c r="H561">
        <v>346831.84293768264</v>
      </c>
      <c r="I561">
        <v>33.792683458376942</v>
      </c>
    </row>
    <row r="562" spans="1:9" x14ac:dyDescent="0.2">
      <c r="A562">
        <v>557</v>
      </c>
      <c r="B562">
        <v>1535104.4537806015</v>
      </c>
      <c r="C562">
        <v>132897.49670822819</v>
      </c>
      <c r="D562">
        <v>87950.078270666752</v>
      </c>
      <c r="E562">
        <v>164416.60668610552</v>
      </c>
      <c r="F562">
        <v>47382.688155191921</v>
      </c>
      <c r="G562">
        <v>10000</v>
      </c>
      <c r="H562">
        <v>422646.86982019246</v>
      </c>
      <c r="I562">
        <v>37.706744897105779</v>
      </c>
    </row>
    <row r="563" spans="1:9" x14ac:dyDescent="0.2">
      <c r="A563">
        <v>558</v>
      </c>
      <c r="B563">
        <v>1242482.1574628137</v>
      </c>
      <c r="C563">
        <v>111431.41299109669</v>
      </c>
      <c r="D563">
        <v>59661.026099732931</v>
      </c>
      <c r="E563">
        <v>135945.82335246529</v>
      </c>
      <c r="F563">
        <v>45411.633924401445</v>
      </c>
      <c r="G563">
        <v>10000</v>
      </c>
      <c r="H563">
        <v>342449.89636769635</v>
      </c>
      <c r="I563">
        <v>34.694161823713728</v>
      </c>
    </row>
    <row r="564" spans="1:9" x14ac:dyDescent="0.2">
      <c r="A564">
        <v>559</v>
      </c>
      <c r="B564">
        <v>1515656.3932931644</v>
      </c>
      <c r="C564">
        <v>99629.832154066957</v>
      </c>
      <c r="D564">
        <v>146316.40884686873</v>
      </c>
      <c r="E564">
        <v>135958.14605234523</v>
      </c>
      <c r="F564">
        <v>45412.487034393132</v>
      </c>
      <c r="G564">
        <v>10000</v>
      </c>
      <c r="H564">
        <v>417316.87408767402</v>
      </c>
      <c r="I564">
        <v>37.222989309470002</v>
      </c>
    </row>
    <row r="565" spans="1:9" x14ac:dyDescent="0.2">
      <c r="A565">
        <v>560</v>
      </c>
      <c r="B565">
        <v>1372682.8586111786</v>
      </c>
      <c r="C565">
        <v>125662.68377753231</v>
      </c>
      <c r="D565">
        <v>58951.272425242612</v>
      </c>
      <c r="E565">
        <v>156672.58432237981</v>
      </c>
      <c r="F565">
        <v>46846.563530010913</v>
      </c>
      <c r="G565">
        <v>10000</v>
      </c>
      <c r="H565">
        <v>378133.10405516566</v>
      </c>
      <c r="I565">
        <v>41.424564007091206</v>
      </c>
    </row>
    <row r="566" spans="1:9" x14ac:dyDescent="0.2">
      <c r="A566">
        <v>561</v>
      </c>
      <c r="B566">
        <v>921054.5448910346</v>
      </c>
      <c r="C566">
        <v>124966.44707378742</v>
      </c>
      <c r="D566">
        <v>57954.894207974663</v>
      </c>
      <c r="E566">
        <v>42495.136402877994</v>
      </c>
      <c r="F566">
        <v>38941.970981737701</v>
      </c>
      <c r="G566">
        <v>10000</v>
      </c>
      <c r="H566">
        <v>254358.44866637781</v>
      </c>
      <c r="I566">
        <v>35.742339148389149</v>
      </c>
    </row>
    <row r="567" spans="1:9" x14ac:dyDescent="0.2">
      <c r="A567">
        <v>562</v>
      </c>
      <c r="B567">
        <v>1229662.6521691158</v>
      </c>
      <c r="C567">
        <v>131678.77228192735</v>
      </c>
      <c r="D567">
        <v>80828.308862121019</v>
      </c>
      <c r="E567">
        <v>93926.834843748307</v>
      </c>
      <c r="F567">
        <v>42502.627027644114</v>
      </c>
      <c r="G567">
        <v>10000</v>
      </c>
      <c r="H567">
        <v>338936.54301544081</v>
      </c>
      <c r="I567">
        <v>32.804698547469577</v>
      </c>
    </row>
    <row r="568" spans="1:9" x14ac:dyDescent="0.2">
      <c r="A568">
        <v>563</v>
      </c>
      <c r="B568">
        <v>1798429.881436544</v>
      </c>
      <c r="C568">
        <v>113234.76731794955</v>
      </c>
      <c r="D568">
        <v>153563.76913248084</v>
      </c>
      <c r="E568">
        <v>188935.93601164993</v>
      </c>
      <c r="F568">
        <v>49080.180185421916</v>
      </c>
      <c r="G568">
        <v>10000</v>
      </c>
      <c r="H568">
        <v>494814.6526475022</v>
      </c>
      <c r="I568">
        <v>29.26364771221067</v>
      </c>
    </row>
    <row r="569" spans="1:9" x14ac:dyDescent="0.2">
      <c r="A569">
        <v>564</v>
      </c>
      <c r="B569">
        <v>1471447.4696930114</v>
      </c>
      <c r="C569">
        <v>128489.10520184615</v>
      </c>
      <c r="D569">
        <v>54515.924775117041</v>
      </c>
      <c r="E569">
        <v>183492.48369777159</v>
      </c>
      <c r="F569">
        <v>48703.32579446111</v>
      </c>
      <c r="G569">
        <v>10000</v>
      </c>
      <c r="H569">
        <v>405200.83946919587</v>
      </c>
      <c r="I569">
        <v>43.26937108100482</v>
      </c>
    </row>
    <row r="570" spans="1:9" x14ac:dyDescent="0.2">
      <c r="A570">
        <v>565</v>
      </c>
      <c r="B570">
        <v>969889.95682736579</v>
      </c>
      <c r="C570">
        <v>90638.356761557821</v>
      </c>
      <c r="D570">
        <v>80837.81548772243</v>
      </c>
      <c r="E570">
        <v>65716.646761302181</v>
      </c>
      <c r="F570">
        <v>40549.614006551688</v>
      </c>
      <c r="G570">
        <v>10000</v>
      </c>
      <c r="H570">
        <v>267742.43301713414</v>
      </c>
      <c r="I570">
        <v>30.287484501435763</v>
      </c>
    </row>
    <row r="571" spans="1:9" x14ac:dyDescent="0.2">
      <c r="A571">
        <v>566</v>
      </c>
      <c r="B571">
        <v>954482.1709618005</v>
      </c>
      <c r="C571">
        <v>95966.515766096985</v>
      </c>
      <c r="D571">
        <v>52134.356300694941</v>
      </c>
      <c r="E571">
        <v>83629.145340662508</v>
      </c>
      <c r="F571">
        <v>41789.710062045866</v>
      </c>
      <c r="G571">
        <v>10000</v>
      </c>
      <c r="H571">
        <v>263519.72746950027</v>
      </c>
      <c r="I571">
        <v>26.443822840783298</v>
      </c>
    </row>
    <row r="572" spans="1:9" x14ac:dyDescent="0.2">
      <c r="A572">
        <v>567</v>
      </c>
      <c r="B572">
        <v>1573780.3379739223</v>
      </c>
      <c r="C572">
        <v>102703.03174927821</v>
      </c>
      <c r="D572">
        <v>138889.15522388855</v>
      </c>
      <c r="E572">
        <v>154928.49654551773</v>
      </c>
      <c r="F572">
        <v>46725.818991612767</v>
      </c>
      <c r="G572">
        <v>10000</v>
      </c>
      <c r="H572">
        <v>433246.50251029723</v>
      </c>
      <c r="I572">
        <v>43.620297121458862</v>
      </c>
    </row>
    <row r="573" spans="1:9" x14ac:dyDescent="0.2">
      <c r="A573">
        <v>568</v>
      </c>
      <c r="B573">
        <v>1251101.7748161885</v>
      </c>
      <c r="C573">
        <v>132281.05516807991</v>
      </c>
      <c r="D573">
        <v>87762.490258192891</v>
      </c>
      <c r="E573">
        <v>92373.576247817211</v>
      </c>
      <c r="F573">
        <v>42395.093740233497</v>
      </c>
      <c r="G573">
        <v>10000</v>
      </c>
      <c r="H573">
        <v>344812.21541432349</v>
      </c>
      <c r="I573">
        <v>32.649498816410102</v>
      </c>
    </row>
    <row r="574" spans="1:9" x14ac:dyDescent="0.2">
      <c r="A574">
        <v>569</v>
      </c>
      <c r="B574">
        <v>1138005.8075033631</v>
      </c>
      <c r="C574">
        <v>112526.620711872</v>
      </c>
      <c r="D574">
        <v>120461.44552665812</v>
      </c>
      <c r="E574">
        <v>51278.656987584916</v>
      </c>
      <c r="F574">
        <v>39550.060868371263</v>
      </c>
      <c r="G574">
        <v>10000</v>
      </c>
      <c r="H574">
        <v>313816.78409448633</v>
      </c>
      <c r="I574">
        <v>45.644026309187041</v>
      </c>
    </row>
    <row r="575" spans="1:9" x14ac:dyDescent="0.2">
      <c r="A575">
        <v>570</v>
      </c>
      <c r="B575">
        <v>1355968.7850777765</v>
      </c>
      <c r="C575">
        <v>101215.05280752423</v>
      </c>
      <c r="D575">
        <v>57570.141373028186</v>
      </c>
      <c r="E575">
        <v>176544.86244906817</v>
      </c>
      <c r="F575">
        <v>48222.336631089325</v>
      </c>
      <c r="G575">
        <v>10000</v>
      </c>
      <c r="H575">
        <v>373552.39326070994</v>
      </c>
      <c r="I575">
        <v>26.600667137312442</v>
      </c>
    </row>
    <row r="576" spans="1:9" x14ac:dyDescent="0.2">
      <c r="A576">
        <v>571</v>
      </c>
      <c r="B576">
        <v>1448468.0916971411</v>
      </c>
      <c r="C576">
        <v>103573.83196100919</v>
      </c>
      <c r="D576">
        <v>93297.365038270553</v>
      </c>
      <c r="E576">
        <v>164634.09769162696</v>
      </c>
      <c r="F576">
        <v>47397.745224804945</v>
      </c>
      <c r="G576">
        <v>10000</v>
      </c>
      <c r="H576">
        <v>398903.03991571162</v>
      </c>
      <c r="I576">
        <v>37.970791957472414</v>
      </c>
    </row>
    <row r="577" spans="1:9" x14ac:dyDescent="0.2">
      <c r="A577">
        <v>572</v>
      </c>
      <c r="B577">
        <v>1443756.1782009208</v>
      </c>
      <c r="C577">
        <v>96044.535756355443</v>
      </c>
      <c r="D577">
        <v>101113.04252739732</v>
      </c>
      <c r="E577">
        <v>163158.5108059209</v>
      </c>
      <c r="F577">
        <v>47295.589209640675</v>
      </c>
      <c r="G577">
        <v>10000</v>
      </c>
      <c r="H577">
        <v>397611.6782993144</v>
      </c>
      <c r="I577">
        <v>28.120657000079532</v>
      </c>
    </row>
    <row r="578" spans="1:9" x14ac:dyDescent="0.2">
      <c r="A578">
        <v>573</v>
      </c>
      <c r="B578">
        <v>862219.00604237965</v>
      </c>
      <c r="C578">
        <v>91510.570638065328</v>
      </c>
      <c r="D578">
        <v>39859.845718981727</v>
      </c>
      <c r="E578">
        <v>75627.623624960353</v>
      </c>
      <c r="F578">
        <v>41235.758558651105</v>
      </c>
      <c r="G578">
        <v>10000</v>
      </c>
      <c r="H578">
        <v>238233.79854065852</v>
      </c>
      <c r="I578">
        <v>37.709368780517167</v>
      </c>
    </row>
    <row r="579" spans="1:9" x14ac:dyDescent="0.2">
      <c r="A579">
        <v>574</v>
      </c>
      <c r="B579">
        <v>992838.48216647026</v>
      </c>
      <c r="C579">
        <v>119304.10033529122</v>
      </c>
      <c r="D579">
        <v>82026.842895780806</v>
      </c>
      <c r="E579">
        <v>43677.038772845255</v>
      </c>
      <c r="F579">
        <v>39023.794991966206</v>
      </c>
      <c r="G579">
        <v>10000</v>
      </c>
      <c r="H579">
        <v>274031.7769958835</v>
      </c>
      <c r="I579">
        <v>32.338728479730285</v>
      </c>
    </row>
    <row r="580" spans="1:9" x14ac:dyDescent="0.2">
      <c r="A580">
        <v>575</v>
      </c>
      <c r="B580">
        <v>1015640.8626376621</v>
      </c>
      <c r="C580">
        <v>120378.98521771602</v>
      </c>
      <c r="D580">
        <v>50618.689860175808</v>
      </c>
      <c r="E580">
        <v>77890.943076030802</v>
      </c>
      <c r="F580">
        <v>41392.449905263667</v>
      </c>
      <c r="G580">
        <v>10000</v>
      </c>
      <c r="H580">
        <v>280281.06805918628</v>
      </c>
      <c r="I580">
        <v>32.708953205909737</v>
      </c>
    </row>
    <row r="581" spans="1:9" x14ac:dyDescent="0.2">
      <c r="A581">
        <v>576</v>
      </c>
      <c r="B581">
        <v>1497470.2301277875</v>
      </c>
      <c r="C581">
        <v>89571.07413151268</v>
      </c>
      <c r="D581">
        <v>106839.86900294235</v>
      </c>
      <c r="E581">
        <v>177624.68138511805</v>
      </c>
      <c r="F581">
        <v>48297.093326662012</v>
      </c>
      <c r="G581">
        <v>10000</v>
      </c>
      <c r="H581">
        <v>412332.71784623509</v>
      </c>
      <c r="I581">
        <v>48.324231398535225</v>
      </c>
    </row>
    <row r="582" spans="1:9" x14ac:dyDescent="0.2">
      <c r="A582">
        <v>577</v>
      </c>
      <c r="B582">
        <v>1527914.7472649463</v>
      </c>
      <c r="C582">
        <v>130158.19098262289</v>
      </c>
      <c r="D582">
        <v>91587.171059931978</v>
      </c>
      <c r="E582">
        <v>161734.09847841004</v>
      </c>
      <c r="F582">
        <v>47196.976048505312</v>
      </c>
      <c r="G582">
        <v>10000</v>
      </c>
      <c r="H582">
        <v>420676.43656947021</v>
      </c>
      <c r="I582">
        <v>48.416598836081441</v>
      </c>
    </row>
    <row r="583" spans="1:9" x14ac:dyDescent="0.2">
      <c r="A583">
        <v>578</v>
      </c>
      <c r="B583">
        <v>1706067.8802874403</v>
      </c>
      <c r="C583">
        <v>166904.21112948476</v>
      </c>
      <c r="D583">
        <v>117346.52392544216</v>
      </c>
      <c r="E583">
        <v>148939.69186359335</v>
      </c>
      <c r="F583">
        <v>46311.209436710305</v>
      </c>
      <c r="G583">
        <v>10000</v>
      </c>
      <c r="H583">
        <v>469501.63635523058</v>
      </c>
      <c r="I583">
        <v>34.341365044098808</v>
      </c>
    </row>
    <row r="584" spans="1:9" x14ac:dyDescent="0.2">
      <c r="A584">
        <v>579</v>
      </c>
      <c r="B584">
        <v>1044518.5661394637</v>
      </c>
      <c r="C584">
        <v>79650.386180001253</v>
      </c>
      <c r="D584">
        <v>87549.658629757105</v>
      </c>
      <c r="E584">
        <v>88844.559009536315</v>
      </c>
      <c r="F584">
        <v>42150.777162198669</v>
      </c>
      <c r="G584">
        <v>10000</v>
      </c>
      <c r="H584">
        <v>288195.38098149333</v>
      </c>
      <c r="I584">
        <v>38.601117365087823</v>
      </c>
    </row>
    <row r="585" spans="1:9" x14ac:dyDescent="0.2">
      <c r="A585">
        <v>580</v>
      </c>
      <c r="B585">
        <v>1426652.3941172259</v>
      </c>
      <c r="C585">
        <v>109131.03831023925</v>
      </c>
      <c r="D585">
        <v>89185.334391588869</v>
      </c>
      <c r="E585">
        <v>157690.73840167234</v>
      </c>
      <c r="F585">
        <v>46917.051120115779</v>
      </c>
      <c r="G585">
        <v>10000</v>
      </c>
      <c r="H585">
        <v>392924.16222361627</v>
      </c>
      <c r="I585">
        <v>28.446177534036568</v>
      </c>
    </row>
    <row r="586" spans="1:9" x14ac:dyDescent="0.2">
      <c r="A586">
        <v>581</v>
      </c>
      <c r="B586">
        <v>1432877.8606112832</v>
      </c>
      <c r="C586">
        <v>156209.6954763353</v>
      </c>
      <c r="D586">
        <v>67897.829658127885</v>
      </c>
      <c r="E586">
        <v>135165.21586360855</v>
      </c>
      <c r="F586">
        <v>45357.591867480587</v>
      </c>
      <c r="G586">
        <v>10000</v>
      </c>
      <c r="H586">
        <v>394630.33286555234</v>
      </c>
      <c r="I586">
        <v>26.150039072977126</v>
      </c>
    </row>
    <row r="587" spans="1:9" x14ac:dyDescent="0.2">
      <c r="A587">
        <v>582</v>
      </c>
      <c r="B587">
        <v>1105571.3913972948</v>
      </c>
      <c r="C587">
        <v>112729.75144912866</v>
      </c>
      <c r="D587">
        <v>76567.373063206527</v>
      </c>
      <c r="E587">
        <v>83827.163938323298</v>
      </c>
      <c r="F587">
        <v>41803.419041883921</v>
      </c>
      <c r="G587">
        <v>10000</v>
      </c>
      <c r="H587">
        <v>304927.70749254234</v>
      </c>
      <c r="I587">
        <v>37.953978905879154</v>
      </c>
    </row>
    <row r="588" spans="1:9" x14ac:dyDescent="0.2">
      <c r="A588">
        <v>583</v>
      </c>
      <c r="B588">
        <v>1175647.9068516027</v>
      </c>
      <c r="C588">
        <v>118804.49706850207</v>
      </c>
      <c r="D588">
        <v>65083.55590048372</v>
      </c>
      <c r="E588">
        <v>106847.88057413096</v>
      </c>
      <c r="F588">
        <v>43397.160962824448</v>
      </c>
      <c r="G588">
        <v>10000</v>
      </c>
      <c r="H588">
        <v>324133.09450594115</v>
      </c>
      <c r="I588">
        <v>30.554112368549607</v>
      </c>
    </row>
    <row r="589" spans="1:9" x14ac:dyDescent="0.2">
      <c r="A589">
        <v>584</v>
      </c>
      <c r="B589">
        <v>1218797.0321809219</v>
      </c>
      <c r="C589">
        <v>137950.36216713974</v>
      </c>
      <c r="D589">
        <v>78306.55214458183</v>
      </c>
      <c r="E589">
        <v>87634.742574209566</v>
      </c>
      <c r="F589">
        <v>42067.020639752962</v>
      </c>
      <c r="G589">
        <v>10000</v>
      </c>
      <c r="H589">
        <v>335958.67752568412</v>
      </c>
      <c r="I589">
        <v>32.848366492493199</v>
      </c>
    </row>
    <row r="590" spans="1:9" x14ac:dyDescent="0.2">
      <c r="A590">
        <v>585</v>
      </c>
      <c r="B590">
        <v>1048279.6103663165</v>
      </c>
      <c r="C590">
        <v>137468.58144611775</v>
      </c>
      <c r="D590">
        <v>86165.078225155972</v>
      </c>
      <c r="E590">
        <v>37028.942569723156</v>
      </c>
      <c r="F590">
        <v>38563.54217790391</v>
      </c>
      <c r="G590">
        <v>10000</v>
      </c>
      <c r="H590">
        <v>289226.14441890077</v>
      </c>
      <c r="I590">
        <v>28.561271140414981</v>
      </c>
    </row>
    <row r="591" spans="1:9" x14ac:dyDescent="0.2">
      <c r="A591">
        <v>586</v>
      </c>
      <c r="B591">
        <v>1468955.4272153277</v>
      </c>
      <c r="C591">
        <v>106521.31249592039</v>
      </c>
      <c r="D591">
        <v>127951.87303373285</v>
      </c>
      <c r="E591">
        <v>134718.04328840645</v>
      </c>
      <c r="F591">
        <v>45326.633766120438</v>
      </c>
      <c r="G591">
        <v>10000</v>
      </c>
      <c r="H591">
        <v>404517.86258418008</v>
      </c>
      <c r="I591">
        <v>29.5013117541179</v>
      </c>
    </row>
    <row r="592" spans="1:9" x14ac:dyDescent="0.2">
      <c r="A592">
        <v>587</v>
      </c>
      <c r="B592">
        <v>1497626.0378743755</v>
      </c>
      <c r="C592">
        <v>157807.2962094963</v>
      </c>
      <c r="D592">
        <v>31912.296874500476</v>
      </c>
      <c r="E592">
        <v>183922.71488561988</v>
      </c>
      <c r="F592">
        <v>48733.111030542917</v>
      </c>
      <c r="G592">
        <v>10000</v>
      </c>
      <c r="H592">
        <v>412375.4190001596</v>
      </c>
      <c r="I592">
        <v>29.687218932402146</v>
      </c>
    </row>
    <row r="593" spans="1:9" x14ac:dyDescent="0.2">
      <c r="A593">
        <v>588</v>
      </c>
      <c r="B593">
        <v>1144740.0584876961</v>
      </c>
      <c r="C593">
        <v>117667.33182655775</v>
      </c>
      <c r="D593">
        <v>71424.926393418602</v>
      </c>
      <c r="E593">
        <v>94058.40017405992</v>
      </c>
      <c r="F593">
        <v>42511.735396665681</v>
      </c>
      <c r="G593">
        <v>10000</v>
      </c>
      <c r="H593">
        <v>315662.39379070199</v>
      </c>
      <c r="I593">
        <v>26.053624664403593</v>
      </c>
    </row>
    <row r="594" spans="1:9" x14ac:dyDescent="0.2">
      <c r="A594">
        <v>589</v>
      </c>
      <c r="B594">
        <v>1154661.2402997601</v>
      </c>
      <c r="C594">
        <v>112687.06936547039</v>
      </c>
      <c r="D594">
        <v>122174.61473361104</v>
      </c>
      <c r="E594">
        <v>53795.439846080262</v>
      </c>
      <c r="F594">
        <v>39724.299681651712</v>
      </c>
      <c r="G594">
        <v>10000</v>
      </c>
      <c r="H594">
        <v>318381.4236268134</v>
      </c>
      <c r="I594">
        <v>45.719189754605992</v>
      </c>
    </row>
    <row r="595" spans="1:9" x14ac:dyDescent="0.2">
      <c r="A595">
        <v>590</v>
      </c>
      <c r="B595">
        <v>1092957.2685028648</v>
      </c>
      <c r="C595">
        <v>93089.688047780015</v>
      </c>
      <c r="D595">
        <v>75584.741012651066</v>
      </c>
      <c r="E595">
        <v>99881.35011637579</v>
      </c>
      <c r="F595">
        <v>42914.86270036448</v>
      </c>
      <c r="G595">
        <v>10000</v>
      </c>
      <c r="H595">
        <v>301470.64187717135</v>
      </c>
      <c r="I595">
        <v>34.502448406949128</v>
      </c>
    </row>
    <row r="596" spans="1:9" x14ac:dyDescent="0.2">
      <c r="A596">
        <v>591</v>
      </c>
      <c r="B596">
        <v>1334359.8595963991</v>
      </c>
      <c r="C596">
        <v>127654.8598516674</v>
      </c>
      <c r="D596">
        <v>137505.97007852321</v>
      </c>
      <c r="E596">
        <v>71518.101088328607</v>
      </c>
      <c r="F596">
        <v>40951.253152268902</v>
      </c>
      <c r="G596">
        <v>10000</v>
      </c>
      <c r="H596">
        <v>367630.1841707881</v>
      </c>
      <c r="I596">
        <v>36.284307430185514</v>
      </c>
    </row>
    <row r="597" spans="1:9" x14ac:dyDescent="0.2">
      <c r="A597">
        <v>592</v>
      </c>
      <c r="B597">
        <v>1412843.7006761904</v>
      </c>
      <c r="C597">
        <v>85739.791963977666</v>
      </c>
      <c r="D597">
        <v>56833.475776146697</v>
      </c>
      <c r="E597">
        <v>206285.16079879488</v>
      </c>
      <c r="F597">
        <v>50281.280362993493</v>
      </c>
      <c r="G597">
        <v>10000</v>
      </c>
      <c r="H597">
        <v>389139.70890191273</v>
      </c>
      <c r="I597">
        <v>32.651983936713137</v>
      </c>
    </row>
    <row r="598" spans="1:9" x14ac:dyDescent="0.2">
      <c r="A598">
        <v>593</v>
      </c>
      <c r="B598">
        <v>943311.53772705211</v>
      </c>
      <c r="C598">
        <v>108783.42150247707</v>
      </c>
      <c r="D598">
        <v>63922.836710502845</v>
      </c>
      <c r="E598">
        <v>57753.67925065598</v>
      </c>
      <c r="F598">
        <v>39998.331640430028</v>
      </c>
      <c r="G598">
        <v>10000</v>
      </c>
      <c r="H598">
        <v>260458.26910406596</v>
      </c>
      <c r="I598">
        <v>33.786993094287901</v>
      </c>
    </row>
    <row r="599" spans="1:9" x14ac:dyDescent="0.2">
      <c r="A599">
        <v>594</v>
      </c>
      <c r="B599">
        <v>1676038.5454614509</v>
      </c>
      <c r="C599">
        <v>134245.22279917044</v>
      </c>
      <c r="D599">
        <v>84228.183589992463</v>
      </c>
      <c r="E599">
        <v>202760.99756255167</v>
      </c>
      <c r="F599">
        <v>50037.299831253578</v>
      </c>
      <c r="G599">
        <v>10000</v>
      </c>
      <c r="H599">
        <v>461271.70378296816</v>
      </c>
      <c r="I599">
        <v>32.442290247458885</v>
      </c>
    </row>
    <row r="600" spans="1:9" x14ac:dyDescent="0.2">
      <c r="A600">
        <v>595</v>
      </c>
      <c r="B600">
        <v>966982.87161717354</v>
      </c>
      <c r="C600">
        <v>103190.04236466408</v>
      </c>
      <c r="D600">
        <v>46999.122369768855</v>
      </c>
      <c r="E600">
        <v>84880.220539636677</v>
      </c>
      <c r="F600">
        <v>41876.322960436381</v>
      </c>
      <c r="G600">
        <v>10000</v>
      </c>
      <c r="H600">
        <v>266945.70823450602</v>
      </c>
      <c r="I600">
        <v>30.089797533859304</v>
      </c>
    </row>
    <row r="601" spans="1:9" x14ac:dyDescent="0.2">
      <c r="A601">
        <v>596</v>
      </c>
      <c r="B601">
        <v>1099030.2385296789</v>
      </c>
      <c r="C601">
        <v>104553.55404343271</v>
      </c>
      <c r="D601">
        <v>39453.15982735435</v>
      </c>
      <c r="E601">
        <v>124508.48668491974</v>
      </c>
      <c r="F601">
        <v>44619.81830895599</v>
      </c>
      <c r="G601">
        <v>10000</v>
      </c>
      <c r="H601">
        <v>303135.01886466279</v>
      </c>
      <c r="I601">
        <v>27.938902769048973</v>
      </c>
    </row>
    <row r="602" spans="1:9" x14ac:dyDescent="0.2">
      <c r="A602">
        <v>597</v>
      </c>
      <c r="B602">
        <v>1613153.6073192058</v>
      </c>
      <c r="C602">
        <v>116342.59785277044</v>
      </c>
      <c r="D602">
        <v>136084.70625335988</v>
      </c>
      <c r="E602">
        <v>154887.0116687408</v>
      </c>
      <c r="F602">
        <v>46722.946961682057</v>
      </c>
      <c r="G602">
        <v>10000</v>
      </c>
      <c r="H602">
        <v>444037.26273655321</v>
      </c>
      <c r="I602">
        <v>26.777524572699548</v>
      </c>
    </row>
    <row r="603" spans="1:9" x14ac:dyDescent="0.2">
      <c r="A603">
        <v>598</v>
      </c>
      <c r="B603">
        <v>1470347.2438764889</v>
      </c>
      <c r="C603">
        <v>143267.66297863144</v>
      </c>
      <c r="D603">
        <v>59278.250379548292</v>
      </c>
      <c r="E603">
        <v>164934.82968198296</v>
      </c>
      <c r="F603">
        <v>47418.565131829586</v>
      </c>
      <c r="G603">
        <v>10000</v>
      </c>
      <c r="H603">
        <v>404899.30817199231</v>
      </c>
      <c r="I603">
        <v>33.061045931379397</v>
      </c>
    </row>
    <row r="604" spans="1:9" x14ac:dyDescent="0.2">
      <c r="A604">
        <v>599</v>
      </c>
      <c r="B604">
        <v>1051581.0423752831</v>
      </c>
      <c r="C604">
        <v>100775.50995841208</v>
      </c>
      <c r="D604">
        <v>67550.022779746112</v>
      </c>
      <c r="E604">
        <v>89602.184230225364</v>
      </c>
      <c r="F604">
        <v>42203.228139015606</v>
      </c>
      <c r="G604">
        <v>10000</v>
      </c>
      <c r="H604">
        <v>290130.94510739914</v>
      </c>
      <c r="I604">
        <v>35.326811885522631</v>
      </c>
    </row>
    <row r="605" spans="1:9" x14ac:dyDescent="0.2">
      <c r="A605">
        <v>600</v>
      </c>
      <c r="B605">
        <v>1177583.1707407413</v>
      </c>
      <c r="C605">
        <v>100790.17151597017</v>
      </c>
      <c r="D605">
        <v>81684.735669539936</v>
      </c>
      <c r="E605">
        <v>108665.57069194366</v>
      </c>
      <c r="F605">
        <v>43523.001047903788</v>
      </c>
      <c r="G605">
        <v>10000</v>
      </c>
      <c r="H605">
        <v>324663.47892535757</v>
      </c>
      <c r="I605">
        <v>28.297305995081533</v>
      </c>
    </row>
    <row r="606" spans="1:9" x14ac:dyDescent="0.2">
      <c r="A606">
        <v>601</v>
      </c>
      <c r="B606">
        <v>1927824.1170263225</v>
      </c>
      <c r="C606">
        <v>141357.65207752449</v>
      </c>
      <c r="D606">
        <v>151583.98823468635</v>
      </c>
      <c r="E606">
        <v>197651.62362876741</v>
      </c>
      <c r="F606">
        <v>49683.573943530049</v>
      </c>
      <c r="G606">
        <v>10000</v>
      </c>
      <c r="H606">
        <v>530276.83788450831</v>
      </c>
      <c r="I606">
        <v>30.775644961977129</v>
      </c>
    </row>
    <row r="607" spans="1:9" x14ac:dyDescent="0.2">
      <c r="A607">
        <v>602</v>
      </c>
      <c r="B607">
        <v>1096147.0208588296</v>
      </c>
      <c r="C607">
        <v>108170.36268717962</v>
      </c>
      <c r="D607">
        <v>64986.241086014037</v>
      </c>
      <c r="E607">
        <v>96506.979120028569</v>
      </c>
      <c r="F607">
        <v>42681.252400617363</v>
      </c>
      <c r="G607">
        <v>10000</v>
      </c>
      <c r="H607">
        <v>302344.83529383957</v>
      </c>
      <c r="I607">
        <v>41.492123148247899</v>
      </c>
    </row>
    <row r="608" spans="1:9" x14ac:dyDescent="0.2">
      <c r="A608">
        <v>603</v>
      </c>
      <c r="B608">
        <v>1470149.2404008359</v>
      </c>
      <c r="C608">
        <v>111897.48623070652</v>
      </c>
      <c r="D608">
        <v>92747.571436849888</v>
      </c>
      <c r="E608">
        <v>162920.84933503208</v>
      </c>
      <c r="F608">
        <v>47279.135723194529</v>
      </c>
      <c r="G608">
        <v>10000</v>
      </c>
      <c r="H608">
        <v>404845.04272578302</v>
      </c>
      <c r="I608">
        <v>29.555647078241403</v>
      </c>
    </row>
    <row r="609" spans="1:9" x14ac:dyDescent="0.2">
      <c r="A609">
        <v>604</v>
      </c>
      <c r="B609">
        <v>1581290.7982235095</v>
      </c>
      <c r="C609">
        <v>75270.032666130122</v>
      </c>
      <c r="D609">
        <v>155642.13487849786</v>
      </c>
      <c r="E609">
        <v>166842.07012408008</v>
      </c>
      <c r="F609">
        <v>47550.604854744</v>
      </c>
      <c r="G609">
        <v>10000</v>
      </c>
      <c r="H609">
        <v>435304.84252345207</v>
      </c>
      <c r="I609">
        <v>37.092831303554114</v>
      </c>
    </row>
    <row r="610" spans="1:9" x14ac:dyDescent="0.2">
      <c r="A610">
        <v>605</v>
      </c>
      <c r="B610">
        <v>1161012.6486081209</v>
      </c>
      <c r="C610">
        <v>150906.70582850868</v>
      </c>
      <c r="D610">
        <v>87202.621088051761</v>
      </c>
      <c r="E610">
        <v>52386.056376253655</v>
      </c>
      <c r="F610">
        <v>39626.726979894484</v>
      </c>
      <c r="G610">
        <v>10000</v>
      </c>
      <c r="H610">
        <v>320122.11027270858</v>
      </c>
      <c r="I610">
        <v>32.694945318441597</v>
      </c>
    </row>
    <row r="611" spans="1:9" x14ac:dyDescent="0.2">
      <c r="A611">
        <v>606</v>
      </c>
      <c r="B611">
        <v>1178984.8981069168</v>
      </c>
      <c r="C611">
        <v>144020.44338834242</v>
      </c>
      <c r="D611">
        <v>70563.408050748127</v>
      </c>
      <c r="E611">
        <v>78994.910793090021</v>
      </c>
      <c r="F611">
        <v>41468.878439521613</v>
      </c>
      <c r="G611">
        <v>10000</v>
      </c>
      <c r="H611">
        <v>325047.64067170216</v>
      </c>
      <c r="I611">
        <v>48.351357168372871</v>
      </c>
    </row>
    <row r="612" spans="1:9" x14ac:dyDescent="0.2">
      <c r="A612">
        <v>607</v>
      </c>
      <c r="B612">
        <v>1391528.5375520005</v>
      </c>
      <c r="C612">
        <v>104898.28325815228</v>
      </c>
      <c r="D612">
        <v>68627.150263229691</v>
      </c>
      <c r="E612">
        <v>171873.63196149628</v>
      </c>
      <c r="F612">
        <v>47898.943751180508</v>
      </c>
      <c r="G612">
        <v>10000</v>
      </c>
      <c r="H612">
        <v>383298.00923405873</v>
      </c>
      <c r="I612">
        <v>34.331651281956155</v>
      </c>
    </row>
    <row r="613" spans="1:9" x14ac:dyDescent="0.2">
      <c r="A613">
        <v>608</v>
      </c>
      <c r="B613">
        <v>1065031.3007592701</v>
      </c>
      <c r="C613">
        <v>103094.61846445285</v>
      </c>
      <c r="D613">
        <v>109671.69165926649</v>
      </c>
      <c r="E613">
        <v>51486.41066732171</v>
      </c>
      <c r="F613">
        <v>39564.443815429964</v>
      </c>
      <c r="G613">
        <v>10000</v>
      </c>
      <c r="H613">
        <v>293817.16460647102</v>
      </c>
      <c r="I613">
        <v>43.076222446651464</v>
      </c>
    </row>
    <row r="614" spans="1:9" x14ac:dyDescent="0.2">
      <c r="A614">
        <v>609</v>
      </c>
      <c r="B614">
        <v>1272159.2696930196</v>
      </c>
      <c r="C614">
        <v>162489.0445636267</v>
      </c>
      <c r="D614">
        <v>103430.64120782381</v>
      </c>
      <c r="E614">
        <v>54865.248588449365</v>
      </c>
      <c r="F614">
        <v>39798.363363815719</v>
      </c>
      <c r="G614">
        <v>10000</v>
      </c>
      <c r="H614">
        <v>350583.2977237156</v>
      </c>
      <c r="I614">
        <v>31.042211260196009</v>
      </c>
    </row>
    <row r="615" spans="1:9" x14ac:dyDescent="0.2">
      <c r="A615">
        <v>610</v>
      </c>
      <c r="B615">
        <v>1326533.1870974896</v>
      </c>
      <c r="C615">
        <v>108377.7909669263</v>
      </c>
      <c r="D615">
        <v>95010.222909996635</v>
      </c>
      <c r="E615">
        <v>127285.12131159176</v>
      </c>
      <c r="F615">
        <v>44812.046860033275</v>
      </c>
      <c r="G615">
        <v>10000</v>
      </c>
      <c r="H615">
        <v>365485.18204854801</v>
      </c>
      <c r="I615">
        <v>26.100706924813323</v>
      </c>
    </row>
    <row r="616" spans="1:9" x14ac:dyDescent="0.2">
      <c r="A616">
        <v>611</v>
      </c>
      <c r="B616">
        <v>1329577.3666217881</v>
      </c>
      <c r="C616">
        <v>153221.72119579036</v>
      </c>
      <c r="D616">
        <v>157736.84546901341</v>
      </c>
      <c r="E616">
        <v>27459.846371719526</v>
      </c>
      <c r="F616">
        <v>37901.066287272886</v>
      </c>
      <c r="G616">
        <v>10000</v>
      </c>
      <c r="H616">
        <v>366319.47932379617</v>
      </c>
      <c r="I616">
        <v>53.181137229750092</v>
      </c>
    </row>
    <row r="617" spans="1:9" x14ac:dyDescent="0.2">
      <c r="A617">
        <v>612</v>
      </c>
      <c r="B617">
        <v>871004.86873629293</v>
      </c>
      <c r="C617">
        <v>78599.920172966915</v>
      </c>
      <c r="D617">
        <v>98947.812503293913</v>
      </c>
      <c r="E617">
        <v>34692.180296104736</v>
      </c>
      <c r="F617">
        <v>38401.766328191872</v>
      </c>
      <c r="G617">
        <v>10000</v>
      </c>
      <c r="H617">
        <v>240641.67930055744</v>
      </c>
      <c r="I617">
        <v>35.109588299225038</v>
      </c>
    </row>
    <row r="618" spans="1:9" x14ac:dyDescent="0.2">
      <c r="A618">
        <v>613</v>
      </c>
      <c r="B618">
        <v>1546303.7597018227</v>
      </c>
      <c r="C618">
        <v>95837.567306333905</v>
      </c>
      <c r="D618">
        <v>136685.40124755062</v>
      </c>
      <c r="E618">
        <v>156367.75761451854</v>
      </c>
      <c r="F618">
        <v>46825.460142543583</v>
      </c>
      <c r="G618">
        <v>10000</v>
      </c>
      <c r="H618">
        <v>425716.18631094665</v>
      </c>
      <c r="I618">
        <v>32.655435372628951</v>
      </c>
    </row>
    <row r="619" spans="1:9" x14ac:dyDescent="0.2">
      <c r="A619">
        <v>614</v>
      </c>
      <c r="B619">
        <v>1031737.8006835054</v>
      </c>
      <c r="C619">
        <v>113124.79327951245</v>
      </c>
      <c r="D619">
        <v>47333.707917801214</v>
      </c>
      <c r="E619">
        <v>91873.659474458764</v>
      </c>
      <c r="F619">
        <v>42360.484117462533</v>
      </c>
      <c r="G619">
        <v>10000</v>
      </c>
      <c r="H619">
        <v>284692.64478923497</v>
      </c>
      <c r="I619">
        <v>25.94907146748745</v>
      </c>
    </row>
    <row r="620" spans="1:9" x14ac:dyDescent="0.2">
      <c r="A620">
        <v>615</v>
      </c>
      <c r="B620">
        <v>1270919.301668691</v>
      </c>
      <c r="C620">
        <v>141833.13390070078</v>
      </c>
      <c r="D620">
        <v>41023.982905013945</v>
      </c>
      <c r="E620">
        <v>132231.83947459725</v>
      </c>
      <c r="F620">
        <v>45154.511963625962</v>
      </c>
      <c r="G620">
        <v>10000</v>
      </c>
      <c r="H620">
        <v>350243.46824393794</v>
      </c>
      <c r="I620">
        <v>36.394008049099597</v>
      </c>
    </row>
    <row r="621" spans="1:9" x14ac:dyDescent="0.2">
      <c r="A621">
        <v>616</v>
      </c>
      <c r="B621">
        <v>1262828.0076155704</v>
      </c>
      <c r="C621">
        <v>126751.56736943452</v>
      </c>
      <c r="D621">
        <v>53467.391132059034</v>
      </c>
      <c r="E621">
        <v>132625.23741150432</v>
      </c>
      <c r="F621">
        <v>45181.747205411833</v>
      </c>
      <c r="G621">
        <v>10000</v>
      </c>
      <c r="H621">
        <v>348025.94311840972</v>
      </c>
      <c r="I621">
        <v>32.251510489090109</v>
      </c>
    </row>
    <row r="622" spans="1:9" x14ac:dyDescent="0.2">
      <c r="A622">
        <v>617</v>
      </c>
      <c r="B622">
        <v>1488359.2705362577</v>
      </c>
      <c r="C622">
        <v>85296.179057248024</v>
      </c>
      <c r="D622">
        <v>84110.692115724698</v>
      </c>
      <c r="E622">
        <v>200544.98525542431</v>
      </c>
      <c r="F622">
        <v>49883.883594606297</v>
      </c>
      <c r="G622">
        <v>10000</v>
      </c>
      <c r="H622">
        <v>409835.74002300331</v>
      </c>
      <c r="I622">
        <v>32.529131106793216</v>
      </c>
    </row>
    <row r="623" spans="1:9" x14ac:dyDescent="0.2">
      <c r="A623">
        <v>618</v>
      </c>
      <c r="B623">
        <v>1330757.0965641907</v>
      </c>
      <c r="C623">
        <v>106322.4747438531</v>
      </c>
      <c r="D623">
        <v>41740.164051880813</v>
      </c>
      <c r="E623">
        <v>180110.94191664387</v>
      </c>
      <c r="F623">
        <v>48469.219055767651</v>
      </c>
      <c r="G623">
        <v>10000</v>
      </c>
      <c r="H623">
        <v>366642.79976814543</v>
      </c>
      <c r="I623">
        <v>31.021476456265667</v>
      </c>
    </row>
    <row r="624" spans="1:9" x14ac:dyDescent="0.2">
      <c r="A624">
        <v>619</v>
      </c>
      <c r="B624">
        <v>1732533.7521791046</v>
      </c>
      <c r="C624">
        <v>87943.011487339638</v>
      </c>
      <c r="D624">
        <v>158786.0321132387</v>
      </c>
      <c r="E624">
        <v>190815.60080587826</v>
      </c>
      <c r="F624">
        <v>49210.310825022338</v>
      </c>
      <c r="G624">
        <v>10000</v>
      </c>
      <c r="H624">
        <v>476754.95523147896</v>
      </c>
      <c r="I624">
        <v>45.881425305012527</v>
      </c>
    </row>
    <row r="625" spans="1:9" x14ac:dyDescent="0.2">
      <c r="A625">
        <v>620</v>
      </c>
      <c r="B625">
        <v>1053818.859945473</v>
      </c>
      <c r="C625">
        <v>106606.3772820522</v>
      </c>
      <c r="D625">
        <v>87903.51556073688</v>
      </c>
      <c r="E625">
        <v>65686.807286782219</v>
      </c>
      <c r="F625">
        <v>40547.548196777236</v>
      </c>
      <c r="G625">
        <v>10000</v>
      </c>
      <c r="H625">
        <v>290744.24832634849</v>
      </c>
      <c r="I625">
        <v>35.377970338220265</v>
      </c>
    </row>
    <row r="626" spans="1:9" x14ac:dyDescent="0.2">
      <c r="A626">
        <v>621</v>
      </c>
      <c r="B626">
        <v>1121487.6823102816</v>
      </c>
      <c r="C626">
        <v>102744.74692768892</v>
      </c>
      <c r="D626">
        <v>70769.121344561368</v>
      </c>
      <c r="E626">
        <v>102668.11468230224</v>
      </c>
      <c r="F626">
        <v>43107.792554928616</v>
      </c>
      <c r="G626">
        <v>10000</v>
      </c>
      <c r="H626">
        <v>309289.77550948114</v>
      </c>
      <c r="I626">
        <v>44.312109369432491</v>
      </c>
    </row>
    <row r="627" spans="1:9" x14ac:dyDescent="0.2">
      <c r="A627">
        <v>622</v>
      </c>
      <c r="B627">
        <v>1370990.5341910063</v>
      </c>
      <c r="C627">
        <v>109062.25490714922</v>
      </c>
      <c r="D627">
        <v>144740.5625429427</v>
      </c>
      <c r="E627">
        <v>91529.804178635255</v>
      </c>
      <c r="F627">
        <v>42336.678750828592</v>
      </c>
      <c r="G627">
        <v>10000</v>
      </c>
      <c r="H627">
        <v>377669.30037955579</v>
      </c>
      <c r="I627">
        <v>27.82081344587845</v>
      </c>
    </row>
    <row r="628" spans="1:9" x14ac:dyDescent="0.2">
      <c r="A628">
        <v>623</v>
      </c>
      <c r="B628">
        <v>1467853.6220237622</v>
      </c>
      <c r="C628">
        <v>107423.68469567919</v>
      </c>
      <c r="D628">
        <v>75189.39116339972</v>
      </c>
      <c r="E628">
        <v>182937.89162109484</v>
      </c>
      <c r="F628">
        <v>48664.930958383484</v>
      </c>
      <c r="G628">
        <v>10000</v>
      </c>
      <c r="H628">
        <v>404215.89843855723</v>
      </c>
      <c r="I628">
        <v>28.417544478971241</v>
      </c>
    </row>
    <row r="629" spans="1:9" x14ac:dyDescent="0.2">
      <c r="A629">
        <v>624</v>
      </c>
      <c r="B629">
        <v>1380475.3882857109</v>
      </c>
      <c r="C629">
        <v>107042.86464610277</v>
      </c>
      <c r="D629">
        <v>83649.455166068117</v>
      </c>
      <c r="E629">
        <v>152985.14949644418</v>
      </c>
      <c r="F629">
        <v>46591.279580523063</v>
      </c>
      <c r="G629">
        <v>10000</v>
      </c>
      <c r="H629">
        <v>380268.74888913817</v>
      </c>
      <c r="I629">
        <v>48.56820878321777</v>
      </c>
    </row>
    <row r="630" spans="1:9" x14ac:dyDescent="0.2">
      <c r="A630">
        <v>625</v>
      </c>
      <c r="B630">
        <v>1422747.3063599367</v>
      </c>
      <c r="C630">
        <v>126823.52094533666</v>
      </c>
      <c r="D630">
        <v>39949.297405398494</v>
      </c>
      <c r="E630">
        <v>186190.9600322411</v>
      </c>
      <c r="F630">
        <v>48890.143386847463</v>
      </c>
      <c r="G630">
        <v>10000</v>
      </c>
      <c r="H630">
        <v>391853.9217698237</v>
      </c>
      <c r="I630">
        <v>33.737481132348435</v>
      </c>
    </row>
    <row r="631" spans="1:9" x14ac:dyDescent="0.2">
      <c r="A631">
        <v>626</v>
      </c>
      <c r="B631">
        <v>1494909.0787015622</v>
      </c>
      <c r="C631">
        <v>120440.58734868007</v>
      </c>
      <c r="D631">
        <v>156869.69929079624</v>
      </c>
      <c r="E631">
        <v>101306.95564161976</v>
      </c>
      <c r="F631">
        <v>43013.558467496754</v>
      </c>
      <c r="G631">
        <v>10000</v>
      </c>
      <c r="H631">
        <v>411630.80074859282</v>
      </c>
      <c r="I631">
        <v>34.966522745475842</v>
      </c>
    </row>
    <row r="632" spans="1:9" x14ac:dyDescent="0.2">
      <c r="A632">
        <v>627</v>
      </c>
      <c r="B632">
        <v>1506999.9241761414</v>
      </c>
      <c r="C632">
        <v>123481.7121889088</v>
      </c>
      <c r="D632">
        <v>150816.08231019496</v>
      </c>
      <c r="E632">
        <v>107223.49574345189</v>
      </c>
      <c r="F632">
        <v>43423.165089931281</v>
      </c>
      <c r="G632">
        <v>10000</v>
      </c>
      <c r="H632">
        <v>414944.45533248695</v>
      </c>
      <c r="I632">
        <v>31.061771324944331</v>
      </c>
    </row>
    <row r="633" spans="1:9" x14ac:dyDescent="0.2">
      <c r="A633">
        <v>628</v>
      </c>
      <c r="B633">
        <v>1215007.348509032</v>
      </c>
      <c r="C633">
        <v>143855.78508548322</v>
      </c>
      <c r="D633">
        <v>57237.159488099474</v>
      </c>
      <c r="E633">
        <v>100845.50838094419</v>
      </c>
      <c r="F633">
        <v>42981.61211868075</v>
      </c>
      <c r="G633">
        <v>10000</v>
      </c>
      <c r="H633">
        <v>334920.0650732076</v>
      </c>
      <c r="I633">
        <v>31.351048216917743</v>
      </c>
    </row>
    <row r="634" spans="1:9" x14ac:dyDescent="0.2">
      <c r="A634">
        <v>629</v>
      </c>
      <c r="B634">
        <v>941304.50566037919</v>
      </c>
      <c r="C634">
        <v>116820.02199200523</v>
      </c>
      <c r="D634">
        <v>53533.709181379978</v>
      </c>
      <c r="E634">
        <v>59439.445937214237</v>
      </c>
      <c r="F634">
        <v>40115.038564884067</v>
      </c>
      <c r="G634">
        <v>10000</v>
      </c>
      <c r="H634">
        <v>259908.21567548352</v>
      </c>
      <c r="I634">
        <v>26.342769685742571</v>
      </c>
    </row>
    <row r="635" spans="1:9" x14ac:dyDescent="0.2">
      <c r="A635">
        <v>630</v>
      </c>
      <c r="B635">
        <v>1642091.9993430558</v>
      </c>
      <c r="C635">
        <v>125672.4705295663</v>
      </c>
      <c r="D635">
        <v>88010.731660298392</v>
      </c>
      <c r="E635">
        <v>198539.93362551939</v>
      </c>
      <c r="F635">
        <v>49745.07232792057</v>
      </c>
      <c r="G635">
        <v>10000</v>
      </c>
      <c r="H635">
        <v>451968.20814330468</v>
      </c>
      <c r="I635">
        <v>34.28330594291802</v>
      </c>
    </row>
    <row r="636" spans="1:9" x14ac:dyDescent="0.2">
      <c r="A636">
        <v>631</v>
      </c>
      <c r="B636">
        <v>1288394.6620710306</v>
      </c>
      <c r="C636">
        <v>133498.93818694868</v>
      </c>
      <c r="D636">
        <v>72240.820603416578</v>
      </c>
      <c r="E636">
        <v>115310.05694447433</v>
      </c>
      <c r="F636">
        <v>43983.003942309762</v>
      </c>
      <c r="G636">
        <v>10000</v>
      </c>
      <c r="H636">
        <v>355032.81967714935</v>
      </c>
      <c r="I636">
        <v>40.604014597581511</v>
      </c>
    </row>
    <row r="637" spans="1:9" x14ac:dyDescent="0.2">
      <c r="A637">
        <v>632</v>
      </c>
      <c r="B637">
        <v>1053778.2505740318</v>
      </c>
      <c r="C637">
        <v>98312.948841820631</v>
      </c>
      <c r="D637">
        <v>126089.17563597354</v>
      </c>
      <c r="E637">
        <v>37719.634974002591</v>
      </c>
      <c r="F637">
        <v>38611.359344354023</v>
      </c>
      <c r="G637">
        <v>10000</v>
      </c>
      <c r="H637">
        <v>290733.11879615078</v>
      </c>
      <c r="I637">
        <v>43.223945553802771</v>
      </c>
    </row>
    <row r="638" spans="1:9" x14ac:dyDescent="0.2">
      <c r="A638">
        <v>633</v>
      </c>
      <c r="B638">
        <v>1113436.2565674058</v>
      </c>
      <c r="C638">
        <v>122790.0861730069</v>
      </c>
      <c r="D638">
        <v>57782.410395705425</v>
      </c>
      <c r="E638">
        <v>94002.794476462688</v>
      </c>
      <c r="F638">
        <v>42507.885771447414</v>
      </c>
      <c r="G638">
        <v>10000</v>
      </c>
      <c r="H638">
        <v>307083.17681662238</v>
      </c>
      <c r="I638">
        <v>34.439662760371647</v>
      </c>
    </row>
    <row r="639" spans="1:9" x14ac:dyDescent="0.2">
      <c r="A639">
        <v>634</v>
      </c>
      <c r="B639">
        <v>1230094.6517973654</v>
      </c>
      <c r="C639">
        <v>102398.55865004723</v>
      </c>
      <c r="D639">
        <v>171549.49574012074</v>
      </c>
      <c r="E639">
        <v>36574.78339350532</v>
      </c>
      <c r="F639">
        <v>38532.100388781138</v>
      </c>
      <c r="G639">
        <v>10000</v>
      </c>
      <c r="H639">
        <v>339054.93817245436</v>
      </c>
      <c r="I639">
        <v>36.425713074459949</v>
      </c>
    </row>
    <row r="640" spans="1:9" x14ac:dyDescent="0.2">
      <c r="A640">
        <v>635</v>
      </c>
      <c r="B640">
        <v>1753115.4565044043</v>
      </c>
      <c r="C640">
        <v>156737.71041272618</v>
      </c>
      <c r="D640">
        <v>89278.431704669827</v>
      </c>
      <c r="E640">
        <v>196757.80462402705</v>
      </c>
      <c r="F640">
        <v>49621.694166278794</v>
      </c>
      <c r="G640">
        <v>10000</v>
      </c>
      <c r="H640">
        <v>482395.64090770186</v>
      </c>
      <c r="I640">
        <v>25.499674396113193</v>
      </c>
    </row>
    <row r="641" spans="1:9" x14ac:dyDescent="0.2">
      <c r="A641">
        <v>636</v>
      </c>
      <c r="B641">
        <v>1094493.3369183582</v>
      </c>
      <c r="C641">
        <v>119593.71153899397</v>
      </c>
      <c r="D641">
        <v>84618.953599703687</v>
      </c>
      <c r="E641">
        <v>67037.872900650735</v>
      </c>
      <c r="F641">
        <v>40641.083508506585</v>
      </c>
      <c r="G641">
        <v>10000</v>
      </c>
      <c r="H641">
        <v>301891.62154785497</v>
      </c>
      <c r="I641">
        <v>48.558173855025927</v>
      </c>
    </row>
    <row r="642" spans="1:9" x14ac:dyDescent="0.2">
      <c r="A642">
        <v>637</v>
      </c>
      <c r="B642">
        <v>1076258.5083753923</v>
      </c>
      <c r="C642">
        <v>122166.14951165368</v>
      </c>
      <c r="D642">
        <v>71654.923161949409</v>
      </c>
      <c r="E642">
        <v>72082.713541858364</v>
      </c>
      <c r="F642">
        <v>40990.341706744039</v>
      </c>
      <c r="G642">
        <v>10000</v>
      </c>
      <c r="H642">
        <v>296894.12792220549</v>
      </c>
      <c r="I642">
        <v>37.538564827777428</v>
      </c>
    </row>
    <row r="643" spans="1:9" x14ac:dyDescent="0.2">
      <c r="A643">
        <v>638</v>
      </c>
      <c r="B643">
        <v>1342195.3913567669</v>
      </c>
      <c r="C643">
        <v>152085.03410256733</v>
      </c>
      <c r="D643">
        <v>142145.159575645</v>
      </c>
      <c r="E643">
        <v>46339.314240941902</v>
      </c>
      <c r="F643">
        <v>39208.106370526744</v>
      </c>
      <c r="G643">
        <v>10000</v>
      </c>
      <c r="H643">
        <v>369777.61428968096</v>
      </c>
      <c r="I643">
        <v>35.203904477871767</v>
      </c>
    </row>
    <row r="644" spans="1:9" x14ac:dyDescent="0.2">
      <c r="A644">
        <v>639</v>
      </c>
      <c r="B644">
        <v>1313285.3132678689</v>
      </c>
      <c r="C644">
        <v>98992.033435369216</v>
      </c>
      <c r="D644">
        <v>42499.973582666775</v>
      </c>
      <c r="E644">
        <v>181777.80443925012</v>
      </c>
      <c r="F644">
        <v>48584.617230409625</v>
      </c>
      <c r="G644">
        <v>10000</v>
      </c>
      <c r="H644">
        <v>361854.42868769576</v>
      </c>
      <c r="I644">
        <v>29.189637904949887</v>
      </c>
    </row>
    <row r="645" spans="1:9" x14ac:dyDescent="0.2">
      <c r="A645">
        <v>640</v>
      </c>
      <c r="B645">
        <v>1217462.1374377399</v>
      </c>
      <c r="C645">
        <v>119984.57198217495</v>
      </c>
      <c r="D645">
        <v>106974.71875504733</v>
      </c>
      <c r="E645">
        <v>77283.168213871671</v>
      </c>
      <c r="F645">
        <v>41350.373184037271</v>
      </c>
      <c r="G645">
        <v>10000</v>
      </c>
      <c r="H645">
        <v>335592.83213513123</v>
      </c>
      <c r="I645">
        <v>37.553045622006948</v>
      </c>
    </row>
    <row r="646" spans="1:9" x14ac:dyDescent="0.2">
      <c r="A646">
        <v>641</v>
      </c>
      <c r="B646">
        <v>1347626.6609881537</v>
      </c>
      <c r="C646">
        <v>98239.445681991492</v>
      </c>
      <c r="D646">
        <v>71255.572090458096</v>
      </c>
      <c r="E646">
        <v>164390.24405553288</v>
      </c>
      <c r="F646">
        <v>47380.863049998428</v>
      </c>
      <c r="G646">
        <v>10000</v>
      </c>
      <c r="H646">
        <v>371266.12487798091</v>
      </c>
      <c r="I646">
        <v>35.061485913899872</v>
      </c>
    </row>
    <row r="647" spans="1:9" x14ac:dyDescent="0.2">
      <c r="A647">
        <v>642</v>
      </c>
      <c r="B647">
        <v>1462784.4621685552</v>
      </c>
      <c r="C647">
        <v>120897.75745915568</v>
      </c>
      <c r="D647">
        <v>106650.28770771465</v>
      </c>
      <c r="E647">
        <v>139613.06380878604</v>
      </c>
      <c r="F647">
        <v>45665.519802146722</v>
      </c>
      <c r="G647">
        <v>10000</v>
      </c>
      <c r="H647">
        <v>402826.6287778031</v>
      </c>
      <c r="I647">
        <v>32.235043896187335</v>
      </c>
    </row>
    <row r="648" spans="1:9" x14ac:dyDescent="0.2">
      <c r="A648">
        <v>643</v>
      </c>
      <c r="B648">
        <v>1470056.3259757261</v>
      </c>
      <c r="C648">
        <v>138648.38064102578</v>
      </c>
      <c r="D648">
        <v>89915.095336144586</v>
      </c>
      <c r="E648">
        <v>140527.28995200491</v>
      </c>
      <c r="F648">
        <v>45728.81238129265</v>
      </c>
      <c r="G648">
        <v>10000</v>
      </c>
      <c r="H648">
        <v>404819.57831046794</v>
      </c>
      <c r="I648">
        <v>32.033318599233837</v>
      </c>
    </row>
    <row r="649" spans="1:9" x14ac:dyDescent="0.2">
      <c r="A649">
        <v>644</v>
      </c>
      <c r="B649">
        <v>1410633.7926332788</v>
      </c>
      <c r="C649">
        <v>132937.380419722</v>
      </c>
      <c r="D649">
        <v>161107.76638476618</v>
      </c>
      <c r="E649">
        <v>64054.37424822116</v>
      </c>
      <c r="F649">
        <v>40434.533601799929</v>
      </c>
      <c r="G649">
        <v>10000</v>
      </c>
      <c r="H649">
        <v>388534.05465450924</v>
      </c>
      <c r="I649">
        <v>38.772899657682331</v>
      </c>
    </row>
    <row r="650" spans="1:9" x14ac:dyDescent="0.2">
      <c r="A650">
        <v>645</v>
      </c>
      <c r="B650">
        <v>1113354.8940435601</v>
      </c>
      <c r="C650">
        <v>106931.61928098812</v>
      </c>
      <c r="D650">
        <v>81000.610089532027</v>
      </c>
      <c r="E650">
        <v>87098.736456723418</v>
      </c>
      <c r="F650">
        <v>42029.912523927007</v>
      </c>
      <c r="G650">
        <v>10000</v>
      </c>
      <c r="H650">
        <v>307060.87835117057</v>
      </c>
      <c r="I650">
        <v>52.897322336291637</v>
      </c>
    </row>
    <row r="651" spans="1:9" x14ac:dyDescent="0.2">
      <c r="A651">
        <v>646</v>
      </c>
      <c r="B651">
        <v>1502269.7955919013</v>
      </c>
      <c r="C651">
        <v>136750.12193570542</v>
      </c>
      <c r="D651">
        <v>88532.880193905949</v>
      </c>
      <c r="E651">
        <v>151852.25133374243</v>
      </c>
      <c r="F651">
        <v>46512.848169259094</v>
      </c>
      <c r="G651">
        <v>10000</v>
      </c>
      <c r="H651">
        <v>413648.10163261293</v>
      </c>
      <c r="I651">
        <v>36.72558671086577</v>
      </c>
    </row>
    <row r="652" spans="1:9" x14ac:dyDescent="0.2">
      <c r="A652">
        <v>647</v>
      </c>
      <c r="B652">
        <v>1403106.8975524763</v>
      </c>
      <c r="C652">
        <v>140438.4118701134</v>
      </c>
      <c r="D652">
        <v>85513.111807572859</v>
      </c>
      <c r="E652">
        <v>125809.77900557936</v>
      </c>
      <c r="F652">
        <v>44709.907777309345</v>
      </c>
      <c r="G652">
        <v>10000</v>
      </c>
      <c r="H652">
        <v>386471.21046057501</v>
      </c>
      <c r="I652">
        <v>32.661641942395612</v>
      </c>
    </row>
    <row r="653" spans="1:9" x14ac:dyDescent="0.2">
      <c r="A653">
        <v>648</v>
      </c>
      <c r="B653">
        <v>1806727.4847243233</v>
      </c>
      <c r="C653">
        <v>166865.94721876475</v>
      </c>
      <c r="D653">
        <v>148011.61914670825</v>
      </c>
      <c r="E653">
        <v>146096.76194429368</v>
      </c>
      <c r="F653">
        <v>46114.391211528025</v>
      </c>
      <c r="G653">
        <v>10000</v>
      </c>
      <c r="H653">
        <v>497088.7195212947</v>
      </c>
      <c r="I653">
        <v>44.901115926417106</v>
      </c>
    </row>
    <row r="654" spans="1:9" x14ac:dyDescent="0.2">
      <c r="A654">
        <v>649</v>
      </c>
      <c r="B654">
        <v>937018.00587513275</v>
      </c>
      <c r="C654">
        <v>116606.37938979636</v>
      </c>
      <c r="D654">
        <v>71378.831695622765</v>
      </c>
      <c r="E654">
        <v>41850.86555821183</v>
      </c>
      <c r="F654">
        <v>38897.36761556851</v>
      </c>
      <c r="G654">
        <v>10000</v>
      </c>
      <c r="H654">
        <v>258733.44425919943</v>
      </c>
      <c r="I654">
        <v>34.265632436307286</v>
      </c>
    </row>
    <row r="655" spans="1:9" x14ac:dyDescent="0.2">
      <c r="A655">
        <v>650</v>
      </c>
      <c r="B655">
        <v>1292155.302790808</v>
      </c>
      <c r="C655">
        <v>144198.35762212833</v>
      </c>
      <c r="D655">
        <v>88274.874429990406</v>
      </c>
      <c r="E655">
        <v>91271.447927230125</v>
      </c>
      <c r="F655">
        <v>42318.79254880824</v>
      </c>
      <c r="G655">
        <v>10000</v>
      </c>
      <c r="H655">
        <v>356063.47252815717</v>
      </c>
      <c r="I655">
        <v>31.423094182366935</v>
      </c>
    </row>
    <row r="656" spans="1:9" x14ac:dyDescent="0.2">
      <c r="A656">
        <v>651</v>
      </c>
      <c r="B656">
        <v>1189554.7504393482</v>
      </c>
      <c r="C656">
        <v>121742.09368179935</v>
      </c>
      <c r="D656">
        <v>51687.464027590053</v>
      </c>
      <c r="E656">
        <v>120193.78150155168</v>
      </c>
      <c r="F656">
        <v>44321.107950107427</v>
      </c>
      <c r="G656">
        <v>10000</v>
      </c>
      <c r="H656">
        <v>327944.44716104853</v>
      </c>
      <c r="I656">
        <v>31.73680541600767</v>
      </c>
    </row>
    <row r="657" spans="1:9" x14ac:dyDescent="0.2">
      <c r="A657">
        <v>652</v>
      </c>
      <c r="B657">
        <v>1265812.1728443562</v>
      </c>
      <c r="C657">
        <v>112478.63477966617</v>
      </c>
      <c r="D657">
        <v>56546.885691447118</v>
      </c>
      <c r="E657">
        <v>143858.81574412124</v>
      </c>
      <c r="F657">
        <v>45959.456474593004</v>
      </c>
      <c r="G657">
        <v>10000</v>
      </c>
      <c r="H657">
        <v>348843.79268982756</v>
      </c>
      <c r="I657">
        <v>38.662389883452846</v>
      </c>
    </row>
    <row r="658" spans="1:9" x14ac:dyDescent="0.2">
      <c r="A658">
        <v>653</v>
      </c>
      <c r="B658">
        <v>2032389.9427455512</v>
      </c>
      <c r="C658">
        <v>161662.19168447054</v>
      </c>
      <c r="D658">
        <v>159681.49350778657</v>
      </c>
      <c r="E658">
        <v>197890.6640721923</v>
      </c>
      <c r="F658">
        <v>49700.12289730562</v>
      </c>
      <c r="G658">
        <v>10000</v>
      </c>
      <c r="H658">
        <v>558934.47216175508</v>
      </c>
      <c r="I658">
        <v>46.3004003972448</v>
      </c>
    </row>
    <row r="659" spans="1:9" x14ac:dyDescent="0.2">
      <c r="A659">
        <v>654</v>
      </c>
      <c r="B659">
        <v>1323771.803941437</v>
      </c>
      <c r="C659">
        <v>105319.85800384189</v>
      </c>
      <c r="D659">
        <v>105231.84957220283</v>
      </c>
      <c r="E659">
        <v>119877.47166930129</v>
      </c>
      <c r="F659">
        <v>44299.209577105474</v>
      </c>
      <c r="G659">
        <v>10000</v>
      </c>
      <c r="H659">
        <v>364728.38882245147</v>
      </c>
      <c r="I659">
        <v>38.826256630095799</v>
      </c>
    </row>
    <row r="660" spans="1:9" x14ac:dyDescent="0.2">
      <c r="A660">
        <v>655</v>
      </c>
      <c r="B660">
        <v>894058.61859549745</v>
      </c>
      <c r="C660">
        <v>99619.326711988775</v>
      </c>
      <c r="D660">
        <v>42849.806217465499</v>
      </c>
      <c r="E660">
        <v>73408.5950074383</v>
      </c>
      <c r="F660">
        <v>41082.133500514952</v>
      </c>
      <c r="G660">
        <v>10000</v>
      </c>
      <c r="H660">
        <v>246959.86143740753</v>
      </c>
      <c r="I660">
        <v>47.627602683066222</v>
      </c>
    </row>
    <row r="661" spans="1:9" x14ac:dyDescent="0.2">
      <c r="A661">
        <v>656</v>
      </c>
      <c r="B661">
        <v>1582751.7782922036</v>
      </c>
      <c r="C661">
        <v>154948.67349132962</v>
      </c>
      <c r="D661">
        <v>80026.195940525897</v>
      </c>
      <c r="E661">
        <v>163416.89637583142</v>
      </c>
      <c r="F661">
        <v>47313.477441403717</v>
      </c>
      <c r="G661">
        <v>10000</v>
      </c>
      <c r="H661">
        <v>435705.24324909068</v>
      </c>
      <c r="I661">
        <v>41.509179788744035</v>
      </c>
    </row>
    <row r="662" spans="1:9" x14ac:dyDescent="0.2">
      <c r="A662">
        <v>657</v>
      </c>
      <c r="B662">
        <v>1065842.971585209</v>
      </c>
      <c r="C662">
        <v>88751.213776049466</v>
      </c>
      <c r="D662">
        <v>129129.60184259663</v>
      </c>
      <c r="E662">
        <v>46911.106052509938</v>
      </c>
      <c r="F662">
        <v>39247.69195748146</v>
      </c>
      <c r="G662">
        <v>10000</v>
      </c>
      <c r="H662">
        <v>294039.61362863745</v>
      </c>
      <c r="I662">
        <v>27.102636563855182</v>
      </c>
    </row>
    <row r="663" spans="1:9" x14ac:dyDescent="0.2">
      <c r="A663">
        <v>658</v>
      </c>
      <c r="B663">
        <v>1257391.6364294612</v>
      </c>
      <c r="C663">
        <v>86226.99194292778</v>
      </c>
      <c r="D663">
        <v>83708.802744973262</v>
      </c>
      <c r="E663">
        <v>140849.1450378442</v>
      </c>
      <c r="F663">
        <v>45751.094656466135</v>
      </c>
      <c r="G663">
        <v>10000</v>
      </c>
      <c r="H663">
        <v>346536.03438221139</v>
      </c>
      <c r="I663">
        <v>36.153523348943352</v>
      </c>
    </row>
    <row r="664" spans="1:9" x14ac:dyDescent="0.2">
      <c r="A664">
        <v>659</v>
      </c>
      <c r="B664">
        <v>1184052.7715223958</v>
      </c>
      <c r="C664">
        <v>81659.476414209828</v>
      </c>
      <c r="D664">
        <v>69768.417625418064</v>
      </c>
      <c r="E664">
        <v>139360.620752029</v>
      </c>
      <c r="F664">
        <v>45648.042975140474</v>
      </c>
      <c r="G664">
        <v>10000</v>
      </c>
      <c r="H664">
        <v>326436.55776679737</v>
      </c>
      <c r="I664">
        <v>39.321055341819061</v>
      </c>
    </row>
    <row r="665" spans="1:9" x14ac:dyDescent="0.2">
      <c r="A665">
        <v>660</v>
      </c>
      <c r="B665">
        <v>1084970.3772890733</v>
      </c>
      <c r="C665">
        <v>113727.17810294482</v>
      </c>
      <c r="D665">
        <v>114846.36716781682</v>
      </c>
      <c r="E665">
        <v>41813.409914089716</v>
      </c>
      <c r="F665">
        <v>38894.774532513897</v>
      </c>
      <c r="G665">
        <v>10000</v>
      </c>
      <c r="H665">
        <v>299281.72971736523</v>
      </c>
      <c r="I665">
        <v>26.15105065600633</v>
      </c>
    </row>
    <row r="666" spans="1:9" x14ac:dyDescent="0.2">
      <c r="A666">
        <v>661</v>
      </c>
      <c r="B666">
        <v>1267766.7523112188</v>
      </c>
      <c r="C666">
        <v>133881.65097654253</v>
      </c>
      <c r="D666">
        <v>61904.013718226226</v>
      </c>
      <c r="E666">
        <v>119332.33664175708</v>
      </c>
      <c r="F666">
        <v>44261.469459813954</v>
      </c>
      <c r="G666">
        <v>10000</v>
      </c>
      <c r="H666">
        <v>349379.4707963398</v>
      </c>
      <c r="I666">
        <v>36.905001788205425</v>
      </c>
    </row>
    <row r="667" spans="1:9" x14ac:dyDescent="0.2">
      <c r="A667">
        <v>662</v>
      </c>
      <c r="B667">
        <v>1494486.807024678</v>
      </c>
      <c r="C667">
        <v>120085.13673860722</v>
      </c>
      <c r="D667">
        <v>99129.267062194835</v>
      </c>
      <c r="E667">
        <v>155532.9987210515</v>
      </c>
      <c r="F667">
        <v>46767.669142226638</v>
      </c>
      <c r="G667">
        <v>10000</v>
      </c>
      <c r="H667">
        <v>411515.0716640802</v>
      </c>
      <c r="I667">
        <v>37.701512859039049</v>
      </c>
    </row>
    <row r="668" spans="1:9" x14ac:dyDescent="0.2">
      <c r="A668">
        <v>663</v>
      </c>
      <c r="B668">
        <v>1267482.2568700647</v>
      </c>
      <c r="C668">
        <v>121079.46968650355</v>
      </c>
      <c r="D668">
        <v>33396.427628720114</v>
      </c>
      <c r="E668">
        <v>157894.44957727377</v>
      </c>
      <c r="F668">
        <v>46931.154201503574</v>
      </c>
      <c r="G668">
        <v>10000</v>
      </c>
      <c r="H668">
        <v>349301.501094001</v>
      </c>
      <c r="I668">
        <v>34.827351997964115</v>
      </c>
    </row>
    <row r="669" spans="1:9" x14ac:dyDescent="0.2">
      <c r="A669">
        <v>664</v>
      </c>
      <c r="B669">
        <v>1432352.9889863599</v>
      </c>
      <c r="C669">
        <v>93978.20041215232</v>
      </c>
      <c r="D669">
        <v>57528.685371625623</v>
      </c>
      <c r="E669">
        <v>202930.56034443801</v>
      </c>
      <c r="F669">
        <v>50049.038793076477</v>
      </c>
      <c r="G669">
        <v>10000</v>
      </c>
      <c r="H669">
        <v>394486.48492129246</v>
      </c>
      <c r="I669">
        <v>35.502204098191243</v>
      </c>
    </row>
    <row r="670" spans="1:9" x14ac:dyDescent="0.2">
      <c r="A670">
        <v>665</v>
      </c>
      <c r="B670">
        <v>1314925.9649447224</v>
      </c>
      <c r="C670">
        <v>105552.57576379797</v>
      </c>
      <c r="D670">
        <v>99144.447988771237</v>
      </c>
      <c r="E670">
        <v>123085.7274274238</v>
      </c>
      <c r="F670">
        <v>44521.319591129337</v>
      </c>
      <c r="G670">
        <v>10000</v>
      </c>
      <c r="H670">
        <v>362304.07077112235</v>
      </c>
      <c r="I670">
        <v>50.970793444980835</v>
      </c>
    </row>
    <row r="671" spans="1:9" x14ac:dyDescent="0.2">
      <c r="A671">
        <v>666</v>
      </c>
      <c r="B671">
        <v>1063870.2373857447</v>
      </c>
      <c r="C671">
        <v>113436.17603449863</v>
      </c>
      <c r="D671">
        <v>111149.92250967423</v>
      </c>
      <c r="E671">
        <v>40134.330839114489</v>
      </c>
      <c r="F671">
        <v>38778.530596554083</v>
      </c>
      <c r="G671">
        <v>10000</v>
      </c>
      <c r="H671">
        <v>293498.95997984143</v>
      </c>
      <c r="I671">
        <v>35.319262832251695</v>
      </c>
    </row>
    <row r="672" spans="1:9" x14ac:dyDescent="0.2">
      <c r="A672">
        <v>667</v>
      </c>
      <c r="B672">
        <v>855525.51697907387</v>
      </c>
      <c r="C672">
        <v>115167.92608268937</v>
      </c>
      <c r="D672">
        <v>62576.166355483401</v>
      </c>
      <c r="E672">
        <v>30540.897890707991</v>
      </c>
      <c r="F672">
        <v>38114.369853972094</v>
      </c>
      <c r="G672">
        <v>10000</v>
      </c>
      <c r="H672">
        <v>236399.36018285289</v>
      </c>
      <c r="I672">
        <v>45.701699180927676</v>
      </c>
    </row>
    <row r="673" spans="1:9" x14ac:dyDescent="0.2">
      <c r="A673">
        <v>668</v>
      </c>
      <c r="B673">
        <v>1078409.4486720322</v>
      </c>
      <c r="C673">
        <v>118667.7522586594</v>
      </c>
      <c r="D673">
        <v>64740.275319650042</v>
      </c>
      <c r="E673">
        <v>82372.857424746122</v>
      </c>
      <c r="F673">
        <v>41702.736283251659</v>
      </c>
      <c r="G673">
        <v>10000</v>
      </c>
      <c r="H673">
        <v>297483.62128630723</v>
      </c>
      <c r="I673">
        <v>25.281565779272896</v>
      </c>
    </row>
    <row r="674" spans="1:9" x14ac:dyDescent="0.2">
      <c r="A674">
        <v>669</v>
      </c>
      <c r="B674">
        <v>1017085.8588196213</v>
      </c>
      <c r="C674">
        <v>97365.314769306075</v>
      </c>
      <c r="D674">
        <v>67316.313224628815</v>
      </c>
      <c r="E674">
        <v>84168.41601191253</v>
      </c>
      <c r="F674">
        <v>41827.044185440092</v>
      </c>
      <c r="G674">
        <v>10000</v>
      </c>
      <c r="H674">
        <v>280677.08819128753</v>
      </c>
      <c r="I674">
        <v>30.14686899461951</v>
      </c>
    </row>
    <row r="675" spans="1:9" x14ac:dyDescent="0.2">
      <c r="A675">
        <v>670</v>
      </c>
      <c r="B675">
        <v>1247082.0767043969</v>
      </c>
      <c r="C675">
        <v>100063.60153780019</v>
      </c>
      <c r="D675">
        <v>63380.272354954592</v>
      </c>
      <c r="E675">
        <v>144278.19984061323</v>
      </c>
      <c r="F675">
        <v>45988.490758196305</v>
      </c>
      <c r="G675">
        <v>10000</v>
      </c>
      <c r="H675">
        <v>343710.56449156429</v>
      </c>
      <c r="I675">
        <v>24.002056702544518</v>
      </c>
    </row>
    <row r="676" spans="1:9" x14ac:dyDescent="0.2">
      <c r="A676">
        <v>671</v>
      </c>
      <c r="B676">
        <v>1410793.403442706</v>
      </c>
      <c r="C676">
        <v>140961.35715706844</v>
      </c>
      <c r="D676">
        <v>71000.899606538806</v>
      </c>
      <c r="E676">
        <v>140863.45591454644</v>
      </c>
      <c r="F676">
        <v>45752.085409468607</v>
      </c>
      <c r="G676">
        <v>10000</v>
      </c>
      <c r="H676">
        <v>388577.79808762233</v>
      </c>
      <c r="I676">
        <v>32.828891766024235</v>
      </c>
    </row>
    <row r="677" spans="1:9" x14ac:dyDescent="0.2">
      <c r="A677">
        <v>672</v>
      </c>
      <c r="B677">
        <v>1397489.9418384517</v>
      </c>
      <c r="C677">
        <v>121315.76126180503</v>
      </c>
      <c r="D677">
        <v>86935.017429433923</v>
      </c>
      <c r="E677">
        <v>140924.70569859821</v>
      </c>
      <c r="F677">
        <v>45756.325779133724</v>
      </c>
      <c r="G677">
        <v>10000</v>
      </c>
      <c r="H677">
        <v>384931.81016897084</v>
      </c>
      <c r="I677">
        <v>34.970150765327652</v>
      </c>
    </row>
    <row r="678" spans="1:9" x14ac:dyDescent="0.2">
      <c r="A678">
        <v>673</v>
      </c>
      <c r="B678">
        <v>1365487.1611043417</v>
      </c>
      <c r="C678">
        <v>91172.973663431185</v>
      </c>
      <c r="D678">
        <v>138378.16881097227</v>
      </c>
      <c r="E678">
        <v>112800.61319896234</v>
      </c>
      <c r="F678">
        <v>43809.273221466618</v>
      </c>
      <c r="G678">
        <v>10000</v>
      </c>
      <c r="H678">
        <v>376161.02889483242</v>
      </c>
      <c r="I678">
        <v>38.485249570395041</v>
      </c>
    </row>
    <row r="679" spans="1:9" x14ac:dyDescent="0.2">
      <c r="A679">
        <v>674</v>
      </c>
      <c r="B679">
        <v>1198760.9466824646</v>
      </c>
      <c r="C679">
        <v>92726.163682593207</v>
      </c>
      <c r="D679">
        <v>58690.502916787518</v>
      </c>
      <c r="E679">
        <v>143141.09137254691</v>
      </c>
      <c r="F679">
        <v>45909.767864253248</v>
      </c>
      <c r="G679">
        <v>10000</v>
      </c>
      <c r="H679">
        <v>330467.5258361809</v>
      </c>
      <c r="I679">
        <v>40.779892732337998</v>
      </c>
    </row>
    <row r="680" spans="1:9" x14ac:dyDescent="0.2">
      <c r="A680">
        <v>675</v>
      </c>
      <c r="B680">
        <v>1157510.2392186141</v>
      </c>
      <c r="C680">
        <v>110380.12220303332</v>
      </c>
      <c r="D680">
        <v>52260.971624139391</v>
      </c>
      <c r="E680">
        <v>122070.12651453905</v>
      </c>
      <c r="F680">
        <v>44451.008758698852</v>
      </c>
      <c r="G680">
        <v>10000</v>
      </c>
      <c r="H680">
        <v>319162.22910041059</v>
      </c>
      <c r="I680">
        <v>26.883284590437782</v>
      </c>
    </row>
    <row r="681" spans="1:9" x14ac:dyDescent="0.2">
      <c r="A681">
        <v>676</v>
      </c>
      <c r="B681">
        <v>991956.90863404819</v>
      </c>
      <c r="C681">
        <v>98444.003352990243</v>
      </c>
      <c r="D681">
        <v>96161.242674414243</v>
      </c>
      <c r="E681">
        <v>49741.296008706326</v>
      </c>
      <c r="F681">
        <v>39443.628185218127</v>
      </c>
      <c r="G681">
        <v>10000</v>
      </c>
      <c r="H681">
        <v>273790.17022132897</v>
      </c>
      <c r="I681">
        <v>52.020788155920123</v>
      </c>
    </row>
    <row r="682" spans="1:9" x14ac:dyDescent="0.2">
      <c r="A682">
        <v>677</v>
      </c>
      <c r="B682">
        <v>1647044.3470757948</v>
      </c>
      <c r="C682">
        <v>116801.63168520619</v>
      </c>
      <c r="D682">
        <v>93526.74080117009</v>
      </c>
      <c r="E682">
        <v>202946.92003810965</v>
      </c>
      <c r="F682">
        <v>50050.171387253744</v>
      </c>
      <c r="G682">
        <v>10000</v>
      </c>
      <c r="H682">
        <v>453325.46391173964</v>
      </c>
      <c r="I682">
        <v>42.253366305804093</v>
      </c>
    </row>
    <row r="683" spans="1:9" x14ac:dyDescent="0.2">
      <c r="A683">
        <v>678</v>
      </c>
      <c r="B683">
        <v>890610.92869491631</v>
      </c>
      <c r="C683">
        <v>85392.888340844744</v>
      </c>
      <c r="D683">
        <v>73925.021634439705</v>
      </c>
      <c r="E683">
        <v>56767.040969293274</v>
      </c>
      <c r="F683">
        <v>39930.02591325876</v>
      </c>
      <c r="G683">
        <v>10000</v>
      </c>
      <c r="H683">
        <v>246014.97685783647</v>
      </c>
      <c r="I683">
        <v>40.89457724465904</v>
      </c>
    </row>
    <row r="684" spans="1:9" x14ac:dyDescent="0.2">
      <c r="A684">
        <v>679</v>
      </c>
      <c r="B684">
        <v>1164715.3601076321</v>
      </c>
      <c r="C684">
        <v>125035.17643036599</v>
      </c>
      <c r="D684">
        <v>55721.79536062081</v>
      </c>
      <c r="E684">
        <v>106974.02128950255</v>
      </c>
      <c r="F684">
        <v>43405.893781580948</v>
      </c>
      <c r="G684">
        <v>10000</v>
      </c>
      <c r="H684">
        <v>321136.8868620703</v>
      </c>
      <c r="I684">
        <v>26.805244978149382</v>
      </c>
    </row>
    <row r="685" spans="1:9" x14ac:dyDescent="0.2">
      <c r="A685">
        <v>680</v>
      </c>
      <c r="B685">
        <v>1266063.9503454906</v>
      </c>
      <c r="C685">
        <v>123374.41862594115</v>
      </c>
      <c r="D685">
        <v>131243.00360010008</v>
      </c>
      <c r="E685">
        <v>63873.37079273734</v>
      </c>
      <c r="F685">
        <v>40422.002593343357</v>
      </c>
      <c r="G685">
        <v>10000</v>
      </c>
      <c r="H685">
        <v>348912.79561212193</v>
      </c>
      <c r="I685">
        <v>35.490997975698249</v>
      </c>
    </row>
    <row r="686" spans="1:9" x14ac:dyDescent="0.2">
      <c r="A686">
        <v>681</v>
      </c>
      <c r="B686">
        <v>1319136.3249597871</v>
      </c>
      <c r="C686">
        <v>111418.31962893736</v>
      </c>
      <c r="D686">
        <v>105950.67259567314</v>
      </c>
      <c r="E686">
        <v>112313.4372085036</v>
      </c>
      <c r="F686">
        <v>43775.545652896406</v>
      </c>
      <c r="G686">
        <v>10000</v>
      </c>
      <c r="H686">
        <v>363457.97508601053</v>
      </c>
      <c r="I686">
        <v>50.147165288609195</v>
      </c>
    </row>
    <row r="687" spans="1:9" x14ac:dyDescent="0.2">
      <c r="A687">
        <v>682</v>
      </c>
      <c r="B687">
        <v>1365290.0645361419</v>
      </c>
      <c r="C687">
        <v>124189.38749617206</v>
      </c>
      <c r="D687">
        <v>58824.717782598185</v>
      </c>
      <c r="E687">
        <v>156273.94153642905</v>
      </c>
      <c r="F687">
        <v>46818.965183291242</v>
      </c>
      <c r="G687">
        <v>10000</v>
      </c>
      <c r="H687">
        <v>376107.01199849055</v>
      </c>
      <c r="I687">
        <v>26.730239685443486</v>
      </c>
    </row>
    <row r="688" spans="1:9" x14ac:dyDescent="0.2">
      <c r="A688">
        <v>683</v>
      </c>
      <c r="B688">
        <v>1403124.8131938251</v>
      </c>
      <c r="C688">
        <v>139184.92385290106</v>
      </c>
      <c r="D688">
        <v>121760.22318221822</v>
      </c>
      <c r="E688">
        <v>93086.521923844979</v>
      </c>
      <c r="F688">
        <v>42444.451517804649</v>
      </c>
      <c r="G688">
        <v>10000</v>
      </c>
      <c r="H688">
        <v>386476.12047676893</v>
      </c>
      <c r="I688">
        <v>30.378792405613595</v>
      </c>
    </row>
    <row r="689" spans="1:9" x14ac:dyDescent="0.2">
      <c r="A689">
        <v>684</v>
      </c>
      <c r="B689">
        <v>1534640.9591749629</v>
      </c>
      <c r="C689">
        <v>139344.85723021219</v>
      </c>
      <c r="D689">
        <v>41050.599779204917</v>
      </c>
      <c r="E689">
        <v>202130.72075930933</v>
      </c>
      <c r="F689">
        <v>49993.665283336806</v>
      </c>
      <c r="G689">
        <v>10000</v>
      </c>
      <c r="H689">
        <v>422519.84305206331</v>
      </c>
      <c r="I689">
        <v>25.544964522781154</v>
      </c>
    </row>
    <row r="690" spans="1:9" x14ac:dyDescent="0.2">
      <c r="A690">
        <v>685</v>
      </c>
      <c r="B690">
        <v>1005676.8256374628</v>
      </c>
      <c r="C690">
        <v>106135.83351115641</v>
      </c>
      <c r="D690">
        <v>92548.623902855747</v>
      </c>
      <c r="E690">
        <v>49442.86799884589</v>
      </c>
      <c r="F690">
        <v>39422.967784535482</v>
      </c>
      <c r="G690">
        <v>10000</v>
      </c>
      <c r="H690">
        <v>277550.29319739353</v>
      </c>
      <c r="I690">
        <v>32.348845041858937</v>
      </c>
    </row>
    <row r="691" spans="1:9" x14ac:dyDescent="0.2">
      <c r="A691">
        <v>686</v>
      </c>
      <c r="B691">
        <v>1144012.3557708832</v>
      </c>
      <c r="C691">
        <v>99988.763707769467</v>
      </c>
      <c r="D691">
        <v>35373.470632811557</v>
      </c>
      <c r="E691">
        <v>144122.97833427263</v>
      </c>
      <c r="F691">
        <v>45977.744653911177</v>
      </c>
      <c r="G691">
        <v>10000</v>
      </c>
      <c r="H691">
        <v>315462.95732876478</v>
      </c>
      <c r="I691">
        <v>28.017031808236272</v>
      </c>
    </row>
    <row r="692" spans="1:9" x14ac:dyDescent="0.2">
      <c r="A692">
        <v>687</v>
      </c>
      <c r="B692">
        <v>1144499.7358229002</v>
      </c>
      <c r="C692">
        <v>95483.364242382013</v>
      </c>
      <c r="D692">
        <v>62348.288491758824</v>
      </c>
      <c r="E692">
        <v>123233.33865243194</v>
      </c>
      <c r="F692">
        <v>44531.538829783749</v>
      </c>
      <c r="G692">
        <v>10000</v>
      </c>
      <c r="H692">
        <v>315596.53021635651</v>
      </c>
      <c r="I692">
        <v>33.107659511467176</v>
      </c>
    </row>
    <row r="693" spans="1:9" x14ac:dyDescent="0.2">
      <c r="A693">
        <v>688</v>
      </c>
      <c r="B693">
        <v>1747003.505146604</v>
      </c>
      <c r="C693">
        <v>167929.18105578303</v>
      </c>
      <c r="D693">
        <v>73243.877214387481</v>
      </c>
      <c r="E693">
        <v>199720.70431464151</v>
      </c>
      <c r="F693">
        <v>49826.817991013646</v>
      </c>
      <c r="G693">
        <v>10000</v>
      </c>
      <c r="H693">
        <v>480720.58057582565</v>
      </c>
      <c r="I693">
        <v>42.245769619339129</v>
      </c>
    </row>
    <row r="694" spans="1:9" x14ac:dyDescent="0.2">
      <c r="A694">
        <v>689</v>
      </c>
      <c r="B694">
        <v>1532787.4921879815</v>
      </c>
      <c r="C694">
        <v>85945.025656239202</v>
      </c>
      <c r="D694">
        <v>145484.49201779941</v>
      </c>
      <c r="E694">
        <v>153925.94677155701</v>
      </c>
      <c r="F694">
        <v>46656.411699569333</v>
      </c>
      <c r="G694">
        <v>10000</v>
      </c>
      <c r="H694">
        <v>422011.87614516495</v>
      </c>
      <c r="I694">
        <v>49.562495311154315</v>
      </c>
    </row>
    <row r="695" spans="1:9" x14ac:dyDescent="0.2">
      <c r="A695">
        <v>690</v>
      </c>
      <c r="B695">
        <v>1284312.3107614077</v>
      </c>
      <c r="C695">
        <v>85144.32061209243</v>
      </c>
      <c r="D695">
        <v>106768.14588325338</v>
      </c>
      <c r="E695">
        <v>127195.67678295368</v>
      </c>
      <c r="F695">
        <v>44805.854546512179</v>
      </c>
      <c r="G695">
        <v>10000</v>
      </c>
      <c r="H695">
        <v>353913.99782481167</v>
      </c>
      <c r="I695">
        <v>29.580587711186531</v>
      </c>
    </row>
    <row r="696" spans="1:9" x14ac:dyDescent="0.2">
      <c r="A696">
        <v>691</v>
      </c>
      <c r="B696">
        <v>1245616.3447820921</v>
      </c>
      <c r="C696">
        <v>127092.87200293661</v>
      </c>
      <c r="D696">
        <v>116786.55612069331</v>
      </c>
      <c r="E696">
        <v>68675.00959348063</v>
      </c>
      <c r="F696">
        <v>40754.423741087114</v>
      </c>
      <c r="G696">
        <v>10000</v>
      </c>
      <c r="H696">
        <v>343308.8614581977</v>
      </c>
      <c r="I696">
        <v>26.435619203172163</v>
      </c>
    </row>
    <row r="697" spans="1:9" x14ac:dyDescent="0.2">
      <c r="A697">
        <v>692</v>
      </c>
      <c r="B697">
        <v>1268316.7171095083</v>
      </c>
      <c r="C697">
        <v>128292.50013878685</v>
      </c>
      <c r="D697">
        <v>61390.173172269358</v>
      </c>
      <c r="E697">
        <v>125181.13619074087</v>
      </c>
      <c r="F697">
        <v>44666.386351666675</v>
      </c>
      <c r="G697">
        <v>10000</v>
      </c>
      <c r="H697">
        <v>349530.19585346372</v>
      </c>
      <c r="I697">
        <v>38.359602538552572</v>
      </c>
    </row>
    <row r="698" spans="1:9" x14ac:dyDescent="0.2">
      <c r="A698">
        <v>693</v>
      </c>
      <c r="B698">
        <v>1130314.5617517822</v>
      </c>
      <c r="C698">
        <v>119806.10780813711</v>
      </c>
      <c r="D698">
        <v>63373.149250670322</v>
      </c>
      <c r="E698">
        <v>95891.030578274396</v>
      </c>
      <c r="F698">
        <v>42638.609809265152</v>
      </c>
      <c r="G698">
        <v>10000</v>
      </c>
      <c r="H698">
        <v>311708.89744634693</v>
      </c>
      <c r="I698">
        <v>38.057309682925201</v>
      </c>
    </row>
    <row r="699" spans="1:9" x14ac:dyDescent="0.2">
      <c r="A699">
        <v>694</v>
      </c>
      <c r="B699">
        <v>1729784.3777202419</v>
      </c>
      <c r="C699">
        <v>91411.128235631957</v>
      </c>
      <c r="D699">
        <v>148111.51703880783</v>
      </c>
      <c r="E699">
        <v>196850.68362102666</v>
      </c>
      <c r="F699">
        <v>49628.124250686458</v>
      </c>
      <c r="G699">
        <v>10000</v>
      </c>
      <c r="H699">
        <v>476001.45314615284</v>
      </c>
      <c r="I699">
        <v>44.606270991606578</v>
      </c>
    </row>
    <row r="700" spans="1:9" x14ac:dyDescent="0.2">
      <c r="A700">
        <v>695</v>
      </c>
      <c r="B700">
        <v>1558670.4331936925</v>
      </c>
      <c r="C700">
        <v>133249.50996834494</v>
      </c>
      <c r="D700">
        <v>91076.658733549193</v>
      </c>
      <c r="E700">
        <v>167203.63051547488</v>
      </c>
      <c r="F700">
        <v>47575.635958763647</v>
      </c>
      <c r="G700">
        <v>10000</v>
      </c>
      <c r="H700">
        <v>429105.43517613265</v>
      </c>
      <c r="I700">
        <v>33.247795710559117</v>
      </c>
    </row>
    <row r="701" spans="1:9" x14ac:dyDescent="0.2">
      <c r="A701">
        <v>696</v>
      </c>
      <c r="B701">
        <v>1745876.1113958308</v>
      </c>
      <c r="C701">
        <v>150716.23081955258</v>
      </c>
      <c r="D701">
        <v>116045.78442071838</v>
      </c>
      <c r="E701">
        <v>175499.61496627002</v>
      </c>
      <c r="F701">
        <v>48149.973343818696</v>
      </c>
      <c r="G701">
        <v>10000</v>
      </c>
      <c r="H701">
        <v>480411.60355035972</v>
      </c>
      <c r="I701">
        <v>31.535439296404249</v>
      </c>
    </row>
    <row r="702" spans="1:9" x14ac:dyDescent="0.2">
      <c r="A702">
        <v>697</v>
      </c>
      <c r="B702">
        <v>1194389.959721593</v>
      </c>
      <c r="C702">
        <v>112402.66519787392</v>
      </c>
      <c r="D702">
        <v>53997.036171529006</v>
      </c>
      <c r="E702">
        <v>128007.81849156735</v>
      </c>
      <c r="F702">
        <v>44862.079741723894</v>
      </c>
      <c r="G702">
        <v>10000</v>
      </c>
      <c r="H702">
        <v>329269.59960269416</v>
      </c>
      <c r="I702">
        <v>35.795772284504032</v>
      </c>
    </row>
    <row r="703" spans="1:9" x14ac:dyDescent="0.2">
      <c r="A703">
        <v>698</v>
      </c>
      <c r="B703">
        <v>1193160.5478390942</v>
      </c>
      <c r="C703">
        <v>90463.644459613715</v>
      </c>
      <c r="D703">
        <v>137447.48305066273</v>
      </c>
      <c r="E703">
        <v>70164.026158318302</v>
      </c>
      <c r="F703">
        <v>40857.509503268186</v>
      </c>
      <c r="G703">
        <v>10000</v>
      </c>
      <c r="H703">
        <v>328932.66317186295</v>
      </c>
      <c r="I703">
        <v>34.175871985738056</v>
      </c>
    </row>
    <row r="704" spans="1:9" x14ac:dyDescent="0.2">
      <c r="A704">
        <v>699</v>
      </c>
      <c r="B704">
        <v>1543846.5765515263</v>
      </c>
      <c r="C704">
        <v>134609.88940073701</v>
      </c>
      <c r="D704">
        <v>70868.196829177614</v>
      </c>
      <c r="E704">
        <v>181031.7121631045</v>
      </c>
      <c r="F704">
        <v>48532.964688214932</v>
      </c>
      <c r="G704">
        <v>10000</v>
      </c>
      <c r="H704">
        <v>425042.76308123406</v>
      </c>
      <c r="I704">
        <v>28.126105516258669</v>
      </c>
    </row>
    <row r="705" spans="1:9" x14ac:dyDescent="0.2">
      <c r="A705">
        <v>700</v>
      </c>
      <c r="B705">
        <v>1189565.6293169577</v>
      </c>
      <c r="C705">
        <v>129737.17079161937</v>
      </c>
      <c r="D705">
        <v>128592.20835335704</v>
      </c>
      <c r="E705">
        <v>40793.859258620629</v>
      </c>
      <c r="F705">
        <v>38824.190256366041</v>
      </c>
      <c r="G705">
        <v>10000</v>
      </c>
      <c r="H705">
        <v>327947.42865996307</v>
      </c>
      <c r="I705">
        <v>28.237784326656683</v>
      </c>
    </row>
    <row r="706" spans="1:9" x14ac:dyDescent="0.2">
      <c r="A706">
        <v>701</v>
      </c>
      <c r="B706">
        <v>867202.4160594705</v>
      </c>
      <c r="C706">
        <v>109598.75356502114</v>
      </c>
      <c r="D706">
        <v>70930.252683523824</v>
      </c>
      <c r="E706">
        <v>30929.301735546753</v>
      </c>
      <c r="F706">
        <v>38141.259350922468</v>
      </c>
      <c r="G706">
        <v>10000</v>
      </c>
      <c r="H706">
        <v>239599.56733501417</v>
      </c>
      <c r="I706">
        <v>31.026972004961753</v>
      </c>
    </row>
    <row r="707" spans="1:9" x14ac:dyDescent="0.2">
      <c r="A707">
        <v>702</v>
      </c>
      <c r="B707">
        <v>1541689.1937675236</v>
      </c>
      <c r="C707">
        <v>105184.74713494422</v>
      </c>
      <c r="D707">
        <v>93988.050733859069</v>
      </c>
      <c r="E707">
        <v>186375.76838874657</v>
      </c>
      <c r="F707">
        <v>48902.937811528609</v>
      </c>
      <c r="G707">
        <v>10000</v>
      </c>
      <c r="H707">
        <v>424451.50406907848</v>
      </c>
      <c r="I707">
        <v>50.119445204726972</v>
      </c>
    </row>
    <row r="708" spans="1:9" x14ac:dyDescent="0.2">
      <c r="A708">
        <v>703</v>
      </c>
      <c r="B708">
        <v>1513407.1493491067</v>
      </c>
      <c r="C708">
        <v>146259.69466023016</v>
      </c>
      <c r="D708">
        <v>65423.751537533171</v>
      </c>
      <c r="E708">
        <v>167425.96479178636</v>
      </c>
      <c r="F708">
        <v>47591.028331739057</v>
      </c>
      <c r="G708">
        <v>10000</v>
      </c>
      <c r="H708">
        <v>416700.43932128878</v>
      </c>
      <c r="I708">
        <v>35.101876682288633</v>
      </c>
    </row>
    <row r="709" spans="1:9" x14ac:dyDescent="0.2">
      <c r="A709">
        <v>704</v>
      </c>
      <c r="B709">
        <v>967035.38316776534</v>
      </c>
      <c r="C709">
        <v>103611.66793655058</v>
      </c>
      <c r="D709">
        <v>61001.450740705332</v>
      </c>
      <c r="E709">
        <v>71403.651328216161</v>
      </c>
      <c r="F709">
        <v>40943.329707338038</v>
      </c>
      <c r="G709">
        <v>10000</v>
      </c>
      <c r="H709">
        <v>266960.09971281013</v>
      </c>
      <c r="I709">
        <v>26.258251139483825</v>
      </c>
    </row>
    <row r="710" spans="1:9" x14ac:dyDescent="0.2">
      <c r="A710">
        <v>705</v>
      </c>
      <c r="B710">
        <v>1281169.4588668277</v>
      </c>
      <c r="C710">
        <v>95062.145353395623</v>
      </c>
      <c r="D710">
        <v>128745.32589423942</v>
      </c>
      <c r="E710">
        <v>96560.246690797328</v>
      </c>
      <c r="F710">
        <v>42684.940155516735</v>
      </c>
      <c r="G710">
        <v>10000</v>
      </c>
      <c r="H710">
        <v>353052.65809394908</v>
      </c>
      <c r="I710">
        <v>37.851814629652175</v>
      </c>
    </row>
    <row r="711" spans="1:9" x14ac:dyDescent="0.2">
      <c r="A711">
        <v>706</v>
      </c>
      <c r="B711">
        <v>851222.51645230153</v>
      </c>
      <c r="C711">
        <v>70957.160813581533</v>
      </c>
      <c r="D711">
        <v>79397.259667931779</v>
      </c>
      <c r="E711">
        <v>55054.201333021534</v>
      </c>
      <c r="F711">
        <v>39811.444707670722</v>
      </c>
      <c r="G711">
        <v>10000</v>
      </c>
      <c r="H711">
        <v>235220.06652220557</v>
      </c>
      <c r="I711">
        <v>50.796808564579834</v>
      </c>
    </row>
    <row r="712" spans="1:9" x14ac:dyDescent="0.2">
      <c r="A712">
        <v>707</v>
      </c>
      <c r="B712">
        <v>1234144.0672572735</v>
      </c>
      <c r="C712">
        <v>149194.56397143027</v>
      </c>
      <c r="D712">
        <v>87333.337617298675</v>
      </c>
      <c r="E712">
        <v>72609.986701810092</v>
      </c>
      <c r="F712">
        <v>41026.845233202235</v>
      </c>
      <c r="G712">
        <v>10000</v>
      </c>
      <c r="H712">
        <v>340164.73352374125</v>
      </c>
      <c r="I712">
        <v>27.761778635142235</v>
      </c>
    </row>
    <row r="713" spans="1:9" x14ac:dyDescent="0.2">
      <c r="A713">
        <v>708</v>
      </c>
      <c r="B713">
        <v>1456424.9753111149</v>
      </c>
      <c r="C713">
        <v>127150.3774262738</v>
      </c>
      <c r="D713">
        <v>127759.75475239987</v>
      </c>
      <c r="E713">
        <v>112392.57172470955</v>
      </c>
      <c r="F713">
        <v>43781.024196326049</v>
      </c>
      <c r="G713">
        <v>10000</v>
      </c>
      <c r="H713">
        <v>401083.72809970926</v>
      </c>
      <c r="I713">
        <v>40.936532142130616</v>
      </c>
    </row>
    <row r="714" spans="1:9" x14ac:dyDescent="0.2">
      <c r="A714">
        <v>709</v>
      </c>
      <c r="B714">
        <v>1217951.8618018322</v>
      </c>
      <c r="C714">
        <v>102060.62773342243</v>
      </c>
      <c r="D714">
        <v>88998.602791889862</v>
      </c>
      <c r="E714">
        <v>110984.28926827112</v>
      </c>
      <c r="F714">
        <v>43683.527718572615</v>
      </c>
      <c r="G714">
        <v>10000</v>
      </c>
      <c r="H714">
        <v>335727.04751215607</v>
      </c>
      <c r="I714">
        <v>40.000480514300932</v>
      </c>
    </row>
    <row r="715" spans="1:9" x14ac:dyDescent="0.2">
      <c r="A715">
        <v>710</v>
      </c>
      <c r="B715">
        <v>1289307.6006179804</v>
      </c>
      <c r="C715">
        <v>123056.01613774998</v>
      </c>
      <c r="D715">
        <v>89304.474680851738</v>
      </c>
      <c r="E715">
        <v>109352.00799572025</v>
      </c>
      <c r="F715">
        <v>43570.523630472941</v>
      </c>
      <c r="G715">
        <v>10000</v>
      </c>
      <c r="H715">
        <v>355283.02244479489</v>
      </c>
      <c r="I715">
        <v>40.994864369977989</v>
      </c>
    </row>
    <row r="716" spans="1:9" x14ac:dyDescent="0.2">
      <c r="A716">
        <v>711</v>
      </c>
      <c r="B716">
        <v>1393272.3827534558</v>
      </c>
      <c r="C716">
        <v>81328.414572262394</v>
      </c>
      <c r="D716">
        <v>158573.92551373763</v>
      </c>
      <c r="E716">
        <v>110241.4896397588</v>
      </c>
      <c r="F716">
        <v>43632.103128906383</v>
      </c>
      <c r="G716">
        <v>10000</v>
      </c>
      <c r="H716">
        <v>383775.93285466527</v>
      </c>
      <c r="I716">
        <v>25.014855499647268</v>
      </c>
    </row>
    <row r="717" spans="1:9" x14ac:dyDescent="0.2">
      <c r="A717">
        <v>712</v>
      </c>
      <c r="B717">
        <v>1050278.6140836596</v>
      </c>
      <c r="C717">
        <v>135519.98168529378</v>
      </c>
      <c r="D717">
        <v>67655.245037937668</v>
      </c>
      <c r="E717">
        <v>56675.109428012875</v>
      </c>
      <c r="F717">
        <v>39923.661421939352</v>
      </c>
      <c r="G717">
        <v>10000</v>
      </c>
      <c r="H717">
        <v>289773.99757318362</v>
      </c>
      <c r="I717">
        <v>36.487277761709251</v>
      </c>
    </row>
    <row r="718" spans="1:9" x14ac:dyDescent="0.2">
      <c r="A718">
        <v>713</v>
      </c>
      <c r="B718">
        <v>1615409.1646815203</v>
      </c>
      <c r="C718">
        <v>164012.45649510363</v>
      </c>
      <c r="D718">
        <v>80907.223180175482</v>
      </c>
      <c r="E718">
        <v>162486.67088735552</v>
      </c>
      <c r="F718">
        <v>47249.077215278463</v>
      </c>
      <c r="G718">
        <v>10000</v>
      </c>
      <c r="H718">
        <v>444655.42777791311</v>
      </c>
      <c r="I718">
        <v>26.070958106399139</v>
      </c>
    </row>
    <row r="719" spans="1:9" x14ac:dyDescent="0.2">
      <c r="A719">
        <v>714</v>
      </c>
      <c r="B719">
        <v>1133762.8813509434</v>
      </c>
      <c r="C719">
        <v>120489.11613877154</v>
      </c>
      <c r="D719">
        <v>41439.542785595731</v>
      </c>
      <c r="E719">
        <v>116649.55710957103</v>
      </c>
      <c r="F719">
        <v>44075.738569124143</v>
      </c>
      <c r="G719">
        <v>10000</v>
      </c>
      <c r="H719">
        <v>312653.95460306248</v>
      </c>
      <c r="I719">
        <v>40.759072118539066</v>
      </c>
    </row>
    <row r="720" spans="1:9" x14ac:dyDescent="0.2">
      <c r="A720">
        <v>715</v>
      </c>
      <c r="B720">
        <v>991742.03635008121</v>
      </c>
      <c r="C720">
        <v>82959.710153706867</v>
      </c>
      <c r="D720">
        <v>53263.774973514861</v>
      </c>
      <c r="E720">
        <v>104287.86725828277</v>
      </c>
      <c r="F720">
        <v>43219.929271727269</v>
      </c>
      <c r="G720">
        <v>10000</v>
      </c>
      <c r="H720">
        <v>273731.2816572318</v>
      </c>
      <c r="I720">
        <v>46.92217633597793</v>
      </c>
    </row>
    <row r="721" spans="1:9" x14ac:dyDescent="0.2">
      <c r="A721">
        <v>716</v>
      </c>
      <c r="B721">
        <v>1026876.692908878</v>
      </c>
      <c r="C721">
        <v>113362.10535747402</v>
      </c>
      <c r="D721">
        <v>73269.550461937819</v>
      </c>
      <c r="E721">
        <v>66149.180085765809</v>
      </c>
      <c r="F721">
        <v>40579.558621322249</v>
      </c>
      <c r="G721">
        <v>10000</v>
      </c>
      <c r="H721">
        <v>283360.39452649991</v>
      </c>
      <c r="I721">
        <v>34.966488069278228</v>
      </c>
    </row>
    <row r="722" spans="1:9" x14ac:dyDescent="0.2">
      <c r="A722">
        <v>717</v>
      </c>
      <c r="B722">
        <v>1563517.6480900974</v>
      </c>
      <c r="C722">
        <v>149680.22743974821</v>
      </c>
      <c r="D722">
        <v>108082.84037099282</v>
      </c>
      <c r="E722">
        <v>137174.13894512359</v>
      </c>
      <c r="F722">
        <v>45496.671157739322</v>
      </c>
      <c r="G722">
        <v>10000</v>
      </c>
      <c r="H722">
        <v>430433.87791360391</v>
      </c>
      <c r="I722">
        <v>30.42575346588287</v>
      </c>
    </row>
    <row r="723" spans="1:9" x14ac:dyDescent="0.2">
      <c r="A723">
        <v>718</v>
      </c>
      <c r="B723">
        <v>882267.51177934103</v>
      </c>
      <c r="C723">
        <v>105005.90198429591</v>
      </c>
      <c r="D723">
        <v>79979.851237039067</v>
      </c>
      <c r="E723">
        <v>30622.576416727115</v>
      </c>
      <c r="F723">
        <v>38120.024521158026</v>
      </c>
      <c r="G723">
        <v>10000</v>
      </c>
      <c r="H723">
        <v>243728.35415922012</v>
      </c>
      <c r="I723">
        <v>28.338723342597923</v>
      </c>
    </row>
    <row r="724" spans="1:9" x14ac:dyDescent="0.2">
      <c r="A724">
        <v>719</v>
      </c>
      <c r="B724">
        <v>1648612.8792567197</v>
      </c>
      <c r="C724">
        <v>119792.1749686043</v>
      </c>
      <c r="D724">
        <v>120247.88112184656</v>
      </c>
      <c r="E724">
        <v>175561.05755092364</v>
      </c>
      <c r="F724">
        <v>48154.227061217789</v>
      </c>
      <c r="G724">
        <v>10000</v>
      </c>
      <c r="H724">
        <v>453755.34070259228</v>
      </c>
      <c r="I724">
        <v>42.809573089686737</v>
      </c>
    </row>
    <row r="725" spans="1:9" x14ac:dyDescent="0.2">
      <c r="A725">
        <v>720</v>
      </c>
      <c r="B725">
        <v>1804297.5226623267</v>
      </c>
      <c r="C725">
        <v>122813.91135871287</v>
      </c>
      <c r="D725">
        <v>147481.15637362323</v>
      </c>
      <c r="E725">
        <v>187169.7809435922</v>
      </c>
      <c r="F725">
        <v>48957.907911479459</v>
      </c>
      <c r="G725">
        <v>10000</v>
      </c>
      <c r="H725">
        <v>496422.75658740778</v>
      </c>
      <c r="I725">
        <v>42.684720655664009</v>
      </c>
    </row>
    <row r="726" spans="1:9" x14ac:dyDescent="0.2">
      <c r="A726">
        <v>721</v>
      </c>
      <c r="B726">
        <v>1483297.3201344286</v>
      </c>
      <c r="C726">
        <v>102959.49073282411</v>
      </c>
      <c r="D726">
        <v>148733.46575979743</v>
      </c>
      <c r="E726">
        <v>122289.30692747772</v>
      </c>
      <c r="F726">
        <v>44466.182787286918</v>
      </c>
      <c r="G726">
        <v>10000</v>
      </c>
      <c r="H726">
        <v>408448.44620738621</v>
      </c>
      <c r="I726">
        <v>31.048028380820682</v>
      </c>
    </row>
    <row r="727" spans="1:9" x14ac:dyDescent="0.2">
      <c r="A727">
        <v>722</v>
      </c>
      <c r="B727">
        <v>1036815.0293051731</v>
      </c>
      <c r="C727">
        <v>146720.3026610493</v>
      </c>
      <c r="D727">
        <v>67105.312422064482</v>
      </c>
      <c r="E727">
        <v>43263.355347787539</v>
      </c>
      <c r="F727">
        <v>38995.155370231449</v>
      </c>
      <c r="G727">
        <v>10000</v>
      </c>
      <c r="H727">
        <v>286084.12580113276</v>
      </c>
      <c r="I727">
        <v>36.539186967844088</v>
      </c>
    </row>
    <row r="728" spans="1:9" x14ac:dyDescent="0.2">
      <c r="A728">
        <v>723</v>
      </c>
      <c r="B728">
        <v>1327079.1987155294</v>
      </c>
      <c r="C728">
        <v>112800.39765171231</v>
      </c>
      <c r="D728">
        <v>53559.584584257747</v>
      </c>
      <c r="E728">
        <v>162055.60711045447</v>
      </c>
      <c r="F728">
        <v>47219.234338416078</v>
      </c>
      <c r="G728">
        <v>10000</v>
      </c>
      <c r="H728">
        <v>365634.82368484064</v>
      </c>
      <c r="I728">
        <v>32.375355919440082</v>
      </c>
    </row>
    <row r="729" spans="1:9" x14ac:dyDescent="0.2">
      <c r="A729">
        <v>724</v>
      </c>
      <c r="B729">
        <v>1085674.3150195319</v>
      </c>
      <c r="C729">
        <v>90123.107662848619</v>
      </c>
      <c r="D729">
        <v>60954.867798086627</v>
      </c>
      <c r="E729">
        <v>114471.71287504873</v>
      </c>
      <c r="F729">
        <v>43924.964737503375</v>
      </c>
      <c r="G729">
        <v>10000</v>
      </c>
      <c r="H729">
        <v>299474.65307348734</v>
      </c>
      <c r="I729">
        <v>39.595653851471489</v>
      </c>
    </row>
    <row r="730" spans="1:9" x14ac:dyDescent="0.2">
      <c r="A730">
        <v>725</v>
      </c>
      <c r="B730">
        <v>1551520.5076747388</v>
      </c>
      <c r="C730">
        <v>105805.03404484851</v>
      </c>
      <c r="D730">
        <v>106437.83689503204</v>
      </c>
      <c r="E730">
        <v>176671.90182403792</v>
      </c>
      <c r="F730">
        <v>48231.131664741086</v>
      </c>
      <c r="G730">
        <v>10000</v>
      </c>
      <c r="H730">
        <v>427145.90442865959</v>
      </c>
      <c r="I730">
        <v>40.020310184763744</v>
      </c>
    </row>
    <row r="731" spans="1:9" x14ac:dyDescent="0.2">
      <c r="A731">
        <v>726</v>
      </c>
      <c r="B731">
        <v>1829249.1324109563</v>
      </c>
      <c r="C731">
        <v>138989.69885969898</v>
      </c>
      <c r="D731">
        <v>123395.54031119758</v>
      </c>
      <c r="E731">
        <v>200963.00920265986</v>
      </c>
      <c r="F731">
        <v>49912.823714030295</v>
      </c>
      <c r="G731">
        <v>10000</v>
      </c>
      <c r="H731">
        <v>503261.07208758674</v>
      </c>
      <c r="I731">
        <v>48.959519019004155</v>
      </c>
    </row>
    <row r="732" spans="1:9" x14ac:dyDescent="0.2">
      <c r="A732">
        <v>727</v>
      </c>
      <c r="B732">
        <v>1168935.0083791898</v>
      </c>
      <c r="C732">
        <v>127283.59896409065</v>
      </c>
      <c r="D732">
        <v>94267.753272475224</v>
      </c>
      <c r="E732">
        <v>69902.575439841952</v>
      </c>
      <c r="F732">
        <v>40839.409068912137</v>
      </c>
      <c r="G732">
        <v>10000</v>
      </c>
      <c r="H732">
        <v>322293.33674532</v>
      </c>
      <c r="I732">
        <v>30.773771727759353</v>
      </c>
    </row>
    <row r="733" spans="1:9" x14ac:dyDescent="0.2">
      <c r="A733">
        <v>728</v>
      </c>
      <c r="B733">
        <v>1032610.967438957</v>
      </c>
      <c r="C733">
        <v>139094.37770669159</v>
      </c>
      <c r="D733">
        <v>32071.750913390144</v>
      </c>
      <c r="E733">
        <v>82083.140031124422</v>
      </c>
      <c r="F733">
        <v>41682.678925231688</v>
      </c>
      <c r="G733">
        <v>10000</v>
      </c>
      <c r="H733">
        <v>284931.94757643784</v>
      </c>
      <c r="I733">
        <v>40.775165221412564</v>
      </c>
    </row>
    <row r="734" spans="1:9" x14ac:dyDescent="0.2">
      <c r="A734">
        <v>729</v>
      </c>
      <c r="B734">
        <v>864864.25414249406</v>
      </c>
      <c r="C734">
        <v>106497.17945463737</v>
      </c>
      <c r="D734">
        <v>58615.123237793501</v>
      </c>
      <c r="E734">
        <v>44748.488462765177</v>
      </c>
      <c r="F734">
        <v>39097.972278191432</v>
      </c>
      <c r="G734">
        <v>10000</v>
      </c>
      <c r="H734">
        <v>238958.7634333875</v>
      </c>
      <c r="I734">
        <v>38.115066169823436</v>
      </c>
    </row>
    <row r="735" spans="1:9" x14ac:dyDescent="0.2">
      <c r="A735">
        <v>730</v>
      </c>
      <c r="B735">
        <v>1063493.770057644</v>
      </c>
      <c r="C735">
        <v>120054.94614019642</v>
      </c>
      <c r="D735">
        <v>75940.889015375549</v>
      </c>
      <c r="E735">
        <v>66776.930739575284</v>
      </c>
      <c r="F735">
        <v>40623.018281970602</v>
      </c>
      <c r="G735">
        <v>10000</v>
      </c>
      <c r="H735">
        <v>293395.78417711786</v>
      </c>
      <c r="I735">
        <v>39.573992768449131</v>
      </c>
    </row>
    <row r="736" spans="1:9" x14ac:dyDescent="0.2">
      <c r="A736">
        <v>731</v>
      </c>
      <c r="B736">
        <v>1965160.338652553</v>
      </c>
      <c r="C736">
        <v>130101.9611656936</v>
      </c>
      <c r="D736">
        <v>171154.28245631975</v>
      </c>
      <c r="E736">
        <v>199445.32182783066</v>
      </c>
      <c r="F736">
        <v>49807.753049619045</v>
      </c>
      <c r="G736">
        <v>10000</v>
      </c>
      <c r="H736">
        <v>540509.31849946303</v>
      </c>
      <c r="I736">
        <v>32.981479684914888</v>
      </c>
    </row>
    <row r="737" spans="1:9" x14ac:dyDescent="0.2">
      <c r="A737">
        <v>732</v>
      </c>
      <c r="B737">
        <v>1518318.3477362143</v>
      </c>
      <c r="C737">
        <v>108603.33311914271</v>
      </c>
      <c r="D737">
        <v>65939.85227838374</v>
      </c>
      <c r="E737">
        <v>203420.2890845318</v>
      </c>
      <c r="F737">
        <v>50082.943090467583</v>
      </c>
      <c r="G737">
        <v>10000</v>
      </c>
      <c r="H737">
        <v>418046.41757252585</v>
      </c>
      <c r="I737">
        <v>27.161803719206027</v>
      </c>
    </row>
    <row r="738" spans="1:9" x14ac:dyDescent="0.2">
      <c r="A738">
        <v>733</v>
      </c>
      <c r="B738">
        <v>983963.14313825406</v>
      </c>
      <c r="C738">
        <v>116509.25516339863</v>
      </c>
      <c r="D738">
        <v>68785.877537958717</v>
      </c>
      <c r="E738">
        <v>56399.650205089711</v>
      </c>
      <c r="F738">
        <v>39904.591168044673</v>
      </c>
      <c r="G738">
        <v>10000</v>
      </c>
      <c r="H738">
        <v>271599.37407449173</v>
      </c>
      <c r="I738">
        <v>36.528970407339429</v>
      </c>
    </row>
    <row r="739" spans="1:9" x14ac:dyDescent="0.2">
      <c r="A739">
        <v>734</v>
      </c>
      <c r="B739">
        <v>1731263.7564142218</v>
      </c>
      <c r="C739">
        <v>122739.52869856567</v>
      </c>
      <c r="D739">
        <v>153308.43134574074</v>
      </c>
      <c r="E739">
        <v>163069.50868725165</v>
      </c>
      <c r="F739">
        <v>47289.42752450204</v>
      </c>
      <c r="G739">
        <v>10000</v>
      </c>
      <c r="H739">
        <v>476406.89625606011</v>
      </c>
      <c r="I739">
        <v>25.582316457200459</v>
      </c>
    </row>
    <row r="740" spans="1:9" x14ac:dyDescent="0.2">
      <c r="A740">
        <v>735</v>
      </c>
      <c r="B740">
        <v>1019146.5843077332</v>
      </c>
      <c r="C740">
        <v>101317.24720037683</v>
      </c>
      <c r="D740">
        <v>78926.852497830143</v>
      </c>
      <c r="E740">
        <v>70141.787409568933</v>
      </c>
      <c r="F740">
        <v>40855.969897585543</v>
      </c>
      <c r="G740">
        <v>10000</v>
      </c>
      <c r="H740">
        <v>281241.85700536147</v>
      </c>
      <c r="I740">
        <v>29.223277772036614</v>
      </c>
    </row>
    <row r="741" spans="1:9" x14ac:dyDescent="0.2">
      <c r="A741">
        <v>736</v>
      </c>
      <c r="B741">
        <v>1232397.7046990418</v>
      </c>
      <c r="C741">
        <v>82630.561878730252</v>
      </c>
      <c r="D741">
        <v>107683.05681136323</v>
      </c>
      <c r="E741">
        <v>115384.35373235498</v>
      </c>
      <c r="F741">
        <v>43988.147566086118</v>
      </c>
      <c r="G741">
        <v>10000</v>
      </c>
      <c r="H741">
        <v>339686.1199885346</v>
      </c>
      <c r="I741">
        <v>42.037382119135373</v>
      </c>
    </row>
    <row r="742" spans="1:9" x14ac:dyDescent="0.2">
      <c r="A742">
        <v>737</v>
      </c>
      <c r="B742">
        <v>1579893.0164571893</v>
      </c>
      <c r="C742">
        <v>153759.66073760163</v>
      </c>
      <c r="D742">
        <v>103403.6428892853</v>
      </c>
      <c r="E742">
        <v>141932.37125295628</v>
      </c>
      <c r="F742">
        <v>45826.087240589281</v>
      </c>
      <c r="G742">
        <v>10000</v>
      </c>
      <c r="H742">
        <v>434921.76212043245</v>
      </c>
      <c r="I742">
        <v>34.818541701137519</v>
      </c>
    </row>
    <row r="743" spans="1:9" x14ac:dyDescent="0.2">
      <c r="A743">
        <v>738</v>
      </c>
      <c r="B743">
        <v>1226397.7622059388</v>
      </c>
      <c r="C743">
        <v>117322.5996511238</v>
      </c>
      <c r="D743">
        <v>58693.611822943356</v>
      </c>
      <c r="E743">
        <v>127218.13624673287</v>
      </c>
      <c r="F743">
        <v>44807.40943246612</v>
      </c>
      <c r="G743">
        <v>10000</v>
      </c>
      <c r="H743">
        <v>338041.75715326617</v>
      </c>
      <c r="I743">
        <v>46.637943489365767</v>
      </c>
    </row>
    <row r="744" spans="1:9" x14ac:dyDescent="0.2">
      <c r="A744">
        <v>739</v>
      </c>
      <c r="B744">
        <v>979359.75955540594</v>
      </c>
      <c r="C744">
        <v>78709.403123641663</v>
      </c>
      <c r="D744">
        <v>42299.265788680161</v>
      </c>
      <c r="E744">
        <v>115343.7509836383</v>
      </c>
      <c r="F744">
        <v>43985.336606559569</v>
      </c>
      <c r="G744">
        <v>10000</v>
      </c>
      <c r="H744">
        <v>270337.75650251971</v>
      </c>
      <c r="I744">
        <v>33.157888693461302</v>
      </c>
    </row>
    <row r="745" spans="1:9" x14ac:dyDescent="0.2">
      <c r="A745">
        <v>740</v>
      </c>
      <c r="B745">
        <v>940418.06747687538</v>
      </c>
      <c r="C745">
        <v>123745.85006348402</v>
      </c>
      <c r="D745">
        <v>29780.680793022148</v>
      </c>
      <c r="E745">
        <v>74949.905230209639</v>
      </c>
      <c r="F745">
        <v>41188.83959286067</v>
      </c>
      <c r="G745">
        <v>10000</v>
      </c>
      <c r="H745">
        <v>259665.2756795765</v>
      </c>
      <c r="I745">
        <v>37.175427719763491</v>
      </c>
    </row>
    <row r="746" spans="1:9" x14ac:dyDescent="0.2">
      <c r="A746">
        <v>741</v>
      </c>
      <c r="B746">
        <v>1501328.2535071154</v>
      </c>
      <c r="C746">
        <v>128697.90928330315</v>
      </c>
      <c r="D746">
        <v>123799.77822256782</v>
      </c>
      <c r="E746">
        <v>126158.3336980763</v>
      </c>
      <c r="F746">
        <v>44734.038486789897</v>
      </c>
      <c r="G746">
        <v>10000</v>
      </c>
      <c r="H746">
        <v>413390.05969073717</v>
      </c>
      <c r="I746">
        <v>27.01868249329587</v>
      </c>
    </row>
    <row r="747" spans="1:9" x14ac:dyDescent="0.2">
      <c r="A747">
        <v>742</v>
      </c>
      <c r="B747">
        <v>1243492.0199055029</v>
      </c>
      <c r="C747">
        <v>87999.068578298888</v>
      </c>
      <c r="D747">
        <v>109717.54352101291</v>
      </c>
      <c r="E747">
        <v>111304.36358926634</v>
      </c>
      <c r="F747">
        <v>43705.68671002613</v>
      </c>
      <c r="G747">
        <v>10000</v>
      </c>
      <c r="H747">
        <v>342726.66239860421</v>
      </c>
      <c r="I747">
        <v>39.472271064306362</v>
      </c>
    </row>
    <row r="748" spans="1:9" x14ac:dyDescent="0.2">
      <c r="A748">
        <v>743</v>
      </c>
      <c r="B748">
        <v>1566163.1967824316</v>
      </c>
      <c r="C748">
        <v>141046.25021497469</v>
      </c>
      <c r="D748">
        <v>113580.62661001434</v>
      </c>
      <c r="E748">
        <v>140785.36897219642</v>
      </c>
      <c r="F748">
        <v>45746.679390382829</v>
      </c>
      <c r="G748">
        <v>10000</v>
      </c>
      <c r="H748">
        <v>431158.9251875683</v>
      </c>
      <c r="I748">
        <v>34.331197433046228</v>
      </c>
    </row>
    <row r="749" spans="1:9" x14ac:dyDescent="0.2">
      <c r="A749">
        <v>744</v>
      </c>
      <c r="B749">
        <v>1255388.7975383936</v>
      </c>
      <c r="C749">
        <v>105162.79959150295</v>
      </c>
      <c r="D749">
        <v>127361.32327382309</v>
      </c>
      <c r="E749">
        <v>81799.934868997647</v>
      </c>
      <c r="F749">
        <v>41663.072414007525</v>
      </c>
      <c r="G749">
        <v>10000</v>
      </c>
      <c r="H749">
        <v>345987.13014833117</v>
      </c>
      <c r="I749">
        <v>32.834703384286939</v>
      </c>
    </row>
    <row r="750" spans="1:9" x14ac:dyDescent="0.2">
      <c r="A750">
        <v>745</v>
      </c>
      <c r="B750">
        <v>1461304.7409006206</v>
      </c>
      <c r="C750">
        <v>148439.49412508358</v>
      </c>
      <c r="D750">
        <v>102835.19144653398</v>
      </c>
      <c r="E750">
        <v>117043.40149080442</v>
      </c>
      <c r="F750">
        <v>44103.004718594151</v>
      </c>
      <c r="G750">
        <v>10000</v>
      </c>
      <c r="H750">
        <v>402421.09178101609</v>
      </c>
      <c r="I750">
        <v>52.386506280981024</v>
      </c>
    </row>
    <row r="751" spans="1:9" x14ac:dyDescent="0.2">
      <c r="A751">
        <v>746</v>
      </c>
      <c r="B751">
        <v>1155290.46415566</v>
      </c>
      <c r="C751">
        <v>113285.67539319427</v>
      </c>
      <c r="D751">
        <v>48847.167421789156</v>
      </c>
      <c r="E751">
        <v>121976.50086871152</v>
      </c>
      <c r="F751">
        <v>44444.526983218493</v>
      </c>
      <c r="G751">
        <v>10000</v>
      </c>
      <c r="H751">
        <v>318553.87066691346</v>
      </c>
      <c r="I751">
        <v>48.607554938252697</v>
      </c>
    </row>
    <row r="752" spans="1:9" x14ac:dyDescent="0.2">
      <c r="A752">
        <v>747</v>
      </c>
      <c r="B752">
        <v>753558.33065892546</v>
      </c>
      <c r="C752">
        <v>100982.90598214029</v>
      </c>
      <c r="D752">
        <v>42809.264552996945</v>
      </c>
      <c r="E752">
        <v>36158.467985309064</v>
      </c>
      <c r="F752">
        <v>38503.278552829084</v>
      </c>
      <c r="G752">
        <v>10000</v>
      </c>
      <c r="H752">
        <v>208453.9170732754</v>
      </c>
      <c r="I752">
        <v>36.006692207939722</v>
      </c>
    </row>
    <row r="753" spans="1:9" x14ac:dyDescent="0.2">
      <c r="A753">
        <v>748</v>
      </c>
      <c r="B753">
        <v>1431088.8792408404</v>
      </c>
      <c r="C753">
        <v>104575.62669765038</v>
      </c>
      <c r="D753">
        <v>171272.56710300615</v>
      </c>
      <c r="E753">
        <v>86316.114296189975</v>
      </c>
      <c r="F753">
        <v>41975.730989736228</v>
      </c>
      <c r="G753">
        <v>10000</v>
      </c>
      <c r="H753">
        <v>394140.03908658272</v>
      </c>
      <c r="I753">
        <v>26.520161866979119</v>
      </c>
    </row>
    <row r="754" spans="1:9" x14ac:dyDescent="0.2">
      <c r="A754">
        <v>749</v>
      </c>
      <c r="B754">
        <v>1341685.993961391</v>
      </c>
      <c r="C754">
        <v>141696.44904160593</v>
      </c>
      <c r="D754">
        <v>73046.909321949206</v>
      </c>
      <c r="E754">
        <v>120548.95220599091</v>
      </c>
      <c r="F754">
        <v>44345.696691183985</v>
      </c>
      <c r="G754">
        <v>10000</v>
      </c>
      <c r="H754">
        <v>369638.00726073002</v>
      </c>
      <c r="I754">
        <v>28.083020326435928</v>
      </c>
    </row>
    <row r="755" spans="1:9" x14ac:dyDescent="0.2">
      <c r="A755">
        <v>750</v>
      </c>
      <c r="B755">
        <v>1488154.6878104433</v>
      </c>
      <c r="C755">
        <v>154528.26042444195</v>
      </c>
      <c r="D755">
        <v>113344.42335787344</v>
      </c>
      <c r="E755">
        <v>108402.21867929854</v>
      </c>
      <c r="F755">
        <v>43504.7689854899</v>
      </c>
      <c r="G755">
        <v>10000</v>
      </c>
      <c r="H755">
        <v>409779.67144710384</v>
      </c>
      <c r="I755">
        <v>40.640833121040266</v>
      </c>
    </row>
    <row r="756" spans="1:9" x14ac:dyDescent="0.2">
      <c r="A756">
        <v>751</v>
      </c>
      <c r="B756">
        <v>1488962.9429965222</v>
      </c>
      <c r="C756">
        <v>76854.9424778721</v>
      </c>
      <c r="D756">
        <v>92793.142781537899</v>
      </c>
      <c r="E756">
        <v>200474.12146886214</v>
      </c>
      <c r="F756">
        <v>49878.977640151992</v>
      </c>
      <c r="G756">
        <v>10000</v>
      </c>
      <c r="H756">
        <v>410001.18436842412</v>
      </c>
      <c r="I756">
        <v>42.866968189520065</v>
      </c>
    </row>
    <row r="757" spans="1:9" x14ac:dyDescent="0.2">
      <c r="A757">
        <v>752</v>
      </c>
      <c r="B757">
        <v>1087922.3859105781</v>
      </c>
      <c r="C757">
        <v>136579.06321896974</v>
      </c>
      <c r="D757">
        <v>38418.912851356734</v>
      </c>
      <c r="E757">
        <v>92676.710332879753</v>
      </c>
      <c r="F757">
        <v>42416.079946122445</v>
      </c>
      <c r="G757">
        <v>10000</v>
      </c>
      <c r="H757">
        <v>300090.76634932862</v>
      </c>
      <c r="I757">
        <v>32.84263398596481</v>
      </c>
    </row>
    <row r="758" spans="1:9" x14ac:dyDescent="0.2">
      <c r="A758">
        <v>753</v>
      </c>
      <c r="B758">
        <v>944133.6151541851</v>
      </c>
      <c r="C758">
        <v>126346.7404762628</v>
      </c>
      <c r="D758">
        <v>66352.678786534467</v>
      </c>
      <c r="E758">
        <v>39265.752667233784</v>
      </c>
      <c r="F758">
        <v>38718.39826157772</v>
      </c>
      <c r="G758">
        <v>10000</v>
      </c>
      <c r="H758">
        <v>260683.5701916088</v>
      </c>
      <c r="I758">
        <v>36.958372249361794</v>
      </c>
    </row>
    <row r="759" spans="1:9" x14ac:dyDescent="0.2">
      <c r="A759">
        <v>754</v>
      </c>
      <c r="B759">
        <v>1372171.3607745133</v>
      </c>
      <c r="C759">
        <v>98625.312094487861</v>
      </c>
      <c r="D759">
        <v>76436.610444989827</v>
      </c>
      <c r="E759">
        <v>165475.03488005284</v>
      </c>
      <c r="F759">
        <v>47455.963953234423</v>
      </c>
      <c r="G759">
        <v>10000</v>
      </c>
      <c r="H759">
        <v>377992.92137276498</v>
      </c>
      <c r="I759">
        <v>37.545195988660154</v>
      </c>
    </row>
    <row r="760" spans="1:9" x14ac:dyDescent="0.2">
      <c r="A760">
        <v>755</v>
      </c>
      <c r="B760">
        <v>1425048.7691468727</v>
      </c>
      <c r="C760">
        <v>110288.05197965947</v>
      </c>
      <c r="D760">
        <v>60512.851734698132</v>
      </c>
      <c r="E760">
        <v>183013.59230482305</v>
      </c>
      <c r="F760">
        <v>48670.171774949289</v>
      </c>
      <c r="G760">
        <v>10000</v>
      </c>
      <c r="H760">
        <v>392484.66779412993</v>
      </c>
      <c r="I760">
        <v>30.066537830235671</v>
      </c>
    </row>
    <row r="761" spans="1:9" x14ac:dyDescent="0.2">
      <c r="A761">
        <v>756</v>
      </c>
      <c r="B761">
        <v>1205752.4386507012</v>
      </c>
      <c r="C761">
        <v>147552.3632050218</v>
      </c>
      <c r="D761">
        <v>124637.60406318537</v>
      </c>
      <c r="E761">
        <v>31979.689987881804</v>
      </c>
      <c r="F761">
        <v>38213.978537622585</v>
      </c>
      <c r="G761">
        <v>10000</v>
      </c>
      <c r="H761">
        <v>332383.63579371158</v>
      </c>
      <c r="I761">
        <v>33.045273936084328</v>
      </c>
    </row>
    <row r="762" spans="1:9" x14ac:dyDescent="0.2">
      <c r="A762">
        <v>757</v>
      </c>
      <c r="B762">
        <v>1286485.1382201621</v>
      </c>
      <c r="C762">
        <v>152885.0557682458</v>
      </c>
      <c r="D762">
        <v>79969.74324029866</v>
      </c>
      <c r="E762">
        <v>89461.221465473864</v>
      </c>
      <c r="F762">
        <v>42193.46917837896</v>
      </c>
      <c r="G762">
        <v>10000</v>
      </c>
      <c r="H762">
        <v>354509.48965239734</v>
      </c>
      <c r="I762">
        <v>39.233651780339514</v>
      </c>
    </row>
    <row r="763" spans="1:9" x14ac:dyDescent="0.2">
      <c r="A763">
        <v>758</v>
      </c>
      <c r="B763">
        <v>1363959.2397774244</v>
      </c>
      <c r="C763">
        <v>96139.08595394314</v>
      </c>
      <c r="D763">
        <v>87086.825517016172</v>
      </c>
      <c r="E763">
        <v>155734.73506503264</v>
      </c>
      <c r="F763">
        <v>46781.635504502257</v>
      </c>
      <c r="G763">
        <v>10000</v>
      </c>
      <c r="H763">
        <v>375742.2820404942</v>
      </c>
      <c r="I763">
        <v>33.912963214497921</v>
      </c>
    </row>
    <row r="764" spans="1:9" x14ac:dyDescent="0.2">
      <c r="A764">
        <v>759</v>
      </c>
      <c r="B764">
        <v>1190169.4922912943</v>
      </c>
      <c r="C764">
        <v>116629.35200823896</v>
      </c>
      <c r="D764">
        <v>90987.554453185396</v>
      </c>
      <c r="E764">
        <v>88377.571499199708</v>
      </c>
      <c r="F764">
        <v>42118.447257636901</v>
      </c>
      <c r="G764">
        <v>10000</v>
      </c>
      <c r="H764">
        <v>328112.92521826096</v>
      </c>
      <c r="I764">
        <v>24.633675114292824</v>
      </c>
    </row>
    <row r="765" spans="1:9" x14ac:dyDescent="0.2">
      <c r="A765">
        <v>760</v>
      </c>
      <c r="B765">
        <v>1070427.2820698789</v>
      </c>
      <c r="C765">
        <v>89613.327257348225</v>
      </c>
      <c r="D765">
        <v>84673.400003494811</v>
      </c>
      <c r="E765">
        <v>88857.596920558615</v>
      </c>
      <c r="F765">
        <v>42151.679786807901</v>
      </c>
      <c r="G765">
        <v>10000</v>
      </c>
      <c r="H765">
        <v>295296.00396820955</v>
      </c>
      <c r="I765">
        <v>27.009841251303193</v>
      </c>
    </row>
    <row r="766" spans="1:9" x14ac:dyDescent="0.2">
      <c r="A766">
        <v>761</v>
      </c>
      <c r="B766">
        <v>1496775.1490426734</v>
      </c>
      <c r="C766">
        <v>141249.81890194403</v>
      </c>
      <c r="D766">
        <v>93405.511085328777</v>
      </c>
      <c r="E766">
        <v>141678.38799803352</v>
      </c>
      <c r="F766">
        <v>45808.503784479239</v>
      </c>
      <c r="G766">
        <v>10000</v>
      </c>
      <c r="H766">
        <v>412142.22176978551</v>
      </c>
      <c r="I766">
        <v>36.128839487830611</v>
      </c>
    </row>
    <row r="767" spans="1:9" x14ac:dyDescent="0.2">
      <c r="A767">
        <v>762</v>
      </c>
      <c r="B767">
        <v>1303885.9659437435</v>
      </c>
      <c r="C767">
        <v>116222.40185495741</v>
      </c>
      <c r="D767">
        <v>40114.164438806278</v>
      </c>
      <c r="E767">
        <v>165485.18170890457</v>
      </c>
      <c r="F767">
        <v>47456.666426001088</v>
      </c>
      <c r="G767">
        <v>10000</v>
      </c>
      <c r="H767">
        <v>359278.41442866938</v>
      </c>
      <c r="I767">
        <v>38.473455056474307</v>
      </c>
    </row>
    <row r="768" spans="1:9" x14ac:dyDescent="0.2">
      <c r="A768">
        <v>763</v>
      </c>
      <c r="B768">
        <v>1432373.5966726295</v>
      </c>
      <c r="C768">
        <v>102325.06084970268</v>
      </c>
      <c r="D768">
        <v>108739.22880928825</v>
      </c>
      <c r="E768">
        <v>147234.67337357614</v>
      </c>
      <c r="F768">
        <v>46193.169695093733</v>
      </c>
      <c r="G768">
        <v>10000</v>
      </c>
      <c r="H768">
        <v>394492.13272766082</v>
      </c>
      <c r="I768">
        <v>36.487120099346285</v>
      </c>
    </row>
    <row r="769" spans="1:9" x14ac:dyDescent="0.2">
      <c r="A769">
        <v>764</v>
      </c>
      <c r="B769">
        <v>1175569.5680842041</v>
      </c>
      <c r="C769">
        <v>79230.206292983916</v>
      </c>
      <c r="D769">
        <v>152607.31134854211</v>
      </c>
      <c r="E769">
        <v>61982.977862398984</v>
      </c>
      <c r="F769">
        <v>40291.129236627625</v>
      </c>
      <c r="G769">
        <v>10000</v>
      </c>
      <c r="H769">
        <v>324111.62474055262</v>
      </c>
      <c r="I769">
        <v>41.94313441750316</v>
      </c>
    </row>
    <row r="770" spans="1:9" x14ac:dyDescent="0.2">
      <c r="A770">
        <v>765</v>
      </c>
      <c r="B770">
        <v>1499100.5053646849</v>
      </c>
      <c r="C770">
        <v>102748.34120198949</v>
      </c>
      <c r="D770">
        <v>142790.57501169152</v>
      </c>
      <c r="E770">
        <v>132095.52510193724</v>
      </c>
      <c r="F770">
        <v>45145.074814749496</v>
      </c>
      <c r="G770">
        <v>10000</v>
      </c>
      <c r="H770">
        <v>412779.5161303677</v>
      </c>
      <c r="I770">
        <v>35.557248174193418</v>
      </c>
    </row>
    <row r="771" spans="1:9" x14ac:dyDescent="0.2">
      <c r="A771">
        <v>766</v>
      </c>
      <c r="B771">
        <v>725754.37990083941</v>
      </c>
      <c r="C771">
        <v>97768.758627698553</v>
      </c>
      <c r="D771">
        <v>28617.496137271752</v>
      </c>
      <c r="E771">
        <v>45310.728782781545</v>
      </c>
      <c r="F771">
        <v>39136.896608038718</v>
      </c>
      <c r="G771">
        <v>10000</v>
      </c>
      <c r="H771">
        <v>200833.88015579057</v>
      </c>
      <c r="I771">
        <v>47.107125194510395</v>
      </c>
    </row>
    <row r="772" spans="1:9" x14ac:dyDescent="0.2">
      <c r="A772">
        <v>767</v>
      </c>
      <c r="B772">
        <v>1108442.0718566827</v>
      </c>
      <c r="C772">
        <v>133730.80381196254</v>
      </c>
      <c r="D772">
        <v>95835.487825704287</v>
      </c>
      <c r="E772">
        <v>46901.160050553794</v>
      </c>
      <c r="F772">
        <v>39247.003388115263</v>
      </c>
      <c r="G772">
        <v>10000</v>
      </c>
      <c r="H772">
        <v>305714.45507633587</v>
      </c>
      <c r="I772">
        <v>43.059907231902017</v>
      </c>
    </row>
    <row r="773" spans="1:9" x14ac:dyDescent="0.2">
      <c r="A773">
        <v>768</v>
      </c>
      <c r="B773">
        <v>835949.69418919145</v>
      </c>
      <c r="C773">
        <v>112056.97504993423</v>
      </c>
      <c r="D773">
        <v>57082.227391516157</v>
      </c>
      <c r="E773">
        <v>33571.000862729015</v>
      </c>
      <c r="F773">
        <v>38324.146213573549</v>
      </c>
      <c r="G773">
        <v>10000</v>
      </c>
      <c r="H773">
        <v>231034.34951775294</v>
      </c>
      <c r="I773">
        <v>49.342653280965258</v>
      </c>
    </row>
    <row r="774" spans="1:9" x14ac:dyDescent="0.2">
      <c r="A774">
        <v>769</v>
      </c>
      <c r="B774">
        <v>1377865.5334325323</v>
      </c>
      <c r="C774">
        <v>73318.673310416358</v>
      </c>
      <c r="D774">
        <v>102768.96810118617</v>
      </c>
      <c r="E774">
        <v>165975.24844466391</v>
      </c>
      <c r="F774">
        <v>47490.594123092123</v>
      </c>
      <c r="G774">
        <v>10000</v>
      </c>
      <c r="H774">
        <v>379553.48397935857</v>
      </c>
      <c r="I774">
        <v>29.029376944622321</v>
      </c>
    </row>
    <row r="775" spans="1:9" x14ac:dyDescent="0.2">
      <c r="A775">
        <v>770</v>
      </c>
      <c r="B775">
        <v>1453485.5019821785</v>
      </c>
      <c r="C775">
        <v>111122.39724056341</v>
      </c>
      <c r="D775">
        <v>122303.54941976091</v>
      </c>
      <c r="E775">
        <v>131732.25492742413</v>
      </c>
      <c r="F775">
        <v>45119.925341129368</v>
      </c>
      <c r="G775">
        <v>10000</v>
      </c>
      <c r="H775">
        <v>400278.12692887784</v>
      </c>
      <c r="I775">
        <v>38.604223185585838</v>
      </c>
    </row>
    <row r="776" spans="1:9" x14ac:dyDescent="0.2">
      <c r="A776">
        <v>771</v>
      </c>
      <c r="B776">
        <v>917054.09028996469</v>
      </c>
      <c r="C776">
        <v>105211.07770910133</v>
      </c>
      <c r="D776">
        <v>90526.040797259338</v>
      </c>
      <c r="E776">
        <v>29483.769155023023</v>
      </c>
      <c r="F776">
        <v>38041.184018424668</v>
      </c>
      <c r="G776">
        <v>10000</v>
      </c>
      <c r="H776">
        <v>253262.07167980837</v>
      </c>
      <c r="I776">
        <v>44.004922796972451</v>
      </c>
    </row>
    <row r="777" spans="1:9" x14ac:dyDescent="0.2">
      <c r="A777">
        <v>772</v>
      </c>
      <c r="B777">
        <v>1343814.3076618256</v>
      </c>
      <c r="C777">
        <v>80610.060879983605</v>
      </c>
      <c r="D777">
        <v>124374.25666430649</v>
      </c>
      <c r="E777">
        <v>130221.63780942211</v>
      </c>
      <c r="F777">
        <v>45015.344156036917</v>
      </c>
      <c r="G777">
        <v>10000</v>
      </c>
      <c r="H777">
        <v>370221.29950974911</v>
      </c>
      <c r="I777">
        <v>34.425046441697489</v>
      </c>
    </row>
    <row r="778" spans="1:9" x14ac:dyDescent="0.2">
      <c r="A778">
        <v>773</v>
      </c>
      <c r="B778">
        <v>933503.84097514453</v>
      </c>
      <c r="C778">
        <v>105472.58352570421</v>
      </c>
      <c r="D778">
        <v>70358.266176243502</v>
      </c>
      <c r="E778">
        <v>52317.510160656544</v>
      </c>
      <c r="F778">
        <v>39621.981472660838</v>
      </c>
      <c r="G778">
        <v>10000</v>
      </c>
      <c r="H778">
        <v>257770.34133526508</v>
      </c>
      <c r="I778">
        <v>35.94129511791833</v>
      </c>
    </row>
    <row r="779" spans="1:9" x14ac:dyDescent="0.2">
      <c r="A779">
        <v>774</v>
      </c>
      <c r="B779">
        <v>1103327.0360733315</v>
      </c>
      <c r="C779">
        <v>98258.73002146084</v>
      </c>
      <c r="D779">
        <v>63502.80940316066</v>
      </c>
      <c r="E779">
        <v>109004.60073344098</v>
      </c>
      <c r="F779">
        <v>43546.472358468993</v>
      </c>
      <c r="G779">
        <v>10000</v>
      </c>
      <c r="H779">
        <v>304312.61251653143</v>
      </c>
      <c r="I779">
        <v>44.788238879746359</v>
      </c>
    </row>
    <row r="780" spans="1:9" x14ac:dyDescent="0.2">
      <c r="A780">
        <v>775</v>
      </c>
      <c r="B780">
        <v>1051719.7143289393</v>
      </c>
      <c r="C780">
        <v>104522.1291507772</v>
      </c>
      <c r="D780">
        <v>105089.41464616553</v>
      </c>
      <c r="E780">
        <v>51024.91225080537</v>
      </c>
      <c r="F780">
        <v>39532.493925055758</v>
      </c>
      <c r="G780">
        <v>10000</v>
      </c>
      <c r="H780">
        <v>290168.94997280388</v>
      </c>
      <c r="I780">
        <v>40.362245605908278</v>
      </c>
    </row>
    <row r="781" spans="1:9" x14ac:dyDescent="0.2">
      <c r="A781">
        <v>776</v>
      </c>
      <c r="B781">
        <v>1117233.0431913729</v>
      </c>
      <c r="C781">
        <v>124252.08201175336</v>
      </c>
      <c r="D781">
        <v>93595.950331512548</v>
      </c>
      <c r="E781">
        <v>60113.967379684487</v>
      </c>
      <c r="F781">
        <v>40161.736203208922</v>
      </c>
      <c r="G781">
        <v>10000</v>
      </c>
      <c r="H781">
        <v>308123.73592615931</v>
      </c>
      <c r="I781">
        <v>40.427560776820158</v>
      </c>
    </row>
    <row r="782" spans="1:9" x14ac:dyDescent="0.2">
      <c r="A782">
        <v>777</v>
      </c>
      <c r="B782">
        <v>1085857.8465830453</v>
      </c>
      <c r="C782">
        <v>108167.36331744751</v>
      </c>
      <c r="D782">
        <v>53449.439954319794</v>
      </c>
      <c r="E782">
        <v>104662.29765473827</v>
      </c>
      <c r="F782">
        <v>43245.851376097264</v>
      </c>
      <c r="G782">
        <v>10000</v>
      </c>
      <c r="H782">
        <v>299524.95230260282</v>
      </c>
      <c r="I782">
        <v>44.04589716236255</v>
      </c>
    </row>
    <row r="783" spans="1:9" x14ac:dyDescent="0.2">
      <c r="A783">
        <v>778</v>
      </c>
      <c r="B783">
        <v>1341042.2931861521</v>
      </c>
      <c r="C783">
        <v>110451.95323307367</v>
      </c>
      <c r="D783">
        <v>100706.73278936611</v>
      </c>
      <c r="E783">
        <v>123736.5313607555</v>
      </c>
      <c r="F783">
        <v>44566.375248052304</v>
      </c>
      <c r="G783">
        <v>10000</v>
      </c>
      <c r="H783">
        <v>369461.59263124759</v>
      </c>
      <c r="I783">
        <v>33.651842240789421</v>
      </c>
    </row>
    <row r="784" spans="1:9" x14ac:dyDescent="0.2">
      <c r="A784">
        <v>779</v>
      </c>
      <c r="B784">
        <v>1583643.1987291742</v>
      </c>
      <c r="C784">
        <v>115600.55834750873</v>
      </c>
      <c r="D784">
        <v>121679.16189309956</v>
      </c>
      <c r="E784">
        <v>161489.76762092154</v>
      </c>
      <c r="F784">
        <v>47180.060835294564</v>
      </c>
      <c r="G784">
        <v>10000</v>
      </c>
      <c r="H784">
        <v>435949.54869682435</v>
      </c>
      <c r="I784">
        <v>45.97900484213298</v>
      </c>
    </row>
    <row r="785" spans="1:9" x14ac:dyDescent="0.2">
      <c r="A785">
        <v>780</v>
      </c>
      <c r="B785">
        <v>1094390.6536682439</v>
      </c>
      <c r="C785">
        <v>116894.22844765446</v>
      </c>
      <c r="D785">
        <v>49121.789370664548</v>
      </c>
      <c r="E785">
        <v>102735.03644006679</v>
      </c>
      <c r="F785">
        <v>43112.42559969693</v>
      </c>
      <c r="G785">
        <v>10000</v>
      </c>
      <c r="H785">
        <v>301863.47985808272</v>
      </c>
      <c r="I785">
        <v>25.845143549582872</v>
      </c>
    </row>
    <row r="786" spans="1:9" x14ac:dyDescent="0.2">
      <c r="A786">
        <v>781</v>
      </c>
      <c r="B786">
        <v>1199957.6760265871</v>
      </c>
      <c r="C786">
        <v>112087.53175125869</v>
      </c>
      <c r="D786">
        <v>149638.36577954664</v>
      </c>
      <c r="E786">
        <v>40280.928025885172</v>
      </c>
      <c r="F786">
        <v>38788.679632561281</v>
      </c>
      <c r="G786">
        <v>10000</v>
      </c>
      <c r="H786">
        <v>330795.50518925179</v>
      </c>
      <c r="I786">
        <v>43.528635768039024</v>
      </c>
    </row>
    <row r="787" spans="1:9" x14ac:dyDescent="0.2">
      <c r="A787">
        <v>782</v>
      </c>
      <c r="B787">
        <v>1144791.7800894873</v>
      </c>
      <c r="C787">
        <v>108266.08975831777</v>
      </c>
      <c r="D787">
        <v>146229.94575867633</v>
      </c>
      <c r="E787">
        <v>32902.657002197229</v>
      </c>
      <c r="F787">
        <v>38277.876253998264</v>
      </c>
      <c r="G787">
        <v>10000</v>
      </c>
      <c r="H787">
        <v>315676.56877318956</v>
      </c>
      <c r="I787">
        <v>51.974199952785121</v>
      </c>
    </row>
    <row r="788" spans="1:9" x14ac:dyDescent="0.2">
      <c r="A788">
        <v>783</v>
      </c>
      <c r="B788">
        <v>1016996.8527979434</v>
      </c>
      <c r="C788">
        <v>107194.64356113313</v>
      </c>
      <c r="D788">
        <v>57138.165309869662</v>
      </c>
      <c r="E788">
        <v>84471.835877961043</v>
      </c>
      <c r="F788">
        <v>41848.050176166529</v>
      </c>
      <c r="G788">
        <v>10000</v>
      </c>
      <c r="H788">
        <v>280652.69492513034</v>
      </c>
      <c r="I788">
        <v>37.094366735153145</v>
      </c>
    </row>
    <row r="789" spans="1:9" x14ac:dyDescent="0.2">
      <c r="A789">
        <v>784</v>
      </c>
      <c r="B789">
        <v>1281673.0913710017</v>
      </c>
      <c r="C789">
        <v>95008.115329192326</v>
      </c>
      <c r="D789">
        <v>102945.7756048564</v>
      </c>
      <c r="E789">
        <v>120868.94425782148</v>
      </c>
      <c r="F789">
        <v>44367.84998707995</v>
      </c>
      <c r="G789">
        <v>10000</v>
      </c>
      <c r="H789">
        <v>353190.6851789502</v>
      </c>
      <c r="I789">
        <v>38.031996813974288</v>
      </c>
    </row>
    <row r="790" spans="1:9" x14ac:dyDescent="0.2">
      <c r="A790">
        <v>785</v>
      </c>
      <c r="B790">
        <v>1483932.3527494401</v>
      </c>
      <c r="C790">
        <v>93171.402728117813</v>
      </c>
      <c r="D790">
        <v>106052.64910519603</v>
      </c>
      <c r="E790">
        <v>171523.71467259491</v>
      </c>
      <c r="F790">
        <v>47874.718708102722</v>
      </c>
      <c r="G790">
        <v>10000</v>
      </c>
      <c r="H790">
        <v>408622.48521401145</v>
      </c>
      <c r="I790">
        <v>40.821942275783854</v>
      </c>
    </row>
    <row r="791" spans="1:9" x14ac:dyDescent="0.2">
      <c r="A791">
        <v>786</v>
      </c>
      <c r="B791">
        <v>1086735.2463015546</v>
      </c>
      <c r="C791">
        <v>124534.34627688074</v>
      </c>
      <c r="D791">
        <v>98431.782246860574</v>
      </c>
      <c r="E791">
        <v>47510.124219101315</v>
      </c>
      <c r="F791">
        <v>39289.162445937785</v>
      </c>
      <c r="G791">
        <v>10000</v>
      </c>
      <c r="H791">
        <v>299765.41518878046</v>
      </c>
      <c r="I791">
        <v>40.014759086154733</v>
      </c>
    </row>
    <row r="792" spans="1:9" x14ac:dyDescent="0.2">
      <c r="A792">
        <v>787</v>
      </c>
      <c r="B792">
        <v>1170826.8038929277</v>
      </c>
      <c r="C792">
        <v>133059.88273686255</v>
      </c>
      <c r="D792">
        <v>86202.868446488908</v>
      </c>
      <c r="E792">
        <v>72527.894945907698</v>
      </c>
      <c r="F792">
        <v>41021.161957793607</v>
      </c>
      <c r="G792">
        <v>10000</v>
      </c>
      <c r="H792">
        <v>322811.80808705278</v>
      </c>
      <c r="I792">
        <v>37.418094958349172</v>
      </c>
    </row>
    <row r="793" spans="1:9" x14ac:dyDescent="0.2">
      <c r="A793">
        <v>788</v>
      </c>
      <c r="B793">
        <v>1533738.7608774635</v>
      </c>
      <c r="C793">
        <v>147247.69463370909</v>
      </c>
      <c r="D793">
        <v>94858.696672710488</v>
      </c>
      <c r="E793">
        <v>144184.2087980322</v>
      </c>
      <c r="F793">
        <v>45981.983686017615</v>
      </c>
      <c r="G793">
        <v>10000</v>
      </c>
      <c r="H793">
        <v>422272.58379046939</v>
      </c>
      <c r="I793">
        <v>50.098599335493105</v>
      </c>
    </row>
    <row r="794" spans="1:9" x14ac:dyDescent="0.2">
      <c r="A794">
        <v>789</v>
      </c>
      <c r="B794">
        <v>1814537.7184259566</v>
      </c>
      <c r="C794">
        <v>121603.83405503505</v>
      </c>
      <c r="D794">
        <v>135813.42203605323</v>
      </c>
      <c r="E794">
        <v>201838.52400728851</v>
      </c>
      <c r="F794">
        <v>49973.436277427667</v>
      </c>
      <c r="G794">
        <v>10000</v>
      </c>
      <c r="H794">
        <v>499229.21637580445</v>
      </c>
      <c r="I794">
        <v>34.879652585628932</v>
      </c>
    </row>
    <row r="795" spans="1:9" x14ac:dyDescent="0.2">
      <c r="A795">
        <v>790</v>
      </c>
      <c r="B795">
        <v>1507117.8352968635</v>
      </c>
      <c r="C795">
        <v>146505.87665781582</v>
      </c>
      <c r="D795">
        <v>84099.34608169795</v>
      </c>
      <c r="E795">
        <v>148117.27480878262</v>
      </c>
      <c r="F795">
        <v>46254.272871377259</v>
      </c>
      <c r="G795">
        <v>10000</v>
      </c>
      <c r="H795">
        <v>414976.77041967364</v>
      </c>
      <c r="I795">
        <v>40.378828484590542</v>
      </c>
    </row>
    <row r="796" spans="1:9" x14ac:dyDescent="0.2">
      <c r="A796">
        <v>791</v>
      </c>
      <c r="B796">
        <v>1572865.3184332442</v>
      </c>
      <c r="C796">
        <v>168828.29725854535</v>
      </c>
      <c r="D796">
        <v>96371.922428669219</v>
      </c>
      <c r="E796">
        <v>132614.50550460446</v>
      </c>
      <c r="F796">
        <v>45181.00422724185</v>
      </c>
      <c r="G796">
        <v>10000</v>
      </c>
      <c r="H796">
        <v>432995.72941906087</v>
      </c>
      <c r="I796">
        <v>34.351759044782462</v>
      </c>
    </row>
    <row r="797" spans="1:9" x14ac:dyDescent="0.2">
      <c r="A797">
        <v>792</v>
      </c>
      <c r="B797">
        <v>1538603.9295495288</v>
      </c>
      <c r="C797">
        <v>102903.11760722392</v>
      </c>
      <c r="D797">
        <v>135997.05442153238</v>
      </c>
      <c r="E797">
        <v>148429.86147954082</v>
      </c>
      <c r="F797">
        <v>46275.913487045131</v>
      </c>
      <c r="G797">
        <v>10000</v>
      </c>
      <c r="H797">
        <v>423605.94699534227</v>
      </c>
      <c r="I797">
        <v>34.581925078235287</v>
      </c>
    </row>
    <row r="798" spans="1:9" x14ac:dyDescent="0.2">
      <c r="A798">
        <v>793</v>
      </c>
      <c r="B798">
        <v>1430423.5205182871</v>
      </c>
      <c r="C798">
        <v>123118.64512398939</v>
      </c>
      <c r="D798">
        <v>66217.042460760378</v>
      </c>
      <c r="E798">
        <v>167056.5479112523</v>
      </c>
      <c r="F798">
        <v>47565.453316932857</v>
      </c>
      <c r="G798">
        <v>10000</v>
      </c>
      <c r="H798">
        <v>393957.68881293491</v>
      </c>
      <c r="I798">
        <v>31.813019463921986</v>
      </c>
    </row>
    <row r="799" spans="1:9" x14ac:dyDescent="0.2">
      <c r="A799">
        <v>794</v>
      </c>
      <c r="B799">
        <v>1769385.1485960986</v>
      </c>
      <c r="C799">
        <v>142661.28364421421</v>
      </c>
      <c r="D799">
        <v>125283.68266937611</v>
      </c>
      <c r="E799">
        <v>180419.0473981275</v>
      </c>
      <c r="F799">
        <v>48490.549435254979</v>
      </c>
      <c r="G799">
        <v>10000</v>
      </c>
      <c r="H799">
        <v>486854.5631469728</v>
      </c>
      <c r="I799">
        <v>44.736233048793622</v>
      </c>
    </row>
    <row r="800" spans="1:9" x14ac:dyDescent="0.2">
      <c r="A800">
        <v>795</v>
      </c>
      <c r="B800">
        <v>1344654.3728613723</v>
      </c>
      <c r="C800">
        <v>93925.859721504108</v>
      </c>
      <c r="D800">
        <v>119962.96949405495</v>
      </c>
      <c r="E800">
        <v>122109.00109086839</v>
      </c>
      <c r="F800">
        <v>44453.700075521658</v>
      </c>
      <c r="G800">
        <v>10000</v>
      </c>
      <c r="H800">
        <v>370451.53038194909</v>
      </c>
      <c r="I800">
        <v>54.10449499385647</v>
      </c>
    </row>
    <row r="801" spans="1:9" x14ac:dyDescent="0.2">
      <c r="A801">
        <v>796</v>
      </c>
      <c r="B801">
        <v>1874535.3055506521</v>
      </c>
      <c r="C801">
        <v>143620.56777939253</v>
      </c>
      <c r="D801">
        <v>131270.38565957348</v>
      </c>
      <c r="E801">
        <v>200874.67906403603</v>
      </c>
      <c r="F801">
        <v>49906.708550587115</v>
      </c>
      <c r="G801">
        <v>10000</v>
      </c>
      <c r="H801">
        <v>515672.34105358913</v>
      </c>
      <c r="I801">
        <v>45.179332746894644</v>
      </c>
    </row>
    <row r="802" spans="1:9" x14ac:dyDescent="0.2">
      <c r="A802">
        <v>797</v>
      </c>
      <c r="B802">
        <v>1406130.8482915298</v>
      </c>
      <c r="C802">
        <v>160532.16607962432</v>
      </c>
      <c r="D802">
        <v>71863.613272657312</v>
      </c>
      <c r="E802">
        <v>120557.87032082812</v>
      </c>
      <c r="F802">
        <v>44346.314099134252</v>
      </c>
      <c r="G802">
        <v>10000</v>
      </c>
      <c r="H802">
        <v>387299.96377224399</v>
      </c>
      <c r="I802">
        <v>28.017007989373344</v>
      </c>
    </row>
    <row r="803" spans="1:9" x14ac:dyDescent="0.2">
      <c r="A803">
        <v>798</v>
      </c>
      <c r="B803">
        <v>1348873.0904747765</v>
      </c>
      <c r="C803">
        <v>142168.2768024329</v>
      </c>
      <c r="D803">
        <v>33970.938585186523</v>
      </c>
      <c r="E803">
        <v>158495.72860725035</v>
      </c>
      <c r="F803">
        <v>46972.781211271176</v>
      </c>
      <c r="G803">
        <v>10000</v>
      </c>
      <c r="H803">
        <v>371607.72520614095</v>
      </c>
      <c r="I803">
        <v>34.931207844747576</v>
      </c>
    </row>
    <row r="804" spans="1:9" x14ac:dyDescent="0.2">
      <c r="A804">
        <v>799</v>
      </c>
      <c r="B804">
        <v>981594.56990581565</v>
      </c>
      <c r="C804">
        <v>93574.985789317798</v>
      </c>
      <c r="D804">
        <v>93852.517437281946</v>
      </c>
      <c r="E804">
        <v>53798.238866881227</v>
      </c>
      <c r="F804">
        <v>39724.493460014848</v>
      </c>
      <c r="G804">
        <v>10000</v>
      </c>
      <c r="H804">
        <v>270950.23555349582</v>
      </c>
      <c r="I804">
        <v>52.293225250281935</v>
      </c>
    </row>
    <row r="805" spans="1:9" x14ac:dyDescent="0.2">
      <c r="A805">
        <v>800</v>
      </c>
      <c r="B805">
        <v>880067.26487901178</v>
      </c>
      <c r="C805">
        <v>82117.220210811807</v>
      </c>
      <c r="D805">
        <v>57866.305172644366</v>
      </c>
      <c r="E805">
        <v>72147.028041979225</v>
      </c>
      <c r="F805">
        <v>40994.794249060098</v>
      </c>
      <c r="G805">
        <v>10000</v>
      </c>
      <c r="H805">
        <v>243125.34767449548</v>
      </c>
      <c r="I805">
        <v>48.36205438206818</v>
      </c>
    </row>
    <row r="806" spans="1:9" x14ac:dyDescent="0.2">
      <c r="A806">
        <v>801</v>
      </c>
      <c r="B806">
        <v>1165490.5918727501</v>
      </c>
      <c r="C806">
        <v>101578.55211622868</v>
      </c>
      <c r="D806">
        <v>127808.53895066827</v>
      </c>
      <c r="E806">
        <v>61691.320633103882</v>
      </c>
      <c r="F806">
        <v>40270.937582291808</v>
      </c>
      <c r="G806">
        <v>10000</v>
      </c>
      <c r="H806">
        <v>321349.34928229265</v>
      </c>
      <c r="I806">
        <v>43.362965014933849</v>
      </c>
    </row>
    <row r="807" spans="1:9" x14ac:dyDescent="0.2">
      <c r="A807">
        <v>802</v>
      </c>
      <c r="B807">
        <v>1258126.702027597</v>
      </c>
      <c r="C807">
        <v>152127.56997195908</v>
      </c>
      <c r="D807">
        <v>136800.14073910017</v>
      </c>
      <c r="E807">
        <v>29750.152111736486</v>
      </c>
      <c r="F807">
        <v>38059.625915427911</v>
      </c>
      <c r="G807">
        <v>10000</v>
      </c>
      <c r="H807">
        <v>346737.48873822368</v>
      </c>
      <c r="I807">
        <v>39.19752142640624</v>
      </c>
    </row>
    <row r="808" spans="1:9" x14ac:dyDescent="0.2">
      <c r="A808">
        <v>803</v>
      </c>
      <c r="B808">
        <v>1212551.8851529192</v>
      </c>
      <c r="C808">
        <v>103593.93544300129</v>
      </c>
      <c r="D808">
        <v>97155.311554049869</v>
      </c>
      <c r="E808">
        <v>100537.57268499161</v>
      </c>
      <c r="F808">
        <v>42960.293493576341</v>
      </c>
      <c r="G808">
        <v>10000</v>
      </c>
      <c r="H808">
        <v>334247.11317561916</v>
      </c>
      <c r="I808">
        <v>41.241398546572924</v>
      </c>
    </row>
    <row r="809" spans="1:9" x14ac:dyDescent="0.2">
      <c r="A809">
        <v>804</v>
      </c>
      <c r="B809">
        <v>1396054.2636259675</v>
      </c>
      <c r="C809">
        <v>119318.33059170262</v>
      </c>
      <c r="D809">
        <v>78067.260273750304</v>
      </c>
      <c r="E809">
        <v>150718.40197691604</v>
      </c>
      <c r="F809">
        <v>46434.350906094194</v>
      </c>
      <c r="G809">
        <v>10000</v>
      </c>
      <c r="H809">
        <v>384538.34374846314</v>
      </c>
      <c r="I809">
        <v>26.614450375767689</v>
      </c>
    </row>
    <row r="810" spans="1:9" x14ac:dyDescent="0.2">
      <c r="A810">
        <v>805</v>
      </c>
      <c r="B810">
        <v>932691.95246617601</v>
      </c>
      <c r="C810">
        <v>107504.71868879534</v>
      </c>
      <c r="D810">
        <v>52667.324134861876</v>
      </c>
      <c r="E810">
        <v>66754.335812749909</v>
      </c>
      <c r="F810">
        <v>40621.454017805758</v>
      </c>
      <c r="G810">
        <v>10000</v>
      </c>
      <c r="H810">
        <v>257547.83265421289</v>
      </c>
      <c r="I810">
        <v>28.502179613018736</v>
      </c>
    </row>
    <row r="811" spans="1:9" x14ac:dyDescent="0.2">
      <c r="A811">
        <v>806</v>
      </c>
      <c r="B811">
        <v>1552738.728813763</v>
      </c>
      <c r="C811">
        <v>108231.90476623134</v>
      </c>
      <c r="D811">
        <v>160793.18007032707</v>
      </c>
      <c r="E811">
        <v>123878.48616476255</v>
      </c>
      <c r="F811">
        <v>44576.202888329717</v>
      </c>
      <c r="G811">
        <v>10000</v>
      </c>
      <c r="H811">
        <v>427479.77388965071</v>
      </c>
      <c r="I811">
        <v>35.461244649719703</v>
      </c>
    </row>
    <row r="812" spans="1:9" x14ac:dyDescent="0.2">
      <c r="A812">
        <v>807</v>
      </c>
      <c r="B812">
        <v>1393759.1030449998</v>
      </c>
      <c r="C812">
        <v>151336.0529911776</v>
      </c>
      <c r="D812">
        <v>81211.982084454416</v>
      </c>
      <c r="E812">
        <v>117244.37180274269</v>
      </c>
      <c r="F812">
        <v>44116.918047882187</v>
      </c>
      <c r="G812">
        <v>10000</v>
      </c>
      <c r="H812">
        <v>383909.3249262569</v>
      </c>
      <c r="I812">
        <v>36.571622281962163</v>
      </c>
    </row>
    <row r="813" spans="1:9" x14ac:dyDescent="0.2">
      <c r="A813">
        <v>808</v>
      </c>
      <c r="B813">
        <v>1307221.7398772631</v>
      </c>
      <c r="C813">
        <v>144798.93358444207</v>
      </c>
      <c r="D813">
        <v>62218.763368641841</v>
      </c>
      <c r="E813">
        <v>118940.58203156215</v>
      </c>
      <c r="F813">
        <v>44234.347986800458</v>
      </c>
      <c r="G813">
        <v>10000</v>
      </c>
      <c r="H813">
        <v>360192.62697144656</v>
      </c>
      <c r="I813">
        <v>30.859026561649973</v>
      </c>
    </row>
    <row r="814" spans="1:9" x14ac:dyDescent="0.2">
      <c r="A814">
        <v>809</v>
      </c>
      <c r="B814">
        <v>1176995.0853366288</v>
      </c>
      <c r="C814">
        <v>87883.880780262058</v>
      </c>
      <c r="D814">
        <v>56693.352583262007</v>
      </c>
      <c r="E814">
        <v>143958.70141678411</v>
      </c>
      <c r="F814">
        <v>45966.371636546588</v>
      </c>
      <c r="G814">
        <v>10000</v>
      </c>
      <c r="H814">
        <v>324502.30641685473</v>
      </c>
      <c r="I814">
        <v>43.885759320137318</v>
      </c>
    </row>
    <row r="815" spans="1:9" x14ac:dyDescent="0.2">
      <c r="A815">
        <v>810</v>
      </c>
      <c r="B815">
        <v>1387294.7875998286</v>
      </c>
      <c r="C815">
        <v>81716.093524109718</v>
      </c>
      <c r="D815">
        <v>157029.66387813247</v>
      </c>
      <c r="E815">
        <v>109791.02040126188</v>
      </c>
      <c r="F815">
        <v>43600.916797010439</v>
      </c>
      <c r="G815">
        <v>10000</v>
      </c>
      <c r="H815">
        <v>382137.69460051454</v>
      </c>
      <c r="I815">
        <v>53.969979441241414</v>
      </c>
    </row>
    <row r="816" spans="1:9" x14ac:dyDescent="0.2">
      <c r="A816">
        <v>811</v>
      </c>
      <c r="B816">
        <v>846726.62178161065</v>
      </c>
      <c r="C816">
        <v>82697.497769134337</v>
      </c>
      <c r="D816">
        <v>50639.80974280183</v>
      </c>
      <c r="E816">
        <v>69817.108084542677</v>
      </c>
      <c r="F816">
        <v>40833.492098160641</v>
      </c>
      <c r="G816">
        <v>10000</v>
      </c>
      <c r="H816">
        <v>233987.90769463949</v>
      </c>
      <c r="I816">
        <v>25.379544317056208</v>
      </c>
    </row>
    <row r="817" spans="1:9" x14ac:dyDescent="0.2">
      <c r="A817">
        <v>812</v>
      </c>
      <c r="B817">
        <v>1260184.1576226815</v>
      </c>
      <c r="C817">
        <v>114479.30508802582</v>
      </c>
      <c r="D817">
        <v>85821.186523870347</v>
      </c>
      <c r="E817">
        <v>113166.28109237349</v>
      </c>
      <c r="F817">
        <v>43834.588691010467</v>
      </c>
      <c r="G817">
        <v>10000</v>
      </c>
      <c r="H817">
        <v>347301.36139528017</v>
      </c>
      <c r="I817">
        <v>34.790789859747143</v>
      </c>
    </row>
    <row r="818" spans="1:9" x14ac:dyDescent="0.2">
      <c r="A818">
        <v>813</v>
      </c>
      <c r="B818">
        <v>1163387.8864873222</v>
      </c>
      <c r="C818">
        <v>83276.004037214399</v>
      </c>
      <c r="D818">
        <v>62313.972681370717</v>
      </c>
      <c r="E818">
        <v>139523.76128886841</v>
      </c>
      <c r="F818">
        <v>45659.33731999858</v>
      </c>
      <c r="G818">
        <v>10000</v>
      </c>
      <c r="H818">
        <v>320773.0753274521</v>
      </c>
      <c r="I818">
        <v>33.953736219109167</v>
      </c>
    </row>
    <row r="819" spans="1:9" x14ac:dyDescent="0.2">
      <c r="A819">
        <v>814</v>
      </c>
      <c r="B819">
        <v>1231953.8573493501</v>
      </c>
      <c r="C819">
        <v>127605.58294223594</v>
      </c>
      <c r="D819">
        <v>41372.38874457062</v>
      </c>
      <c r="E819">
        <v>135224.78989776497</v>
      </c>
      <c r="F819">
        <v>45361.716223691423</v>
      </c>
      <c r="G819">
        <v>10000</v>
      </c>
      <c r="H819">
        <v>339564.47780826298</v>
      </c>
      <c r="I819">
        <v>36.341742524916249</v>
      </c>
    </row>
    <row r="820" spans="1:9" x14ac:dyDescent="0.2">
      <c r="A820">
        <v>815</v>
      </c>
      <c r="B820">
        <v>1682212.1801122034</v>
      </c>
      <c r="C820">
        <v>109302.39078778292</v>
      </c>
      <c r="D820">
        <v>107871.08198559932</v>
      </c>
      <c r="E820">
        <v>205559.17654149255</v>
      </c>
      <c r="F820">
        <v>50231.019914411023</v>
      </c>
      <c r="G820">
        <v>10000</v>
      </c>
      <c r="H820">
        <v>462963.66922928579</v>
      </c>
      <c r="I820">
        <v>30.997409795125151</v>
      </c>
    </row>
    <row r="821" spans="1:9" x14ac:dyDescent="0.2">
      <c r="A821">
        <v>816</v>
      </c>
      <c r="B821">
        <v>1447860.8379766662</v>
      </c>
      <c r="C821">
        <v>89202.95680108355</v>
      </c>
      <c r="D821">
        <v>82943.14634635445</v>
      </c>
      <c r="E821">
        <v>187602.63612306063</v>
      </c>
      <c r="F821">
        <v>48987.874808519584</v>
      </c>
      <c r="G821">
        <v>10000</v>
      </c>
      <c r="H821">
        <v>398736.61407901824</v>
      </c>
      <c r="I821">
        <v>29.766678206090702</v>
      </c>
    </row>
    <row r="822" spans="1:9" x14ac:dyDescent="0.2">
      <c r="A822">
        <v>817</v>
      </c>
      <c r="B822">
        <v>1401822.6186985835</v>
      </c>
      <c r="C822">
        <v>96938.09358073998</v>
      </c>
      <c r="D822">
        <v>121534.70527791487</v>
      </c>
      <c r="E822">
        <v>132475.08604785436</v>
      </c>
      <c r="F822">
        <v>45171.352111005297</v>
      </c>
      <c r="G822">
        <v>10000</v>
      </c>
      <c r="H822">
        <v>386119.23701751448</v>
      </c>
      <c r="I822">
        <v>42.98666177820364</v>
      </c>
    </row>
    <row r="823" spans="1:9" x14ac:dyDescent="0.2">
      <c r="A823">
        <v>818</v>
      </c>
      <c r="B823">
        <v>1112043.8708590867</v>
      </c>
      <c r="C823">
        <v>127338.23354187266</v>
      </c>
      <c r="D823">
        <v>65078.652241664422</v>
      </c>
      <c r="E823">
        <v>82568.414631351829</v>
      </c>
      <c r="F823">
        <v>41716.274859093588</v>
      </c>
      <c r="G823">
        <v>10000</v>
      </c>
      <c r="H823">
        <v>306701.57527398248</v>
      </c>
      <c r="I823">
        <v>34.842338518950797</v>
      </c>
    </row>
    <row r="824" spans="1:9" x14ac:dyDescent="0.2">
      <c r="A824">
        <v>819</v>
      </c>
      <c r="B824">
        <v>1710196.4275944403</v>
      </c>
      <c r="C824">
        <v>141387.55616807198</v>
      </c>
      <c r="D824">
        <v>173828.33760333655</v>
      </c>
      <c r="E824">
        <v>121037.69249689855</v>
      </c>
      <c r="F824">
        <v>44379.532557477592</v>
      </c>
      <c r="G824">
        <v>10000</v>
      </c>
      <c r="H824">
        <v>470633.11882578465</v>
      </c>
      <c r="I824">
        <v>30.853682416327779</v>
      </c>
    </row>
    <row r="825" spans="1:9" x14ac:dyDescent="0.2">
      <c r="A825">
        <v>820</v>
      </c>
      <c r="B825">
        <v>1328665.4464573518</v>
      </c>
      <c r="C825">
        <v>111207.07560483208</v>
      </c>
      <c r="D825">
        <v>79795.021162507168</v>
      </c>
      <c r="E825">
        <v>139415.60903370014</v>
      </c>
      <c r="F825">
        <v>45651.849856179244</v>
      </c>
      <c r="G825">
        <v>10000</v>
      </c>
      <c r="H825">
        <v>366069.55565721862</v>
      </c>
      <c r="I825">
        <v>35.651518927491921</v>
      </c>
    </row>
    <row r="826" spans="1:9" x14ac:dyDescent="0.2">
      <c r="A826">
        <v>821</v>
      </c>
      <c r="B826">
        <v>1377478.3201575028</v>
      </c>
      <c r="C826">
        <v>131534.48286913687</v>
      </c>
      <c r="D826">
        <v>162259.14410028778</v>
      </c>
      <c r="E826">
        <v>55791.264015537447</v>
      </c>
      <c r="F826">
        <v>39862.472124152591</v>
      </c>
      <c r="G826">
        <v>10000</v>
      </c>
      <c r="H826">
        <v>379447.3631091147</v>
      </c>
      <c r="I826">
        <v>49.348769248177447</v>
      </c>
    </row>
    <row r="827" spans="1:9" x14ac:dyDescent="0.2">
      <c r="A827">
        <v>822</v>
      </c>
      <c r="B827">
        <v>1204042.1006428092</v>
      </c>
      <c r="C827">
        <v>108398.44207664774</v>
      </c>
      <c r="D827">
        <v>116717.30461338811</v>
      </c>
      <c r="E827">
        <v>75567.54902079262</v>
      </c>
      <c r="F827">
        <v>41231.59954759333</v>
      </c>
      <c r="G827">
        <v>10000</v>
      </c>
      <c r="H827">
        <v>331914.89525842184</v>
      </c>
      <c r="I827">
        <v>33.964944254057158</v>
      </c>
    </row>
    <row r="828" spans="1:9" x14ac:dyDescent="0.2">
      <c r="A828">
        <v>823</v>
      </c>
      <c r="B828">
        <v>1112604.7241139205</v>
      </c>
      <c r="C828">
        <v>111786.89321763326</v>
      </c>
      <c r="D828">
        <v>86895.599169719673</v>
      </c>
      <c r="E828">
        <v>76852.2515742955</v>
      </c>
      <c r="F828">
        <v>41320.540493605069</v>
      </c>
      <c r="G828">
        <v>10000</v>
      </c>
      <c r="H828">
        <v>306855.28445525351</v>
      </c>
      <c r="I828">
        <v>48.713725466587533</v>
      </c>
    </row>
    <row r="829" spans="1:9" x14ac:dyDescent="0.2">
      <c r="A829">
        <v>824</v>
      </c>
      <c r="B829">
        <v>1479480.0286082546</v>
      </c>
      <c r="C829">
        <v>101549.34987707919</v>
      </c>
      <c r="D829">
        <v>136541.35973031641</v>
      </c>
      <c r="E829">
        <v>134032.39223699662</v>
      </c>
      <c r="F829">
        <v>45279.165616407459</v>
      </c>
      <c r="G829">
        <v>10000</v>
      </c>
      <c r="H829">
        <v>407402.26746079972</v>
      </c>
      <c r="I829">
        <v>34.637563646540912</v>
      </c>
    </row>
    <row r="830" spans="1:9" x14ac:dyDescent="0.2">
      <c r="A830">
        <v>825</v>
      </c>
      <c r="B830">
        <v>1064229.014937931</v>
      </c>
      <c r="C830">
        <v>135412.74359884459</v>
      </c>
      <c r="D830">
        <v>103793.42874354031</v>
      </c>
      <c r="E830">
        <v>26552.841671206799</v>
      </c>
      <c r="F830">
        <v>37838.273654160468</v>
      </c>
      <c r="G830">
        <v>10000</v>
      </c>
      <c r="H830">
        <v>293597.28766775213</v>
      </c>
      <c r="I830">
        <v>54.038980896360712</v>
      </c>
    </row>
    <row r="831" spans="1:9" x14ac:dyDescent="0.2">
      <c r="A831">
        <v>826</v>
      </c>
      <c r="B831">
        <v>1460562.452222327</v>
      </c>
      <c r="C831">
        <v>104983.63855736745</v>
      </c>
      <c r="D831">
        <v>65187.332089204552</v>
      </c>
      <c r="E831">
        <v>192705.53479014858</v>
      </c>
      <c r="F831">
        <v>49341.152408548747</v>
      </c>
      <c r="G831">
        <v>10000</v>
      </c>
      <c r="H831">
        <v>402217.65784526931</v>
      </c>
      <c r="I831">
        <v>32.034055786983757</v>
      </c>
    </row>
    <row r="832" spans="1:9" x14ac:dyDescent="0.2">
      <c r="A832">
        <v>827</v>
      </c>
      <c r="B832">
        <v>1610078.9327584584</v>
      </c>
      <c r="C832">
        <v>144195.30165568966</v>
      </c>
      <c r="D832">
        <v>97881.555481317104</v>
      </c>
      <c r="E832">
        <v>163779.19135836305</v>
      </c>
      <c r="F832">
        <v>47338.559401732826</v>
      </c>
      <c r="G832">
        <v>10000</v>
      </c>
      <c r="H832">
        <v>443194.60789710266</v>
      </c>
      <c r="I832">
        <v>35.220534114190855</v>
      </c>
    </row>
    <row r="833" spans="1:9" x14ac:dyDescent="0.2">
      <c r="A833">
        <v>828</v>
      </c>
      <c r="B833">
        <v>1545377.2046480293</v>
      </c>
      <c r="C833">
        <v>149096.25169392265</v>
      </c>
      <c r="D833">
        <v>59435.433283879378</v>
      </c>
      <c r="E833">
        <v>178568.15598450467</v>
      </c>
      <c r="F833">
        <v>48362.410798927245</v>
      </c>
      <c r="G833">
        <v>10000</v>
      </c>
      <c r="H833">
        <v>425462.25176123396</v>
      </c>
      <c r="I833">
        <v>27.458741026448401</v>
      </c>
    </row>
    <row r="834" spans="1:9" x14ac:dyDescent="0.2">
      <c r="A834">
        <v>829</v>
      </c>
      <c r="B834">
        <v>1164068.3718677091</v>
      </c>
      <c r="C834">
        <v>124624.81799219374</v>
      </c>
      <c r="D834">
        <v>128280.01279391823</v>
      </c>
      <c r="E834">
        <v>39331.771666065091</v>
      </c>
      <c r="F834">
        <v>38722.968807650665</v>
      </c>
      <c r="G834">
        <v>10000</v>
      </c>
      <c r="H834">
        <v>320959.57125982776</v>
      </c>
      <c r="I834">
        <v>31.523279091786275</v>
      </c>
    </row>
    <row r="835" spans="1:9" x14ac:dyDescent="0.2">
      <c r="A835">
        <v>830</v>
      </c>
      <c r="B835">
        <v>963460.85461935238</v>
      </c>
      <c r="C835">
        <v>113688.29769493407</v>
      </c>
      <c r="D835">
        <v>23202.421754499039</v>
      </c>
      <c r="E835">
        <v>96414.85903462705</v>
      </c>
      <c r="F835">
        <v>42674.874856243412</v>
      </c>
      <c r="G835">
        <v>10000</v>
      </c>
      <c r="H835">
        <v>265980.45334030356</v>
      </c>
      <c r="I835">
        <v>34.447914573944587</v>
      </c>
    </row>
    <row r="836" spans="1:9" x14ac:dyDescent="0.2">
      <c r="A836">
        <v>831</v>
      </c>
      <c r="B836">
        <v>1299187.4863263611</v>
      </c>
      <c r="C836">
        <v>147855.62412320031</v>
      </c>
      <c r="D836">
        <v>120968.13786175047</v>
      </c>
      <c r="E836">
        <v>59077.024694337066</v>
      </c>
      <c r="F836">
        <v>40089.947863454101</v>
      </c>
      <c r="G836">
        <v>10000</v>
      </c>
      <c r="H836">
        <v>357990.73454274191</v>
      </c>
      <c r="I836">
        <v>39.670223105306192</v>
      </c>
    </row>
    <row r="837" spans="1:9" x14ac:dyDescent="0.2">
      <c r="A837">
        <v>832</v>
      </c>
      <c r="B837">
        <v>1415029.2349696667</v>
      </c>
      <c r="C837">
        <v>148237.23691556838</v>
      </c>
      <c r="D837">
        <v>93002.928084939907</v>
      </c>
      <c r="E837">
        <v>114566.95947089569</v>
      </c>
      <c r="F837">
        <v>43931.558732600475</v>
      </c>
      <c r="G837">
        <v>10000</v>
      </c>
      <c r="H837">
        <v>389738.68320400448</v>
      </c>
      <c r="I837">
        <v>33.89837465887468</v>
      </c>
    </row>
    <row r="838" spans="1:9" x14ac:dyDescent="0.2">
      <c r="A838">
        <v>833</v>
      </c>
      <c r="B838">
        <v>1069235.6394922812</v>
      </c>
      <c r="C838">
        <v>112147.55555246198</v>
      </c>
      <c r="D838">
        <v>104141.93135149761</v>
      </c>
      <c r="E838">
        <v>49269.000969807057</v>
      </c>
      <c r="F838">
        <v>39410.930836371263</v>
      </c>
      <c r="G838">
        <v>10000</v>
      </c>
      <c r="H838">
        <v>294969.41871013789</v>
      </c>
      <c r="I838">
        <v>52.280875018039715</v>
      </c>
    </row>
    <row r="839" spans="1:9" x14ac:dyDescent="0.2">
      <c r="A839">
        <v>834</v>
      </c>
      <c r="B839">
        <v>853573.15011446527</v>
      </c>
      <c r="C839">
        <v>86474.645993071201</v>
      </c>
      <c r="D839">
        <v>53149.207425917339</v>
      </c>
      <c r="E839">
        <v>65692.493212214657</v>
      </c>
      <c r="F839">
        <v>40547.941837768711</v>
      </c>
      <c r="G839">
        <v>10000</v>
      </c>
      <c r="H839">
        <v>235864.28846897191</v>
      </c>
      <c r="I839">
        <v>44.318824684849858</v>
      </c>
    </row>
    <row r="840" spans="1:9" x14ac:dyDescent="0.2">
      <c r="A840">
        <v>835</v>
      </c>
      <c r="B840">
        <v>1653056.4298707889</v>
      </c>
      <c r="C840">
        <v>72759.356902529864</v>
      </c>
      <c r="D840">
        <v>161532.32508272128</v>
      </c>
      <c r="E840">
        <v>182076.1968069608</v>
      </c>
      <c r="F840">
        <v>48605.275163558821</v>
      </c>
      <c r="G840">
        <v>10000</v>
      </c>
      <c r="H840">
        <v>454973.15395577077</v>
      </c>
      <c r="I840">
        <v>51.108405426291426</v>
      </c>
    </row>
    <row r="841" spans="1:9" x14ac:dyDescent="0.2">
      <c r="A841">
        <v>836</v>
      </c>
      <c r="B841">
        <v>1330894.9859859231</v>
      </c>
      <c r="C841">
        <v>94972.267204113625</v>
      </c>
      <c r="D841">
        <v>52115.288272111342</v>
      </c>
      <c r="E841">
        <v>181058.23388666264</v>
      </c>
      <c r="F841">
        <v>48534.80080753818</v>
      </c>
      <c r="G841">
        <v>10000</v>
      </c>
      <c r="H841">
        <v>366680.59017042583</v>
      </c>
      <c r="I841">
        <v>32.029932894150932</v>
      </c>
    </row>
    <row r="842" spans="1:9" x14ac:dyDescent="0.2">
      <c r="A842">
        <v>837</v>
      </c>
      <c r="B842">
        <v>1228327.9016097588</v>
      </c>
      <c r="C842">
        <v>140968.30300182808</v>
      </c>
      <c r="D842">
        <v>128315.05779366926</v>
      </c>
      <c r="E842">
        <v>40484.596581520505</v>
      </c>
      <c r="F842">
        <v>38802.779763336031</v>
      </c>
      <c r="G842">
        <v>10000</v>
      </c>
      <c r="H842">
        <v>338570.73714035389</v>
      </c>
      <c r="I842">
        <v>29.434777031568501</v>
      </c>
    </row>
    <row r="843" spans="1:9" x14ac:dyDescent="0.2">
      <c r="A843">
        <v>838</v>
      </c>
      <c r="B843">
        <v>1635639.6019471576</v>
      </c>
      <c r="C843">
        <v>124093.31163248321</v>
      </c>
      <c r="D843">
        <v>149179.06655371774</v>
      </c>
      <c r="E843">
        <v>141155.18396226439</v>
      </c>
      <c r="F843">
        <v>45772.281966618299</v>
      </c>
      <c r="G843">
        <v>10000</v>
      </c>
      <c r="H843">
        <v>450199.84411508369</v>
      </c>
      <c r="I843">
        <v>26.309765682237277</v>
      </c>
    </row>
    <row r="844" spans="1:9" x14ac:dyDescent="0.2">
      <c r="A844">
        <v>839</v>
      </c>
      <c r="B844">
        <v>1812088.9253118902</v>
      </c>
      <c r="C844">
        <v>92854.611638232425</v>
      </c>
      <c r="D844">
        <v>164189.51665718466</v>
      </c>
      <c r="E844">
        <v>201559.8226798629</v>
      </c>
      <c r="F844">
        <v>49954.141570144355</v>
      </c>
      <c r="G844">
        <v>10000</v>
      </c>
      <c r="H844">
        <v>498558.09254542436</v>
      </c>
      <c r="I844">
        <v>34.531985649400895</v>
      </c>
    </row>
    <row r="845" spans="1:9" x14ac:dyDescent="0.2">
      <c r="A845">
        <v>840</v>
      </c>
      <c r="B845">
        <v>1536139.8561225925</v>
      </c>
      <c r="C845">
        <v>133161.13299151021</v>
      </c>
      <c r="D845">
        <v>147963.87262701825</v>
      </c>
      <c r="E845">
        <v>108307.42353200667</v>
      </c>
      <c r="F845">
        <v>43498.206244523542</v>
      </c>
      <c r="G845">
        <v>10000</v>
      </c>
      <c r="H845">
        <v>422930.63539505866</v>
      </c>
      <c r="I845">
        <v>33.698800312707888</v>
      </c>
    </row>
    <row r="846" spans="1:9" x14ac:dyDescent="0.2">
      <c r="A846">
        <v>841</v>
      </c>
      <c r="B846">
        <v>876910.82233400736</v>
      </c>
      <c r="C846">
        <v>93938.684558432025</v>
      </c>
      <c r="D846">
        <v>92856.362164955004</v>
      </c>
      <c r="E846">
        <v>27557.415454539419</v>
      </c>
      <c r="F846">
        <v>37907.821069929654</v>
      </c>
      <c r="G846">
        <v>10000</v>
      </c>
      <c r="H846">
        <v>242260.2832478561</v>
      </c>
      <c r="I846">
        <v>32.600511401283384</v>
      </c>
    </row>
    <row r="847" spans="1:9" x14ac:dyDescent="0.2">
      <c r="A847">
        <v>842</v>
      </c>
      <c r="B847">
        <v>1430721.0993433632</v>
      </c>
      <c r="C847">
        <v>72325.686078399813</v>
      </c>
      <c r="D847">
        <v>139293.08137516206</v>
      </c>
      <c r="E847">
        <v>146292.53219769537</v>
      </c>
      <c r="F847">
        <v>46127.944536763527</v>
      </c>
      <c r="G847">
        <v>10000</v>
      </c>
      <c r="H847">
        <v>394039.24418802076</v>
      </c>
      <c r="I847">
        <v>25.203460685034816</v>
      </c>
    </row>
    <row r="848" spans="1:9" x14ac:dyDescent="0.2">
      <c r="A848">
        <v>843</v>
      </c>
      <c r="B848">
        <v>1351336.967974958</v>
      </c>
      <c r="C848">
        <v>128793.79152386567</v>
      </c>
      <c r="D848">
        <v>136017.30672229544</v>
      </c>
      <c r="E848">
        <v>76196.726851194675</v>
      </c>
      <c r="F848">
        <v>41275.15801277502</v>
      </c>
      <c r="G848">
        <v>10000</v>
      </c>
      <c r="H848">
        <v>372282.98311013082</v>
      </c>
      <c r="I848">
        <v>31.409531004408571</v>
      </c>
    </row>
    <row r="849" spans="1:9" x14ac:dyDescent="0.2">
      <c r="A849">
        <v>844</v>
      </c>
      <c r="B849">
        <v>1347593.3261212448</v>
      </c>
      <c r="C849">
        <v>129603.46884709885</v>
      </c>
      <c r="D849">
        <v>78634.908377851403</v>
      </c>
      <c r="E849">
        <v>128146.90311864624</v>
      </c>
      <c r="F849">
        <v>44871.708677444738</v>
      </c>
      <c r="G849">
        <v>10000</v>
      </c>
      <c r="H849">
        <v>371256.9890210412</v>
      </c>
      <c r="I849">
        <v>41.042526373600147</v>
      </c>
    </row>
    <row r="850" spans="1:9" x14ac:dyDescent="0.2">
      <c r="A850">
        <v>845</v>
      </c>
      <c r="B850">
        <v>1193574.7766164024</v>
      </c>
      <c r="C850">
        <v>144873.7012380868</v>
      </c>
      <c r="D850">
        <v>92817.811639465697</v>
      </c>
      <c r="E850">
        <v>61123.077447402291</v>
      </c>
      <c r="F850">
        <v>40231.597669435541</v>
      </c>
      <c r="G850">
        <v>10000</v>
      </c>
      <c r="H850">
        <v>329046.18799439032</v>
      </c>
      <c r="I850">
        <v>44.103068133935281</v>
      </c>
    </row>
    <row r="851" spans="1:9" x14ac:dyDescent="0.2">
      <c r="A851">
        <v>846</v>
      </c>
      <c r="B851">
        <v>1639521.1103836123</v>
      </c>
      <c r="C851">
        <v>89798.617291326329</v>
      </c>
      <c r="D851">
        <v>125824.69438716228</v>
      </c>
      <c r="E851">
        <v>196066.47760376442</v>
      </c>
      <c r="F851">
        <v>49573.833064875995</v>
      </c>
      <c r="G851">
        <v>10000</v>
      </c>
      <c r="H851">
        <v>451263.62234712898</v>
      </c>
      <c r="I851">
        <v>34.317645642939397</v>
      </c>
    </row>
    <row r="852" spans="1:9" x14ac:dyDescent="0.2">
      <c r="A852">
        <v>847</v>
      </c>
      <c r="B852">
        <v>1687948.5192996089</v>
      </c>
      <c r="C852">
        <v>100931.08058880038</v>
      </c>
      <c r="D852">
        <v>134864.16482285975</v>
      </c>
      <c r="E852">
        <v>189613.45721448516</v>
      </c>
      <c r="F852">
        <v>49127.08549946436</v>
      </c>
      <c r="G852">
        <v>10000</v>
      </c>
      <c r="H852">
        <v>464535.78812560963</v>
      </c>
      <c r="I852">
        <v>40.256322127852059</v>
      </c>
    </row>
    <row r="853" spans="1:9" x14ac:dyDescent="0.2">
      <c r="A853">
        <v>848</v>
      </c>
      <c r="B853">
        <v>1037540.0153548794</v>
      </c>
      <c r="C853">
        <v>116877.436758554</v>
      </c>
      <c r="D853">
        <v>40974.177801421989</v>
      </c>
      <c r="E853">
        <v>95798.966988743297</v>
      </c>
      <c r="F853">
        <v>42632.236176143764</v>
      </c>
      <c r="G853">
        <v>10000</v>
      </c>
      <c r="H853">
        <v>286282.81772486301</v>
      </c>
      <c r="I853">
        <v>38.272517899301882</v>
      </c>
    </row>
    <row r="854" spans="1:9" x14ac:dyDescent="0.2">
      <c r="A854">
        <v>849</v>
      </c>
      <c r="B854">
        <v>1135298.394749413</v>
      </c>
      <c r="C854">
        <v>135548.18824555402</v>
      </c>
      <c r="D854">
        <v>96478.64197063919</v>
      </c>
      <c r="E854">
        <v>51483.696066350552</v>
      </c>
      <c r="F854">
        <v>39564.255881516576</v>
      </c>
      <c r="G854">
        <v>10000</v>
      </c>
      <c r="H854">
        <v>313074.78216406034</v>
      </c>
      <c r="I854">
        <v>35.45737850158055</v>
      </c>
    </row>
    <row r="855" spans="1:9" x14ac:dyDescent="0.2">
      <c r="A855">
        <v>850</v>
      </c>
      <c r="B855">
        <v>1307917.1706408663</v>
      </c>
      <c r="C855">
        <v>122314.07625641403</v>
      </c>
      <c r="D855">
        <v>81421.215823905499</v>
      </c>
      <c r="E855">
        <v>122188.70851943261</v>
      </c>
      <c r="F855">
        <v>44459.218282114562</v>
      </c>
      <c r="G855">
        <v>10000</v>
      </c>
      <c r="H855">
        <v>360383.21888186672</v>
      </c>
      <c r="I855">
        <v>33.106696049671712</v>
      </c>
    </row>
    <row r="856" spans="1:9" x14ac:dyDescent="0.2">
      <c r="A856">
        <v>851</v>
      </c>
      <c r="B856">
        <v>848695.58936731832</v>
      </c>
      <c r="C856">
        <v>103818.84154334843</v>
      </c>
      <c r="D856">
        <v>69198.963660250287</v>
      </c>
      <c r="E856">
        <v>33210.533097119252</v>
      </c>
      <c r="F856">
        <v>38299.19075287749</v>
      </c>
      <c r="G856">
        <v>10000</v>
      </c>
      <c r="H856">
        <v>234527.52905359544</v>
      </c>
      <c r="I856">
        <v>34.672382079353419</v>
      </c>
    </row>
    <row r="857" spans="1:9" x14ac:dyDescent="0.2">
      <c r="A857">
        <v>852</v>
      </c>
      <c r="B857">
        <v>1544680.1369877448</v>
      </c>
      <c r="C857">
        <v>98069.313514297683</v>
      </c>
      <c r="D857">
        <v>138780.86494630092</v>
      </c>
      <c r="E857">
        <v>151904.56302907105</v>
      </c>
      <c r="F857">
        <v>46516.469748166455</v>
      </c>
      <c r="G857">
        <v>10000</v>
      </c>
      <c r="H857">
        <v>425271.21123783611</v>
      </c>
      <c r="I857">
        <v>27.645711839025935</v>
      </c>
    </row>
    <row r="858" spans="1:9" x14ac:dyDescent="0.2">
      <c r="A858">
        <v>853</v>
      </c>
      <c r="B858">
        <v>1279585.0219885213</v>
      </c>
      <c r="C858">
        <v>111642.97469093578</v>
      </c>
      <c r="D858">
        <v>53965.863359400064</v>
      </c>
      <c r="E858">
        <v>150584.50336024005</v>
      </c>
      <c r="F858">
        <v>46425.081001862767</v>
      </c>
      <c r="G858">
        <v>10000</v>
      </c>
      <c r="H858">
        <v>352618.42241243867</v>
      </c>
      <c r="I858">
        <v>38.373970625955721</v>
      </c>
    </row>
    <row r="859" spans="1:9" x14ac:dyDescent="0.2">
      <c r="A859">
        <v>854</v>
      </c>
      <c r="B859">
        <v>1567094.9902337072</v>
      </c>
      <c r="C859">
        <v>128584.33320887855</v>
      </c>
      <c r="D859">
        <v>147690.88623733539</v>
      </c>
      <c r="E859">
        <v>120777.5530397634</v>
      </c>
      <c r="F859">
        <v>44361.522902752855</v>
      </c>
      <c r="G859">
        <v>10000</v>
      </c>
      <c r="H859">
        <v>431414.29538873018</v>
      </c>
      <c r="I859">
        <v>35.409619192873848</v>
      </c>
    </row>
    <row r="860" spans="1:9" x14ac:dyDescent="0.2">
      <c r="A860">
        <v>855</v>
      </c>
      <c r="B860">
        <v>1094475.1890836284</v>
      </c>
      <c r="C860">
        <v>93649.577972245461</v>
      </c>
      <c r="D860">
        <v>51367.463378050517</v>
      </c>
      <c r="E860">
        <v>122396.03489888174</v>
      </c>
      <c r="F860">
        <v>44473.571646845659</v>
      </c>
      <c r="G860">
        <v>10000</v>
      </c>
      <c r="H860">
        <v>301886.64789602335</v>
      </c>
      <c r="I860">
        <v>29.754127676406839</v>
      </c>
    </row>
    <row r="861" spans="1:9" x14ac:dyDescent="0.2">
      <c r="A861">
        <v>856</v>
      </c>
      <c r="B861">
        <v>1304027.5596110057</v>
      </c>
      <c r="C861">
        <v>89478.884406243451</v>
      </c>
      <c r="D861">
        <v>154223.25022137995</v>
      </c>
      <c r="E861">
        <v>83812.669798876086</v>
      </c>
      <c r="F861">
        <v>41802.415601460656</v>
      </c>
      <c r="G861">
        <v>10000</v>
      </c>
      <c r="H861">
        <v>359317.22002796014</v>
      </c>
      <c r="I861">
        <v>37.511676214714761</v>
      </c>
    </row>
    <row r="862" spans="1:9" x14ac:dyDescent="0.2">
      <c r="A862">
        <v>857</v>
      </c>
      <c r="B862">
        <v>1449496.017151484</v>
      </c>
      <c r="C862">
        <v>128010.42176464545</v>
      </c>
      <c r="D862">
        <v>71719.772178145955</v>
      </c>
      <c r="E862">
        <v>162223.69146145321</v>
      </c>
      <c r="F862">
        <v>47230.870947331372</v>
      </c>
      <c r="G862">
        <v>10000</v>
      </c>
      <c r="H862">
        <v>399184.75635157601</v>
      </c>
      <c r="I862">
        <v>38.405565816665188</v>
      </c>
    </row>
    <row r="863" spans="1:9" x14ac:dyDescent="0.2">
      <c r="A863">
        <v>858</v>
      </c>
      <c r="B863">
        <v>1721822.2639873126</v>
      </c>
      <c r="C863">
        <v>106043.80662479074</v>
      </c>
      <c r="D863">
        <v>154648.53437861989</v>
      </c>
      <c r="E863">
        <v>175010.85449566477</v>
      </c>
      <c r="F863">
        <v>48116.136080469099</v>
      </c>
      <c r="G863">
        <v>10000</v>
      </c>
      <c r="H863">
        <v>473819.33157954452</v>
      </c>
      <c r="I863">
        <v>24.553519626753129</v>
      </c>
    </row>
    <row r="864" spans="1:9" x14ac:dyDescent="0.2">
      <c r="A864">
        <v>859</v>
      </c>
      <c r="B864">
        <v>1160869.0313571673</v>
      </c>
      <c r="C864">
        <v>139747.12294391144</v>
      </c>
      <c r="D864">
        <v>76531.658208974186</v>
      </c>
      <c r="E864">
        <v>72766.301877833233</v>
      </c>
      <c r="F864">
        <v>41037.667053080768</v>
      </c>
      <c r="G864">
        <v>10000</v>
      </c>
      <c r="H864">
        <v>320082.75008379959</v>
      </c>
      <c r="I864">
        <v>33.476247658230427</v>
      </c>
    </row>
    <row r="865" spans="1:9" x14ac:dyDescent="0.2">
      <c r="A865">
        <v>860</v>
      </c>
      <c r="B865">
        <v>1301129.6113227848</v>
      </c>
      <c r="C865">
        <v>125150.72230898276</v>
      </c>
      <c r="D865">
        <v>100551.41588507724</v>
      </c>
      <c r="E865">
        <v>99904.402509174935</v>
      </c>
      <c r="F865">
        <v>42916.458635250572</v>
      </c>
      <c r="G865">
        <v>10000</v>
      </c>
      <c r="H865">
        <v>358522.99933848553</v>
      </c>
      <c r="I865">
        <v>39.200469325188152</v>
      </c>
    </row>
    <row r="866" spans="1:9" x14ac:dyDescent="0.2">
      <c r="A866">
        <v>861</v>
      </c>
      <c r="B866">
        <v>1048585.2589324908</v>
      </c>
      <c r="C866">
        <v>109996.75431664372</v>
      </c>
      <c r="D866">
        <v>84989.885514672729</v>
      </c>
      <c r="E866">
        <v>63899.462629642992</v>
      </c>
      <c r="F866">
        <v>40423.808951282976</v>
      </c>
      <c r="G866">
        <v>10000</v>
      </c>
      <c r="H866">
        <v>289309.91141224245</v>
      </c>
      <c r="I866">
        <v>28.634553065137894</v>
      </c>
    </row>
    <row r="867" spans="1:9" x14ac:dyDescent="0.2">
      <c r="A867">
        <v>862</v>
      </c>
      <c r="B867">
        <v>1418593.4541708371</v>
      </c>
      <c r="C867">
        <v>113548.56820895517</v>
      </c>
      <c r="D867">
        <v>129605.84489983496</v>
      </c>
      <c r="E867">
        <v>113690.22904523968</v>
      </c>
      <c r="F867">
        <v>43870.86201082429</v>
      </c>
      <c r="G867">
        <v>10000</v>
      </c>
      <c r="H867">
        <v>390715.50416485406</v>
      </c>
      <c r="I867">
        <v>38.177693126315106</v>
      </c>
    </row>
    <row r="868" spans="1:9" x14ac:dyDescent="0.2">
      <c r="A868">
        <v>863</v>
      </c>
      <c r="B868">
        <v>1602457.9401310212</v>
      </c>
      <c r="C868">
        <v>169254.23221446917</v>
      </c>
      <c r="D868">
        <v>47724.057433811489</v>
      </c>
      <c r="E868">
        <v>185299.27410540072</v>
      </c>
      <c r="F868">
        <v>48828.411284220048</v>
      </c>
      <c r="G868">
        <v>10000</v>
      </c>
      <c r="H868">
        <v>441105.97503790143</v>
      </c>
      <c r="I868">
        <v>34.331598152429429</v>
      </c>
    </row>
    <row r="869" spans="1:9" x14ac:dyDescent="0.2">
      <c r="A869">
        <v>864</v>
      </c>
      <c r="B869">
        <v>1152417.8924263753</v>
      </c>
      <c r="C869">
        <v>84821.589232677274</v>
      </c>
      <c r="D869">
        <v>82029.348670336796</v>
      </c>
      <c r="E869">
        <v>116827.60209256194</v>
      </c>
      <c r="F869">
        <v>44088.064760254281</v>
      </c>
      <c r="G869">
        <v>10000</v>
      </c>
      <c r="H869">
        <v>317766.60475583031</v>
      </c>
      <c r="I869">
        <v>32.894281516793754</v>
      </c>
    </row>
    <row r="870" spans="1:9" x14ac:dyDescent="0.2">
      <c r="A870">
        <v>865</v>
      </c>
      <c r="B870">
        <v>1013508.5605926935</v>
      </c>
      <c r="C870">
        <v>171030.10666650563</v>
      </c>
      <c r="D870">
        <v>45232.544126098161</v>
      </c>
      <c r="E870">
        <v>35010.245717517399</v>
      </c>
      <c r="F870">
        <v>38423.786241981972</v>
      </c>
      <c r="G870">
        <v>10000</v>
      </c>
      <c r="H870">
        <v>279696.68275210314</v>
      </c>
      <c r="I870">
        <v>34.762730713842373</v>
      </c>
    </row>
    <row r="871" spans="1:9" x14ac:dyDescent="0.2">
      <c r="A871">
        <v>866</v>
      </c>
      <c r="B871">
        <v>1244390.9415914943</v>
      </c>
      <c r="C871">
        <v>141585.63020956813</v>
      </c>
      <c r="D871">
        <v>116045.4843980834</v>
      </c>
      <c r="E871">
        <v>55499.6271730316</v>
      </c>
      <c r="F871">
        <v>39842.281881209885</v>
      </c>
      <c r="G871">
        <v>10000</v>
      </c>
      <c r="H871">
        <v>342973.02366189304</v>
      </c>
      <c r="I871">
        <v>30.02273464110645</v>
      </c>
    </row>
    <row r="872" spans="1:9" x14ac:dyDescent="0.2">
      <c r="A872">
        <v>867</v>
      </c>
      <c r="B872">
        <v>1323189.6873714598</v>
      </c>
      <c r="C872">
        <v>107205.18970956549</v>
      </c>
      <c r="D872">
        <v>91284.680667464214</v>
      </c>
      <c r="E872">
        <v>131009.11964484279</v>
      </c>
      <c r="F872">
        <v>45069.862129258348</v>
      </c>
      <c r="G872">
        <v>10000</v>
      </c>
      <c r="H872">
        <v>364568.85215113085</v>
      </c>
      <c r="I872">
        <v>37.430883128991596</v>
      </c>
    </row>
    <row r="873" spans="1:9" x14ac:dyDescent="0.2">
      <c r="A873">
        <v>868</v>
      </c>
      <c r="B873">
        <v>1290709.7346416553</v>
      </c>
      <c r="C873">
        <v>147992.73506614228</v>
      </c>
      <c r="D873">
        <v>152153.14601873345</v>
      </c>
      <c r="E873">
        <v>27609.95605964174</v>
      </c>
      <c r="F873">
        <v>37911.458496436739</v>
      </c>
      <c r="G873">
        <v>10000</v>
      </c>
      <c r="H873">
        <v>355667.29564095417</v>
      </c>
      <c r="I873">
        <v>34.621604993204116</v>
      </c>
    </row>
    <row r="874" spans="1:9" x14ac:dyDescent="0.2">
      <c r="A874">
        <v>869</v>
      </c>
      <c r="B874">
        <v>978317.49353775673</v>
      </c>
      <c r="C874">
        <v>147072.01199403559</v>
      </c>
      <c r="D874">
        <v>51495.424994046909</v>
      </c>
      <c r="E874">
        <v>42539.62209867029</v>
      </c>
      <c r="F874">
        <v>38945.050760677172</v>
      </c>
      <c r="G874">
        <v>10000</v>
      </c>
      <c r="H874">
        <v>270052.10984742997</v>
      </c>
      <c r="I874">
        <v>25.442908311833172</v>
      </c>
    </row>
    <row r="875" spans="1:9" x14ac:dyDescent="0.2">
      <c r="A875">
        <v>870</v>
      </c>
      <c r="B875">
        <v>1243538.3285402283</v>
      </c>
      <c r="C875">
        <v>156351.48578457598</v>
      </c>
      <c r="D875">
        <v>104577.616783379</v>
      </c>
      <c r="E875">
        <v>52196.637923876391</v>
      </c>
      <c r="F875">
        <v>39613.613394729902</v>
      </c>
      <c r="G875">
        <v>10000</v>
      </c>
      <c r="H875">
        <v>342739.35388656129</v>
      </c>
      <c r="I875">
        <v>26.936725296071273</v>
      </c>
    </row>
    <row r="876" spans="1:9" x14ac:dyDescent="0.2">
      <c r="A876">
        <v>871</v>
      </c>
      <c r="B876">
        <v>1699009.5543062743</v>
      </c>
      <c r="C876">
        <v>134816.72316516313</v>
      </c>
      <c r="D876">
        <v>98015.221459892098</v>
      </c>
      <c r="E876">
        <v>195220.0320479853</v>
      </c>
      <c r="F876">
        <v>49515.232987937445</v>
      </c>
      <c r="G876">
        <v>10000</v>
      </c>
      <c r="H876">
        <v>467567.209660978</v>
      </c>
      <c r="I876">
        <v>38.253512959088482</v>
      </c>
    </row>
    <row r="877" spans="1:9" x14ac:dyDescent="0.2">
      <c r="A877">
        <v>872</v>
      </c>
      <c r="B877">
        <v>1499965.1657454404</v>
      </c>
      <c r="C877">
        <v>109950.35648003919</v>
      </c>
      <c r="D877">
        <v>114572.97019997517</v>
      </c>
      <c r="E877">
        <v>151972.021036249</v>
      </c>
      <c r="F877">
        <v>46521.139917894165</v>
      </c>
      <c r="G877">
        <v>10000</v>
      </c>
      <c r="H877">
        <v>413016.48763415753</v>
      </c>
      <c r="I877">
        <v>37.005985050867736</v>
      </c>
    </row>
    <row r="878" spans="1:9" x14ac:dyDescent="0.2">
      <c r="A878">
        <v>873</v>
      </c>
      <c r="B878">
        <v>1662496.9789902179</v>
      </c>
      <c r="C878">
        <v>165230.08462983658</v>
      </c>
      <c r="D878">
        <v>62660.364900327761</v>
      </c>
      <c r="E878">
        <v>190482.74370450035</v>
      </c>
      <c r="F878">
        <v>49187.266871850021</v>
      </c>
      <c r="G878">
        <v>10000</v>
      </c>
      <c r="H878">
        <v>457560.46010651469</v>
      </c>
      <c r="I878">
        <v>41.070376340723691</v>
      </c>
    </row>
    <row r="879" spans="1:9" x14ac:dyDescent="0.2">
      <c r="A879">
        <v>874</v>
      </c>
      <c r="B879">
        <v>1161181.8192497338</v>
      </c>
      <c r="C879">
        <v>126411.33056589631</v>
      </c>
      <c r="D879">
        <v>71347.123337973549</v>
      </c>
      <c r="E879">
        <v>90167.644416508076</v>
      </c>
      <c r="F879">
        <v>42242.375382681326</v>
      </c>
      <c r="G879">
        <v>10000</v>
      </c>
      <c r="H879">
        <v>320168.47370305925</v>
      </c>
      <c r="I879">
        <v>41.586701740158837</v>
      </c>
    </row>
    <row r="880" spans="1:9" x14ac:dyDescent="0.2">
      <c r="A880">
        <v>875</v>
      </c>
      <c r="B880">
        <v>1155200.8527958381</v>
      </c>
      <c r="C880">
        <v>123138.56800128041</v>
      </c>
      <c r="D880">
        <v>80150.389120395484</v>
      </c>
      <c r="E880">
        <v>83462.201936476398</v>
      </c>
      <c r="F880">
        <v>41778.152441756065</v>
      </c>
      <c r="G880">
        <v>10000</v>
      </c>
      <c r="H880">
        <v>318529.31149990833</v>
      </c>
      <c r="I880">
        <v>31.457714137676088</v>
      </c>
    </row>
    <row r="881" spans="1:9" x14ac:dyDescent="0.2">
      <c r="A881">
        <v>876</v>
      </c>
      <c r="B881">
        <v>1220370.6760371106</v>
      </c>
      <c r="C881">
        <v>97806.260596609543</v>
      </c>
      <c r="D881">
        <v>32742.028150164791</v>
      </c>
      <c r="E881">
        <v>168197.24204224904</v>
      </c>
      <c r="F881">
        <v>47644.424449078782</v>
      </c>
      <c r="G881">
        <v>10000</v>
      </c>
      <c r="H881">
        <v>336389.95523810218</v>
      </c>
      <c r="I881">
        <v>55.20471304555052</v>
      </c>
    </row>
    <row r="882" spans="1:9" x14ac:dyDescent="0.2">
      <c r="A882">
        <v>877</v>
      </c>
      <c r="B882">
        <v>1513329.6525346802</v>
      </c>
      <c r="C882">
        <v>129118.76011414017</v>
      </c>
      <c r="D882">
        <v>49295.106724126621</v>
      </c>
      <c r="E882">
        <v>198521.53489614165</v>
      </c>
      <c r="F882">
        <v>49743.798569732884</v>
      </c>
      <c r="G882">
        <v>10000</v>
      </c>
      <c r="H882">
        <v>416679.20030414133</v>
      </c>
      <c r="I882">
        <v>34.891071986203187</v>
      </c>
    </row>
    <row r="883" spans="1:9" x14ac:dyDescent="0.2">
      <c r="A883">
        <v>878</v>
      </c>
      <c r="B883">
        <v>1126602.9448890854</v>
      </c>
      <c r="C883">
        <v>98911.317733080607</v>
      </c>
      <c r="D883">
        <v>81526.363520507803</v>
      </c>
      <c r="E883">
        <v>97503.740045719707</v>
      </c>
      <c r="F883">
        <v>42750.258926242132</v>
      </c>
      <c r="G883">
        <v>10000</v>
      </c>
      <c r="H883">
        <v>310691.68022555026</v>
      </c>
      <c r="I883">
        <v>35.011637179716004</v>
      </c>
    </row>
    <row r="884" spans="1:9" x14ac:dyDescent="0.2">
      <c r="A884">
        <v>879</v>
      </c>
      <c r="B884">
        <v>1740602.1082657031</v>
      </c>
      <c r="C884">
        <v>112877.20671670321</v>
      </c>
      <c r="D884">
        <v>132893.34892199488</v>
      </c>
      <c r="E884">
        <v>193780.09334427773</v>
      </c>
      <c r="F884">
        <v>49415.544923834612</v>
      </c>
      <c r="G884">
        <v>10000</v>
      </c>
      <c r="H884">
        <v>478966.19390681048</v>
      </c>
      <c r="I884">
        <v>27.847515626429661</v>
      </c>
    </row>
    <row r="885" spans="1:9" x14ac:dyDescent="0.2">
      <c r="A885">
        <v>880</v>
      </c>
      <c r="B885">
        <v>1465021.8716506325</v>
      </c>
      <c r="C885">
        <v>135630.11171498764</v>
      </c>
      <c r="D885">
        <v>62260.409035989993</v>
      </c>
      <c r="E885">
        <v>167923.80519787522</v>
      </c>
      <c r="F885">
        <v>47625.494206006748</v>
      </c>
      <c r="G885">
        <v>10000</v>
      </c>
      <c r="H885">
        <v>403439.82015485957</v>
      </c>
      <c r="I885">
        <v>33.224569526553509</v>
      </c>
    </row>
    <row r="886" spans="1:9" x14ac:dyDescent="0.2">
      <c r="A886">
        <v>881</v>
      </c>
      <c r="B886">
        <v>910219.88293866976</v>
      </c>
      <c r="C886">
        <v>113143.02704305053</v>
      </c>
      <c r="D886">
        <v>31722.667128936162</v>
      </c>
      <c r="E886">
        <v>75309.629854565792</v>
      </c>
      <c r="F886">
        <v>41213.743605316093</v>
      </c>
      <c r="G886">
        <v>10000</v>
      </c>
      <c r="H886">
        <v>251389.06763186859</v>
      </c>
      <c r="I886">
        <v>35.507868395938011</v>
      </c>
    </row>
    <row r="887" spans="1:9" x14ac:dyDescent="0.2">
      <c r="A887">
        <v>882</v>
      </c>
      <c r="B887">
        <v>984334.05294299743</v>
      </c>
      <c r="C887">
        <v>88912.947425983351</v>
      </c>
      <c r="D887">
        <v>116231.94353941063</v>
      </c>
      <c r="E887">
        <v>37930.198949402467</v>
      </c>
      <c r="F887">
        <v>38625.936850343249</v>
      </c>
      <c r="G887">
        <v>10000</v>
      </c>
      <c r="H887">
        <v>271701.02676513966</v>
      </c>
      <c r="I887">
        <v>40.135082811110593</v>
      </c>
    </row>
    <row r="888" spans="1:9" x14ac:dyDescent="0.2">
      <c r="A888">
        <v>883</v>
      </c>
      <c r="B888">
        <v>1054151.3679963378</v>
      </c>
      <c r="C888">
        <v>109973.42454866573</v>
      </c>
      <c r="D888">
        <v>69469.23401078023</v>
      </c>
      <c r="E888">
        <v>79863.693050376431</v>
      </c>
      <c r="F888">
        <v>41529.024903487603</v>
      </c>
      <c r="G888">
        <v>10000</v>
      </c>
      <c r="H888">
        <v>290835.37651331001</v>
      </c>
      <c r="I888">
        <v>33.044061996527795</v>
      </c>
    </row>
    <row r="889" spans="1:9" x14ac:dyDescent="0.2">
      <c r="A889">
        <v>884</v>
      </c>
      <c r="B889">
        <v>1305658.3989915824</v>
      </c>
      <c r="C889">
        <v>126819.85090472446</v>
      </c>
      <c r="D889">
        <v>55369.282911651011</v>
      </c>
      <c r="E889">
        <v>141760.82794150163</v>
      </c>
      <c r="F889">
        <v>45814.211165180888</v>
      </c>
      <c r="G889">
        <v>10000</v>
      </c>
      <c r="H889">
        <v>359764.17292305798</v>
      </c>
      <c r="I889">
        <v>52.589173428032439</v>
      </c>
    </row>
    <row r="890" spans="1:9" x14ac:dyDescent="0.2">
      <c r="A890">
        <v>885</v>
      </c>
      <c r="B890">
        <v>866085.79422512429</v>
      </c>
      <c r="C890">
        <v>106067.65400954879</v>
      </c>
      <c r="D890">
        <v>52305.012042304996</v>
      </c>
      <c r="E890">
        <v>51364.848471398982</v>
      </c>
      <c r="F890">
        <v>39556.027971096846</v>
      </c>
      <c r="G890">
        <v>10000</v>
      </c>
      <c r="H890">
        <v>239293.54249434965</v>
      </c>
      <c r="I890">
        <v>54.125850225369703</v>
      </c>
    </row>
    <row r="891" spans="1:9" x14ac:dyDescent="0.2">
      <c r="A891">
        <v>886</v>
      </c>
      <c r="B891">
        <v>1689529.6376696278</v>
      </c>
      <c r="C891">
        <v>141108.27532770962</v>
      </c>
      <c r="D891">
        <v>132443.32239531752</v>
      </c>
      <c r="E891">
        <v>154707.02991687378</v>
      </c>
      <c r="F891">
        <v>46710.486686552795</v>
      </c>
      <c r="G891">
        <v>10000</v>
      </c>
      <c r="H891">
        <v>464969.11432645371</v>
      </c>
      <c r="I891">
        <v>38.540339803125512</v>
      </c>
    </row>
    <row r="892" spans="1:9" x14ac:dyDescent="0.2">
      <c r="A892">
        <v>887</v>
      </c>
      <c r="B892">
        <v>1318838.9382459694</v>
      </c>
      <c r="C892">
        <v>105424.3682914777</v>
      </c>
      <c r="D892">
        <v>115884.88371655131</v>
      </c>
      <c r="E892">
        <v>108552.07658960686</v>
      </c>
      <c r="F892">
        <v>43515.14376389586</v>
      </c>
      <c r="G892">
        <v>10000</v>
      </c>
      <c r="H892">
        <v>363376.47236153175</v>
      </c>
      <c r="I892">
        <v>43.13081455843551</v>
      </c>
    </row>
    <row r="893" spans="1:9" x14ac:dyDescent="0.2">
      <c r="A893">
        <v>888</v>
      </c>
      <c r="B893">
        <v>1176637.3065380016</v>
      </c>
      <c r="C893">
        <v>91095.71206388784</v>
      </c>
      <c r="D893">
        <v>71269.494996919122</v>
      </c>
      <c r="E893">
        <v>127230.76187519621</v>
      </c>
      <c r="F893">
        <v>44808.283514436662</v>
      </c>
      <c r="G893">
        <v>10000</v>
      </c>
      <c r="H893">
        <v>324404.25245043985</v>
      </c>
      <c r="I893">
        <v>38.015971904559734</v>
      </c>
    </row>
    <row r="894" spans="1:9" x14ac:dyDescent="0.2">
      <c r="A894">
        <v>889</v>
      </c>
      <c r="B894">
        <v>1238480.8419443413</v>
      </c>
      <c r="C894">
        <v>128695.36276433949</v>
      </c>
      <c r="D894">
        <v>44842.927981101879</v>
      </c>
      <c r="E894">
        <v>132632.72697625341</v>
      </c>
      <c r="F894">
        <v>45182.26571374062</v>
      </c>
      <c r="G894">
        <v>10000</v>
      </c>
      <c r="H894">
        <v>341353.28343543538</v>
      </c>
      <c r="I894">
        <v>38.355103490273727</v>
      </c>
    </row>
    <row r="895" spans="1:9" x14ac:dyDescent="0.2">
      <c r="A895">
        <v>890</v>
      </c>
      <c r="B895">
        <v>1044410.2220005991</v>
      </c>
      <c r="C895">
        <v>148854.69718972701</v>
      </c>
      <c r="D895">
        <v>33520.691499358058</v>
      </c>
      <c r="E895">
        <v>74624.020798918224</v>
      </c>
      <c r="F895">
        <v>41166.278363002028</v>
      </c>
      <c r="G895">
        <v>10000</v>
      </c>
      <c r="H895">
        <v>288165.68785100535</v>
      </c>
      <c r="I895">
        <v>43.26658947186305</v>
      </c>
    </row>
    <row r="896" spans="1:9" x14ac:dyDescent="0.2">
      <c r="A896">
        <v>891</v>
      </c>
      <c r="B896">
        <v>1719681.4788912588</v>
      </c>
      <c r="C896">
        <v>135473.45824817434</v>
      </c>
      <c r="D896">
        <v>135289.3164346597</v>
      </c>
      <c r="E896">
        <v>165043.74151644754</v>
      </c>
      <c r="F896">
        <v>47426.105181907908</v>
      </c>
      <c r="G896">
        <v>10000</v>
      </c>
      <c r="H896">
        <v>473232.62138118944</v>
      </c>
      <c r="I896">
        <v>41.054637518229939</v>
      </c>
    </row>
    <row r="897" spans="1:9" x14ac:dyDescent="0.2">
      <c r="A897">
        <v>892</v>
      </c>
      <c r="B897">
        <v>1389491.6865236755</v>
      </c>
      <c r="C897">
        <v>123622.71509614441</v>
      </c>
      <c r="D897">
        <v>68786.265548988114</v>
      </c>
      <c r="E897">
        <v>153690.67895560016</v>
      </c>
      <c r="F897">
        <v>46640.123927695393</v>
      </c>
      <c r="G897">
        <v>10000</v>
      </c>
      <c r="H897">
        <v>382739.78352842812</v>
      </c>
      <c r="I897">
        <v>35.981507102163143</v>
      </c>
    </row>
    <row r="898" spans="1:9" x14ac:dyDescent="0.2">
      <c r="A898">
        <v>893</v>
      </c>
      <c r="B898">
        <v>1401183.0978568653</v>
      </c>
      <c r="C898">
        <v>129331.92123375041</v>
      </c>
      <c r="D898">
        <v>52069.476557114154</v>
      </c>
      <c r="E898">
        <v>166982.25986439857</v>
      </c>
      <c r="F898">
        <v>47560.310298304517</v>
      </c>
      <c r="G898">
        <v>10000</v>
      </c>
      <c r="H898">
        <v>385943.96795356768</v>
      </c>
      <c r="I898">
        <v>31.786192667971854</v>
      </c>
    </row>
    <row r="899" spans="1:9" x14ac:dyDescent="0.2">
      <c r="A899">
        <v>894</v>
      </c>
      <c r="B899">
        <v>1215981.7677823603</v>
      </c>
      <c r="C899">
        <v>138897.94658490227</v>
      </c>
      <c r="D899">
        <v>65789.468059907304</v>
      </c>
      <c r="E899">
        <v>97733.534987626263</v>
      </c>
      <c r="F899">
        <v>42766.16780683567</v>
      </c>
      <c r="G899">
        <v>10000</v>
      </c>
      <c r="H899">
        <v>335187.11743927147</v>
      </c>
      <c r="I899">
        <v>45.522418154962836</v>
      </c>
    </row>
    <row r="900" spans="1:9" x14ac:dyDescent="0.2">
      <c r="A900">
        <v>895</v>
      </c>
      <c r="B900">
        <v>1023801.5053111566</v>
      </c>
      <c r="C900">
        <v>92552.831849335154</v>
      </c>
      <c r="D900">
        <v>125334.5111494702</v>
      </c>
      <c r="E900">
        <v>36129.016481196479</v>
      </c>
      <c r="F900">
        <v>38501.239602544374</v>
      </c>
      <c r="G900">
        <v>10000</v>
      </c>
      <c r="H900">
        <v>282517.59908254619</v>
      </c>
      <c r="I900">
        <v>40.023731136069827</v>
      </c>
    </row>
    <row r="901" spans="1:9" x14ac:dyDescent="0.2">
      <c r="A901">
        <v>896</v>
      </c>
      <c r="B901">
        <v>1087667.9368502456</v>
      </c>
      <c r="C901">
        <v>120845.53868065207</v>
      </c>
      <c r="D901">
        <v>44970.110510442122</v>
      </c>
      <c r="E901">
        <v>101199.27818574835</v>
      </c>
      <c r="F901">
        <v>43006.103874397959</v>
      </c>
      <c r="G901">
        <v>10000</v>
      </c>
      <c r="H901">
        <v>300021.03125124052</v>
      </c>
      <c r="I901">
        <v>38.731447604105767</v>
      </c>
    </row>
    <row r="902" spans="1:9" x14ac:dyDescent="0.2">
      <c r="A902">
        <v>897</v>
      </c>
      <c r="B902">
        <v>1186186.8659839744</v>
      </c>
      <c r="C902">
        <v>153446.27597099819</v>
      </c>
      <c r="D902">
        <v>70000.627334586257</v>
      </c>
      <c r="E902">
        <v>72551.719643605553</v>
      </c>
      <c r="F902">
        <v>41022.811359941916</v>
      </c>
      <c r="G902">
        <v>10000</v>
      </c>
      <c r="H902">
        <v>327021.43430913187</v>
      </c>
      <c r="I902">
        <v>32.870300836066711</v>
      </c>
    </row>
    <row r="903" spans="1:9" x14ac:dyDescent="0.2">
      <c r="A903">
        <v>898</v>
      </c>
      <c r="B903">
        <v>1489996.6737150331</v>
      </c>
      <c r="C903">
        <v>120307.26492910591</v>
      </c>
      <c r="D903">
        <v>91117.180441873323</v>
      </c>
      <c r="E903">
        <v>161667.66933424401</v>
      </c>
      <c r="F903">
        <v>47192.377107755354</v>
      </c>
      <c r="G903">
        <v>10000</v>
      </c>
      <c r="H903">
        <v>410284.49181297858</v>
      </c>
      <c r="I903">
        <v>24.387969298518708</v>
      </c>
    </row>
    <row r="904" spans="1:9" x14ac:dyDescent="0.2">
      <c r="A904">
        <v>899</v>
      </c>
      <c r="B904">
        <v>1004984.5200582504</v>
      </c>
      <c r="C904">
        <v>110744.90521904812</v>
      </c>
      <c r="D904">
        <v>59030.001109960336</v>
      </c>
      <c r="E904">
        <v>76303.127260712572</v>
      </c>
      <c r="F904">
        <v>41282.524194972415</v>
      </c>
      <c r="G904">
        <v>10000</v>
      </c>
      <c r="H904">
        <v>277360.55778469343</v>
      </c>
      <c r="I904">
        <v>36.687384264005509</v>
      </c>
    </row>
    <row r="905" spans="1:9" x14ac:dyDescent="0.2">
      <c r="A905">
        <v>900</v>
      </c>
      <c r="B905">
        <v>999320.53066246165</v>
      </c>
      <c r="C905">
        <v>115737.4122930287</v>
      </c>
      <c r="D905">
        <v>96614.821536002302</v>
      </c>
      <c r="E905">
        <v>35030.822667411136</v>
      </c>
      <c r="F905">
        <v>38425.210800051536</v>
      </c>
      <c r="G905">
        <v>10000</v>
      </c>
      <c r="H905">
        <v>275808.26729649364</v>
      </c>
      <c r="I905">
        <v>28.650891385268984</v>
      </c>
    </row>
    <row r="906" spans="1:9" x14ac:dyDescent="0.2">
      <c r="A906">
        <v>901</v>
      </c>
      <c r="B906">
        <v>1551901.4108726776</v>
      </c>
      <c r="C906">
        <v>113406.90071281673</v>
      </c>
      <c r="D906">
        <v>126128.62124770043</v>
      </c>
      <c r="E906">
        <v>151244.03321786519</v>
      </c>
      <c r="F906">
        <v>46470.740761236819</v>
      </c>
      <c r="G906">
        <v>10000</v>
      </c>
      <c r="H906">
        <v>427250.29593961913</v>
      </c>
      <c r="I906">
        <v>43.000321701624252</v>
      </c>
    </row>
    <row r="907" spans="1:9" x14ac:dyDescent="0.2">
      <c r="A907">
        <v>902</v>
      </c>
      <c r="B907">
        <v>1207611.8388389782</v>
      </c>
      <c r="C907">
        <v>121637.16421839151</v>
      </c>
      <c r="D907">
        <v>63982.463758989645</v>
      </c>
      <c r="E907">
        <v>113421.35326129064</v>
      </c>
      <c r="F907">
        <v>43852.247533473965</v>
      </c>
      <c r="G907">
        <v>10000</v>
      </c>
      <c r="H907">
        <v>332893.22877214575</v>
      </c>
      <c r="I907">
        <v>42.404698653046466</v>
      </c>
    </row>
    <row r="908" spans="1:9" x14ac:dyDescent="0.2">
      <c r="A908">
        <v>903</v>
      </c>
      <c r="B908">
        <v>1251684.1468006929</v>
      </c>
      <c r="C908">
        <v>96704.509870403563</v>
      </c>
      <c r="D908">
        <v>132647.93008778192</v>
      </c>
      <c r="E908">
        <v>83816.688320361238</v>
      </c>
      <c r="F908">
        <v>41802.693806794239</v>
      </c>
      <c r="G908">
        <v>10000</v>
      </c>
      <c r="H908">
        <v>344971.82208534097</v>
      </c>
      <c r="I908">
        <v>37.464593128791819</v>
      </c>
    </row>
    <row r="909" spans="1:9" x14ac:dyDescent="0.2">
      <c r="A909">
        <v>904</v>
      </c>
      <c r="B909">
        <v>1351522.5836841858</v>
      </c>
      <c r="C909">
        <v>122612.89010430161</v>
      </c>
      <c r="D909">
        <v>86265.910329502411</v>
      </c>
      <c r="E909">
        <v>128555.08562643088</v>
      </c>
      <c r="F909">
        <v>44899.967466445218</v>
      </c>
      <c r="G909">
        <v>10000</v>
      </c>
      <c r="H909">
        <v>372333.85352668015</v>
      </c>
      <c r="I909">
        <v>49.802872665779887</v>
      </c>
    </row>
    <row r="910" spans="1:9" x14ac:dyDescent="0.2">
      <c r="A910">
        <v>905</v>
      </c>
      <c r="B910">
        <v>1014889.2478222514</v>
      </c>
      <c r="C910">
        <v>126307.97321088365</v>
      </c>
      <c r="D910">
        <v>47821.645339254908</v>
      </c>
      <c r="E910">
        <v>74769.134899450029</v>
      </c>
      <c r="F910">
        <v>41176.32472380808</v>
      </c>
      <c r="G910">
        <v>10000</v>
      </c>
      <c r="H910">
        <v>280075.07817339664</v>
      </c>
      <c r="I910">
        <v>50.835670956000669</v>
      </c>
    </row>
    <row r="911" spans="1:9" x14ac:dyDescent="0.2">
      <c r="A911">
        <v>906</v>
      </c>
      <c r="B911">
        <v>1467793.9072729498</v>
      </c>
      <c r="C911">
        <v>123996.96454479906</v>
      </c>
      <c r="D911">
        <v>110349.89108275181</v>
      </c>
      <c r="E911">
        <v>134538.47508037579</v>
      </c>
      <c r="F911">
        <v>45314.202120949092</v>
      </c>
      <c r="G911">
        <v>10000</v>
      </c>
      <c r="H911">
        <v>404199.53282887576</v>
      </c>
      <c r="I911">
        <v>41.307877317891453</v>
      </c>
    </row>
    <row r="912" spans="1:9" x14ac:dyDescent="0.2">
      <c r="A912">
        <v>907</v>
      </c>
      <c r="B912">
        <v>1444438.1705834181</v>
      </c>
      <c r="C912">
        <v>90839.384701065763</v>
      </c>
      <c r="D912">
        <v>62259.023104171931</v>
      </c>
      <c r="E912">
        <v>204539.73616701999</v>
      </c>
      <c r="F912">
        <v>50160.443273101388</v>
      </c>
      <c r="G912">
        <v>10000</v>
      </c>
      <c r="H912">
        <v>397798.58724535909</v>
      </c>
      <c r="I912">
        <v>33.699452194186676</v>
      </c>
    </row>
    <row r="913" spans="1:9" x14ac:dyDescent="0.2">
      <c r="A913">
        <v>908</v>
      </c>
      <c r="B913">
        <v>1544067.3419710051</v>
      </c>
      <c r="C913">
        <v>143898.26240337317</v>
      </c>
      <c r="D913">
        <v>126977.97498169188</v>
      </c>
      <c r="E913">
        <v>119924.55982490927</v>
      </c>
      <c r="F913">
        <v>44302.469526339868</v>
      </c>
      <c r="G913">
        <v>10000</v>
      </c>
      <c r="H913">
        <v>425103.26673631417</v>
      </c>
      <c r="I913">
        <v>32.806086104444844</v>
      </c>
    </row>
    <row r="914" spans="1:9" x14ac:dyDescent="0.2">
      <c r="A914">
        <v>909</v>
      </c>
      <c r="B914">
        <v>918230.36291283253</v>
      </c>
      <c r="C914">
        <v>138046.99696246019</v>
      </c>
      <c r="D914">
        <v>60199.377484822871</v>
      </c>
      <c r="E914">
        <v>27438.482877063205</v>
      </c>
      <c r="F914">
        <v>37899.587276104372</v>
      </c>
      <c r="G914">
        <v>10000</v>
      </c>
      <c r="H914">
        <v>253584.44460045069</v>
      </c>
      <c r="I914">
        <v>39.003808063460063</v>
      </c>
    </row>
    <row r="915" spans="1:9" x14ac:dyDescent="0.2">
      <c r="A915">
        <v>910</v>
      </c>
      <c r="B915">
        <v>1343636.0684370897</v>
      </c>
      <c r="C915">
        <v>99001.646150316388</v>
      </c>
      <c r="D915">
        <v>89114.661450611602</v>
      </c>
      <c r="E915">
        <v>145951.78852432783</v>
      </c>
      <c r="F915">
        <v>46104.354590145769</v>
      </c>
      <c r="G915">
        <v>10000</v>
      </c>
      <c r="H915">
        <v>370172.45071540156</v>
      </c>
      <c r="I915">
        <v>31.489711011250975</v>
      </c>
    </row>
    <row r="916" spans="1:9" x14ac:dyDescent="0.2">
      <c r="A916">
        <v>911</v>
      </c>
      <c r="B916">
        <v>1240434.9427106448</v>
      </c>
      <c r="C916">
        <v>100038.08525923961</v>
      </c>
      <c r="D916">
        <v>127948.05298861786</v>
      </c>
      <c r="E916">
        <v>82211.150884827846</v>
      </c>
      <c r="F916">
        <v>41691.541215103469</v>
      </c>
      <c r="G916">
        <v>10000</v>
      </c>
      <c r="H916">
        <v>341888.83034778875</v>
      </c>
      <c r="I916">
        <v>48.236541933300728</v>
      </c>
    </row>
    <row r="917" spans="1:9" x14ac:dyDescent="0.2">
      <c r="A917">
        <v>912</v>
      </c>
      <c r="B917">
        <v>1058258.7857273712</v>
      </c>
      <c r="C917">
        <v>146229.71707479644</v>
      </c>
      <c r="D917">
        <v>50497.670366446495</v>
      </c>
      <c r="E917">
        <v>64750.924400869328</v>
      </c>
      <c r="F917">
        <v>40482.756304675568</v>
      </c>
      <c r="G917">
        <v>10000</v>
      </c>
      <c r="H917">
        <v>291961.06814678782</v>
      </c>
      <c r="I917">
        <v>31.423177836839418</v>
      </c>
    </row>
    <row r="918" spans="1:9" x14ac:dyDescent="0.2">
      <c r="A918">
        <v>913</v>
      </c>
      <c r="B918">
        <v>1089902.2835967897</v>
      </c>
      <c r="C918">
        <v>99849.466718135984</v>
      </c>
      <c r="D918">
        <v>121968.88003333018</v>
      </c>
      <c r="E918">
        <v>49395.357872122033</v>
      </c>
      <c r="F918">
        <v>39419.678621916144</v>
      </c>
      <c r="G918">
        <v>10000</v>
      </c>
      <c r="H918">
        <v>300633.38324550434</v>
      </c>
      <c r="I918">
        <v>50.588734857483011</v>
      </c>
    </row>
    <row r="919" spans="1:9" x14ac:dyDescent="0.2">
      <c r="A919">
        <v>914</v>
      </c>
      <c r="B919">
        <v>1336097.0774260629</v>
      </c>
      <c r="C919">
        <v>105367.23820444173</v>
      </c>
      <c r="D919">
        <v>36281.791265333522</v>
      </c>
      <c r="E919">
        <v>187478.01482347888</v>
      </c>
      <c r="F919">
        <v>48979.247180086997</v>
      </c>
      <c r="G919">
        <v>10000</v>
      </c>
      <c r="H919">
        <v>368106.29147334117</v>
      </c>
      <c r="I919">
        <v>31.441562442160595</v>
      </c>
    </row>
    <row r="920" spans="1:9" x14ac:dyDescent="0.2">
      <c r="A920">
        <v>915</v>
      </c>
      <c r="B920">
        <v>1737839.6397169337</v>
      </c>
      <c r="C920">
        <v>107916.97133823781</v>
      </c>
      <c r="D920">
        <v>141169.16337700095</v>
      </c>
      <c r="E920">
        <v>189971.12161812827</v>
      </c>
      <c r="F920">
        <v>49151.846881255035</v>
      </c>
      <c r="G920">
        <v>10000</v>
      </c>
      <c r="H920">
        <v>478209.10321462207</v>
      </c>
      <c r="I920">
        <v>38.312851967114497</v>
      </c>
    </row>
    <row r="921" spans="1:9" x14ac:dyDescent="0.2">
      <c r="A921">
        <v>916</v>
      </c>
      <c r="B921">
        <v>1342497.2924939077</v>
      </c>
      <c r="C921">
        <v>85831.361814044489</v>
      </c>
      <c r="D921">
        <v>71037.322553422244</v>
      </c>
      <c r="E921">
        <v>174884.29557453436</v>
      </c>
      <c r="F921">
        <v>48107.374309006227</v>
      </c>
      <c r="G921">
        <v>10000</v>
      </c>
      <c r="H921">
        <v>369860.35425100726</v>
      </c>
      <c r="I921">
        <v>31.38624643973688</v>
      </c>
    </row>
    <row r="922" spans="1:9" x14ac:dyDescent="0.2">
      <c r="A922">
        <v>917</v>
      </c>
      <c r="B922">
        <v>899645.59988825105</v>
      </c>
      <c r="C922">
        <v>89685.993726367291</v>
      </c>
      <c r="D922">
        <v>57169.114757627096</v>
      </c>
      <c r="E922">
        <v>70738.647389130434</v>
      </c>
      <c r="F922">
        <v>40897.290973093644</v>
      </c>
      <c r="G922">
        <v>10000</v>
      </c>
      <c r="H922">
        <v>248491.04684621847</v>
      </c>
      <c r="I922">
        <v>42.812240033160322</v>
      </c>
    </row>
    <row r="923" spans="1:9" x14ac:dyDescent="0.2">
      <c r="A923">
        <v>918</v>
      </c>
      <c r="B923">
        <v>1666495.5489907991</v>
      </c>
      <c r="C923">
        <v>130630.80367389212</v>
      </c>
      <c r="D923">
        <v>93760.836977437822</v>
      </c>
      <c r="E923">
        <v>194779.91649280165</v>
      </c>
      <c r="F923">
        <v>49484.763449501654</v>
      </c>
      <c r="G923">
        <v>10000</v>
      </c>
      <c r="H923">
        <v>458656.32059363328</v>
      </c>
      <c r="I923">
        <v>31.6786750983321</v>
      </c>
    </row>
    <row r="924" spans="1:9" x14ac:dyDescent="0.2">
      <c r="A924">
        <v>919</v>
      </c>
      <c r="B924">
        <v>961007.09187869611</v>
      </c>
      <c r="C924">
        <v>76129.958544815221</v>
      </c>
      <c r="D924">
        <v>81389.022998576591</v>
      </c>
      <c r="E924">
        <v>76493.296235860267</v>
      </c>
      <c r="F924">
        <v>41295.689739405716</v>
      </c>
      <c r="G924">
        <v>10000</v>
      </c>
      <c r="H924">
        <v>265307.9675186578</v>
      </c>
      <c r="I924">
        <v>45.434406849895709</v>
      </c>
    </row>
    <row r="925" spans="1:9" x14ac:dyDescent="0.2">
      <c r="A925">
        <v>920</v>
      </c>
      <c r="B925">
        <v>1467104.8972689281</v>
      </c>
      <c r="C925">
        <v>89114.155432683721</v>
      </c>
      <c r="D925">
        <v>112690.44166916869</v>
      </c>
      <c r="E925">
        <v>164797.075225062</v>
      </c>
      <c r="F925">
        <v>47409.028284811982</v>
      </c>
      <c r="G925">
        <v>10000</v>
      </c>
      <c r="H925">
        <v>404010.70061172638</v>
      </c>
      <c r="I925">
        <v>33.402530200085153</v>
      </c>
    </row>
    <row r="926" spans="1:9" x14ac:dyDescent="0.2">
      <c r="A926">
        <v>921</v>
      </c>
      <c r="B926">
        <v>1256092.4150287169</v>
      </c>
      <c r="C926">
        <v>141951.84441842849</v>
      </c>
      <c r="D926">
        <v>37651.912132421239</v>
      </c>
      <c r="E926">
        <v>131474.15247761112</v>
      </c>
      <c r="F926">
        <v>45102.056709988465</v>
      </c>
      <c r="G926">
        <v>10000</v>
      </c>
      <c r="H926">
        <v>346179.9657384493</v>
      </c>
      <c r="I926">
        <v>42.348575104976398</v>
      </c>
    </row>
    <row r="927" spans="1:9" x14ac:dyDescent="0.2">
      <c r="A927">
        <v>922</v>
      </c>
      <c r="B927">
        <v>1565193.907721662</v>
      </c>
      <c r="C927">
        <v>108215.10050369588</v>
      </c>
      <c r="D927">
        <v>93422.321618030081</v>
      </c>
      <c r="E927">
        <v>190095.4055483827</v>
      </c>
      <c r="F927">
        <v>49160.451153349568</v>
      </c>
      <c r="G927">
        <v>10000</v>
      </c>
      <c r="H927">
        <v>430893.27882345824</v>
      </c>
      <c r="I927">
        <v>46.221410607405289</v>
      </c>
    </row>
    <row r="928" spans="1:9" x14ac:dyDescent="0.2">
      <c r="A928">
        <v>923</v>
      </c>
      <c r="B928">
        <v>1360233.0142048167</v>
      </c>
      <c r="C928">
        <v>94825.808075685374</v>
      </c>
      <c r="D928">
        <v>113994.53907500507</v>
      </c>
      <c r="E928">
        <v>130842.39435172646</v>
      </c>
      <c r="F928">
        <v>45058.31960896567</v>
      </c>
      <c r="G928">
        <v>10000</v>
      </c>
      <c r="H928">
        <v>374721.06111138256</v>
      </c>
      <c r="I928">
        <v>27.783440457073752</v>
      </c>
    </row>
    <row r="929" spans="1:9" x14ac:dyDescent="0.2">
      <c r="A929">
        <v>924</v>
      </c>
      <c r="B929">
        <v>886555.15963426558</v>
      </c>
      <c r="C929">
        <v>103962.54316775527</v>
      </c>
      <c r="D929">
        <v>61452.503830233538</v>
      </c>
      <c r="E929">
        <v>50025.115962132688</v>
      </c>
      <c r="F929">
        <v>39463.277258916882</v>
      </c>
      <c r="G929">
        <v>10000</v>
      </c>
      <c r="H929">
        <v>244903.44021903837</v>
      </c>
      <c r="I929">
        <v>30.51155799106229</v>
      </c>
    </row>
    <row r="930" spans="1:9" x14ac:dyDescent="0.2">
      <c r="A930">
        <v>925</v>
      </c>
      <c r="B930">
        <v>1650937.5150982793</v>
      </c>
      <c r="C930">
        <v>149798.33503081542</v>
      </c>
      <c r="D930">
        <v>110140.76568563335</v>
      </c>
      <c r="E930">
        <v>157546.28629964468</v>
      </c>
      <c r="F930">
        <v>46907.050589975399</v>
      </c>
      <c r="G930">
        <v>10000</v>
      </c>
      <c r="H930">
        <v>454392.43760606885</v>
      </c>
      <c r="I930">
        <v>29.517203206018131</v>
      </c>
    </row>
    <row r="931" spans="1:9" x14ac:dyDescent="0.2">
      <c r="A931">
        <v>926</v>
      </c>
      <c r="B931">
        <v>1479751.1677172165</v>
      </c>
      <c r="C931">
        <v>107188.64127991775</v>
      </c>
      <c r="D931">
        <v>85247.479644039267</v>
      </c>
      <c r="E931">
        <v>176800.42625165556</v>
      </c>
      <c r="F931">
        <v>48240.029509729997</v>
      </c>
      <c r="G931">
        <v>10000</v>
      </c>
      <c r="H931">
        <v>407476.57668534259</v>
      </c>
      <c r="I931">
        <v>30.637819747158389</v>
      </c>
    </row>
    <row r="932" spans="1:9" x14ac:dyDescent="0.2">
      <c r="A932">
        <v>927</v>
      </c>
      <c r="B932">
        <v>1247427.1455678814</v>
      </c>
      <c r="C932">
        <v>115136.26612754617</v>
      </c>
      <c r="D932">
        <v>124069.35817989107</v>
      </c>
      <c r="E932">
        <v>73510.333866346962</v>
      </c>
      <c r="F932">
        <v>41089.176959977871</v>
      </c>
      <c r="G932">
        <v>10000</v>
      </c>
      <c r="H932">
        <v>343805.13513376209</v>
      </c>
      <c r="I932">
        <v>37.130035111795962</v>
      </c>
    </row>
    <row r="933" spans="1:9" x14ac:dyDescent="0.2">
      <c r="A933">
        <v>928</v>
      </c>
      <c r="B933">
        <v>1201402.4790995568</v>
      </c>
      <c r="C933">
        <v>112622.87454988988</v>
      </c>
      <c r="D933">
        <v>106319.49806286443</v>
      </c>
      <c r="E933">
        <v>80664.625697781157</v>
      </c>
      <c r="F933">
        <v>41584.474086769464</v>
      </c>
      <c r="G933">
        <v>10000</v>
      </c>
      <c r="H933">
        <v>331191.4723973049</v>
      </c>
      <c r="I933">
        <v>53.729910436052414</v>
      </c>
    </row>
    <row r="934" spans="1:9" x14ac:dyDescent="0.2">
      <c r="A934">
        <v>929</v>
      </c>
      <c r="B934">
        <v>1371315.1081455264</v>
      </c>
      <c r="C934">
        <v>88014.48614352828</v>
      </c>
      <c r="D934">
        <v>104572.97182390001</v>
      </c>
      <c r="E934">
        <v>148864.77338336044</v>
      </c>
      <c r="F934">
        <v>46306.022772694181</v>
      </c>
      <c r="G934">
        <v>10000</v>
      </c>
      <c r="H934">
        <v>377758.25412348291</v>
      </c>
      <c r="I934">
        <v>33.702546247100855</v>
      </c>
    </row>
    <row r="935" spans="1:9" x14ac:dyDescent="0.2">
      <c r="A935">
        <v>930</v>
      </c>
      <c r="B935">
        <v>1027264.2894434206</v>
      </c>
      <c r="C935">
        <v>92670.085863125481</v>
      </c>
      <c r="D935">
        <v>69759.914552764152</v>
      </c>
      <c r="E935">
        <v>88883.169801141979</v>
      </c>
      <c r="F935">
        <v>42153.45021700213</v>
      </c>
      <c r="G935">
        <v>10000</v>
      </c>
      <c r="H935">
        <v>283466.62043403374</v>
      </c>
      <c r="I935">
        <v>30.482378862522033</v>
      </c>
    </row>
    <row r="936" spans="1:9" x14ac:dyDescent="0.2">
      <c r="A936">
        <v>931</v>
      </c>
      <c r="B936">
        <v>1081780.8679033248</v>
      </c>
      <c r="C936">
        <v>100542.81273219184</v>
      </c>
      <c r="D936">
        <v>114460.7813631099</v>
      </c>
      <c r="E936">
        <v>53687.202469737742</v>
      </c>
      <c r="F936">
        <v>39716.806324828001</v>
      </c>
      <c r="G936">
        <v>10000</v>
      </c>
      <c r="H936">
        <v>298407.6028898675</v>
      </c>
      <c r="I936">
        <v>42.864537177023557</v>
      </c>
    </row>
    <row r="937" spans="1:9" x14ac:dyDescent="0.2">
      <c r="A937">
        <v>932</v>
      </c>
      <c r="B937">
        <v>1175092.6336587595</v>
      </c>
      <c r="C937">
        <v>102508.90862358037</v>
      </c>
      <c r="D937">
        <v>137181.97328825833</v>
      </c>
      <c r="E937">
        <v>54515.857922654148</v>
      </c>
      <c r="F937">
        <v>39774.174779260669</v>
      </c>
      <c r="G937">
        <v>10000</v>
      </c>
      <c r="H937">
        <v>323980.9146137535</v>
      </c>
      <c r="I937">
        <v>31.279663331251552</v>
      </c>
    </row>
    <row r="938" spans="1:9" x14ac:dyDescent="0.2">
      <c r="A938">
        <v>933</v>
      </c>
      <c r="B938">
        <v>1066684.2164969367</v>
      </c>
      <c r="C938">
        <v>98571.951510906627</v>
      </c>
      <c r="D938">
        <v>57795.69842966157</v>
      </c>
      <c r="E938">
        <v>104657.03110690624</v>
      </c>
      <c r="F938">
        <v>43245.486768939663</v>
      </c>
      <c r="G938">
        <v>10000</v>
      </c>
      <c r="H938">
        <v>294270.16781641409</v>
      </c>
      <c r="I938">
        <v>41.952935798923114</v>
      </c>
    </row>
    <row r="939" spans="1:9" x14ac:dyDescent="0.2">
      <c r="A939">
        <v>934</v>
      </c>
      <c r="B939">
        <v>858364.35157348018</v>
      </c>
      <c r="C939">
        <v>90199.191458099202</v>
      </c>
      <c r="D939">
        <v>67822.500008547024</v>
      </c>
      <c r="E939">
        <v>49713.95329540041</v>
      </c>
      <c r="F939">
        <v>39441.735228143101</v>
      </c>
      <c r="G939">
        <v>10000</v>
      </c>
      <c r="H939">
        <v>237177.37999018974</v>
      </c>
      <c r="I939">
        <v>35.279245764669419</v>
      </c>
    </row>
    <row r="940" spans="1:9" x14ac:dyDescent="0.2">
      <c r="A940">
        <v>935</v>
      </c>
      <c r="B940">
        <v>1191443.6970902644</v>
      </c>
      <c r="C940">
        <v>119446.68180422745</v>
      </c>
      <c r="D940">
        <v>127444.35557175665</v>
      </c>
      <c r="E940">
        <v>51972.971558424135</v>
      </c>
      <c r="F940">
        <v>39598.128800198596</v>
      </c>
      <c r="G940">
        <v>10000</v>
      </c>
      <c r="H940">
        <v>328462.13773460686</v>
      </c>
      <c r="I940">
        <v>25.205446621379693</v>
      </c>
    </row>
    <row r="941" spans="1:9" x14ac:dyDescent="0.2">
      <c r="A941">
        <v>936</v>
      </c>
      <c r="B941">
        <v>1340550.3366600655</v>
      </c>
      <c r="C941">
        <v>101209.54979473184</v>
      </c>
      <c r="D941">
        <v>80979.905293629738</v>
      </c>
      <c r="E941">
        <v>150703.95937871584</v>
      </c>
      <c r="F941">
        <v>46433.351033911094</v>
      </c>
      <c r="G941">
        <v>10000</v>
      </c>
      <c r="H941">
        <v>369326.76550098852</v>
      </c>
      <c r="I941">
        <v>32.508051990662672</v>
      </c>
    </row>
    <row r="942" spans="1:9" x14ac:dyDescent="0.2">
      <c r="A942">
        <v>937</v>
      </c>
      <c r="B942">
        <v>965466.2202303852</v>
      </c>
      <c r="C942">
        <v>116669.55673517537</v>
      </c>
      <c r="D942">
        <v>36461.633859192116</v>
      </c>
      <c r="E942">
        <v>81739.94050264555</v>
      </c>
      <c r="F942">
        <v>41658.918957875459</v>
      </c>
      <c r="G942">
        <v>10000</v>
      </c>
      <c r="H942">
        <v>266530.05005488847</v>
      </c>
      <c r="I942">
        <v>29.470872269430117</v>
      </c>
    </row>
    <row r="943" spans="1:9" x14ac:dyDescent="0.2">
      <c r="A943">
        <v>938</v>
      </c>
      <c r="B943">
        <v>1457349.7898495274</v>
      </c>
      <c r="C943">
        <v>133310.78034576259</v>
      </c>
      <c r="D943">
        <v>64849.150560965274</v>
      </c>
      <c r="E943">
        <v>165705.34615190703</v>
      </c>
      <c r="F943">
        <v>47471.908579747411</v>
      </c>
      <c r="G943">
        <v>10000</v>
      </c>
      <c r="H943">
        <v>401337.18563838233</v>
      </c>
      <c r="I943">
        <v>46.150335738602926</v>
      </c>
    </row>
    <row r="944" spans="1:9" x14ac:dyDescent="0.2">
      <c r="A944">
        <v>939</v>
      </c>
      <c r="B944">
        <v>1463627.3814320345</v>
      </c>
      <c r="C944">
        <v>139361.24468533587</v>
      </c>
      <c r="D944">
        <v>157892.86692195944</v>
      </c>
      <c r="E944">
        <v>74636.39518504258</v>
      </c>
      <c r="F944">
        <v>41167.135051272176</v>
      </c>
      <c r="G944">
        <v>10000</v>
      </c>
      <c r="H944">
        <v>403057.64184361009</v>
      </c>
      <c r="I944">
        <v>40.495745548890248</v>
      </c>
    </row>
    <row r="945" spans="1:9" x14ac:dyDescent="0.2">
      <c r="A945">
        <v>940</v>
      </c>
      <c r="B945">
        <v>1716546.6831361698</v>
      </c>
      <c r="C945">
        <v>167388.94349635293</v>
      </c>
      <c r="D945">
        <v>123240.63438964603</v>
      </c>
      <c r="E945">
        <v>145659.77349018038</v>
      </c>
      <c r="F945">
        <v>46084.138164704789</v>
      </c>
      <c r="G945">
        <v>10000</v>
      </c>
      <c r="H945">
        <v>472373.48954088415</v>
      </c>
      <c r="I945">
        <v>39.280521525733874</v>
      </c>
    </row>
    <row r="946" spans="1:9" x14ac:dyDescent="0.2">
      <c r="A946">
        <v>941</v>
      </c>
      <c r="B946">
        <v>1448457.068717442</v>
      </c>
      <c r="C946">
        <v>129945.90360104067</v>
      </c>
      <c r="D946">
        <v>155607.70752413929</v>
      </c>
      <c r="E946">
        <v>81690.884991451399</v>
      </c>
      <c r="F946">
        <v>41655.522807100482</v>
      </c>
      <c r="G946">
        <v>10000</v>
      </c>
      <c r="H946">
        <v>398900.01892373187</v>
      </c>
      <c r="I946">
        <v>28.968214998964875</v>
      </c>
    </row>
    <row r="947" spans="1:9" x14ac:dyDescent="0.2">
      <c r="A947">
        <v>942</v>
      </c>
      <c r="B947">
        <v>908310.11078283051</v>
      </c>
      <c r="C947">
        <v>126811.50109487599</v>
      </c>
      <c r="D947">
        <v>61927.368814575275</v>
      </c>
      <c r="E947">
        <v>33787.65434558702</v>
      </c>
      <c r="F947">
        <v>38339.145300848329</v>
      </c>
      <c r="G947">
        <v>10000</v>
      </c>
      <c r="H947">
        <v>250865.66955588659</v>
      </c>
      <c r="I947">
        <v>27.940331196653837</v>
      </c>
    </row>
    <row r="948" spans="1:9" x14ac:dyDescent="0.2">
      <c r="A948">
        <v>943</v>
      </c>
      <c r="B948">
        <v>1370276.0617983127</v>
      </c>
      <c r="C948">
        <v>112747.03710502041</v>
      </c>
      <c r="D948">
        <v>97755.973749805111</v>
      </c>
      <c r="E948">
        <v>131842.89403478685</v>
      </c>
      <c r="F948">
        <v>45127.584971639088</v>
      </c>
      <c r="G948">
        <v>10000</v>
      </c>
      <c r="H948">
        <v>377473.48986125144</v>
      </c>
      <c r="I948">
        <v>27.860351881550756</v>
      </c>
    </row>
    <row r="949" spans="1:9" x14ac:dyDescent="0.2">
      <c r="A949">
        <v>944</v>
      </c>
      <c r="B949">
        <v>1477009.6938756581</v>
      </c>
      <c r="C949">
        <v>121696.36784112411</v>
      </c>
      <c r="D949">
        <v>51958.814257264472</v>
      </c>
      <c r="E949">
        <v>193662.64395689251</v>
      </c>
      <c r="F949">
        <v>49407.413812400249</v>
      </c>
      <c r="G949">
        <v>10000</v>
      </c>
      <c r="H949">
        <v>406725.23986768135</v>
      </c>
      <c r="I949">
        <v>26.136967503857178</v>
      </c>
    </row>
    <row r="950" spans="1:9" x14ac:dyDescent="0.2">
      <c r="A950">
        <v>945</v>
      </c>
      <c r="B950">
        <v>1436040.8739659893</v>
      </c>
      <c r="C950">
        <v>126695.7273667713</v>
      </c>
      <c r="D950">
        <v>114672.56978119987</v>
      </c>
      <c r="E950">
        <v>119832.7850711511</v>
      </c>
      <c r="F950">
        <v>44296.11588954123</v>
      </c>
      <c r="G950">
        <v>10000</v>
      </c>
      <c r="H950">
        <v>395497.19810866349</v>
      </c>
      <c r="I950">
        <v>35.541641778211627</v>
      </c>
    </row>
    <row r="951" spans="1:9" x14ac:dyDescent="0.2">
      <c r="A951">
        <v>946</v>
      </c>
      <c r="B951">
        <v>1627279.1330328693</v>
      </c>
      <c r="C951">
        <v>123454.21860946438</v>
      </c>
      <c r="D951">
        <v>96463.096580814323</v>
      </c>
      <c r="E951">
        <v>188912.66386571495</v>
      </c>
      <c r="F951">
        <v>49078.569036857189</v>
      </c>
      <c r="G951">
        <v>10000</v>
      </c>
      <c r="H951">
        <v>447908.54809285077</v>
      </c>
      <c r="I951">
        <v>35.91556233708944</v>
      </c>
    </row>
    <row r="952" spans="1:9" x14ac:dyDescent="0.2">
      <c r="A952">
        <v>947</v>
      </c>
      <c r="B952">
        <v>1295884.7341981251</v>
      </c>
      <c r="C952">
        <v>115424.62223229615</v>
      </c>
      <c r="D952">
        <v>116399.95448780764</v>
      </c>
      <c r="E952">
        <v>92834.024416985427</v>
      </c>
      <c r="F952">
        <v>42426.970921175911</v>
      </c>
      <c r="G952">
        <v>10000</v>
      </c>
      <c r="H952">
        <v>357085.5720582651</v>
      </c>
      <c r="I952">
        <v>34.610608753422696</v>
      </c>
    </row>
    <row r="953" spans="1:9" x14ac:dyDescent="0.2">
      <c r="A953">
        <v>948</v>
      </c>
      <c r="B953">
        <v>1386905.627567105</v>
      </c>
      <c r="C953">
        <v>109690.49766655988</v>
      </c>
      <c r="D953">
        <v>115921.03763491768</v>
      </c>
      <c r="E953">
        <v>121975.07651989187</v>
      </c>
      <c r="F953">
        <v>44444.428374454059</v>
      </c>
      <c r="G953">
        <v>10000</v>
      </c>
      <c r="H953">
        <v>382031.04019582353</v>
      </c>
      <c r="I953">
        <v>42.357071883851091</v>
      </c>
    </row>
    <row r="954" spans="1:9" x14ac:dyDescent="0.2">
      <c r="A954">
        <v>949</v>
      </c>
      <c r="B954">
        <v>1248054.5375791332</v>
      </c>
      <c r="C954">
        <v>104182.75521356965</v>
      </c>
      <c r="D954">
        <v>166974.65873897748</v>
      </c>
      <c r="E954">
        <v>43788.177003151999</v>
      </c>
      <c r="F954">
        <v>39031.489177141288</v>
      </c>
      <c r="G954">
        <v>10000</v>
      </c>
      <c r="H954">
        <v>343977.08013284038</v>
      </c>
      <c r="I954">
        <v>37.465317462937719</v>
      </c>
    </row>
    <row r="955" spans="1:9" x14ac:dyDescent="0.2">
      <c r="A955">
        <v>950</v>
      </c>
      <c r="B955">
        <v>982612.40882614581</v>
      </c>
      <c r="C955">
        <v>98997.483455077308</v>
      </c>
      <c r="D955">
        <v>76590.266603754091</v>
      </c>
      <c r="E955">
        <v>65132.279754591953</v>
      </c>
      <c r="F955">
        <v>40509.157829164062</v>
      </c>
      <c r="G955">
        <v>10000</v>
      </c>
      <c r="H955">
        <v>271229.18764258747</v>
      </c>
      <c r="I955">
        <v>25.344732420590958</v>
      </c>
    </row>
    <row r="956" spans="1:9" x14ac:dyDescent="0.2">
      <c r="A956">
        <v>951</v>
      </c>
      <c r="B956">
        <v>1466594.1958749536</v>
      </c>
      <c r="C956">
        <v>102890.89203393433</v>
      </c>
      <c r="D956">
        <v>67102.507589044064</v>
      </c>
      <c r="E956">
        <v>194417.65291832344</v>
      </c>
      <c r="F956">
        <v>49459.683663576237</v>
      </c>
      <c r="G956">
        <v>10000</v>
      </c>
      <c r="H956">
        <v>403870.73620487808</v>
      </c>
      <c r="I956">
        <v>31.80537340708883</v>
      </c>
    </row>
    <row r="957" spans="1:9" x14ac:dyDescent="0.2">
      <c r="A957">
        <v>952</v>
      </c>
      <c r="B957">
        <v>1516286.4275451063</v>
      </c>
      <c r="C957">
        <v>101504.22539173525</v>
      </c>
      <c r="D957">
        <v>130906.41702811446</v>
      </c>
      <c r="E957">
        <v>148778.8280934158</v>
      </c>
      <c r="F957">
        <v>46300.072714159556</v>
      </c>
      <c r="G957">
        <v>10000</v>
      </c>
      <c r="H957">
        <v>417489.54322742502</v>
      </c>
      <c r="I957">
        <v>53.687552421463842</v>
      </c>
    </row>
    <row r="958" spans="1:9" x14ac:dyDescent="0.2">
      <c r="A958">
        <v>953</v>
      </c>
      <c r="B958">
        <v>1529318.3979180581</v>
      </c>
      <c r="C958">
        <v>134043.56041543107</v>
      </c>
      <c r="D958">
        <v>119201.27495363919</v>
      </c>
      <c r="E958">
        <v>132633.94033333828</v>
      </c>
      <c r="F958">
        <v>45182.349715384953</v>
      </c>
      <c r="G958">
        <v>10000</v>
      </c>
      <c r="H958">
        <v>421061.12541779346</v>
      </c>
      <c r="I958">
        <v>41.518338533307272</v>
      </c>
    </row>
    <row r="959" spans="1:9" x14ac:dyDescent="0.2">
      <c r="A959">
        <v>954</v>
      </c>
      <c r="B959">
        <v>1111198.4743783537</v>
      </c>
      <c r="C959">
        <v>132322.47108324268</v>
      </c>
      <c r="D959">
        <v>57575.546263619726</v>
      </c>
      <c r="E959">
        <v>84707.500526415373</v>
      </c>
      <c r="F959">
        <v>41864.36542105952</v>
      </c>
      <c r="G959">
        <v>10000</v>
      </c>
      <c r="H959">
        <v>306469.88329433731</v>
      </c>
      <c r="I959">
        <v>32.11231480390677</v>
      </c>
    </row>
    <row r="960" spans="1:9" x14ac:dyDescent="0.2">
      <c r="A960">
        <v>955</v>
      </c>
      <c r="B960">
        <v>1558526.7147409872</v>
      </c>
      <c r="C960">
        <v>142996.97961420903</v>
      </c>
      <c r="D960">
        <v>135326.65003900847</v>
      </c>
      <c r="E960">
        <v>116665.57041571401</v>
      </c>
      <c r="F960">
        <v>44076.847182626356</v>
      </c>
      <c r="G960">
        <v>10000</v>
      </c>
      <c r="H960">
        <v>429066.04725155787</v>
      </c>
      <c r="I960">
        <v>38.1793282763375</v>
      </c>
    </row>
    <row r="961" spans="1:9" x14ac:dyDescent="0.2">
      <c r="A961">
        <v>956</v>
      </c>
      <c r="B961">
        <v>1391615.1625875595</v>
      </c>
      <c r="C961">
        <v>124670.26963571789</v>
      </c>
      <c r="D961">
        <v>59246.883627406874</v>
      </c>
      <c r="E961">
        <v>162176.9609393187</v>
      </c>
      <c r="F961">
        <v>47227.635757337448</v>
      </c>
      <c r="G961">
        <v>10000</v>
      </c>
      <c r="H961">
        <v>383321.74995978089</v>
      </c>
      <c r="I961">
        <v>30.782947577230601</v>
      </c>
    </row>
    <row r="962" spans="1:9" x14ac:dyDescent="0.2">
      <c r="A962">
        <v>957</v>
      </c>
      <c r="B962">
        <v>1285398.0276417225</v>
      </c>
      <c r="C962">
        <v>82405.78792378107</v>
      </c>
      <c r="D962">
        <v>102615.56850702821</v>
      </c>
      <c r="E962">
        <v>133918.88865132083</v>
      </c>
      <c r="F962">
        <v>45271.307675860669</v>
      </c>
      <c r="G962">
        <v>10000</v>
      </c>
      <c r="H962">
        <v>354211.55275799072</v>
      </c>
      <c r="I962">
        <v>24.717721875649872</v>
      </c>
    </row>
    <row r="963" spans="1:9" x14ac:dyDescent="0.2">
      <c r="A963">
        <v>958</v>
      </c>
      <c r="B963">
        <v>1671651.8777162137</v>
      </c>
      <c r="C963">
        <v>131845.75170305657</v>
      </c>
      <c r="D963">
        <v>110679.08936118498</v>
      </c>
      <c r="E963">
        <v>179142.46809290673</v>
      </c>
      <c r="F963">
        <v>48402.170867970461</v>
      </c>
      <c r="G963">
        <v>10000</v>
      </c>
      <c r="H963">
        <v>460069.48002511868</v>
      </c>
      <c r="I963">
        <v>32.28863994661689</v>
      </c>
    </row>
    <row r="964" spans="1:9" x14ac:dyDescent="0.2">
      <c r="A964">
        <v>959</v>
      </c>
      <c r="B964">
        <v>1689424.2230557334</v>
      </c>
      <c r="C964">
        <v>134504.52049315852</v>
      </c>
      <c r="D964">
        <v>134322.7747911991</v>
      </c>
      <c r="E964">
        <v>159098.42260589302</v>
      </c>
      <c r="F964">
        <v>47014.506180407974</v>
      </c>
      <c r="G964">
        <v>10000</v>
      </c>
      <c r="H964">
        <v>464940.22407065856</v>
      </c>
      <c r="I964">
        <v>48.245189797257176</v>
      </c>
    </row>
    <row r="965" spans="1:9" x14ac:dyDescent="0.2">
      <c r="A965">
        <v>960</v>
      </c>
      <c r="B965">
        <v>1238509.1684976674</v>
      </c>
      <c r="C965">
        <v>122491.01388329045</v>
      </c>
      <c r="D965">
        <v>56046.166161091802</v>
      </c>
      <c r="E965">
        <v>127964.76737429146</v>
      </c>
      <c r="F965">
        <v>44859.099279758644</v>
      </c>
      <c r="G965">
        <v>10000</v>
      </c>
      <c r="H965">
        <v>341361.04669843236</v>
      </c>
      <c r="I965">
        <v>35.826428082829551</v>
      </c>
    </row>
    <row r="966" spans="1:9" x14ac:dyDescent="0.2">
      <c r="A966">
        <v>961</v>
      </c>
      <c r="B966">
        <v>1189024.4393878365</v>
      </c>
      <c r="C966">
        <v>98309.056798944614</v>
      </c>
      <c r="D966">
        <v>49698.493304014635</v>
      </c>
      <c r="E966">
        <v>143833.83156693249</v>
      </c>
      <c r="F966">
        <v>45957.726800787634</v>
      </c>
      <c r="G966">
        <v>10000</v>
      </c>
      <c r="H966">
        <v>327799.10847067938</v>
      </c>
      <c r="I966">
        <v>37.380873058324468</v>
      </c>
    </row>
    <row r="967" spans="1:9" x14ac:dyDescent="0.2">
      <c r="A967">
        <v>962</v>
      </c>
      <c r="B967">
        <v>1245914.4490150276</v>
      </c>
      <c r="C967">
        <v>149250.07488979367</v>
      </c>
      <c r="D967">
        <v>95004.545075474511</v>
      </c>
      <c r="E967">
        <v>68400.520231509407</v>
      </c>
      <c r="F967">
        <v>40735.420631412184</v>
      </c>
      <c r="G967">
        <v>10000</v>
      </c>
      <c r="H967">
        <v>343390.56082818977</v>
      </c>
      <c r="I967">
        <v>31.072850215387088</v>
      </c>
    </row>
    <row r="968" spans="1:9" x14ac:dyDescent="0.2">
      <c r="A968">
        <v>963</v>
      </c>
      <c r="B968">
        <v>1071181.5574323623</v>
      </c>
      <c r="C968">
        <v>92858.263383288984</v>
      </c>
      <c r="D968">
        <v>126369.55358153387</v>
      </c>
      <c r="E968">
        <v>47019.696302905591</v>
      </c>
      <c r="F968">
        <v>39255.209744047308</v>
      </c>
      <c r="G968">
        <v>10000</v>
      </c>
      <c r="H968">
        <v>295502.72301177576</v>
      </c>
      <c r="I968">
        <v>32.344726557872214</v>
      </c>
    </row>
    <row r="969" spans="1:9" x14ac:dyDescent="0.2">
      <c r="A969">
        <v>964</v>
      </c>
      <c r="B969">
        <v>1090670.3132375469</v>
      </c>
      <c r="C969">
        <v>113222.8061567199</v>
      </c>
      <c r="D969">
        <v>63144.222945831476</v>
      </c>
      <c r="E969">
        <v>92100.644276724415</v>
      </c>
      <c r="F969">
        <v>42376.198449927077</v>
      </c>
      <c r="G969">
        <v>10000</v>
      </c>
      <c r="H969">
        <v>300843.87182920286</v>
      </c>
      <c r="I969">
        <v>29.56556791816611</v>
      </c>
    </row>
    <row r="970" spans="1:9" x14ac:dyDescent="0.2">
      <c r="A970">
        <v>965</v>
      </c>
      <c r="B970">
        <v>1355548.0479249074</v>
      </c>
      <c r="C970">
        <v>126379.93057862883</v>
      </c>
      <c r="D970">
        <v>117059.27239564965</v>
      </c>
      <c r="E970">
        <v>97264.205961024607</v>
      </c>
      <c r="F970">
        <v>42733.675797301701</v>
      </c>
      <c r="G970">
        <v>10000</v>
      </c>
      <c r="H970">
        <v>373437.0847326048</v>
      </c>
      <c r="I970">
        <v>37.998722830839952</v>
      </c>
    </row>
    <row r="971" spans="1:9" x14ac:dyDescent="0.2">
      <c r="A971">
        <v>966</v>
      </c>
      <c r="B971">
        <v>1464266.2242172696</v>
      </c>
      <c r="C971">
        <v>76170.10351139438</v>
      </c>
      <c r="D971">
        <v>101764.20372935428</v>
      </c>
      <c r="E971">
        <v>186394.20373202235</v>
      </c>
      <c r="F971">
        <v>48904.214104524617</v>
      </c>
      <c r="G971">
        <v>10000</v>
      </c>
      <c r="H971">
        <v>403232.72507729562</v>
      </c>
      <c r="I971">
        <v>45.58367720166126</v>
      </c>
    </row>
    <row r="972" spans="1:9" x14ac:dyDescent="0.2">
      <c r="A972">
        <v>967</v>
      </c>
      <c r="B972">
        <v>778055.89138729102</v>
      </c>
      <c r="C972">
        <v>92368.044382480875</v>
      </c>
      <c r="D972">
        <v>49091.845921047294</v>
      </c>
      <c r="E972">
        <v>44618.903197596657</v>
      </c>
      <c r="F972">
        <v>39089.000990602843</v>
      </c>
      <c r="G972">
        <v>10000</v>
      </c>
      <c r="H972">
        <v>215167.79449172766</v>
      </c>
      <c r="I972">
        <v>36.56452990816819</v>
      </c>
    </row>
    <row r="973" spans="1:9" x14ac:dyDescent="0.2">
      <c r="A973">
        <v>968</v>
      </c>
      <c r="B973">
        <v>1204513.0080908299</v>
      </c>
      <c r="C973">
        <v>140938.91692536481</v>
      </c>
      <c r="D973">
        <v>72979.665124777806</v>
      </c>
      <c r="E973">
        <v>86160.419447378474</v>
      </c>
      <c r="F973">
        <v>41964.952115587737</v>
      </c>
      <c r="G973">
        <v>10000</v>
      </c>
      <c r="H973">
        <v>332043.95361310884</v>
      </c>
      <c r="I973">
        <v>35.184098643070072</v>
      </c>
    </row>
    <row r="974" spans="1:9" x14ac:dyDescent="0.2">
      <c r="A974">
        <v>969</v>
      </c>
      <c r="B974">
        <v>1541726.3666711291</v>
      </c>
      <c r="C974">
        <v>117371.91947834349</v>
      </c>
      <c r="D974">
        <v>124331.36178822088</v>
      </c>
      <c r="E974">
        <v>146608.58538186474</v>
      </c>
      <c r="F974">
        <v>46149.825141821406</v>
      </c>
      <c r="G974">
        <v>10000</v>
      </c>
      <c r="H974">
        <v>424461.69179025054</v>
      </c>
      <c r="I974">
        <v>38.024903981071681</v>
      </c>
    </row>
    <row r="975" spans="1:9" x14ac:dyDescent="0.2">
      <c r="A975">
        <v>970</v>
      </c>
      <c r="B975">
        <v>1568847.9214550366</v>
      </c>
      <c r="C975">
        <v>107386.24074811809</v>
      </c>
      <c r="D975">
        <v>130393.19406577689</v>
      </c>
      <c r="E975">
        <v>157230.11269041104</v>
      </c>
      <c r="F975">
        <v>46885.161647797686</v>
      </c>
      <c r="G975">
        <v>10000</v>
      </c>
      <c r="H975">
        <v>431894.70915210369</v>
      </c>
      <c r="I975">
        <v>47.16885059637206</v>
      </c>
    </row>
    <row r="976" spans="1:9" x14ac:dyDescent="0.2">
      <c r="A976">
        <v>971</v>
      </c>
      <c r="B976">
        <v>1192628.6484885286</v>
      </c>
      <c r="C976">
        <v>128162.59105161563</v>
      </c>
      <c r="D976">
        <v>113868.36823429953</v>
      </c>
      <c r="E976">
        <v>56822.09271355575</v>
      </c>
      <c r="F976">
        <v>39933.837187861551</v>
      </c>
      <c r="G976">
        <v>10000</v>
      </c>
      <c r="H976">
        <v>328786.88918733248</v>
      </c>
      <c r="I976">
        <v>31.771637029070316</v>
      </c>
    </row>
    <row r="977" spans="1:9" x14ac:dyDescent="0.2">
      <c r="A977">
        <v>972</v>
      </c>
      <c r="B977">
        <v>1381745.2101388932</v>
      </c>
      <c r="C977">
        <v>113803.91843537849</v>
      </c>
      <c r="D977">
        <v>104062.81582857261</v>
      </c>
      <c r="E977">
        <v>127895.70771163605</v>
      </c>
      <c r="F977">
        <v>44854.318226190189</v>
      </c>
      <c r="G977">
        <v>10000</v>
      </c>
      <c r="H977">
        <v>380616.76020177733</v>
      </c>
      <c r="I977">
        <v>42.446694646226916</v>
      </c>
    </row>
    <row r="978" spans="1:9" x14ac:dyDescent="0.2">
      <c r="A978">
        <v>973</v>
      </c>
      <c r="B978">
        <v>1575794.8643316119</v>
      </c>
      <c r="C978">
        <v>132517.72379581834</v>
      </c>
      <c r="D978">
        <v>83376.306217668985</v>
      </c>
      <c r="E978">
        <v>179479.10344188497</v>
      </c>
      <c r="F978">
        <v>48425.476392130498</v>
      </c>
      <c r="G978">
        <v>10000</v>
      </c>
      <c r="H978">
        <v>433798.60984750278</v>
      </c>
      <c r="I978">
        <v>43.869063341881187</v>
      </c>
    </row>
    <row r="979" spans="1:9" x14ac:dyDescent="0.2">
      <c r="A979">
        <v>974</v>
      </c>
      <c r="B979">
        <v>862132.41011022916</v>
      </c>
      <c r="C979">
        <v>92056.980333218511</v>
      </c>
      <c r="D979">
        <v>83179.096450067635</v>
      </c>
      <c r="E979">
        <v>34579.98971954445</v>
      </c>
      <c r="F979">
        <v>38393.999288276151</v>
      </c>
      <c r="G979">
        <v>10000</v>
      </c>
      <c r="H979">
        <v>238210.06579110675</v>
      </c>
      <c r="I979">
        <v>34.373559703384032</v>
      </c>
    </row>
    <row r="980" spans="1:9" x14ac:dyDescent="0.2">
      <c r="A980">
        <v>975</v>
      </c>
      <c r="B980">
        <v>1645066.652076833</v>
      </c>
      <c r="C980">
        <v>90357.808219422499</v>
      </c>
      <c r="D980">
        <v>167919.9102650019</v>
      </c>
      <c r="E980">
        <v>157595.28911393104</v>
      </c>
      <c r="F980">
        <v>46910.443092502916</v>
      </c>
      <c r="G980">
        <v>10000</v>
      </c>
      <c r="H980">
        <v>452783.4506908583</v>
      </c>
      <c r="I980">
        <v>42.616857625455452</v>
      </c>
    </row>
    <row r="981" spans="1:9" x14ac:dyDescent="0.2">
      <c r="A981">
        <v>976</v>
      </c>
      <c r="B981">
        <v>1474859.7560796039</v>
      </c>
      <c r="C981">
        <v>115135.5211221262</v>
      </c>
      <c r="D981">
        <v>73217.421530139196</v>
      </c>
      <c r="E981">
        <v>179365.46919399378</v>
      </c>
      <c r="F981">
        <v>48417.609405738025</v>
      </c>
      <c r="G981">
        <v>10000</v>
      </c>
      <c r="H981">
        <v>406136.02125199715</v>
      </c>
      <c r="I981">
        <v>30.23804119255545</v>
      </c>
    </row>
    <row r="982" spans="1:9" x14ac:dyDescent="0.2">
      <c r="A982">
        <v>977</v>
      </c>
      <c r="B982">
        <v>1301633.7933678841</v>
      </c>
      <c r="C982">
        <v>103557.27368615201</v>
      </c>
      <c r="D982">
        <v>119054.77770954938</v>
      </c>
      <c r="E982">
        <v>102923.64268178181</v>
      </c>
      <c r="F982">
        <v>43125.482954892585</v>
      </c>
      <c r="G982">
        <v>10000</v>
      </c>
      <c r="H982">
        <v>358661.17703237577</v>
      </c>
      <c r="I982">
        <v>29.391229435371354</v>
      </c>
    </row>
    <row r="983" spans="1:9" x14ac:dyDescent="0.2">
      <c r="A983">
        <v>978</v>
      </c>
      <c r="B983">
        <v>1542502.2254317305</v>
      </c>
      <c r="C983">
        <v>152031.09983503554</v>
      </c>
      <c r="D983">
        <v>147063.3001232032</v>
      </c>
      <c r="E983">
        <v>93132.30497491188</v>
      </c>
      <c r="F983">
        <v>42447.621113647743</v>
      </c>
      <c r="G983">
        <v>10000</v>
      </c>
      <c r="H983">
        <v>424674.32604679832</v>
      </c>
      <c r="I983">
        <v>37.499064636494936</v>
      </c>
    </row>
    <row r="984" spans="1:9" x14ac:dyDescent="0.2">
      <c r="A984">
        <v>979</v>
      </c>
      <c r="B984">
        <v>1094341.1212619846</v>
      </c>
      <c r="C984">
        <v>102390.76997830544</v>
      </c>
      <c r="D984">
        <v>70508.404499388955</v>
      </c>
      <c r="E984">
        <v>96284.855746976318</v>
      </c>
      <c r="F984">
        <v>42665.874628636819</v>
      </c>
      <c r="G984">
        <v>10000</v>
      </c>
      <c r="H984">
        <v>301849.90485330753</v>
      </c>
      <c r="I984">
        <v>26.007006678600948</v>
      </c>
    </row>
    <row r="985" spans="1:9" x14ac:dyDescent="0.2">
      <c r="A985">
        <v>980</v>
      </c>
      <c r="B985">
        <v>1227166.7684402852</v>
      </c>
      <c r="C985">
        <v>112810.79671903775</v>
      </c>
      <c r="D985">
        <v>88653.162251892121</v>
      </c>
      <c r="E985">
        <v>103615.19477596458</v>
      </c>
      <c r="F985">
        <v>43173.359638336013</v>
      </c>
      <c r="G985">
        <v>10000</v>
      </c>
      <c r="H985">
        <v>338252.51338523044</v>
      </c>
      <c r="I985">
        <v>33.773980487184545</v>
      </c>
    </row>
    <row r="986" spans="1:9" x14ac:dyDescent="0.2">
      <c r="A986">
        <v>981</v>
      </c>
      <c r="B986">
        <v>1172762.6457914938</v>
      </c>
      <c r="C986">
        <v>119764.90580052405</v>
      </c>
      <c r="D986">
        <v>95682.672128852588</v>
      </c>
      <c r="E986">
        <v>76592.233729922329</v>
      </c>
      <c r="F986">
        <v>41302.539258225399</v>
      </c>
      <c r="G986">
        <v>10000</v>
      </c>
      <c r="H986">
        <v>323342.35091752437</v>
      </c>
      <c r="I986">
        <v>29.852001017409457</v>
      </c>
    </row>
    <row r="987" spans="1:9" x14ac:dyDescent="0.2">
      <c r="A987">
        <v>982</v>
      </c>
      <c r="B987">
        <v>1355381.6068006717</v>
      </c>
      <c r="C987">
        <v>113435.53020261314</v>
      </c>
      <c r="D987">
        <v>75375.982081616603</v>
      </c>
      <c r="E987">
        <v>148312.19007296502</v>
      </c>
      <c r="F987">
        <v>46267.767005051428</v>
      </c>
      <c r="G987">
        <v>10000</v>
      </c>
      <c r="H987">
        <v>373391.46936224616</v>
      </c>
      <c r="I987">
        <v>39.084419027304378</v>
      </c>
    </row>
    <row r="988" spans="1:9" x14ac:dyDescent="0.2">
      <c r="A988">
        <v>983</v>
      </c>
      <c r="B988">
        <v>1564562.0115818819</v>
      </c>
      <c r="C988">
        <v>148529.20608669281</v>
      </c>
      <c r="D988">
        <v>97126.354696870621</v>
      </c>
      <c r="E988">
        <v>148765.39583669789</v>
      </c>
      <c r="F988">
        <v>46299.142788694473</v>
      </c>
      <c r="G988">
        <v>10000</v>
      </c>
      <c r="H988">
        <v>430720.09940895578</v>
      </c>
      <c r="I988">
        <v>29.092783076913832</v>
      </c>
    </row>
    <row r="989" spans="1:9" x14ac:dyDescent="0.2">
      <c r="A989">
        <v>984</v>
      </c>
      <c r="B989">
        <v>1359930.9795136573</v>
      </c>
      <c r="C989">
        <v>115322.32354110393</v>
      </c>
      <c r="D989">
        <v>85209.956689776038</v>
      </c>
      <c r="E989">
        <v>138516.4069151312</v>
      </c>
      <c r="F989">
        <v>45589.597401816776</v>
      </c>
      <c r="G989">
        <v>10000</v>
      </c>
      <c r="H989">
        <v>374638.28454782791</v>
      </c>
      <c r="I989">
        <v>37.644837973959284</v>
      </c>
    </row>
    <row r="990" spans="1:9" x14ac:dyDescent="0.2">
      <c r="A990">
        <v>985</v>
      </c>
      <c r="B990">
        <v>1089260.7185155305</v>
      </c>
      <c r="C990">
        <v>127673.41514326744</v>
      </c>
      <c r="D990">
        <v>42553.75384005205</v>
      </c>
      <c r="E990">
        <v>97481.654986976879</v>
      </c>
      <c r="F990">
        <v>42748.729960636862</v>
      </c>
      <c r="G990">
        <v>10000</v>
      </c>
      <c r="H990">
        <v>300457.55393093324</v>
      </c>
      <c r="I990">
        <v>25.853214729944817</v>
      </c>
    </row>
    <row r="991" spans="1:9" x14ac:dyDescent="0.2">
      <c r="A991">
        <v>986</v>
      </c>
      <c r="B991">
        <v>1007282.3205775514</v>
      </c>
      <c r="C991">
        <v>123267.40602287877</v>
      </c>
      <c r="D991">
        <v>81281.068400433476</v>
      </c>
      <c r="E991">
        <v>44370.052806654407</v>
      </c>
      <c r="F991">
        <v>39071.772886614541</v>
      </c>
      <c r="G991">
        <v>10000</v>
      </c>
      <c r="H991">
        <v>277990.3001165812</v>
      </c>
      <c r="I991">
        <v>32.562137445433947</v>
      </c>
    </row>
    <row r="992" spans="1:9" x14ac:dyDescent="0.2">
      <c r="A992">
        <v>987</v>
      </c>
      <c r="B992">
        <v>1179837.3133350117</v>
      </c>
      <c r="C992">
        <v>70786.582979067593</v>
      </c>
      <c r="D992">
        <v>79621.708612642789</v>
      </c>
      <c r="E992">
        <v>139233.70793602866</v>
      </c>
      <c r="F992">
        <v>45639.256703263527</v>
      </c>
      <c r="G992">
        <v>10000</v>
      </c>
      <c r="H992">
        <v>325281.25623100251</v>
      </c>
      <c r="I992">
        <v>38.274109281579257</v>
      </c>
    </row>
    <row r="993" spans="1:9" x14ac:dyDescent="0.2">
      <c r="A993">
        <v>988</v>
      </c>
      <c r="B993">
        <v>1985098.7557452493</v>
      </c>
      <c r="C993">
        <v>166040.23483705954</v>
      </c>
      <c r="D993">
        <v>162145.21492904812</v>
      </c>
      <c r="E993">
        <v>179370.30867045608</v>
      </c>
      <c r="F993">
        <v>48417.944446416186</v>
      </c>
      <c r="G993">
        <v>10000</v>
      </c>
      <c r="H993">
        <v>545973.70288298</v>
      </c>
      <c r="I993">
        <v>41.199144194728774</v>
      </c>
    </row>
    <row r="994" spans="1:9" x14ac:dyDescent="0.2">
      <c r="A994">
        <v>989</v>
      </c>
      <c r="B994">
        <v>1254933.6330289298</v>
      </c>
      <c r="C994">
        <v>101133.48279352611</v>
      </c>
      <c r="D994">
        <v>82652.599761423538</v>
      </c>
      <c r="E994">
        <v>127265.60786791058</v>
      </c>
      <c r="F994">
        <v>44810.695929316891</v>
      </c>
      <c r="G994">
        <v>10000</v>
      </c>
      <c r="H994">
        <v>345862.38635217713</v>
      </c>
      <c r="I994">
        <v>28.433636904241162</v>
      </c>
    </row>
    <row r="995" spans="1:9" x14ac:dyDescent="0.2">
      <c r="A995">
        <v>990</v>
      </c>
      <c r="B995">
        <v>1225262.9197914877</v>
      </c>
      <c r="C995">
        <v>118596.17487122399</v>
      </c>
      <c r="D995">
        <v>54780.168465425471</v>
      </c>
      <c r="E995">
        <v>129396.19712481073</v>
      </c>
      <c r="F995">
        <v>44958.198262486898</v>
      </c>
      <c r="G995">
        <v>10000</v>
      </c>
      <c r="H995">
        <v>337730.73872394708</v>
      </c>
      <c r="I995">
        <v>50.456798558591615</v>
      </c>
    </row>
    <row r="996" spans="1:9" x14ac:dyDescent="0.2">
      <c r="A996">
        <v>991</v>
      </c>
      <c r="B996">
        <v>1340531.2085238993</v>
      </c>
      <c r="C996">
        <v>100767.0368736446</v>
      </c>
      <c r="D996">
        <v>82344.002346154753</v>
      </c>
      <c r="E996">
        <v>149837.14327653244</v>
      </c>
      <c r="F996">
        <v>46373.34068837532</v>
      </c>
      <c r="G996">
        <v>10000</v>
      </c>
      <c r="H996">
        <v>369321.52318470704</v>
      </c>
      <c r="I996">
        <v>36.845058369675286</v>
      </c>
    </row>
    <row r="997" spans="1:9" x14ac:dyDescent="0.2">
      <c r="A997">
        <v>992</v>
      </c>
      <c r="B997">
        <v>1099220.9908643023</v>
      </c>
      <c r="C997">
        <v>106972.74618063412</v>
      </c>
      <c r="D997">
        <v>123102.45828327599</v>
      </c>
      <c r="E997">
        <v>44061.669316410924</v>
      </c>
      <c r="F997">
        <v>39050.423260366915</v>
      </c>
      <c r="G997">
        <v>10000</v>
      </c>
      <c r="H997">
        <v>303187.29704068793</v>
      </c>
      <c r="I997">
        <v>30.154834929881467</v>
      </c>
    </row>
    <row r="998" spans="1:9" x14ac:dyDescent="0.2">
      <c r="A998">
        <v>993</v>
      </c>
      <c r="B998">
        <v>1033658.2757937219</v>
      </c>
      <c r="C998">
        <v>142783.13341568192</v>
      </c>
      <c r="D998">
        <v>57518.531445578279</v>
      </c>
      <c r="E998">
        <v>55102.521349242081</v>
      </c>
      <c r="F998">
        <v>39814.789939562914</v>
      </c>
      <c r="G998">
        <v>10000</v>
      </c>
      <c r="H998">
        <v>285218.97615006519</v>
      </c>
      <c r="I998">
        <v>33.492902113373709</v>
      </c>
    </row>
    <row r="999" spans="1:9" x14ac:dyDescent="0.2">
      <c r="A999">
        <v>994</v>
      </c>
      <c r="B999">
        <v>1036954.0816390393</v>
      </c>
      <c r="C999">
        <v>95316.635489314111</v>
      </c>
      <c r="D999">
        <v>94428.519545863819</v>
      </c>
      <c r="E999">
        <v>65820.29053482048</v>
      </c>
      <c r="F999">
        <v>40556.789344718338</v>
      </c>
      <c r="G999">
        <v>10000</v>
      </c>
      <c r="H999">
        <v>286122.23491471674</v>
      </c>
      <c r="I999">
        <v>56.292522352282539</v>
      </c>
    </row>
    <row r="1000" spans="1:9" x14ac:dyDescent="0.2">
      <c r="A1000">
        <v>995</v>
      </c>
      <c r="B1000">
        <v>1370202.2900400285</v>
      </c>
      <c r="C1000">
        <v>130715.88358104596</v>
      </c>
      <c r="D1000">
        <v>130294.78175525596</v>
      </c>
      <c r="E1000">
        <v>84586.610309858748</v>
      </c>
      <c r="F1000">
        <v>41855.996098374839</v>
      </c>
      <c r="G1000">
        <v>10000</v>
      </c>
      <c r="H1000">
        <v>377453.27174453548</v>
      </c>
      <c r="I1000">
        <v>38.37078300921511</v>
      </c>
    </row>
    <row r="1001" spans="1:9" x14ac:dyDescent="0.2">
      <c r="A1001">
        <v>996</v>
      </c>
      <c r="B1001">
        <v>1262535.3829680027</v>
      </c>
      <c r="C1001">
        <v>121541.46245611827</v>
      </c>
      <c r="D1001">
        <v>146129.12224464325</v>
      </c>
      <c r="E1001">
        <v>50760.941755213193</v>
      </c>
      <c r="F1001">
        <v>39514.219044591679</v>
      </c>
      <c r="G1001">
        <v>10000</v>
      </c>
      <c r="H1001">
        <v>347945.74550056644</v>
      </c>
      <c r="I1001">
        <v>36.570564046534066</v>
      </c>
    </row>
    <row r="1002" spans="1:9" x14ac:dyDescent="0.2">
      <c r="A1002">
        <v>997</v>
      </c>
      <c r="B1002">
        <v>943394.83893962251</v>
      </c>
      <c r="C1002">
        <v>79653.182390504444</v>
      </c>
      <c r="D1002">
        <v>112479.5725045858</v>
      </c>
      <c r="E1002">
        <v>39606.364889718338</v>
      </c>
      <c r="F1002">
        <v>38741.979107749728</v>
      </c>
      <c r="G1002">
        <v>10000</v>
      </c>
      <c r="H1002">
        <v>260481.09889255831</v>
      </c>
      <c r="I1002">
        <v>40.669836711723192</v>
      </c>
    </row>
    <row r="1003" spans="1:9" x14ac:dyDescent="0.2">
      <c r="A1003">
        <v>998</v>
      </c>
      <c r="B1003">
        <v>1593506.2228407601</v>
      </c>
      <c r="C1003">
        <v>109193.66197758346</v>
      </c>
      <c r="D1003">
        <v>91143.910354713022</v>
      </c>
      <c r="E1003">
        <v>198568.04857359544</v>
      </c>
      <c r="F1003">
        <v>49747.018747402763</v>
      </c>
      <c r="G1003">
        <v>10000</v>
      </c>
      <c r="H1003">
        <v>438652.63965329464</v>
      </c>
      <c r="I1003">
        <v>31.227750732115819</v>
      </c>
    </row>
    <row r="1004" spans="1:9" x14ac:dyDescent="0.2">
      <c r="A1004">
        <v>999</v>
      </c>
      <c r="B1004">
        <v>1296967.85212387</v>
      </c>
      <c r="C1004">
        <v>73430.211488049565</v>
      </c>
      <c r="D1004">
        <v>145415.56996282691</v>
      </c>
      <c r="E1004">
        <v>105250.0886632592</v>
      </c>
      <c r="F1004">
        <v>43286.544599764093</v>
      </c>
      <c r="G1004">
        <v>10000</v>
      </c>
      <c r="H1004">
        <v>357382.41471389978</v>
      </c>
      <c r="I1004">
        <v>26.996156402151211</v>
      </c>
    </row>
    <row r="1005" spans="1:9" x14ac:dyDescent="0.2">
      <c r="A1005">
        <v>1000</v>
      </c>
      <c r="B1005">
        <v>1043154.0665327567</v>
      </c>
      <c r="C1005">
        <v>108742.82862217911</v>
      </c>
      <c r="D1005">
        <v>117606.34687013904</v>
      </c>
      <c r="E1005">
        <v>33175.482336231362</v>
      </c>
      <c r="F1005">
        <v>38296.764161739091</v>
      </c>
      <c r="G1005">
        <v>10000</v>
      </c>
      <c r="H1005">
        <v>287821.4219902886</v>
      </c>
      <c r="I1005">
        <v>36.243074219036004</v>
      </c>
    </row>
    <row r="1010" spans="1:2" ht="19" x14ac:dyDescent="0.25">
      <c r="A1010" s="4" t="s">
        <v>385</v>
      </c>
    </row>
    <row r="1011" spans="1:2" x14ac:dyDescent="0.2">
      <c r="A1011" t="s">
        <v>386</v>
      </c>
      <c r="B1011" s="14">
        <f>AVERAGE(B6:B1005)</f>
        <v>1292501.6553301455</v>
      </c>
    </row>
    <row r="1012" spans="1:2" x14ac:dyDescent="0.2">
      <c r="A1012" t="s">
        <v>387</v>
      </c>
      <c r="B1012" s="14">
        <f>PERCENTILE(B6:B1005,0.1)</f>
        <v>967030.13201270613</v>
      </c>
    </row>
    <row r="1013" spans="1:2" x14ac:dyDescent="0.2">
      <c r="A1013" t="s">
        <v>388</v>
      </c>
      <c r="B1013" s="14">
        <f>PERCENTILE(B6:B1005,0.5)</f>
        <v>1283818.0270790672</v>
      </c>
    </row>
    <row r="1014" spans="1:2" x14ac:dyDescent="0.2">
      <c r="A1014" t="s">
        <v>389</v>
      </c>
      <c r="B1014" s="14">
        <f>PERCENTILE(B6:B1005,0.9)</f>
        <v>1627316.1087613499</v>
      </c>
    </row>
    <row r="1015" spans="1:2" x14ac:dyDescent="0.2">
      <c r="A1015" t="s">
        <v>390</v>
      </c>
      <c r="B1015" s="14">
        <f>STDEV(B6:B1005)</f>
        <v>251804.23409808159</v>
      </c>
    </row>
    <row r="1016" spans="1:2" x14ac:dyDescent="0.2">
      <c r="A1016" t="s">
        <v>391</v>
      </c>
      <c r="B1016" s="21">
        <f>COUNTIF(B6:B1005,"&gt;0")/1000</f>
        <v>1</v>
      </c>
    </row>
    <row r="1018" spans="1:2" ht="19" x14ac:dyDescent="0.25">
      <c r="A1018" s="4" t="s">
        <v>392</v>
      </c>
    </row>
    <row r="1019" spans="1:2" x14ac:dyDescent="0.2">
      <c r="A1019" t="s">
        <v>393</v>
      </c>
      <c r="B1019" s="19">
        <f>AVERAGE(I6:I1005)</f>
        <v>36.480041144755639</v>
      </c>
    </row>
    <row r="1020" spans="1:2" x14ac:dyDescent="0.2">
      <c r="A1020" t="s">
        <v>394</v>
      </c>
      <c r="B1020" s="19">
        <f>PERCENTILE(I6:I1005,0.1)</f>
        <v>28.079203181232451</v>
      </c>
    </row>
    <row r="1021" spans="1:2" x14ac:dyDescent="0.2">
      <c r="A1021" t="s">
        <v>395</v>
      </c>
      <c r="B1021" s="19">
        <f>PERCENTILE(I6:I1005,0.5)</f>
        <v>35.479583428897399</v>
      </c>
    </row>
    <row r="1022" spans="1:2" x14ac:dyDescent="0.2">
      <c r="A1022" t="s">
        <v>396</v>
      </c>
      <c r="B1022" s="19">
        <f>PERCENTILE(I6:I1005,0.9)</f>
        <v>46.559648734233591</v>
      </c>
    </row>
    <row r="1023" spans="1:2" x14ac:dyDescent="0.2">
      <c r="A1023" t="s">
        <v>397</v>
      </c>
      <c r="B1023" s="21">
        <f>COUNTIF(I6:I1005,"&lt;="&amp;Season_Length)/1000</f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472C4"/>
  </sheetPr>
  <dimension ref="A1:A4"/>
  <sheetViews>
    <sheetView workbookViewId="0"/>
  </sheetViews>
  <sheetFormatPr baseColWidth="10" defaultColWidth="8.83203125" defaultRowHeight="15" x14ac:dyDescent="0.2"/>
  <cols>
    <col min="1" max="1" width="60" customWidth="1"/>
  </cols>
  <sheetData>
    <row r="1" spans="1:1" ht="21" x14ac:dyDescent="0.25">
      <c r="A1" s="5" t="s">
        <v>398</v>
      </c>
    </row>
    <row r="3" spans="1:1" x14ac:dyDescent="0.2">
      <c r="A3" t="s">
        <v>399</v>
      </c>
    </row>
    <row r="4" spans="1:1" x14ac:dyDescent="0.2">
      <c r="A4" t="s">
        <v>400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472C4"/>
  </sheetPr>
  <dimension ref="A1:J14"/>
  <sheetViews>
    <sheetView workbookViewId="0"/>
  </sheetViews>
  <sheetFormatPr baseColWidth="10" defaultColWidth="8.83203125" defaultRowHeight="15" x14ac:dyDescent="0.2"/>
  <cols>
    <col min="1" max="5" width="12" customWidth="1"/>
    <col min="6" max="6" width="14" customWidth="1"/>
    <col min="7" max="7" width="12" customWidth="1"/>
    <col min="8" max="8" width="14" customWidth="1"/>
    <col min="9" max="9" width="16" customWidth="1"/>
    <col min="10" max="10" width="14" customWidth="1"/>
  </cols>
  <sheetData>
    <row r="1" spans="1:10" ht="21" x14ac:dyDescent="0.25">
      <c r="A1" s="5" t="s">
        <v>401</v>
      </c>
    </row>
    <row r="3" spans="1:10" x14ac:dyDescent="0.2">
      <c r="A3" s="7" t="s">
        <v>217</v>
      </c>
      <c r="B3" s="7" t="s">
        <v>402</v>
      </c>
      <c r="C3" s="7" t="s">
        <v>403</v>
      </c>
      <c r="D3" s="7" t="s">
        <v>404</v>
      </c>
      <c r="E3" s="7" t="s">
        <v>405</v>
      </c>
      <c r="F3" s="7" t="s">
        <v>406</v>
      </c>
      <c r="G3" s="7" t="s">
        <v>407</v>
      </c>
      <c r="H3" s="7" t="s">
        <v>408</v>
      </c>
      <c r="I3" s="7" t="s">
        <v>330</v>
      </c>
      <c r="J3" s="7" t="s">
        <v>409</v>
      </c>
    </row>
    <row r="4" spans="1:10" x14ac:dyDescent="0.2">
      <c r="A4">
        <f>Base_Year+0</f>
        <v>2026</v>
      </c>
      <c r="B4" s="14">
        <f ca="1">S1_Value*INDEX(Timeline_LearningMult,2)</f>
        <v>59555.025787406099</v>
      </c>
      <c r="C4" s="14">
        <f ca="1">S2_Value*INDEX(Timeline_LearningMult,2)</f>
        <v>39891.162537813238</v>
      </c>
      <c r="D4" s="14">
        <f ca="1">S3_Value*INDEX(Timeline_LearningMult,2)</f>
        <v>90637.424091236826</v>
      </c>
      <c r="E4" s="14">
        <f ca="1">S4_Value*INDEX(Timeline_LearningMult,2)</f>
        <v>24274.898590931778</v>
      </c>
      <c r="F4" s="14">
        <f ca="1">SUM(B4:E4)</f>
        <v>214358.51100738795</v>
      </c>
      <c r="G4" s="14">
        <f>Testing_Cost</f>
        <v>10000</v>
      </c>
      <c r="H4" s="14">
        <f ca="1">F4-G4</f>
        <v>204358.51100738795</v>
      </c>
      <c r="I4">
        <f>INDEX(Timeline_DiscountFactor,2)</f>
        <v>0.95419847328244267</v>
      </c>
      <c r="J4" s="14">
        <f ca="1">H4*I4</f>
        <v>194998.57920552284</v>
      </c>
    </row>
    <row r="5" spans="1:10" x14ac:dyDescent="0.2">
      <c r="A5">
        <f>Base_Year+1</f>
        <v>2027</v>
      </c>
      <c r="B5" s="14">
        <f ca="1">S1_Value*INDEX(Timeline_LearningMult,3)</f>
        <v>89332.538681109145</v>
      </c>
      <c r="C5" s="14">
        <f ca="1">S2_Value*INDEX(Timeline_LearningMult,3)</f>
        <v>59836.743806719853</v>
      </c>
      <c r="D5" s="14">
        <f ca="1">S3_Value*INDEX(Timeline_LearningMult,3)</f>
        <v>135956.13613685523</v>
      </c>
      <c r="E5" s="14">
        <f ca="1">S4_Value*INDEX(Timeline_LearningMult,3)</f>
        <v>36412.347886397663</v>
      </c>
      <c r="F5" s="14">
        <f ca="1">SUM(B5:E5)</f>
        <v>321537.76651108189</v>
      </c>
      <c r="G5" s="14">
        <f>Testing_Cost</f>
        <v>10000</v>
      </c>
      <c r="H5" s="14">
        <f ca="1">F5-G5</f>
        <v>311537.76651108189</v>
      </c>
      <c r="I5">
        <f>INDEX(Timeline_DiscountFactor,3)</f>
        <v>0.91049472641454443</v>
      </c>
      <c r="J5" s="14">
        <f ca="1">H5*I5</f>
        <v>283653.49348730571</v>
      </c>
    </row>
    <row r="6" spans="1:10" x14ac:dyDescent="0.2">
      <c r="A6">
        <f>Base_Year+2</f>
        <v>2028</v>
      </c>
      <c r="B6" s="14">
        <f ca="1">S1_Value*INDEX(Timeline_LearningMult,4)</f>
        <v>119110.0515748122</v>
      </c>
      <c r="C6" s="14">
        <f ca="1">S2_Value*INDEX(Timeline_LearningMult,4)</f>
        <v>79782.325075626475</v>
      </c>
      <c r="D6" s="14">
        <f ca="1">S3_Value*INDEX(Timeline_LearningMult,4)</f>
        <v>181274.84818247365</v>
      </c>
      <c r="E6" s="14">
        <f ca="1">S4_Value*INDEX(Timeline_LearningMult,4)</f>
        <v>48549.797181863556</v>
      </c>
      <c r="F6" s="14">
        <f ca="1">SUM(B6:E6)</f>
        <v>428717.0220147759</v>
      </c>
      <c r="G6" s="14">
        <f>Testing_Cost</f>
        <v>10000</v>
      </c>
      <c r="H6" s="14">
        <f ca="1">F6-G6</f>
        <v>418717.0220147759</v>
      </c>
      <c r="I6">
        <f>INDEX(Timeline_DiscountFactor,4)</f>
        <v>0.86879267787647374</v>
      </c>
      <c r="J6" s="14">
        <f ca="1">H6*I6</f>
        <v>363778.28282867954</v>
      </c>
    </row>
    <row r="7" spans="1:10" x14ac:dyDescent="0.2">
      <c r="A7">
        <f>Base_Year+3</f>
        <v>2029</v>
      </c>
      <c r="B7" s="14">
        <f ca="1">S1_Value*INDEX(Timeline_LearningMult,5)</f>
        <v>119110.0515748122</v>
      </c>
      <c r="C7" s="14">
        <f ca="1">S2_Value*INDEX(Timeline_LearningMult,5)</f>
        <v>79782.325075626475</v>
      </c>
      <c r="D7" s="14">
        <f ca="1">S3_Value*INDEX(Timeline_LearningMult,5)</f>
        <v>181274.84818247365</v>
      </c>
      <c r="E7" s="14">
        <f ca="1">S4_Value*INDEX(Timeline_LearningMult,5)</f>
        <v>48549.797181863556</v>
      </c>
      <c r="F7" s="14">
        <f ca="1">SUM(B7:E7)</f>
        <v>428717.0220147759</v>
      </c>
      <c r="G7" s="14">
        <f>Testing_Cost</f>
        <v>10000</v>
      </c>
      <c r="H7" s="14">
        <f ca="1">F7-G7</f>
        <v>418717.0220147759</v>
      </c>
      <c r="I7">
        <f>INDEX(Timeline_DiscountFactor,5)</f>
        <v>0.82900064682869612</v>
      </c>
      <c r="J7" s="14">
        <f ca="1">H7*I7</f>
        <v>347116.68208843464</v>
      </c>
    </row>
    <row r="8" spans="1:10" x14ac:dyDescent="0.2">
      <c r="A8">
        <f>Base_Year+4</f>
        <v>2030</v>
      </c>
      <c r="B8" s="14">
        <f ca="1">S1_Value*INDEX(Timeline_LearningMult,6)</f>
        <v>119110.0515748122</v>
      </c>
      <c r="C8" s="14">
        <f ca="1">S2_Value*INDEX(Timeline_LearningMult,6)</f>
        <v>79782.325075626475</v>
      </c>
      <c r="D8" s="14">
        <f ca="1">S3_Value*INDEX(Timeline_LearningMult,6)</f>
        <v>181274.84818247365</v>
      </c>
      <c r="E8" s="14">
        <f ca="1">S4_Value*INDEX(Timeline_LearningMult,6)</f>
        <v>48549.797181863556</v>
      </c>
      <c r="F8" s="14">
        <f ca="1">SUM(B8:E8)</f>
        <v>428717.0220147759</v>
      </c>
      <c r="G8" s="14">
        <f>Testing_Cost</f>
        <v>10000</v>
      </c>
      <c r="H8" s="14">
        <f ca="1">F8-G8</f>
        <v>418717.0220147759</v>
      </c>
      <c r="I8">
        <f>INDEX(Timeline_DiscountFactor,6)</f>
        <v>0.79103115155409931</v>
      </c>
      <c r="J8" s="14">
        <f ca="1">H8*I8</f>
        <v>331218.20809965133</v>
      </c>
    </row>
    <row r="11" spans="1:10" ht="19" x14ac:dyDescent="0.25">
      <c r="A11" s="4" t="s">
        <v>410</v>
      </c>
    </row>
    <row r="12" spans="1:10" x14ac:dyDescent="0.2">
      <c r="A12" t="s">
        <v>411</v>
      </c>
      <c r="B12" s="14">
        <f ca="1">SUM(J4:J8)</f>
        <v>1520765.2457095941</v>
      </c>
    </row>
    <row r="13" spans="1:10" x14ac:dyDescent="0.2">
      <c r="A13" t="s">
        <v>412</v>
      </c>
      <c r="B13" s="14">
        <f ca="1">SUM(F4:F8)</f>
        <v>1822047.3435627976</v>
      </c>
    </row>
    <row r="14" spans="1:10" x14ac:dyDescent="0.2">
      <c r="A14" t="s">
        <v>413</v>
      </c>
      <c r="B14" s="14">
        <f ca="1">SUM(H4:H8)</f>
        <v>1772047.3435627976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472C4"/>
  </sheetPr>
  <dimension ref="A1:D8"/>
  <sheetViews>
    <sheetView workbookViewId="0"/>
  </sheetViews>
  <sheetFormatPr baseColWidth="10" defaultColWidth="8.83203125" defaultRowHeight="15" x14ac:dyDescent="0.2"/>
  <cols>
    <col min="1" max="1" width="12" customWidth="1"/>
    <col min="2" max="4" width="16" customWidth="1"/>
  </cols>
  <sheetData>
    <row r="1" spans="1:4" ht="21" x14ac:dyDescent="0.25">
      <c r="A1" s="5" t="s">
        <v>414</v>
      </c>
    </row>
    <row r="3" spans="1:4" x14ac:dyDescent="0.2">
      <c r="A3" s="7" t="s">
        <v>217</v>
      </c>
      <c r="B3" s="7" t="s">
        <v>415</v>
      </c>
      <c r="C3" s="7" t="s">
        <v>416</v>
      </c>
      <c r="D3" s="7" t="s">
        <v>417</v>
      </c>
    </row>
    <row r="4" spans="1:4" x14ac:dyDescent="0.2">
      <c r="A4">
        <f>Base_Year+0</f>
        <v>2026</v>
      </c>
      <c r="B4" s="14">
        <f ca="1">'12_PL_Annual'!H4</f>
        <v>204358.51100738795</v>
      </c>
      <c r="C4" s="14">
        <f ca="1">B4</f>
        <v>204358.51100738795</v>
      </c>
      <c r="D4" s="14">
        <f ca="1">'12_PL_Annual'!J4</f>
        <v>194998.57920552284</v>
      </c>
    </row>
    <row r="5" spans="1:4" x14ac:dyDescent="0.2">
      <c r="A5">
        <f>Base_Year+1</f>
        <v>2027</v>
      </c>
      <c r="B5" s="14">
        <f ca="1">'12_PL_Annual'!H5</f>
        <v>311537.76651108189</v>
      </c>
      <c r="C5" s="14">
        <f ca="1">C4+B5</f>
        <v>515896.27751846984</v>
      </c>
      <c r="D5" s="14">
        <f ca="1">D4+'12_PL_Annual'!J5</f>
        <v>478652.07269282854</v>
      </c>
    </row>
    <row r="6" spans="1:4" x14ac:dyDescent="0.2">
      <c r="A6">
        <f>Base_Year+2</f>
        <v>2028</v>
      </c>
      <c r="B6" s="14">
        <f ca="1">'12_PL_Annual'!H6</f>
        <v>418717.0220147759</v>
      </c>
      <c r="C6" s="14">
        <f ca="1">C5+B6</f>
        <v>934613.29953324574</v>
      </c>
      <c r="D6" s="14">
        <f ca="1">D5+'12_PL_Annual'!J6</f>
        <v>842430.35552150803</v>
      </c>
    </row>
    <row r="7" spans="1:4" x14ac:dyDescent="0.2">
      <c r="A7">
        <f>Base_Year+3</f>
        <v>2029</v>
      </c>
      <c r="B7" s="14">
        <f ca="1">'12_PL_Annual'!H7</f>
        <v>418717.0220147759</v>
      </c>
      <c r="C7" s="14">
        <f ca="1">C6+B7</f>
        <v>1353330.3215480216</v>
      </c>
      <c r="D7" s="14">
        <f ca="1">D6+'12_PL_Annual'!J7</f>
        <v>1189547.0376099427</v>
      </c>
    </row>
    <row r="8" spans="1:4" x14ac:dyDescent="0.2">
      <c r="A8">
        <f>Base_Year+4</f>
        <v>2030</v>
      </c>
      <c r="B8" s="14">
        <f ca="1">'12_PL_Annual'!H8</f>
        <v>418717.0220147759</v>
      </c>
      <c r="C8" s="14">
        <f ca="1">C7+B8</f>
        <v>1772047.3435627976</v>
      </c>
      <c r="D8" s="14">
        <f ca="1">D7+'12_PL_Annual'!J8</f>
        <v>1520765.2457095941</v>
      </c>
    </row>
  </sheetData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472C4"/>
  </sheetPr>
  <dimension ref="A1:D17"/>
  <sheetViews>
    <sheetView workbookViewId="0"/>
  </sheetViews>
  <sheetFormatPr baseColWidth="10" defaultColWidth="8.83203125" defaultRowHeight="15" x14ac:dyDescent="0.2"/>
  <cols>
    <col min="1" max="1" width="28" customWidth="1"/>
    <col min="2" max="2" width="18" customWidth="1"/>
    <col min="3" max="3" width="10" customWidth="1"/>
    <col min="4" max="4" width="25" customWidth="1"/>
  </cols>
  <sheetData>
    <row r="1" spans="1:4" ht="21" x14ac:dyDescent="0.25">
      <c r="A1" s="5" t="s">
        <v>418</v>
      </c>
    </row>
    <row r="3" spans="1:4" x14ac:dyDescent="0.2">
      <c r="A3" s="7" t="s">
        <v>334</v>
      </c>
      <c r="B3" s="7" t="s">
        <v>48</v>
      </c>
      <c r="C3" s="7" t="s">
        <v>169</v>
      </c>
      <c r="D3" s="7" t="s">
        <v>335</v>
      </c>
    </row>
    <row r="4" spans="1:4" x14ac:dyDescent="0.2">
      <c r="A4" t="s">
        <v>419</v>
      </c>
      <c r="B4">
        <f>Annual_Throughput</f>
        <v>50000</v>
      </c>
      <c r="C4" t="s">
        <v>205</v>
      </c>
      <c r="D4" t="s">
        <v>420</v>
      </c>
    </row>
    <row r="5" spans="1:4" x14ac:dyDescent="0.2">
      <c r="A5" t="s">
        <v>421</v>
      </c>
      <c r="B5" s="23">
        <f ca="1">Gross_Value</f>
        <v>428717.0220147759</v>
      </c>
      <c r="C5" t="s">
        <v>214</v>
      </c>
      <c r="D5" t="s">
        <v>422</v>
      </c>
    </row>
    <row r="6" spans="1:4" x14ac:dyDescent="0.2">
      <c r="A6" t="s">
        <v>423</v>
      </c>
      <c r="B6" s="23">
        <f>Testing_Cost</f>
        <v>10000</v>
      </c>
      <c r="C6" t="s">
        <v>214</v>
      </c>
      <c r="D6" t="s">
        <v>424</v>
      </c>
    </row>
    <row r="7" spans="1:4" x14ac:dyDescent="0.2">
      <c r="A7" t="s">
        <v>425</v>
      </c>
      <c r="B7" s="23">
        <f ca="1">Gross_Value-Testing_Cost</f>
        <v>418717.0220147759</v>
      </c>
      <c r="C7" t="s">
        <v>214</v>
      </c>
      <c r="D7" t="s">
        <v>426</v>
      </c>
    </row>
    <row r="8" spans="1:4" x14ac:dyDescent="0.2">
      <c r="A8" t="s">
        <v>427</v>
      </c>
      <c r="B8" s="23">
        <f ca="1">Gross_Value/Annual_Throughput</f>
        <v>8.5743404402955186</v>
      </c>
      <c r="C8" t="s">
        <v>208</v>
      </c>
      <c r="D8" t="s">
        <v>428</v>
      </c>
    </row>
    <row r="9" spans="1:4" x14ac:dyDescent="0.2">
      <c r="A9" t="s">
        <v>429</v>
      </c>
      <c r="B9" s="23">
        <f ca="1">(Gross_Value-Testing_Cost)/Annual_Throughput</f>
        <v>8.3743404402955175</v>
      </c>
      <c r="C9" t="s">
        <v>208</v>
      </c>
      <c r="D9" t="s">
        <v>430</v>
      </c>
    </row>
    <row r="10" spans="1:4" x14ac:dyDescent="0.2">
      <c r="A10" t="s">
        <v>431</v>
      </c>
      <c r="B10" s="23">
        <f>Testing_Cost/Annual_Throughput</f>
        <v>0.2</v>
      </c>
      <c r="C10" t="s">
        <v>208</v>
      </c>
      <c r="D10" t="s">
        <v>432</v>
      </c>
    </row>
    <row r="11" spans="1:4" x14ac:dyDescent="0.2">
      <c r="A11" t="s">
        <v>433</v>
      </c>
      <c r="B11" s="23">
        <f ca="1">NPV_Total/(Annual_Throughput*5)</f>
        <v>6.0830609828383766</v>
      </c>
      <c r="C11" t="s">
        <v>208</v>
      </c>
      <c r="D11" t="s">
        <v>434</v>
      </c>
    </row>
    <row r="14" spans="1:4" ht="19" x14ac:dyDescent="0.25">
      <c r="A14" s="4" t="s">
        <v>435</v>
      </c>
    </row>
    <row r="15" spans="1:4" x14ac:dyDescent="0.2">
      <c r="A15" t="s">
        <v>436</v>
      </c>
      <c r="B15" s="14">
        <f>INDEX(TestOpt_Cost,MATCH(Testing_Option,TestOpt_Option,0))</f>
        <v>10</v>
      </c>
    </row>
    <row r="16" spans="1:4" x14ac:dyDescent="0.2">
      <c r="A16" t="s">
        <v>437</v>
      </c>
      <c r="B16">
        <f>Testing_Cost/INDEX(TestOpt_Cost,MATCH(Testing_Option,TestOpt_Option,0))</f>
        <v>1000</v>
      </c>
    </row>
    <row r="17" spans="1:2" x14ac:dyDescent="0.2">
      <c r="A17" t="s">
        <v>438</v>
      </c>
      <c r="B17" s="23">
        <f ca="1">(Gross_Value-Testing_Cost)/(Testing_Cost/INDEX(TestOpt_Cost,MATCH(Testing_Option,TestOpt_Option,0)))</f>
        <v>418.71702201477592</v>
      </c>
    </row>
  </sheetData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472C4"/>
  </sheetPr>
  <dimension ref="A1:G19"/>
  <sheetViews>
    <sheetView workbookViewId="0"/>
  </sheetViews>
  <sheetFormatPr baseColWidth="10" defaultColWidth="8.83203125" defaultRowHeight="15" x14ac:dyDescent="0.2"/>
  <cols>
    <col min="1" max="1" width="18" customWidth="1"/>
    <col min="2" max="4" width="12" customWidth="1"/>
    <col min="5" max="7" width="15" customWidth="1"/>
  </cols>
  <sheetData>
    <row r="1" spans="1:7" ht="21" x14ac:dyDescent="0.25">
      <c r="A1" s="5" t="s">
        <v>439</v>
      </c>
    </row>
    <row r="2" spans="1:7" x14ac:dyDescent="0.2">
      <c r="A2" s="24" t="s">
        <v>440</v>
      </c>
    </row>
    <row r="4" spans="1:7" x14ac:dyDescent="0.2">
      <c r="A4" s="7" t="s">
        <v>47</v>
      </c>
      <c r="B4" s="7" t="s">
        <v>318</v>
      </c>
      <c r="C4" s="7" t="s">
        <v>56</v>
      </c>
      <c r="D4" s="7" t="s">
        <v>319</v>
      </c>
      <c r="E4" s="7" t="s">
        <v>441</v>
      </c>
      <c r="F4" s="7" t="s">
        <v>442</v>
      </c>
      <c r="G4" s="7" t="s">
        <v>443</v>
      </c>
    </row>
    <row r="5" spans="1:7" x14ac:dyDescent="0.2">
      <c r="A5" t="s">
        <v>444</v>
      </c>
      <c r="B5">
        <v>3</v>
      </c>
      <c r="C5">
        <v>5</v>
      </c>
      <c r="D5">
        <v>10</v>
      </c>
      <c r="E5" t="s">
        <v>445</v>
      </c>
      <c r="F5" t="s">
        <v>445</v>
      </c>
      <c r="G5" t="s">
        <v>445</v>
      </c>
    </row>
    <row r="6" spans="1:7" x14ac:dyDescent="0.2">
      <c r="A6" t="s">
        <v>58</v>
      </c>
      <c r="B6">
        <v>0.04</v>
      </c>
      <c r="C6">
        <v>4.8000000000000001E-2</v>
      </c>
      <c r="D6">
        <v>0.06</v>
      </c>
      <c r="E6" t="s">
        <v>445</v>
      </c>
      <c r="F6" t="s">
        <v>445</v>
      </c>
      <c r="G6" t="s">
        <v>445</v>
      </c>
    </row>
    <row r="7" spans="1:7" x14ac:dyDescent="0.2">
      <c r="A7" t="s">
        <v>446</v>
      </c>
      <c r="B7">
        <v>80</v>
      </c>
      <c r="C7">
        <v>100</v>
      </c>
      <c r="D7">
        <v>120</v>
      </c>
      <c r="E7" t="s">
        <v>445</v>
      </c>
      <c r="F7" t="s">
        <v>445</v>
      </c>
      <c r="G7" t="s">
        <v>445</v>
      </c>
    </row>
    <row r="8" spans="1:7" x14ac:dyDescent="0.2">
      <c r="A8" t="s">
        <v>447</v>
      </c>
      <c r="B8">
        <v>0.5</v>
      </c>
      <c r="C8">
        <v>1</v>
      </c>
      <c r="D8">
        <v>2</v>
      </c>
      <c r="E8" t="s">
        <v>445</v>
      </c>
      <c r="F8" t="s">
        <v>445</v>
      </c>
      <c r="G8" t="s">
        <v>445</v>
      </c>
    </row>
    <row r="11" spans="1:7" ht="19" x14ac:dyDescent="0.25">
      <c r="A11" s="4" t="s">
        <v>448</v>
      </c>
    </row>
    <row r="12" spans="1:7" x14ac:dyDescent="0.2">
      <c r="A12" t="s">
        <v>449</v>
      </c>
    </row>
    <row r="13" spans="1:7" x14ac:dyDescent="0.2">
      <c r="A13" t="s">
        <v>450</v>
      </c>
    </row>
    <row r="14" spans="1:7" x14ac:dyDescent="0.2">
      <c r="A14" t="s">
        <v>451</v>
      </c>
    </row>
    <row r="16" spans="1:7" ht="19" x14ac:dyDescent="0.25">
      <c r="A16" s="4" t="s">
        <v>452</v>
      </c>
    </row>
    <row r="17" spans="1:1" x14ac:dyDescent="0.2">
      <c r="A17" t="s">
        <v>453</v>
      </c>
    </row>
    <row r="18" spans="1:1" x14ac:dyDescent="0.2">
      <c r="A18" t="s">
        <v>454</v>
      </c>
    </row>
    <row r="19" spans="1:1" x14ac:dyDescent="0.2">
      <c r="A19" t="s">
        <v>455</v>
      </c>
    </row>
  </sheetData>
  <pageMargins left="0.75" right="0.75" top="1" bottom="1" header="0.5" footer="0.5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70AD47"/>
  </sheetPr>
  <dimension ref="A1:D44"/>
  <sheetViews>
    <sheetView workbookViewId="0"/>
  </sheetViews>
  <sheetFormatPr baseColWidth="10" defaultColWidth="8.83203125" defaultRowHeight="15" x14ac:dyDescent="0.2"/>
  <cols>
    <col min="1" max="1" width="30" customWidth="1"/>
    <col min="2" max="2" width="18" customWidth="1"/>
    <col min="3" max="3" width="16" customWidth="1"/>
    <col min="4" max="4" width="18" customWidth="1"/>
  </cols>
  <sheetData>
    <row r="1" spans="1:3" ht="21" x14ac:dyDescent="0.25">
      <c r="A1" s="5" t="s">
        <v>456</v>
      </c>
    </row>
    <row r="3" spans="1:3" ht="19" x14ac:dyDescent="0.25">
      <c r="A3" s="4" t="s">
        <v>457</v>
      </c>
    </row>
    <row r="4" spans="1:3" x14ac:dyDescent="0.2">
      <c r="A4" s="7" t="s">
        <v>334</v>
      </c>
      <c r="B4" s="7" t="s">
        <v>48</v>
      </c>
    </row>
    <row r="5" spans="1:3" x14ac:dyDescent="0.2">
      <c r="A5" t="s">
        <v>458</v>
      </c>
      <c r="B5" t="str">
        <f>Testing_Option</f>
        <v>Daily_Biosensor</v>
      </c>
    </row>
    <row r="6" spans="1:3" x14ac:dyDescent="0.2">
      <c r="A6" t="s">
        <v>459</v>
      </c>
      <c r="B6" s="14">
        <f ca="1">NPV_Total</f>
        <v>1520765.2457095941</v>
      </c>
    </row>
    <row r="7" spans="1:3" x14ac:dyDescent="0.2">
      <c r="A7" t="s">
        <v>460</v>
      </c>
      <c r="B7" s="14">
        <f>MC_P10</f>
        <v>967030.13201270613</v>
      </c>
    </row>
    <row r="8" spans="1:3" x14ac:dyDescent="0.2">
      <c r="A8" t="s">
        <v>461</v>
      </c>
      <c r="B8" s="14">
        <f>MC_P50</f>
        <v>1283818.0270790672</v>
      </c>
    </row>
    <row r="9" spans="1:3" x14ac:dyDescent="0.2">
      <c r="A9" t="s">
        <v>462</v>
      </c>
      <c r="B9" s="14">
        <f>MC_P90</f>
        <v>1627316.1087613499</v>
      </c>
    </row>
    <row r="10" spans="1:3" x14ac:dyDescent="0.2">
      <c r="A10" t="s">
        <v>463</v>
      </c>
      <c r="B10" s="21">
        <f>MC_Prob_Positive</f>
        <v>1</v>
      </c>
    </row>
    <row r="11" spans="1:3" x14ac:dyDescent="0.2">
      <c r="A11" t="s">
        <v>464</v>
      </c>
      <c r="B11" s="14">
        <f>Testing_Cost</f>
        <v>10000</v>
      </c>
    </row>
    <row r="12" spans="1:3" x14ac:dyDescent="0.2">
      <c r="A12" t="s">
        <v>465</v>
      </c>
      <c r="B12" s="14">
        <f ca="1">'12_PL_Annual'!F4</f>
        <v>214358.51100738795</v>
      </c>
    </row>
    <row r="13" spans="1:3" x14ac:dyDescent="0.2">
      <c r="A13" t="s">
        <v>466</v>
      </c>
      <c r="B13" s="14">
        <f ca="1">'12_PL_Annual'!H4</f>
        <v>204358.51100738795</v>
      </c>
    </row>
    <row r="15" spans="1:3" ht="19" x14ac:dyDescent="0.25">
      <c r="A15" s="4" t="s">
        <v>467</v>
      </c>
    </row>
    <row r="16" spans="1:3" x14ac:dyDescent="0.2">
      <c r="A16" s="7" t="s">
        <v>84</v>
      </c>
      <c r="B16" s="7" t="s">
        <v>361</v>
      </c>
      <c r="C16" s="7" t="s">
        <v>468</v>
      </c>
    </row>
    <row r="17" spans="1:3" x14ac:dyDescent="0.2">
      <c r="A17" t="s">
        <v>88</v>
      </c>
      <c r="B17" s="14">
        <f ca="1">S1_Value</f>
        <v>119110.0515748122</v>
      </c>
      <c r="C17" t="str">
        <f>INDEX(Gate_S1,MATCH(Testing_Option,TestOpt_Option,0))</f>
        <v>ENABLED</v>
      </c>
    </row>
    <row r="18" spans="1:3" x14ac:dyDescent="0.2">
      <c r="A18" t="s">
        <v>92</v>
      </c>
      <c r="B18" s="14">
        <f ca="1">S2_Value</f>
        <v>79782.325075626475</v>
      </c>
      <c r="C18" t="str">
        <f>INDEX(Gate_S2,MATCH(Testing_Option,TestOpt_Option,0))</f>
        <v>ENABLED</v>
      </c>
    </row>
    <row r="19" spans="1:3" x14ac:dyDescent="0.2">
      <c r="A19" t="s">
        <v>93</v>
      </c>
      <c r="B19" s="14">
        <f ca="1">S3_Value</f>
        <v>181274.84818247365</v>
      </c>
      <c r="C19" t="str">
        <f>INDEX(Gate_S3,MATCH(Testing_Option,TestOpt_Option,0))</f>
        <v>ENABLED</v>
      </c>
    </row>
    <row r="20" spans="1:3" x14ac:dyDescent="0.2">
      <c r="A20" t="s">
        <v>95</v>
      </c>
      <c r="B20" s="14">
        <f ca="1">S4_Value</f>
        <v>48549.797181863556</v>
      </c>
      <c r="C20" t="str">
        <f>INDEX(Gate_S4,MATCH(Testing_Option,TestOpt_Option,0))</f>
        <v>ENABLED</v>
      </c>
    </row>
    <row r="22" spans="1:3" ht="19" x14ac:dyDescent="0.25">
      <c r="A22" s="4" t="s">
        <v>332</v>
      </c>
    </row>
    <row r="23" spans="1:3" x14ac:dyDescent="0.2">
      <c r="A23" s="7" t="s">
        <v>334</v>
      </c>
      <c r="B23" s="7" t="s">
        <v>48</v>
      </c>
      <c r="C23" s="7" t="s">
        <v>468</v>
      </c>
    </row>
    <row r="24" spans="1:3" x14ac:dyDescent="0.2">
      <c r="A24" t="s">
        <v>469</v>
      </c>
      <c r="B24" s="25">
        <f>Initial_NAFC</f>
        <v>63.1</v>
      </c>
      <c r="C24" t="str">
        <f>IF(Initial_NAFC&gt;Target_NAFC,"Above Target","At/Below Target")</f>
        <v>Above Target</v>
      </c>
    </row>
    <row r="25" spans="1:3" x14ac:dyDescent="0.2">
      <c r="A25" t="s">
        <v>470</v>
      </c>
      <c r="B25" s="25">
        <f>Target_NAFC</f>
        <v>50</v>
      </c>
      <c r="C25" t="s">
        <v>471</v>
      </c>
    </row>
    <row r="26" spans="1:3" x14ac:dyDescent="0.2">
      <c r="A26" t="s">
        <v>472</v>
      </c>
      <c r="B26" s="26">
        <f ca="1">Days_to_Compliance</f>
        <v>26.787946040715546</v>
      </c>
      <c r="C26" t="str">
        <f ca="1">Compliance_Status</f>
        <v>ACHIEVABLE</v>
      </c>
    </row>
    <row r="27" spans="1:3" x14ac:dyDescent="0.2">
      <c r="A27" t="s">
        <v>473</v>
      </c>
      <c r="B27" s="20">
        <f ca="1">Circulation_Cycles</f>
        <v>2</v>
      </c>
      <c r="C27" t="str">
        <f ca="1">IF(Circulation_Cycles&lt;=3,"Standard","Extended")</f>
        <v>Standard</v>
      </c>
    </row>
    <row r="28" spans="1:3" x14ac:dyDescent="0.2">
      <c r="A28" t="s">
        <v>474</v>
      </c>
      <c r="B28" s="21">
        <f>Treatment_Efficiency</f>
        <v>0.2076069730586371</v>
      </c>
      <c r="C28" t="str">
        <f>IF(Treatment_Efficiency&gt;0.2,"Good","Low")</f>
        <v>Good</v>
      </c>
    </row>
    <row r="29" spans="1:3" x14ac:dyDescent="0.2">
      <c r="A29" t="s">
        <v>475</v>
      </c>
      <c r="B29" s="26">
        <f>MC_Expected_Days</f>
        <v>36.480041144755639</v>
      </c>
      <c r="C29" t="str">
        <f>IF(MC_Expected_Days&lt;=Season_Length,"Achievable","Risk")</f>
        <v>Achievable</v>
      </c>
    </row>
    <row r="30" spans="1:3" x14ac:dyDescent="0.2">
      <c r="A30" t="s">
        <v>476</v>
      </c>
      <c r="B30" s="26">
        <f>MC_P90_Days</f>
        <v>46.559648734233591</v>
      </c>
      <c r="C30" t="str">
        <f>IF(MC_P90_Days&lt;=Season_Length,"Low Risk","High Risk")</f>
        <v>Low Risk</v>
      </c>
    </row>
    <row r="31" spans="1:3" x14ac:dyDescent="0.2">
      <c r="A31" t="s">
        <v>477</v>
      </c>
      <c r="B31" s="21">
        <f>MC_Prob_Achievable</f>
        <v>1</v>
      </c>
      <c r="C31" t="str">
        <f>IF(MC_Prob_Achievable&gt;=0.9,"High Confidence","Review Required")</f>
        <v>High Confidence</v>
      </c>
    </row>
    <row r="33" spans="1:4" ht="19" x14ac:dyDescent="0.25">
      <c r="A33" s="4" t="s">
        <v>478</v>
      </c>
    </row>
    <row r="34" spans="1:4" x14ac:dyDescent="0.2">
      <c r="A34" s="7" t="s">
        <v>334</v>
      </c>
      <c r="B34" s="7" t="s">
        <v>229</v>
      </c>
      <c r="C34" s="7" t="s">
        <v>230</v>
      </c>
      <c r="D34" s="7" t="s">
        <v>52</v>
      </c>
    </row>
    <row r="35" spans="1:4" x14ac:dyDescent="0.2">
      <c r="A35" t="s">
        <v>479</v>
      </c>
      <c r="B35" t="s">
        <v>90</v>
      </c>
      <c r="C35" t="s">
        <v>90</v>
      </c>
      <c r="D35" t="s">
        <v>91</v>
      </c>
    </row>
    <row r="36" spans="1:4" x14ac:dyDescent="0.2">
      <c r="A36" t="s">
        <v>480</v>
      </c>
      <c r="B36" t="s">
        <v>90</v>
      </c>
      <c r="C36" t="s">
        <v>90</v>
      </c>
      <c r="D36" t="s">
        <v>91</v>
      </c>
    </row>
    <row r="37" spans="1:4" x14ac:dyDescent="0.2">
      <c r="A37" t="s">
        <v>481</v>
      </c>
      <c r="B37" t="s">
        <v>90</v>
      </c>
      <c r="C37" t="s">
        <v>91</v>
      </c>
      <c r="D37" t="s">
        <v>91</v>
      </c>
    </row>
    <row r="38" spans="1:4" x14ac:dyDescent="0.2">
      <c r="A38" t="s">
        <v>482</v>
      </c>
      <c r="B38" t="s">
        <v>90</v>
      </c>
      <c r="C38" t="s">
        <v>90</v>
      </c>
      <c r="D38" t="s">
        <v>91</v>
      </c>
    </row>
    <row r="39" spans="1:4" x14ac:dyDescent="0.2">
      <c r="A39" t="s">
        <v>483</v>
      </c>
      <c r="B39" t="s">
        <v>484</v>
      </c>
      <c r="C39" t="s">
        <v>485</v>
      </c>
      <c r="D39" t="s">
        <v>486</v>
      </c>
    </row>
    <row r="40" spans="1:4" x14ac:dyDescent="0.2">
      <c r="A40" t="s">
        <v>487</v>
      </c>
      <c r="B40" t="s">
        <v>488</v>
      </c>
      <c r="C40" t="s">
        <v>489</v>
      </c>
      <c r="D40" t="s">
        <v>490</v>
      </c>
    </row>
    <row r="42" spans="1:4" ht="19" x14ac:dyDescent="0.25">
      <c r="A42" s="4" t="s">
        <v>491</v>
      </c>
    </row>
    <row r="43" spans="1:4" x14ac:dyDescent="0.2">
      <c r="A43" t="s">
        <v>492</v>
      </c>
      <c r="B43" t="str">
        <f ca="1">IF(COUNTIF('17_Checks'!D:D,"FAIL")=0,"HEALTHY","REVIEW REQUIRED")</f>
        <v>HEALTHY</v>
      </c>
    </row>
    <row r="44" spans="1:4" x14ac:dyDescent="0.2">
      <c r="A44" t="s">
        <v>493</v>
      </c>
      <c r="B44">
        <f ca="1">COUNTIF('17_Checks'!D:D,"FAIL")</f>
        <v>0</v>
      </c>
    </row>
  </sheetData>
  <pageMargins left="0.75" right="0.75" top="1" bottom="1" header="0.5" footer="0.5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D24"/>
  <sheetViews>
    <sheetView workbookViewId="0"/>
  </sheetViews>
  <sheetFormatPr baseColWidth="10" defaultColWidth="8.83203125" defaultRowHeight="15" x14ac:dyDescent="0.2"/>
  <cols>
    <col min="1" max="2" width="12" customWidth="1"/>
    <col min="3" max="3" width="40" customWidth="1"/>
    <col min="4" max="4" width="12" customWidth="1"/>
  </cols>
  <sheetData>
    <row r="1" spans="1:4" ht="21" x14ac:dyDescent="0.25">
      <c r="A1" s="5" t="s">
        <v>494</v>
      </c>
    </row>
    <row r="3" spans="1:4" x14ac:dyDescent="0.2">
      <c r="A3" s="7" t="s">
        <v>495</v>
      </c>
      <c r="B3" s="7" t="s">
        <v>496</v>
      </c>
      <c r="C3" s="7" t="s">
        <v>50</v>
      </c>
      <c r="D3" s="7" t="s">
        <v>468</v>
      </c>
    </row>
    <row r="4" spans="1:4" x14ac:dyDescent="0.2">
      <c r="A4" t="s">
        <v>497</v>
      </c>
      <c r="B4" t="s">
        <v>498</v>
      </c>
      <c r="C4" t="s">
        <v>499</v>
      </c>
      <c r="D4" t="str">
        <f>IF(AND(Discount_Rate&gt;=0,Discount_Rate&lt;=0.15),"PASS","FAIL")</f>
        <v>PASS</v>
      </c>
    </row>
    <row r="5" spans="1:4" x14ac:dyDescent="0.2">
      <c r="A5" t="s">
        <v>500</v>
      </c>
      <c r="B5" t="s">
        <v>498</v>
      </c>
      <c r="C5" t="s">
        <v>501</v>
      </c>
      <c r="D5" t="str">
        <f>IF(AND(Season_Length&gt;=60,Season_Length&lt;=150),"PASS","FAIL")</f>
        <v>PASS</v>
      </c>
    </row>
    <row r="6" spans="1:4" x14ac:dyDescent="0.2">
      <c r="A6" t="s">
        <v>502</v>
      </c>
      <c r="B6" t="s">
        <v>498</v>
      </c>
      <c r="C6" t="s">
        <v>503</v>
      </c>
      <c r="D6" t="str">
        <f>IF(AND(Projection_Years&gt;=1,Projection_Years&lt;=10),"PASS","FAIL")</f>
        <v>PASS</v>
      </c>
    </row>
    <row r="7" spans="1:4" x14ac:dyDescent="0.2">
      <c r="A7" t="s">
        <v>504</v>
      </c>
      <c r="B7" t="s">
        <v>498</v>
      </c>
      <c r="C7" t="s">
        <v>505</v>
      </c>
      <c r="D7" t="str">
        <f>IF(Value_Per_M3&gt;0,"PASS","FAIL")</f>
        <v>PASS</v>
      </c>
    </row>
    <row r="8" spans="1:4" x14ac:dyDescent="0.2">
      <c r="A8" t="s">
        <v>506</v>
      </c>
      <c r="B8" t="s">
        <v>507</v>
      </c>
      <c r="C8" t="s">
        <v>508</v>
      </c>
      <c r="D8" t="str">
        <f>IF(COUNTIF(List_TestingOptions,Testing_Option)=1,"PASS","FAIL")</f>
        <v>PASS</v>
      </c>
    </row>
    <row r="9" spans="1:4" x14ac:dyDescent="0.2">
      <c r="A9" t="s">
        <v>509</v>
      </c>
      <c r="B9" t="s">
        <v>507</v>
      </c>
      <c r="C9" t="s">
        <v>510</v>
      </c>
      <c r="D9" t="str">
        <f>IF(COUNTIF(List_Scenarios,Scenario_Select)=1,"PASS","FAIL")</f>
        <v>PASS</v>
      </c>
    </row>
    <row r="10" spans="1:4" x14ac:dyDescent="0.2">
      <c r="A10" t="s">
        <v>511</v>
      </c>
      <c r="B10" t="s">
        <v>512</v>
      </c>
      <c r="C10" t="s">
        <v>513</v>
      </c>
      <c r="D10" t="str">
        <f ca="1">IF(AND(NPV_Total&gt;-1000000,NPV_Total&lt;10000000),"PASS","FAIL")</f>
        <v>PASS</v>
      </c>
    </row>
    <row r="11" spans="1:4" x14ac:dyDescent="0.2">
      <c r="A11" t="s">
        <v>514</v>
      </c>
      <c r="B11" t="s">
        <v>512</v>
      </c>
      <c r="C11" t="s">
        <v>515</v>
      </c>
      <c r="D11" t="str">
        <f>IF(Testing_Cost&gt;0,"PASS","FAIL")</f>
        <v>PASS</v>
      </c>
    </row>
    <row r="12" spans="1:4" x14ac:dyDescent="0.2">
      <c r="A12" t="s">
        <v>516</v>
      </c>
      <c r="B12" t="s">
        <v>512</v>
      </c>
      <c r="C12" t="s">
        <v>517</v>
      </c>
      <c r="D12" t="str">
        <f ca="1">IF(Gross_Value&gt;=0,"PASS","FAIL")</f>
        <v>PASS</v>
      </c>
    </row>
    <row r="13" spans="1:4" x14ac:dyDescent="0.2">
      <c r="A13" t="s">
        <v>518</v>
      </c>
      <c r="B13" t="s">
        <v>519</v>
      </c>
      <c r="C13" t="s">
        <v>520</v>
      </c>
      <c r="D13" t="str">
        <f>IF(ISERROR(Testing_Option),"FAIL","PASS")</f>
        <v>PASS</v>
      </c>
    </row>
    <row r="14" spans="1:4" x14ac:dyDescent="0.2">
      <c r="A14" t="s">
        <v>521</v>
      </c>
      <c r="B14" t="s">
        <v>498</v>
      </c>
      <c r="C14" t="s">
        <v>522</v>
      </c>
      <c r="D14" t="str">
        <f>IF(AND(Initial_NAFC&gt;=40,Initial_NAFC&lt;=100),"PASS","FAIL")</f>
        <v>PASS</v>
      </c>
    </row>
    <row r="15" spans="1:4" x14ac:dyDescent="0.2">
      <c r="A15" t="s">
        <v>523</v>
      </c>
      <c r="B15" t="s">
        <v>507</v>
      </c>
      <c r="C15" t="s">
        <v>524</v>
      </c>
      <c r="D15" t="str">
        <f>IF(Target_NAFC&lt;Initial_NAFC,"PASS","FAIL")</f>
        <v>PASS</v>
      </c>
    </row>
    <row r="16" spans="1:4" x14ac:dyDescent="0.2">
      <c r="A16" t="s">
        <v>525</v>
      </c>
      <c r="B16" t="s">
        <v>512</v>
      </c>
      <c r="C16" t="s">
        <v>526</v>
      </c>
      <c r="D16" t="str">
        <f ca="1">IF(Days_to_Compliance&lt;=Season_Length,"PASS","FAIL")</f>
        <v>PASS</v>
      </c>
    </row>
    <row r="17" spans="1:4" x14ac:dyDescent="0.2">
      <c r="A17" t="s">
        <v>527</v>
      </c>
      <c r="B17" t="s">
        <v>498</v>
      </c>
      <c r="C17" t="s">
        <v>528</v>
      </c>
      <c r="D17" t="str">
        <f ca="1">IF(AND(Eff_Rapid_Rate&gt;0,Eff_Slow_Rate&gt;0),"PASS","FAIL")</f>
        <v>PASS</v>
      </c>
    </row>
    <row r="20" spans="1:4" ht="19" x14ac:dyDescent="0.25">
      <c r="A20" s="4" t="s">
        <v>529</v>
      </c>
    </row>
    <row r="21" spans="1:4" x14ac:dyDescent="0.2">
      <c r="A21" t="s">
        <v>530</v>
      </c>
      <c r="B21">
        <f>COUNTA(tbl_Checks[Check_ID])</f>
        <v>14</v>
      </c>
    </row>
    <row r="22" spans="1:4" x14ac:dyDescent="0.2">
      <c r="A22" t="s">
        <v>531</v>
      </c>
      <c r="B22">
        <f ca="1">COUNTIF(tbl_Checks[Status],"PASS")</f>
        <v>14</v>
      </c>
    </row>
    <row r="23" spans="1:4" x14ac:dyDescent="0.2">
      <c r="A23" t="s">
        <v>532</v>
      </c>
      <c r="B23">
        <f ca="1">COUNTIF(tbl_Checks[Status],"FAIL")</f>
        <v>0</v>
      </c>
    </row>
    <row r="24" spans="1:4" x14ac:dyDescent="0.2">
      <c r="A24" t="s">
        <v>533</v>
      </c>
      <c r="B24" t="str">
        <f ca="1">IF(COUNTIF(tbl_Checks[Status],"FAIL")=0,"HEALTHY","REVIEW REQUIRED")</f>
        <v>HEALTHY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95</vt:i4>
      </vt:variant>
    </vt:vector>
  </HeadingPairs>
  <TitlesOfParts>
    <vt:vector size="113" baseType="lpstr">
      <vt:lpstr>0_Cover</vt:lpstr>
      <vt:lpstr>1_TOC</vt:lpstr>
      <vt:lpstr>2_Instructions</vt:lpstr>
      <vt:lpstr>3_Assumptions</vt:lpstr>
      <vt:lpstr>4_Scenarios</vt:lpstr>
      <vt:lpstr>5_ServiceModels</vt:lpstr>
      <vt:lpstr>6_Calc_Timeline</vt:lpstr>
      <vt:lpstr>7_Calc_Stochastic</vt:lpstr>
      <vt:lpstr>8_Calc_Value</vt:lpstr>
      <vt:lpstr>9_Calc_Costs</vt:lpstr>
      <vt:lpstr>10_Calc_Sim</vt:lpstr>
      <vt:lpstr>11_PL_Monthly</vt:lpstr>
      <vt:lpstr>12_PL_Annual</vt:lpstr>
      <vt:lpstr>13_CashFlow</vt:lpstr>
      <vt:lpstr>14_UnitEconomics</vt:lpstr>
      <vt:lpstr>15_Sensitivity</vt:lpstr>
      <vt:lpstr>16_Dashboard</vt:lpstr>
      <vt:lpstr>17_Checks</vt:lpstr>
      <vt:lpstr>Annual_Throughput</vt:lpstr>
      <vt:lpstr>AnnualThroughput_M3</vt:lpstr>
      <vt:lpstr>Base_Year</vt:lpstr>
      <vt:lpstr>Beta_Efficiency_Gain_Alpha</vt:lpstr>
      <vt:lpstr>Beta_Efficiency_Gain_Beta</vt:lpstr>
      <vt:lpstr>Beta_Efficiency_Gain_Max</vt:lpstr>
      <vt:lpstr>Beta_Efficiency_Gain_Min</vt:lpstr>
      <vt:lpstr>Circulation_Cycles</vt:lpstr>
      <vt:lpstr>Compliance_Status</vt:lpstr>
      <vt:lpstr>Day_80_Survival</vt:lpstr>
      <vt:lpstr>Day_LC50</vt:lpstr>
      <vt:lpstr>Day_Nontoxic</vt:lpstr>
      <vt:lpstr>Days_to_Compliance</vt:lpstr>
      <vt:lpstr>Discount_Rate</vt:lpstr>
      <vt:lpstr>DowntimeCostPerDay</vt:lpstr>
      <vt:lpstr>Eff_Rapid_Rate</vt:lpstr>
      <vt:lpstr>Eff_Slow_Rate</vt:lpstr>
      <vt:lpstr>Gate_S1</vt:lpstr>
      <vt:lpstr>Gate_S2</vt:lpstr>
      <vt:lpstr>Gate_S3</vt:lpstr>
      <vt:lpstr>Gate_S4</vt:lpstr>
      <vt:lpstr>Gross_Value</vt:lpstr>
      <vt:lpstr>Initial_NAFC</vt:lpstr>
      <vt:lpstr>LaborPerDay</vt:lpstr>
      <vt:lpstr>LearningCurve_Mult</vt:lpstr>
      <vt:lpstr>List_Scenarios</vt:lpstr>
      <vt:lpstr>List_TestingOptions</vt:lpstr>
      <vt:lpstr>MC_Anchor</vt:lpstr>
      <vt:lpstr>MC_Expected_Days</vt:lpstr>
      <vt:lpstr>MC_Expected_NPV</vt:lpstr>
      <vt:lpstr>MC_P10</vt:lpstr>
      <vt:lpstr>MC_P10_Days</vt:lpstr>
      <vt:lpstr>MC_P50</vt:lpstr>
      <vt:lpstr>MC_P50_Days</vt:lpstr>
      <vt:lpstr>MC_P90</vt:lpstr>
      <vt:lpstr>MC_P90_Days</vt:lpstr>
      <vt:lpstr>MC_Prob_Achievable</vt:lpstr>
      <vt:lpstr>MC_Prob_Positive</vt:lpstr>
      <vt:lpstr>MC_StdDev</vt:lpstr>
      <vt:lpstr>NAFC_After_Rapid</vt:lpstr>
      <vt:lpstr>NPV_Total</vt:lpstr>
      <vt:lpstr>Projection_Years</vt:lpstr>
      <vt:lpstr>Rapid_Phase_Duration</vt:lpstr>
      <vt:lpstr>Rapid_Phase_Rate</vt:lpstr>
      <vt:lpstr>Recirculation_Cycle</vt:lpstr>
      <vt:lpstr>RegulatoryPenalty</vt:lpstr>
      <vt:lpstr>S1_Value</vt:lpstr>
      <vt:lpstr>S2_Value</vt:lpstr>
      <vt:lpstr>S3_Value</vt:lpstr>
      <vt:lpstr>S4_Value</vt:lpstr>
      <vt:lpstr>Scenario_BaseValues</vt:lpstr>
      <vt:lpstr>Scenario_Select</vt:lpstr>
      <vt:lpstr>Season_End_Day</vt:lpstr>
      <vt:lpstr>Season_End_Month</vt:lpstr>
      <vt:lpstr>Season_Length</vt:lpstr>
      <vt:lpstr>Season_Start_Day</vt:lpstr>
      <vt:lpstr>Season_Start_Month</vt:lpstr>
      <vt:lpstr>Slow_Phase_Rate</vt:lpstr>
      <vt:lpstr>Stoch_Efficiency</vt:lpstr>
      <vt:lpstr>Stoch_ExtValue</vt:lpstr>
      <vt:lpstr>Stoch_Interventions</vt:lpstr>
      <vt:lpstr>Stoch_SeasonExt</vt:lpstr>
      <vt:lpstr>Stoch_TreatmentRate</vt:lpstr>
      <vt:lpstr>System_Capacity</vt:lpstr>
      <vt:lpstr>Target_NAFC</vt:lpstr>
      <vt:lpstr>Testing_Cost</vt:lpstr>
      <vt:lpstr>Testing_Option</vt:lpstr>
      <vt:lpstr>TestOpt_Cost</vt:lpstr>
      <vt:lpstr>TestOpt_Interval</vt:lpstr>
      <vt:lpstr>TestOpt_Latency</vt:lpstr>
      <vt:lpstr>TestOpt_Method</vt:lpstr>
      <vt:lpstr>TestOpt_Option</vt:lpstr>
      <vt:lpstr>TestOpt_Points</vt:lpstr>
      <vt:lpstr>Timeline_DiscountFactor</vt:lpstr>
      <vt:lpstr>Timeline_LearningMult</vt:lpstr>
      <vt:lpstr>Treatment_Cells</vt:lpstr>
      <vt:lpstr>Treatment_Days</vt:lpstr>
      <vt:lpstr>Treatment_Efficiency</vt:lpstr>
      <vt:lpstr>TreatmentCells</vt:lpstr>
      <vt:lpstr>Tri_Extension_Value_Per_Day_Max</vt:lpstr>
      <vt:lpstr>Tri_Extension_Value_Per_Day_Min</vt:lpstr>
      <vt:lpstr>Tri_Extension_Value_Per_Day_Mode</vt:lpstr>
      <vt:lpstr>Tri_Interventions_Avoided_Max</vt:lpstr>
      <vt:lpstr>Tri_Interventions_Avoided_Min</vt:lpstr>
      <vt:lpstr>Tri_Interventions_Avoided_Mode</vt:lpstr>
      <vt:lpstr>Tri_Season_Extension_Days_Max</vt:lpstr>
      <vt:lpstr>Tri_Season_Extension_Days_Min</vt:lpstr>
      <vt:lpstr>Tri_Season_Extension_Days_Mode</vt:lpstr>
      <vt:lpstr>Tri_Treatment_Rate_Factor_Max</vt:lpstr>
      <vt:lpstr>Tri_Treatment_Rate_Factor_Min</vt:lpstr>
      <vt:lpstr>Tri_Treatment_Rate_Factor_Mode</vt:lpstr>
      <vt:lpstr>Value_Per_M3</vt:lpstr>
      <vt:lpstr>ValuePer_M3</vt:lpstr>
      <vt:lpstr>Wetland_Area</vt:lpstr>
      <vt:lpstr>WetlandArea_Ha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Greg Saunders</cp:lastModifiedBy>
  <dcterms:created xsi:type="dcterms:W3CDTF">2026-01-30T04:34:41Z</dcterms:created>
  <dcterms:modified xsi:type="dcterms:W3CDTF">2026-01-30T04:36:05Z</dcterms:modified>
</cp:coreProperties>
</file>