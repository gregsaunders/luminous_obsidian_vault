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greg/Luminous Dropbox/Obsidian/utils/financial_modeling/"/>
    </mc:Choice>
  </mc:AlternateContent>
  <xr:revisionPtr revIDLastSave="0" documentId="13_ncr:1_{C082BB7C-3D0F-CC4B-879C-BA54AEBABA1F}" xr6:coauthVersionLast="47" xr6:coauthVersionMax="47" xr10:uidLastSave="{00000000-0000-0000-0000-000000000000}"/>
  <bookViews>
    <workbookView xWindow="0" yWindow="680" windowWidth="30240" windowHeight="18960" activeTab="10" xr2:uid="{00000000-000D-0000-FFFF-FFFF00000000}"/>
  </bookViews>
  <sheets>
    <sheet name="0_Cover" sheetId="1" r:id="rId1"/>
    <sheet name="1_TOC" sheetId="2" r:id="rId2"/>
    <sheet name="2_Instructions" sheetId="3" r:id="rId3"/>
    <sheet name="3_Assumptions" sheetId="4" r:id="rId4"/>
    <sheet name="4_Scenarios" sheetId="5" r:id="rId5"/>
    <sheet name="5_ServiceModels" sheetId="6" r:id="rId6"/>
    <sheet name="6_Calc_Timeline" sheetId="7" r:id="rId7"/>
    <sheet name="7_Calc_Stochastic" sheetId="8" r:id="rId8"/>
    <sheet name="8_Calc_Value" sheetId="9" r:id="rId9"/>
    <sheet name="9_Calc_Costs" sheetId="10" r:id="rId10"/>
    <sheet name="10_Calc_Sim" sheetId="11" r:id="rId11"/>
    <sheet name="11_PL_Monthly" sheetId="12" r:id="rId12"/>
    <sheet name="12_PL_Annual" sheetId="13" r:id="rId13"/>
    <sheet name="13_CashFlow" sheetId="14" r:id="rId14"/>
    <sheet name="14_UnitEconomics" sheetId="15" r:id="rId15"/>
    <sheet name="15_Sensitivity" sheetId="16" r:id="rId16"/>
    <sheet name="16_Dashboard" sheetId="17" r:id="rId17"/>
    <sheet name="17_Checks" sheetId="18" r:id="rId18"/>
  </sheets>
  <definedNames>
    <definedName name="Annual_Throughput">'3_Assumptions'!$B$25</definedName>
    <definedName name="AnnualThroughput_M3">'3_Assumptions'!$B$25</definedName>
    <definedName name="Base_Year">'1_TOC'!$B$9</definedName>
    <definedName name="Beta_Efficiency_Gain_Alpha">'5_ServiceModels'!$B$13</definedName>
    <definedName name="Beta_Efficiency_Gain_Beta">'5_ServiceModels'!$C$13</definedName>
    <definedName name="Beta_Efficiency_Gain_Max">'5_ServiceModels'!$E$13</definedName>
    <definedName name="Beta_Efficiency_Gain_Min">'5_ServiceModels'!$D$13</definedName>
    <definedName name="Circulation_Cycles">'6_Calc_Timeline'!$C$22</definedName>
    <definedName name="Compliance_Status">'6_Calc_Timeline'!$C$24</definedName>
    <definedName name="Day_80_Survival">'3_Assumptions'!$B$83</definedName>
    <definedName name="Day_LC50">'3_Assumptions'!$B$82</definedName>
    <definedName name="Day_Nontoxic">'3_Assumptions'!$B$84</definedName>
    <definedName name="Days_to_Compliance">'6_Calc_Timeline'!$C$21</definedName>
    <definedName name="Discount_Rate">'1_TOC'!$B$7</definedName>
    <definedName name="DowntimeCostPerDay">'3_Assumptions'!$B$33</definedName>
    <definedName name="Eff_Rapid_Rate">'6_Calc_Timeline'!$C$18</definedName>
    <definedName name="Eff_Slow_Rate">'6_Calc_Timeline'!$C$19</definedName>
    <definedName name="Gate_S1">'3_Assumptions'!$B$53:$B$55</definedName>
    <definedName name="Gate_S2">'3_Assumptions'!$C$53:$C$55</definedName>
    <definedName name="Gate_S3">'3_Assumptions'!$D$53:$D$55</definedName>
    <definedName name="Gate_S4">'3_Assumptions'!$E$53:$E$55</definedName>
    <definedName name="Gross_Value">'8_Calc_Value'!$E$12</definedName>
    <definedName name="Initial_NAFC">'3_Assumptions'!$B$70</definedName>
    <definedName name="LaborPerDay">'3_Assumptions'!$B$31</definedName>
    <definedName name="LearningCurve_Mult">'3_Assumptions'!$B$38:$B$42</definedName>
    <definedName name="List_Scenarios">'3_Assumptions'!$B$60:$B$62</definedName>
    <definedName name="List_TestingOptions">'3_Assumptions'!$A$60:$A$62</definedName>
    <definedName name="MC_Anchor">'3_Assumptions'!$B$65</definedName>
    <definedName name="MC_Expected_Days">'10_Calc_Sim'!$B$1019</definedName>
    <definedName name="MC_Expected_NPV">'10_Calc_Sim'!$B$1011</definedName>
    <definedName name="MC_P10">'10_Calc_Sim'!$B$1012</definedName>
    <definedName name="MC_P10_Days">'10_Calc_Sim'!$B$1020</definedName>
    <definedName name="MC_P50">'10_Calc_Sim'!$B$1013</definedName>
    <definedName name="MC_P50_Days">'10_Calc_Sim'!$B$1021</definedName>
    <definedName name="MC_P90">'10_Calc_Sim'!$B$1014</definedName>
    <definedName name="MC_P90_Days">'10_Calc_Sim'!$B$1022</definedName>
    <definedName name="MC_Prob_Achievable">'10_Calc_Sim'!$B$1023</definedName>
    <definedName name="MC_Prob_Positive">'10_Calc_Sim'!$B$1016</definedName>
    <definedName name="MC_StdDev">'10_Calc_Sim'!$B$1015</definedName>
    <definedName name="NAFC_After_Rapid">'6_Calc_Timeline'!$C$20</definedName>
    <definedName name="NPV_Total">'12_PL_Annual'!$B$15</definedName>
    <definedName name="Projection_Years">'1_TOC'!$B$8</definedName>
    <definedName name="Rapid_Phase_Duration">'3_Assumptions'!$B$74</definedName>
    <definedName name="Rapid_Phase_Rate">'3_Assumptions'!$B$72</definedName>
    <definedName name="Recirculation_Cycle">'3_Assumptions'!$B$75</definedName>
    <definedName name="RegulatoryPenalty">'3_Assumptions'!$B$32</definedName>
    <definedName name="S1_Value">'8_Calc_Value'!$E$7</definedName>
    <definedName name="S2_Value">'8_Calc_Value'!$E$8</definedName>
    <definedName name="S3_Value">'8_Calc_Value'!$E$9</definedName>
    <definedName name="S4_Value">'8_Calc_Value'!$E$10</definedName>
    <definedName name="Scenario_BaseValues">'4_Scenarios'!$C$6:$C$9</definedName>
    <definedName name="Scenario_Select">'1_TOC'!$B$6</definedName>
    <definedName name="Season_End_Day">'3_Assumptions'!$B$9</definedName>
    <definedName name="Season_End_Month">'3_Assumptions'!$B$8</definedName>
    <definedName name="Season_Length">'3_Assumptions'!$B$10</definedName>
    <definedName name="Season_Start_Day">'3_Assumptions'!$B$7</definedName>
    <definedName name="Season_Start_Month">'3_Assumptions'!$B$6</definedName>
    <definedName name="Slow_Phase_Rate">'3_Assumptions'!$B$73</definedName>
    <definedName name="Stoch_Efficiency">'7_Calc_Stochastic'!$C$11</definedName>
    <definedName name="Stoch_ExtValue">'7_Calc_Stochastic'!$C$9</definedName>
    <definedName name="Stoch_Interventions">'7_Calc_Stochastic'!$C$10</definedName>
    <definedName name="Stoch_SeasonExt">'7_Calc_Stochastic'!$C$8</definedName>
    <definedName name="Stoch_TreatmentRate">'7_Calc_Stochastic'!$C$12</definedName>
    <definedName name="System_Capacity">'3_Assumptions'!$B$76</definedName>
    <definedName name="Target_NAFC">'3_Assumptions'!$B$71</definedName>
    <definedName name="Testing_Cost">'9_Calc_Costs'!$C$13</definedName>
    <definedName name="Testing_Option">'1_TOC'!$B$5</definedName>
    <definedName name="TestOpt_Cost">'3_Assumptions'!$E$47:$E$49</definedName>
    <definedName name="TestOpt_Interval">'3_Assumptions'!$C$47:$C$49</definedName>
    <definedName name="TestOpt_Latency">'3_Assumptions'!$F$47:$F$49</definedName>
    <definedName name="TestOpt_Method">'3_Assumptions'!$B$47:$B$49</definedName>
    <definedName name="TestOpt_Option">'3_Assumptions'!$A$47:$A$49</definedName>
    <definedName name="TestOpt_Points">'3_Assumptions'!$D$47:$D$49</definedName>
    <definedName name="Timeline_DiscountFactor">'6_Calc_Timeline'!$D$7:$D$12</definedName>
    <definedName name="Timeline_LearningMult">'6_Calc_Timeline'!$E$7:$E$12</definedName>
    <definedName name="Treatment_Cells">'3_Assumptions'!$B$24</definedName>
    <definedName name="Treatment_Days">'3_Assumptions'!$B$10</definedName>
    <definedName name="Treatment_Efficiency">'6_Calc_Timeline'!$C$23</definedName>
    <definedName name="TreatmentCells">'3_Assumptions'!$B$24</definedName>
    <definedName name="Tri_Extension_Value_Per_Day_Max">'5_ServiceModels'!$D$6</definedName>
    <definedName name="Tri_Extension_Value_Per_Day_Min">'5_ServiceModels'!$B$6</definedName>
    <definedName name="Tri_Extension_Value_Per_Day_Mode">'5_ServiceModels'!$C$6</definedName>
    <definedName name="Tri_Interventions_Avoided_Max">'5_ServiceModels'!$D$7</definedName>
    <definedName name="Tri_Interventions_Avoided_Min">'5_ServiceModels'!$B$7</definedName>
    <definedName name="Tri_Interventions_Avoided_Mode">'5_ServiceModels'!$C$7</definedName>
    <definedName name="Tri_Season_Extension_Days_Max">'5_ServiceModels'!$D$5</definedName>
    <definedName name="Tri_Season_Extension_Days_Min">'5_ServiceModels'!$B$5</definedName>
    <definedName name="Tri_Season_Extension_Days_Mode">'5_ServiceModels'!$C$5</definedName>
    <definedName name="Tri_Treatment_Rate_Factor_Max">'5_ServiceModels'!$D$8</definedName>
    <definedName name="Tri_Treatment_Rate_Factor_Min">'5_ServiceModels'!$B$8</definedName>
    <definedName name="Tri_Treatment_Rate_Factor_Mode">'5_ServiceModels'!$C$8</definedName>
    <definedName name="Value_Per_M3">'3_Assumptions'!$B$26</definedName>
    <definedName name="ValuePer_M3">'3_Assumptions'!$B$26</definedName>
    <definedName name="Wetland_Area">'3_Assumptions'!$B$23</definedName>
    <definedName name="WetlandArea_Ha">'3_Assumptions'!$B$23</definedName>
    <definedName name="Year1_Gross_Value">'12_PL_Annual'!$F$7</definedName>
    <definedName name="Year1_Net_Value">'12_PL_Annual'!$H$7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18" l="1"/>
  <c r="D18" i="18"/>
  <c r="D17" i="18"/>
  <c r="D16" i="18"/>
  <c r="D12" i="18"/>
  <c r="D11" i="18"/>
  <c r="D10" i="18"/>
  <c r="D9" i="18"/>
  <c r="D8" i="18"/>
  <c r="D7" i="18"/>
  <c r="B31" i="17"/>
  <c r="C30" i="17"/>
  <c r="B30" i="17"/>
  <c r="B9" i="17"/>
  <c r="B18" i="15"/>
  <c r="B7" i="15"/>
  <c r="A11" i="14"/>
  <c r="A10" i="14"/>
  <c r="A9" i="14"/>
  <c r="A8" i="14"/>
  <c r="A7" i="14"/>
  <c r="A11" i="13"/>
  <c r="A10" i="13"/>
  <c r="A9" i="13"/>
  <c r="A8" i="13"/>
  <c r="A7" i="13"/>
  <c r="B1023" i="11"/>
  <c r="B1022" i="11"/>
  <c r="B1021" i="11"/>
  <c r="B1020" i="11"/>
  <c r="B1019" i="11"/>
  <c r="B1016" i="11"/>
  <c r="B14" i="17" s="1"/>
  <c r="B1015" i="11"/>
  <c r="B1014" i="11"/>
  <c r="B13" i="17" s="1"/>
  <c r="B1013" i="11"/>
  <c r="B12" i="17" s="1"/>
  <c r="B1012" i="11"/>
  <c r="B11" i="17" s="1"/>
  <c r="B1011" i="11"/>
  <c r="C10" i="10"/>
  <c r="C9" i="10"/>
  <c r="C8" i="10"/>
  <c r="C11" i="10" s="1"/>
  <c r="C12" i="10" s="1"/>
  <c r="C13" i="10" s="1"/>
  <c r="C7" i="10"/>
  <c r="B10" i="9"/>
  <c r="B9" i="9"/>
  <c r="B8" i="9"/>
  <c r="B7" i="9"/>
  <c r="B12" i="8"/>
  <c r="C12" i="8" s="1"/>
  <c r="B11" i="8"/>
  <c r="C11" i="8" s="1"/>
  <c r="B10" i="8"/>
  <c r="C10" i="8" s="1"/>
  <c r="D8" i="9" s="1"/>
  <c r="B9" i="8"/>
  <c r="C9" i="8" s="1"/>
  <c r="B8" i="8"/>
  <c r="C8" i="8" s="1"/>
  <c r="D7" i="9" s="1"/>
  <c r="C23" i="7"/>
  <c r="E12" i="7"/>
  <c r="D12" i="7"/>
  <c r="I11" i="13" s="1"/>
  <c r="C12" i="7"/>
  <c r="B12" i="7"/>
  <c r="E11" i="7"/>
  <c r="D11" i="7"/>
  <c r="I10" i="13" s="1"/>
  <c r="C11" i="7"/>
  <c r="B11" i="7"/>
  <c r="E10" i="7"/>
  <c r="D10" i="7"/>
  <c r="I9" i="13" s="1"/>
  <c r="C10" i="7"/>
  <c r="B10" i="7"/>
  <c r="E9" i="7"/>
  <c r="D9" i="7"/>
  <c r="I8" i="13" s="1"/>
  <c r="C9" i="7"/>
  <c r="B9" i="7"/>
  <c r="E8" i="7"/>
  <c r="D8" i="7"/>
  <c r="I7" i="13" s="1"/>
  <c r="C8" i="7"/>
  <c r="B8" i="7"/>
  <c r="C7" i="7"/>
  <c r="B7" i="7"/>
  <c r="E55" i="4"/>
  <c r="D55" i="4"/>
  <c r="C55" i="4"/>
  <c r="B55" i="4"/>
  <c r="E54" i="4"/>
  <c r="D54" i="4"/>
  <c r="C54" i="4"/>
  <c r="B54" i="4"/>
  <c r="E53" i="4"/>
  <c r="D53" i="4"/>
  <c r="C53" i="4"/>
  <c r="B53" i="4"/>
  <c r="B5" i="1"/>
  <c r="C37" i="17" l="1"/>
  <c r="B37" i="17"/>
  <c r="C36" i="17"/>
  <c r="B36" i="17"/>
  <c r="C35" i="17"/>
  <c r="B35" i="17"/>
  <c r="B15" i="17"/>
  <c r="G10" i="13"/>
  <c r="G5" i="11"/>
  <c r="D14" i="18"/>
  <c r="G7" i="13"/>
  <c r="G8" i="13"/>
  <c r="G9" i="13"/>
  <c r="G11" i="13"/>
  <c r="B9" i="15"/>
  <c r="B13" i="15"/>
  <c r="B19" i="15"/>
  <c r="C19" i="7"/>
  <c r="C18" i="7"/>
  <c r="D9" i="9"/>
  <c r="D10" i="9"/>
  <c r="B34" i="17"/>
  <c r="C34" i="17"/>
  <c r="C10" i="9"/>
  <c r="E10" i="9" s="1"/>
  <c r="C25" i="17"/>
  <c r="C24" i="17"/>
  <c r="C9" i="9"/>
  <c r="C23" i="17"/>
  <c r="C8" i="9"/>
  <c r="E8" i="9" s="1"/>
  <c r="C22" i="17"/>
  <c r="C7" i="9"/>
  <c r="E7" i="9" s="1"/>
  <c r="E9" i="9" l="1"/>
  <c r="E12" i="9" s="1"/>
  <c r="C20" i="7"/>
  <c r="C21" i="7" s="1"/>
  <c r="D20" i="18"/>
  <c r="E8" i="13"/>
  <c r="E9" i="13"/>
  <c r="E10" i="13"/>
  <c r="E7" i="13"/>
  <c r="F5" i="11"/>
  <c r="E11" i="13"/>
  <c r="B25" i="17"/>
  <c r="C9" i="13"/>
  <c r="C10" i="13"/>
  <c r="C11" i="13"/>
  <c r="C8" i="13"/>
  <c r="B23" i="17"/>
  <c r="D5" i="11"/>
  <c r="C7" i="13"/>
  <c r="B7" i="13"/>
  <c r="C5" i="11"/>
  <c r="B10" i="13"/>
  <c r="B11" i="13"/>
  <c r="B22" i="17"/>
  <c r="B8" i="13"/>
  <c r="B9" i="13"/>
  <c r="D8" i="13" l="1"/>
  <c r="F8" i="13" s="1"/>
  <c r="H8" i="13" s="1"/>
  <c r="D10" i="13"/>
  <c r="F10" i="13" s="1"/>
  <c r="H10" i="13" s="1"/>
  <c r="E5" i="11"/>
  <c r="D9" i="13"/>
  <c r="F9" i="13" s="1"/>
  <c r="H9" i="13" s="1"/>
  <c r="D11" i="13"/>
  <c r="B24" i="17"/>
  <c r="D7" i="13"/>
  <c r="F7" i="13" s="1"/>
  <c r="F11" i="13"/>
  <c r="H11" i="13" s="1"/>
  <c r="J11" i="13" s="1"/>
  <c r="C22" i="7"/>
  <c r="C24" i="7"/>
  <c r="C32" i="17" s="1"/>
  <c r="B32" i="17"/>
  <c r="I5" i="11"/>
  <c r="D19" i="18"/>
  <c r="B11" i="14"/>
  <c r="D15" i="18"/>
  <c r="H5" i="11"/>
  <c r="B8" i="15"/>
  <c r="B10" i="15"/>
  <c r="B11" i="15"/>
  <c r="B12" i="15"/>
  <c r="B20" i="15"/>
  <c r="B10" i="14" l="1"/>
  <c r="J10" i="13"/>
  <c r="B33" i="17"/>
  <c r="C33" i="17"/>
  <c r="B8" i="14"/>
  <c r="J8" i="13"/>
  <c r="J9" i="13"/>
  <c r="B9" i="14"/>
  <c r="B16" i="13"/>
  <c r="B16" i="17"/>
  <c r="H7" i="13"/>
  <c r="B17" i="13" l="1"/>
  <c r="B7" i="14"/>
  <c r="C7" i="14" s="1"/>
  <c r="C8" i="14" s="1"/>
  <c r="C9" i="14" s="1"/>
  <c r="C10" i="14" s="1"/>
  <c r="C11" i="14" s="1"/>
  <c r="B17" i="17"/>
  <c r="J7" i="13"/>
  <c r="D7" i="14" l="1"/>
  <c r="D8" i="14" s="1"/>
  <c r="D9" i="14" s="1"/>
  <c r="D10" i="14" s="1"/>
  <c r="D11" i="14" s="1"/>
  <c r="B15" i="13"/>
  <c r="B10" i="17" l="1"/>
  <c r="B5" i="11"/>
  <c r="D13" i="18"/>
  <c r="B14" i="15"/>
  <c r="E7" i="16"/>
  <c r="F7" i="16"/>
  <c r="G7" i="16" s="1"/>
  <c r="E8" i="16"/>
  <c r="F8" i="16"/>
  <c r="E9" i="16"/>
  <c r="F9" i="16"/>
  <c r="E10" i="16"/>
  <c r="F10" i="16"/>
  <c r="G9" i="16" l="1"/>
  <c r="G10" i="16"/>
  <c r="B50" i="17"/>
  <c r="B51" i="17"/>
  <c r="B25" i="18"/>
  <c r="B26" i="18"/>
  <c r="B27" i="18"/>
  <c r="B10" i="1"/>
  <c r="B9" i="1"/>
  <c r="G8" i="16"/>
</calcChain>
</file>

<file path=xl/sharedStrings.xml><?xml version="1.0" encoding="utf-8"?>
<sst xmlns="http://schemas.openxmlformats.org/spreadsheetml/2006/main" count="764" uniqueCount="610">
  <si>
    <t>Luminous Wetland Monte Carlo Financial Model</t>
  </si>
  <si>
    <t>FAST Standard Compliant (18-Sheet Architecture)</t>
  </si>
  <si>
    <t>Version:</t>
  </si>
  <si>
    <t>3.0</t>
  </si>
  <si>
    <t>Date:</t>
  </si>
  <si>
    <t>Author:</t>
  </si>
  <si>
    <t>Luminous BioSolutions</t>
  </si>
  <si>
    <t>Model Status</t>
  </si>
  <si>
    <t>Health:</t>
  </si>
  <si>
    <t>Errors:</t>
  </si>
  <si>
    <t>Sheet Navigation</t>
  </si>
  <si>
    <t>1_TOC</t>
  </si>
  <si>
    <t>Table of Contents / Control panel</t>
  </si>
  <si>
    <t>2_Instructions</t>
  </si>
  <si>
    <t>Methodology and documentation</t>
  </si>
  <si>
    <t>3_Assumptions</t>
  </si>
  <si>
    <t>ALL inputs (timing, site, test options, validation)</t>
  </si>
  <si>
    <t>4_Scenarios</t>
  </si>
  <si>
    <t>Value scenario definitions</t>
  </si>
  <si>
    <t>5_ServiceModels</t>
  </si>
  <si>
    <t>Monte Carlo distributions</t>
  </si>
  <si>
    <t>6_Calc_Timeline</t>
  </si>
  <si>
    <t>Projection timeline</t>
  </si>
  <si>
    <t>7_Calc_Stochastic</t>
  </si>
  <si>
    <t>Random variable generation</t>
  </si>
  <si>
    <t>8_Calc_Value</t>
  </si>
  <si>
    <t>Gated value calculations</t>
  </si>
  <si>
    <t>9_Calc_Costs</t>
  </si>
  <si>
    <t>Cost calculations</t>
  </si>
  <si>
    <t>10_Calc_Sim</t>
  </si>
  <si>
    <t>1000-iteration Monte Carlo</t>
  </si>
  <si>
    <t>11_PL_Monthly</t>
  </si>
  <si>
    <t>Monthly P&amp;L (placeholder)</t>
  </si>
  <si>
    <t>12_PL_Annual</t>
  </si>
  <si>
    <t>Annual projections</t>
  </si>
  <si>
    <t>13_CashFlow</t>
  </si>
  <si>
    <t>Cumulative projections</t>
  </si>
  <si>
    <t>14_UnitEconomics</t>
  </si>
  <si>
    <t>Unit economics view</t>
  </si>
  <si>
    <t>15_Sensitivity</t>
  </si>
  <si>
    <t>Tornado analysis</t>
  </si>
  <si>
    <t>16_Dashboard</t>
  </si>
  <si>
    <t>Executive dashboard</t>
  </si>
  <si>
    <t>17_Checks</t>
  </si>
  <si>
    <t>Validation checks</t>
  </si>
  <si>
    <t>Control Panel</t>
  </si>
  <si>
    <t>User-editable parameters - change these to update model</t>
  </si>
  <si>
    <t>Parameter</t>
  </si>
  <si>
    <t>Value</t>
  </si>
  <si>
    <t>Validation</t>
  </si>
  <si>
    <t>Description</t>
  </si>
  <si>
    <t>Testing_Option</t>
  </si>
  <si>
    <t>Daily_Biosensor</t>
  </si>
  <si>
    <t>Dropdown</t>
  </si>
  <si>
    <t>Selected testing method</t>
  </si>
  <si>
    <t>Scenario_Select</t>
  </si>
  <si>
    <t>Base</t>
  </si>
  <si>
    <t>Model scenario</t>
  </si>
  <si>
    <t>Discount_Rate</t>
  </si>
  <si>
    <t>0%-15%</t>
  </si>
  <si>
    <t>NPV discount rate</t>
  </si>
  <si>
    <t>Projection_Years</t>
  </si>
  <si>
    <t>1-10</t>
  </si>
  <si>
    <t>Projection horizon</t>
  </si>
  <si>
    <t>Base_Year</t>
  </si>
  <si>
    <t>2024-2030</t>
  </si>
  <si>
    <t>Model start year</t>
  </si>
  <si>
    <t>Model Instructions &amp; Documentation</t>
  </si>
  <si>
    <t>1. Model Purpose</t>
  </si>
  <si>
    <t xml:space="preserve">  - Quantify value of high-frequency biosensor monitoring vs HRMS for OSPW wetland treatment</t>
  </si>
  <si>
    <t xml:space="preserve">  - Monte Carlo simulation for uncertainty quantification (1000 iterations)</t>
  </si>
  <si>
    <t xml:space="preserve">  - FAST Standard compliance for transparency and auditability</t>
  </si>
  <si>
    <t xml:space="preserve">  - All calculations performed in Excel - Python only generates structure/formulas</t>
  </si>
  <si>
    <t>2. How to Use This Model</t>
  </si>
  <si>
    <t>1. Edit yellow-highlighted cells in 1_TOC and 3_Assumptions</t>
  </si>
  <si>
    <t>2. Go to 10_Calc_Sim and set up the Data Table:</t>
  </si>
  <si>
    <t xml:space="preserve">   - Select A5:I1005</t>
  </si>
  <si>
    <t xml:space="preserve">   - Data &gt; What-If Analysis &gt; Data Table</t>
  </si>
  <si>
    <t xml:space="preserve">   - Column Input Cell: $K$1 (blank cell on same sheet)</t>
  </si>
  <si>
    <t>3. Press Ctrl+Alt+F9 to run Monte Carlo simulation</t>
  </si>
  <si>
    <t>4. View results in 16_Dashboard</t>
  </si>
  <si>
    <t>5. Check 17_Checks for any validation errors</t>
  </si>
  <si>
    <t>3. Latency Gating Logic</t>
  </si>
  <si>
    <t>HRMS lab testing has 42-day turnaround, blocking time-sensitive decisions:</t>
  </si>
  <si>
    <t>Scenario</t>
  </si>
  <si>
    <t>Required_Response</t>
  </si>
  <si>
    <t>HRMS_42d</t>
  </si>
  <si>
    <t>Biosensor_1d</t>
  </si>
  <si>
    <t>S1: Season Extension</t>
  </si>
  <si>
    <t>7 days</t>
  </si>
  <si>
    <t>BLOCKED</t>
  </si>
  <si>
    <t>ENABLED</t>
  </si>
  <si>
    <t>S2: Intervention Avoidance</t>
  </si>
  <si>
    <t>S3: Spatial Routing</t>
  </si>
  <si>
    <t>14 days</t>
  </si>
  <si>
    <t>S4: Early Detection</t>
  </si>
  <si>
    <t>3 days</t>
  </si>
  <si>
    <t>4. Glossary</t>
  </si>
  <si>
    <t>HRMS</t>
  </si>
  <si>
    <t>High-Resolution Mass Spectrometry</t>
  </si>
  <si>
    <t>OSPW</t>
  </si>
  <si>
    <t>Oil Sands Process-affected Water</t>
  </si>
  <si>
    <t>ARO</t>
  </si>
  <si>
    <t>Asset Retirement Obligation</t>
  </si>
  <si>
    <t>NPV</t>
  </si>
  <si>
    <t>Net Present Value</t>
  </si>
  <si>
    <t>HLR</t>
  </si>
  <si>
    <t>Hydraulic Loading Rate</t>
  </si>
  <si>
    <t>FAST</t>
  </si>
  <si>
    <t>Flexible, Appropriate, Structured, Transparent</t>
  </si>
  <si>
    <t>NAFC</t>
  </si>
  <si>
    <t>Naphthenic Acid Fraction Compounds</t>
  </si>
  <si>
    <t>5. Data Sources</t>
  </si>
  <si>
    <t xml:space="preserve">  - Zhang (2026) Long-Dated Environmental Liabilities in Oil Sands</t>
  </si>
  <si>
    <t xml:space="preserve">  - Kadlec &amp; Wallace (2009) Treatment Wetlands, 2nd Ed.</t>
  </si>
  <si>
    <t xml:space="preserve">  - FAST Standard Organisation (fast-standard.org)</t>
  </si>
  <si>
    <t xml:space="preserve">  - Luminous BioSolutions Financial Model Framework</t>
  </si>
  <si>
    <t xml:space="preserve">  - Kearl Wetland Pilot Data (GROW Presentation, Dec 2025)</t>
  </si>
  <si>
    <t>6. Value Per Cubic Meter Derivation</t>
  </si>
  <si>
    <t>The $5/m3 operational value is derived from:</t>
  </si>
  <si>
    <t xml:space="preserve">  - Conservative annual value: $250,000/year (Financial Model Framework)</t>
  </si>
  <si>
    <t xml:space="preserve">  - Annual throughput: 50,000 m3/year (3_Assumptions default)</t>
  </si>
  <si>
    <t xml:space="preserve">  - Calculation: $250,000 / 50,000 m3 = $5/m3</t>
  </si>
  <si>
    <t xml:space="preserve">  - This is the OPERATIONAL benefit only - excludes avoided treatment and ARO impacts</t>
  </si>
  <si>
    <t>Value Sensitivity Analysis (15_Sensitivity):</t>
  </si>
  <si>
    <t xml:space="preserve">  - Operational: $3-8/m3 (base $5) - Direct wetland treatment value</t>
  </si>
  <si>
    <t xml:space="preserve">  - Avoided Treatment: $10-30/m3 (base $20) - Alternative treatment costs</t>
  </si>
  <si>
    <t xml:space="preserve">  - ARO Liability: $21-93/m3 (base $50) - Zhang (2026) liability analysis</t>
  </si>
  <si>
    <t>7. Treatment Kinetics (Kearl 2022 Field Data)</t>
  </si>
  <si>
    <t>Source: Vander Meulen &amp; Headley (2024) GROW Presentation</t>
  </si>
  <si>
    <t>Project: Genome Canada LSARP - GROW (Genomics Research for Optimization of Constructed Treatment Wetlands)</t>
  </si>
  <si>
    <t>Two-Phase Kinetics Model:</t>
  </si>
  <si>
    <t xml:space="preserve">  - Rapid Phase (Days 0-15): -0.532 mg/L/day (R^2=0.43)</t>
  </si>
  <si>
    <t xml:space="preserve">  - Slow Phase (Days 30-69): -0.248 mg/L/day (R^2=0.50)</t>
  </si>
  <si>
    <t xml:space="preserve">  - The slowdown reflects preferential removal of labile compounds</t>
  </si>
  <si>
    <t>Toxicity Endpoints (Fathead Minnow Embryo):</t>
  </si>
  <si>
    <t xml:space="preserve">  - Day 14: ~50% survival (1 recirculation cycle = LC50)</t>
  </si>
  <si>
    <t xml:space="preserve">  - Day 28: 80-90% survival (2 cycles)</t>
  </si>
  <si>
    <t xml:space="preserve">  - Day 42: &gt;90% survival (3 cycles = non-toxic, equivalent to controls)</t>
  </si>
  <si>
    <t>The Concentration Paradox:</t>
  </si>
  <si>
    <t xml:space="preserve">  - Water at Day 42 was non-toxic despite ~50 mg/L NAFC concentration</t>
  </si>
  <si>
    <t xml:space="preserve">  - Literature LC50 values for fathead minnow: 18-34 mg/L</t>
  </si>
  <si>
    <t xml:space="preserve">  - Explanation: Wetlands preferentially remove high-carbon, lipophilic (most toxic) compounds</t>
  </si>
  <si>
    <t xml:space="preserve">  - Remaining NAFCs are oxidized (O3, O4 classes) and less bioavailable</t>
  </si>
  <si>
    <t xml:space="preserve">  - Implication: Total NAFC concentration alone may be inadequate for assessing safety</t>
  </si>
  <si>
    <t>Adjusting Parameters:</t>
  </si>
  <si>
    <t xml:space="preserve">  - All kinetics parameters are in 3_Assumptions Section H (yellow cells)</t>
  </si>
  <si>
    <t xml:space="preserve">  - Treatment_Rate_Factor in 5_ServiceModels captures seasonal/vegetation variability</t>
  </si>
  <si>
    <t xml:space="preserve">  - Modify Initial_NAFC to match your source water concentration</t>
  </si>
  <si>
    <t xml:space="preserve">  - Adjust Target_NAFC for different regulatory thresholds</t>
  </si>
  <si>
    <t>8. Change Log</t>
  </si>
  <si>
    <t>Version</t>
  </si>
  <si>
    <t>Date</t>
  </si>
  <si>
    <t>Changes</t>
  </si>
  <si>
    <t>3.2</t>
  </si>
  <si>
    <t>2026-01-29</t>
  </si>
  <si>
    <t>Value/m3 derivation documentation (Section 6)</t>
  </si>
  <si>
    <t>3.1</t>
  </si>
  <si>
    <t>Kearl treatment kinetics integration, Days_to_Compliance MC</t>
  </si>
  <si>
    <t>FAST 18-sheet refactor with LOCATIONS registry</t>
  </si>
  <si>
    <t>2.0</t>
  </si>
  <si>
    <t>2026-01-28</t>
  </si>
  <si>
    <t>Excel-native Monte Carlo via Data Tables</t>
  </si>
  <si>
    <t>1.0</t>
  </si>
  <si>
    <t>2025-12-01</t>
  </si>
  <si>
    <t>Initial Python-based model</t>
  </si>
  <si>
    <t>Model Assumptions (Single Source of Truth)</t>
  </si>
  <si>
    <t>All user-editable values are highlighted yellow</t>
  </si>
  <si>
    <t>A. TIMING PARAMETERS</t>
  </si>
  <si>
    <t>Unit</t>
  </si>
  <si>
    <t>Notes</t>
  </si>
  <si>
    <t>Season_Start_Month</t>
  </si>
  <si>
    <t>month</t>
  </si>
  <si>
    <t>May</t>
  </si>
  <si>
    <t>Season_Start_Day</t>
  </si>
  <si>
    <t>day</t>
  </si>
  <si>
    <t>Mid-May</t>
  </si>
  <si>
    <t>Season_End_Month</t>
  </si>
  <si>
    <t>September</t>
  </si>
  <si>
    <t>Season_End_Day</t>
  </si>
  <si>
    <t>Mid-September</t>
  </si>
  <si>
    <t>Treatment_Days</t>
  </si>
  <si>
    <t>days</t>
  </si>
  <si>
    <t>Active season length</t>
  </si>
  <si>
    <t>Seasonality Index</t>
  </si>
  <si>
    <t>Month</t>
  </si>
  <si>
    <t>Month_Num</t>
  </si>
  <si>
    <t>Multiplier</t>
  </si>
  <si>
    <t>Activity</t>
  </si>
  <si>
    <t>Ramp-up</t>
  </si>
  <si>
    <t>June</t>
  </si>
  <si>
    <t>Peak</t>
  </si>
  <si>
    <t>July</t>
  </si>
  <si>
    <t>August</t>
  </si>
  <si>
    <t>Slight decline</t>
  </si>
  <si>
    <t>Decline</t>
  </si>
  <si>
    <t>B. SITE CONFIGURATION</t>
  </si>
  <si>
    <t>Source</t>
  </si>
  <si>
    <t>WetlandAreaHa</t>
  </si>
  <si>
    <t>ha</t>
  </si>
  <si>
    <t>Standard design (Kearl pilot = 0.76 ha)</t>
  </si>
  <si>
    <t>TreatmentCells</t>
  </si>
  <si>
    <t>count</t>
  </si>
  <si>
    <t>Multi-cell design</t>
  </si>
  <si>
    <t>AnnualThroughputM3</t>
  </si>
  <si>
    <t>m3/yr</t>
  </si>
  <si>
    <t>HLR = 0.05 m3/m2/day</t>
  </si>
  <si>
    <t>ValuePerM3</t>
  </si>
  <si>
    <t>$/m3</t>
  </si>
  <si>
    <t>$250K/yr / 50K m3/yr (Section 6)</t>
  </si>
  <si>
    <t>C. COST PARAMETERS</t>
  </si>
  <si>
    <t>LaborPerDay</t>
  </si>
  <si>
    <t>$/day</t>
  </si>
  <si>
    <t>RegulatoryPenalty</t>
  </si>
  <si>
    <t>$</t>
  </si>
  <si>
    <t>DowntimeCostPerDay</t>
  </si>
  <si>
    <t>D. LEARNING CURVE</t>
  </si>
  <si>
    <t>Year</t>
  </si>
  <si>
    <t>Pilot learning</t>
  </si>
  <si>
    <t>Initial optimization</t>
  </si>
  <si>
    <t>Full maturity</t>
  </si>
  <si>
    <t>Steady state</t>
  </si>
  <si>
    <t>E. TEST OPTIONS</t>
  </si>
  <si>
    <t>Option</t>
  </si>
  <si>
    <t>Method</t>
  </si>
  <si>
    <t>Interval</t>
  </si>
  <si>
    <t>Points</t>
  </si>
  <si>
    <t>Cost_Per_Test</t>
  </si>
  <si>
    <t>Latency_Days</t>
  </si>
  <si>
    <t>Monthly_HRMS</t>
  </si>
  <si>
    <t>Weekly_HRMS</t>
  </si>
  <si>
    <t>Biosensor</t>
  </si>
  <si>
    <t>Latency Gating (Calculated)</t>
  </si>
  <si>
    <t>S1_Gate</t>
  </si>
  <si>
    <t>S2_Gate</t>
  </si>
  <si>
    <t>S3_Gate</t>
  </si>
  <si>
    <t>S4_Gate</t>
  </si>
  <si>
    <t>F. VALIDATION LISTS</t>
  </si>
  <si>
    <t>Testing_Options</t>
  </si>
  <si>
    <t>Scenarios</t>
  </si>
  <si>
    <t>Conservative</t>
  </si>
  <si>
    <t>Optimistic</t>
  </si>
  <si>
    <t>G. MC ANCHOR</t>
  </si>
  <si>
    <t>MC_Anchor --&gt;</t>
  </si>
  <si>
    <t>H. TREATMENT KINETICS</t>
  </si>
  <si>
    <t>Source: Vander Meulen &amp; Headley (2024) GROW Presentation - Kearl Pilot 2022</t>
  </si>
  <si>
    <t>Initial_NAFC</t>
  </si>
  <si>
    <t>mg/L</t>
  </si>
  <si>
    <t>Kearl 2022 Day 0 concentration</t>
  </si>
  <si>
    <t>Target_NAFC</t>
  </si>
  <si>
    <t>Regulatory threshold for non-toxicity</t>
  </si>
  <si>
    <t>Rapid_Phase_Rate</t>
  </si>
  <si>
    <t>mg/L/day</t>
  </si>
  <si>
    <t>Kearl Days 0-15 (R^2=0.43)</t>
  </si>
  <si>
    <t>Slow_Phase_Rate</t>
  </si>
  <si>
    <t>Kearl Days 30-69 (R^2=0.50)</t>
  </si>
  <si>
    <t>Rapid_Phase_Duration</t>
  </si>
  <si>
    <t>Duration of rapid removal phase</t>
  </si>
  <si>
    <t>Recirculation_Cycle</t>
  </si>
  <si>
    <t>Standard wetland recirculation</t>
  </si>
  <si>
    <t>System_Capacity</t>
  </si>
  <si>
    <t>m3</t>
  </si>
  <si>
    <t>Kearl 4-bay system volume</t>
  </si>
  <si>
    <t>I. TOXICITY MILESTONES</t>
  </si>
  <si>
    <t>Fathead minnow embryo survival endpoints (Parrott Lab, Burlington)</t>
  </si>
  <si>
    <t>Milestone</t>
  </si>
  <si>
    <t>Days</t>
  </si>
  <si>
    <t>Survival</t>
  </si>
  <si>
    <t>Day_LC50</t>
  </si>
  <si>
    <t>50%</t>
  </si>
  <si>
    <t>1 recirculation cycle - LC50 threshold</t>
  </si>
  <si>
    <t>Day_80_Survival</t>
  </si>
  <si>
    <t>80-90%</t>
  </si>
  <si>
    <t>2 recirculation cycles</t>
  </si>
  <si>
    <t>Day_Nontoxic</t>
  </si>
  <si>
    <t>&gt;90%</t>
  </si>
  <si>
    <t>3 cycles - equivalent to negative control</t>
  </si>
  <si>
    <t>Value Scenario Definitions</t>
  </si>
  <si>
    <t>Four value streams enabled by biosensor monitoring that HRMS testing cannot capture due to latency constraints.</t>
  </si>
  <si>
    <t>ID</t>
  </si>
  <si>
    <t>Name</t>
  </si>
  <si>
    <t>Base_Value</t>
  </si>
  <si>
    <t>Required_Response_Days</t>
  </si>
  <si>
    <t>S1</t>
  </si>
  <si>
    <t>Season Extension</t>
  </si>
  <si>
    <t>Temperature-based vs calendar shutdown</t>
  </si>
  <si>
    <t>S2</t>
  </si>
  <si>
    <t>Intervention Avoidance</t>
  </si>
  <si>
    <t>Prevented false-positive interventions</t>
  </si>
  <si>
    <t>S3</t>
  </si>
  <si>
    <t>Spatial Routing</t>
  </si>
  <si>
    <t>Route to high-performing cells</t>
  </si>
  <si>
    <t>S4</t>
  </si>
  <si>
    <t>Early Detection</t>
  </si>
  <si>
    <t>Reduced bio-assay costs</t>
  </si>
  <si>
    <t>Model Scenarios</t>
  </si>
  <si>
    <t>Parameter adjustments for conservative, base, and optimistic financial projections.</t>
  </si>
  <si>
    <t>Discount_Adj</t>
  </si>
  <si>
    <t>Growth_Adj</t>
  </si>
  <si>
    <t>Risk_Adj</t>
  </si>
  <si>
    <t>TABLE REFERENCE</t>
  </si>
  <si>
    <t>──────────────────────────────────────────────────</t>
  </si>
  <si>
    <t>tbl_ValueScenarios</t>
  </si>
  <si>
    <t xml:space="preserve">  Purpose: Quantify the annual financial benefit of each operational improvement enabled by real-time monitoring</t>
  </si>
  <si>
    <t xml:space="preserve">  Assumptions:</t>
  </si>
  <si>
    <t xml:space="preserve">    - Values are additive (a single biosensor deployment captures all four simultaneously)</t>
  </si>
  <si>
    <t xml:space="preserve">    - Base values calibrated from $250K/year total operational value allocation</t>
  </si>
  <si>
    <t xml:space="preserve">    - Required response days based on operational decision-making windows</t>
  </si>
  <si>
    <t xml:space="preserve">    - HRMS 42-day latency blocks all scenarios; biosensor 1-day latency enables all</t>
  </si>
  <si>
    <t xml:space="preserve">  Data Source: Financial Model Framework v2.1 - operational value allocation</t>
  </si>
  <si>
    <t xml:space="preserve">  Related: tbl_ModelScenarios, tbl_GatedValues, tbl_LatencyGating</t>
  </si>
  <si>
    <t>tbl_ModelScenarios</t>
  </si>
  <si>
    <t xml:space="preserve">  Purpose: Enable sensitivity analysis by adjusting discount rate, growth rate, and risk factors</t>
  </si>
  <si>
    <t xml:space="preserve">    - Base scenario uses unadjusted parameters from model inputs</t>
  </si>
  <si>
    <t xml:space="preserve">    - Conservative adds higher discount (+0.4%), lower growth (-2%), higher risk (+10%)</t>
  </si>
  <si>
    <t xml:space="preserve">    - Optimistic uses lower discount (-0.3%), higher growth (+1%), lower risk (-10%)</t>
  </si>
  <si>
    <t xml:space="preserve">  Data Source: Standard financial modeling practice - scenario analysis parameters</t>
  </si>
  <si>
    <t xml:space="preserve">  Related: tbl_ValueScenarios, tbl_Sensitivity</t>
  </si>
  <si>
    <t>Monte Carlo Distribution Parameters</t>
  </si>
  <si>
    <t>Triangular Distributions</t>
  </si>
  <si>
    <t>Variable</t>
  </si>
  <si>
    <t>Min</t>
  </si>
  <si>
    <t>Mode</t>
  </si>
  <si>
    <t>Max</t>
  </si>
  <si>
    <t>Units</t>
  </si>
  <si>
    <t>Season_Extension_Days</t>
  </si>
  <si>
    <t>Extension_Value_Per_Day</t>
  </si>
  <si>
    <t>Interventions_Avoided</t>
  </si>
  <si>
    <t>events</t>
  </si>
  <si>
    <t>Treatment_Rate_Factor</t>
  </si>
  <si>
    <t>multiplier</t>
  </si>
  <si>
    <t>Beta Distributions</t>
  </si>
  <si>
    <t>Alpha</t>
  </si>
  <si>
    <t>Beta</t>
  </si>
  <si>
    <t>Efficiency_Gain</t>
  </si>
  <si>
    <t>%</t>
  </si>
  <si>
    <t>Value Per M3 Sensitivity Frames</t>
  </si>
  <si>
    <t>Frame</t>
  </si>
  <si>
    <t>Low</t>
  </si>
  <si>
    <t>High</t>
  </si>
  <si>
    <t>Context</t>
  </si>
  <si>
    <t>Operational</t>
  </si>
  <si>
    <t>Direct operational benefit</t>
  </si>
  <si>
    <t>Avoided Treatment</t>
  </si>
  <si>
    <t>Alternative treatment costs</t>
  </si>
  <si>
    <t>ARO Liability</t>
  </si>
  <si>
    <t>Zhang (2026) analysis</t>
  </si>
  <si>
    <t>Projection Timeline</t>
  </si>
  <si>
    <t>Understanding the Timeline</t>
  </si>
  <si>
    <t>This sheet generates the projection timeline used throughout the model.
Key outputs:
- Year numbers (1-5) based on Projection_Years setting
- Calendar years starting from Base_Year
- Month indices for seasonal calculations
The timeline drives all time-dependent calculations in sheets 8-15.
Changing Projection_Years or Base_Year in 1_TOC updates this timeline.</t>
  </si>
  <si>
    <t>Year_Index</t>
  </si>
  <si>
    <t>Calendar_Year</t>
  </si>
  <si>
    <t>Discount_Factor</t>
  </si>
  <si>
    <t>Learning_Mult</t>
  </si>
  <si>
    <t>Treatment Kinetics (Kearl 2022)</t>
  </si>
  <si>
    <t>Source: Vander Meulen &amp; Headley (2024) GROW</t>
  </si>
  <si>
    <t>Metric</t>
  </si>
  <si>
    <t>Formula</t>
  </si>
  <si>
    <t>Eff_Rapid_Rate</t>
  </si>
  <si>
    <t>'=Rapid_Phase_Rate * Stoch_TreatmentRate</t>
  </si>
  <si>
    <t>Eff_Slow_Rate</t>
  </si>
  <si>
    <t>'=Slow_Phase_Rate * Stoch_TreatmentRate</t>
  </si>
  <si>
    <t>NAFC_After_Rapid</t>
  </si>
  <si>
    <t>'=MAX(0, Initial - Rate * Duration)</t>
  </si>
  <si>
    <t>Days_to_Compliance</t>
  </si>
  <si>
    <t>Two-phase calculation</t>
  </si>
  <si>
    <t>Circulation_Cycles</t>
  </si>
  <si>
    <t>'=CEILING(Days / Cycle, 1)</t>
  </si>
  <si>
    <t>cycles</t>
  </si>
  <si>
    <t>Treatment_Efficiency</t>
  </si>
  <si>
    <t>'=(Initial - Target) / Initial</t>
  </si>
  <si>
    <t>Compliance_Status</t>
  </si>
  <si>
    <t>Achievable within season?</t>
  </si>
  <si>
    <t>status</t>
  </si>
  <si>
    <t>Stochastic Variables</t>
  </si>
  <si>
    <t>(Press F9 to recalculate random draws)</t>
  </si>
  <si>
    <t>Monte Carlo Random Variables</t>
  </si>
  <si>
    <t>This sheet generates random variables for Monte Carlo simulation.
Each variable uses a triangular distribution defined in 5_ServiceModels:
- Min: Worst-case value
- Mode: Most likely value
- Max: Best-case value
The RAND() functions recalculate when you press F9 or Ctrl+Alt+F9.
Sheet 10_Calc_Sim captures 1000 iterations via Excel Data Tables.
Important: These values change on every recalculation. The simulation
statistics (P10, P50, P90) in the Dashboard are calculated from the
1000 captured iterations, not from individual cell values.</t>
  </si>
  <si>
    <t>Random_U</t>
  </si>
  <si>
    <t>Realized_Value</t>
  </si>
  <si>
    <t>Season_Extension</t>
  </si>
  <si>
    <t>Extension_Value</t>
  </si>
  <si>
    <t>Gated Value Calculations</t>
  </si>
  <si>
    <t>Understanding Gated Value Calculations</t>
  </si>
  <si>
    <t>This sheet calculates value that HRMS testing CANNOT capture due to its
42-day latency. Each scenario requires a response faster than HRMS allows.
The "Gating" Logic:
- HRMS has 42-day turnaround from sample to results
- All four scenarios require decisions within 3-14 days
- Therefore, HRMS is always BLOCKED; Biosensor (1-day) is ENABLED
Value Calculation:
- Gated_Value = Base_Value x Stoch_Mult (if ENABLED)
- Gated_Value = $0 (if BLOCKED)
Since the selected Testing_Option is Biosensor (1-day latency), all
scenarios are ENABLED and contribute value. If HRMS were selected,
all would be BLOCKED and total value would be $0.</t>
  </si>
  <si>
    <t>Gate_Status</t>
  </si>
  <si>
    <t>Stoch_Mult</t>
  </si>
  <si>
    <t>Gated_Value</t>
  </si>
  <si>
    <t>S1_Season_Extension</t>
  </si>
  <si>
    <t>S2_Intervention_Avoidance</t>
  </si>
  <si>
    <t>S3_Spatial_Routing</t>
  </si>
  <si>
    <t>S4_Early_Detection</t>
  </si>
  <si>
    <t>Total_Gross_Value</t>
  </si>
  <si>
    <t>Cost Calculations</t>
  </si>
  <si>
    <t>Understanding Cost Calculations</t>
  </si>
  <si>
    <t>This sheet calculates the annual cost of the selected testing approach.
Cost Components:
- Testing frequency: How often samples are taken (daily vs weekly vs monthly)
- Sample points: Number of locations monitored per test event
- Cost per test: Lab analysis cost for HRMS or sensor cost for Biosensor
- Season length: Number of active treatment days per year
Formula: Annual_Cost = (Season_Days / Test_Interval) x Sample_Points x Cost_Per_Test
The testing option parameters come from 3_Assumptions (Test Options table).
Biosensor has higher frequency but much lower cost per test, resulting
in comparable or lower total annual costs with far better data resolution.</t>
  </si>
  <si>
    <t>Component</t>
  </si>
  <si>
    <t>Selected_Option</t>
  </si>
  <si>
    <t>Interval_Days</t>
  </si>
  <si>
    <t>INDEX/MATCH</t>
  </si>
  <si>
    <t>Monitoring_Points</t>
  </si>
  <si>
    <t>Events_Per_Season</t>
  </si>
  <si>
    <t>Season_Length / Interval</t>
  </si>
  <si>
    <t>Total_Tests</t>
  </si>
  <si>
    <t>Events * Points</t>
  </si>
  <si>
    <t>Season_Testing_Cost</t>
  </si>
  <si>
    <t>Total_Tests * Cost_Per_Test</t>
  </si>
  <si>
    <t>Monte Carlo Simulation (1000 iterations)</t>
  </si>
  <si>
    <t>Running the Monte Carlo Simulation</t>
  </si>
  <si>
    <t>Select A5:I1005 &gt; Data &gt; What-If Analysis &gt; Data Table</t>
  </si>
  <si>
    <t>This sheet captures 1000 iterations using Excel's Data Table feature.
SETUP INSTRUCTIONS:
1. Select the data range A5:I1005 (headers + 1000 rows)
2. Go to Data &gt; What-If Analysis &gt; Data Table
3. Leave "Row input cell" blank
4. For "Column input cell" enter: $K$1 (any blank cell on this sheet)
5. Click OK
HOW IT WORKS:
- Excel recalculates the model 1000 times
- Each row captures one iteration's outputs (NPV, scenario values, costs)
- The Data Table forces RAND() functions to regenerate each iteration
- Results are stored as values, not formulas
RECALCULATING:
- Press Ctrl+Alt+F9 to force full recalculation
- This regenerates all 1000 iterations (may take several seconds)
- Standard F9 only recalculates changed cells
OUTPUT STATISTICS:
- Expected NPV: Mean of 1000 iterations
- P10/P50/P90: Percentile values for confidence intervals
- Prob(NPV&gt;0): Percentage of iterations with positive NPV</t>
  </si>
  <si>
    <t>Column Input Cell: $K$1 (blank cell on this sheet)</t>
  </si>
  <si>
    <t>Iteration</t>
  </si>
  <si>
    <t>Cost</t>
  </si>
  <si>
    <t>Net</t>
  </si>
  <si>
    <t>Monte Carlo Statistics</t>
  </si>
  <si>
    <t>Expected NPV</t>
  </si>
  <si>
    <t>P10 NPV</t>
  </si>
  <si>
    <t>P50 NPV (Median)</t>
  </si>
  <si>
    <t>P90 NPV</t>
  </si>
  <si>
    <t>StdDev</t>
  </si>
  <si>
    <t>Prob(NPV&gt;0)</t>
  </si>
  <si>
    <t>Treatment Kinetics Statistics</t>
  </si>
  <si>
    <t>Expected Days to Compliance</t>
  </si>
  <si>
    <t>P10 Days (optimistic)</t>
  </si>
  <si>
    <t>P50 Days (median)</t>
  </si>
  <si>
    <t>P90 Days (conservative)</t>
  </si>
  <si>
    <t>Prob(Achievable in Season)</t>
  </si>
  <si>
    <t>Monthly P&amp;L (Placeholder)</t>
  </si>
  <si>
    <t>Monthly P&amp;L View</t>
  </si>
  <si>
    <t>This sheet is a placeholder for future monthly P&amp;L projections.
CURRENT STATUS: Not implemented in this version.
FUTURE USE CASES:
- Monthly cash flow timing for working capital analysis
- Seasonal revenue recognition patterns
- Monthly cost accruals
- Intra-year variance analysis
The model currently uses annual projections (12_PL_Annual) as the
primary financial view. Monthly detail would add complexity without
significant benefit for the current valuation use case.
If monthly detail is needed, the structure should mirror 12_PL_Annual
with columns for each month and rows for:
- Gross Value by scenario
- Testing costs
- Operating expenses
- Net monthly benefit</t>
  </si>
  <si>
    <t>Annual Projections</t>
  </si>
  <si>
    <t>Annual Financial Projections</t>
  </si>
  <si>
    <t>This sheet projects annual value capture over the planning horizon.
KEY CALCULATIONS:
- Gross Value: Sum of gated scenario values from 8_Calc_Value
- Learning Curve: Year 1 at 50%, Year 2 at 75%, Year 3+ at 100%
- Adjusted Value: Gross Value x Learning Curve Multiplier
- Net Value: Adjusted Value - Testing Costs
- NPV: Discounted sum using rate from 1_TOC
LEARNING CURVE RATIONALE:
Year 1 (50%): Pilot learning, process establishment
Year 2 (75%): Initial optimization, expanded coverage
Year 3+ (100%): Full operational maturity, steady state
The learning curve can be adjusted in 3_Assumptions Section D.
Conservative default reflects typical technology adoption patterns.</t>
  </si>
  <si>
    <t>S1_Value</t>
  </si>
  <si>
    <t>S2_Value</t>
  </si>
  <si>
    <t>S3_Value</t>
  </si>
  <si>
    <t>S4_Value</t>
  </si>
  <si>
    <t>Gross_Value</t>
  </si>
  <si>
    <t>Costs</t>
  </si>
  <si>
    <t>Net_Annual</t>
  </si>
  <si>
    <t>Discounted</t>
  </si>
  <si>
    <t>Aggregate KPIs</t>
  </si>
  <si>
    <t>NPV_Total</t>
  </si>
  <si>
    <t>Total_Gross_5Yr</t>
  </si>
  <si>
    <t>Total_Net_5Yr</t>
  </si>
  <si>
    <t>Cumulative Cash Flow</t>
  </si>
  <si>
    <t>Cumulative Cash Flow Analysis</t>
  </si>
  <si>
    <t>This sheet tracks cumulative value capture over the projection horizon.
KEY METRICS:
- Cumulative Net: Running total of annual net benefits
- Cumulative NPV: Running total of discounted net benefits
- Payback Point: Year when cumulative value turns positive
USE CASES:
- Determine when investment breaks even
- Assess cash flow timing for capital planning
- Compare cumulative value vs upfront investment
Note: This model assumes no upfront capital investment for the
biosensor system (included in testing costs). For scenarios with
capital expenditure, add an initial investment row and adjust
payback calculations accordingly.</t>
  </si>
  <si>
    <t>Annual_Net</t>
  </si>
  <si>
    <t>Cumulative_Net</t>
  </si>
  <si>
    <t>Cumulative_NPV</t>
  </si>
  <si>
    <t>Unit Economics</t>
  </si>
  <si>
    <t>Per-Cubic-Meter Economics</t>
  </si>
  <si>
    <t>This sheet expresses all values on a per-m3 basis for comparability.
WHY UNIT ECONOMICS MATTER:
- Allows comparison across different site sizes
- Enables scaling estimates to new deployments
- Provides intuitive metrics for operator discussions
- Connects to industry benchmarks (treatment costs, ARO liabilities)
KEY METRICS:
- Value per m3: Total value divided by annual throughput
- Cost per m3: Testing cost divided by throughput
- Net per m3: Value minus cost per unit volume
- NPV per m3: 5-year NPV divided by total 5-year throughput
BENCHMARKS (from 2_Instructions):
- Operational value: $3-8/m3 (this model's output)
- Avoided treatment: $10-30/m3 (alternative treatment costs)
- ARO liability: $21-93/m3 (Zhang 2026 analysis)
The biosensor's value per m3 can be compared against these benchmarks
to understand its contribution relative to the total value stack.</t>
  </si>
  <si>
    <t>Annual Throughput</t>
  </si>
  <si>
    <t>From 3_Assumptions</t>
  </si>
  <si>
    <t>Gross Value per Season</t>
  </si>
  <si>
    <t>Sum of S1-S4</t>
  </si>
  <si>
    <t>Testing Cost per Season</t>
  </si>
  <si>
    <t>Based on option selected</t>
  </si>
  <si>
    <t>Net Value per Season</t>
  </si>
  <si>
    <t>Gross - Testing</t>
  </si>
  <si>
    <t>Value per m3 (Gross)</t>
  </si>
  <si>
    <t>Gross / Throughput</t>
  </si>
  <si>
    <t>Value per m3 (Net)</t>
  </si>
  <si>
    <t>Net / Throughput</t>
  </si>
  <si>
    <t>Cost per m3</t>
  </si>
  <si>
    <t>Testing / Throughput</t>
  </si>
  <si>
    <t>5-Year NPV per m3</t>
  </si>
  <si>
    <t>NPV / (5yr throughput)</t>
  </si>
  <si>
    <t>Breakeven Analysis</t>
  </si>
  <si>
    <t>Testing cost per test:</t>
  </si>
  <si>
    <t>Tests per season:</t>
  </si>
  <si>
    <t>Value per test (net):</t>
  </si>
  <si>
    <t>Sensitivity Analysis</t>
  </si>
  <si>
    <t>Tornado Sensitivity Analysis</t>
  </si>
  <si>
    <t>This sheet shows how NPV changes when individual parameters vary.
METHODOLOGY:
- Each parameter is varied from Low to High while others stay at Base
- NPV is calculated at each extreme
- "Swing" = |NPV_at_High - NPV_at_Low| measures parameter influence
- Parameters are sorted by Swing (largest impact first)
INTERPRETATION:
- Parameters at top of tornado have most influence on outcomes
- Focus validation efforts on high-sensitivity parameters
- Parameters with low swing are less critical to model accuracy
KEY PARAMETERS TESTED:
- Value_Per_M3: Direct impact on operational value
- Annual_Throughput: Volume scaling factor
- Treatment_Rate_Factor: Kinetics uncertainty
- Discount_Rate: Time value of money
- Season_Length: Active treatment period
LIMITATIONS:
- One-at-a-time analysis ignores parameter correlations
- Monte Carlo simulation (10_Calc_Sim) captures joint uncertainty
- Use tornado for directional insight, MC for quantified risk</t>
  </si>
  <si>
    <t>NPV_at_Low</t>
  </si>
  <si>
    <t>NPV_at_High</t>
  </si>
  <si>
    <t>Swing</t>
  </si>
  <si>
    <t>Value_Per_M3</t>
  </si>
  <si>
    <t>Season_Length</t>
  </si>
  <si>
    <t>Wetland_Area</t>
  </si>
  <si>
    <t>Methodology</t>
  </si>
  <si>
    <t>Proportional parameters: NPV scales linearly with parameter ratio (Low/Base, High/Base)</t>
  </si>
  <si>
    <t>Discount Rate: Uses time-value adjustment formula NPV * ((1+Base)/(1+Rate))^2.5</t>
  </si>
  <si>
    <t>Note: These are first-order approximations. For precise sensitivity, use Monte Carlo.</t>
  </si>
  <si>
    <t>Tornado Chart</t>
  </si>
  <si>
    <t>1. Select Parameter and Swing columns (A4:A8, G4:G8)</t>
  </si>
  <si>
    <t>2. Insert -&gt; Chart -&gt; Bar Chart (horizontal)</t>
  </si>
  <si>
    <t>3. Sort data by Swing descending for tornado effect</t>
  </si>
  <si>
    <t>Executive Dashboard</t>
  </si>
  <si>
    <t>Key Results Summary</t>
  </si>
  <si>
    <t>This dashboard presents the key outputs from the Monte Carlo simulation.
PRIMARY METRICS:
- Expected NPV: Mean of 1000 simulation iterations
- P10/P50/P90: Confidence interval bounds
- Probability NPV &gt; 0: Likelihood of positive outcome
INTERPRETATION GUIDE:
- P10 = "Pessimistic but plausible" (10% of outcomes are worse)
- P50 = Median outcome (equally likely to be higher or lower)
- P90 = "Optimistic but plausible" (10% of outcomes are better)
A narrow P10-P90 range indicates low uncertainty.
P10 &gt; 0 means even pessimistic scenarios show positive value.
REFRESH DATA:
Press Ctrl+Alt+F9 to regenerate all 1000 Monte Carlo iterations.
Dashboard values update automatically.</t>
  </si>
  <si>
    <t>Key Performance Indicators</t>
  </si>
  <si>
    <t>Primary Monte Carlo simulation outputs and financial metrics for executive decision-making.</t>
  </si>
  <si>
    <t>Selected Testing Option</t>
  </si>
  <si>
    <t>Expected NPV (5-Year)</t>
  </si>
  <si>
    <t>Monte Carlo P10</t>
  </si>
  <si>
    <t>Monte Carlo P50</t>
  </si>
  <si>
    <t>Monte Carlo P90</t>
  </si>
  <si>
    <t>Probability NPV &gt; 0</t>
  </si>
  <si>
    <t>Annual Testing Cost</t>
  </si>
  <si>
    <t>Year 1 Gross Value</t>
  </si>
  <si>
    <t>Year 1 Net Value</t>
  </si>
  <si>
    <t>Scenario Value Breakdown</t>
  </si>
  <si>
    <t>Individual scenario contributions to total gated value with gate status.</t>
  </si>
  <si>
    <t>Status</t>
  </si>
  <si>
    <t>NAFC degradation parameters and Monte Carlo treatment time estimates.</t>
  </si>
  <si>
    <t>Initial NAFC Concentration</t>
  </si>
  <si>
    <t>Target NAFC Concentration</t>
  </si>
  <si>
    <t>"-"</t>
  </si>
  <si>
    <t>Days to Regulatory Compliance</t>
  </si>
  <si>
    <t>Circulation Cycles Required</t>
  </si>
  <si>
    <t>Treatment Efficiency</t>
  </si>
  <si>
    <t>MC Expected Days</t>
  </si>
  <si>
    <t>MC P90 Days (conservative)</t>
  </si>
  <si>
    <t>MC Prob(Achievable)</t>
  </si>
  <si>
    <t>Testing Option Comparison</t>
  </si>
  <si>
    <t>Side-by-side comparison of gate status and value across all testing options.</t>
  </si>
  <si>
    <t>S1 Gate</t>
  </si>
  <si>
    <t>S2 Gate</t>
  </si>
  <si>
    <t>S3 Gate</t>
  </si>
  <si>
    <t>S4 Gate</t>
  </si>
  <si>
    <t>Testing Cost/Season</t>
  </si>
  <si>
    <t>$60,000</t>
  </si>
  <si>
    <t>$28,571</t>
  </si>
  <si>
    <t>$10,000</t>
  </si>
  <si>
    <t>Potential 5-Year NPV</t>
  </si>
  <si>
    <t>-$29k</t>
  </si>
  <si>
    <t>$180k</t>
  </si>
  <si>
    <t>$1.1M+</t>
  </si>
  <si>
    <t>Model Health</t>
  </si>
  <si>
    <t>Check Status:</t>
  </si>
  <si>
    <t>Errors Found:</t>
  </si>
  <si>
    <t>tbl_KPIs</t>
  </si>
  <si>
    <t xml:space="preserve">  Purpose: Provide at-a-glance summary of biosensor investment value and risk profile</t>
  </si>
  <si>
    <t xml:space="preserve">    - NPV calculated over 5-year horizon with 7% discount rate</t>
  </si>
  <si>
    <t xml:space="preserve">    - P10/P50/P90 derived from 1000 Monte Carlo iterations</t>
  </si>
  <si>
    <t xml:space="preserve">    - All metrics assume Daily Biosensor as selected testing option</t>
  </si>
  <si>
    <t xml:space="preserve">    - Values refresh when Monte Carlo simulation is recalculated</t>
  </si>
  <si>
    <t xml:space="preserve">  Data Source: Calculated from 10_Calc_Sim Monte Carlo simulation results</t>
  </si>
  <si>
    <t xml:space="preserve">  Related: tbl_ScenarioBreakdown, tbl_Annual, tbl_CashFlow</t>
  </si>
  <si>
    <t>tbl_ScenarioBreakdown</t>
  </si>
  <si>
    <t xml:space="preserve">  Purpose: Show which value scenarios are captured by the selected testing option</t>
  </si>
  <si>
    <t xml:space="preserve">    - Gate status determined by testing latency vs required response time</t>
  </si>
  <si>
    <t xml:space="preserve">    - ENABLED means testing latency allows capturing this value</t>
  </si>
  <si>
    <t xml:space="preserve">    - BLOCKED means testing latency prevents capturing this value</t>
  </si>
  <si>
    <t xml:space="preserve">    - Values are stochastic and vary with each Monte Carlo iteration</t>
  </si>
  <si>
    <t xml:space="preserve">  Data Source: Calculated from 8_Calc_Value gating logic and stochastic multipliers</t>
  </si>
  <si>
    <t xml:space="preserve">  Related: tbl_KPIs, tbl_ValueScenarios, tbl_GatedValues</t>
  </si>
  <si>
    <t>tbl_TreatmentKPIs</t>
  </si>
  <si>
    <t xml:space="preserve">  Purpose: Validate that biosensor-enabled treatment achieves regulatory compliance within season</t>
  </si>
  <si>
    <t xml:space="preserve">    - Based on Kearl (2022) first-order kinetics model for NAFC degradation</t>
  </si>
  <si>
    <t xml:space="preserve">    - Initial/target NAFC concentrations from site characterization data</t>
  </si>
  <si>
    <t xml:space="preserve">    - Treatment rate factor varies stochastically (0.7-1.3 multiplier)</t>
  </si>
  <si>
    <t xml:space="preserve">    - Season length constraint of 120 days for Alberta operations</t>
  </si>
  <si>
    <t xml:space="preserve">  Data Source: Kearl (2022) wetland treatment kinetics research</t>
  </si>
  <si>
    <t xml:space="preserve">  Related: tbl_KPIs, tbl_Triangular, tbl_TreatmentKinetics</t>
  </si>
  <si>
    <t>tbl_OptionComparison</t>
  </si>
  <si>
    <t xml:space="preserve">  Purpose: Demonstrate the value differential between HRMS and biosensor testing approaches</t>
  </si>
  <si>
    <t xml:space="preserve">    - Monthly HRMS: 42-day turnaround, $60K/season</t>
  </si>
  <si>
    <t xml:space="preserve">    - Weekly HRMS: 42-day turnaround, $28.6K/season</t>
  </si>
  <si>
    <t xml:space="preserve">    - Daily Biosensor: 1-day turnaround, $10K/season</t>
  </si>
  <si>
    <t xml:space="preserve">    - Gate status determined by latency vs required response time</t>
  </si>
  <si>
    <t xml:space="preserve">  Data Source: Testing cost quotes and operational latency measurements</t>
  </si>
  <si>
    <t xml:space="preserve">  Related: tbl_KPIs, tbl_TestOptions, tbl_LatencyGating</t>
  </si>
  <si>
    <t>Model Validation Checks</t>
  </si>
  <si>
    <t>Model Integrity Checks</t>
  </si>
  <si>
    <t>This sheet validates model inputs and calculations.
CHECK CATEGORIES:
- Range: Input values within acceptable bounds
- Consistency: Related inputs are logically consistent
- Sanity: Output values are reasonable
- Integrity: Calculations produce expected results
INTERPRETING RESULTS:
- PASS: Check passed, no action needed
- FAIL: Issue detected, review the referenced input/output
WHAT TO DO IF CHECKS FAIL:
1. Note which check(s) failed
2. Review the description to understand the issue
3. Navigate to the relevant input (usually 1_TOC or 3_Assumptions)
4. Adjust values to bring them within valid ranges
5. Return here to confirm PASS status
AUTOMATED MONITORING:
The 0_Cover sheet shows overall model health status.
Any FAIL here will trigger the "Review 17_Checks" warning.</t>
  </si>
  <si>
    <t>Check_ID</t>
  </si>
  <si>
    <t>Category</t>
  </si>
  <si>
    <t>CHK001</t>
  </si>
  <si>
    <t>Range</t>
  </si>
  <si>
    <t>Discount rate between 0-15%</t>
  </si>
  <si>
    <t>CHK002</t>
  </si>
  <si>
    <t>Season length between 60-150 days</t>
  </si>
  <si>
    <t>CHK003</t>
  </si>
  <si>
    <t>Projection years between 1-10</t>
  </si>
  <si>
    <t>CHK004</t>
  </si>
  <si>
    <t>Value per M3 positive</t>
  </si>
  <si>
    <t>CHK005</t>
  </si>
  <si>
    <t>Logic</t>
  </si>
  <si>
    <t>Testing option valid</t>
  </si>
  <si>
    <t>CHK006</t>
  </si>
  <si>
    <t>Scenario selection valid</t>
  </si>
  <si>
    <t>CHK007</t>
  </si>
  <si>
    <t>Sanity</t>
  </si>
  <si>
    <t>NPV within reasonable bounds</t>
  </si>
  <si>
    <t>CHK008</t>
  </si>
  <si>
    <t>Testing cost positive</t>
  </si>
  <si>
    <t>CHK009</t>
  </si>
  <si>
    <t>Gross value non-negative</t>
  </si>
  <si>
    <t>CHK010</t>
  </si>
  <si>
    <t>Integrity</t>
  </si>
  <si>
    <t>All named ranges defined</t>
  </si>
  <si>
    <t>CHK011</t>
  </si>
  <si>
    <t>Initial NAFC in range (40-100 mg/L)</t>
  </si>
  <si>
    <t>CHK012</t>
  </si>
  <si>
    <t>Target NAFC &lt; Initial NAFC</t>
  </si>
  <si>
    <t>CHK013</t>
  </si>
  <si>
    <t>Days to compliance &lt;= season length</t>
  </si>
  <si>
    <t>CHK014</t>
  </si>
  <si>
    <t>Treatment rates positive</t>
  </si>
  <si>
    <t>Summary</t>
  </si>
  <si>
    <t>Total Checks:</t>
  </si>
  <si>
    <t>Passed:</t>
  </si>
  <si>
    <t>Failed:</t>
  </si>
  <si>
    <t>Model Health: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</si>
</sst>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"/>
    <numFmt numFmtId="165" formatCode="0.0%"/>
    <numFmt numFmtId="166" formatCode="\$#,##0.00"/>
    <numFmt numFmtId="167" formatCode="\$#,##0"/>
    <numFmt numFmtId="168" formatCode="0.000"/>
    <numFmt numFmtId="169" formatCode="0.0"/>
    <numFmt numFmtId="170" formatCode="0.0\ &quot;mg/L&quot;"/>
    <numFmt numFmtId="171" formatCode="0.0\ &quot;days&quot;"/>
  </numFmts>
  <fonts count="16" x14ac:knownFonts="1">
    <font>
      <sz val="11"/>
      <color theme="1"/>
      <name val="Calibri"/>
      <family val="2"/>
      <scheme val="minor"/>
    </font>
    <font>
      <b/>
      <sz val="20"/>
      <name val="Calibri"/>
      <family val="2"/>
    </font>
    <font>
      <i/>
      <sz val="12"/>
      <name val="Calibri"/>
      <family val="2"/>
    </font>
    <font>
      <b/>
      <sz val="14"/>
      <name val="Calibri"/>
      <family val="2"/>
    </font>
    <font>
      <b/>
      <sz val="16"/>
      <name val="Calibri"/>
      <family val="2"/>
    </font>
    <font>
      <i/>
      <sz val="11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i/>
      <sz val="11"/>
      <name val="Calibri"/>
      <family val="2"/>
    </font>
    <font>
      <i/>
      <sz val="9"/>
      <name val="Calibri"/>
      <family val="2"/>
    </font>
    <font>
      <b/>
      <sz val="11"/>
      <name val="Calibri"/>
      <family val="2"/>
    </font>
    <font>
      <i/>
      <sz val="9"/>
      <color rgb="FF666666"/>
      <name val="Calibri"/>
      <family val="2"/>
    </font>
    <font>
      <b/>
      <sz val="10"/>
      <color rgb="FF1F4E79"/>
      <name val="Calibri"/>
      <family val="2"/>
    </font>
    <font>
      <sz val="8"/>
      <color rgb="FF999999"/>
      <name val="Calibri"/>
      <family val="2"/>
    </font>
    <font>
      <b/>
      <sz val="10"/>
      <name val="Calibri"/>
      <family val="2"/>
    </font>
    <font>
      <b/>
      <sz val="11"/>
      <color rgb="FF1F4E79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F99"/>
        <bgColor rgb="FFFFFF99"/>
      </patternFill>
    </fill>
    <fill>
      <patternFill patternType="solid">
        <fgColor rgb="FFF2F2F2"/>
        <bgColor rgb="FFF2F2F2"/>
      </patternFill>
    </fill>
    <fill>
      <patternFill patternType="solid">
        <fgColor rgb="FFD9E2F3"/>
        <bgColor rgb="FFD9E2F3"/>
      </patternFill>
    </fill>
    <fill>
      <patternFill patternType="solid">
        <fgColor rgb="FFDEEAF6"/>
        <bgColor rgb="FFDEEAF6"/>
      </patternFill>
    </fill>
  </fills>
  <borders count="4">
    <border>
      <left/>
      <right/>
      <top/>
      <bottom/>
      <diagonal/>
    </border>
    <border>
      <left style="medium">
        <color rgb="FF4472C4"/>
      </left>
      <right style="medium">
        <color rgb="FF4472C4"/>
      </right>
      <top style="medium">
        <color rgb="FF4472C4"/>
      </top>
      <bottom style="medium">
        <color rgb="FF4472C4"/>
      </bottom>
      <diagonal/>
    </border>
    <border>
      <left/>
      <right/>
      <top style="medium">
        <color rgb="FF4472C4"/>
      </top>
      <bottom style="medium">
        <color rgb="FF4472C4"/>
      </bottom>
      <diagonal/>
    </border>
    <border>
      <left/>
      <right style="medium">
        <color rgb="FF4472C4"/>
      </right>
      <top style="medium">
        <color rgb="FF4472C4"/>
      </top>
      <bottom style="medium">
        <color rgb="FF4472C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/>
    <xf numFmtId="0" fontId="0" fillId="3" borderId="0" xfId="0" applyFill="1"/>
    <xf numFmtId="165" fontId="0" fillId="3" borderId="0" xfId="0" applyNumberFormat="1" applyFill="1"/>
    <xf numFmtId="0" fontId="7" fillId="0" borderId="0" xfId="0" applyFont="1"/>
    <xf numFmtId="0" fontId="8" fillId="0" borderId="0" xfId="0" applyFont="1"/>
    <xf numFmtId="166" fontId="0" fillId="3" borderId="0" xfId="0" applyNumberFormat="1" applyFill="1"/>
    <xf numFmtId="167" fontId="0" fillId="3" borderId="0" xfId="0" applyNumberFormat="1" applyFill="1"/>
    <xf numFmtId="167" fontId="0" fillId="0" borderId="0" xfId="0" applyNumberFormat="1"/>
    <xf numFmtId="0" fontId="9" fillId="0" borderId="0" xfId="0" applyFont="1"/>
    <xf numFmtId="168" fontId="0" fillId="3" borderId="0" xfId="0" applyNumberFormat="1" applyFill="1"/>
    <xf numFmtId="0" fontId="10" fillId="0" borderId="0" xfId="0" applyFont="1"/>
    <xf numFmtId="0" fontId="11" fillId="4" borderId="0" xfId="0" applyFont="1" applyFill="1" applyAlignment="1">
      <alignment wrapText="1"/>
    </xf>
    <xf numFmtId="0" fontId="12" fillId="5" borderId="0" xfId="0" applyFont="1" applyFill="1"/>
    <xf numFmtId="0" fontId="13" fillId="0" borderId="0" xfId="0" applyFont="1"/>
    <xf numFmtId="0" fontId="14" fillId="0" borderId="0" xfId="0" applyFont="1"/>
    <xf numFmtId="168" fontId="0" fillId="0" borderId="0" xfId="0" applyNumberFormat="1"/>
    <xf numFmtId="2" fontId="0" fillId="0" borderId="0" xfId="0" applyNumberFormat="1"/>
    <xf numFmtId="169" fontId="0" fillId="0" borderId="0" xfId="0" applyNumberFormat="1"/>
    <xf numFmtId="1" fontId="0" fillId="0" borderId="0" xfId="0" applyNumberFormat="1"/>
    <xf numFmtId="165" fontId="0" fillId="0" borderId="0" xfId="0" applyNumberFormat="1"/>
    <xf numFmtId="167" fontId="7" fillId="0" borderId="0" xfId="0" applyNumberFormat="1" applyFont="1"/>
    <xf numFmtId="166" fontId="0" fillId="0" borderId="0" xfId="0" applyNumberFormat="1"/>
    <xf numFmtId="170" fontId="0" fillId="0" borderId="0" xfId="0" applyNumberFormat="1"/>
    <xf numFmtId="171" fontId="0" fillId="0" borderId="0" xfId="0" applyNumberFormat="1"/>
    <xf numFmtId="0" fontId="0" fillId="6" borderId="1" xfId="0" applyFill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15" fillId="6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Control" displayName="tbl_Control" ref="A4:D9">
  <autoFilter ref="A4:D9" xr:uid="{00000000-0009-0000-0100-000001000000}"/>
  <tableColumns count="4">
    <tableColumn id="1" xr3:uid="{00000000-0010-0000-0000-000001000000}" name="Parameter"/>
    <tableColumn id="2" xr3:uid="{00000000-0010-0000-0000-000002000000}" name="Value"/>
    <tableColumn id="3" xr3:uid="{00000000-0010-0000-0000-000003000000}" name="Validation"/>
    <tableColumn id="4" xr3:uid="{00000000-0010-0000-0000-000004000000}" name="Description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Timing" displayName="tbl_Timing" ref="A5:D10">
  <autoFilter ref="A5:D10" xr:uid="{00000000-0009-0000-0100-000002000000}"/>
  <tableColumns count="4">
    <tableColumn id="1" xr3:uid="{00000000-0010-0000-0100-000001000000}" name="Parameter"/>
    <tableColumn id="2" xr3:uid="{00000000-0010-0000-0100-000002000000}" name="Value"/>
    <tableColumn id="3" xr3:uid="{00000000-0010-0000-0100-000003000000}" name="Unit"/>
    <tableColumn id="4" xr3:uid="{00000000-0010-0000-0100-000004000000}" name="Note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Seasonality" displayName="tbl_Seasonality" ref="A13:D18">
  <autoFilter ref="A13:D18" xr:uid="{00000000-0009-0000-0100-000003000000}"/>
  <tableColumns count="4">
    <tableColumn id="1" xr3:uid="{00000000-0010-0000-0200-000001000000}" name="Month"/>
    <tableColumn id="2" xr3:uid="{00000000-0010-0000-0200-000002000000}" name="Month_Num"/>
    <tableColumn id="3" xr3:uid="{00000000-0010-0000-0200-000003000000}" name="Multiplier"/>
    <tableColumn id="4" xr3:uid="{00000000-0010-0000-0200-000004000000}" name="Activity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SiteConfig" displayName="tbl_SiteConfig" ref="A22:D26">
  <autoFilter ref="A22:D26" xr:uid="{00000000-0009-0000-0100-000004000000}"/>
  <tableColumns count="4">
    <tableColumn id="1" xr3:uid="{00000000-0010-0000-0300-000001000000}" name="Parameter"/>
    <tableColumn id="2" xr3:uid="{00000000-0010-0000-0300-000002000000}" name="Value"/>
    <tableColumn id="3" xr3:uid="{00000000-0010-0000-0300-000003000000}" name="Unit"/>
    <tableColumn id="4" xr3:uid="{00000000-0010-0000-0300-000004000000}" name="Sour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CostParams" displayName="tbl_CostParams" ref="A30:C33">
  <autoFilter ref="A30:C33" xr:uid="{00000000-0009-0000-0100-000005000000}"/>
  <tableColumns count="3">
    <tableColumn id="1" xr3:uid="{00000000-0010-0000-0400-000001000000}" name="Parameter"/>
    <tableColumn id="2" xr3:uid="{00000000-0010-0000-0400-000002000000}" name="Value"/>
    <tableColumn id="3" xr3:uid="{00000000-0010-0000-0400-000003000000}" name="Uni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LearningCurve" displayName="tbl_LearningCurve" ref="A37:C42">
  <autoFilter ref="A37:C42" xr:uid="{00000000-0009-0000-0100-000006000000}"/>
  <tableColumns count="3">
    <tableColumn id="1" xr3:uid="{00000000-0010-0000-0500-000001000000}" name="Year"/>
    <tableColumn id="2" xr3:uid="{00000000-0010-0000-0500-000002000000}" name="Multiplier"/>
    <tableColumn id="3" xr3:uid="{00000000-0010-0000-0500-000003000000}" name="Notes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TestOptions" displayName="tbl_TestOptions" ref="A46:F49">
  <autoFilter ref="A46:F49" xr:uid="{00000000-0009-0000-0100-000007000000}"/>
  <tableColumns count="6">
    <tableColumn id="1" xr3:uid="{00000000-0010-0000-0600-000001000000}" name="Option"/>
    <tableColumn id="2" xr3:uid="{00000000-0010-0000-0600-000002000000}" name="Method"/>
    <tableColumn id="3" xr3:uid="{00000000-0010-0000-0600-000003000000}" name="Interval"/>
    <tableColumn id="4" xr3:uid="{00000000-0010-0000-0600-000004000000}" name="Points"/>
    <tableColumn id="5" xr3:uid="{00000000-0010-0000-0600-000005000000}" name="Cost_Per_Test"/>
    <tableColumn id="6" xr3:uid="{00000000-0010-0000-0600-000006000000}" name="Latency_Days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LatencyGating" displayName="tbl_LatencyGating" ref="A52:E55">
  <autoFilter ref="A52:E55" xr:uid="{00000000-0009-0000-0100-000008000000}"/>
  <tableColumns count="5">
    <tableColumn id="1" xr3:uid="{00000000-0010-0000-0700-000001000000}" name="Option"/>
    <tableColumn id="2" xr3:uid="{00000000-0010-0000-0700-000002000000}" name="S1_Gate"/>
    <tableColumn id="3" xr3:uid="{00000000-0010-0000-0700-000003000000}" name="S2_Gate"/>
    <tableColumn id="4" xr3:uid="{00000000-0010-0000-0700-000004000000}" name="S3_Gate"/>
    <tableColumn id="5" xr3:uid="{00000000-0010-0000-0700-000005000000}" name="S4_Gate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TreatmentKinetics" displayName="tbl_TreatmentKinetics" ref="A69:D76">
  <autoFilter ref="A69:D76" xr:uid="{00000000-0009-0000-0100-000009000000}"/>
  <tableColumns count="4">
    <tableColumn id="1" xr3:uid="{00000000-0010-0000-0800-000001000000}" name="Parameter"/>
    <tableColumn id="2" xr3:uid="{00000000-0010-0000-0800-000002000000}" name="Value"/>
    <tableColumn id="3" xr3:uid="{00000000-0010-0000-0800-000003000000}" name="Unit"/>
    <tableColumn id="4" xr3:uid="{00000000-0010-0000-0800-000004000000}" name="Notes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_ToxicityMilestones" displayName="tbl_ToxicityMilestones" ref="A81:D84">
  <autoFilter ref="A81:D84" xr:uid="{00000000-0009-0000-0100-00000A000000}"/>
  <tableColumns count="4">
    <tableColumn id="1" xr3:uid="{00000000-0010-0000-0900-000001000000}" name="Milestone"/>
    <tableColumn id="2" xr3:uid="{00000000-0010-0000-0900-000002000000}" name="Days"/>
    <tableColumn id="3" xr3:uid="{00000000-0010-0000-0900-000003000000}" name="Survival"/>
    <tableColumn id="4" xr3:uid="{00000000-0010-0000-0900-000004000000}" name="Notes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_ValueScenarios" displayName="tbl_ValueScenarios" ref="A5:E9">
  <autoFilter ref="A5:E9" xr:uid="{00000000-0009-0000-0100-00000B000000}"/>
  <tableColumns count="5">
    <tableColumn id="1" xr3:uid="{00000000-0010-0000-0A00-000001000000}" name="ID"/>
    <tableColumn id="2" xr3:uid="{00000000-0010-0000-0A00-000002000000}" name="Name"/>
    <tableColumn id="3" xr3:uid="{00000000-0010-0000-0A00-000003000000}" name="Base_Value"/>
    <tableColumn id="4" xr3:uid="{00000000-0010-0000-0A00-000004000000}" name="Required_Response_Days"/>
    <tableColumn id="5" xr3:uid="{00000000-0010-0000-0A00-000005000000}" name="Description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_ModelScenarios" displayName="tbl_ModelScenarios" ref="A14:D17">
  <autoFilter ref="A14:D17" xr:uid="{00000000-0009-0000-0100-00000C000000}"/>
  <tableColumns count="4">
    <tableColumn id="1" xr3:uid="{00000000-0010-0000-0B00-000001000000}" name="Scenario"/>
    <tableColumn id="2" xr3:uid="{00000000-0010-0000-0B00-000002000000}" name="Discount_Adj"/>
    <tableColumn id="3" xr3:uid="{00000000-0010-0000-0B00-000003000000}" name="Growth_Adj"/>
    <tableColumn id="4" xr3:uid="{00000000-0010-0000-0B00-000004000000}" name="Risk_Adj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_Triangular" displayName="tbl_Triangular" ref="A4:E8">
  <autoFilter ref="A4:E8" xr:uid="{00000000-0009-0000-0100-00000D000000}"/>
  <tableColumns count="5">
    <tableColumn id="1" xr3:uid="{00000000-0010-0000-0C00-000001000000}" name="Variable"/>
    <tableColumn id="2" xr3:uid="{00000000-0010-0000-0C00-000002000000}" name="Min"/>
    <tableColumn id="3" xr3:uid="{00000000-0010-0000-0C00-000003000000}" name="Mode"/>
    <tableColumn id="4" xr3:uid="{00000000-0010-0000-0C00-000004000000}" name="Max"/>
    <tableColumn id="5" xr3:uid="{00000000-0010-0000-0C00-000005000000}" name="Uni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_Beta" displayName="tbl_Beta" ref="A12:F13">
  <autoFilter ref="A12:F13" xr:uid="{00000000-0009-0000-0100-00000E000000}"/>
  <tableColumns count="6">
    <tableColumn id="1" xr3:uid="{00000000-0010-0000-0D00-000001000000}" name="Variable"/>
    <tableColumn id="2" xr3:uid="{00000000-0010-0000-0D00-000002000000}" name="Alpha"/>
    <tableColumn id="3" xr3:uid="{00000000-0010-0000-0D00-000003000000}" name="Beta"/>
    <tableColumn id="4" xr3:uid="{00000000-0010-0000-0D00-000004000000}" name="Min"/>
    <tableColumn id="5" xr3:uid="{00000000-0010-0000-0D00-000005000000}" name="Max"/>
    <tableColumn id="6" xr3:uid="{00000000-0010-0000-0D00-000006000000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_ValueSensitivity" displayName="tbl_ValueSensitivity" ref="A17:E20">
  <autoFilter ref="A17:E20" xr:uid="{00000000-0009-0000-0100-00000F000000}"/>
  <tableColumns count="5">
    <tableColumn id="1" xr3:uid="{00000000-0010-0000-0E00-000001000000}" name="Frame"/>
    <tableColumn id="2" xr3:uid="{00000000-0010-0000-0E00-000002000000}" name="Low"/>
    <tableColumn id="3" xr3:uid="{00000000-0010-0000-0E00-000003000000}" name="Base"/>
    <tableColumn id="4" xr3:uid="{00000000-0010-0000-0E00-000004000000}" name="High"/>
    <tableColumn id="5" xr3:uid="{00000000-0010-0000-0E00-000005000000}" name="Context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_Timeline" displayName="tbl_Timeline" ref="A6:E12">
  <autoFilter ref="A6:E12" xr:uid="{00000000-0009-0000-0100-000010000000}"/>
  <tableColumns count="5">
    <tableColumn id="1" xr3:uid="{00000000-0010-0000-0F00-000001000000}" name="Year_Index"/>
    <tableColumn id="2" xr3:uid="{00000000-0010-0000-0F00-000002000000}" name="Calendar_Year"/>
    <tableColumn id="3" xr3:uid="{00000000-0010-0000-0F00-000003000000}" name="Treatment_Days"/>
    <tableColumn id="4" xr3:uid="{00000000-0010-0000-0F00-000004000000}" name="Discount_Factor"/>
    <tableColumn id="5" xr3:uid="{00000000-0010-0000-0F00-000005000000}" name="Learning_Mult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_Stochastic" displayName="tbl_Stochastic" ref="A7:C12">
  <autoFilter ref="A7:C12" xr:uid="{00000000-0009-0000-0100-000011000000}"/>
  <tableColumns count="3">
    <tableColumn id="1" xr3:uid="{00000000-0010-0000-1000-000001000000}" name="Variable"/>
    <tableColumn id="2" xr3:uid="{00000000-0010-0000-1000-000002000000}" name="Random_U"/>
    <tableColumn id="3" xr3:uid="{00000000-0010-0000-1000-000003000000}" name="Realized_Value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bl_GatedValues" displayName="tbl_GatedValues" ref="A6:E10">
  <autoFilter ref="A6:E10" xr:uid="{00000000-0009-0000-0100-000012000000}"/>
  <tableColumns count="5">
    <tableColumn id="1" xr3:uid="{00000000-0010-0000-1100-000001000000}" name="Scenario"/>
    <tableColumn id="2" xr3:uid="{00000000-0010-0000-1100-000002000000}" name="Base_Value"/>
    <tableColumn id="3" xr3:uid="{00000000-0010-0000-1100-000003000000}" name="Gate_Status"/>
    <tableColumn id="4" xr3:uid="{00000000-0010-0000-1100-000004000000}" name="Stoch_Mult"/>
    <tableColumn id="5" xr3:uid="{00000000-0010-0000-1100-000005000000}" name="Gated_Value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bl_CostCalc" displayName="tbl_CostCalc" ref="A6:C13">
  <autoFilter ref="A6:C13" xr:uid="{00000000-0009-0000-0100-000013000000}"/>
  <tableColumns count="3">
    <tableColumn id="1" xr3:uid="{00000000-0010-0000-1200-000001000000}" name="Component"/>
    <tableColumn id="2" xr3:uid="{00000000-0010-0000-1200-000002000000}" name="Formula"/>
    <tableColumn id="3" xr3:uid="{00000000-0010-0000-1200-000003000000}" name="Value"/>
  </tableColumns>
  <tableStyleInfo name="TableStyleMedium9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bl_Annual" displayName="tbl_Annual" ref="A6:J11">
  <autoFilter ref="A6:J11" xr:uid="{00000000-0009-0000-0100-000014000000}"/>
  <tableColumns count="10">
    <tableColumn id="1" xr3:uid="{00000000-0010-0000-1300-000001000000}" name="Year"/>
    <tableColumn id="2" xr3:uid="{00000000-0010-0000-1300-000002000000}" name="S1_Value"/>
    <tableColumn id="3" xr3:uid="{00000000-0010-0000-1300-000003000000}" name="S2_Value"/>
    <tableColumn id="4" xr3:uid="{00000000-0010-0000-1300-000004000000}" name="S3_Value"/>
    <tableColumn id="5" xr3:uid="{00000000-0010-0000-1300-000005000000}" name="S4_Value"/>
    <tableColumn id="6" xr3:uid="{00000000-0010-0000-1300-000006000000}" name="Gross_Value"/>
    <tableColumn id="7" xr3:uid="{00000000-0010-0000-1300-000007000000}" name="Costs"/>
    <tableColumn id="8" xr3:uid="{00000000-0010-0000-1300-000008000000}" name="Net_Annual"/>
    <tableColumn id="9" xr3:uid="{00000000-0010-0000-1300-000009000000}" name="Discount_Factor"/>
    <tableColumn id="10" xr3:uid="{00000000-0010-0000-1300-00000A000000}" name="Discounted"/>
  </tableColumns>
  <tableStyleInfo name="TableStyleMedium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bl_CashFlow" displayName="tbl_CashFlow" ref="A6:D11">
  <autoFilter ref="A6:D11" xr:uid="{00000000-0009-0000-0100-000015000000}"/>
  <tableColumns count="4">
    <tableColumn id="1" xr3:uid="{00000000-0010-0000-1400-000001000000}" name="Year"/>
    <tableColumn id="2" xr3:uid="{00000000-0010-0000-1400-000002000000}" name="Annual_Net"/>
    <tableColumn id="3" xr3:uid="{00000000-0010-0000-1400-000003000000}" name="Cumulative_Net"/>
    <tableColumn id="4" xr3:uid="{00000000-0010-0000-1400-000004000000}" name="Cumulative_NPV"/>
  </tableColumns>
  <tableStyleInfo name="TableStyleMedium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bl_UnitEconomics" displayName="tbl_UnitEconomics" ref="A6:D14">
  <autoFilter ref="A6:D14" xr:uid="{00000000-0009-0000-0100-000016000000}"/>
  <tableColumns count="4">
    <tableColumn id="1" xr3:uid="{00000000-0010-0000-1500-000001000000}" name="Metric"/>
    <tableColumn id="2" xr3:uid="{00000000-0010-0000-1500-000002000000}" name="Value"/>
    <tableColumn id="3" xr3:uid="{00000000-0010-0000-1500-000003000000}" name="Unit"/>
    <tableColumn id="4" xr3:uid="{00000000-0010-0000-1500-000004000000}" name="Formula"/>
  </tableColumns>
  <tableStyleInfo name="TableStyleMedium9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bl_Sensitivity" displayName="tbl_Sensitivity" ref="A6:G10">
  <autoFilter ref="A6:G10" xr:uid="{00000000-0009-0000-0100-000017000000}"/>
  <tableColumns count="7">
    <tableColumn id="1" xr3:uid="{00000000-0010-0000-1600-000001000000}" name="Parameter"/>
    <tableColumn id="2" xr3:uid="{00000000-0010-0000-1600-000002000000}" name="Low"/>
    <tableColumn id="3" xr3:uid="{00000000-0010-0000-1600-000003000000}" name="Base"/>
    <tableColumn id="4" xr3:uid="{00000000-0010-0000-1600-000004000000}" name="High"/>
    <tableColumn id="5" xr3:uid="{00000000-0010-0000-1600-000005000000}" name="NPV_at_Low"/>
    <tableColumn id="6" xr3:uid="{00000000-0010-0000-1600-000006000000}" name="NPV_at_High"/>
    <tableColumn id="7" xr3:uid="{00000000-0010-0000-1600-000007000000}" name="Swing"/>
  </tableColumns>
  <tableStyleInfo name="TableStyleMedium9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bl_KPIs" displayName="tbl_KPIs" ref="A8:B17">
  <autoFilter ref="A8:B17" xr:uid="{00000000-0009-0000-0100-000018000000}"/>
  <tableColumns count="2">
    <tableColumn id="1" xr3:uid="{00000000-0010-0000-1700-000001000000}" name="Metric"/>
    <tableColumn id="2" xr3:uid="{00000000-0010-0000-1700-000002000000}" name="Value"/>
  </tableColumns>
  <tableStyleInfo name="TableStyleMedium9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bl_ScenarioBreakdown" displayName="tbl_ScenarioBreakdown" ref="A21:C25">
  <autoFilter ref="A21:C25" xr:uid="{00000000-0009-0000-0100-000019000000}"/>
  <tableColumns count="3">
    <tableColumn id="1" xr3:uid="{00000000-0010-0000-1800-000001000000}" name="Scenario"/>
    <tableColumn id="2" xr3:uid="{00000000-0010-0000-1800-000002000000}" name="Gated_Value"/>
    <tableColumn id="3" xr3:uid="{00000000-0010-0000-1800-000003000000}" name="Status"/>
  </tableColumns>
  <tableStyleInfo name="TableStyleMedium9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bl_TreatmentKPIs" displayName="tbl_TreatmentKPIs" ref="A29:C37">
  <autoFilter ref="A29:C37" xr:uid="{00000000-0009-0000-0100-00001A000000}"/>
  <tableColumns count="3">
    <tableColumn id="1" xr3:uid="{00000000-0010-0000-1900-000001000000}" name="Metric"/>
    <tableColumn id="2" xr3:uid="{00000000-0010-0000-1900-000002000000}" name="Value"/>
    <tableColumn id="3" xr3:uid="{00000000-0010-0000-1900-000003000000}" name="Status"/>
  </tableColumns>
  <tableStyleInfo name="TableStyleMedium9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tbl_OptionComparison" displayName="tbl_OptionComparison" ref="A41:D47">
  <autoFilter ref="A41:D47" xr:uid="{00000000-0009-0000-0100-00001B000000}"/>
  <tableColumns count="4">
    <tableColumn id="1" xr3:uid="{00000000-0010-0000-1A00-000001000000}" name="Metric"/>
    <tableColumn id="2" xr3:uid="{00000000-0010-0000-1A00-000002000000}" name="Monthly_HRMS"/>
    <tableColumn id="3" xr3:uid="{00000000-0010-0000-1A00-000003000000}" name="Weekly_HRMS"/>
    <tableColumn id="4" xr3:uid="{00000000-0010-0000-1A00-000004000000}" name="Daily_Biosensor"/>
  </tableColumns>
  <tableStyleInfo name="TableStyleMedium9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tbl_Checks" displayName="tbl_Checks" ref="A6:D20">
  <autoFilter ref="A6:D20" xr:uid="{00000000-0009-0000-0100-00001C000000}"/>
  <tableColumns count="4">
    <tableColumn id="1" xr3:uid="{00000000-0010-0000-1B00-000001000000}" name="Check_ID"/>
    <tableColumn id="2" xr3:uid="{00000000-0010-0000-1B00-000002000000}" name="Category"/>
    <tableColumn id="3" xr3:uid="{00000000-0010-0000-1B00-000003000000}" name="Description"/>
    <tableColumn id="4" xr3:uid="{00000000-0010-0000-1B00-000004000000}" name="Statu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Relationship Id="rId9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Relationship Id="rId4" Type="http://schemas.openxmlformats.org/officeDocument/2006/relationships/table" Target="../tables/table2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FF"/>
  </sheetPr>
  <dimension ref="A1:B29"/>
  <sheetViews>
    <sheetView workbookViewId="0"/>
  </sheetViews>
  <sheetFormatPr baseColWidth="10" defaultColWidth="8.83203125" defaultRowHeight="15" x14ac:dyDescent="0.2"/>
  <cols>
    <col min="1" max="1" width="20" customWidth="1"/>
    <col min="2" max="2" width="45" customWidth="1"/>
  </cols>
  <sheetData>
    <row r="1" spans="1:2" ht="26" x14ac:dyDescent="0.3">
      <c r="A1" s="1" t="s">
        <v>0</v>
      </c>
    </row>
    <row r="2" spans="1:2" ht="16" x14ac:dyDescent="0.2">
      <c r="A2" s="2" t="s">
        <v>1</v>
      </c>
    </row>
    <row r="4" spans="1:2" x14ac:dyDescent="0.2">
      <c r="A4" t="s">
        <v>2</v>
      </c>
      <c r="B4" t="s">
        <v>3</v>
      </c>
    </row>
    <row r="5" spans="1:2" x14ac:dyDescent="0.2">
      <c r="A5" t="s">
        <v>4</v>
      </c>
      <c r="B5" s="3">
        <f ca="1">TODAY()</f>
        <v>46052</v>
      </c>
    </row>
    <row r="6" spans="1:2" x14ac:dyDescent="0.2">
      <c r="A6" t="s">
        <v>5</v>
      </c>
      <c r="B6" t="s">
        <v>6</v>
      </c>
    </row>
    <row r="8" spans="1:2" ht="19" x14ac:dyDescent="0.25">
      <c r="A8" s="4" t="s">
        <v>7</v>
      </c>
    </row>
    <row r="9" spans="1:2" x14ac:dyDescent="0.2">
      <c r="A9" t="s">
        <v>8</v>
      </c>
      <c r="B9" t="str">
        <f ca="1">IF(COUNTIF('17_Checks'!D:D,"FAIL")=0, "All Checks Pass", "Review 17_Checks")</f>
        <v>All Checks Pass</v>
      </c>
    </row>
    <row r="10" spans="1:2" x14ac:dyDescent="0.2">
      <c r="A10" t="s">
        <v>9</v>
      </c>
      <c r="B10">
        <f ca="1">COUNTIF('17_Checks'!D:D,"FAIL")</f>
        <v>0</v>
      </c>
    </row>
    <row r="12" spans="1:2" ht="19" x14ac:dyDescent="0.25">
      <c r="A12" s="4" t="s">
        <v>10</v>
      </c>
    </row>
    <row r="13" spans="1:2" x14ac:dyDescent="0.2">
      <c r="A13" t="s">
        <v>11</v>
      </c>
      <c r="B13" t="s">
        <v>12</v>
      </c>
    </row>
    <row r="14" spans="1:2" x14ac:dyDescent="0.2">
      <c r="A14" t="s">
        <v>13</v>
      </c>
      <c r="B14" t="s">
        <v>14</v>
      </c>
    </row>
    <row r="15" spans="1:2" x14ac:dyDescent="0.2">
      <c r="A15" t="s">
        <v>15</v>
      </c>
      <c r="B15" t="s">
        <v>16</v>
      </c>
    </row>
    <row r="16" spans="1:2" x14ac:dyDescent="0.2">
      <c r="A16" t="s">
        <v>17</v>
      </c>
      <c r="B16" t="s">
        <v>18</v>
      </c>
    </row>
    <row r="17" spans="1:2" x14ac:dyDescent="0.2">
      <c r="A17" t="s">
        <v>19</v>
      </c>
      <c r="B17" t="s">
        <v>20</v>
      </c>
    </row>
    <row r="18" spans="1:2" x14ac:dyDescent="0.2">
      <c r="A18" t="s">
        <v>21</v>
      </c>
      <c r="B18" t="s">
        <v>22</v>
      </c>
    </row>
    <row r="19" spans="1:2" x14ac:dyDescent="0.2">
      <c r="A19" t="s">
        <v>23</v>
      </c>
      <c r="B19" t="s">
        <v>24</v>
      </c>
    </row>
    <row r="20" spans="1:2" x14ac:dyDescent="0.2">
      <c r="A20" t="s">
        <v>25</v>
      </c>
      <c r="B20" t="s">
        <v>26</v>
      </c>
    </row>
    <row r="21" spans="1:2" x14ac:dyDescent="0.2">
      <c r="A21" t="s">
        <v>27</v>
      </c>
      <c r="B21" t="s">
        <v>28</v>
      </c>
    </row>
    <row r="22" spans="1:2" x14ac:dyDescent="0.2">
      <c r="A22" t="s">
        <v>29</v>
      </c>
      <c r="B22" t="s">
        <v>30</v>
      </c>
    </row>
    <row r="23" spans="1:2" x14ac:dyDescent="0.2">
      <c r="A23" t="s">
        <v>31</v>
      </c>
      <c r="B23" t="s">
        <v>32</v>
      </c>
    </row>
    <row r="24" spans="1:2" x14ac:dyDescent="0.2">
      <c r="A24" t="s">
        <v>33</v>
      </c>
      <c r="B24" t="s">
        <v>34</v>
      </c>
    </row>
    <row r="25" spans="1:2" x14ac:dyDescent="0.2">
      <c r="A25" t="s">
        <v>35</v>
      </c>
      <c r="B25" t="s">
        <v>36</v>
      </c>
    </row>
    <row r="26" spans="1:2" x14ac:dyDescent="0.2">
      <c r="A26" t="s">
        <v>37</v>
      </c>
      <c r="B26" t="s">
        <v>38</v>
      </c>
    </row>
    <row r="27" spans="1:2" x14ac:dyDescent="0.2">
      <c r="A27" t="s">
        <v>39</v>
      </c>
      <c r="B27" t="s">
        <v>40</v>
      </c>
    </row>
    <row r="28" spans="1:2" x14ac:dyDescent="0.2">
      <c r="A28" t="s">
        <v>41</v>
      </c>
      <c r="B28" t="s">
        <v>42</v>
      </c>
    </row>
    <row r="29" spans="1:2" x14ac:dyDescent="0.2">
      <c r="A29" t="s">
        <v>43</v>
      </c>
      <c r="B29" t="s">
        <v>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D9"/>
  <sheetViews>
    <sheetView workbookViewId="0"/>
  </sheetViews>
  <sheetFormatPr baseColWidth="10" defaultColWidth="8.83203125" defaultRowHeight="15" x14ac:dyDescent="0.2"/>
  <cols>
    <col min="1" max="1" width="20" customWidth="1"/>
    <col min="2" max="2" width="18" customWidth="1"/>
    <col min="3" max="3" width="12" customWidth="1"/>
    <col min="4" max="4" width="35" customWidth="1"/>
  </cols>
  <sheetData>
    <row r="1" spans="1:4" ht="21" x14ac:dyDescent="0.25">
      <c r="A1" s="5" t="s">
        <v>45</v>
      </c>
    </row>
    <row r="2" spans="1:4" x14ac:dyDescent="0.2">
      <c r="A2" s="6" t="s">
        <v>46</v>
      </c>
    </row>
    <row r="4" spans="1:4" x14ac:dyDescent="0.2">
      <c r="A4" s="7" t="s">
        <v>47</v>
      </c>
      <c r="B4" s="7" t="s">
        <v>48</v>
      </c>
      <c r="C4" s="7" t="s">
        <v>49</v>
      </c>
      <c r="D4" s="7" t="s">
        <v>50</v>
      </c>
    </row>
    <row r="5" spans="1:4" x14ac:dyDescent="0.2">
      <c r="A5" t="s">
        <v>51</v>
      </c>
      <c r="B5" s="8" t="s">
        <v>52</v>
      </c>
      <c r="C5" t="s">
        <v>53</v>
      </c>
      <c r="D5" t="s">
        <v>54</v>
      </c>
    </row>
    <row r="6" spans="1:4" x14ac:dyDescent="0.2">
      <c r="A6" t="s">
        <v>55</v>
      </c>
      <c r="B6" s="8" t="s">
        <v>56</v>
      </c>
      <c r="C6" t="s">
        <v>53</v>
      </c>
      <c r="D6" t="s">
        <v>57</v>
      </c>
    </row>
    <row r="7" spans="1:4" x14ac:dyDescent="0.2">
      <c r="A7" t="s">
        <v>58</v>
      </c>
      <c r="B7" s="9">
        <v>4.8000000000000001E-2</v>
      </c>
      <c r="C7" t="s">
        <v>59</v>
      </c>
      <c r="D7" t="s">
        <v>60</v>
      </c>
    </row>
    <row r="8" spans="1:4" x14ac:dyDescent="0.2">
      <c r="A8" t="s">
        <v>61</v>
      </c>
      <c r="B8" s="8">
        <v>5</v>
      </c>
      <c r="C8" t="s">
        <v>62</v>
      </c>
      <c r="D8" t="s">
        <v>63</v>
      </c>
    </row>
    <row r="9" spans="1:4" x14ac:dyDescent="0.2">
      <c r="A9" t="s">
        <v>64</v>
      </c>
      <c r="B9" s="8">
        <v>2026</v>
      </c>
      <c r="C9" t="s">
        <v>65</v>
      </c>
      <c r="D9" t="s">
        <v>66</v>
      </c>
    </row>
  </sheetData>
  <dataValidations count="2">
    <dataValidation type="list" errorTitle="Invalid Input" error="Select from dropdown" sqref="B5" xr:uid="{00000000-0002-0000-0100-000000000000}">
      <formula1>List_TestingOptions</formula1>
    </dataValidation>
    <dataValidation type="list" sqref="B6" xr:uid="{00000000-0002-0000-0100-000001000000}">
      <formula1>List_Scenarios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08080"/>
  </sheetPr>
  <dimension ref="A1:D88"/>
  <sheetViews>
    <sheetView workbookViewId="0"/>
  </sheetViews>
  <sheetFormatPr baseColWidth="10" defaultColWidth="8.83203125" defaultRowHeight="15" x14ac:dyDescent="0.2"/>
  <cols>
    <col min="1" max="1" width="35" customWidth="1"/>
    <col min="2" max="2" width="30" customWidth="1"/>
    <col min="3" max="3" width="50" customWidth="1"/>
    <col min="4" max="4" width="15" customWidth="1"/>
  </cols>
  <sheetData>
    <row r="1" spans="1:1" ht="21" x14ac:dyDescent="0.25">
      <c r="A1" s="5" t="s">
        <v>67</v>
      </c>
    </row>
    <row r="3" spans="1:1" ht="19" x14ac:dyDescent="0.25">
      <c r="A3" s="4" t="s">
        <v>68</v>
      </c>
    </row>
    <row r="4" spans="1:1" x14ac:dyDescent="0.2">
      <c r="A4" t="s">
        <v>69</v>
      </c>
    </row>
    <row r="5" spans="1:1" x14ac:dyDescent="0.2">
      <c r="A5" t="s">
        <v>70</v>
      </c>
    </row>
    <row r="6" spans="1:1" x14ac:dyDescent="0.2">
      <c r="A6" t="s">
        <v>71</v>
      </c>
    </row>
    <row r="7" spans="1:1" x14ac:dyDescent="0.2">
      <c r="A7" t="s">
        <v>72</v>
      </c>
    </row>
    <row r="9" spans="1:1" ht="19" x14ac:dyDescent="0.25">
      <c r="A9" s="4" t="s">
        <v>73</v>
      </c>
    </row>
    <row r="10" spans="1:1" x14ac:dyDescent="0.2">
      <c r="A10" t="s">
        <v>74</v>
      </c>
    </row>
    <row r="11" spans="1:1" x14ac:dyDescent="0.2">
      <c r="A11" t="s">
        <v>75</v>
      </c>
    </row>
    <row r="12" spans="1:1" x14ac:dyDescent="0.2">
      <c r="A12" t="s">
        <v>76</v>
      </c>
    </row>
    <row r="13" spans="1:1" x14ac:dyDescent="0.2">
      <c r="A13" t="s">
        <v>77</v>
      </c>
    </row>
    <row r="14" spans="1:1" x14ac:dyDescent="0.2">
      <c r="A14" t="s">
        <v>78</v>
      </c>
    </row>
    <row r="15" spans="1:1" x14ac:dyDescent="0.2">
      <c r="A15" t="s">
        <v>79</v>
      </c>
    </row>
    <row r="16" spans="1:1" x14ac:dyDescent="0.2">
      <c r="A16" t="s">
        <v>80</v>
      </c>
    </row>
    <row r="17" spans="1:4" x14ac:dyDescent="0.2">
      <c r="A17" t="s">
        <v>81</v>
      </c>
    </row>
    <row r="19" spans="1:4" ht="19" x14ac:dyDescent="0.25">
      <c r="A19" s="4" t="s">
        <v>82</v>
      </c>
    </row>
    <row r="20" spans="1:4" x14ac:dyDescent="0.2">
      <c r="A20" t="s">
        <v>83</v>
      </c>
    </row>
    <row r="21" spans="1:4" x14ac:dyDescent="0.2">
      <c r="A21" s="7" t="s">
        <v>84</v>
      </c>
      <c r="B21" s="7" t="s">
        <v>85</v>
      </c>
      <c r="C21" s="7" t="s">
        <v>86</v>
      </c>
      <c r="D21" s="7" t="s">
        <v>87</v>
      </c>
    </row>
    <row r="22" spans="1:4" x14ac:dyDescent="0.2">
      <c r="A22" t="s">
        <v>88</v>
      </c>
      <c r="B22" t="s">
        <v>89</v>
      </c>
      <c r="C22" t="s">
        <v>90</v>
      </c>
      <c r="D22" t="s">
        <v>91</v>
      </c>
    </row>
    <row r="23" spans="1:4" x14ac:dyDescent="0.2">
      <c r="A23" t="s">
        <v>92</v>
      </c>
      <c r="B23" t="s">
        <v>89</v>
      </c>
      <c r="C23" t="s">
        <v>90</v>
      </c>
      <c r="D23" t="s">
        <v>91</v>
      </c>
    </row>
    <row r="24" spans="1:4" x14ac:dyDescent="0.2">
      <c r="A24" t="s">
        <v>93</v>
      </c>
      <c r="B24" t="s">
        <v>94</v>
      </c>
      <c r="C24" t="s">
        <v>90</v>
      </c>
      <c r="D24" t="s">
        <v>91</v>
      </c>
    </row>
    <row r="25" spans="1:4" x14ac:dyDescent="0.2">
      <c r="A25" t="s">
        <v>95</v>
      </c>
      <c r="B25" t="s">
        <v>96</v>
      </c>
      <c r="C25" t="s">
        <v>90</v>
      </c>
      <c r="D25" t="s">
        <v>91</v>
      </c>
    </row>
    <row r="27" spans="1:4" ht="19" x14ac:dyDescent="0.25">
      <c r="A27" s="4" t="s">
        <v>97</v>
      </c>
    </row>
    <row r="28" spans="1:4" x14ac:dyDescent="0.2">
      <c r="A28" s="10" t="s">
        <v>98</v>
      </c>
      <c r="B28" t="s">
        <v>99</v>
      </c>
    </row>
    <row r="29" spans="1:4" x14ac:dyDescent="0.2">
      <c r="A29" s="10" t="s">
        <v>100</v>
      </c>
      <c r="B29" t="s">
        <v>101</v>
      </c>
    </row>
    <row r="30" spans="1:4" x14ac:dyDescent="0.2">
      <c r="A30" s="10" t="s">
        <v>102</v>
      </c>
      <c r="B30" t="s">
        <v>103</v>
      </c>
    </row>
    <row r="31" spans="1:4" x14ac:dyDescent="0.2">
      <c r="A31" s="10" t="s">
        <v>104</v>
      </c>
      <c r="B31" t="s">
        <v>105</v>
      </c>
    </row>
    <row r="32" spans="1:4" x14ac:dyDescent="0.2">
      <c r="A32" s="10" t="s">
        <v>106</v>
      </c>
      <c r="B32" t="s">
        <v>107</v>
      </c>
    </row>
    <row r="33" spans="1:2" x14ac:dyDescent="0.2">
      <c r="A33" s="10" t="s">
        <v>108</v>
      </c>
      <c r="B33" t="s">
        <v>109</v>
      </c>
    </row>
    <row r="34" spans="1:2" x14ac:dyDescent="0.2">
      <c r="A34" s="10" t="s">
        <v>110</v>
      </c>
      <c r="B34" t="s">
        <v>111</v>
      </c>
    </row>
    <row r="36" spans="1:2" ht="19" x14ac:dyDescent="0.25">
      <c r="A36" s="4" t="s">
        <v>112</v>
      </c>
    </row>
    <row r="37" spans="1:2" x14ac:dyDescent="0.2">
      <c r="A37" t="s">
        <v>113</v>
      </c>
    </row>
    <row r="38" spans="1:2" x14ac:dyDescent="0.2">
      <c r="A38" t="s">
        <v>114</v>
      </c>
    </row>
    <row r="39" spans="1:2" x14ac:dyDescent="0.2">
      <c r="A39" t="s">
        <v>115</v>
      </c>
    </row>
    <row r="40" spans="1:2" x14ac:dyDescent="0.2">
      <c r="A40" t="s">
        <v>116</v>
      </c>
    </row>
    <row r="41" spans="1:2" x14ac:dyDescent="0.2">
      <c r="A41" t="s">
        <v>117</v>
      </c>
    </row>
    <row r="43" spans="1:2" ht="19" x14ac:dyDescent="0.25">
      <c r="A43" s="4" t="s">
        <v>118</v>
      </c>
    </row>
    <row r="44" spans="1:2" x14ac:dyDescent="0.2">
      <c r="A44" s="6" t="s">
        <v>119</v>
      </c>
    </row>
    <row r="45" spans="1:2" x14ac:dyDescent="0.2">
      <c r="A45" t="s">
        <v>120</v>
      </c>
    </row>
    <row r="46" spans="1:2" x14ac:dyDescent="0.2">
      <c r="A46" t="s">
        <v>121</v>
      </c>
    </row>
    <row r="47" spans="1:2" x14ac:dyDescent="0.2">
      <c r="A47" t="s">
        <v>122</v>
      </c>
    </row>
    <row r="48" spans="1:2" x14ac:dyDescent="0.2">
      <c r="A48" t="s">
        <v>123</v>
      </c>
    </row>
    <row r="50" spans="1:1" x14ac:dyDescent="0.2">
      <c r="A50" s="10" t="s">
        <v>124</v>
      </c>
    </row>
    <row r="51" spans="1:1" x14ac:dyDescent="0.2">
      <c r="A51" t="s">
        <v>125</v>
      </c>
    </row>
    <row r="52" spans="1:1" x14ac:dyDescent="0.2">
      <c r="A52" t="s">
        <v>126</v>
      </c>
    </row>
    <row r="53" spans="1:1" x14ac:dyDescent="0.2">
      <c r="A53" t="s">
        <v>127</v>
      </c>
    </row>
    <row r="55" spans="1:1" ht="19" x14ac:dyDescent="0.25">
      <c r="A55" s="4" t="s">
        <v>128</v>
      </c>
    </row>
    <row r="56" spans="1:1" x14ac:dyDescent="0.2">
      <c r="A56" s="6" t="s">
        <v>129</v>
      </c>
    </row>
    <row r="57" spans="1:1" x14ac:dyDescent="0.2">
      <c r="A57" t="s">
        <v>130</v>
      </c>
    </row>
    <row r="59" spans="1:1" x14ac:dyDescent="0.2">
      <c r="A59" s="10" t="s">
        <v>131</v>
      </c>
    </row>
    <row r="60" spans="1:1" x14ac:dyDescent="0.2">
      <c r="A60" t="s">
        <v>132</v>
      </c>
    </row>
    <row r="61" spans="1:1" x14ac:dyDescent="0.2">
      <c r="A61" t="s">
        <v>133</v>
      </c>
    </row>
    <row r="62" spans="1:1" x14ac:dyDescent="0.2">
      <c r="A62" t="s">
        <v>134</v>
      </c>
    </row>
    <row r="64" spans="1:1" x14ac:dyDescent="0.2">
      <c r="A64" s="10" t="s">
        <v>135</v>
      </c>
    </row>
    <row r="65" spans="1:1" x14ac:dyDescent="0.2">
      <c r="A65" t="s">
        <v>136</v>
      </c>
    </row>
    <row r="66" spans="1:1" x14ac:dyDescent="0.2">
      <c r="A66" t="s">
        <v>137</v>
      </c>
    </row>
    <row r="67" spans="1:1" x14ac:dyDescent="0.2">
      <c r="A67" t="s">
        <v>138</v>
      </c>
    </row>
    <row r="69" spans="1:1" x14ac:dyDescent="0.2">
      <c r="A69" s="10" t="s">
        <v>139</v>
      </c>
    </row>
    <row r="70" spans="1:1" x14ac:dyDescent="0.2">
      <c r="A70" t="s">
        <v>140</v>
      </c>
    </row>
    <row r="71" spans="1:1" x14ac:dyDescent="0.2">
      <c r="A71" t="s">
        <v>141</v>
      </c>
    </row>
    <row r="72" spans="1:1" x14ac:dyDescent="0.2">
      <c r="A72" t="s">
        <v>142</v>
      </c>
    </row>
    <row r="73" spans="1:1" x14ac:dyDescent="0.2">
      <c r="A73" t="s">
        <v>143</v>
      </c>
    </row>
    <row r="74" spans="1:1" x14ac:dyDescent="0.2">
      <c r="A74" t="s">
        <v>144</v>
      </c>
    </row>
    <row r="76" spans="1:1" x14ac:dyDescent="0.2">
      <c r="A76" s="10" t="s">
        <v>145</v>
      </c>
    </row>
    <row r="77" spans="1:1" x14ac:dyDescent="0.2">
      <c r="A77" t="s">
        <v>146</v>
      </c>
    </row>
    <row r="78" spans="1:1" x14ac:dyDescent="0.2">
      <c r="A78" t="s">
        <v>147</v>
      </c>
    </row>
    <row r="79" spans="1:1" x14ac:dyDescent="0.2">
      <c r="A79" t="s">
        <v>148</v>
      </c>
    </row>
    <row r="80" spans="1:1" x14ac:dyDescent="0.2">
      <c r="A80" t="s">
        <v>149</v>
      </c>
    </row>
    <row r="82" spans="1:3" ht="19" x14ac:dyDescent="0.25">
      <c r="A82" s="4" t="s">
        <v>150</v>
      </c>
    </row>
    <row r="83" spans="1:3" x14ac:dyDescent="0.2">
      <c r="A83" s="7" t="s">
        <v>151</v>
      </c>
      <c r="B83" s="7" t="s">
        <v>152</v>
      </c>
      <c r="C83" s="7" t="s">
        <v>153</v>
      </c>
    </row>
    <row r="84" spans="1:3" x14ac:dyDescent="0.2">
      <c r="A84" t="s">
        <v>154</v>
      </c>
      <c r="B84" t="s">
        <v>155</v>
      </c>
      <c r="C84" t="s">
        <v>156</v>
      </c>
    </row>
    <row r="85" spans="1:3" x14ac:dyDescent="0.2">
      <c r="A85" t="s">
        <v>157</v>
      </c>
      <c r="B85" t="s">
        <v>155</v>
      </c>
      <c r="C85" t="s">
        <v>158</v>
      </c>
    </row>
    <row r="86" spans="1:3" x14ac:dyDescent="0.2">
      <c r="A86" t="s">
        <v>3</v>
      </c>
      <c r="B86" t="s">
        <v>155</v>
      </c>
      <c r="C86" t="s">
        <v>159</v>
      </c>
    </row>
    <row r="87" spans="1:3" x14ac:dyDescent="0.2">
      <c r="A87" t="s">
        <v>160</v>
      </c>
      <c r="B87" t="s">
        <v>161</v>
      </c>
      <c r="C87" t="s">
        <v>162</v>
      </c>
    </row>
    <row r="88" spans="1:3" x14ac:dyDescent="0.2">
      <c r="A88" t="s">
        <v>163</v>
      </c>
      <c r="B88" t="s">
        <v>164</v>
      </c>
      <c r="C88" t="s">
        <v>165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F84"/>
  <sheetViews>
    <sheetView workbookViewId="0"/>
  </sheetViews>
  <sheetFormatPr baseColWidth="10" defaultColWidth="8.83203125" defaultRowHeight="15" x14ac:dyDescent="0.2"/>
  <cols>
    <col min="1" max="1" width="24" customWidth="1"/>
    <col min="2" max="2" width="14" customWidth="1"/>
    <col min="3" max="3" width="12" customWidth="1"/>
    <col min="4" max="4" width="42" customWidth="1"/>
    <col min="5" max="5" width="16" customWidth="1"/>
    <col min="6" max="6" width="14" customWidth="1"/>
  </cols>
  <sheetData>
    <row r="1" spans="1:4" ht="21" x14ac:dyDescent="0.25">
      <c r="A1" s="5" t="s">
        <v>166</v>
      </c>
    </row>
    <row r="2" spans="1:4" x14ac:dyDescent="0.2">
      <c r="A2" s="6" t="s">
        <v>167</v>
      </c>
    </row>
    <row r="4" spans="1:4" ht="19" x14ac:dyDescent="0.25">
      <c r="A4" s="4" t="s">
        <v>168</v>
      </c>
    </row>
    <row r="5" spans="1:4" x14ac:dyDescent="0.2">
      <c r="A5" s="7" t="s">
        <v>47</v>
      </c>
      <c r="B5" s="7" t="s">
        <v>48</v>
      </c>
      <c r="C5" s="7" t="s">
        <v>169</v>
      </c>
      <c r="D5" s="7" t="s">
        <v>170</v>
      </c>
    </row>
    <row r="6" spans="1:4" x14ac:dyDescent="0.2">
      <c r="A6" t="s">
        <v>171</v>
      </c>
      <c r="B6" s="8">
        <v>5</v>
      </c>
      <c r="C6" t="s">
        <v>172</v>
      </c>
      <c r="D6" t="s">
        <v>173</v>
      </c>
    </row>
    <row r="7" spans="1:4" x14ac:dyDescent="0.2">
      <c r="A7" t="s">
        <v>174</v>
      </c>
      <c r="B7" s="8">
        <v>15</v>
      </c>
      <c r="C7" t="s">
        <v>175</v>
      </c>
      <c r="D7" t="s">
        <v>176</v>
      </c>
    </row>
    <row r="8" spans="1:4" x14ac:dyDescent="0.2">
      <c r="A8" t="s">
        <v>177</v>
      </c>
      <c r="B8" s="8">
        <v>9</v>
      </c>
      <c r="C8" t="s">
        <v>172</v>
      </c>
      <c r="D8" t="s">
        <v>178</v>
      </c>
    </row>
    <row r="9" spans="1:4" x14ac:dyDescent="0.2">
      <c r="A9" t="s">
        <v>179</v>
      </c>
      <c r="B9" s="8">
        <v>15</v>
      </c>
      <c r="C9" t="s">
        <v>175</v>
      </c>
      <c r="D9" t="s">
        <v>180</v>
      </c>
    </row>
    <row r="10" spans="1:4" x14ac:dyDescent="0.2">
      <c r="A10" t="s">
        <v>181</v>
      </c>
      <c r="B10" s="8">
        <v>100</v>
      </c>
      <c r="C10" t="s">
        <v>182</v>
      </c>
      <c r="D10" t="s">
        <v>183</v>
      </c>
    </row>
    <row r="12" spans="1:4" x14ac:dyDescent="0.2">
      <c r="A12" s="11" t="s">
        <v>184</v>
      </c>
    </row>
    <row r="13" spans="1:4" x14ac:dyDescent="0.2">
      <c r="A13" s="7" t="s">
        <v>185</v>
      </c>
      <c r="B13" s="7" t="s">
        <v>186</v>
      </c>
      <c r="C13" s="7" t="s">
        <v>187</v>
      </c>
      <c r="D13" s="7" t="s">
        <v>188</v>
      </c>
    </row>
    <row r="14" spans="1:4" x14ac:dyDescent="0.2">
      <c r="A14" t="s">
        <v>173</v>
      </c>
      <c r="B14">
        <v>5</v>
      </c>
      <c r="C14" s="8">
        <v>0.85</v>
      </c>
      <c r="D14" t="s">
        <v>189</v>
      </c>
    </row>
    <row r="15" spans="1:4" x14ac:dyDescent="0.2">
      <c r="A15" t="s">
        <v>190</v>
      </c>
      <c r="B15">
        <v>6</v>
      </c>
      <c r="C15" s="8">
        <v>1</v>
      </c>
      <c r="D15" t="s">
        <v>191</v>
      </c>
    </row>
    <row r="16" spans="1:4" x14ac:dyDescent="0.2">
      <c r="A16" t="s">
        <v>192</v>
      </c>
      <c r="B16">
        <v>7</v>
      </c>
      <c r="C16" s="8">
        <v>1</v>
      </c>
      <c r="D16" t="s">
        <v>191</v>
      </c>
    </row>
    <row r="17" spans="1:4" x14ac:dyDescent="0.2">
      <c r="A17" t="s">
        <v>193</v>
      </c>
      <c r="B17">
        <v>8</v>
      </c>
      <c r="C17" s="8">
        <v>0.95</v>
      </c>
      <c r="D17" t="s">
        <v>194</v>
      </c>
    </row>
    <row r="18" spans="1:4" x14ac:dyDescent="0.2">
      <c r="A18" t="s">
        <v>178</v>
      </c>
      <c r="B18">
        <v>9</v>
      </c>
      <c r="C18" s="8">
        <v>0.75</v>
      </c>
      <c r="D18" t="s">
        <v>195</v>
      </c>
    </row>
    <row r="21" spans="1:4" ht="19" x14ac:dyDescent="0.25">
      <c r="A21" s="4" t="s">
        <v>196</v>
      </c>
    </row>
    <row r="22" spans="1:4" x14ac:dyDescent="0.2">
      <c r="A22" s="7" t="s">
        <v>47</v>
      </c>
      <c r="B22" s="7" t="s">
        <v>48</v>
      </c>
      <c r="C22" s="7" t="s">
        <v>169</v>
      </c>
      <c r="D22" s="7" t="s">
        <v>197</v>
      </c>
    </row>
    <row r="23" spans="1:4" x14ac:dyDescent="0.2">
      <c r="A23" t="s">
        <v>198</v>
      </c>
      <c r="B23" s="8">
        <v>1</v>
      </c>
      <c r="C23" t="s">
        <v>199</v>
      </c>
      <c r="D23" t="s">
        <v>200</v>
      </c>
    </row>
    <row r="24" spans="1:4" x14ac:dyDescent="0.2">
      <c r="A24" t="s">
        <v>201</v>
      </c>
      <c r="B24" s="8">
        <v>5</v>
      </c>
      <c r="C24" t="s">
        <v>202</v>
      </c>
      <c r="D24" t="s">
        <v>203</v>
      </c>
    </row>
    <row r="25" spans="1:4" x14ac:dyDescent="0.2">
      <c r="A25" t="s">
        <v>204</v>
      </c>
      <c r="B25" s="8">
        <v>50000</v>
      </c>
      <c r="C25" t="s">
        <v>205</v>
      </c>
      <c r="D25" t="s">
        <v>206</v>
      </c>
    </row>
    <row r="26" spans="1:4" x14ac:dyDescent="0.2">
      <c r="A26" t="s">
        <v>207</v>
      </c>
      <c r="B26" s="12">
        <v>5</v>
      </c>
      <c r="C26" t="s">
        <v>208</v>
      </c>
      <c r="D26" t="s">
        <v>209</v>
      </c>
    </row>
    <row r="29" spans="1:4" ht="19" x14ac:dyDescent="0.25">
      <c r="A29" s="4" t="s">
        <v>210</v>
      </c>
    </row>
    <row r="30" spans="1:4" x14ac:dyDescent="0.2">
      <c r="A30" s="7" t="s">
        <v>47</v>
      </c>
      <c r="B30" s="7" t="s">
        <v>48</v>
      </c>
      <c r="C30" s="7" t="s">
        <v>169</v>
      </c>
    </row>
    <row r="31" spans="1:4" x14ac:dyDescent="0.2">
      <c r="A31" t="s">
        <v>211</v>
      </c>
      <c r="B31" s="13">
        <v>1500</v>
      </c>
      <c r="C31" t="s">
        <v>212</v>
      </c>
    </row>
    <row r="32" spans="1:4" x14ac:dyDescent="0.2">
      <c r="A32" t="s">
        <v>213</v>
      </c>
      <c r="B32" s="13">
        <v>50000</v>
      </c>
      <c r="C32" t="s">
        <v>214</v>
      </c>
    </row>
    <row r="33" spans="1:6" x14ac:dyDescent="0.2">
      <c r="A33" t="s">
        <v>215</v>
      </c>
      <c r="B33" s="13">
        <v>15000</v>
      </c>
      <c r="C33" t="s">
        <v>212</v>
      </c>
    </row>
    <row r="36" spans="1:6" ht="19" x14ac:dyDescent="0.25">
      <c r="A36" s="4" t="s">
        <v>216</v>
      </c>
    </row>
    <row r="37" spans="1:6" x14ac:dyDescent="0.2">
      <c r="A37" s="7" t="s">
        <v>217</v>
      </c>
      <c r="B37" s="7" t="s">
        <v>187</v>
      </c>
      <c r="C37" s="7" t="s">
        <v>170</v>
      </c>
    </row>
    <row r="38" spans="1:6" x14ac:dyDescent="0.2">
      <c r="A38">
        <v>1</v>
      </c>
      <c r="B38" s="8">
        <v>0.5</v>
      </c>
      <c r="C38" t="s">
        <v>218</v>
      </c>
    </row>
    <row r="39" spans="1:6" x14ac:dyDescent="0.2">
      <c r="A39">
        <v>2</v>
      </c>
      <c r="B39" s="8">
        <v>0.75</v>
      </c>
      <c r="C39" t="s">
        <v>219</v>
      </c>
    </row>
    <row r="40" spans="1:6" x14ac:dyDescent="0.2">
      <c r="A40">
        <v>3</v>
      </c>
      <c r="B40" s="8">
        <v>1</v>
      </c>
      <c r="C40" t="s">
        <v>220</v>
      </c>
    </row>
    <row r="41" spans="1:6" x14ac:dyDescent="0.2">
      <c r="A41">
        <v>4</v>
      </c>
      <c r="B41" s="8">
        <v>1</v>
      </c>
      <c r="C41" t="s">
        <v>221</v>
      </c>
    </row>
    <row r="42" spans="1:6" x14ac:dyDescent="0.2">
      <c r="A42">
        <v>5</v>
      </c>
      <c r="B42" s="8">
        <v>1</v>
      </c>
      <c r="C42" t="s">
        <v>221</v>
      </c>
    </row>
    <row r="45" spans="1:6" ht="19" x14ac:dyDescent="0.25">
      <c r="A45" s="4" t="s">
        <v>222</v>
      </c>
    </row>
    <row r="46" spans="1:6" x14ac:dyDescent="0.2">
      <c r="A46" s="7" t="s">
        <v>223</v>
      </c>
      <c r="B46" s="7" t="s">
        <v>224</v>
      </c>
      <c r="C46" s="7" t="s">
        <v>225</v>
      </c>
      <c r="D46" s="7" t="s">
        <v>226</v>
      </c>
      <c r="E46" s="7" t="s">
        <v>227</v>
      </c>
      <c r="F46" s="7" t="s">
        <v>228</v>
      </c>
    </row>
    <row r="47" spans="1:6" x14ac:dyDescent="0.2">
      <c r="A47" t="s">
        <v>229</v>
      </c>
      <c r="B47" t="s">
        <v>98</v>
      </c>
      <c r="C47">
        <v>30</v>
      </c>
      <c r="D47">
        <v>2</v>
      </c>
      <c r="E47" s="14">
        <v>1000</v>
      </c>
      <c r="F47">
        <v>42</v>
      </c>
    </row>
    <row r="48" spans="1:6" x14ac:dyDescent="0.2">
      <c r="A48" t="s">
        <v>230</v>
      </c>
      <c r="B48" t="s">
        <v>98</v>
      </c>
      <c r="C48">
        <v>7</v>
      </c>
      <c r="D48">
        <v>2</v>
      </c>
      <c r="E48" s="14">
        <v>1000</v>
      </c>
      <c r="F48">
        <v>42</v>
      </c>
    </row>
    <row r="49" spans="1:6" x14ac:dyDescent="0.2">
      <c r="A49" t="s">
        <v>52</v>
      </c>
      <c r="B49" t="s">
        <v>231</v>
      </c>
      <c r="C49">
        <v>1</v>
      </c>
      <c r="D49">
        <v>10</v>
      </c>
      <c r="E49" s="14">
        <v>10</v>
      </c>
      <c r="F49">
        <v>1</v>
      </c>
    </row>
    <row r="51" spans="1:6" x14ac:dyDescent="0.2">
      <c r="A51" s="11" t="s">
        <v>232</v>
      </c>
    </row>
    <row r="52" spans="1:6" x14ac:dyDescent="0.2">
      <c r="A52" s="7" t="s">
        <v>223</v>
      </c>
      <c r="B52" s="7" t="s">
        <v>233</v>
      </c>
      <c r="C52" s="7" t="s">
        <v>234</v>
      </c>
      <c r="D52" s="7" t="s">
        <v>235</v>
      </c>
      <c r="E52" s="7" t="s">
        <v>236</v>
      </c>
    </row>
    <row r="53" spans="1:6" x14ac:dyDescent="0.2">
      <c r="A53" t="s">
        <v>229</v>
      </c>
      <c r="B53" t="str">
        <f>IF(INDEX(TestOpt_Latency,1)&lt;=7,"ENABLED","BLOCKED")</f>
        <v>BLOCKED</v>
      </c>
      <c r="C53" t="str">
        <f>IF(INDEX(TestOpt_Latency,1)&lt;=7,"ENABLED","BLOCKED")</f>
        <v>BLOCKED</v>
      </c>
      <c r="D53" t="str">
        <f>IF(INDEX(TestOpt_Latency,1)&lt;=14,"ENABLED","BLOCKED")</f>
        <v>BLOCKED</v>
      </c>
      <c r="E53" t="str">
        <f>IF(INDEX(TestOpt_Latency,1)&lt;=3,"ENABLED","BLOCKED")</f>
        <v>BLOCKED</v>
      </c>
    </row>
    <row r="54" spans="1:6" x14ac:dyDescent="0.2">
      <c r="A54" t="s">
        <v>230</v>
      </c>
      <c r="B54" t="str">
        <f>IF(INDEX(TestOpt_Latency,2)&lt;=7,"ENABLED","BLOCKED")</f>
        <v>BLOCKED</v>
      </c>
      <c r="C54" t="str">
        <f>IF(INDEX(TestOpt_Latency,2)&lt;=7,"ENABLED","BLOCKED")</f>
        <v>BLOCKED</v>
      </c>
      <c r="D54" t="str">
        <f>IF(INDEX(TestOpt_Latency,2)&lt;=14,"ENABLED","BLOCKED")</f>
        <v>BLOCKED</v>
      </c>
      <c r="E54" t="str">
        <f>IF(INDEX(TestOpt_Latency,2)&lt;=3,"ENABLED","BLOCKED")</f>
        <v>BLOCKED</v>
      </c>
    </row>
    <row r="55" spans="1:6" x14ac:dyDescent="0.2">
      <c r="A55" t="s">
        <v>52</v>
      </c>
      <c r="B55" t="str">
        <f>IF(INDEX(TestOpt_Latency,3)&lt;=7,"ENABLED","BLOCKED")</f>
        <v>ENABLED</v>
      </c>
      <c r="C55" t="str">
        <f>IF(INDEX(TestOpt_Latency,3)&lt;=7,"ENABLED","BLOCKED")</f>
        <v>ENABLED</v>
      </c>
      <c r="D55" t="str">
        <f>IF(INDEX(TestOpt_Latency,3)&lt;=14,"ENABLED","BLOCKED")</f>
        <v>ENABLED</v>
      </c>
      <c r="E55" t="str">
        <f>IF(INDEX(TestOpt_Latency,3)&lt;=3,"ENABLED","BLOCKED")</f>
        <v>ENABLED</v>
      </c>
    </row>
    <row r="58" spans="1:6" ht="19" x14ac:dyDescent="0.25">
      <c r="A58" s="4" t="s">
        <v>237</v>
      </c>
    </row>
    <row r="59" spans="1:6" x14ac:dyDescent="0.2">
      <c r="A59" t="s">
        <v>238</v>
      </c>
      <c r="B59" t="s">
        <v>239</v>
      </c>
    </row>
    <row r="60" spans="1:6" x14ac:dyDescent="0.2">
      <c r="A60" t="s">
        <v>229</v>
      </c>
      <c r="B60" t="s">
        <v>56</v>
      </c>
    </row>
    <row r="61" spans="1:6" x14ac:dyDescent="0.2">
      <c r="A61" t="s">
        <v>230</v>
      </c>
      <c r="B61" t="s">
        <v>240</v>
      </c>
    </row>
    <row r="62" spans="1:6" x14ac:dyDescent="0.2">
      <c r="A62" t="s">
        <v>52</v>
      </c>
      <c r="B62" t="s">
        <v>241</v>
      </c>
    </row>
    <row r="64" spans="1:6" ht="19" x14ac:dyDescent="0.25">
      <c r="A64" s="4" t="s">
        <v>242</v>
      </c>
    </row>
    <row r="65" spans="1:4" x14ac:dyDescent="0.2">
      <c r="A65" t="s">
        <v>243</v>
      </c>
    </row>
    <row r="67" spans="1:4" ht="19" x14ac:dyDescent="0.25">
      <c r="A67" s="4" t="s">
        <v>244</v>
      </c>
    </row>
    <row r="68" spans="1:4" x14ac:dyDescent="0.2">
      <c r="A68" s="15" t="s">
        <v>245</v>
      </c>
    </row>
    <row r="69" spans="1:4" x14ac:dyDescent="0.2">
      <c r="A69" s="7" t="s">
        <v>47</v>
      </c>
      <c r="B69" s="7" t="s">
        <v>48</v>
      </c>
      <c r="C69" s="7" t="s">
        <v>169</v>
      </c>
      <c r="D69" s="7" t="s">
        <v>170</v>
      </c>
    </row>
    <row r="70" spans="1:4" x14ac:dyDescent="0.2">
      <c r="A70" t="s">
        <v>246</v>
      </c>
      <c r="B70" s="16">
        <v>63.1</v>
      </c>
      <c r="C70" t="s">
        <v>247</v>
      </c>
      <c r="D70" t="s">
        <v>248</v>
      </c>
    </row>
    <row r="71" spans="1:4" x14ac:dyDescent="0.2">
      <c r="A71" t="s">
        <v>249</v>
      </c>
      <c r="B71" s="16">
        <v>50</v>
      </c>
      <c r="C71" t="s">
        <v>247</v>
      </c>
      <c r="D71" t="s">
        <v>250</v>
      </c>
    </row>
    <row r="72" spans="1:4" x14ac:dyDescent="0.2">
      <c r="A72" t="s">
        <v>251</v>
      </c>
      <c r="B72" s="16">
        <v>0.53200000000000003</v>
      </c>
      <c r="C72" t="s">
        <v>252</v>
      </c>
      <c r="D72" t="s">
        <v>253</v>
      </c>
    </row>
    <row r="73" spans="1:4" x14ac:dyDescent="0.2">
      <c r="A73" t="s">
        <v>254</v>
      </c>
      <c r="B73" s="16">
        <v>0.248</v>
      </c>
      <c r="C73" t="s">
        <v>252</v>
      </c>
      <c r="D73" t="s">
        <v>255</v>
      </c>
    </row>
    <row r="74" spans="1:4" x14ac:dyDescent="0.2">
      <c r="A74" t="s">
        <v>256</v>
      </c>
      <c r="B74" s="8">
        <v>15</v>
      </c>
      <c r="C74" t="s">
        <v>182</v>
      </c>
      <c r="D74" t="s">
        <v>257</v>
      </c>
    </row>
    <row r="75" spans="1:4" x14ac:dyDescent="0.2">
      <c r="A75" t="s">
        <v>258</v>
      </c>
      <c r="B75" s="8">
        <v>14</v>
      </c>
      <c r="C75" t="s">
        <v>182</v>
      </c>
      <c r="D75" t="s">
        <v>259</v>
      </c>
    </row>
    <row r="76" spans="1:4" x14ac:dyDescent="0.2">
      <c r="A76" t="s">
        <v>260</v>
      </c>
      <c r="B76" s="8">
        <v>8772</v>
      </c>
      <c r="C76" t="s">
        <v>261</v>
      </c>
      <c r="D76" t="s">
        <v>262</v>
      </c>
    </row>
    <row r="79" spans="1:4" ht="19" x14ac:dyDescent="0.25">
      <c r="A79" s="4" t="s">
        <v>263</v>
      </c>
    </row>
    <row r="80" spans="1:4" x14ac:dyDescent="0.2">
      <c r="A80" s="15" t="s">
        <v>264</v>
      </c>
    </row>
    <row r="81" spans="1:4" x14ac:dyDescent="0.2">
      <c r="A81" s="7" t="s">
        <v>265</v>
      </c>
      <c r="B81" s="7" t="s">
        <v>266</v>
      </c>
      <c r="C81" s="7" t="s">
        <v>267</v>
      </c>
      <c r="D81" s="7" t="s">
        <v>170</v>
      </c>
    </row>
    <row r="82" spans="1:4" x14ac:dyDescent="0.2">
      <c r="A82" t="s">
        <v>268</v>
      </c>
      <c r="B82" s="8">
        <v>14</v>
      </c>
      <c r="C82" t="s">
        <v>269</v>
      </c>
      <c r="D82" t="s">
        <v>270</v>
      </c>
    </row>
    <row r="83" spans="1:4" x14ac:dyDescent="0.2">
      <c r="A83" t="s">
        <v>271</v>
      </c>
      <c r="B83" s="8">
        <v>28</v>
      </c>
      <c r="C83" t="s">
        <v>272</v>
      </c>
      <c r="D83" t="s">
        <v>273</v>
      </c>
    </row>
    <row r="84" spans="1:4" x14ac:dyDescent="0.2">
      <c r="A84" t="s">
        <v>274</v>
      </c>
      <c r="B84" s="8">
        <v>42</v>
      </c>
      <c r="C84" t="s">
        <v>275</v>
      </c>
      <c r="D84" t="s">
        <v>276</v>
      </c>
    </row>
  </sheetData>
  <pageMargins left="0.75" right="0.75" top="1" bottom="1" header="0.5" footer="0.5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E39"/>
  <sheetViews>
    <sheetView workbookViewId="0"/>
  </sheetViews>
  <sheetFormatPr baseColWidth="10" defaultColWidth="8.83203125" defaultRowHeight="15" x14ac:dyDescent="0.2"/>
  <cols>
    <col min="1" max="1" width="12" customWidth="1"/>
    <col min="2" max="2" width="22" customWidth="1"/>
    <col min="3" max="3" width="14" customWidth="1"/>
    <col min="4" max="4" width="24" customWidth="1"/>
    <col min="5" max="5" width="40" customWidth="1"/>
  </cols>
  <sheetData>
    <row r="1" spans="1:5" ht="21" x14ac:dyDescent="0.25">
      <c r="A1" s="5" t="s">
        <v>277</v>
      </c>
    </row>
    <row r="3" spans="1:5" x14ac:dyDescent="0.2">
      <c r="A3" s="17" t="s">
        <v>277</v>
      </c>
    </row>
    <row r="4" spans="1:5" ht="105" x14ac:dyDescent="0.2">
      <c r="A4" s="18" t="s">
        <v>278</v>
      </c>
    </row>
    <row r="5" spans="1:5" x14ac:dyDescent="0.2">
      <c r="A5" s="7" t="s">
        <v>279</v>
      </c>
      <c r="B5" s="7" t="s">
        <v>280</v>
      </c>
      <c r="C5" s="7" t="s">
        <v>281</v>
      </c>
      <c r="D5" s="7" t="s">
        <v>282</v>
      </c>
      <c r="E5" s="7" t="s">
        <v>50</v>
      </c>
    </row>
    <row r="6" spans="1:5" x14ac:dyDescent="0.2">
      <c r="A6" t="s">
        <v>283</v>
      </c>
      <c r="B6" t="s">
        <v>284</v>
      </c>
      <c r="C6" s="13">
        <v>104000</v>
      </c>
      <c r="D6">
        <v>7</v>
      </c>
      <c r="E6" t="s">
        <v>285</v>
      </c>
    </row>
    <row r="7" spans="1:5" x14ac:dyDescent="0.2">
      <c r="A7" t="s">
        <v>286</v>
      </c>
      <c r="B7" t="s">
        <v>287</v>
      </c>
      <c r="C7" s="13">
        <v>67500</v>
      </c>
      <c r="D7">
        <v>7</v>
      </c>
      <c r="E7" t="s">
        <v>288</v>
      </c>
    </row>
    <row r="8" spans="1:5" x14ac:dyDescent="0.2">
      <c r="A8" t="s">
        <v>289</v>
      </c>
      <c r="B8" t="s">
        <v>290</v>
      </c>
      <c r="C8" s="13">
        <v>78000</v>
      </c>
      <c r="D8">
        <v>14</v>
      </c>
      <c r="E8" t="s">
        <v>291</v>
      </c>
    </row>
    <row r="9" spans="1:5" x14ac:dyDescent="0.2">
      <c r="A9" t="s">
        <v>292</v>
      </c>
      <c r="B9" t="s">
        <v>293</v>
      </c>
      <c r="C9" s="13">
        <v>36000</v>
      </c>
      <c r="D9">
        <v>3</v>
      </c>
      <c r="E9" t="s">
        <v>294</v>
      </c>
    </row>
    <row r="12" spans="1:5" x14ac:dyDescent="0.2">
      <c r="A12" s="17" t="s">
        <v>295</v>
      </c>
    </row>
    <row r="13" spans="1:5" ht="92" x14ac:dyDescent="0.2">
      <c r="A13" s="18" t="s">
        <v>296</v>
      </c>
    </row>
    <row r="14" spans="1:5" x14ac:dyDescent="0.2">
      <c r="A14" s="7" t="s">
        <v>84</v>
      </c>
      <c r="B14" s="7" t="s">
        <v>297</v>
      </c>
      <c r="C14" s="7" t="s">
        <v>298</v>
      </c>
      <c r="D14" s="7" t="s">
        <v>299</v>
      </c>
    </row>
    <row r="15" spans="1:5" x14ac:dyDescent="0.2">
      <c r="A15" t="s">
        <v>56</v>
      </c>
      <c r="B15" s="9">
        <v>0</v>
      </c>
      <c r="C15" s="9">
        <v>0</v>
      </c>
      <c r="D15" s="9">
        <v>0</v>
      </c>
    </row>
    <row r="16" spans="1:5" x14ac:dyDescent="0.2">
      <c r="A16" t="s">
        <v>240</v>
      </c>
      <c r="B16" s="9">
        <v>4.0000000000000001E-3</v>
      </c>
      <c r="C16" s="9">
        <v>-0.02</v>
      </c>
      <c r="D16" s="9">
        <v>0.1</v>
      </c>
    </row>
    <row r="17" spans="1:4" x14ac:dyDescent="0.2">
      <c r="A17" t="s">
        <v>241</v>
      </c>
      <c r="B17" s="9">
        <v>-3.0000000000000001E-3</v>
      </c>
      <c r="C17" s="9">
        <v>0.01</v>
      </c>
      <c r="D17" s="9">
        <v>-0.1</v>
      </c>
    </row>
    <row r="20" spans="1:4" x14ac:dyDescent="0.2">
      <c r="A20" s="19" t="s">
        <v>300</v>
      </c>
    </row>
    <row r="21" spans="1:4" x14ac:dyDescent="0.2">
      <c r="A21" s="20" t="s">
        <v>301</v>
      </c>
    </row>
    <row r="22" spans="1:4" x14ac:dyDescent="0.2">
      <c r="A22" s="21" t="s">
        <v>302</v>
      </c>
    </row>
    <row r="23" spans="1:4" x14ac:dyDescent="0.2">
      <c r="A23" t="s">
        <v>303</v>
      </c>
    </row>
    <row r="24" spans="1:4" x14ac:dyDescent="0.2">
      <c r="A24" t="s">
        <v>304</v>
      </c>
    </row>
    <row r="25" spans="1:4" x14ac:dyDescent="0.2">
      <c r="A25" t="s">
        <v>305</v>
      </c>
    </row>
    <row r="26" spans="1:4" x14ac:dyDescent="0.2">
      <c r="A26" t="s">
        <v>306</v>
      </c>
    </row>
    <row r="27" spans="1:4" x14ac:dyDescent="0.2">
      <c r="A27" t="s">
        <v>307</v>
      </c>
    </row>
    <row r="28" spans="1:4" x14ac:dyDescent="0.2">
      <c r="A28" t="s">
        <v>308</v>
      </c>
    </row>
    <row r="29" spans="1:4" x14ac:dyDescent="0.2">
      <c r="A29" t="s">
        <v>309</v>
      </c>
    </row>
    <row r="30" spans="1:4" x14ac:dyDescent="0.2">
      <c r="A30" t="s">
        <v>310</v>
      </c>
    </row>
    <row r="32" spans="1:4" x14ac:dyDescent="0.2">
      <c r="A32" s="21" t="s">
        <v>311</v>
      </c>
    </row>
    <row r="33" spans="1:1" x14ac:dyDescent="0.2">
      <c r="A33" t="s">
        <v>312</v>
      </c>
    </row>
    <row r="34" spans="1:1" x14ac:dyDescent="0.2">
      <c r="A34" t="s">
        <v>304</v>
      </c>
    </row>
    <row r="35" spans="1:1" x14ac:dyDescent="0.2">
      <c r="A35" t="s">
        <v>313</v>
      </c>
    </row>
    <row r="36" spans="1:1" x14ac:dyDescent="0.2">
      <c r="A36" t="s">
        <v>314</v>
      </c>
    </row>
    <row r="37" spans="1:1" x14ac:dyDescent="0.2">
      <c r="A37" t="s">
        <v>315</v>
      </c>
    </row>
    <row r="38" spans="1:1" x14ac:dyDescent="0.2">
      <c r="A38" t="s">
        <v>316</v>
      </c>
    </row>
    <row r="39" spans="1:1" x14ac:dyDescent="0.2">
      <c r="A39" t="s">
        <v>317</v>
      </c>
    </row>
  </sheetData>
  <pageMargins left="0.75" right="0.75" top="1" bottom="1" header="0.5" footer="0.5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F20"/>
  <sheetViews>
    <sheetView workbookViewId="0"/>
  </sheetViews>
  <sheetFormatPr baseColWidth="10" defaultColWidth="8.83203125" defaultRowHeight="15" x14ac:dyDescent="0.2"/>
  <cols>
    <col min="1" max="1" width="28" customWidth="1"/>
    <col min="2" max="5" width="12" customWidth="1"/>
    <col min="6" max="6" width="35" customWidth="1"/>
  </cols>
  <sheetData>
    <row r="1" spans="1:6" ht="21" x14ac:dyDescent="0.25">
      <c r="A1" s="5" t="s">
        <v>318</v>
      </c>
    </row>
    <row r="3" spans="1:6" ht="19" x14ac:dyDescent="0.25">
      <c r="A3" s="4" t="s">
        <v>319</v>
      </c>
    </row>
    <row r="4" spans="1:6" x14ac:dyDescent="0.2">
      <c r="A4" s="7" t="s">
        <v>320</v>
      </c>
      <c r="B4" s="7" t="s">
        <v>321</v>
      </c>
      <c r="C4" s="7" t="s">
        <v>322</v>
      </c>
      <c r="D4" s="7" t="s">
        <v>323</v>
      </c>
      <c r="E4" s="7" t="s">
        <v>324</v>
      </c>
    </row>
    <row r="5" spans="1:6" x14ac:dyDescent="0.2">
      <c r="A5" t="s">
        <v>325</v>
      </c>
      <c r="B5" s="8">
        <v>14</v>
      </c>
      <c r="C5" s="8">
        <v>21</v>
      </c>
      <c r="D5" s="8">
        <v>35</v>
      </c>
      <c r="E5" t="s">
        <v>182</v>
      </c>
    </row>
    <row r="6" spans="1:6" x14ac:dyDescent="0.2">
      <c r="A6" t="s">
        <v>326</v>
      </c>
      <c r="B6" s="13">
        <v>3000</v>
      </c>
      <c r="C6" s="13">
        <v>7500</v>
      </c>
      <c r="D6" s="13">
        <v>15000</v>
      </c>
      <c r="E6" t="s">
        <v>212</v>
      </c>
    </row>
    <row r="7" spans="1:6" x14ac:dyDescent="0.2">
      <c r="A7" t="s">
        <v>327</v>
      </c>
      <c r="B7" s="8">
        <v>1</v>
      </c>
      <c r="C7" s="8">
        <v>3</v>
      </c>
      <c r="D7" s="8">
        <v>8</v>
      </c>
      <c r="E7" t="s">
        <v>328</v>
      </c>
    </row>
    <row r="8" spans="1:6" x14ac:dyDescent="0.2">
      <c r="A8" t="s">
        <v>329</v>
      </c>
      <c r="B8" s="8">
        <v>0.7</v>
      </c>
      <c r="C8" s="8">
        <v>1</v>
      </c>
      <c r="D8" s="8">
        <v>1.3</v>
      </c>
      <c r="E8" t="s">
        <v>330</v>
      </c>
    </row>
    <row r="11" spans="1:6" ht="19" x14ac:dyDescent="0.25">
      <c r="A11" s="4" t="s">
        <v>331</v>
      </c>
    </row>
    <row r="12" spans="1:6" x14ac:dyDescent="0.2">
      <c r="A12" s="7" t="s">
        <v>320</v>
      </c>
      <c r="B12" s="7" t="s">
        <v>332</v>
      </c>
      <c r="C12" s="7" t="s">
        <v>333</v>
      </c>
      <c r="D12" s="7" t="s">
        <v>321</v>
      </c>
      <c r="E12" s="7" t="s">
        <v>323</v>
      </c>
      <c r="F12" s="7" t="s">
        <v>324</v>
      </c>
    </row>
    <row r="13" spans="1:6" x14ac:dyDescent="0.2">
      <c r="A13" t="s">
        <v>334</v>
      </c>
      <c r="B13" s="8">
        <v>2</v>
      </c>
      <c r="C13" s="8">
        <v>5</v>
      </c>
      <c r="D13" s="8">
        <v>0.05</v>
      </c>
      <c r="E13" s="8">
        <v>0.4</v>
      </c>
      <c r="F13" t="s">
        <v>335</v>
      </c>
    </row>
    <row r="16" spans="1:6" ht="19" x14ac:dyDescent="0.25">
      <c r="A16" s="4" t="s">
        <v>336</v>
      </c>
    </row>
    <row r="17" spans="1:5" x14ac:dyDescent="0.2">
      <c r="A17" s="7" t="s">
        <v>337</v>
      </c>
      <c r="B17" s="7" t="s">
        <v>338</v>
      </c>
      <c r="C17" s="7" t="s">
        <v>56</v>
      </c>
      <c r="D17" s="7" t="s">
        <v>339</v>
      </c>
      <c r="E17" s="7" t="s">
        <v>340</v>
      </c>
    </row>
    <row r="18" spans="1:5" x14ac:dyDescent="0.2">
      <c r="A18" t="s">
        <v>341</v>
      </c>
      <c r="B18" s="13">
        <v>3</v>
      </c>
      <c r="C18" s="13">
        <v>5</v>
      </c>
      <c r="D18" s="13">
        <v>8</v>
      </c>
      <c r="E18" t="s">
        <v>342</v>
      </c>
    </row>
    <row r="19" spans="1:5" x14ac:dyDescent="0.2">
      <c r="A19" t="s">
        <v>343</v>
      </c>
      <c r="B19" s="13">
        <v>10</v>
      </c>
      <c r="C19" s="13">
        <v>20</v>
      </c>
      <c r="D19" s="13">
        <v>30</v>
      </c>
      <c r="E19" t="s">
        <v>344</v>
      </c>
    </row>
    <row r="20" spans="1:5" x14ac:dyDescent="0.2">
      <c r="A20" t="s">
        <v>345</v>
      </c>
      <c r="B20" s="13">
        <v>21</v>
      </c>
      <c r="C20" s="13">
        <v>50</v>
      </c>
      <c r="D20" s="13">
        <v>93</v>
      </c>
      <c r="E20" t="s">
        <v>346</v>
      </c>
    </row>
  </sheetData>
  <pageMargins left="0.75" right="0.75" top="1" bottom="1" header="0.5" footer="0.5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4472C4"/>
  </sheetPr>
  <dimension ref="A1:E24"/>
  <sheetViews>
    <sheetView workbookViewId="0"/>
  </sheetViews>
  <sheetFormatPr baseColWidth="10" defaultColWidth="8.83203125" defaultRowHeight="15" x14ac:dyDescent="0.2"/>
  <cols>
    <col min="1" max="1" width="20" customWidth="1"/>
    <col min="2" max="2" width="36" customWidth="1"/>
    <col min="3" max="3" width="16" customWidth="1"/>
    <col min="4" max="4" width="12" customWidth="1"/>
    <col min="5" max="5" width="14" customWidth="1"/>
  </cols>
  <sheetData>
    <row r="1" spans="1:5" ht="21" x14ac:dyDescent="0.25">
      <c r="A1" s="5" t="s">
        <v>347</v>
      </c>
    </row>
    <row r="3" spans="1:5" x14ac:dyDescent="0.2">
      <c r="A3" s="34" t="s">
        <v>348</v>
      </c>
      <c r="B3" s="32"/>
      <c r="C3" s="32"/>
      <c r="D3" s="32"/>
      <c r="E3" s="33"/>
    </row>
    <row r="4" spans="1:5" ht="135" customHeight="1" x14ac:dyDescent="0.2">
      <c r="A4" s="31" t="s">
        <v>349</v>
      </c>
      <c r="B4" s="32"/>
      <c r="C4" s="32"/>
      <c r="D4" s="32"/>
      <c r="E4" s="33"/>
    </row>
    <row r="6" spans="1:5" x14ac:dyDescent="0.2">
      <c r="A6" s="7" t="s">
        <v>350</v>
      </c>
      <c r="B6" s="7" t="s">
        <v>351</v>
      </c>
      <c r="C6" s="7" t="s">
        <v>181</v>
      </c>
      <c r="D6" s="7" t="s">
        <v>352</v>
      </c>
      <c r="E6" s="7" t="s">
        <v>353</v>
      </c>
    </row>
    <row r="7" spans="1:5" x14ac:dyDescent="0.2">
      <c r="A7">
        <v>0</v>
      </c>
      <c r="B7">
        <f>Base_Year+0</f>
        <v>2026</v>
      </c>
      <c r="C7">
        <f t="shared" ref="C7:C12" si="0">Season_Length</f>
        <v>100</v>
      </c>
      <c r="D7">
        <v>1</v>
      </c>
      <c r="E7">
        <v>1</v>
      </c>
    </row>
    <row r="8" spans="1:5" x14ac:dyDescent="0.2">
      <c r="A8">
        <v>1</v>
      </c>
      <c r="B8">
        <f>Base_Year+1</f>
        <v>2027</v>
      </c>
      <c r="C8">
        <f t="shared" si="0"/>
        <v>100</v>
      </c>
      <c r="D8">
        <f>1/(1+Discount_Rate)^1</f>
        <v>0.95419847328244267</v>
      </c>
      <c r="E8">
        <f>INDEX(LearningCurve_Mult,1)</f>
        <v>0.5</v>
      </c>
    </row>
    <row r="9" spans="1:5" x14ac:dyDescent="0.2">
      <c r="A9">
        <v>2</v>
      </c>
      <c r="B9">
        <f>Base_Year+2</f>
        <v>2028</v>
      </c>
      <c r="C9">
        <f t="shared" si="0"/>
        <v>100</v>
      </c>
      <c r="D9">
        <f>1/(1+Discount_Rate)^2</f>
        <v>0.91049472641454443</v>
      </c>
      <c r="E9">
        <f>INDEX(LearningCurve_Mult,2)</f>
        <v>0.75</v>
      </c>
    </row>
    <row r="10" spans="1:5" x14ac:dyDescent="0.2">
      <c r="A10">
        <v>3</v>
      </c>
      <c r="B10">
        <f>Base_Year+3</f>
        <v>2029</v>
      </c>
      <c r="C10">
        <f t="shared" si="0"/>
        <v>100</v>
      </c>
      <c r="D10">
        <f>1/(1+Discount_Rate)^3</f>
        <v>0.86879267787647374</v>
      </c>
      <c r="E10">
        <f>INDEX(LearningCurve_Mult,3)</f>
        <v>1</v>
      </c>
    </row>
    <row r="11" spans="1:5" x14ac:dyDescent="0.2">
      <c r="A11">
        <v>4</v>
      </c>
      <c r="B11">
        <f>Base_Year+4</f>
        <v>2030</v>
      </c>
      <c r="C11">
        <f t="shared" si="0"/>
        <v>100</v>
      </c>
      <c r="D11">
        <f>1/(1+Discount_Rate)^4</f>
        <v>0.82900064682869612</v>
      </c>
      <c r="E11">
        <f>INDEX(LearningCurve_Mult,4)</f>
        <v>1</v>
      </c>
    </row>
    <row r="12" spans="1:5" x14ac:dyDescent="0.2">
      <c r="A12">
        <v>5</v>
      </c>
      <c r="B12">
        <f>Base_Year+5</f>
        <v>2031</v>
      </c>
      <c r="C12">
        <f t="shared" si="0"/>
        <v>100</v>
      </c>
      <c r="D12">
        <f>1/(1+Discount_Rate)^5</f>
        <v>0.79103115155409931</v>
      </c>
      <c r="E12">
        <f>INDEX(LearningCurve_Mult,5)</f>
        <v>1</v>
      </c>
    </row>
    <row r="15" spans="1:5" ht="19" x14ac:dyDescent="0.25">
      <c r="A15" s="4" t="s">
        <v>354</v>
      </c>
    </row>
    <row r="16" spans="1:5" x14ac:dyDescent="0.2">
      <c r="A16" s="15" t="s">
        <v>355</v>
      </c>
    </row>
    <row r="17" spans="1:4" x14ac:dyDescent="0.2">
      <c r="A17" s="7" t="s">
        <v>356</v>
      </c>
      <c r="B17" s="7" t="s">
        <v>357</v>
      </c>
      <c r="C17" s="7" t="s">
        <v>48</v>
      </c>
      <c r="D17" s="7" t="s">
        <v>169</v>
      </c>
    </row>
    <row r="18" spans="1:4" x14ac:dyDescent="0.2">
      <c r="A18" t="s">
        <v>358</v>
      </c>
      <c r="B18" t="s">
        <v>359</v>
      </c>
      <c r="C18" s="22">
        <f ca="1">Rapid_Phase_Rate*Stoch_TreatmentRate</f>
        <v>0.57710137530479999</v>
      </c>
      <c r="D18" t="s">
        <v>252</v>
      </c>
    </row>
    <row r="19" spans="1:4" x14ac:dyDescent="0.2">
      <c r="A19" t="s">
        <v>360</v>
      </c>
      <c r="B19" t="s">
        <v>361</v>
      </c>
      <c r="C19" s="22">
        <f ca="1">Slow_Phase_Rate*Stoch_TreatmentRate</f>
        <v>0.26902470126990674</v>
      </c>
      <c r="D19" t="s">
        <v>252</v>
      </c>
    </row>
    <row r="20" spans="1:4" x14ac:dyDescent="0.2">
      <c r="A20" t="s">
        <v>362</v>
      </c>
      <c r="B20" t="s">
        <v>363</v>
      </c>
      <c r="C20" s="23">
        <f ca="1">MAX(0,Initial_NAFC-Eff_Rapid_Rate*Rapid_Phase_Duration)</f>
        <v>54.443479370428001</v>
      </c>
      <c r="D20" t="s">
        <v>247</v>
      </c>
    </row>
    <row r="21" spans="1:4" x14ac:dyDescent="0.2">
      <c r="A21" t="s">
        <v>364</v>
      </c>
      <c r="B21" t="s">
        <v>365</v>
      </c>
      <c r="C21" s="24">
        <f ca="1">IF(Initial_NAFC&lt;=Target_NAFC,0,IF(NAFC_After_Rapid&lt;=Target_NAFC,(Initial_NAFC-Target_NAFC)/Eff_Rapid_Rate,Rapid_Phase_Duration+(NAFC_After_Rapid-Target_NAFC)/Eff_Slow_Rate))</f>
        <v>31.516993976586384</v>
      </c>
      <c r="D21" t="s">
        <v>182</v>
      </c>
    </row>
    <row r="22" spans="1:4" x14ac:dyDescent="0.2">
      <c r="A22" t="s">
        <v>366</v>
      </c>
      <c r="B22" t="s">
        <v>367</v>
      </c>
      <c r="C22" s="25">
        <f ca="1">CEILING(Days_to_Compliance/Recirculation_Cycle,1)</f>
        <v>3</v>
      </c>
      <c r="D22" t="s">
        <v>368</v>
      </c>
    </row>
    <row r="23" spans="1:4" x14ac:dyDescent="0.2">
      <c r="A23" t="s">
        <v>369</v>
      </c>
      <c r="B23" t="s">
        <v>370</v>
      </c>
      <c r="C23" s="26">
        <f>(Initial_NAFC-Target_NAFC)/Initial_NAFC</f>
        <v>0.2076069730586371</v>
      </c>
      <c r="D23" t="s">
        <v>335</v>
      </c>
    </row>
    <row r="24" spans="1:4" x14ac:dyDescent="0.2">
      <c r="A24" t="s">
        <v>371</v>
      </c>
      <c r="B24" t="s">
        <v>372</v>
      </c>
      <c r="C24" t="str">
        <f ca="1">IF(Days_to_Compliance&lt;=Season_Length,"ACHIEVABLE","EXCEEDS SEASON")</f>
        <v>ACHIEVABLE</v>
      </c>
      <c r="D24" t="s">
        <v>373</v>
      </c>
    </row>
  </sheetData>
  <mergeCells count="2">
    <mergeCell ref="A4:E4"/>
    <mergeCell ref="A3:E3"/>
  </mergeCell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472C4"/>
  </sheetPr>
  <dimension ref="A1:C12"/>
  <sheetViews>
    <sheetView workbookViewId="0"/>
  </sheetViews>
  <sheetFormatPr baseColWidth="10" defaultColWidth="8.83203125" defaultRowHeight="15" x14ac:dyDescent="0.2"/>
  <cols>
    <col min="1" max="1" width="22" customWidth="1"/>
    <col min="2" max="2" width="12" customWidth="1"/>
    <col min="3" max="3" width="70" customWidth="1"/>
  </cols>
  <sheetData>
    <row r="1" spans="1:3" ht="21" x14ac:dyDescent="0.25">
      <c r="A1" s="5" t="s">
        <v>374</v>
      </c>
    </row>
    <row r="2" spans="1:3" x14ac:dyDescent="0.2">
      <c r="A2" s="6" t="s">
        <v>375</v>
      </c>
    </row>
    <row r="4" spans="1:3" x14ac:dyDescent="0.2">
      <c r="A4" s="34" t="s">
        <v>376</v>
      </c>
      <c r="B4" s="32"/>
      <c r="C4" s="33"/>
    </row>
    <row r="5" spans="1:3" ht="195" customHeight="1" x14ac:dyDescent="0.2">
      <c r="A5" s="31" t="s">
        <v>377</v>
      </c>
      <c r="B5" s="32"/>
      <c r="C5" s="33"/>
    </row>
    <row r="7" spans="1:3" x14ac:dyDescent="0.2">
      <c r="A7" s="7" t="s">
        <v>320</v>
      </c>
      <c r="B7" s="7" t="s">
        <v>378</v>
      </c>
      <c r="C7" s="7" t="s">
        <v>379</v>
      </c>
    </row>
    <row r="8" spans="1:3" x14ac:dyDescent="0.2">
      <c r="A8" t="s">
        <v>380</v>
      </c>
      <c r="B8">
        <f ca="1">RAND()</f>
        <v>0.74394333007555202</v>
      </c>
      <c r="C8">
        <f ca="1">IF(B8&lt;(Tri_Season_Extension_Days_Mode-Tri_Season_Extension_Days_Min)/(Tri_Season_Extension_Days_Max-Tri_Season_Extension_Days_Min),Tri_Season_Extension_Days_Min+SQRT(B8*(Tri_Season_Extension_Days_Max-Tri_Season_Extension_Days_Min)*(Tri_Season_Extension_Days_Mode-Tri_Season_Extension_Days_Min)),Tri_Season_Extension_Days_Max-SQRT((1-B8)*(Tri_Season_Extension_Days_Max-Tri_Season_Extension_Days_Min)*(Tri_Season_Extension_Days_Max-Tri_Season_Extension_Days_Mode)))</f>
        <v>26.323557125308341</v>
      </c>
    </row>
    <row r="9" spans="1:3" x14ac:dyDescent="0.2">
      <c r="A9" t="s">
        <v>381</v>
      </c>
      <c r="B9">
        <f ca="1">RAND()</f>
        <v>0.96975992578050696</v>
      </c>
      <c r="C9">
        <f ca="1">IF(B9&lt;(Tri_Extension_Value_Per_Day_Mode-Tri_Extension_Value_Per_Day_Min)/(Tri_Extension_Value_Per_Day_Max-Tri_Extension_Value_Per_Day_Min),Tri_Extension_Value_Per_Day_Min+SQRT(B9*(Tri_Extension_Value_Per_Day_Max-Tri_Extension_Value_Per_Day_Min)*(Tri_Extension_Value_Per_Day_Mode-Tri_Extension_Value_Per_Day_Min)),Tri_Extension_Value_Per_Day_Max-SQRT((1-B9)*(Tri_Extension_Value_Per_Day_Max-Tri_Extension_Value_Per_Day_Min)*(Tri_Extension_Value_Per_Day_Max-Tri_Extension_Value_Per_Day_Mode)))</f>
        <v>13350.270725314491</v>
      </c>
    </row>
    <row r="10" spans="1:3" x14ac:dyDescent="0.2">
      <c r="A10" t="s">
        <v>327</v>
      </c>
      <c r="B10">
        <f ca="1">RAND()</f>
        <v>0.81720144017577101</v>
      </c>
      <c r="C10">
        <f ca="1">IF(B10&lt;(Tri_Interventions_Avoided_Mode-Tri_Interventions_Avoided_Min)/(Tri_Interventions_Avoided_Max-Tri_Interventions_Avoided_Min),Tri_Interventions_Avoided_Min+SQRT(B10*(Tri_Interventions_Avoided_Max-Tri_Interventions_Avoided_Min)*(Tri_Interventions_Avoided_Mode-Tri_Interventions_Avoided_Min)),Tri_Interventions_Avoided_Max-SQRT((1-B10)*(Tri_Interventions_Avoided_Max-Tri_Interventions_Avoided_Min)*(Tri_Interventions_Avoided_Max-Tri_Interventions_Avoided_Mode)))</f>
        <v>5.4705831514263981</v>
      </c>
    </row>
    <row r="11" spans="1:3" x14ac:dyDescent="0.2">
      <c r="A11" t="s">
        <v>334</v>
      </c>
      <c r="B11">
        <f ca="1">RAND()</f>
        <v>5.1457323685288325E-2</v>
      </c>
      <c r="C11">
        <f ca="1">Beta_Efficiency_Gain_Min+(Beta_Efficiency_Gain_Max-Beta_Efficiency_Gain_Min)*B11</f>
        <v>6.8010063289850917E-2</v>
      </c>
    </row>
    <row r="12" spans="1:3" x14ac:dyDescent="0.2">
      <c r="A12" t="s">
        <v>329</v>
      </c>
      <c r="B12">
        <f ca="1">RAND()</f>
        <v>0.74266149676563986</v>
      </c>
      <c r="C12">
        <f ca="1">IF(B12&lt;(Tri_Treatment_Rate_Factor_Mode-Tri_Treatment_Rate_Factor_Min)/(Tri_Treatment_Rate_Factor_Max-Tri_Treatment_Rate_Factor_Min),Tri_Treatment_Rate_Factor_Min+SQRT(B12*(Tri_Treatment_Rate_Factor_Max-Tri_Treatment_Rate_Factor_Min)*(Tri_Treatment_Rate_Factor_Mode-Tri_Treatment_Rate_Factor_Min)),Tri_Treatment_Rate_Factor_Max-SQRT((1-B12)*(Tri_Treatment_Rate_Factor_Max-Tri_Treatment_Rate_Factor_Min)*(Tri_Treatment_Rate_Factor_Max-Tri_Treatment_Rate_Factor_Mode)))</f>
        <v>1.0847770212496239</v>
      </c>
    </row>
  </sheetData>
  <mergeCells count="2">
    <mergeCell ref="A5:C5"/>
    <mergeCell ref="A4:C4"/>
  </mergeCells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4472C4"/>
  </sheetPr>
  <dimension ref="A1:E12"/>
  <sheetViews>
    <sheetView workbookViewId="0"/>
  </sheetViews>
  <sheetFormatPr baseColWidth="10" defaultColWidth="8.83203125" defaultRowHeight="15" x14ac:dyDescent="0.2"/>
  <cols>
    <col min="1" max="1" width="28" customWidth="1"/>
    <col min="2" max="5" width="14" customWidth="1"/>
  </cols>
  <sheetData>
    <row r="1" spans="1:5" ht="21" x14ac:dyDescent="0.25">
      <c r="A1" s="5" t="s">
        <v>382</v>
      </c>
    </row>
    <row r="3" spans="1:5" x14ac:dyDescent="0.2">
      <c r="A3" s="34" t="s">
        <v>383</v>
      </c>
      <c r="B3" s="32"/>
      <c r="C3" s="32"/>
      <c r="D3" s="32"/>
      <c r="E3" s="33"/>
    </row>
    <row r="4" spans="1:5" ht="225" customHeight="1" x14ac:dyDescent="0.2">
      <c r="A4" s="31" t="s">
        <v>384</v>
      </c>
      <c r="B4" s="32"/>
      <c r="C4" s="32"/>
      <c r="D4" s="32"/>
      <c r="E4" s="33"/>
    </row>
    <row r="6" spans="1:5" x14ac:dyDescent="0.2">
      <c r="A6" s="7" t="s">
        <v>84</v>
      </c>
      <c r="B6" s="7" t="s">
        <v>281</v>
      </c>
      <c r="C6" s="7" t="s">
        <v>385</v>
      </c>
      <c r="D6" s="7" t="s">
        <v>386</v>
      </c>
      <c r="E6" s="7" t="s">
        <v>387</v>
      </c>
    </row>
    <row r="7" spans="1:5" x14ac:dyDescent="0.2">
      <c r="A7" t="s">
        <v>388</v>
      </c>
      <c r="B7">
        <f>INDEX(Scenario_BaseValues,1)</f>
        <v>104000</v>
      </c>
      <c r="C7" t="str">
        <f>INDEX(Gate_S1,MATCH(Testing_Option,TestOpt_Option,0))</f>
        <v>ENABLED</v>
      </c>
      <c r="D7">
        <f ca="1">Stoch_SeasonExt/21</f>
        <v>1.2535027202527782</v>
      </c>
      <c r="E7">
        <f ca="1">IF(C7="ENABLED",B7*D7,0)</f>
        <v>130364.28290628894</v>
      </c>
    </row>
    <row r="8" spans="1:5" x14ac:dyDescent="0.2">
      <c r="A8" t="s">
        <v>389</v>
      </c>
      <c r="B8">
        <f>INDEX(Scenario_BaseValues,2)</f>
        <v>67500</v>
      </c>
      <c r="C8" t="str">
        <f>INDEX(Gate_S2,MATCH(Testing_Option,TestOpt_Option,0))</f>
        <v>ENABLED</v>
      </c>
      <c r="D8">
        <f ca="1">Stoch_Interventions/3</f>
        <v>1.8235277171421327</v>
      </c>
      <c r="E8">
        <f ca="1">IF(C8="ENABLED",B8*D8,0)</f>
        <v>123088.12090709395</v>
      </c>
    </row>
    <row r="9" spans="1:5" x14ac:dyDescent="0.2">
      <c r="A9" t="s">
        <v>390</v>
      </c>
      <c r="B9">
        <f>INDEX(Scenario_BaseValues,3)</f>
        <v>78000</v>
      </c>
      <c r="C9" t="str">
        <f>INDEX(Gate_S3,MATCH(Testing_Option,TestOpt_Option,0))</f>
        <v>ENABLED</v>
      </c>
      <c r="D9">
        <f ca="1">Stoch_Efficiency/0.15</f>
        <v>0.45340042193233948</v>
      </c>
      <c r="E9">
        <f ca="1">IF(C9="ENABLED",B9*D9,0)</f>
        <v>35365.23291072248</v>
      </c>
    </row>
    <row r="10" spans="1:5" x14ac:dyDescent="0.2">
      <c r="A10" t="s">
        <v>391</v>
      </c>
      <c r="B10">
        <f>INDEX(Scenario_BaseValues,4)</f>
        <v>36000</v>
      </c>
      <c r="C10" t="str">
        <f>INDEX(Gate_S4,MATCH(Testing_Option,TestOpt_Option,0))</f>
        <v>ENABLED</v>
      </c>
      <c r="D10">
        <f ca="1">1+Stoch_Efficiency</f>
        <v>1.0680100632898508</v>
      </c>
      <c r="E10">
        <f ca="1">IF(C10="ENABLED",B10*D10,0)</f>
        <v>38448.36227843463</v>
      </c>
    </row>
    <row r="12" spans="1:5" x14ac:dyDescent="0.2">
      <c r="A12" s="10" t="s">
        <v>392</v>
      </c>
      <c r="E12" s="14">
        <f ca="1">SUM(E7:E10)</f>
        <v>327265.99900254002</v>
      </c>
    </row>
  </sheetData>
  <mergeCells count="2">
    <mergeCell ref="A4:E4"/>
    <mergeCell ref="A3:E3"/>
  </mergeCells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472C4"/>
  </sheetPr>
  <dimension ref="A1:C13"/>
  <sheetViews>
    <sheetView workbookViewId="0"/>
  </sheetViews>
  <sheetFormatPr baseColWidth="10" defaultColWidth="8.83203125" defaultRowHeight="15" x14ac:dyDescent="0.2"/>
  <cols>
    <col min="1" max="1" width="22" customWidth="1"/>
    <col min="2" max="2" width="25" customWidth="1"/>
    <col min="3" max="3" width="18" customWidth="1"/>
  </cols>
  <sheetData>
    <row r="1" spans="1:3" ht="21" x14ac:dyDescent="0.25">
      <c r="A1" s="5" t="s">
        <v>393</v>
      </c>
    </row>
    <row r="3" spans="1:3" x14ac:dyDescent="0.2">
      <c r="A3" s="34" t="s">
        <v>394</v>
      </c>
      <c r="B3" s="32"/>
      <c r="C3" s="33"/>
    </row>
    <row r="4" spans="1:3" ht="195" customHeight="1" x14ac:dyDescent="0.2">
      <c r="A4" s="31" t="s">
        <v>395</v>
      </c>
      <c r="B4" s="32"/>
      <c r="C4" s="33"/>
    </row>
    <row r="6" spans="1:3" x14ac:dyDescent="0.2">
      <c r="A6" s="7" t="s">
        <v>396</v>
      </c>
      <c r="B6" s="7" t="s">
        <v>357</v>
      </c>
      <c r="C6" s="7" t="s">
        <v>48</v>
      </c>
    </row>
    <row r="7" spans="1:3" x14ac:dyDescent="0.2">
      <c r="A7" t="s">
        <v>397</v>
      </c>
      <c r="B7" t="s">
        <v>51</v>
      </c>
      <c r="C7" t="str">
        <f>Testing_Option</f>
        <v>Daily_Biosensor</v>
      </c>
    </row>
    <row r="8" spans="1:3" x14ac:dyDescent="0.2">
      <c r="A8" t="s">
        <v>398</v>
      </c>
      <c r="B8" t="s">
        <v>399</v>
      </c>
      <c r="C8">
        <f>INDEX(TestOpt_Interval,MATCH(Testing_Option,TestOpt_Option,0))</f>
        <v>1</v>
      </c>
    </row>
    <row r="9" spans="1:3" x14ac:dyDescent="0.2">
      <c r="A9" t="s">
        <v>400</v>
      </c>
      <c r="B9" t="s">
        <v>399</v>
      </c>
      <c r="C9">
        <f>INDEX(TestOpt_Points,MATCH(Testing_Option,TestOpt_Option,0))</f>
        <v>10</v>
      </c>
    </row>
    <row r="10" spans="1:3" x14ac:dyDescent="0.2">
      <c r="A10" t="s">
        <v>227</v>
      </c>
      <c r="B10" t="s">
        <v>399</v>
      </c>
      <c r="C10" s="14">
        <f>INDEX(TestOpt_Cost,MATCH(Testing_Option,TestOpt_Option,0))</f>
        <v>10</v>
      </c>
    </row>
    <row r="11" spans="1:3" x14ac:dyDescent="0.2">
      <c r="A11" t="s">
        <v>401</v>
      </c>
      <c r="B11" t="s">
        <v>402</v>
      </c>
      <c r="C11">
        <f>Season_Length/C8</f>
        <v>100</v>
      </c>
    </row>
    <row r="12" spans="1:3" x14ac:dyDescent="0.2">
      <c r="A12" t="s">
        <v>403</v>
      </c>
      <c r="B12" t="s">
        <v>404</v>
      </c>
      <c r="C12">
        <f>C11*C9</f>
        <v>1000</v>
      </c>
    </row>
    <row r="13" spans="1:3" x14ac:dyDescent="0.2">
      <c r="A13" t="s">
        <v>405</v>
      </c>
      <c r="B13" t="s">
        <v>406</v>
      </c>
      <c r="C13" s="27">
        <f>C12*C10</f>
        <v>10000</v>
      </c>
    </row>
  </sheetData>
  <mergeCells count="2">
    <mergeCell ref="A4:C4"/>
    <mergeCell ref="A3:C3"/>
  </mergeCells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472C4"/>
  </sheetPr>
  <dimension ref="A1:O1023"/>
  <sheetViews>
    <sheetView tabSelected="1" topLeftCell="A3" workbookViewId="0">
      <selection activeCell="N20" sqref="N20"/>
    </sheetView>
  </sheetViews>
  <sheetFormatPr baseColWidth="10" defaultColWidth="8.83203125" defaultRowHeight="15" x14ac:dyDescent="0.2"/>
  <cols>
    <col min="1" max="1" width="26" customWidth="1"/>
    <col min="2" max="8" width="14" customWidth="1"/>
    <col min="9" max="9" width="18" customWidth="1"/>
    <col min="11" max="11" width="8" customWidth="1"/>
  </cols>
  <sheetData>
    <row r="1" spans="1:15" ht="21" x14ac:dyDescent="0.25">
      <c r="A1" s="5" t="s">
        <v>407</v>
      </c>
      <c r="L1" s="34" t="s">
        <v>408</v>
      </c>
      <c r="M1" s="32"/>
      <c r="N1" s="32"/>
      <c r="O1" s="33"/>
    </row>
    <row r="2" spans="1:15" ht="360" customHeight="1" x14ac:dyDescent="0.2">
      <c r="A2" s="6" t="s">
        <v>409</v>
      </c>
      <c r="L2" s="31" t="s">
        <v>410</v>
      </c>
      <c r="M2" s="32"/>
      <c r="N2" s="32"/>
      <c r="O2" s="33"/>
    </row>
    <row r="3" spans="1:15" x14ac:dyDescent="0.2">
      <c r="A3" s="6" t="s">
        <v>411</v>
      </c>
    </row>
    <row r="4" spans="1:15" x14ac:dyDescent="0.2">
      <c r="A4" s="10" t="s">
        <v>412</v>
      </c>
      <c r="B4" s="10" t="s">
        <v>104</v>
      </c>
      <c r="C4" s="10" t="s">
        <v>283</v>
      </c>
      <c r="D4" s="10" t="s">
        <v>286</v>
      </c>
      <c r="E4" s="10" t="s">
        <v>289</v>
      </c>
      <c r="F4" s="10" t="s">
        <v>292</v>
      </c>
      <c r="G4" s="10" t="s">
        <v>413</v>
      </c>
      <c r="H4" s="10" t="s">
        <v>414</v>
      </c>
      <c r="I4" s="10" t="s">
        <v>364</v>
      </c>
    </row>
    <row r="5" spans="1:15" x14ac:dyDescent="0.2">
      <c r="B5" s="14">
        <f ca="1">NPV_Total</f>
        <v>1150591.2847780893</v>
      </c>
      <c r="C5" s="14">
        <f ca="1">S1_Value</f>
        <v>130364.28290628894</v>
      </c>
      <c r="D5" s="14">
        <f ca="1">S2_Value</f>
        <v>123088.12090709395</v>
      </c>
      <c r="E5" s="14">
        <f ca="1">S3_Value</f>
        <v>35365.23291072248</v>
      </c>
      <c r="F5" s="14">
        <f ca="1">S4_Value</f>
        <v>38448.36227843463</v>
      </c>
      <c r="G5" s="14">
        <f>Testing_Cost</f>
        <v>10000</v>
      </c>
      <c r="H5" s="14">
        <f ca="1">Gross_Value-Testing_Cost</f>
        <v>317265.99900254002</v>
      </c>
      <c r="I5" s="24">
        <f ca="1">Days_to_Compliance</f>
        <v>31.516993976586384</v>
      </c>
    </row>
    <row r="6" spans="1:15" x14ac:dyDescent="0.2">
      <c r="A6">
        <v>1</v>
      </c>
      <c r="B6">
        <f t="dataTable" ref="B6:I1005" dt2D="0" dtr="0" r1="O16" ca="1"/>
        <v>1360555.0869751386</v>
      </c>
      <c r="C6">
        <v>160963.95486922024</v>
      </c>
      <c r="D6">
        <v>138250.11801124792</v>
      </c>
      <c r="E6">
        <v>46384.05283475732</v>
      </c>
      <c r="F6">
        <v>39211.203657790895</v>
      </c>
      <c r="G6">
        <v>10000</v>
      </c>
      <c r="H6">
        <v>374809.32937301637</v>
      </c>
      <c r="I6">
        <v>39.618256942621912</v>
      </c>
    </row>
    <row r="7" spans="1:15" x14ac:dyDescent="0.2">
      <c r="A7">
        <v>2</v>
      </c>
      <c r="B7">
        <v>827541.17704796745</v>
      </c>
      <c r="C7">
        <v>86196.925481999395</v>
      </c>
      <c r="D7">
        <v>60038.809059320156</v>
      </c>
      <c r="E7">
        <v>52836.256058038838</v>
      </c>
      <c r="F7">
        <v>39657.894650171926</v>
      </c>
      <c r="G7">
        <v>10000</v>
      </c>
      <c r="H7">
        <v>228729.88524953031</v>
      </c>
      <c r="I7">
        <v>26.94362437420272</v>
      </c>
    </row>
    <row r="8" spans="1:15" x14ac:dyDescent="0.2">
      <c r="A8">
        <v>3</v>
      </c>
      <c r="B8">
        <v>1289182.5743178499</v>
      </c>
      <c r="C8">
        <v>103998.72506360625</v>
      </c>
      <c r="D8">
        <v>47059.652254660919</v>
      </c>
      <c r="E8">
        <v>166652.87341049375</v>
      </c>
      <c r="F8">
        <v>47537.506620726483</v>
      </c>
      <c r="G8">
        <v>10000</v>
      </c>
      <c r="H8">
        <v>355248.75734948745</v>
      </c>
      <c r="I8">
        <v>47.878609093584963</v>
      </c>
    </row>
    <row r="9" spans="1:15" x14ac:dyDescent="0.2">
      <c r="A9">
        <v>4</v>
      </c>
      <c r="B9">
        <v>1437729.7681443444</v>
      </c>
      <c r="C9">
        <v>119023.45048832694</v>
      </c>
      <c r="D9">
        <v>40583.283770142625</v>
      </c>
      <c r="E9">
        <v>196733.32780577693</v>
      </c>
      <c r="F9">
        <v>49619.999617323017</v>
      </c>
      <c r="G9">
        <v>10000</v>
      </c>
      <c r="H9">
        <v>395960.06168156955</v>
      </c>
      <c r="I9">
        <v>24.715072689418342</v>
      </c>
    </row>
    <row r="10" spans="1:15" x14ac:dyDescent="0.2">
      <c r="A10">
        <v>5</v>
      </c>
      <c r="B10">
        <v>1775075.7100034321</v>
      </c>
      <c r="C10">
        <v>141853.86789763026</v>
      </c>
      <c r="D10">
        <v>99811.117531777956</v>
      </c>
      <c r="E10">
        <v>206456.04014221852</v>
      </c>
      <c r="F10">
        <v>50293.11047138436</v>
      </c>
      <c r="G10">
        <v>10000</v>
      </c>
      <c r="H10">
        <v>488414.13604301109</v>
      </c>
      <c r="I10">
        <v>27.469290322884596</v>
      </c>
    </row>
    <row r="11" spans="1:15" x14ac:dyDescent="0.2">
      <c r="A11">
        <v>6</v>
      </c>
      <c r="B11">
        <v>1103675.468507214</v>
      </c>
      <c r="C11">
        <v>116401.53564901362</v>
      </c>
      <c r="D11">
        <v>70387.977470102662</v>
      </c>
      <c r="E11">
        <v>85686.452828189314</v>
      </c>
      <c r="F11">
        <v>41932.139041951566</v>
      </c>
      <c r="G11">
        <v>10000</v>
      </c>
      <c r="H11">
        <v>304408.10498925718</v>
      </c>
      <c r="I11">
        <v>42.803779722261893</v>
      </c>
    </row>
    <row r="12" spans="1:15" x14ac:dyDescent="0.2">
      <c r="A12">
        <v>7</v>
      </c>
      <c r="B12">
        <v>1624066.1135506211</v>
      </c>
      <c r="C12">
        <v>100488.2055781465</v>
      </c>
      <c r="D12">
        <v>137218.30344547913</v>
      </c>
      <c r="E12">
        <v>171451.7335894682</v>
      </c>
      <c r="F12">
        <v>47869.735402347796</v>
      </c>
      <c r="G12">
        <v>10000</v>
      </c>
      <c r="H12">
        <v>447027.97801544162</v>
      </c>
      <c r="I12">
        <v>34.403511886679233</v>
      </c>
    </row>
    <row r="13" spans="1:15" x14ac:dyDescent="0.2">
      <c r="A13">
        <v>8</v>
      </c>
      <c r="B13">
        <v>1183919.2455030349</v>
      </c>
      <c r="C13">
        <v>107181.7802626169</v>
      </c>
      <c r="D13">
        <v>48947.016241198049</v>
      </c>
      <c r="E13">
        <v>134929.868144434</v>
      </c>
      <c r="F13">
        <v>45341.298563845434</v>
      </c>
      <c r="G13">
        <v>10000</v>
      </c>
      <c r="H13">
        <v>326399.96321209439</v>
      </c>
      <c r="I13">
        <v>34.36258454183465</v>
      </c>
    </row>
    <row r="14" spans="1:15" x14ac:dyDescent="0.2">
      <c r="A14">
        <v>9</v>
      </c>
      <c r="B14">
        <v>1162200.4660565772</v>
      </c>
      <c r="C14">
        <v>107572.5633774358</v>
      </c>
      <c r="D14">
        <v>49730.030094507456</v>
      </c>
      <c r="E14">
        <v>128265.15816670221</v>
      </c>
      <c r="F14">
        <v>44879.895565387073</v>
      </c>
      <c r="G14">
        <v>10000</v>
      </c>
      <c r="H14">
        <v>320447.64720403258</v>
      </c>
      <c r="I14">
        <v>44.304744504166209</v>
      </c>
    </row>
    <row r="15" spans="1:15" x14ac:dyDescent="0.2">
      <c r="A15">
        <v>10</v>
      </c>
      <c r="B15">
        <v>1627952.0001371538</v>
      </c>
      <c r="C15">
        <v>124496.95481797578</v>
      </c>
      <c r="D15">
        <v>113083.78091230975</v>
      </c>
      <c r="E15">
        <v>172565.38599176635</v>
      </c>
      <c r="F15">
        <v>47946.834414814592</v>
      </c>
      <c r="G15">
        <v>10000</v>
      </c>
      <c r="H15">
        <v>448092.95613686647</v>
      </c>
      <c r="I15">
        <v>38.037631244562974</v>
      </c>
    </row>
    <row r="16" spans="1:15" x14ac:dyDescent="0.2">
      <c r="A16">
        <v>11</v>
      </c>
      <c r="B16">
        <v>1163351.2047520154</v>
      </c>
      <c r="C16">
        <v>132112.75977930543</v>
      </c>
      <c r="D16">
        <v>133421.99063301794</v>
      </c>
      <c r="E16">
        <v>27335.793774519228</v>
      </c>
      <c r="F16">
        <v>37892.478030543643</v>
      </c>
      <c r="G16">
        <v>10000</v>
      </c>
      <c r="H16">
        <v>320763.02221738629</v>
      </c>
      <c r="I16">
        <v>51.683117491006236</v>
      </c>
    </row>
    <row r="17" spans="1:9" x14ac:dyDescent="0.2">
      <c r="A17">
        <v>12</v>
      </c>
      <c r="B17">
        <v>907373.621043085</v>
      </c>
      <c r="C17">
        <v>85832.444351528378</v>
      </c>
      <c r="D17">
        <v>58265.497997769555</v>
      </c>
      <c r="E17">
        <v>75298.122952424048</v>
      </c>
      <c r="F17">
        <v>41212.946973629354</v>
      </c>
      <c r="G17">
        <v>10000</v>
      </c>
      <c r="H17">
        <v>250609.01227535133</v>
      </c>
      <c r="I17">
        <v>39.980243693705255</v>
      </c>
    </row>
    <row r="18" spans="1:9" x14ac:dyDescent="0.2">
      <c r="A18">
        <v>13</v>
      </c>
      <c r="B18">
        <v>1042432.412275338</v>
      </c>
      <c r="C18">
        <v>105566.42354533524</v>
      </c>
      <c r="D18">
        <v>81156.765079567194</v>
      </c>
      <c r="E18">
        <v>70050.784843071524</v>
      </c>
      <c r="F18">
        <v>40849.669719904952</v>
      </c>
      <c r="G18">
        <v>10000</v>
      </c>
      <c r="H18">
        <v>287623.64318787894</v>
      </c>
      <c r="I18">
        <v>45.660353856387744</v>
      </c>
    </row>
    <row r="19" spans="1:9" x14ac:dyDescent="0.2">
      <c r="A19">
        <v>14</v>
      </c>
      <c r="B19">
        <v>1390859.2379077121</v>
      </c>
      <c r="C19">
        <v>123856.47295690088</v>
      </c>
      <c r="D19">
        <v>64726.33455531043</v>
      </c>
      <c r="E19">
        <v>157619.64230436497</v>
      </c>
      <c r="F19">
        <v>46912.129082609878</v>
      </c>
      <c r="G19">
        <v>10000</v>
      </c>
      <c r="H19">
        <v>383114.57889918622</v>
      </c>
      <c r="I19">
        <v>36.646202423681174</v>
      </c>
    </row>
    <row r="20" spans="1:9" x14ac:dyDescent="0.2">
      <c r="A20">
        <v>15</v>
      </c>
      <c r="B20">
        <v>1086459.9576701745</v>
      </c>
      <c r="C20">
        <v>102168.17027253004</v>
      </c>
      <c r="D20">
        <v>113247.67929595962</v>
      </c>
      <c r="E20">
        <v>54500.974758421107</v>
      </c>
      <c r="F20">
        <v>39773.144406352229</v>
      </c>
      <c r="G20">
        <v>10000</v>
      </c>
      <c r="H20">
        <v>299689.96873326303</v>
      </c>
      <c r="I20">
        <v>28.959455698360443</v>
      </c>
    </row>
    <row r="21" spans="1:9" x14ac:dyDescent="0.2">
      <c r="A21">
        <v>16</v>
      </c>
      <c r="B21">
        <v>1603041.3221613711</v>
      </c>
      <c r="C21">
        <v>114897.34340599802</v>
      </c>
      <c r="D21">
        <v>128134.86796862535</v>
      </c>
      <c r="E21">
        <v>161081.82827033638</v>
      </c>
      <c r="F21">
        <v>47151.818880254061</v>
      </c>
      <c r="G21">
        <v>10000</v>
      </c>
      <c r="H21">
        <v>441265.85852521379</v>
      </c>
      <c r="I21">
        <v>28.870503668037454</v>
      </c>
    </row>
    <row r="22" spans="1:9" x14ac:dyDescent="0.2">
      <c r="A22">
        <v>17</v>
      </c>
      <c r="B22">
        <v>1520781.7492596351</v>
      </c>
      <c r="C22">
        <v>119303.23309283819</v>
      </c>
      <c r="D22">
        <v>77248.996143464043</v>
      </c>
      <c r="E22">
        <v>183467.70541749024</v>
      </c>
      <c r="F22">
        <v>48701.610375057018</v>
      </c>
      <c r="G22">
        <v>10000</v>
      </c>
      <c r="H22">
        <v>418721.5450288495</v>
      </c>
      <c r="I22">
        <v>40.074437839250351</v>
      </c>
    </row>
    <row r="23" spans="1:9" x14ac:dyDescent="0.2">
      <c r="A23">
        <v>18</v>
      </c>
      <c r="B23">
        <v>1444914.3716698764</v>
      </c>
      <c r="C23">
        <v>148701.45351669265</v>
      </c>
      <c r="D23">
        <v>129190.14430870293</v>
      </c>
      <c r="E23">
        <v>87948.739665675792</v>
      </c>
      <c r="F23">
        <v>42088.758899931403</v>
      </c>
      <c r="G23">
        <v>10000</v>
      </c>
      <c r="H23">
        <v>397929.09639100276</v>
      </c>
      <c r="I23">
        <v>32.053924991066985</v>
      </c>
    </row>
    <row r="24" spans="1:9" x14ac:dyDescent="0.2">
      <c r="A24">
        <v>19</v>
      </c>
      <c r="B24">
        <v>1538028.9680748088</v>
      </c>
      <c r="C24">
        <v>106923.43005031298</v>
      </c>
      <c r="D24">
        <v>68453.564900970421</v>
      </c>
      <c r="E24">
        <v>207692.65411252971</v>
      </c>
      <c r="F24">
        <v>50378.72220779051</v>
      </c>
      <c r="G24">
        <v>10000</v>
      </c>
      <c r="H24">
        <v>423448.37127160362</v>
      </c>
      <c r="I24">
        <v>30.170519642275792</v>
      </c>
    </row>
    <row r="25" spans="1:9" x14ac:dyDescent="0.2">
      <c r="A25">
        <v>20</v>
      </c>
      <c r="B25">
        <v>1326632.9547244033</v>
      </c>
      <c r="C25">
        <v>148379.17176571881</v>
      </c>
      <c r="D25">
        <v>136943.11959309783</v>
      </c>
      <c r="E25">
        <v>50681.513172089777</v>
      </c>
      <c r="F25">
        <v>39508.720142683145</v>
      </c>
      <c r="G25">
        <v>10000</v>
      </c>
      <c r="H25">
        <v>365512.52467358956</v>
      </c>
      <c r="I25">
        <v>36.429796948072386</v>
      </c>
    </row>
    <row r="26" spans="1:9" x14ac:dyDescent="0.2">
      <c r="A26">
        <v>21</v>
      </c>
      <c r="B26">
        <v>998537.24392533535</v>
      </c>
      <c r="C26">
        <v>81246.121541988701</v>
      </c>
      <c r="D26">
        <v>93147.008120582366</v>
      </c>
      <c r="E26">
        <v>70331.372615855333</v>
      </c>
      <c r="F26">
        <v>40869.095027251526</v>
      </c>
      <c r="G26">
        <v>10000</v>
      </c>
      <c r="H26">
        <v>275593.59730567795</v>
      </c>
      <c r="I26">
        <v>29.008076544189542</v>
      </c>
    </row>
    <row r="27" spans="1:9" x14ac:dyDescent="0.2">
      <c r="A27">
        <v>22</v>
      </c>
      <c r="B27">
        <v>1702008.943508765</v>
      </c>
      <c r="C27">
        <v>98848.073911817177</v>
      </c>
      <c r="D27">
        <v>153364.0042881142</v>
      </c>
      <c r="E27">
        <v>177863.52472693953</v>
      </c>
      <c r="F27">
        <v>48313.628634941968</v>
      </c>
      <c r="G27">
        <v>10000</v>
      </c>
      <c r="H27">
        <v>468389.23156181292</v>
      </c>
      <c r="I27">
        <v>41.876379312801006</v>
      </c>
    </row>
    <row r="28" spans="1:9" x14ac:dyDescent="0.2">
      <c r="A28">
        <v>23</v>
      </c>
      <c r="B28">
        <v>1422598.6663677273</v>
      </c>
      <c r="C28">
        <v>137678.87865447163</v>
      </c>
      <c r="D28">
        <v>51700.381796876405</v>
      </c>
      <c r="E28">
        <v>165010.14529207948</v>
      </c>
      <c r="F28">
        <v>47423.779289451653</v>
      </c>
      <c r="G28">
        <v>10000</v>
      </c>
      <c r="H28">
        <v>391813.18503287918</v>
      </c>
      <c r="I28">
        <v>35.175539172228042</v>
      </c>
    </row>
    <row r="29" spans="1:9" x14ac:dyDescent="0.2">
      <c r="A29">
        <v>24</v>
      </c>
      <c r="B29">
        <v>1348599.5923034141</v>
      </c>
      <c r="C29">
        <v>119696.80785278241</v>
      </c>
      <c r="D29">
        <v>88891.851009864491</v>
      </c>
      <c r="E29">
        <v>128077.22572884722</v>
      </c>
      <c r="F29">
        <v>44866.884858150959</v>
      </c>
      <c r="G29">
        <v>10000</v>
      </c>
      <c r="H29">
        <v>371532.76944964507</v>
      </c>
      <c r="I29">
        <v>32.110030485446885</v>
      </c>
    </row>
    <row r="30" spans="1:9" x14ac:dyDescent="0.2">
      <c r="A30">
        <v>25</v>
      </c>
      <c r="B30">
        <v>1833796.6301951651</v>
      </c>
      <c r="C30">
        <v>120879.33606024917</v>
      </c>
      <c r="D30">
        <v>145105.66175714717</v>
      </c>
      <c r="E30">
        <v>198761.93402091711</v>
      </c>
      <c r="F30">
        <v>49760.441586063491</v>
      </c>
      <c r="G30">
        <v>10000</v>
      </c>
      <c r="H30">
        <v>504507.37342437694</v>
      </c>
      <c r="I30">
        <v>34.264397770871078</v>
      </c>
    </row>
    <row r="31" spans="1:9" x14ac:dyDescent="0.2">
      <c r="A31">
        <v>26</v>
      </c>
      <c r="B31">
        <v>1027688.8363914284</v>
      </c>
      <c r="C31">
        <v>91243.747182834806</v>
      </c>
      <c r="D31">
        <v>72480.116086123264</v>
      </c>
      <c r="E31">
        <v>87781.901268113215</v>
      </c>
      <c r="F31">
        <v>42077.208549330913</v>
      </c>
      <c r="G31">
        <v>10000</v>
      </c>
      <c r="H31">
        <v>283582.97308640217</v>
      </c>
      <c r="I31">
        <v>43.474479663244523</v>
      </c>
    </row>
    <row r="32" spans="1:9" x14ac:dyDescent="0.2">
      <c r="A32">
        <v>27</v>
      </c>
      <c r="B32">
        <v>1294157.7104220279</v>
      </c>
      <c r="C32">
        <v>108898.24083693018</v>
      </c>
      <c r="D32">
        <v>115796.48227687518</v>
      </c>
      <c r="E32">
        <v>99059.56553422159</v>
      </c>
      <c r="F32">
        <v>42857.96992159995</v>
      </c>
      <c r="G32">
        <v>10000</v>
      </c>
      <c r="H32">
        <v>356612.25856962689</v>
      </c>
      <c r="I32">
        <v>35.68604101892106</v>
      </c>
    </row>
    <row r="33" spans="1:9" x14ac:dyDescent="0.2">
      <c r="A33">
        <v>28</v>
      </c>
      <c r="B33">
        <v>1300775.3517053057</v>
      </c>
      <c r="C33">
        <v>109924.0461315806</v>
      </c>
      <c r="D33">
        <v>120040.09695716857</v>
      </c>
      <c r="E33">
        <v>95827.551646991502</v>
      </c>
      <c r="F33">
        <v>42634.215114022489</v>
      </c>
      <c r="G33">
        <v>10000</v>
      </c>
      <c r="H33">
        <v>358425.90984976315</v>
      </c>
      <c r="I33">
        <v>50.471356492559181</v>
      </c>
    </row>
    <row r="34" spans="1:9" x14ac:dyDescent="0.2">
      <c r="A34">
        <v>29</v>
      </c>
      <c r="B34">
        <v>935325.25629964657</v>
      </c>
      <c r="C34">
        <v>115785.86348867112</v>
      </c>
      <c r="D34">
        <v>68646.348224996822</v>
      </c>
      <c r="E34">
        <v>44739.932414172843</v>
      </c>
      <c r="F34">
        <v>39097.379936365811</v>
      </c>
      <c r="G34">
        <v>10000</v>
      </c>
      <c r="H34">
        <v>258269.52406420663</v>
      </c>
      <c r="I34">
        <v>45.901457286987849</v>
      </c>
    </row>
    <row r="35" spans="1:9" x14ac:dyDescent="0.2">
      <c r="A35">
        <v>30</v>
      </c>
      <c r="B35">
        <v>1121008.7464882615</v>
      </c>
      <c r="C35">
        <v>101212.92189806748</v>
      </c>
      <c r="D35">
        <v>48308.685882191414</v>
      </c>
      <c r="E35">
        <v>124984.15958382527</v>
      </c>
      <c r="F35">
        <v>44652.749509649439</v>
      </c>
      <c r="G35">
        <v>10000</v>
      </c>
      <c r="H35">
        <v>309158.51687373361</v>
      </c>
      <c r="I35">
        <v>30.732241271913196</v>
      </c>
    </row>
    <row r="36" spans="1:9" x14ac:dyDescent="0.2">
      <c r="A36">
        <v>31</v>
      </c>
      <c r="B36">
        <v>1451675.3538729758</v>
      </c>
      <c r="C36">
        <v>143345.38709355603</v>
      </c>
      <c r="D36">
        <v>102428.56301810137</v>
      </c>
      <c r="E36">
        <v>119719.78893603703</v>
      </c>
      <c r="F36">
        <v>44288.293080187177</v>
      </c>
      <c r="G36">
        <v>10000</v>
      </c>
      <c r="H36">
        <v>399782.0321278816</v>
      </c>
      <c r="I36">
        <v>37.438824634556212</v>
      </c>
    </row>
    <row r="37" spans="1:9" x14ac:dyDescent="0.2">
      <c r="A37">
        <v>32</v>
      </c>
      <c r="B37">
        <v>1673667.6981206201</v>
      </c>
      <c r="C37">
        <v>109531.81635232325</v>
      </c>
      <c r="D37">
        <v>111783.65602394026</v>
      </c>
      <c r="E37">
        <v>199495.25937227978</v>
      </c>
      <c r="F37">
        <v>49811.210264234753</v>
      </c>
      <c r="G37">
        <v>10000</v>
      </c>
      <c r="H37">
        <v>460621.94201277808</v>
      </c>
      <c r="I37">
        <v>39.243005676247805</v>
      </c>
    </row>
    <row r="38" spans="1:9" x14ac:dyDescent="0.2">
      <c r="A38">
        <v>33</v>
      </c>
      <c r="B38">
        <v>1492145.7295837598</v>
      </c>
      <c r="C38">
        <v>98778.548248407678</v>
      </c>
      <c r="D38">
        <v>74701.022758908468</v>
      </c>
      <c r="E38">
        <v>197706.52304524666</v>
      </c>
      <c r="F38">
        <v>49687.374672363236</v>
      </c>
      <c r="G38">
        <v>10000</v>
      </c>
      <c r="H38">
        <v>410873.46872492606</v>
      </c>
      <c r="I38">
        <v>40.450886868260284</v>
      </c>
    </row>
    <row r="39" spans="1:9" x14ac:dyDescent="0.2">
      <c r="A39">
        <v>34</v>
      </c>
      <c r="B39">
        <v>966564.2653948958</v>
      </c>
      <c r="C39">
        <v>126024.8738159207</v>
      </c>
      <c r="D39">
        <v>62357.472142062739</v>
      </c>
      <c r="E39">
        <v>49052.682795120694</v>
      </c>
      <c r="F39">
        <v>39395.954962739132</v>
      </c>
      <c r="G39">
        <v>10000</v>
      </c>
      <c r="H39">
        <v>266830.98371584323</v>
      </c>
      <c r="I39">
        <v>31.955576939752405</v>
      </c>
    </row>
    <row r="40" spans="1:9" x14ac:dyDescent="0.2">
      <c r="A40">
        <v>35</v>
      </c>
      <c r="B40">
        <v>1032826.5928499986</v>
      </c>
      <c r="C40">
        <v>93193.327626955914</v>
      </c>
      <c r="D40">
        <v>60993.035604478639</v>
      </c>
      <c r="E40">
        <v>98018.764825520135</v>
      </c>
      <c r="F40">
        <v>42785.914487920629</v>
      </c>
      <c r="G40">
        <v>10000</v>
      </c>
      <c r="H40">
        <v>284991.04254487529</v>
      </c>
      <c r="I40">
        <v>41.45432503822208</v>
      </c>
    </row>
    <row r="41" spans="1:9" x14ac:dyDescent="0.2">
      <c r="A41">
        <v>36</v>
      </c>
      <c r="B41">
        <v>1214238.3262265357</v>
      </c>
      <c r="C41">
        <v>96537.996221217458</v>
      </c>
      <c r="D41">
        <v>73020.990936950111</v>
      </c>
      <c r="E41">
        <v>130140.58451102955</v>
      </c>
      <c r="F41">
        <v>45009.732773840507</v>
      </c>
      <c r="G41">
        <v>10000</v>
      </c>
      <c r="H41">
        <v>334709.3044430376</v>
      </c>
      <c r="I41">
        <v>46.703612854722024</v>
      </c>
    </row>
    <row r="42" spans="1:9" x14ac:dyDescent="0.2">
      <c r="A42">
        <v>37</v>
      </c>
      <c r="B42">
        <v>1323128.9444977385</v>
      </c>
      <c r="C42">
        <v>125730.80925253507</v>
      </c>
      <c r="D42">
        <v>66135.402211118344</v>
      </c>
      <c r="E42">
        <v>137188.33906433007</v>
      </c>
      <c r="F42">
        <v>45497.65424291516</v>
      </c>
      <c r="G42">
        <v>10000</v>
      </c>
      <c r="H42">
        <v>364552.20477089862</v>
      </c>
      <c r="I42">
        <v>39.670789029860792</v>
      </c>
    </row>
    <row r="43" spans="1:9" x14ac:dyDescent="0.2">
      <c r="A43">
        <v>38</v>
      </c>
      <c r="B43">
        <v>1169434.8759559009</v>
      </c>
      <c r="C43">
        <v>74940.85209666194</v>
      </c>
      <c r="D43">
        <v>148882.49394397499</v>
      </c>
      <c r="E43">
        <v>67905.814209060132</v>
      </c>
      <c r="F43">
        <v>40701.171752934933</v>
      </c>
      <c r="G43">
        <v>10000</v>
      </c>
      <c r="H43">
        <v>322430.33200263197</v>
      </c>
      <c r="I43">
        <v>27.635040956474612</v>
      </c>
    </row>
    <row r="44" spans="1:9" x14ac:dyDescent="0.2">
      <c r="A44">
        <v>39</v>
      </c>
      <c r="B44">
        <v>855472.80029935844</v>
      </c>
      <c r="C44">
        <v>109152.73428488389</v>
      </c>
      <c r="D44">
        <v>46104.039529899652</v>
      </c>
      <c r="E44">
        <v>51558.690843794553</v>
      </c>
      <c r="F44">
        <v>39569.447827647316</v>
      </c>
      <c r="G44">
        <v>10000</v>
      </c>
      <c r="H44">
        <v>236384.91248622542</v>
      </c>
      <c r="I44">
        <v>41.396136932382994</v>
      </c>
    </row>
    <row r="45" spans="1:9" x14ac:dyDescent="0.2">
      <c r="A45">
        <v>40</v>
      </c>
      <c r="B45">
        <v>1147564.9670982431</v>
      </c>
      <c r="C45">
        <v>118536.91843442214</v>
      </c>
      <c r="D45">
        <v>123425.4993260206</v>
      </c>
      <c r="E45">
        <v>45335.563317329877</v>
      </c>
      <c r="F45">
        <v>39138.615921968994</v>
      </c>
      <c r="G45">
        <v>10000</v>
      </c>
      <c r="H45">
        <v>316436.59699974163</v>
      </c>
      <c r="I45">
        <v>35.260677385319497</v>
      </c>
    </row>
    <row r="46" spans="1:9" x14ac:dyDescent="0.2">
      <c r="A46">
        <v>41</v>
      </c>
      <c r="B46">
        <v>1270937.7128357205</v>
      </c>
      <c r="C46">
        <v>103490.08333683977</v>
      </c>
      <c r="D46">
        <v>65939.810020034798</v>
      </c>
      <c r="E46">
        <v>144794.3934684385</v>
      </c>
      <c r="F46">
        <v>46024.227240122666</v>
      </c>
      <c r="G46">
        <v>10000</v>
      </c>
      <c r="H46">
        <v>350248.5140654358</v>
      </c>
      <c r="I46">
        <v>41.744014902163158</v>
      </c>
    </row>
    <row r="47" spans="1:9" x14ac:dyDescent="0.2">
      <c r="A47">
        <v>42</v>
      </c>
      <c r="B47">
        <v>1223885.2550313997</v>
      </c>
      <c r="C47">
        <v>79824.305683349638</v>
      </c>
      <c r="D47">
        <v>71490.43165893211</v>
      </c>
      <c r="E47">
        <v>149676.23352520782</v>
      </c>
      <c r="F47">
        <v>46362.200782514381</v>
      </c>
      <c r="G47">
        <v>10000</v>
      </c>
      <c r="H47">
        <v>337353.17165000399</v>
      </c>
      <c r="I47">
        <v>38.316402175950159</v>
      </c>
    </row>
    <row r="48" spans="1:9" x14ac:dyDescent="0.2">
      <c r="A48">
        <v>43</v>
      </c>
      <c r="B48">
        <v>837431.86182178953</v>
      </c>
      <c r="C48">
        <v>94401.416254733427</v>
      </c>
      <c r="D48">
        <v>45676.508498929979</v>
      </c>
      <c r="E48">
        <v>61130.519341658794</v>
      </c>
      <c r="F48">
        <v>40232.112877499458</v>
      </c>
      <c r="G48">
        <v>10000</v>
      </c>
      <c r="H48">
        <v>231440.55697282168</v>
      </c>
      <c r="I48">
        <v>37.057131968792461</v>
      </c>
    </row>
    <row r="49" spans="1:9" x14ac:dyDescent="0.2">
      <c r="A49">
        <v>44</v>
      </c>
      <c r="B49">
        <v>1429915.4890930431</v>
      </c>
      <c r="C49">
        <v>120150.27991466649</v>
      </c>
      <c r="D49">
        <v>36978.991967242102</v>
      </c>
      <c r="E49">
        <v>197047.43852036569</v>
      </c>
      <c r="F49">
        <v>49641.74574371762</v>
      </c>
      <c r="G49">
        <v>10000</v>
      </c>
      <c r="H49">
        <v>393818.45614599192</v>
      </c>
      <c r="I49">
        <v>45.490517327921069</v>
      </c>
    </row>
    <row r="50" spans="1:9" x14ac:dyDescent="0.2">
      <c r="A50">
        <v>45</v>
      </c>
      <c r="B50">
        <v>1351169.2681290349</v>
      </c>
      <c r="C50">
        <v>138413.588930186</v>
      </c>
      <c r="D50">
        <v>104782.09967467496</v>
      </c>
      <c r="E50">
        <v>96369.593104653075</v>
      </c>
      <c r="F50">
        <v>42671.741061091365</v>
      </c>
      <c r="G50">
        <v>10000</v>
      </c>
      <c r="H50">
        <v>372237.0227706054</v>
      </c>
      <c r="I50">
        <v>37.607358827540651</v>
      </c>
    </row>
    <row r="51" spans="1:9" x14ac:dyDescent="0.2">
      <c r="A51">
        <v>46</v>
      </c>
      <c r="B51">
        <v>1467753.435353684</v>
      </c>
      <c r="C51">
        <v>132942.55143382135</v>
      </c>
      <c r="D51">
        <v>70739.007705446027</v>
      </c>
      <c r="E51">
        <v>163207.87509278697</v>
      </c>
      <c r="F51">
        <v>47299.00673719294</v>
      </c>
      <c r="G51">
        <v>10000</v>
      </c>
      <c r="H51">
        <v>404188.44096924725</v>
      </c>
      <c r="I51">
        <v>34.551596505081832</v>
      </c>
    </row>
    <row r="52" spans="1:9" x14ac:dyDescent="0.2">
      <c r="A52">
        <v>47</v>
      </c>
      <c r="B52">
        <v>1305894.6560337523</v>
      </c>
      <c r="C52">
        <v>163050.00879280441</v>
      </c>
      <c r="D52">
        <v>66759.563695369143</v>
      </c>
      <c r="E52">
        <v>97284.283959510911</v>
      </c>
      <c r="F52">
        <v>42735.065812581524</v>
      </c>
      <c r="G52">
        <v>10000</v>
      </c>
      <c r="H52">
        <v>359828.92226026597</v>
      </c>
      <c r="I52">
        <v>34.305873487220197</v>
      </c>
    </row>
    <row r="53" spans="1:9" x14ac:dyDescent="0.2">
      <c r="A53">
        <v>48</v>
      </c>
      <c r="B53">
        <v>1304050.6828281712</v>
      </c>
      <c r="C53">
        <v>146150.59331305089</v>
      </c>
      <c r="D53">
        <v>79356.248066768443</v>
      </c>
      <c r="E53">
        <v>100835.77743116101</v>
      </c>
      <c r="F53">
        <v>42980.938437541918</v>
      </c>
      <c r="G53">
        <v>10000</v>
      </c>
      <c r="H53">
        <v>359323.55724852229</v>
      </c>
      <c r="I53">
        <v>37.821974047744291</v>
      </c>
    </row>
    <row r="54" spans="1:9" x14ac:dyDescent="0.2">
      <c r="A54">
        <v>49</v>
      </c>
      <c r="B54">
        <v>862949.10323506384</v>
      </c>
      <c r="C54">
        <v>97258.330880972338</v>
      </c>
      <c r="D54">
        <v>63761.320613192824</v>
      </c>
      <c r="E54">
        <v>48085.260194015638</v>
      </c>
      <c r="F54">
        <v>39328.97955189339</v>
      </c>
      <c r="G54">
        <v>10000</v>
      </c>
      <c r="H54">
        <v>238433.89124007418</v>
      </c>
      <c r="I54">
        <v>36.615206061884635</v>
      </c>
    </row>
    <row r="55" spans="1:9" x14ac:dyDescent="0.2">
      <c r="A55">
        <v>50</v>
      </c>
      <c r="B55">
        <v>1496333.5446502434</v>
      </c>
      <c r="C55">
        <v>93687.152366574257</v>
      </c>
      <c r="D55">
        <v>90842.954731856546</v>
      </c>
      <c r="E55">
        <v>188444.90170055567</v>
      </c>
      <c r="F55">
        <v>49046.185502346154</v>
      </c>
      <c r="G55">
        <v>10000</v>
      </c>
      <c r="H55">
        <v>412021.19430133258</v>
      </c>
      <c r="I55">
        <v>35.179551375630588</v>
      </c>
    </row>
    <row r="56" spans="1:9" x14ac:dyDescent="0.2">
      <c r="A56">
        <v>51</v>
      </c>
      <c r="B56">
        <v>1075431.5182519418</v>
      </c>
      <c r="C56">
        <v>108072.64649340302</v>
      </c>
      <c r="D56">
        <v>100391.23898199704</v>
      </c>
      <c r="E56">
        <v>58176.024073114415</v>
      </c>
      <c r="F56">
        <v>40027.570897369464</v>
      </c>
      <c r="G56">
        <v>10000</v>
      </c>
      <c r="H56">
        <v>296667.48044588399</v>
      </c>
      <c r="I56">
        <v>33.100745223806754</v>
      </c>
    </row>
    <row r="57" spans="1:9" x14ac:dyDescent="0.2">
      <c r="A57">
        <v>52</v>
      </c>
      <c r="B57">
        <v>1540142.851571593</v>
      </c>
      <c r="C57">
        <v>128703.15657060979</v>
      </c>
      <c r="D57">
        <v>50985.156109633055</v>
      </c>
      <c r="E57">
        <v>204202.31285630006</v>
      </c>
      <c r="F57">
        <v>50137.08319774385</v>
      </c>
      <c r="G57">
        <v>10000</v>
      </c>
      <c r="H57">
        <v>424027.70873428677</v>
      </c>
      <c r="I57">
        <v>36.891212092664396</v>
      </c>
    </row>
    <row r="58" spans="1:9" x14ac:dyDescent="0.2">
      <c r="A58">
        <v>53</v>
      </c>
      <c r="B58">
        <v>1556570.7556558703</v>
      </c>
      <c r="C58">
        <v>109200.78499756395</v>
      </c>
      <c r="D58">
        <v>90104.810556145138</v>
      </c>
      <c r="E58">
        <v>190065.98139247953</v>
      </c>
      <c r="F58">
        <v>49158.414096402426</v>
      </c>
      <c r="G58">
        <v>10000</v>
      </c>
      <c r="H58">
        <v>428529.99104259099</v>
      </c>
      <c r="I58">
        <v>29.709797650122439</v>
      </c>
    </row>
    <row r="59" spans="1:9" x14ac:dyDescent="0.2">
      <c r="A59">
        <v>54</v>
      </c>
      <c r="B59">
        <v>1309111.1860240283</v>
      </c>
      <c r="C59">
        <v>118746.78567110261</v>
      </c>
      <c r="D59">
        <v>74885.108502214483</v>
      </c>
      <c r="E59">
        <v>131943.97722632287</v>
      </c>
      <c r="F59">
        <v>45134.583038745426</v>
      </c>
      <c r="G59">
        <v>10000</v>
      </c>
      <c r="H59">
        <v>360710.45443838544</v>
      </c>
      <c r="I59">
        <v>29.283596128192158</v>
      </c>
    </row>
    <row r="60" spans="1:9" x14ac:dyDescent="0.2">
      <c r="A60">
        <v>55</v>
      </c>
      <c r="B60">
        <v>1439157.1987110004</v>
      </c>
      <c r="C60">
        <v>142791.30748698479</v>
      </c>
      <c r="D60">
        <v>164742.86626325647</v>
      </c>
      <c r="E60">
        <v>58749.8001218676</v>
      </c>
      <c r="F60">
        <v>40067.29385459084</v>
      </c>
      <c r="G60">
        <v>10000</v>
      </c>
      <c r="H60">
        <v>396351.26772669976</v>
      </c>
      <c r="I60">
        <v>35.12370724343657</v>
      </c>
    </row>
    <row r="61" spans="1:9" x14ac:dyDescent="0.2">
      <c r="A61">
        <v>56</v>
      </c>
      <c r="B61">
        <v>1545528.412288215</v>
      </c>
      <c r="C61">
        <v>110886.05733948066</v>
      </c>
      <c r="D61">
        <v>115938.27976152381</v>
      </c>
      <c r="E61">
        <v>161498.67742673177</v>
      </c>
      <c r="F61">
        <v>47180.677668004508</v>
      </c>
      <c r="G61">
        <v>10000</v>
      </c>
      <c r="H61">
        <v>425503.69219574076</v>
      </c>
      <c r="I61">
        <v>36.047085151288314</v>
      </c>
    </row>
    <row r="62" spans="1:9" x14ac:dyDescent="0.2">
      <c r="A62">
        <v>57</v>
      </c>
      <c r="B62">
        <v>1204193.4071616549</v>
      </c>
      <c r="C62">
        <v>130505.52163573435</v>
      </c>
      <c r="D62">
        <v>62590.423328459256</v>
      </c>
      <c r="E62">
        <v>105552.90875974474</v>
      </c>
      <c r="F62">
        <v>43307.509067982333</v>
      </c>
      <c r="G62">
        <v>10000</v>
      </c>
      <c r="H62">
        <v>331956.36279192066</v>
      </c>
      <c r="I62">
        <v>28.81160280312756</v>
      </c>
    </row>
    <row r="63" spans="1:9" x14ac:dyDescent="0.2">
      <c r="A63">
        <v>58</v>
      </c>
      <c r="B63">
        <v>1063691.0445913482</v>
      </c>
      <c r="C63">
        <v>102584.02990220534</v>
      </c>
      <c r="D63">
        <v>103258.01412342755</v>
      </c>
      <c r="E63">
        <v>57618.811200061718</v>
      </c>
      <c r="F63">
        <v>39988.994621542734</v>
      </c>
      <c r="G63">
        <v>10000</v>
      </c>
      <c r="H63">
        <v>293449.84984723735</v>
      </c>
      <c r="I63">
        <v>24.396458072175502</v>
      </c>
    </row>
    <row r="64" spans="1:9" x14ac:dyDescent="0.2">
      <c r="A64">
        <v>59</v>
      </c>
      <c r="B64">
        <v>1159864.4470875959</v>
      </c>
      <c r="C64">
        <v>99201.182833712432</v>
      </c>
      <c r="D64">
        <v>97443.763260671112</v>
      </c>
      <c r="E64">
        <v>90871.388391574801</v>
      </c>
      <c r="F64">
        <v>42291.09611941671</v>
      </c>
      <c r="G64">
        <v>10000</v>
      </c>
      <c r="H64">
        <v>319807.43060537503</v>
      </c>
      <c r="I64">
        <v>36.059273759832557</v>
      </c>
    </row>
    <row r="65" spans="1:9" x14ac:dyDescent="0.2">
      <c r="A65">
        <v>60</v>
      </c>
      <c r="B65">
        <v>1345688.2994408179</v>
      </c>
      <c r="C65">
        <v>143321.42634012285</v>
      </c>
      <c r="D65">
        <v>49945.230583312623</v>
      </c>
      <c r="E65">
        <v>141660.93881706454</v>
      </c>
      <c r="F65">
        <v>45807.295764258313</v>
      </c>
      <c r="G65">
        <v>10000</v>
      </c>
      <c r="H65">
        <v>370734.89150475833</v>
      </c>
      <c r="I65">
        <v>27.237629790556781</v>
      </c>
    </row>
    <row r="66" spans="1:9" x14ac:dyDescent="0.2">
      <c r="A66">
        <v>61</v>
      </c>
      <c r="B66">
        <v>1286739.5021548145</v>
      </c>
      <c r="C66">
        <v>134922.03493456755</v>
      </c>
      <c r="D66">
        <v>137637.54573642905</v>
      </c>
      <c r="E66">
        <v>52392.451060852836</v>
      </c>
      <c r="F66">
        <v>39627.169688828275</v>
      </c>
      <c r="G66">
        <v>10000</v>
      </c>
      <c r="H66">
        <v>354579.20142067771</v>
      </c>
      <c r="I66">
        <v>42.664712715188678</v>
      </c>
    </row>
    <row r="67" spans="1:9" x14ac:dyDescent="0.2">
      <c r="A67">
        <v>62</v>
      </c>
      <c r="B67">
        <v>1558441.3564625536</v>
      </c>
      <c r="C67">
        <v>87614.651628939173</v>
      </c>
      <c r="D67">
        <v>109975.08826381621</v>
      </c>
      <c r="E67">
        <v>192150.20715525432</v>
      </c>
      <c r="F67">
        <v>49302.706649209911</v>
      </c>
      <c r="G67">
        <v>10000</v>
      </c>
      <c r="H67">
        <v>429042.65369721962</v>
      </c>
      <c r="I67">
        <v>45.668662211743168</v>
      </c>
    </row>
    <row r="68" spans="1:9" x14ac:dyDescent="0.2">
      <c r="A68">
        <v>63</v>
      </c>
      <c r="B68">
        <v>1330432.9795409655</v>
      </c>
      <c r="C68">
        <v>110047.19919435352</v>
      </c>
      <c r="D68">
        <v>128564.28100685547</v>
      </c>
      <c r="E68">
        <v>95341.89810526697</v>
      </c>
      <c r="F68">
        <v>42600.592945749253</v>
      </c>
      <c r="G68">
        <v>10000</v>
      </c>
      <c r="H68">
        <v>366553.97125222516</v>
      </c>
      <c r="I68">
        <v>29.018850711049151</v>
      </c>
    </row>
    <row r="69" spans="1:9" x14ac:dyDescent="0.2">
      <c r="A69">
        <v>64</v>
      </c>
      <c r="B69">
        <v>1215480.8353280022</v>
      </c>
      <c r="C69">
        <v>156770.82402787972</v>
      </c>
      <c r="D69">
        <v>122079.40959775276</v>
      </c>
      <c r="E69">
        <v>28244.227141335621</v>
      </c>
      <c r="F69">
        <v>37955.369571323237</v>
      </c>
      <c r="G69">
        <v>10000</v>
      </c>
      <c r="H69">
        <v>335049.8303382913</v>
      </c>
      <c r="I69">
        <v>24.901285464434761</v>
      </c>
    </row>
    <row r="70" spans="1:9" x14ac:dyDescent="0.2">
      <c r="A70">
        <v>65</v>
      </c>
      <c r="B70">
        <v>1704445.657544178</v>
      </c>
      <c r="C70">
        <v>146584.54862069921</v>
      </c>
      <c r="D70">
        <v>157193.04070642899</v>
      </c>
      <c r="E70">
        <v>130261.36138556278</v>
      </c>
      <c r="F70">
        <v>45018.094249769732</v>
      </c>
      <c r="G70">
        <v>10000</v>
      </c>
      <c r="H70">
        <v>469057.0449624607</v>
      </c>
      <c r="I70">
        <v>25.725798790905028</v>
      </c>
    </row>
    <row r="71" spans="1:9" x14ac:dyDescent="0.2">
      <c r="A71">
        <v>66</v>
      </c>
      <c r="B71">
        <v>1285855.1064961236</v>
      </c>
      <c r="C71">
        <v>133930.09986980067</v>
      </c>
      <c r="D71">
        <v>75251.719777218328</v>
      </c>
      <c r="E71">
        <v>111439.92951508069</v>
      </c>
      <c r="F71">
        <v>43715.072043351742</v>
      </c>
      <c r="G71">
        <v>10000</v>
      </c>
      <c r="H71">
        <v>354336.82120545139</v>
      </c>
      <c r="I71">
        <v>30.473223800301906</v>
      </c>
    </row>
    <row r="72" spans="1:9" x14ac:dyDescent="0.2">
      <c r="A72">
        <v>67</v>
      </c>
      <c r="B72">
        <v>1215538.717879494</v>
      </c>
      <c r="C72">
        <v>81599.417088231479</v>
      </c>
      <c r="D72">
        <v>61333.532962118545</v>
      </c>
      <c r="E72">
        <v>155375.94740087615</v>
      </c>
      <c r="F72">
        <v>46756.796358522188</v>
      </c>
      <c r="G72">
        <v>10000</v>
      </c>
      <c r="H72">
        <v>335065.69380974834</v>
      </c>
      <c r="I72">
        <v>34.097956811972828</v>
      </c>
    </row>
    <row r="73" spans="1:9" x14ac:dyDescent="0.2">
      <c r="A73">
        <v>68</v>
      </c>
      <c r="B73">
        <v>994874.63264040428</v>
      </c>
      <c r="C73">
        <v>113893.98539116084</v>
      </c>
      <c r="D73">
        <v>28797.839171791453</v>
      </c>
      <c r="E73">
        <v>99041.282003734203</v>
      </c>
      <c r="F73">
        <v>42856.704138720059</v>
      </c>
      <c r="G73">
        <v>10000</v>
      </c>
      <c r="H73">
        <v>274589.81070540659</v>
      </c>
      <c r="I73">
        <v>41.288044574141963</v>
      </c>
    </row>
    <row r="74" spans="1:9" x14ac:dyDescent="0.2">
      <c r="A74">
        <v>69</v>
      </c>
      <c r="B74">
        <v>1519719.0301205395</v>
      </c>
      <c r="C74">
        <v>165621.21002719222</v>
      </c>
      <c r="D74">
        <v>63663.793162877279</v>
      </c>
      <c r="E74">
        <v>152581.92565409161</v>
      </c>
      <c r="F74">
        <v>46563.364083744811</v>
      </c>
      <c r="G74">
        <v>10000</v>
      </c>
      <c r="H74">
        <v>418430.29292790592</v>
      </c>
      <c r="I74">
        <v>42.411371563180793</v>
      </c>
    </row>
    <row r="75" spans="1:9" x14ac:dyDescent="0.2">
      <c r="A75">
        <v>70</v>
      </c>
      <c r="B75">
        <v>846658.87446544878</v>
      </c>
      <c r="C75">
        <v>97083.341076090655</v>
      </c>
      <c r="D75">
        <v>79701.203914938582</v>
      </c>
      <c r="E75">
        <v>29165.636232680539</v>
      </c>
      <c r="F75">
        <v>38019.159431493266</v>
      </c>
      <c r="G75">
        <v>10000</v>
      </c>
      <c r="H75">
        <v>233969.34065520304</v>
      </c>
      <c r="I75">
        <v>39.191015570569178</v>
      </c>
    </row>
    <row r="76" spans="1:9" x14ac:dyDescent="0.2">
      <c r="A76">
        <v>71</v>
      </c>
      <c r="B76">
        <v>1210714.5524192681</v>
      </c>
      <c r="C76">
        <v>118848.85760871012</v>
      </c>
      <c r="D76">
        <v>81031.199687446511</v>
      </c>
      <c r="E76">
        <v>100879.54245240844</v>
      </c>
      <c r="F76">
        <v>42983.96832362828</v>
      </c>
      <c r="G76">
        <v>10000</v>
      </c>
      <c r="H76">
        <v>333743.56807219342</v>
      </c>
      <c r="I76">
        <v>33.536343253052038</v>
      </c>
    </row>
    <row r="77" spans="1:9" x14ac:dyDescent="0.2">
      <c r="A77">
        <v>72</v>
      </c>
      <c r="B77">
        <v>1271663.7424372793</v>
      </c>
      <c r="C77">
        <v>102142.55538362441</v>
      </c>
      <c r="D77">
        <v>40478.520671245082</v>
      </c>
      <c r="E77">
        <v>170053.48252759487</v>
      </c>
      <c r="F77">
        <v>47772.933405756565</v>
      </c>
      <c r="G77">
        <v>10000</v>
      </c>
      <c r="H77">
        <v>350447.49198822089</v>
      </c>
      <c r="I77">
        <v>29.60457453933186</v>
      </c>
    </row>
    <row r="78" spans="1:9" x14ac:dyDescent="0.2">
      <c r="A78">
        <v>73</v>
      </c>
      <c r="B78">
        <v>1622673.1777628302</v>
      </c>
      <c r="C78">
        <v>94899.276370175983</v>
      </c>
      <c r="D78">
        <v>124802.69726762298</v>
      </c>
      <c r="E78">
        <v>187933.4731669591</v>
      </c>
      <c r="F78">
        <v>49010.778911558715</v>
      </c>
      <c r="G78">
        <v>10000</v>
      </c>
      <c r="H78">
        <v>446646.22571631678</v>
      </c>
      <c r="I78">
        <v>35.877162133428911</v>
      </c>
    </row>
    <row r="79" spans="1:9" x14ac:dyDescent="0.2">
      <c r="A79">
        <v>74</v>
      </c>
      <c r="B79">
        <v>1581100.6380098907</v>
      </c>
      <c r="C79">
        <v>104769.69093048437</v>
      </c>
      <c r="D79">
        <v>124811.43234672825</v>
      </c>
      <c r="E79">
        <v>168038.19018226734</v>
      </c>
      <c r="F79">
        <v>47633.413166464663</v>
      </c>
      <c r="G79">
        <v>10000</v>
      </c>
      <c r="H79">
        <v>435252.7266259446</v>
      </c>
      <c r="I79">
        <v>35.508986914302994</v>
      </c>
    </row>
    <row r="80" spans="1:9" x14ac:dyDescent="0.2">
      <c r="A80">
        <v>75</v>
      </c>
      <c r="B80">
        <v>1034475.4041980586</v>
      </c>
      <c r="C80">
        <v>107001.51928283405</v>
      </c>
      <c r="D80">
        <v>75245.039084431075</v>
      </c>
      <c r="E80">
        <v>72198.03689464886</v>
      </c>
      <c r="F80">
        <v>40998.325631168002</v>
      </c>
      <c r="G80">
        <v>10000</v>
      </c>
      <c r="H80">
        <v>285442.92089308199</v>
      </c>
      <c r="I80">
        <v>39.466605515486378</v>
      </c>
    </row>
    <row r="81" spans="1:9" x14ac:dyDescent="0.2">
      <c r="A81">
        <v>76</v>
      </c>
      <c r="B81">
        <v>1075959.3123227365</v>
      </c>
      <c r="C81">
        <v>125109.7787041866</v>
      </c>
      <c r="D81">
        <v>103956.62899227413</v>
      </c>
      <c r="E81">
        <v>39042.761235059799</v>
      </c>
      <c r="F81">
        <v>38702.960393196445</v>
      </c>
      <c r="G81">
        <v>10000</v>
      </c>
      <c r="H81">
        <v>296812.12932471698</v>
      </c>
      <c r="I81">
        <v>43.525336172493525</v>
      </c>
    </row>
    <row r="82" spans="1:9" x14ac:dyDescent="0.2">
      <c r="A82">
        <v>77</v>
      </c>
      <c r="B82">
        <v>1229850.7919676472</v>
      </c>
      <c r="C82">
        <v>98575.984145145616</v>
      </c>
      <c r="D82">
        <v>102540.45335091575</v>
      </c>
      <c r="E82">
        <v>104628.17842040716</v>
      </c>
      <c r="F82">
        <v>43243.489275258959</v>
      </c>
      <c r="G82">
        <v>10000</v>
      </c>
      <c r="H82">
        <v>338988.10519172752</v>
      </c>
      <c r="I82">
        <v>38.123962798831414</v>
      </c>
    </row>
    <row r="83" spans="1:9" x14ac:dyDescent="0.2">
      <c r="A83">
        <v>78</v>
      </c>
      <c r="B83">
        <v>1421316.1670543193</v>
      </c>
      <c r="C83">
        <v>127050.98080075886</v>
      </c>
      <c r="D83">
        <v>97352.444647951066</v>
      </c>
      <c r="E83">
        <v>131925.00431779583</v>
      </c>
      <c r="F83">
        <v>45133.269529693556</v>
      </c>
      <c r="G83">
        <v>10000</v>
      </c>
      <c r="H83">
        <v>391461.69929619925</v>
      </c>
      <c r="I83">
        <v>49.439733686756192</v>
      </c>
    </row>
    <row r="84" spans="1:9" x14ac:dyDescent="0.2">
      <c r="A84">
        <v>79</v>
      </c>
      <c r="B84">
        <v>1541860.6229686565</v>
      </c>
      <c r="C84">
        <v>96474.814516621816</v>
      </c>
      <c r="D84">
        <v>108360.13057635367</v>
      </c>
      <c r="E84">
        <v>181124.17540471826</v>
      </c>
      <c r="F84">
        <v>48539.365989557416</v>
      </c>
      <c r="G84">
        <v>10000</v>
      </c>
      <c r="H84">
        <v>424498.48648725118</v>
      </c>
      <c r="I84">
        <v>31.915060949066774</v>
      </c>
    </row>
    <row r="85" spans="1:9" x14ac:dyDescent="0.2">
      <c r="A85">
        <v>80</v>
      </c>
      <c r="B85">
        <v>1612045.4902734694</v>
      </c>
      <c r="C85">
        <v>84633.560361167518</v>
      </c>
      <c r="D85">
        <v>155760.66223966851</v>
      </c>
      <c r="E85">
        <v>165856.94243662682</v>
      </c>
      <c r="F85">
        <v>47482.403707151083</v>
      </c>
      <c r="G85">
        <v>10000</v>
      </c>
      <c r="H85">
        <v>443733.56874461391</v>
      </c>
      <c r="I85">
        <v>24.966993917184954</v>
      </c>
    </row>
    <row r="86" spans="1:9" x14ac:dyDescent="0.2">
      <c r="A86">
        <v>81</v>
      </c>
      <c r="B86">
        <v>1592018.5768226944</v>
      </c>
      <c r="C86">
        <v>166056.4318040479</v>
      </c>
      <c r="D86">
        <v>74706.068849649062</v>
      </c>
      <c r="E86">
        <v>160379.25119251595</v>
      </c>
      <c r="F86">
        <v>47103.178928712645</v>
      </c>
      <c r="G86">
        <v>10000</v>
      </c>
      <c r="H86">
        <v>438244.93077492551</v>
      </c>
      <c r="I86">
        <v>39.485749564049229</v>
      </c>
    </row>
    <row r="87" spans="1:9" x14ac:dyDescent="0.2">
      <c r="A87">
        <v>82</v>
      </c>
      <c r="B87">
        <v>1622072.794932822</v>
      </c>
      <c r="C87">
        <v>116849.73042122117</v>
      </c>
      <c r="D87">
        <v>138593.56994604555</v>
      </c>
      <c r="E87">
        <v>154352.44413011556</v>
      </c>
      <c r="F87">
        <v>46685.93843977723</v>
      </c>
      <c r="G87">
        <v>10000</v>
      </c>
      <c r="H87">
        <v>446481.68293715955</v>
      </c>
      <c r="I87">
        <v>28.462564297749601</v>
      </c>
    </row>
    <row r="88" spans="1:9" x14ac:dyDescent="0.2">
      <c r="A88">
        <v>83</v>
      </c>
      <c r="B88">
        <v>1089073.1136673565</v>
      </c>
      <c r="C88">
        <v>88208.716054954959</v>
      </c>
      <c r="D88">
        <v>110313.97482834377</v>
      </c>
      <c r="E88">
        <v>70970.130738094129</v>
      </c>
      <c r="F88">
        <v>40913.316743406518</v>
      </c>
      <c r="G88">
        <v>10000</v>
      </c>
      <c r="H88">
        <v>300406.13836479938</v>
      </c>
      <c r="I88">
        <v>36.994040722353745</v>
      </c>
    </row>
    <row r="89" spans="1:9" x14ac:dyDescent="0.2">
      <c r="A89">
        <v>84</v>
      </c>
      <c r="B89">
        <v>1167006.5754034724</v>
      </c>
      <c r="C89">
        <v>122812.1722553302</v>
      </c>
      <c r="D89">
        <v>103457.17535186165</v>
      </c>
      <c r="E89">
        <v>64995.769687783766</v>
      </c>
      <c r="F89">
        <v>40499.707132231182</v>
      </c>
      <c r="G89">
        <v>10000</v>
      </c>
      <c r="H89">
        <v>321764.82442720677</v>
      </c>
      <c r="I89">
        <v>25.309599815334682</v>
      </c>
    </row>
    <row r="90" spans="1:9" x14ac:dyDescent="0.2">
      <c r="A90">
        <v>85</v>
      </c>
      <c r="B90">
        <v>1260690.5838333243</v>
      </c>
      <c r="C90">
        <v>117549.08981649358</v>
      </c>
      <c r="D90">
        <v>85281.053598912535</v>
      </c>
      <c r="E90">
        <v>110930.22585017767</v>
      </c>
      <c r="F90">
        <v>43679.784866550763</v>
      </c>
      <c r="G90">
        <v>10000</v>
      </c>
      <c r="H90">
        <v>347440.15413213457</v>
      </c>
      <c r="I90">
        <v>28.067375646859166</v>
      </c>
    </row>
    <row r="91" spans="1:9" x14ac:dyDescent="0.2">
      <c r="A91">
        <v>86</v>
      </c>
      <c r="B91">
        <v>1269550.0585425291</v>
      </c>
      <c r="C91">
        <v>127780.9321609434</v>
      </c>
      <c r="D91">
        <v>91205.072106705993</v>
      </c>
      <c r="E91">
        <v>98091.270827246437</v>
      </c>
      <c r="F91">
        <v>42790.934134193987</v>
      </c>
      <c r="G91">
        <v>10000</v>
      </c>
      <c r="H91">
        <v>349868.20922908979</v>
      </c>
      <c r="I91">
        <v>36.210808332550627</v>
      </c>
    </row>
    <row r="92" spans="1:9" x14ac:dyDescent="0.2">
      <c r="A92">
        <v>87</v>
      </c>
      <c r="B92">
        <v>1284375.7363383102</v>
      </c>
      <c r="C92">
        <v>88802.001098955603</v>
      </c>
      <c r="D92">
        <v>156880.79015261744</v>
      </c>
      <c r="E92">
        <v>76923.14096291014</v>
      </c>
      <c r="F92">
        <v>41325.448220509163</v>
      </c>
      <c r="G92">
        <v>10000</v>
      </c>
      <c r="H92">
        <v>353931.38043499232</v>
      </c>
      <c r="I92">
        <v>31.688401106690748</v>
      </c>
    </row>
    <row r="93" spans="1:9" x14ac:dyDescent="0.2">
      <c r="A93">
        <v>88</v>
      </c>
      <c r="B93">
        <v>1505206.8685776549</v>
      </c>
      <c r="C93">
        <v>102342.05444224611</v>
      </c>
      <c r="D93">
        <v>66597.46635353865</v>
      </c>
      <c r="E93">
        <v>205300.41828116396</v>
      </c>
      <c r="F93">
        <v>50213.105881003663</v>
      </c>
      <c r="G93">
        <v>10000</v>
      </c>
      <c r="H93">
        <v>414453.0449579524</v>
      </c>
      <c r="I93">
        <v>47.864041062294362</v>
      </c>
    </row>
    <row r="94" spans="1:9" x14ac:dyDescent="0.2">
      <c r="A94">
        <v>89</v>
      </c>
      <c r="B94">
        <v>940084.43282918108</v>
      </c>
      <c r="C94">
        <v>152080.28444005636</v>
      </c>
      <c r="D94">
        <v>46921.49793910842</v>
      </c>
      <c r="E94">
        <v>32333.577885813625</v>
      </c>
      <c r="F94">
        <v>38238.478469017864</v>
      </c>
      <c r="G94">
        <v>10000</v>
      </c>
      <c r="H94">
        <v>259573.83873399626</v>
      </c>
      <c r="I94">
        <v>32.437244349843496</v>
      </c>
    </row>
    <row r="95" spans="1:9" x14ac:dyDescent="0.2">
      <c r="A95">
        <v>90</v>
      </c>
      <c r="B95">
        <v>1015876.1533786736</v>
      </c>
      <c r="C95">
        <v>147775.07910323137</v>
      </c>
      <c r="D95">
        <v>59136.812167328833</v>
      </c>
      <c r="E95">
        <v>44362.417041616427</v>
      </c>
      <c r="F95">
        <v>39071.244256727288</v>
      </c>
      <c r="G95">
        <v>10000</v>
      </c>
      <c r="H95">
        <v>280345.55256890395</v>
      </c>
      <c r="I95">
        <v>34.985528030533487</v>
      </c>
    </row>
    <row r="96" spans="1:9" x14ac:dyDescent="0.2">
      <c r="A96">
        <v>91</v>
      </c>
      <c r="B96">
        <v>1054338.3387550563</v>
      </c>
      <c r="C96">
        <v>88753.398952564516</v>
      </c>
      <c r="D96">
        <v>92704.060136009415</v>
      </c>
      <c r="E96">
        <v>78027.271203923054</v>
      </c>
      <c r="F96">
        <v>41401.888006425441</v>
      </c>
      <c r="G96">
        <v>10000</v>
      </c>
      <c r="H96">
        <v>290886.61829892243</v>
      </c>
      <c r="I96">
        <v>30.510512187752084</v>
      </c>
    </row>
    <row r="97" spans="1:9" x14ac:dyDescent="0.2">
      <c r="A97">
        <v>92</v>
      </c>
      <c r="B97">
        <v>912201.80671461578</v>
      </c>
      <c r="C97">
        <v>101090.34912617592</v>
      </c>
      <c r="D97">
        <v>81887.80538580328</v>
      </c>
      <c r="E97">
        <v>40172.885525357087</v>
      </c>
      <c r="F97">
        <v>38781.199767140104</v>
      </c>
      <c r="G97">
        <v>10000</v>
      </c>
      <c r="H97">
        <v>251932.23980447638</v>
      </c>
      <c r="I97">
        <v>43.807901109683684</v>
      </c>
    </row>
    <row r="98" spans="1:9" x14ac:dyDescent="0.2">
      <c r="A98">
        <v>93</v>
      </c>
      <c r="B98">
        <v>1399304.5946754687</v>
      </c>
      <c r="C98">
        <v>98374.728693614685</v>
      </c>
      <c r="D98">
        <v>120068.36793989301</v>
      </c>
      <c r="E98">
        <v>131857.45020932611</v>
      </c>
      <c r="F98">
        <v>45128.592706799507</v>
      </c>
      <c r="G98">
        <v>10000</v>
      </c>
      <c r="H98">
        <v>385429.13954963331</v>
      </c>
      <c r="I98">
        <v>45.201814202025687</v>
      </c>
    </row>
    <row r="99" spans="1:9" x14ac:dyDescent="0.2">
      <c r="A99">
        <v>94</v>
      </c>
      <c r="B99">
        <v>1512814.5877685554</v>
      </c>
      <c r="C99">
        <v>105246.12167167087</v>
      </c>
      <c r="D99">
        <v>69017.872100966313</v>
      </c>
      <c r="E99">
        <v>202270.69077048142</v>
      </c>
      <c r="F99">
        <v>50003.355514879484</v>
      </c>
      <c r="G99">
        <v>10000</v>
      </c>
      <c r="H99">
        <v>416538.04005799803</v>
      </c>
      <c r="I99">
        <v>43.460196173324363</v>
      </c>
    </row>
    <row r="100" spans="1:9" x14ac:dyDescent="0.2">
      <c r="A100">
        <v>95</v>
      </c>
      <c r="B100">
        <v>1270379.099891216</v>
      </c>
      <c r="C100">
        <v>115453.00592874315</v>
      </c>
      <c r="D100">
        <v>56152.193555889899</v>
      </c>
      <c r="E100">
        <v>142616.75194366981</v>
      </c>
      <c r="F100">
        <v>45873.46744225407</v>
      </c>
      <c r="G100">
        <v>10000</v>
      </c>
      <c r="H100">
        <v>350095.41887055692</v>
      </c>
      <c r="I100">
        <v>30.614963837692414</v>
      </c>
    </row>
    <row r="101" spans="1:9" x14ac:dyDescent="0.2">
      <c r="A101">
        <v>96</v>
      </c>
      <c r="B101">
        <v>1220826.6214911758</v>
      </c>
      <c r="C101">
        <v>105689.39158988409</v>
      </c>
      <c r="D101">
        <v>104453.14637125224</v>
      </c>
      <c r="E101">
        <v>93873.444339268332</v>
      </c>
      <c r="F101">
        <v>42498.930761949348</v>
      </c>
      <c r="G101">
        <v>10000</v>
      </c>
      <c r="H101">
        <v>336514.91306235397</v>
      </c>
      <c r="I101">
        <v>43.638097502860759</v>
      </c>
    </row>
    <row r="102" spans="1:9" x14ac:dyDescent="0.2">
      <c r="A102">
        <v>97</v>
      </c>
      <c r="B102">
        <v>856957.14797162462</v>
      </c>
      <c r="C102">
        <v>103240.25571995764</v>
      </c>
      <c r="D102">
        <v>59538.201826357981</v>
      </c>
      <c r="E102">
        <v>44904.487642034896</v>
      </c>
      <c r="F102">
        <v>39108.772221371648</v>
      </c>
      <c r="G102">
        <v>10000</v>
      </c>
      <c r="H102">
        <v>236791.71740972216</v>
      </c>
      <c r="I102">
        <v>41.315291497744582</v>
      </c>
    </row>
    <row r="103" spans="1:9" x14ac:dyDescent="0.2">
      <c r="A103">
        <v>98</v>
      </c>
      <c r="B103">
        <v>1717210.5811532717</v>
      </c>
      <c r="C103">
        <v>113976.95295412053</v>
      </c>
      <c r="D103">
        <v>112793.52808798845</v>
      </c>
      <c r="E103">
        <v>205554.27768420705</v>
      </c>
      <c r="F103">
        <v>50230.680762752796</v>
      </c>
      <c r="G103">
        <v>10000</v>
      </c>
      <c r="H103">
        <v>472555.43948906881</v>
      </c>
      <c r="I103">
        <v>33.278652762120814</v>
      </c>
    </row>
    <row r="104" spans="1:9" x14ac:dyDescent="0.2">
      <c r="A104">
        <v>99</v>
      </c>
      <c r="B104">
        <v>1552598.6825495495</v>
      </c>
      <c r="C104">
        <v>78971.576127817607</v>
      </c>
      <c r="D104">
        <v>105482.24329940249</v>
      </c>
      <c r="E104">
        <v>202938.01786617242</v>
      </c>
      <c r="F104">
        <v>50049.555083042709</v>
      </c>
      <c r="G104">
        <v>10000</v>
      </c>
      <c r="H104">
        <v>427441.39237643522</v>
      </c>
      <c r="I104">
        <v>26.160855477031461</v>
      </c>
    </row>
    <row r="105" spans="1:9" x14ac:dyDescent="0.2">
      <c r="A105">
        <v>100</v>
      </c>
      <c r="B105">
        <v>1580766.7417691441</v>
      </c>
      <c r="C105">
        <v>107940.76434904564</v>
      </c>
      <c r="D105">
        <v>91182.618993131589</v>
      </c>
      <c r="E105">
        <v>196438.26261779846</v>
      </c>
      <c r="F105">
        <v>49599.572027386042</v>
      </c>
      <c r="G105">
        <v>10000</v>
      </c>
      <c r="H105">
        <v>435161.21798736171</v>
      </c>
      <c r="I105">
        <v>49.300348733463657</v>
      </c>
    </row>
    <row r="106" spans="1:9" x14ac:dyDescent="0.2">
      <c r="A106">
        <v>101</v>
      </c>
      <c r="B106">
        <v>1717016.654234631</v>
      </c>
      <c r="C106">
        <v>145040.32527337823</v>
      </c>
      <c r="D106">
        <v>96070.723811935415</v>
      </c>
      <c r="E106">
        <v>192092.52866821134</v>
      </c>
      <c r="F106">
        <v>49298.713523183862</v>
      </c>
      <c r="G106">
        <v>10000</v>
      </c>
      <c r="H106">
        <v>472502.29127670883</v>
      </c>
      <c r="I106">
        <v>37.83863822104567</v>
      </c>
    </row>
    <row r="107" spans="1:9" x14ac:dyDescent="0.2">
      <c r="A107">
        <v>102</v>
      </c>
      <c r="B107">
        <v>1699676.915176722</v>
      </c>
      <c r="C107">
        <v>130027.4924922754</v>
      </c>
      <c r="D107">
        <v>110754.39584463771</v>
      </c>
      <c r="E107">
        <v>187955.88950096458</v>
      </c>
      <c r="F107">
        <v>49012.330811605236</v>
      </c>
      <c r="G107">
        <v>10000</v>
      </c>
      <c r="H107">
        <v>467750.10864948295</v>
      </c>
      <c r="I107">
        <v>33.685459971789925</v>
      </c>
    </row>
    <row r="108" spans="1:9" x14ac:dyDescent="0.2">
      <c r="A108">
        <v>103</v>
      </c>
      <c r="B108">
        <v>1504802.6806703035</v>
      </c>
      <c r="C108">
        <v>107530.90290778734</v>
      </c>
      <c r="D108">
        <v>61424.229942126243</v>
      </c>
      <c r="E108">
        <v>205182.21644078189</v>
      </c>
      <c r="F108">
        <v>50204.922676669514</v>
      </c>
      <c r="G108">
        <v>10000</v>
      </c>
      <c r="H108">
        <v>414342.271967365</v>
      </c>
      <c r="I108">
        <v>34.906650331811448</v>
      </c>
    </row>
    <row r="109" spans="1:9" x14ac:dyDescent="0.2">
      <c r="A109">
        <v>104</v>
      </c>
      <c r="B109">
        <v>1519295.2782315766</v>
      </c>
      <c r="C109">
        <v>105126.03668983579</v>
      </c>
      <c r="D109">
        <v>95270.038512573286</v>
      </c>
      <c r="E109">
        <v>179491.73227360914</v>
      </c>
      <c r="F109">
        <v>48426.350695865251</v>
      </c>
      <c r="G109">
        <v>10000</v>
      </c>
      <c r="H109">
        <v>418314.15817188343</v>
      </c>
      <c r="I109">
        <v>35.601494011624538</v>
      </c>
    </row>
    <row r="110" spans="1:9" x14ac:dyDescent="0.2">
      <c r="A110">
        <v>105</v>
      </c>
      <c r="B110">
        <v>1020300.5778610319</v>
      </c>
      <c r="C110">
        <v>142271.85782697034</v>
      </c>
      <c r="D110">
        <v>74954.788317657178</v>
      </c>
      <c r="E110">
        <v>35849.583657321535</v>
      </c>
      <c r="F110">
        <v>38481.894253199178</v>
      </c>
      <c r="G110">
        <v>10000</v>
      </c>
      <c r="H110">
        <v>281558.12405514822</v>
      </c>
      <c r="I110">
        <v>25.523976485046894</v>
      </c>
    </row>
    <row r="111" spans="1:9" x14ac:dyDescent="0.2">
      <c r="A111">
        <v>106</v>
      </c>
      <c r="B111">
        <v>861023.35924994806</v>
      </c>
      <c r="C111">
        <v>100128.96442057921</v>
      </c>
      <c r="D111">
        <v>66113.966812038445</v>
      </c>
      <c r="E111">
        <v>42706.575564873419</v>
      </c>
      <c r="F111">
        <v>38956.609077568159</v>
      </c>
      <c r="G111">
        <v>10000</v>
      </c>
      <c r="H111">
        <v>237906.11587505921</v>
      </c>
      <c r="I111">
        <v>34.574577547244303</v>
      </c>
    </row>
    <row r="112" spans="1:9" x14ac:dyDescent="0.2">
      <c r="A112">
        <v>107</v>
      </c>
      <c r="B112">
        <v>1475039.7169552597</v>
      </c>
      <c r="C112">
        <v>113920.74474669446</v>
      </c>
      <c r="D112">
        <v>142361.66410228054</v>
      </c>
      <c r="E112">
        <v>115880.44097112498</v>
      </c>
      <c r="F112">
        <v>44022.492067231731</v>
      </c>
      <c r="G112">
        <v>10000</v>
      </c>
      <c r="H112">
        <v>406185.34188733174</v>
      </c>
      <c r="I112">
        <v>38.565067144544059</v>
      </c>
    </row>
    <row r="113" spans="1:9" x14ac:dyDescent="0.2">
      <c r="A113">
        <v>108</v>
      </c>
      <c r="B113">
        <v>1089119.7107366712</v>
      </c>
      <c r="C113">
        <v>84730.929869308879</v>
      </c>
      <c r="D113">
        <v>57389.368626107942</v>
      </c>
      <c r="E113">
        <v>123732.51332992969</v>
      </c>
      <c r="F113">
        <v>44566.097076687445</v>
      </c>
      <c r="G113">
        <v>10000</v>
      </c>
      <c r="H113">
        <v>300418.90890203393</v>
      </c>
      <c r="I113">
        <v>27.39708238504976</v>
      </c>
    </row>
    <row r="114" spans="1:9" x14ac:dyDescent="0.2">
      <c r="A114">
        <v>109</v>
      </c>
      <c r="B114">
        <v>1254509.824579204</v>
      </c>
      <c r="C114">
        <v>102984.54531890083</v>
      </c>
      <c r="D114">
        <v>75979.766219649478</v>
      </c>
      <c r="E114">
        <v>131666.54814626061</v>
      </c>
      <c r="F114">
        <v>45115.376410125733</v>
      </c>
      <c r="G114">
        <v>10000</v>
      </c>
      <c r="H114">
        <v>345746.23609493667</v>
      </c>
      <c r="I114">
        <v>29.371664674134344</v>
      </c>
    </row>
    <row r="115" spans="1:9" x14ac:dyDescent="0.2">
      <c r="A115">
        <v>110</v>
      </c>
      <c r="B115">
        <v>1303610.1697658461</v>
      </c>
      <c r="C115">
        <v>103039.41172371048</v>
      </c>
      <c r="D115">
        <v>68561.67795279104</v>
      </c>
      <c r="E115">
        <v>151138.31723449094</v>
      </c>
      <c r="F115">
        <v>46463.421962387838</v>
      </c>
      <c r="G115">
        <v>10000</v>
      </c>
      <c r="H115">
        <v>359202.82887338032</v>
      </c>
      <c r="I115">
        <v>43.05324531570605</v>
      </c>
    </row>
    <row r="116" spans="1:9" x14ac:dyDescent="0.2">
      <c r="A116">
        <v>111</v>
      </c>
      <c r="B116">
        <v>1480812.3585491707</v>
      </c>
      <c r="C116">
        <v>103810.9282954415</v>
      </c>
      <c r="D116">
        <v>156722.51297707911</v>
      </c>
      <c r="E116">
        <v>113384.28723706905</v>
      </c>
      <c r="F116">
        <v>43849.681424104783</v>
      </c>
      <c r="G116">
        <v>10000</v>
      </c>
      <c r="H116">
        <v>407767.40993369446</v>
      </c>
      <c r="I116">
        <v>52.955017301185968</v>
      </c>
    </row>
    <row r="117" spans="1:9" x14ac:dyDescent="0.2">
      <c r="A117">
        <v>112</v>
      </c>
      <c r="B117">
        <v>1416167.2765142615</v>
      </c>
      <c r="C117">
        <v>98443.427425738802</v>
      </c>
      <c r="D117">
        <v>56986.37778279755</v>
      </c>
      <c r="E117">
        <v>195112.95334158436</v>
      </c>
      <c r="F117">
        <v>49507.81984672507</v>
      </c>
      <c r="G117">
        <v>10000</v>
      </c>
      <c r="H117">
        <v>390050.57839684584</v>
      </c>
      <c r="I117">
        <v>53.000691765547941</v>
      </c>
    </row>
    <row r="118" spans="1:9" x14ac:dyDescent="0.2">
      <c r="A118">
        <v>113</v>
      </c>
      <c r="B118">
        <v>1188612.6967571129</v>
      </c>
      <c r="C118">
        <v>153736.45472018508</v>
      </c>
      <c r="D118">
        <v>107402.91180233519</v>
      </c>
      <c r="E118">
        <v>37921.559735734467</v>
      </c>
      <c r="F118">
        <v>38625.338750935465</v>
      </c>
      <c r="G118">
        <v>10000</v>
      </c>
      <c r="H118">
        <v>327686.26500919019</v>
      </c>
      <c r="I118">
        <v>35.536072249595222</v>
      </c>
    </row>
    <row r="119" spans="1:9" x14ac:dyDescent="0.2">
      <c r="A119">
        <v>114</v>
      </c>
      <c r="B119">
        <v>1121458.0978161846</v>
      </c>
      <c r="C119">
        <v>107042.00855214469</v>
      </c>
      <c r="D119">
        <v>97258.464160784657</v>
      </c>
      <c r="E119">
        <v>73867.304469015027</v>
      </c>
      <c r="F119">
        <v>41113.890309393348</v>
      </c>
      <c r="G119">
        <v>10000</v>
      </c>
      <c r="H119">
        <v>309281.66749133775</v>
      </c>
      <c r="I119">
        <v>41.790412710182494</v>
      </c>
    </row>
    <row r="120" spans="1:9" x14ac:dyDescent="0.2">
      <c r="A120">
        <v>115</v>
      </c>
      <c r="B120">
        <v>1049813.7295007373</v>
      </c>
      <c r="C120">
        <v>98193.542429971902</v>
      </c>
      <c r="D120">
        <v>77671.315470611982</v>
      </c>
      <c r="E120">
        <v>82098.022699197711</v>
      </c>
      <c r="F120">
        <v>41683.70926379061</v>
      </c>
      <c r="G120">
        <v>10000</v>
      </c>
      <c r="H120">
        <v>289646.58986357221</v>
      </c>
      <c r="I120">
        <v>33.240299318271902</v>
      </c>
    </row>
    <row r="121" spans="1:9" x14ac:dyDescent="0.2">
      <c r="A121">
        <v>116</v>
      </c>
      <c r="B121">
        <v>1386395.6543566182</v>
      </c>
      <c r="C121">
        <v>91708.388810159478</v>
      </c>
      <c r="D121">
        <v>76370.602812805155</v>
      </c>
      <c r="E121">
        <v>175651.77615431967</v>
      </c>
      <c r="F121">
        <v>48160.507579914432</v>
      </c>
      <c r="G121">
        <v>10000</v>
      </c>
      <c r="H121">
        <v>381891.27535719867</v>
      </c>
      <c r="I121">
        <v>34.240509281781208</v>
      </c>
    </row>
    <row r="122" spans="1:9" x14ac:dyDescent="0.2">
      <c r="A122">
        <v>117</v>
      </c>
      <c r="B122">
        <v>1018574.6514752245</v>
      </c>
      <c r="C122">
        <v>109192.4673430558</v>
      </c>
      <c r="D122">
        <v>40362.899772447861</v>
      </c>
      <c r="E122">
        <v>98696.883069602467</v>
      </c>
      <c r="F122">
        <v>42832.86113558786</v>
      </c>
      <c r="G122">
        <v>10000</v>
      </c>
      <c r="H122">
        <v>281085.11132069398</v>
      </c>
      <c r="I122">
        <v>39.575003542218369</v>
      </c>
    </row>
    <row r="123" spans="1:9" x14ac:dyDescent="0.2">
      <c r="A123">
        <v>118</v>
      </c>
      <c r="B123">
        <v>1451802.0114012077</v>
      </c>
      <c r="C123">
        <v>129682.93033824262</v>
      </c>
      <c r="D123">
        <v>153345.42781135111</v>
      </c>
      <c r="E123">
        <v>84910.001419375461</v>
      </c>
      <c r="F123">
        <v>41878.384713649066</v>
      </c>
      <c r="G123">
        <v>10000</v>
      </c>
      <c r="H123">
        <v>399816.74428261822</v>
      </c>
      <c r="I123">
        <v>35.033914186935789</v>
      </c>
    </row>
    <row r="124" spans="1:9" x14ac:dyDescent="0.2">
      <c r="A124">
        <v>119</v>
      </c>
      <c r="B124">
        <v>1085938.6777511295</v>
      </c>
      <c r="C124">
        <v>83073.217782037507</v>
      </c>
      <c r="D124">
        <v>137698.54749993299</v>
      </c>
      <c r="E124">
        <v>49358.231524748604</v>
      </c>
      <c r="F124">
        <v>39417.108336328754</v>
      </c>
      <c r="G124">
        <v>10000</v>
      </c>
      <c r="H124">
        <v>299547.10514304787</v>
      </c>
      <c r="I124">
        <v>31.511107731742541</v>
      </c>
    </row>
    <row r="125" spans="1:9" x14ac:dyDescent="0.2">
      <c r="A125">
        <v>120</v>
      </c>
      <c r="B125">
        <v>1388585.3263428081</v>
      </c>
      <c r="C125">
        <v>118648.72353642399</v>
      </c>
      <c r="D125">
        <v>96357.379541666014</v>
      </c>
      <c r="E125">
        <v>132324.36312310526</v>
      </c>
      <c r="F125">
        <v>45160.917446984211</v>
      </c>
      <c r="G125">
        <v>10000</v>
      </c>
      <c r="H125">
        <v>382491.38364817947</v>
      </c>
      <c r="I125">
        <v>37.266147309116135</v>
      </c>
    </row>
    <row r="126" spans="1:9" x14ac:dyDescent="0.2">
      <c r="A126">
        <v>121</v>
      </c>
      <c r="B126">
        <v>1335924.0633919905</v>
      </c>
      <c r="C126">
        <v>85004.405555225399</v>
      </c>
      <c r="D126">
        <v>122349.18221855132</v>
      </c>
      <c r="E126">
        <v>125983.36188367901</v>
      </c>
      <c r="F126">
        <v>44721.925053485473</v>
      </c>
      <c r="G126">
        <v>10000</v>
      </c>
      <c r="H126">
        <v>368058.87471094122</v>
      </c>
      <c r="I126">
        <v>35.562144574821744</v>
      </c>
    </row>
    <row r="127" spans="1:9" x14ac:dyDescent="0.2">
      <c r="A127">
        <v>122</v>
      </c>
      <c r="B127">
        <v>1445655.6397931087</v>
      </c>
      <c r="C127">
        <v>140838.02743531502</v>
      </c>
      <c r="D127">
        <v>118815.03720032182</v>
      </c>
      <c r="E127">
        <v>105196.36100217167</v>
      </c>
      <c r="F127">
        <v>43282.824992458038</v>
      </c>
      <c r="G127">
        <v>10000</v>
      </c>
      <c r="H127">
        <v>398132.25063026656</v>
      </c>
      <c r="I127">
        <v>32.638806385955526</v>
      </c>
    </row>
    <row r="128" spans="1:9" x14ac:dyDescent="0.2">
      <c r="A128">
        <v>123</v>
      </c>
      <c r="B128">
        <v>1302723.5333561036</v>
      </c>
      <c r="C128">
        <v>123914.95499249105</v>
      </c>
      <c r="D128">
        <v>166925.97614459525</v>
      </c>
      <c r="E128">
        <v>39391.780171263752</v>
      </c>
      <c r="F128">
        <v>38727.123242625952</v>
      </c>
      <c r="G128">
        <v>10000</v>
      </c>
      <c r="H128">
        <v>358959.834550976</v>
      </c>
      <c r="I128">
        <v>29.042959339400241</v>
      </c>
    </row>
    <row r="129" spans="1:9" x14ac:dyDescent="0.2">
      <c r="A129">
        <v>124</v>
      </c>
      <c r="B129">
        <v>1749116.1630311406</v>
      </c>
      <c r="C129">
        <v>140363.69018768251</v>
      </c>
      <c r="D129">
        <v>122272.43472961153</v>
      </c>
      <c r="E129">
        <v>180188.84488774155</v>
      </c>
      <c r="F129">
        <v>48474.612338382103</v>
      </c>
      <c r="G129">
        <v>10000</v>
      </c>
      <c r="H129">
        <v>481299.58214341768</v>
      </c>
      <c r="I129">
        <v>32.737775140605073</v>
      </c>
    </row>
    <row r="130" spans="1:9" x14ac:dyDescent="0.2">
      <c r="A130">
        <v>125</v>
      </c>
      <c r="B130">
        <v>1397549.3283335352</v>
      </c>
      <c r="C130">
        <v>122458.959070408</v>
      </c>
      <c r="D130">
        <v>50372.453357121907</v>
      </c>
      <c r="E130">
        <v>174065.95352866332</v>
      </c>
      <c r="F130">
        <v>48050.71985967669</v>
      </c>
      <c r="G130">
        <v>10000</v>
      </c>
      <c r="H130">
        <v>384948.08581586991</v>
      </c>
      <c r="I130">
        <v>42.505692114985877</v>
      </c>
    </row>
    <row r="131" spans="1:9" x14ac:dyDescent="0.2">
      <c r="A131">
        <v>126</v>
      </c>
      <c r="B131">
        <v>1072272.9877406824</v>
      </c>
      <c r="C131">
        <v>94768.765420320138</v>
      </c>
      <c r="D131">
        <v>57819.82103561252</v>
      </c>
      <c r="E131">
        <v>109623.90973197948</v>
      </c>
      <c r="F131">
        <v>43589.34759682935</v>
      </c>
      <c r="G131">
        <v>10000</v>
      </c>
      <c r="H131">
        <v>295801.84378474148</v>
      </c>
      <c r="I131">
        <v>34.608947995706288</v>
      </c>
    </row>
    <row r="132" spans="1:9" x14ac:dyDescent="0.2">
      <c r="A132">
        <v>127</v>
      </c>
      <c r="B132">
        <v>1551922.3647082746</v>
      </c>
      <c r="C132">
        <v>153188.10682342545</v>
      </c>
      <c r="D132">
        <v>55484.412784843254</v>
      </c>
      <c r="E132">
        <v>180114.08252217204</v>
      </c>
      <c r="F132">
        <v>48469.43648230422</v>
      </c>
      <c r="G132">
        <v>10000</v>
      </c>
      <c r="H132">
        <v>427256.038612745</v>
      </c>
      <c r="I132">
        <v>43.829233094546339</v>
      </c>
    </row>
    <row r="133" spans="1:9" x14ac:dyDescent="0.2">
      <c r="A133">
        <v>128</v>
      </c>
      <c r="B133">
        <v>1629263.826868298</v>
      </c>
      <c r="C133">
        <v>134482.54431552853</v>
      </c>
      <c r="D133">
        <v>72195.812738956083</v>
      </c>
      <c r="E133">
        <v>201803.13604077642</v>
      </c>
      <c r="F133">
        <v>49970.986341284522</v>
      </c>
      <c r="G133">
        <v>10000</v>
      </c>
      <c r="H133">
        <v>448452.47943654557</v>
      </c>
      <c r="I133">
        <v>48.795071060149603</v>
      </c>
    </row>
    <row r="134" spans="1:9" x14ac:dyDescent="0.2">
      <c r="A134">
        <v>129</v>
      </c>
      <c r="B134">
        <v>1335551.4578309667</v>
      </c>
      <c r="C134">
        <v>121412.92723833825</v>
      </c>
      <c r="D134">
        <v>168615.640043069</v>
      </c>
      <c r="E134">
        <v>48565.933088534948</v>
      </c>
      <c r="F134">
        <v>39362.25690612934</v>
      </c>
      <c r="G134">
        <v>10000</v>
      </c>
      <c r="H134">
        <v>367956.75727607153</v>
      </c>
      <c r="I134">
        <v>40.612567936131555</v>
      </c>
    </row>
    <row r="135" spans="1:9" x14ac:dyDescent="0.2">
      <c r="A135">
        <v>130</v>
      </c>
      <c r="B135">
        <v>1071856.3244477569</v>
      </c>
      <c r="C135">
        <v>110467.2681038148</v>
      </c>
      <c r="D135">
        <v>85409.017224663403</v>
      </c>
      <c r="E135">
        <v>69032.213201217775</v>
      </c>
      <c r="F135">
        <v>40779.153221622772</v>
      </c>
      <c r="G135">
        <v>10000</v>
      </c>
      <c r="H135">
        <v>295687.65175131871</v>
      </c>
      <c r="I135">
        <v>36.788583618042921</v>
      </c>
    </row>
    <row r="136" spans="1:9" x14ac:dyDescent="0.2">
      <c r="A136">
        <v>131</v>
      </c>
      <c r="B136">
        <v>1085531.0054371157</v>
      </c>
      <c r="C136">
        <v>87495.593877547508</v>
      </c>
      <c r="D136">
        <v>91170.495511226647</v>
      </c>
      <c r="E136">
        <v>88633.146878644795</v>
      </c>
      <c r="F136">
        <v>42136.140937752331</v>
      </c>
      <c r="G136">
        <v>10000</v>
      </c>
      <c r="H136">
        <v>299435.37720517127</v>
      </c>
      <c r="I136">
        <v>35.537928451296935</v>
      </c>
    </row>
    <row r="137" spans="1:9" x14ac:dyDescent="0.2">
      <c r="A137">
        <v>132</v>
      </c>
      <c r="B137">
        <v>757318.69296057394</v>
      </c>
      <c r="C137">
        <v>82722.525167580723</v>
      </c>
      <c r="D137">
        <v>41640.618449733571</v>
      </c>
      <c r="E137">
        <v>55293.348923513433</v>
      </c>
      <c r="F137">
        <v>39828.001079320165</v>
      </c>
      <c r="G137">
        <v>10000</v>
      </c>
      <c r="H137">
        <v>209484.49362014787</v>
      </c>
      <c r="I137">
        <v>37.829703671356526</v>
      </c>
    </row>
    <row r="138" spans="1:9" x14ac:dyDescent="0.2">
      <c r="A138">
        <v>133</v>
      </c>
      <c r="B138">
        <v>1629711.3388371845</v>
      </c>
      <c r="C138">
        <v>133676.31457515917</v>
      </c>
      <c r="D138">
        <v>85540.610185501166</v>
      </c>
      <c r="E138">
        <v>190191.12341796156</v>
      </c>
      <c r="F138">
        <v>49167.077775089638</v>
      </c>
      <c r="G138">
        <v>10000</v>
      </c>
      <c r="H138">
        <v>448575.12595371157</v>
      </c>
      <c r="I138">
        <v>42.950368498819003</v>
      </c>
    </row>
    <row r="139" spans="1:9" x14ac:dyDescent="0.2">
      <c r="A139">
        <v>134</v>
      </c>
      <c r="B139">
        <v>1467604.7770776954</v>
      </c>
      <c r="C139">
        <v>141793.95522509332</v>
      </c>
      <c r="D139">
        <v>92557.530556294063</v>
      </c>
      <c r="E139">
        <v>134485.66724604898</v>
      </c>
      <c r="F139">
        <v>45310.546193957241</v>
      </c>
      <c r="G139">
        <v>10000</v>
      </c>
      <c r="H139">
        <v>404147.69922139356</v>
      </c>
      <c r="I139">
        <v>36.174900846135401</v>
      </c>
    </row>
    <row r="140" spans="1:9" x14ac:dyDescent="0.2">
      <c r="A140">
        <v>135</v>
      </c>
      <c r="B140">
        <v>1661434.4785995923</v>
      </c>
      <c r="C140">
        <v>133066.03857800798</v>
      </c>
      <c r="D140">
        <v>82285.914869401444</v>
      </c>
      <c r="E140">
        <v>201937.05673507834</v>
      </c>
      <c r="F140">
        <v>49980.257773966958</v>
      </c>
      <c r="G140">
        <v>10000</v>
      </c>
      <c r="H140">
        <v>457269.26795645471</v>
      </c>
      <c r="I140">
        <v>37.479626014499175</v>
      </c>
    </row>
    <row r="141" spans="1:9" x14ac:dyDescent="0.2">
      <c r="A141">
        <v>136</v>
      </c>
      <c r="B141">
        <v>1247889.3661217452</v>
      </c>
      <c r="C141">
        <v>95884.816349133776</v>
      </c>
      <c r="D141">
        <v>98046.327450937111</v>
      </c>
      <c r="E141">
        <v>115971.84864073012</v>
      </c>
      <c r="F141">
        <v>44028.820290512085</v>
      </c>
      <c r="G141">
        <v>10000</v>
      </c>
      <c r="H141">
        <v>343931.81273131305</v>
      </c>
      <c r="I141">
        <v>25.444928286642277</v>
      </c>
    </row>
    <row r="142" spans="1:9" x14ac:dyDescent="0.2">
      <c r="A142">
        <v>137</v>
      </c>
      <c r="B142">
        <v>848468.51706696674</v>
      </c>
      <c r="C142">
        <v>95011.533840883887</v>
      </c>
      <c r="D142">
        <v>71133.617321088183</v>
      </c>
      <c r="E142">
        <v>39579.992431073108</v>
      </c>
      <c r="F142">
        <v>38740.153322151215</v>
      </c>
      <c r="G142">
        <v>10000</v>
      </c>
      <c r="H142">
        <v>234465.29691519641</v>
      </c>
      <c r="I142">
        <v>57.703282844544852</v>
      </c>
    </row>
    <row r="143" spans="1:9" x14ac:dyDescent="0.2">
      <c r="A143">
        <v>138</v>
      </c>
      <c r="B143">
        <v>1207562.9844255084</v>
      </c>
      <c r="C143">
        <v>95983.682235245898</v>
      </c>
      <c r="D143">
        <v>104410.22406330219</v>
      </c>
      <c r="E143">
        <v>99591.160623105083</v>
      </c>
      <c r="F143">
        <v>42894.772658522663</v>
      </c>
      <c r="G143">
        <v>10000</v>
      </c>
      <c r="H143">
        <v>332879.83958017582</v>
      </c>
      <c r="I143">
        <v>25.622115035434504</v>
      </c>
    </row>
    <row r="144" spans="1:9" x14ac:dyDescent="0.2">
      <c r="A144">
        <v>139</v>
      </c>
      <c r="B144">
        <v>1580667.3560433756</v>
      </c>
      <c r="C144">
        <v>94383.111865668267</v>
      </c>
      <c r="D144">
        <v>93714.981174039087</v>
      </c>
      <c r="E144">
        <v>206724.21085173488</v>
      </c>
      <c r="F144">
        <v>50311.676135889342</v>
      </c>
      <c r="G144">
        <v>10000</v>
      </c>
      <c r="H144">
        <v>435133.98002733162</v>
      </c>
      <c r="I144">
        <v>28.537744407543116</v>
      </c>
    </row>
    <row r="145" spans="1:9" x14ac:dyDescent="0.2">
      <c r="A145">
        <v>140</v>
      </c>
      <c r="B145">
        <v>1376198.2607666885</v>
      </c>
      <c r="C145">
        <v>157620.86111157213</v>
      </c>
      <c r="D145">
        <v>91450.438967395865</v>
      </c>
      <c r="E145">
        <v>97289.798404373607</v>
      </c>
      <c r="F145">
        <v>42735.447581841254</v>
      </c>
      <c r="G145">
        <v>10000</v>
      </c>
      <c r="H145">
        <v>379096.54606518289</v>
      </c>
      <c r="I145">
        <v>27.843574585455301</v>
      </c>
    </row>
    <row r="146" spans="1:9" x14ac:dyDescent="0.2">
      <c r="A146">
        <v>141</v>
      </c>
      <c r="B146">
        <v>1168728.7802973988</v>
      </c>
      <c r="C146">
        <v>128313.8309749248</v>
      </c>
      <c r="D146">
        <v>82297.472512347886</v>
      </c>
      <c r="E146">
        <v>80081.415738148455</v>
      </c>
      <c r="F146">
        <v>41544.09801264105</v>
      </c>
      <c r="G146">
        <v>10000</v>
      </c>
      <c r="H146">
        <v>322236.81723806221</v>
      </c>
      <c r="I146">
        <v>35.744752758070348</v>
      </c>
    </row>
    <row r="147" spans="1:9" x14ac:dyDescent="0.2">
      <c r="A147">
        <v>142</v>
      </c>
      <c r="B147">
        <v>1709691.3055662038</v>
      </c>
      <c r="C147">
        <v>109491.28890969296</v>
      </c>
      <c r="D147">
        <v>149840.2814700712</v>
      </c>
      <c r="E147">
        <v>173174.13458897118</v>
      </c>
      <c r="F147">
        <v>47988.978548467239</v>
      </c>
      <c r="G147">
        <v>10000</v>
      </c>
      <c r="H147">
        <v>470494.68351720256</v>
      </c>
      <c r="I147">
        <v>37.867870734567141</v>
      </c>
    </row>
    <row r="148" spans="1:9" x14ac:dyDescent="0.2">
      <c r="A148">
        <v>143</v>
      </c>
      <c r="B148">
        <v>1186325.1966084749</v>
      </c>
      <c r="C148">
        <v>153395.39109163132</v>
      </c>
      <c r="D148">
        <v>118036.77304058113</v>
      </c>
      <c r="E148">
        <v>27708.874780990805</v>
      </c>
      <c r="F148">
        <v>37918.306715607054</v>
      </c>
      <c r="G148">
        <v>10000</v>
      </c>
      <c r="H148">
        <v>327059.34562881035</v>
      </c>
      <c r="I148">
        <v>31.521507223813195</v>
      </c>
    </row>
    <row r="149" spans="1:9" x14ac:dyDescent="0.2">
      <c r="A149">
        <v>144</v>
      </c>
      <c r="B149">
        <v>1346741.2616389855</v>
      </c>
      <c r="C149">
        <v>103060.86681878232</v>
      </c>
      <c r="D149">
        <v>97305.884242738524</v>
      </c>
      <c r="E149">
        <v>135290.45617606037</v>
      </c>
      <c r="F149">
        <v>45366.26235065033</v>
      </c>
      <c r="G149">
        <v>10000</v>
      </c>
      <c r="H149">
        <v>371023.46958823153</v>
      </c>
      <c r="I149">
        <v>29.802663446585029</v>
      </c>
    </row>
    <row r="150" spans="1:9" x14ac:dyDescent="0.2">
      <c r="A150">
        <v>145</v>
      </c>
      <c r="B150">
        <v>1734780.7229564427</v>
      </c>
      <c r="C150">
        <v>105151.74618837734</v>
      </c>
      <c r="D150">
        <v>137871.9014128795</v>
      </c>
      <c r="E150">
        <v>194857.01814902041</v>
      </c>
      <c r="F150">
        <v>49490.101256470647</v>
      </c>
      <c r="G150">
        <v>10000</v>
      </c>
      <c r="H150">
        <v>477370.76700674789</v>
      </c>
      <c r="I150">
        <v>57.09527189448886</v>
      </c>
    </row>
    <row r="151" spans="1:9" x14ac:dyDescent="0.2">
      <c r="A151">
        <v>146</v>
      </c>
      <c r="B151">
        <v>1554467.5252613812</v>
      </c>
      <c r="C151">
        <v>107876.13338432308</v>
      </c>
      <c r="D151">
        <v>121914.07293370376</v>
      </c>
      <c r="E151">
        <v>161016.09852471013</v>
      </c>
      <c r="F151">
        <v>47147.26835940301</v>
      </c>
      <c r="G151">
        <v>10000</v>
      </c>
      <c r="H151">
        <v>427953.57320213999</v>
      </c>
      <c r="I151">
        <v>25.274762509984097</v>
      </c>
    </row>
    <row r="152" spans="1:9" x14ac:dyDescent="0.2">
      <c r="A152">
        <v>147</v>
      </c>
      <c r="B152">
        <v>1041507.5601012222</v>
      </c>
      <c r="C152">
        <v>125235.30439289229</v>
      </c>
      <c r="D152">
        <v>57228.435920321062</v>
      </c>
      <c r="E152">
        <v>73797.385271845749</v>
      </c>
      <c r="F152">
        <v>41109.049749589321</v>
      </c>
      <c r="G152">
        <v>10000</v>
      </c>
      <c r="H152">
        <v>287370.17533464846</v>
      </c>
      <c r="I152">
        <v>40.532671665196517</v>
      </c>
    </row>
    <row r="153" spans="1:9" x14ac:dyDescent="0.2">
      <c r="A153">
        <v>148</v>
      </c>
      <c r="B153">
        <v>1459142.1582124101</v>
      </c>
      <c r="C153">
        <v>119285.0797256458</v>
      </c>
      <c r="D153">
        <v>86835.648875870262</v>
      </c>
      <c r="E153">
        <v>158719.41207562998</v>
      </c>
      <c r="F153">
        <v>46988.266989851312</v>
      </c>
      <c r="G153">
        <v>10000</v>
      </c>
      <c r="H153">
        <v>401828.40766699734</v>
      </c>
      <c r="I153">
        <v>50.807223072817493</v>
      </c>
    </row>
    <row r="154" spans="1:9" x14ac:dyDescent="0.2">
      <c r="A154">
        <v>149</v>
      </c>
      <c r="B154">
        <v>1069356.5540752735</v>
      </c>
      <c r="C154">
        <v>84439.783475078788</v>
      </c>
      <c r="D154">
        <v>84344.489390087605</v>
      </c>
      <c r="E154">
        <v>93729.330425494729</v>
      </c>
      <c r="F154">
        <v>42488.953644841946</v>
      </c>
      <c r="G154">
        <v>10000</v>
      </c>
      <c r="H154">
        <v>295002.55693550309</v>
      </c>
      <c r="I154">
        <v>36.228736071217057</v>
      </c>
    </row>
    <row r="155" spans="1:9" x14ac:dyDescent="0.2">
      <c r="A155">
        <v>150</v>
      </c>
      <c r="B155">
        <v>1115353.4723379191</v>
      </c>
      <c r="C155">
        <v>132423.9694642158</v>
      </c>
      <c r="D155">
        <v>112333.92904785204</v>
      </c>
      <c r="E155">
        <v>34464.698791969204</v>
      </c>
      <c r="F155">
        <v>38386.017608674796</v>
      </c>
      <c r="G155">
        <v>10000</v>
      </c>
      <c r="H155">
        <v>307608.6149127119</v>
      </c>
      <c r="I155">
        <v>30.59063081151892</v>
      </c>
    </row>
    <row r="156" spans="1:9" x14ac:dyDescent="0.2">
      <c r="A156">
        <v>151</v>
      </c>
      <c r="B156">
        <v>1311180.5510847212</v>
      </c>
      <c r="C156">
        <v>119448.23137479316</v>
      </c>
      <c r="D156">
        <v>55260.92691764015</v>
      </c>
      <c r="E156">
        <v>150171.91551977227</v>
      </c>
      <c r="F156">
        <v>46396.517228291923</v>
      </c>
      <c r="G156">
        <v>10000</v>
      </c>
      <c r="H156">
        <v>361277.59104049753</v>
      </c>
      <c r="I156">
        <v>30.547565342076382</v>
      </c>
    </row>
    <row r="157" spans="1:9" x14ac:dyDescent="0.2">
      <c r="A157">
        <v>152</v>
      </c>
      <c r="B157">
        <v>1561799.0605433045</v>
      </c>
      <c r="C157">
        <v>136088.24672900161</v>
      </c>
      <c r="D157">
        <v>133992.58969180103</v>
      </c>
      <c r="E157">
        <v>125213.41876424917</v>
      </c>
      <c r="F157">
        <v>44668.621299063401</v>
      </c>
      <c r="G157">
        <v>10000</v>
      </c>
      <c r="H157">
        <v>429962.8764841152</v>
      </c>
      <c r="I157">
        <v>29.441051472676779</v>
      </c>
    </row>
    <row r="158" spans="1:9" x14ac:dyDescent="0.2">
      <c r="A158">
        <v>153</v>
      </c>
      <c r="B158">
        <v>1485183.6157448704</v>
      </c>
      <c r="C158">
        <v>121575.86783851264</v>
      </c>
      <c r="D158">
        <v>70608.512648342716</v>
      </c>
      <c r="E158">
        <v>178428.30119729243</v>
      </c>
      <c r="F158">
        <v>48352.728544427941</v>
      </c>
      <c r="G158">
        <v>10000</v>
      </c>
      <c r="H158">
        <v>408965.41022857575</v>
      </c>
      <c r="I158">
        <v>47.816078800888597</v>
      </c>
    </row>
    <row r="159" spans="1:9" x14ac:dyDescent="0.2">
      <c r="A159">
        <v>154</v>
      </c>
      <c r="B159">
        <v>1555415.6948758089</v>
      </c>
      <c r="C159">
        <v>147264.5018881459</v>
      </c>
      <c r="D159">
        <v>122662.11404704743</v>
      </c>
      <c r="E159">
        <v>123721.48218789767</v>
      </c>
      <c r="F159">
        <v>44565.33338223907</v>
      </c>
      <c r="G159">
        <v>10000</v>
      </c>
      <c r="H159">
        <v>428213.43150533002</v>
      </c>
      <c r="I159">
        <v>24.207012261028233</v>
      </c>
    </row>
    <row r="160" spans="1:9" x14ac:dyDescent="0.2">
      <c r="A160">
        <v>155</v>
      </c>
      <c r="B160">
        <v>930351.46873591642</v>
      </c>
      <c r="C160">
        <v>112958.68623703838</v>
      </c>
      <c r="D160">
        <v>84829.453568448313</v>
      </c>
      <c r="E160">
        <v>30973.905331569589</v>
      </c>
      <c r="F160">
        <v>38144.347292185586</v>
      </c>
      <c r="G160">
        <v>10000</v>
      </c>
      <c r="H160">
        <v>256906.39242924185</v>
      </c>
      <c r="I160">
        <v>33.021046271821064</v>
      </c>
    </row>
    <row r="161" spans="1:9" x14ac:dyDescent="0.2">
      <c r="A161">
        <v>156</v>
      </c>
      <c r="B161">
        <v>1471203.269263702</v>
      </c>
      <c r="C161">
        <v>107434.05775976722</v>
      </c>
      <c r="D161">
        <v>138426.19837668771</v>
      </c>
      <c r="E161">
        <v>124644.4274159028</v>
      </c>
      <c r="F161">
        <v>44629.229590331728</v>
      </c>
      <c r="G161">
        <v>10000</v>
      </c>
      <c r="H161">
        <v>405133.91314268945</v>
      </c>
      <c r="I161">
        <v>40.335855108591929</v>
      </c>
    </row>
    <row r="162" spans="1:9" x14ac:dyDescent="0.2">
      <c r="A162">
        <v>157</v>
      </c>
      <c r="B162">
        <v>1282869.4418498289</v>
      </c>
      <c r="C162">
        <v>141912.57264384403</v>
      </c>
      <c r="D162">
        <v>35311.443467839599</v>
      </c>
      <c r="E162">
        <v>140563.24313923914</v>
      </c>
      <c r="F162">
        <v>45731.301448101171</v>
      </c>
      <c r="G162">
        <v>10000</v>
      </c>
      <c r="H162">
        <v>353518.56069902395</v>
      </c>
      <c r="I162">
        <v>38.169641591564144</v>
      </c>
    </row>
    <row r="163" spans="1:9" x14ac:dyDescent="0.2">
      <c r="A163">
        <v>158</v>
      </c>
      <c r="B163">
        <v>1653131.1595647451</v>
      </c>
      <c r="C163">
        <v>122458.20395376568</v>
      </c>
      <c r="D163">
        <v>158645.39706183926</v>
      </c>
      <c r="E163">
        <v>138314.41990590742</v>
      </c>
      <c r="F163">
        <v>45575.613685793593</v>
      </c>
      <c r="G163">
        <v>10000</v>
      </c>
      <c r="H163">
        <v>454993.63460730592</v>
      </c>
      <c r="I163">
        <v>45.653996787614716</v>
      </c>
    </row>
    <row r="164" spans="1:9" x14ac:dyDescent="0.2">
      <c r="A164">
        <v>159</v>
      </c>
      <c r="B164">
        <v>1793578.8230180088</v>
      </c>
      <c r="C164">
        <v>157518.61992604024</v>
      </c>
      <c r="D164">
        <v>108328.91455308015</v>
      </c>
      <c r="E164">
        <v>188581.94869231671</v>
      </c>
      <c r="F164">
        <v>49055.673371006538</v>
      </c>
      <c r="G164">
        <v>10000</v>
      </c>
      <c r="H164">
        <v>493485.15654244367</v>
      </c>
      <c r="I164">
        <v>29.012098409402263</v>
      </c>
    </row>
    <row r="165" spans="1:9" x14ac:dyDescent="0.2">
      <c r="A165">
        <v>160</v>
      </c>
      <c r="B165">
        <v>1079019.7629040452</v>
      </c>
      <c r="C165">
        <v>112757.2494870526</v>
      </c>
      <c r="D165">
        <v>99468.903045275685</v>
      </c>
      <c r="E165">
        <v>55577.08875765105</v>
      </c>
      <c r="F165">
        <v>39847.64460629892</v>
      </c>
      <c r="G165">
        <v>10000</v>
      </c>
      <c r="H165">
        <v>297650.88589627825</v>
      </c>
      <c r="I165">
        <v>35.553971859432338</v>
      </c>
    </row>
    <row r="166" spans="1:9" x14ac:dyDescent="0.2">
      <c r="A166">
        <v>161</v>
      </c>
      <c r="B166">
        <v>1366018.4605000475</v>
      </c>
      <c r="C166">
        <v>125285.2022254304</v>
      </c>
      <c r="D166">
        <v>162787.52564708819</v>
      </c>
      <c r="E166">
        <v>58204.376802706945</v>
      </c>
      <c r="F166">
        <v>40029.533778648947</v>
      </c>
      <c r="G166">
        <v>10000</v>
      </c>
      <c r="H166">
        <v>376306.6384538745</v>
      </c>
      <c r="I166">
        <v>28.243069572574633</v>
      </c>
    </row>
    <row r="167" spans="1:9" x14ac:dyDescent="0.2">
      <c r="A167">
        <v>162</v>
      </c>
      <c r="B167">
        <v>1266341.7557880383</v>
      </c>
      <c r="C167">
        <v>82506.186036497689</v>
      </c>
      <c r="D167">
        <v>86649.700783402674</v>
      </c>
      <c r="E167">
        <v>143872.63202636709</v>
      </c>
      <c r="F167">
        <v>45960.412986440795</v>
      </c>
      <c r="G167">
        <v>10000</v>
      </c>
      <c r="H167">
        <v>348988.9318327083</v>
      </c>
      <c r="I167">
        <v>35.990505088279832</v>
      </c>
    </row>
    <row r="168" spans="1:9" x14ac:dyDescent="0.2">
      <c r="A168">
        <v>163</v>
      </c>
      <c r="B168">
        <v>1571834.8335703788</v>
      </c>
      <c r="C168">
        <v>167995.4063430549</v>
      </c>
      <c r="D168">
        <v>113993.98376009054</v>
      </c>
      <c r="E168">
        <v>116648.27185093878</v>
      </c>
      <c r="F168">
        <v>44075.649589680383</v>
      </c>
      <c r="G168">
        <v>10000</v>
      </c>
      <c r="H168">
        <v>432713.3115437646</v>
      </c>
      <c r="I168">
        <v>41.715641457706852</v>
      </c>
    </row>
    <row r="169" spans="1:9" x14ac:dyDescent="0.2">
      <c r="A169">
        <v>164</v>
      </c>
      <c r="B169">
        <v>1376980.5003605587</v>
      </c>
      <c r="C169">
        <v>155185.82049729826</v>
      </c>
      <c r="D169">
        <v>74774.359308368876</v>
      </c>
      <c r="E169">
        <v>115364.01010583226</v>
      </c>
      <c r="F169">
        <v>43986.739161173005</v>
      </c>
      <c r="G169">
        <v>10000</v>
      </c>
      <c r="H169">
        <v>379310.92907267238</v>
      </c>
      <c r="I169">
        <v>27.414785665680739</v>
      </c>
    </row>
    <row r="170" spans="1:9" x14ac:dyDescent="0.2">
      <c r="A170">
        <v>165</v>
      </c>
      <c r="B170">
        <v>1067396.8407670469</v>
      </c>
      <c r="C170">
        <v>111439.50563162145</v>
      </c>
      <c r="D170">
        <v>112994.9043301363</v>
      </c>
      <c r="E170">
        <v>41180.129807183293</v>
      </c>
      <c r="F170">
        <v>38850.932063574233</v>
      </c>
      <c r="G170">
        <v>10000</v>
      </c>
      <c r="H170">
        <v>294465.47183251532</v>
      </c>
      <c r="I170">
        <v>43.475007476360233</v>
      </c>
    </row>
    <row r="171" spans="1:9" x14ac:dyDescent="0.2">
      <c r="A171">
        <v>166</v>
      </c>
      <c r="B171">
        <v>1706629.1062173755</v>
      </c>
      <c r="C171">
        <v>118890.31637292422</v>
      </c>
      <c r="D171">
        <v>115720.77655136856</v>
      </c>
      <c r="E171">
        <v>195509.10875777903</v>
      </c>
      <c r="F171">
        <v>49535.245990923162</v>
      </c>
      <c r="G171">
        <v>10000</v>
      </c>
      <c r="H171">
        <v>469655.44767299492</v>
      </c>
      <c r="I171">
        <v>36.536931953990127</v>
      </c>
    </row>
    <row r="172" spans="1:9" x14ac:dyDescent="0.2">
      <c r="A172">
        <v>167</v>
      </c>
      <c r="B172">
        <v>1555272.7832399954</v>
      </c>
      <c r="C172">
        <v>134855.49045560483</v>
      </c>
      <c r="D172">
        <v>74225.231968607084</v>
      </c>
      <c r="E172">
        <v>180591.08270350052</v>
      </c>
      <c r="F172">
        <v>48502.459571780804</v>
      </c>
      <c r="G172">
        <v>10000</v>
      </c>
      <c r="H172">
        <v>428174.26469949324</v>
      </c>
      <c r="I172">
        <v>34.138444733810459</v>
      </c>
    </row>
    <row r="173" spans="1:9" x14ac:dyDescent="0.2">
      <c r="A173">
        <v>168</v>
      </c>
      <c r="B173">
        <v>1255714.2349424036</v>
      </c>
      <c r="C173">
        <v>97319.058914090856</v>
      </c>
      <c r="D173">
        <v>142910.25585064819</v>
      </c>
      <c r="E173">
        <v>74677.055753461333</v>
      </c>
      <c r="F173">
        <v>41169.950013701164</v>
      </c>
      <c r="G173">
        <v>10000</v>
      </c>
      <c r="H173">
        <v>346076.32053190155</v>
      </c>
      <c r="I173">
        <v>30.232429499044784</v>
      </c>
    </row>
    <row r="174" spans="1:9" x14ac:dyDescent="0.2">
      <c r="A174">
        <v>169</v>
      </c>
      <c r="B174">
        <v>1395833.8179371278</v>
      </c>
      <c r="C174">
        <v>150223.73451218466</v>
      </c>
      <c r="D174">
        <v>157642.61147659633</v>
      </c>
      <c r="E174">
        <v>47334.572841916102</v>
      </c>
      <c r="F174">
        <v>39277.008889055731</v>
      </c>
      <c r="G174">
        <v>10000</v>
      </c>
      <c r="H174">
        <v>384477.92771975283</v>
      </c>
      <c r="I174">
        <v>32.444393242081624</v>
      </c>
    </row>
    <row r="175" spans="1:9" x14ac:dyDescent="0.2">
      <c r="A175">
        <v>170</v>
      </c>
      <c r="B175">
        <v>1423129.7267643202</v>
      </c>
      <c r="C175">
        <v>84979.156119678737</v>
      </c>
      <c r="D175">
        <v>102444.98995185578</v>
      </c>
      <c r="E175">
        <v>166974.78987439853</v>
      </c>
      <c r="F175">
        <v>47559.793145150674</v>
      </c>
      <c r="G175">
        <v>10000</v>
      </c>
      <c r="H175">
        <v>391958.72909108375</v>
      </c>
      <c r="I175">
        <v>29.788316777988697</v>
      </c>
    </row>
    <row r="176" spans="1:9" x14ac:dyDescent="0.2">
      <c r="A176">
        <v>171</v>
      </c>
      <c r="B176">
        <v>1031083.7135752134</v>
      </c>
      <c r="C176">
        <v>122658.57861587945</v>
      </c>
      <c r="D176">
        <v>76381.076432905204</v>
      </c>
      <c r="E176">
        <v>55622.91164060677</v>
      </c>
      <c r="F176">
        <v>39850.816959734315</v>
      </c>
      <c r="G176">
        <v>10000</v>
      </c>
      <c r="H176">
        <v>284513.38364912575</v>
      </c>
      <c r="I176">
        <v>41.693108755443248</v>
      </c>
    </row>
    <row r="177" spans="1:9" x14ac:dyDescent="0.2">
      <c r="A177">
        <v>172</v>
      </c>
      <c r="B177">
        <v>1468063.4395472279</v>
      </c>
      <c r="C177">
        <v>137472.22055098414</v>
      </c>
      <c r="D177">
        <v>131272.47829616981</v>
      </c>
      <c r="E177">
        <v>102436.91631785798</v>
      </c>
      <c r="F177">
        <v>43091.786514313244</v>
      </c>
      <c r="G177">
        <v>10000</v>
      </c>
      <c r="H177">
        <v>404273.40167932515</v>
      </c>
      <c r="I177">
        <v>42.878782577882774</v>
      </c>
    </row>
    <row r="178" spans="1:9" x14ac:dyDescent="0.2">
      <c r="A178">
        <v>173</v>
      </c>
      <c r="B178">
        <v>1401732.7259956708</v>
      </c>
      <c r="C178">
        <v>114247.42318507213</v>
      </c>
      <c r="D178">
        <v>92282.972575014166</v>
      </c>
      <c r="E178">
        <v>143621.19890652003</v>
      </c>
      <c r="F178">
        <v>45943.006078143691</v>
      </c>
      <c r="G178">
        <v>10000</v>
      </c>
      <c r="H178">
        <v>386094.60074475</v>
      </c>
      <c r="I178">
        <v>24.687077043038734</v>
      </c>
    </row>
    <row r="179" spans="1:9" x14ac:dyDescent="0.2">
      <c r="A179">
        <v>174</v>
      </c>
      <c r="B179">
        <v>873592.87482221925</v>
      </c>
      <c r="C179">
        <v>117402.28982246021</v>
      </c>
      <c r="D179">
        <v>57261.07213494106</v>
      </c>
      <c r="E179">
        <v>38053.145759486855</v>
      </c>
      <c r="F179">
        <v>38634.448552579859</v>
      </c>
      <c r="G179">
        <v>10000</v>
      </c>
      <c r="H179">
        <v>241350.95626946798</v>
      </c>
      <c r="I179">
        <v>38.053849907311857</v>
      </c>
    </row>
    <row r="180" spans="1:9" x14ac:dyDescent="0.2">
      <c r="A180">
        <v>175</v>
      </c>
      <c r="B180">
        <v>1381646.4548715097</v>
      </c>
      <c r="C180">
        <v>101113.59559490268</v>
      </c>
      <c r="D180">
        <v>69797.633508162675</v>
      </c>
      <c r="E180">
        <v>171785.61561243102</v>
      </c>
      <c r="F180">
        <v>47892.850311629838</v>
      </c>
      <c r="G180">
        <v>10000</v>
      </c>
      <c r="H180">
        <v>380589.69502712623</v>
      </c>
      <c r="I180">
        <v>32.863433100865421</v>
      </c>
    </row>
    <row r="181" spans="1:9" x14ac:dyDescent="0.2">
      <c r="A181">
        <v>176</v>
      </c>
      <c r="B181">
        <v>981833.2327174251</v>
      </c>
      <c r="C181">
        <v>103575.02185464822</v>
      </c>
      <c r="D181">
        <v>68846.512849387873</v>
      </c>
      <c r="E181">
        <v>67893.771492867279</v>
      </c>
      <c r="F181">
        <v>40700.338026429272</v>
      </c>
      <c r="G181">
        <v>10000</v>
      </c>
      <c r="H181">
        <v>271015.64422333264</v>
      </c>
      <c r="I181">
        <v>33.122665525119984</v>
      </c>
    </row>
    <row r="182" spans="1:9" x14ac:dyDescent="0.2">
      <c r="A182">
        <v>177</v>
      </c>
      <c r="B182">
        <v>1509479.5044052061</v>
      </c>
      <c r="C182">
        <v>130470.11945016046</v>
      </c>
      <c r="D182">
        <v>44307.94553696728</v>
      </c>
      <c r="E182">
        <v>200935.06282321041</v>
      </c>
      <c r="F182">
        <v>49910.8889646838</v>
      </c>
      <c r="G182">
        <v>10000</v>
      </c>
      <c r="H182">
        <v>415624.01677502197</v>
      </c>
      <c r="I182">
        <v>32.979368211756416</v>
      </c>
    </row>
    <row r="183" spans="1:9" x14ac:dyDescent="0.2">
      <c r="A183">
        <v>178</v>
      </c>
      <c r="B183">
        <v>1233745.7594727599</v>
      </c>
      <c r="C183">
        <v>104866.43909586484</v>
      </c>
      <c r="D183">
        <v>77186.180437084666</v>
      </c>
      <c r="E183">
        <v>123455.99876428895</v>
      </c>
      <c r="F183">
        <v>44546.953760604621</v>
      </c>
      <c r="G183">
        <v>10000</v>
      </c>
      <c r="H183">
        <v>340055.57205784309</v>
      </c>
      <c r="I183">
        <v>32.046358581581956</v>
      </c>
    </row>
    <row r="184" spans="1:9" x14ac:dyDescent="0.2">
      <c r="A184">
        <v>179</v>
      </c>
      <c r="B184">
        <v>799077.24975408905</v>
      </c>
      <c r="C184">
        <v>75596.245307900288</v>
      </c>
      <c r="D184">
        <v>83964.146012139303</v>
      </c>
      <c r="E184">
        <v>33078.529738334983</v>
      </c>
      <c r="F184">
        <v>38290.052058807807</v>
      </c>
      <c r="G184">
        <v>10000</v>
      </c>
      <c r="H184">
        <v>220928.97311718238</v>
      </c>
      <c r="I184">
        <v>51.858583794176916</v>
      </c>
    </row>
    <row r="185" spans="1:9" x14ac:dyDescent="0.2">
      <c r="A185">
        <v>180</v>
      </c>
      <c r="B185">
        <v>1077414.8056133552</v>
      </c>
      <c r="C185">
        <v>92684.988187887109</v>
      </c>
      <c r="D185">
        <v>93721.475616603231</v>
      </c>
      <c r="E185">
        <v>79313.619625323015</v>
      </c>
      <c r="F185">
        <v>41490.942897137749</v>
      </c>
      <c r="G185">
        <v>10000</v>
      </c>
      <c r="H185">
        <v>297211.02632695111</v>
      </c>
      <c r="I185">
        <v>40.770569964797218</v>
      </c>
    </row>
    <row r="186" spans="1:9" x14ac:dyDescent="0.2">
      <c r="A186">
        <v>181</v>
      </c>
      <c r="B186">
        <v>1499397.2680156117</v>
      </c>
      <c r="C186">
        <v>87191.703892512218</v>
      </c>
      <c r="D186">
        <v>101045.58210533817</v>
      </c>
      <c r="E186">
        <v>185763.04343287912</v>
      </c>
      <c r="F186">
        <v>48860.518391507016</v>
      </c>
      <c r="G186">
        <v>10000</v>
      </c>
      <c r="H186">
        <v>412860.84782223654</v>
      </c>
      <c r="I186">
        <v>29.550219978354662</v>
      </c>
    </row>
    <row r="187" spans="1:9" x14ac:dyDescent="0.2">
      <c r="A187">
        <v>182</v>
      </c>
      <c r="B187">
        <v>1453283.7713207752</v>
      </c>
      <c r="C187">
        <v>113244.760986327</v>
      </c>
      <c r="D187">
        <v>73137.500810844955</v>
      </c>
      <c r="E187">
        <v>175678.23860564287</v>
      </c>
      <c r="F187">
        <v>48162.339595775273</v>
      </c>
      <c r="G187">
        <v>10000</v>
      </c>
      <c r="H187">
        <v>400222.83999859012</v>
      </c>
      <c r="I187">
        <v>31.681872872203975</v>
      </c>
    </row>
    <row r="188" spans="1:9" x14ac:dyDescent="0.2">
      <c r="A188">
        <v>183</v>
      </c>
      <c r="B188">
        <v>1546730.6100935426</v>
      </c>
      <c r="C188">
        <v>142709.63856743553</v>
      </c>
      <c r="D188">
        <v>125161.43323886048</v>
      </c>
      <c r="E188">
        <v>123417.78991347078</v>
      </c>
      <c r="F188">
        <v>44544.308532471056</v>
      </c>
      <c r="G188">
        <v>10000</v>
      </c>
      <c r="H188">
        <v>425833.17025223788</v>
      </c>
      <c r="I188">
        <v>34.098459781421283</v>
      </c>
    </row>
    <row r="189" spans="1:9" x14ac:dyDescent="0.2">
      <c r="A189">
        <v>184</v>
      </c>
      <c r="B189">
        <v>1294441.829935506</v>
      </c>
      <c r="C189">
        <v>84402.576835197789</v>
      </c>
      <c r="D189">
        <v>120004.19960890412</v>
      </c>
      <c r="E189">
        <v>118106.72909348756</v>
      </c>
      <c r="F189">
        <v>44176.619706472215</v>
      </c>
      <c r="G189">
        <v>10000</v>
      </c>
      <c r="H189">
        <v>356690.1252440617</v>
      </c>
      <c r="I189">
        <v>34.860825682822806</v>
      </c>
    </row>
    <row r="190" spans="1:9" x14ac:dyDescent="0.2">
      <c r="A190">
        <v>185</v>
      </c>
      <c r="B190">
        <v>1059544.0229422529</v>
      </c>
      <c r="C190">
        <v>122019.34178942929</v>
      </c>
      <c r="D190">
        <v>96341.289035006193</v>
      </c>
      <c r="E190">
        <v>44847.824058873615</v>
      </c>
      <c r="F190">
        <v>39104.849357922016</v>
      </c>
      <c r="G190">
        <v>10000</v>
      </c>
      <c r="H190">
        <v>292313.30424123118</v>
      </c>
      <c r="I190">
        <v>35.193950388634576</v>
      </c>
    </row>
    <row r="191" spans="1:9" x14ac:dyDescent="0.2">
      <c r="A191">
        <v>186</v>
      </c>
      <c r="B191">
        <v>1699245.8263629081</v>
      </c>
      <c r="C191">
        <v>103518.04992420501</v>
      </c>
      <c r="D191">
        <v>117882.7183304091</v>
      </c>
      <c r="E191">
        <v>205971.62109066697</v>
      </c>
      <c r="F191">
        <v>50259.573767815404</v>
      </c>
      <c r="G191">
        <v>10000</v>
      </c>
      <c r="H191">
        <v>467631.96311309648</v>
      </c>
      <c r="I191">
        <v>34.818377871677342</v>
      </c>
    </row>
    <row r="192" spans="1:9" x14ac:dyDescent="0.2">
      <c r="A192">
        <v>187</v>
      </c>
      <c r="B192">
        <v>1074901.6339464602</v>
      </c>
      <c r="C192">
        <v>100822.99604426316</v>
      </c>
      <c r="D192">
        <v>48679.727608620633</v>
      </c>
      <c r="E192">
        <v>113183.73782400131</v>
      </c>
      <c r="F192">
        <v>43835.797233969322</v>
      </c>
      <c r="G192">
        <v>10000</v>
      </c>
      <c r="H192">
        <v>296522.2587108544</v>
      </c>
      <c r="I192">
        <v>32.720803838342235</v>
      </c>
    </row>
    <row r="193" spans="1:9" x14ac:dyDescent="0.2">
      <c r="A193">
        <v>188</v>
      </c>
      <c r="B193">
        <v>1345662.0866864338</v>
      </c>
      <c r="C193">
        <v>151981.22031904839</v>
      </c>
      <c r="D193">
        <v>135634.67715196218</v>
      </c>
      <c r="E193">
        <v>53413.923101116692</v>
      </c>
      <c r="F193">
        <v>39697.886983923461</v>
      </c>
      <c r="G193">
        <v>10000</v>
      </c>
      <c r="H193">
        <v>370727.70755605068</v>
      </c>
      <c r="I193">
        <v>32.641183824139645</v>
      </c>
    </row>
    <row r="194" spans="1:9" x14ac:dyDescent="0.2">
      <c r="A194">
        <v>189</v>
      </c>
      <c r="B194">
        <v>1468453.2920377702</v>
      </c>
      <c r="C194">
        <v>126041.29042501943</v>
      </c>
      <c r="D194">
        <v>91956.489534907276</v>
      </c>
      <c r="E194">
        <v>149997.98969179357</v>
      </c>
      <c r="F194">
        <v>46384.476209431858</v>
      </c>
      <c r="G194">
        <v>10000</v>
      </c>
      <c r="H194">
        <v>404380.24586115219</v>
      </c>
      <c r="I194">
        <v>44.853562831311194</v>
      </c>
    </row>
    <row r="195" spans="1:9" x14ac:dyDescent="0.2">
      <c r="A195">
        <v>190</v>
      </c>
      <c r="B195">
        <v>858389.75861152099</v>
      </c>
      <c r="C195">
        <v>79803.096392837411</v>
      </c>
      <c r="D195">
        <v>72146.989010867721</v>
      </c>
      <c r="E195">
        <v>55398.946067263496</v>
      </c>
      <c r="F195">
        <v>39835.311650810552</v>
      </c>
      <c r="G195">
        <v>10000</v>
      </c>
      <c r="H195">
        <v>237184.34312177918</v>
      </c>
      <c r="I195">
        <v>42.335248596475708</v>
      </c>
    </row>
    <row r="196" spans="1:9" x14ac:dyDescent="0.2">
      <c r="A196">
        <v>191</v>
      </c>
      <c r="B196">
        <v>1117096.2106685475</v>
      </c>
      <c r="C196">
        <v>123946.84357803327</v>
      </c>
      <c r="D196">
        <v>62248.793633125737</v>
      </c>
      <c r="E196">
        <v>89681.854216275577</v>
      </c>
      <c r="F196">
        <v>42208.743753434464</v>
      </c>
      <c r="G196">
        <v>10000</v>
      </c>
      <c r="H196">
        <v>308086.235180869</v>
      </c>
      <c r="I196">
        <v>38.13678251145825</v>
      </c>
    </row>
    <row r="197" spans="1:9" x14ac:dyDescent="0.2">
      <c r="A197">
        <v>192</v>
      </c>
      <c r="B197">
        <v>1015225.6514757085</v>
      </c>
      <c r="C197">
        <v>105532.54870107256</v>
      </c>
      <c r="D197">
        <v>65106.658438934159</v>
      </c>
      <c r="E197">
        <v>78119.774762340225</v>
      </c>
      <c r="F197">
        <v>41408.292098931241</v>
      </c>
      <c r="G197">
        <v>10000</v>
      </c>
      <c r="H197">
        <v>280167.27400127822</v>
      </c>
      <c r="I197">
        <v>39.692956053513896</v>
      </c>
    </row>
    <row r="198" spans="1:9" x14ac:dyDescent="0.2">
      <c r="A198">
        <v>193</v>
      </c>
      <c r="B198">
        <v>832768.92138234153</v>
      </c>
      <c r="C198">
        <v>99725.170083851888</v>
      </c>
      <c r="D198">
        <v>68653.730571551816</v>
      </c>
      <c r="E198">
        <v>33466.785130477881</v>
      </c>
      <c r="F198">
        <v>38316.931278263852</v>
      </c>
      <c r="G198">
        <v>10000</v>
      </c>
      <c r="H198">
        <v>230162.61706414545</v>
      </c>
      <c r="I198">
        <v>50.17589694887036</v>
      </c>
    </row>
    <row r="199" spans="1:9" x14ac:dyDescent="0.2">
      <c r="A199">
        <v>194</v>
      </c>
      <c r="B199">
        <v>1295446.9351346518</v>
      </c>
      <c r="C199">
        <v>111946.54077840447</v>
      </c>
      <c r="D199">
        <v>79093.249689736636</v>
      </c>
      <c r="E199">
        <v>130865.85332985215</v>
      </c>
      <c r="F199">
        <v>45059.943692066685</v>
      </c>
      <c r="G199">
        <v>10000</v>
      </c>
      <c r="H199">
        <v>356965.58749005996</v>
      </c>
      <c r="I199">
        <v>34.279789445227877</v>
      </c>
    </row>
    <row r="200" spans="1:9" x14ac:dyDescent="0.2">
      <c r="A200">
        <v>195</v>
      </c>
      <c r="B200">
        <v>1041139.0700226601</v>
      </c>
      <c r="C200">
        <v>104066.64699279862</v>
      </c>
      <c r="D200">
        <v>83461.910951574042</v>
      </c>
      <c r="E200">
        <v>68966.054830553883</v>
      </c>
      <c r="F200">
        <v>40774.573026730657</v>
      </c>
      <c r="G200">
        <v>10000</v>
      </c>
      <c r="H200">
        <v>287269.18580165721</v>
      </c>
      <c r="I200">
        <v>40.350533090876965</v>
      </c>
    </row>
    <row r="201" spans="1:9" x14ac:dyDescent="0.2">
      <c r="A201">
        <v>196</v>
      </c>
      <c r="B201">
        <v>1232679.1387480325</v>
      </c>
      <c r="C201">
        <v>88029.885963011635</v>
      </c>
      <c r="D201">
        <v>124462.10795129865</v>
      </c>
      <c r="E201">
        <v>94714.125029151299</v>
      </c>
      <c r="F201">
        <v>42557.131732787399</v>
      </c>
      <c r="G201">
        <v>10000</v>
      </c>
      <c r="H201">
        <v>339763.25067624898</v>
      </c>
      <c r="I201">
        <v>33.898308844153263</v>
      </c>
    </row>
    <row r="202" spans="1:9" x14ac:dyDescent="0.2">
      <c r="A202">
        <v>197</v>
      </c>
      <c r="B202">
        <v>1055206.4696448275</v>
      </c>
      <c r="C202">
        <v>131323.98564180697</v>
      </c>
      <c r="D202">
        <v>81872.234836906762</v>
      </c>
      <c r="E202">
        <v>48566.055108771383</v>
      </c>
      <c r="F202">
        <v>39362.265353684175</v>
      </c>
      <c r="G202">
        <v>10000</v>
      </c>
      <c r="H202">
        <v>291124.54094116931</v>
      </c>
      <c r="I202">
        <v>37.370593078793391</v>
      </c>
    </row>
    <row r="203" spans="1:9" x14ac:dyDescent="0.2">
      <c r="A203">
        <v>198</v>
      </c>
      <c r="B203">
        <v>1153835.472569695</v>
      </c>
      <c r="C203">
        <v>126486.47982091919</v>
      </c>
      <c r="D203">
        <v>54967.504863874412</v>
      </c>
      <c r="E203">
        <v>103533.42764187293</v>
      </c>
      <c r="F203">
        <v>43167.698836745047</v>
      </c>
      <c r="G203">
        <v>10000</v>
      </c>
      <c r="H203">
        <v>318155.11116341158</v>
      </c>
      <c r="I203">
        <v>36.747969590924171</v>
      </c>
    </row>
    <row r="204" spans="1:9" x14ac:dyDescent="0.2">
      <c r="A204">
        <v>199</v>
      </c>
      <c r="B204">
        <v>1340757.5211639153</v>
      </c>
      <c r="C204">
        <v>137590.51191834477</v>
      </c>
      <c r="D204">
        <v>78445.783869257473</v>
      </c>
      <c r="E204">
        <v>119101.74585815055</v>
      </c>
      <c r="F204">
        <v>44245.505482487351</v>
      </c>
      <c r="G204">
        <v>10000</v>
      </c>
      <c r="H204">
        <v>369383.54712824011</v>
      </c>
      <c r="I204">
        <v>53.291398549383281</v>
      </c>
    </row>
    <row r="205" spans="1:9" x14ac:dyDescent="0.2">
      <c r="A205">
        <v>200</v>
      </c>
      <c r="B205">
        <v>1382113.508129701</v>
      </c>
      <c r="C205">
        <v>100782.30452660086</v>
      </c>
      <c r="D205">
        <v>100442.15773492788</v>
      </c>
      <c r="E205">
        <v>143554.8239408611</v>
      </c>
      <c r="F205">
        <v>45938.410888213461</v>
      </c>
      <c r="G205">
        <v>10000</v>
      </c>
      <c r="H205">
        <v>380717.69709060329</v>
      </c>
      <c r="I205">
        <v>36.866332606829722</v>
      </c>
    </row>
    <row r="206" spans="1:9" x14ac:dyDescent="0.2">
      <c r="A206">
        <v>201</v>
      </c>
      <c r="B206">
        <v>1252885.4122422389</v>
      </c>
      <c r="C206">
        <v>157699.1845286866</v>
      </c>
      <c r="D206">
        <v>105310.11990317877</v>
      </c>
      <c r="E206">
        <v>52646.951250722683</v>
      </c>
      <c r="F206">
        <v>39644.78893274234</v>
      </c>
      <c r="G206">
        <v>10000</v>
      </c>
      <c r="H206">
        <v>345301.04461533035</v>
      </c>
      <c r="I206">
        <v>44.823637508350934</v>
      </c>
    </row>
    <row r="207" spans="1:9" x14ac:dyDescent="0.2">
      <c r="A207">
        <v>202</v>
      </c>
      <c r="B207">
        <v>1247634.6457023462</v>
      </c>
      <c r="C207">
        <v>100037.6383561634</v>
      </c>
      <c r="D207">
        <v>77624.835190067184</v>
      </c>
      <c r="E207">
        <v>131121.86232570777</v>
      </c>
      <c r="F207">
        <v>45077.667391779767</v>
      </c>
      <c r="G207">
        <v>10000</v>
      </c>
      <c r="H207">
        <v>343862.00326371816</v>
      </c>
      <c r="I207">
        <v>43.507223424538935</v>
      </c>
    </row>
    <row r="208" spans="1:9" x14ac:dyDescent="0.2">
      <c r="A208">
        <v>203</v>
      </c>
      <c r="B208">
        <v>978097.01676577458</v>
      </c>
      <c r="C208">
        <v>97713.898212844462</v>
      </c>
      <c r="D208">
        <v>88956.235518311849</v>
      </c>
      <c r="E208">
        <v>53610.084201055659</v>
      </c>
      <c r="F208">
        <v>39711.467367765399</v>
      </c>
      <c r="G208">
        <v>10000</v>
      </c>
      <c r="H208">
        <v>269991.68529997737</v>
      </c>
      <c r="I208">
        <v>36.834598767241445</v>
      </c>
    </row>
    <row r="209" spans="1:9" x14ac:dyDescent="0.2">
      <c r="A209">
        <v>204</v>
      </c>
      <c r="B209">
        <v>1143225.1603318232</v>
      </c>
      <c r="C209">
        <v>83513.448399838075</v>
      </c>
      <c r="D209">
        <v>115297.91854825628</v>
      </c>
      <c r="E209">
        <v>84580.290580255518</v>
      </c>
      <c r="F209">
        <v>41855.55857863307</v>
      </c>
      <c r="G209">
        <v>10000</v>
      </c>
      <c r="H209">
        <v>315247.2161069829</v>
      </c>
      <c r="I209">
        <v>40.495337410064622</v>
      </c>
    </row>
    <row r="210" spans="1:9" x14ac:dyDescent="0.2">
      <c r="A210">
        <v>205</v>
      </c>
      <c r="B210">
        <v>1429594.1222084297</v>
      </c>
      <c r="C210">
        <v>96301.182737897412</v>
      </c>
      <c r="D210">
        <v>116328.95881112995</v>
      </c>
      <c r="E210">
        <v>145057.77822325355</v>
      </c>
      <c r="F210">
        <v>46042.46156930217</v>
      </c>
      <c r="G210">
        <v>10000</v>
      </c>
      <c r="H210">
        <v>393730.3813415831</v>
      </c>
      <c r="I210">
        <v>35.967770358129734</v>
      </c>
    </row>
    <row r="211" spans="1:9" x14ac:dyDescent="0.2">
      <c r="A211">
        <v>206</v>
      </c>
      <c r="B211">
        <v>942304.07725889212</v>
      </c>
      <c r="C211">
        <v>113745.70338718402</v>
      </c>
      <c r="D211">
        <v>71676.025455502837</v>
      </c>
      <c r="E211">
        <v>45603.282215806932</v>
      </c>
      <c r="F211">
        <v>39157.150307248172</v>
      </c>
      <c r="G211">
        <v>10000</v>
      </c>
      <c r="H211">
        <v>260182.16136574198</v>
      </c>
      <c r="I211">
        <v>25.590778402302316</v>
      </c>
    </row>
    <row r="212" spans="1:9" x14ac:dyDescent="0.2">
      <c r="A212">
        <v>207</v>
      </c>
      <c r="B212">
        <v>1450922.3193061412</v>
      </c>
      <c r="C212">
        <v>97597.935565337291</v>
      </c>
      <c r="D212">
        <v>71107.921022066148</v>
      </c>
      <c r="E212">
        <v>191604.84569724966</v>
      </c>
      <c r="F212">
        <v>49264.950855963434</v>
      </c>
      <c r="G212">
        <v>10000</v>
      </c>
      <c r="H212">
        <v>399575.65314061654</v>
      </c>
      <c r="I212">
        <v>41.464427635124622</v>
      </c>
    </row>
    <row r="213" spans="1:9" x14ac:dyDescent="0.2">
      <c r="A213">
        <v>208</v>
      </c>
      <c r="B213">
        <v>1217573.9883394835</v>
      </c>
      <c r="C213">
        <v>106520.26750112098</v>
      </c>
      <c r="D213">
        <v>78786.248608214068</v>
      </c>
      <c r="E213">
        <v>116267.66999982993</v>
      </c>
      <c r="F213">
        <v>44049.300230757457</v>
      </c>
      <c r="G213">
        <v>10000</v>
      </c>
      <c r="H213">
        <v>335623.48633992241</v>
      </c>
      <c r="I213">
        <v>39.794427464193618</v>
      </c>
    </row>
    <row r="214" spans="1:9" x14ac:dyDescent="0.2">
      <c r="A214">
        <v>209</v>
      </c>
      <c r="B214">
        <v>966823.78860195179</v>
      </c>
      <c r="C214">
        <v>99857.046596524218</v>
      </c>
      <c r="D214">
        <v>73889.311819473543</v>
      </c>
      <c r="E214">
        <v>62807.536938564168</v>
      </c>
      <c r="F214">
        <v>40348.214095746749</v>
      </c>
      <c r="G214">
        <v>10000</v>
      </c>
      <c r="H214">
        <v>266902.10945030866</v>
      </c>
      <c r="I214">
        <v>29.257433699985008</v>
      </c>
    </row>
    <row r="215" spans="1:9" x14ac:dyDescent="0.2">
      <c r="A215">
        <v>210</v>
      </c>
      <c r="B215">
        <v>1616069.5990527351</v>
      </c>
      <c r="C215">
        <v>126773.69919425482</v>
      </c>
      <c r="D215">
        <v>95082.843022113026</v>
      </c>
      <c r="E215">
        <v>184225.79289774402</v>
      </c>
      <c r="F215">
        <v>48754.093354459197</v>
      </c>
      <c r="G215">
        <v>10000</v>
      </c>
      <c r="H215">
        <v>444836.4284685711</v>
      </c>
      <c r="I215">
        <v>28.434740378976201</v>
      </c>
    </row>
    <row r="216" spans="1:9" x14ac:dyDescent="0.2">
      <c r="A216">
        <v>211</v>
      </c>
      <c r="B216">
        <v>1469899.6135126597</v>
      </c>
      <c r="C216">
        <v>130809.69719567419</v>
      </c>
      <c r="D216">
        <v>58226.707976038015</v>
      </c>
      <c r="E216">
        <v>177454.88578853087</v>
      </c>
      <c r="F216">
        <v>48285.338246898289</v>
      </c>
      <c r="G216">
        <v>10000</v>
      </c>
      <c r="H216">
        <v>404776.62920714135</v>
      </c>
      <c r="I216">
        <v>31.645527245140244</v>
      </c>
    </row>
    <row r="217" spans="1:9" x14ac:dyDescent="0.2">
      <c r="A217">
        <v>212</v>
      </c>
      <c r="B217">
        <v>1329927.2279038911</v>
      </c>
      <c r="C217">
        <v>92643.619335808195</v>
      </c>
      <c r="D217">
        <v>164887.11314155077</v>
      </c>
      <c r="E217">
        <v>77518.000135147595</v>
      </c>
      <c r="F217">
        <v>41366.63077858714</v>
      </c>
      <c r="G217">
        <v>10000</v>
      </c>
      <c r="H217">
        <v>366415.36339109368</v>
      </c>
      <c r="I217">
        <v>30.763456671771927</v>
      </c>
    </row>
    <row r="218" spans="1:9" x14ac:dyDescent="0.2">
      <c r="A218">
        <v>213</v>
      </c>
      <c r="B218">
        <v>1780221.6038279908</v>
      </c>
      <c r="C218">
        <v>106092.40532510709</v>
      </c>
      <c r="D218">
        <v>169092.43838086331</v>
      </c>
      <c r="E218">
        <v>176425.51764851349</v>
      </c>
      <c r="F218">
        <v>48214.074298743239</v>
      </c>
      <c r="G218">
        <v>10000</v>
      </c>
      <c r="H218">
        <v>489824.43565322709</v>
      </c>
      <c r="I218">
        <v>36.139143994586718</v>
      </c>
    </row>
    <row r="219" spans="1:9" x14ac:dyDescent="0.2">
      <c r="A219">
        <v>214</v>
      </c>
      <c r="B219">
        <v>1041970.9122222968</v>
      </c>
      <c r="C219">
        <v>128116.64589265249</v>
      </c>
      <c r="D219">
        <v>74350.582109922412</v>
      </c>
      <c r="E219">
        <v>55207.852924873354</v>
      </c>
      <c r="F219">
        <v>39822.082125568159</v>
      </c>
      <c r="G219">
        <v>10000</v>
      </c>
      <c r="H219">
        <v>287497.16305301641</v>
      </c>
      <c r="I219">
        <v>32.016618291517915</v>
      </c>
    </row>
    <row r="220" spans="1:9" x14ac:dyDescent="0.2">
      <c r="A220">
        <v>215</v>
      </c>
      <c r="B220">
        <v>1222372.8819050984</v>
      </c>
      <c r="C220">
        <v>137067.56820229604</v>
      </c>
      <c r="D220">
        <v>46449.19563336407</v>
      </c>
      <c r="E220">
        <v>119171.58186508747</v>
      </c>
      <c r="F220">
        <v>44250.340282967591</v>
      </c>
      <c r="G220">
        <v>10000</v>
      </c>
      <c r="H220">
        <v>336938.68598371517</v>
      </c>
      <c r="I220">
        <v>37.190508102649865</v>
      </c>
    </row>
    <row r="221" spans="1:9" x14ac:dyDescent="0.2">
      <c r="A221">
        <v>216</v>
      </c>
      <c r="B221">
        <v>1188102.3912567522</v>
      </c>
      <c r="C221">
        <v>133216.71828129262</v>
      </c>
      <c r="D221">
        <v>68393.509222976121</v>
      </c>
      <c r="E221">
        <v>93465.4935807734</v>
      </c>
      <c r="F221">
        <v>42470.688017130466</v>
      </c>
      <c r="G221">
        <v>10000</v>
      </c>
      <c r="H221">
        <v>327546.40910217265</v>
      </c>
      <c r="I221">
        <v>27.196593944894268</v>
      </c>
    </row>
    <row r="222" spans="1:9" x14ac:dyDescent="0.2">
      <c r="A222">
        <v>217</v>
      </c>
      <c r="B222">
        <v>1843064.7682862389</v>
      </c>
      <c r="C222">
        <v>132180.00588673085</v>
      </c>
      <c r="D222">
        <v>141336.02888789901</v>
      </c>
      <c r="E222">
        <v>194094.10884145246</v>
      </c>
      <c r="F222">
        <v>49437.284458254406</v>
      </c>
      <c r="G222">
        <v>10000</v>
      </c>
      <c r="H222">
        <v>507047.42807433673</v>
      </c>
      <c r="I222">
        <v>37.253427311448846</v>
      </c>
    </row>
    <row r="223" spans="1:9" x14ac:dyDescent="0.2">
      <c r="A223">
        <v>218</v>
      </c>
      <c r="B223">
        <v>1143188.8259317784</v>
      </c>
      <c r="C223">
        <v>110175.17542757695</v>
      </c>
      <c r="D223">
        <v>69870.139710874631</v>
      </c>
      <c r="E223">
        <v>102121.96112612743</v>
      </c>
      <c r="F223">
        <v>43069.981924116517</v>
      </c>
      <c r="G223">
        <v>10000</v>
      </c>
      <c r="H223">
        <v>315237.25818869553</v>
      </c>
      <c r="I223">
        <v>36.36819492339179</v>
      </c>
    </row>
    <row r="224" spans="1:9" x14ac:dyDescent="0.2">
      <c r="A224">
        <v>219</v>
      </c>
      <c r="B224">
        <v>1526454.7709288388</v>
      </c>
      <c r="C224">
        <v>141209.82318531952</v>
      </c>
      <c r="D224">
        <v>166017.02570284595</v>
      </c>
      <c r="E224">
        <v>81413.165938308288</v>
      </c>
      <c r="F224">
        <v>41636.296103421344</v>
      </c>
      <c r="G224">
        <v>10000</v>
      </c>
      <c r="H224">
        <v>420276.31092989509</v>
      </c>
      <c r="I224">
        <v>33.973023451245723</v>
      </c>
    </row>
    <row r="225" spans="1:9" x14ac:dyDescent="0.2">
      <c r="A225">
        <v>220</v>
      </c>
      <c r="B225">
        <v>1360920.9371063672</v>
      </c>
      <c r="C225">
        <v>106837.77618656437</v>
      </c>
      <c r="D225">
        <v>87171.144015752187</v>
      </c>
      <c r="E225">
        <v>144871.13507122712</v>
      </c>
      <c r="F225">
        <v>46029.540120315723</v>
      </c>
      <c r="G225">
        <v>10000</v>
      </c>
      <c r="H225">
        <v>374909.59539385943</v>
      </c>
      <c r="I225">
        <v>32.918736278635706</v>
      </c>
    </row>
    <row r="226" spans="1:9" x14ac:dyDescent="0.2">
      <c r="A226">
        <v>221</v>
      </c>
      <c r="B226">
        <v>1194638.1345742522</v>
      </c>
      <c r="C226">
        <v>134710.38899730597</v>
      </c>
      <c r="D226">
        <v>131121.81812863509</v>
      </c>
      <c r="E226">
        <v>35077.000330829374</v>
      </c>
      <c r="F226">
        <v>38428.407715211266</v>
      </c>
      <c r="G226">
        <v>10000</v>
      </c>
      <c r="H226">
        <v>329337.61517198168</v>
      </c>
      <c r="I226">
        <v>42.524286566546436</v>
      </c>
    </row>
    <row r="227" spans="1:9" x14ac:dyDescent="0.2">
      <c r="A227">
        <v>222</v>
      </c>
      <c r="B227">
        <v>1489790.6180558747</v>
      </c>
      <c r="C227">
        <v>78466.756108766596</v>
      </c>
      <c r="D227">
        <v>87986.391503481529</v>
      </c>
      <c r="E227">
        <v>203674.34067093511</v>
      </c>
      <c r="F227">
        <v>50100.531277218586</v>
      </c>
      <c r="G227">
        <v>10000</v>
      </c>
      <c r="H227">
        <v>410228.01956040185</v>
      </c>
      <c r="I227">
        <v>43.488993460798369</v>
      </c>
    </row>
    <row r="228" spans="1:9" x14ac:dyDescent="0.2">
      <c r="A228">
        <v>223</v>
      </c>
      <c r="B228">
        <v>1445635.5767751341</v>
      </c>
      <c r="C228">
        <v>135199.84701525158</v>
      </c>
      <c r="D228">
        <v>91206.771730720517</v>
      </c>
      <c r="E228">
        <v>136285.01680347419</v>
      </c>
      <c r="F228">
        <v>45435.116547932827</v>
      </c>
      <c r="G228">
        <v>10000</v>
      </c>
      <c r="H228">
        <v>398126.75209737918</v>
      </c>
      <c r="I228">
        <v>29.767627625548162</v>
      </c>
    </row>
    <row r="229" spans="1:9" x14ac:dyDescent="0.2">
      <c r="A229">
        <v>224</v>
      </c>
      <c r="B229">
        <v>1380647.1943330704</v>
      </c>
      <c r="C229">
        <v>84322.711959563283</v>
      </c>
      <c r="D229">
        <v>64247.994763294424</v>
      </c>
      <c r="E229">
        <v>192423.50088009154</v>
      </c>
      <c r="F229">
        <v>49321.62698400634</v>
      </c>
      <c r="G229">
        <v>10000</v>
      </c>
      <c r="H229">
        <v>380315.83458695555</v>
      </c>
      <c r="I229">
        <v>27.46826917277734</v>
      </c>
    </row>
    <row r="230" spans="1:9" x14ac:dyDescent="0.2">
      <c r="A230">
        <v>225</v>
      </c>
      <c r="B230">
        <v>1042323.2953426992</v>
      </c>
      <c r="C230">
        <v>147481.64352769533</v>
      </c>
      <c r="D230">
        <v>78333.502020916392</v>
      </c>
      <c r="E230">
        <v>33461.993186243941</v>
      </c>
      <c r="F230">
        <v>38316.599528278421</v>
      </c>
      <c r="G230">
        <v>10000</v>
      </c>
      <c r="H230">
        <v>287593.73826313403</v>
      </c>
      <c r="I230">
        <v>51.550625075031142</v>
      </c>
    </row>
    <row r="231" spans="1:9" x14ac:dyDescent="0.2">
      <c r="A231">
        <v>226</v>
      </c>
      <c r="B231">
        <v>1160301.0957937445</v>
      </c>
      <c r="C231">
        <v>113168.23286722701</v>
      </c>
      <c r="D231">
        <v>149233.44111452613</v>
      </c>
      <c r="E231">
        <v>29484.211293333385</v>
      </c>
      <c r="F231">
        <v>38041.214628000002</v>
      </c>
      <c r="G231">
        <v>10000</v>
      </c>
      <c r="H231">
        <v>319927.09990308649</v>
      </c>
      <c r="I231">
        <v>45.544193745360985</v>
      </c>
    </row>
    <row r="232" spans="1:9" x14ac:dyDescent="0.2">
      <c r="A232">
        <v>227</v>
      </c>
      <c r="B232">
        <v>1417173.3947423645</v>
      </c>
      <c r="C232">
        <v>104087.51830104258</v>
      </c>
      <c r="D232">
        <v>99187.987151075722</v>
      </c>
      <c r="E232">
        <v>150623.06235392514</v>
      </c>
      <c r="F232">
        <v>46427.750470656349</v>
      </c>
      <c r="G232">
        <v>10000</v>
      </c>
      <c r="H232">
        <v>390326.31827669975</v>
      </c>
      <c r="I232">
        <v>26.630900285324021</v>
      </c>
    </row>
    <row r="233" spans="1:9" x14ac:dyDescent="0.2">
      <c r="A233">
        <v>228</v>
      </c>
      <c r="B233">
        <v>1503271.9856634145</v>
      </c>
      <c r="C233">
        <v>156952.16957661867</v>
      </c>
      <c r="D233">
        <v>77538.608859210988</v>
      </c>
      <c r="E233">
        <v>143497.54134390492</v>
      </c>
      <c r="F233">
        <v>45934.445169962652</v>
      </c>
      <c r="G233">
        <v>10000</v>
      </c>
      <c r="H233">
        <v>413922.76494969724</v>
      </c>
      <c r="I233">
        <v>29.047689340648738</v>
      </c>
    </row>
    <row r="234" spans="1:9" x14ac:dyDescent="0.2">
      <c r="A234">
        <v>229</v>
      </c>
      <c r="B234">
        <v>1600007.1358449054</v>
      </c>
      <c r="C234">
        <v>162858.39515797369</v>
      </c>
      <c r="D234">
        <v>71333.691424079123</v>
      </c>
      <c r="E234">
        <v>168571.854293993</v>
      </c>
      <c r="F234">
        <v>47670.359143430287</v>
      </c>
      <c r="G234">
        <v>10000</v>
      </c>
      <c r="H234">
        <v>440434.30001947616</v>
      </c>
      <c r="I234">
        <v>35.056460739911671</v>
      </c>
    </row>
    <row r="235" spans="1:9" x14ac:dyDescent="0.2">
      <c r="A235">
        <v>230</v>
      </c>
      <c r="B235">
        <v>1363610.2861519549</v>
      </c>
      <c r="C235">
        <v>87948.029984499692</v>
      </c>
      <c r="D235">
        <v>112773.269275661</v>
      </c>
      <c r="E235">
        <v>139282.69907100283</v>
      </c>
      <c r="F235">
        <v>45642.648397223275</v>
      </c>
      <c r="G235">
        <v>10000</v>
      </c>
      <c r="H235">
        <v>375646.64672838681</v>
      </c>
      <c r="I235">
        <v>41.794379196470643</v>
      </c>
    </row>
    <row r="236" spans="1:9" x14ac:dyDescent="0.2">
      <c r="A236">
        <v>231</v>
      </c>
      <c r="B236">
        <v>1641490.4896880663</v>
      </c>
      <c r="C236">
        <v>117143.93941072709</v>
      </c>
      <c r="D236">
        <v>126472.95427313902</v>
      </c>
      <c r="E236">
        <v>170390.21706249996</v>
      </c>
      <c r="F236">
        <v>47796.245796634612</v>
      </c>
      <c r="G236">
        <v>10000</v>
      </c>
      <c r="H236">
        <v>451803.35654300067</v>
      </c>
      <c r="I236">
        <v>40.56990010997427</v>
      </c>
    </row>
    <row r="237" spans="1:9" x14ac:dyDescent="0.2">
      <c r="A237">
        <v>232</v>
      </c>
      <c r="B237">
        <v>1239969.9012217508</v>
      </c>
      <c r="C237">
        <v>79176.315655111699</v>
      </c>
      <c r="D237">
        <v>125913.34095371202</v>
      </c>
      <c r="E237">
        <v>103505.92801106597</v>
      </c>
      <c r="F237">
        <v>43165.795016150718</v>
      </c>
      <c r="G237">
        <v>10000</v>
      </c>
      <c r="H237">
        <v>341761.37963604042</v>
      </c>
      <c r="I237">
        <v>35.410049899164378</v>
      </c>
    </row>
    <row r="238" spans="1:9" x14ac:dyDescent="0.2">
      <c r="A238">
        <v>233</v>
      </c>
      <c r="B238">
        <v>1499258.2105601875</v>
      </c>
      <c r="C238">
        <v>102949.02914908157</v>
      </c>
      <c r="D238">
        <v>76941.560251293165</v>
      </c>
      <c r="E238">
        <v>193533.66350794394</v>
      </c>
      <c r="F238">
        <v>49398.48439670381</v>
      </c>
      <c r="G238">
        <v>10000</v>
      </c>
      <c r="H238">
        <v>412822.73730502249</v>
      </c>
      <c r="I238">
        <v>40.133092034069115</v>
      </c>
    </row>
    <row r="239" spans="1:9" x14ac:dyDescent="0.2">
      <c r="A239">
        <v>234</v>
      </c>
      <c r="B239">
        <v>752250.11285545956</v>
      </c>
      <c r="C239">
        <v>98907.307495789879</v>
      </c>
      <c r="D239">
        <v>47304.827954535263</v>
      </c>
      <c r="E239">
        <v>33559.871666423445</v>
      </c>
      <c r="F239">
        <v>38323.375730752392</v>
      </c>
      <c r="G239">
        <v>10000</v>
      </c>
      <c r="H239">
        <v>208095.38284750099</v>
      </c>
      <c r="I239">
        <v>32.703482226543528</v>
      </c>
    </row>
    <row r="240" spans="1:9" x14ac:dyDescent="0.2">
      <c r="A240">
        <v>235</v>
      </c>
      <c r="B240">
        <v>1103968.7171810882</v>
      </c>
      <c r="C240">
        <v>156846.11378140037</v>
      </c>
      <c r="D240">
        <v>84834.444480054663</v>
      </c>
      <c r="E240">
        <v>34424.669049422846</v>
      </c>
      <c r="F240">
        <v>38383.246318806203</v>
      </c>
      <c r="G240">
        <v>10000</v>
      </c>
      <c r="H240">
        <v>304488.47362968407</v>
      </c>
      <c r="I240">
        <v>36.659160291278283</v>
      </c>
    </row>
    <row r="241" spans="1:9" x14ac:dyDescent="0.2">
      <c r="A241">
        <v>236</v>
      </c>
      <c r="B241">
        <v>1707879.7897128402</v>
      </c>
      <c r="C241">
        <v>85349.804983120281</v>
      </c>
      <c r="D241">
        <v>161144.40383675747</v>
      </c>
      <c r="E241">
        <v>184715.97594428944</v>
      </c>
      <c r="F241">
        <v>48788.029103835426</v>
      </c>
      <c r="G241">
        <v>10000</v>
      </c>
      <c r="H241">
        <v>469998.21386800258</v>
      </c>
      <c r="I241">
        <v>39.576922490511308</v>
      </c>
    </row>
    <row r="242" spans="1:9" x14ac:dyDescent="0.2">
      <c r="A242">
        <v>237</v>
      </c>
      <c r="B242">
        <v>1227362.1882183203</v>
      </c>
      <c r="C242">
        <v>103983.34873483233</v>
      </c>
      <c r="D242">
        <v>73983.426216734515</v>
      </c>
      <c r="E242">
        <v>125641.06799914017</v>
      </c>
      <c r="F242">
        <v>44698.227784555864</v>
      </c>
      <c r="G242">
        <v>10000</v>
      </c>
      <c r="H242">
        <v>338306.07073526288</v>
      </c>
      <c r="I242">
        <v>42.040309416032073</v>
      </c>
    </row>
    <row r="243" spans="1:9" x14ac:dyDescent="0.2">
      <c r="A243">
        <v>238</v>
      </c>
      <c r="B243">
        <v>1023912.493601209</v>
      </c>
      <c r="C243">
        <v>81017.832073092446</v>
      </c>
      <c r="D243">
        <v>87351.085254517995</v>
      </c>
      <c r="E243">
        <v>82469.661449353458</v>
      </c>
      <c r="F243">
        <v>41709.438100339852</v>
      </c>
      <c r="G243">
        <v>10000</v>
      </c>
      <c r="H243">
        <v>282548.01687730371</v>
      </c>
      <c r="I243">
        <v>56.236643120846225</v>
      </c>
    </row>
    <row r="244" spans="1:9" x14ac:dyDescent="0.2">
      <c r="A244">
        <v>239</v>
      </c>
      <c r="B244">
        <v>1218953.442273271</v>
      </c>
      <c r="C244">
        <v>131670.88956004288</v>
      </c>
      <c r="D244">
        <v>102872.88443064068</v>
      </c>
      <c r="E244">
        <v>70572.014892498279</v>
      </c>
      <c r="F244">
        <v>40885.754877172956</v>
      </c>
      <c r="G244">
        <v>10000</v>
      </c>
      <c r="H244">
        <v>336001.54376035475</v>
      </c>
      <c r="I244">
        <v>35.256829024545993</v>
      </c>
    </row>
    <row r="245" spans="1:9" x14ac:dyDescent="0.2">
      <c r="A245">
        <v>240</v>
      </c>
      <c r="B245">
        <v>1224176.8788054443</v>
      </c>
      <c r="C245">
        <v>105501.20851188319</v>
      </c>
      <c r="D245">
        <v>152289.71863228438</v>
      </c>
      <c r="E245">
        <v>50168.933933477718</v>
      </c>
      <c r="F245">
        <v>39473.233887702307</v>
      </c>
      <c r="G245">
        <v>10000</v>
      </c>
      <c r="H245">
        <v>337433.09496534755</v>
      </c>
      <c r="I245">
        <v>35.214538268955863</v>
      </c>
    </row>
    <row r="246" spans="1:9" x14ac:dyDescent="0.2">
      <c r="A246">
        <v>241</v>
      </c>
      <c r="B246">
        <v>1633085.5464857863</v>
      </c>
      <c r="C246">
        <v>108796.83085745132</v>
      </c>
      <c r="D246">
        <v>124410.40054878722</v>
      </c>
      <c r="E246">
        <v>177971.53414339578</v>
      </c>
      <c r="F246">
        <v>48321.106209927391</v>
      </c>
      <c r="G246">
        <v>10000</v>
      </c>
      <c r="H246">
        <v>449499.87175956176</v>
      </c>
      <c r="I246">
        <v>49.930853094482586</v>
      </c>
    </row>
    <row r="247" spans="1:9" x14ac:dyDescent="0.2">
      <c r="A247">
        <v>242</v>
      </c>
      <c r="B247">
        <v>1303969.0054303932</v>
      </c>
      <c r="C247">
        <v>141131.45058093453</v>
      </c>
      <c r="D247">
        <v>144723.1565038937</v>
      </c>
      <c r="E247">
        <v>44374.485628626899</v>
      </c>
      <c r="F247">
        <v>39072.079774289552</v>
      </c>
      <c r="G247">
        <v>10000</v>
      </c>
      <c r="H247">
        <v>359301.17248774465</v>
      </c>
      <c r="I247">
        <v>37.0450591291157</v>
      </c>
    </row>
    <row r="248" spans="1:9" x14ac:dyDescent="0.2">
      <c r="A248">
        <v>243</v>
      </c>
      <c r="B248">
        <v>1089285.1112926009</v>
      </c>
      <c r="C248">
        <v>96986.997476660021</v>
      </c>
      <c r="D248">
        <v>74482.677509126603</v>
      </c>
      <c r="E248">
        <v>96325.851321439113</v>
      </c>
      <c r="F248">
        <v>42668.71278379194</v>
      </c>
      <c r="G248">
        <v>10000</v>
      </c>
      <c r="H248">
        <v>300464.23909101763</v>
      </c>
      <c r="I248">
        <v>35.750685122534776</v>
      </c>
    </row>
    <row r="249" spans="1:9" x14ac:dyDescent="0.2">
      <c r="A249">
        <v>244</v>
      </c>
      <c r="B249">
        <v>934417.47980343935</v>
      </c>
      <c r="C249">
        <v>103510.12717579087</v>
      </c>
      <c r="D249">
        <v>96794.048223246427</v>
      </c>
      <c r="E249">
        <v>29662.970368844446</v>
      </c>
      <c r="F249">
        <v>38053.590256304611</v>
      </c>
      <c r="G249">
        <v>10000</v>
      </c>
      <c r="H249">
        <v>258020.73602418636</v>
      </c>
      <c r="I249">
        <v>26.995214819275372</v>
      </c>
    </row>
    <row r="250" spans="1:9" x14ac:dyDescent="0.2">
      <c r="A250">
        <v>245</v>
      </c>
      <c r="B250">
        <v>1287948.8798464611</v>
      </c>
      <c r="C250">
        <v>138426.56371677385</v>
      </c>
      <c r="D250">
        <v>60681.264368426338</v>
      </c>
      <c r="E250">
        <v>121398.32005326144</v>
      </c>
      <c r="F250">
        <v>44404.499080610403</v>
      </c>
      <c r="G250">
        <v>10000</v>
      </c>
      <c r="H250">
        <v>354910.64721907204</v>
      </c>
      <c r="I250">
        <v>37.462327524657368</v>
      </c>
    </row>
    <row r="251" spans="1:9" x14ac:dyDescent="0.2">
      <c r="A251">
        <v>246</v>
      </c>
      <c r="B251">
        <v>1532894.2760024911</v>
      </c>
      <c r="C251">
        <v>102110.13550704304</v>
      </c>
      <c r="D251">
        <v>102135.78628443829</v>
      </c>
      <c r="E251">
        <v>179376.82432654381</v>
      </c>
      <c r="F251">
        <v>48418.395530299189</v>
      </c>
      <c r="G251">
        <v>10000</v>
      </c>
      <c r="H251">
        <v>422041.14164832432</v>
      </c>
      <c r="I251">
        <v>38.68686021634997</v>
      </c>
    </row>
    <row r="252" spans="1:9" x14ac:dyDescent="0.2">
      <c r="A252">
        <v>247</v>
      </c>
      <c r="B252">
        <v>1219781.3332465817</v>
      </c>
      <c r="C252">
        <v>150800.58496332064</v>
      </c>
      <c r="D252">
        <v>122812.15186587929</v>
      </c>
      <c r="E252">
        <v>34244.900493766443</v>
      </c>
      <c r="F252">
        <v>38370.800803414597</v>
      </c>
      <c r="G252">
        <v>10000</v>
      </c>
      <c r="H252">
        <v>336228.43812638096</v>
      </c>
      <c r="I252">
        <v>39.114955805805749</v>
      </c>
    </row>
    <row r="253" spans="1:9" x14ac:dyDescent="0.2">
      <c r="A253">
        <v>248</v>
      </c>
      <c r="B253">
        <v>1159092.6504090591</v>
      </c>
      <c r="C253">
        <v>72241.378071951942</v>
      </c>
      <c r="D253">
        <v>30861.427919409452</v>
      </c>
      <c r="E253">
        <v>178159.01777809058</v>
      </c>
      <c r="F253">
        <v>48334.085846175498</v>
      </c>
      <c r="G253">
        <v>10000</v>
      </c>
      <c r="H253">
        <v>319595.90961562749</v>
      </c>
      <c r="I253">
        <v>31.569875067177588</v>
      </c>
    </row>
    <row r="254" spans="1:9" x14ac:dyDescent="0.2">
      <c r="A254">
        <v>249</v>
      </c>
      <c r="B254">
        <v>1028414.3469490574</v>
      </c>
      <c r="C254">
        <v>89087.252032068587</v>
      </c>
      <c r="D254">
        <v>79985.881151447029</v>
      </c>
      <c r="E254">
        <v>82964.948379387555</v>
      </c>
      <c r="F254">
        <v>41743.727195496067</v>
      </c>
      <c r="G254">
        <v>10000</v>
      </c>
      <c r="H254">
        <v>283781.80875839927</v>
      </c>
      <c r="I254">
        <v>30.728281361995251</v>
      </c>
    </row>
    <row r="255" spans="1:9" x14ac:dyDescent="0.2">
      <c r="A255">
        <v>250</v>
      </c>
      <c r="B255">
        <v>720223.35026603704</v>
      </c>
      <c r="C255">
        <v>85632.144120500103</v>
      </c>
      <c r="D255">
        <v>46074.839114192349</v>
      </c>
      <c r="E255">
        <v>38916.805421725905</v>
      </c>
      <c r="F255">
        <v>38694.240375350259</v>
      </c>
      <c r="G255">
        <v>10000</v>
      </c>
      <c r="H255">
        <v>199318.02903176862</v>
      </c>
      <c r="I255">
        <v>27.232798233486271</v>
      </c>
    </row>
    <row r="256" spans="1:9" x14ac:dyDescent="0.2">
      <c r="A256">
        <v>251</v>
      </c>
      <c r="B256">
        <v>1489007.2839507461</v>
      </c>
      <c r="C256">
        <v>108155.09104343364</v>
      </c>
      <c r="D256">
        <v>93852.808071885258</v>
      </c>
      <c r="E256">
        <v>170220.912744014</v>
      </c>
      <c r="F256">
        <v>47784.524728431737</v>
      </c>
      <c r="G256">
        <v>10000</v>
      </c>
      <c r="H256">
        <v>410013.33658776461</v>
      </c>
      <c r="I256">
        <v>47.075727370544982</v>
      </c>
    </row>
    <row r="257" spans="1:9" x14ac:dyDescent="0.2">
      <c r="A257">
        <v>252</v>
      </c>
      <c r="B257">
        <v>1088079.0308833478</v>
      </c>
      <c r="C257">
        <v>100548.97643064892</v>
      </c>
      <c r="D257">
        <v>137290.33894916967</v>
      </c>
      <c r="E257">
        <v>33944.385646840165</v>
      </c>
      <c r="F257">
        <v>38349.995929396624</v>
      </c>
      <c r="G257">
        <v>10000</v>
      </c>
      <c r="H257">
        <v>300133.69695605536</v>
      </c>
      <c r="I257">
        <v>42.869069118798606</v>
      </c>
    </row>
    <row r="258" spans="1:9" x14ac:dyDescent="0.2">
      <c r="A258">
        <v>253</v>
      </c>
      <c r="B258">
        <v>1481418.5438605002</v>
      </c>
      <c r="C258">
        <v>137315.77192567784</v>
      </c>
      <c r="D258">
        <v>75008.228875553032</v>
      </c>
      <c r="E258">
        <v>158627.62935606184</v>
      </c>
      <c r="F258">
        <v>46981.912801573504</v>
      </c>
      <c r="G258">
        <v>10000</v>
      </c>
      <c r="H258">
        <v>407933.54295886622</v>
      </c>
      <c r="I258">
        <v>39.177797557720638</v>
      </c>
    </row>
    <row r="259" spans="1:9" x14ac:dyDescent="0.2">
      <c r="A259">
        <v>254</v>
      </c>
      <c r="B259">
        <v>1108436.459210804</v>
      </c>
      <c r="C259">
        <v>153400.5992497126</v>
      </c>
      <c r="D259">
        <v>70129.775193804249</v>
      </c>
      <c r="E259">
        <v>52544.823840145698</v>
      </c>
      <c r="F259">
        <v>39637.718573548547</v>
      </c>
      <c r="G259">
        <v>10000</v>
      </c>
      <c r="H259">
        <v>305712.91685721109</v>
      </c>
      <c r="I259">
        <v>52.347238032180051</v>
      </c>
    </row>
    <row r="260" spans="1:9" x14ac:dyDescent="0.2">
      <c r="A260">
        <v>255</v>
      </c>
      <c r="B260">
        <v>1354465.6749992545</v>
      </c>
      <c r="C260">
        <v>121453.93720333253</v>
      </c>
      <c r="D260">
        <v>57303.072215935841</v>
      </c>
      <c r="E260">
        <v>157480.91214759482</v>
      </c>
      <c r="F260">
        <v>46902.52468714118</v>
      </c>
      <c r="G260">
        <v>10000</v>
      </c>
      <c r="H260">
        <v>373140.44625400438</v>
      </c>
      <c r="I260">
        <v>41.329508279388506</v>
      </c>
    </row>
    <row r="261" spans="1:9" x14ac:dyDescent="0.2">
      <c r="A261">
        <v>256</v>
      </c>
      <c r="B261">
        <v>1583106.8750695852</v>
      </c>
      <c r="C261">
        <v>132081.40970643942</v>
      </c>
      <c r="D261">
        <v>171621.90673317481</v>
      </c>
      <c r="E261">
        <v>99229.510397616788</v>
      </c>
      <c r="F261">
        <v>42869.735335219622</v>
      </c>
      <c r="G261">
        <v>10000</v>
      </c>
      <c r="H261">
        <v>435802.56217245059</v>
      </c>
      <c r="I261">
        <v>37.866759786759367</v>
      </c>
    </row>
    <row r="262" spans="1:9" x14ac:dyDescent="0.2">
      <c r="A262">
        <v>257</v>
      </c>
      <c r="B262">
        <v>1011629.3259232708</v>
      </c>
      <c r="C262">
        <v>110024.59516876194</v>
      </c>
      <c r="D262">
        <v>98910.490005441199</v>
      </c>
      <c r="E262">
        <v>41381.682956918776</v>
      </c>
      <c r="F262">
        <v>38864.885743171297</v>
      </c>
      <c r="G262">
        <v>10000</v>
      </c>
      <c r="H262">
        <v>279181.6538742932</v>
      </c>
      <c r="I262">
        <v>33.011769143508261</v>
      </c>
    </row>
    <row r="263" spans="1:9" x14ac:dyDescent="0.2">
      <c r="A263">
        <v>258</v>
      </c>
      <c r="B263">
        <v>942012.76428104262</v>
      </c>
      <c r="C263">
        <v>114054.5725652221</v>
      </c>
      <c r="D263">
        <v>52634.812963191638</v>
      </c>
      <c r="E263">
        <v>63048.071229984998</v>
      </c>
      <c r="F263">
        <v>40364.866469768196</v>
      </c>
      <c r="G263">
        <v>10000</v>
      </c>
      <c r="H263">
        <v>260102.3232281669</v>
      </c>
      <c r="I263">
        <v>56.188173690802977</v>
      </c>
    </row>
    <row r="264" spans="1:9" x14ac:dyDescent="0.2">
      <c r="A264">
        <v>259</v>
      </c>
      <c r="B264">
        <v>1191501.2612336455</v>
      </c>
      <c r="C264">
        <v>109211.48208167488</v>
      </c>
      <c r="D264">
        <v>48637.44682088618</v>
      </c>
      <c r="E264">
        <v>135264.51838234963</v>
      </c>
      <c r="F264">
        <v>45364.466657239587</v>
      </c>
      <c r="G264">
        <v>10000</v>
      </c>
      <c r="H264">
        <v>328477.91394215031</v>
      </c>
      <c r="I264">
        <v>32.773326316037497</v>
      </c>
    </row>
    <row r="265" spans="1:9" x14ac:dyDescent="0.2">
      <c r="A265">
        <v>260</v>
      </c>
      <c r="B265">
        <v>1348562.8461666843</v>
      </c>
      <c r="C265">
        <v>103469.03427295212</v>
      </c>
      <c r="D265">
        <v>155565.98090600807</v>
      </c>
      <c r="E265">
        <v>80887.761556643949</v>
      </c>
      <c r="F265">
        <v>41599.921953921497</v>
      </c>
      <c r="G265">
        <v>10000</v>
      </c>
      <c r="H265">
        <v>371522.69868952566</v>
      </c>
      <c r="I265">
        <v>32.941734079595221</v>
      </c>
    </row>
    <row r="266" spans="1:9" x14ac:dyDescent="0.2">
      <c r="A266">
        <v>261</v>
      </c>
      <c r="B266">
        <v>1349531.1069553345</v>
      </c>
      <c r="C266">
        <v>78253.60178955947</v>
      </c>
      <c r="D266">
        <v>167834.80594944142</v>
      </c>
      <c r="E266">
        <v>93244.282125286365</v>
      </c>
      <c r="F266">
        <v>42455.373377904434</v>
      </c>
      <c r="G266">
        <v>10000</v>
      </c>
      <c r="H266">
        <v>371788.06324219168</v>
      </c>
      <c r="I266">
        <v>34.673612540908472</v>
      </c>
    </row>
    <row r="267" spans="1:9" x14ac:dyDescent="0.2">
      <c r="A267">
        <v>262</v>
      </c>
      <c r="B267">
        <v>1414976.4445730501</v>
      </c>
      <c r="C267">
        <v>130627.58901875757</v>
      </c>
      <c r="D267">
        <v>112128.13484940192</v>
      </c>
      <c r="E267">
        <v>113135.99918487457</v>
      </c>
      <c r="F267">
        <v>43832.492251260541</v>
      </c>
      <c r="G267">
        <v>10000</v>
      </c>
      <c r="H267">
        <v>389724.2153042946</v>
      </c>
      <c r="I267">
        <v>37.482559910471856</v>
      </c>
    </row>
    <row r="268" spans="1:9" x14ac:dyDescent="0.2">
      <c r="A268">
        <v>263</v>
      </c>
      <c r="B268">
        <v>1455799.3573463024</v>
      </c>
      <c r="C268">
        <v>116235.80107432422</v>
      </c>
      <c r="D268">
        <v>56191.786702457466</v>
      </c>
      <c r="E268">
        <v>189374.16257688429</v>
      </c>
      <c r="F268">
        <v>49110.518947630444</v>
      </c>
      <c r="G268">
        <v>10000</v>
      </c>
      <c r="H268">
        <v>400912.26930129644</v>
      </c>
      <c r="I268">
        <v>30.19965989927616</v>
      </c>
    </row>
    <row r="269" spans="1:9" x14ac:dyDescent="0.2">
      <c r="A269">
        <v>264</v>
      </c>
      <c r="B269">
        <v>1284388.8489958965</v>
      </c>
      <c r="C269">
        <v>87971.290571506062</v>
      </c>
      <c r="D269">
        <v>83760.065526106002</v>
      </c>
      <c r="E269">
        <v>146089.71470708339</v>
      </c>
      <c r="F269">
        <v>46113.903325874999</v>
      </c>
      <c r="G269">
        <v>10000</v>
      </c>
      <c r="H269">
        <v>353934.97413057048</v>
      </c>
      <c r="I269">
        <v>29.563455188990979</v>
      </c>
    </row>
    <row r="270" spans="1:9" x14ac:dyDescent="0.2">
      <c r="A270">
        <v>265</v>
      </c>
      <c r="B270">
        <v>1359924.1719733896</v>
      </c>
      <c r="C270">
        <v>135614.31457607567</v>
      </c>
      <c r="D270">
        <v>46728.243758406337</v>
      </c>
      <c r="E270">
        <v>155526.63213891364</v>
      </c>
      <c r="F270">
        <v>46767.228378847867</v>
      </c>
      <c r="G270">
        <v>10000</v>
      </c>
      <c r="H270">
        <v>374636.41885224351</v>
      </c>
      <c r="I270">
        <v>43.686715410865233</v>
      </c>
    </row>
    <row r="271" spans="1:9" x14ac:dyDescent="0.2">
      <c r="A271">
        <v>266</v>
      </c>
      <c r="B271">
        <v>1079534.2189382743</v>
      </c>
      <c r="C271">
        <v>103625.76250699264</v>
      </c>
      <c r="D271">
        <v>103999.6513492457</v>
      </c>
      <c r="E271">
        <v>60011.802224318722</v>
      </c>
      <c r="F271">
        <v>40154.663230914375</v>
      </c>
      <c r="G271">
        <v>10000</v>
      </c>
      <c r="H271">
        <v>297791.87931147148</v>
      </c>
      <c r="I271">
        <v>32.16446478835222</v>
      </c>
    </row>
    <row r="272" spans="1:9" x14ac:dyDescent="0.2">
      <c r="A272">
        <v>267</v>
      </c>
      <c r="B272">
        <v>1635458.3512785521</v>
      </c>
      <c r="C272">
        <v>145190.89887469987</v>
      </c>
      <c r="D272">
        <v>98012.519690953064</v>
      </c>
      <c r="E272">
        <v>169230.77471818399</v>
      </c>
      <c r="F272">
        <v>47715.976711258889</v>
      </c>
      <c r="G272">
        <v>10000</v>
      </c>
      <c r="H272">
        <v>450150.16999509581</v>
      </c>
      <c r="I272">
        <v>43.637630996768607</v>
      </c>
    </row>
    <row r="273" spans="1:9" x14ac:dyDescent="0.2">
      <c r="A273">
        <v>268</v>
      </c>
      <c r="B273">
        <v>1085873.1600180292</v>
      </c>
      <c r="C273">
        <v>127586.38609832377</v>
      </c>
      <c r="D273">
        <v>101733.30536028947</v>
      </c>
      <c r="E273">
        <v>41346.97481933434</v>
      </c>
      <c r="F273">
        <v>38862.482872107757</v>
      </c>
      <c r="G273">
        <v>10000</v>
      </c>
      <c r="H273">
        <v>299529.14915005537</v>
      </c>
      <c r="I273">
        <v>35.15702627334646</v>
      </c>
    </row>
    <row r="274" spans="1:9" x14ac:dyDescent="0.2">
      <c r="A274">
        <v>269</v>
      </c>
      <c r="B274">
        <v>1802239.9875344203</v>
      </c>
      <c r="C274">
        <v>141692.92969294687</v>
      </c>
      <c r="D274">
        <v>146633.27221448903</v>
      </c>
      <c r="E274">
        <v>169778.7469738668</v>
      </c>
      <c r="F274">
        <v>47753.913252036931</v>
      </c>
      <c r="G274">
        <v>10000</v>
      </c>
      <c r="H274">
        <v>495858.86213333963</v>
      </c>
      <c r="I274">
        <v>33.054665970584736</v>
      </c>
    </row>
    <row r="275" spans="1:9" x14ac:dyDescent="0.2">
      <c r="A275">
        <v>270</v>
      </c>
      <c r="B275">
        <v>1068687.0562694888</v>
      </c>
      <c r="C275">
        <v>107063.66564851899</v>
      </c>
      <c r="D275">
        <v>43506.053252217069</v>
      </c>
      <c r="E275">
        <v>110592.92043775732</v>
      </c>
      <c r="F275">
        <v>43656.432953383199</v>
      </c>
      <c r="G275">
        <v>10000</v>
      </c>
      <c r="H275">
        <v>294819.0722918766</v>
      </c>
      <c r="I275">
        <v>35.433023533718213</v>
      </c>
    </row>
    <row r="276" spans="1:9" x14ac:dyDescent="0.2">
      <c r="A276">
        <v>271</v>
      </c>
      <c r="B276">
        <v>1225490.1036024846</v>
      </c>
      <c r="C276">
        <v>94395.180434242997</v>
      </c>
      <c r="D276">
        <v>48886.655578191974</v>
      </c>
      <c r="E276">
        <v>157600.37052814633</v>
      </c>
      <c r="F276">
        <v>46910.794882717819</v>
      </c>
      <c r="G276">
        <v>10000</v>
      </c>
      <c r="H276">
        <v>337793.00142329914</v>
      </c>
      <c r="I276">
        <v>28.101532385649193</v>
      </c>
    </row>
    <row r="277" spans="1:9" x14ac:dyDescent="0.2">
      <c r="A277">
        <v>272</v>
      </c>
      <c r="B277">
        <v>1201331.2216751501</v>
      </c>
      <c r="C277">
        <v>99578.835994001012</v>
      </c>
      <c r="D277">
        <v>55801.973022549006</v>
      </c>
      <c r="E277">
        <v>140092.42780951521</v>
      </c>
      <c r="F277">
        <v>45698.70654065875</v>
      </c>
      <c r="G277">
        <v>10000</v>
      </c>
      <c r="H277">
        <v>331171.94336672395</v>
      </c>
      <c r="I277">
        <v>47.423666544601069</v>
      </c>
    </row>
    <row r="278" spans="1:9" x14ac:dyDescent="0.2">
      <c r="A278">
        <v>273</v>
      </c>
      <c r="B278">
        <v>961112.24234535161</v>
      </c>
      <c r="C278">
        <v>140162.47239652806</v>
      </c>
      <c r="D278">
        <v>54159.951373920863</v>
      </c>
      <c r="E278">
        <v>42099.762657763313</v>
      </c>
      <c r="F278">
        <v>38914.598953229768</v>
      </c>
      <c r="G278">
        <v>10000</v>
      </c>
      <c r="H278">
        <v>265336.78538144199</v>
      </c>
      <c r="I278">
        <v>43.37151027289044</v>
      </c>
    </row>
    <row r="279" spans="1:9" x14ac:dyDescent="0.2">
      <c r="A279">
        <v>274</v>
      </c>
      <c r="B279">
        <v>874173.57794972498</v>
      </c>
      <c r="C279">
        <v>83988.010961622873</v>
      </c>
      <c r="D279">
        <v>96825.191481873379</v>
      </c>
      <c r="E279">
        <v>32450.341052034699</v>
      </c>
      <c r="F279">
        <v>38246.562072833171</v>
      </c>
      <c r="G279">
        <v>10000</v>
      </c>
      <c r="H279">
        <v>241510.10556836415</v>
      </c>
      <c r="I279">
        <v>27.680102515694159</v>
      </c>
    </row>
    <row r="280" spans="1:9" x14ac:dyDescent="0.2">
      <c r="A280">
        <v>275</v>
      </c>
      <c r="B280">
        <v>1388559.7602892534</v>
      </c>
      <c r="C280">
        <v>86487.017469876431</v>
      </c>
      <c r="D280">
        <v>76712.157814249018</v>
      </c>
      <c r="E280">
        <v>180770.3324804561</v>
      </c>
      <c r="F280">
        <v>48514.869171723883</v>
      </c>
      <c r="G280">
        <v>10000</v>
      </c>
      <c r="H280">
        <v>382484.37693630543</v>
      </c>
      <c r="I280">
        <v>37.059168512544716</v>
      </c>
    </row>
    <row r="281" spans="1:9" x14ac:dyDescent="0.2">
      <c r="A281">
        <v>276</v>
      </c>
      <c r="B281">
        <v>1008487.6839701274</v>
      </c>
      <c r="C281">
        <v>91892.145074469459</v>
      </c>
      <c r="D281">
        <v>67907.971489690084</v>
      </c>
      <c r="E281">
        <v>86529.991319023378</v>
      </c>
      <c r="F281">
        <v>41990.537860547774</v>
      </c>
      <c r="G281">
        <v>10000</v>
      </c>
      <c r="H281">
        <v>278320.64574373071</v>
      </c>
      <c r="I281">
        <v>32.490543351705092</v>
      </c>
    </row>
    <row r="282" spans="1:9" x14ac:dyDescent="0.2">
      <c r="A282">
        <v>277</v>
      </c>
      <c r="B282">
        <v>1600535.8493406647</v>
      </c>
      <c r="C282">
        <v>140597.61884912918</v>
      </c>
      <c r="D282">
        <v>141291.92907802685</v>
      </c>
      <c r="E282">
        <v>124098.23657344682</v>
      </c>
      <c r="F282">
        <v>44591.416378161703</v>
      </c>
      <c r="G282">
        <v>10000</v>
      </c>
      <c r="H282">
        <v>440579.20087876456</v>
      </c>
      <c r="I282">
        <v>44.069298698948607</v>
      </c>
    </row>
    <row r="283" spans="1:9" x14ac:dyDescent="0.2">
      <c r="A283">
        <v>278</v>
      </c>
      <c r="B283">
        <v>1470575.7392816879</v>
      </c>
      <c r="C283">
        <v>122627.90503427375</v>
      </c>
      <c r="D283">
        <v>127980.37536968406</v>
      </c>
      <c r="E283">
        <v>120042.98194607635</v>
      </c>
      <c r="F283">
        <v>44310.667980882208</v>
      </c>
      <c r="G283">
        <v>10000</v>
      </c>
      <c r="H283">
        <v>404961.93033091642</v>
      </c>
      <c r="I283">
        <v>29.31559151998183</v>
      </c>
    </row>
    <row r="284" spans="1:9" x14ac:dyDescent="0.2">
      <c r="A284">
        <v>279</v>
      </c>
      <c r="B284">
        <v>1581472.1652036523</v>
      </c>
      <c r="C284">
        <v>148321.24153932944</v>
      </c>
      <c r="D284">
        <v>104152.30597670216</v>
      </c>
      <c r="E284">
        <v>146723.23834916647</v>
      </c>
      <c r="F284">
        <v>46157.762654942286</v>
      </c>
      <c r="G284">
        <v>10000</v>
      </c>
      <c r="H284">
        <v>435354.54852014035</v>
      </c>
      <c r="I284">
        <v>27.444641493018345</v>
      </c>
    </row>
    <row r="285" spans="1:9" x14ac:dyDescent="0.2">
      <c r="A285">
        <v>280</v>
      </c>
      <c r="B285">
        <v>899523.85657413304</v>
      </c>
      <c r="C285">
        <v>108872.90966609192</v>
      </c>
      <c r="D285">
        <v>63387.350634360002</v>
      </c>
      <c r="E285">
        <v>46947.228456485427</v>
      </c>
      <c r="F285">
        <v>39250.192739295147</v>
      </c>
      <c r="G285">
        <v>10000</v>
      </c>
      <c r="H285">
        <v>248457.68149623252</v>
      </c>
      <c r="I285">
        <v>31.261796897551786</v>
      </c>
    </row>
    <row r="286" spans="1:9" x14ac:dyDescent="0.2">
      <c r="A286">
        <v>281</v>
      </c>
      <c r="B286">
        <v>1143152.3518645845</v>
      </c>
      <c r="C286">
        <v>124696.09238402286</v>
      </c>
      <c r="D286">
        <v>90977.120013017251</v>
      </c>
      <c r="E286">
        <v>68791.557175887167</v>
      </c>
      <c r="F286">
        <v>40762.492419869108</v>
      </c>
      <c r="G286">
        <v>10000</v>
      </c>
      <c r="H286">
        <v>315227.26199279638</v>
      </c>
      <c r="I286">
        <v>28.875081967094211</v>
      </c>
    </row>
    <row r="287" spans="1:9" x14ac:dyDescent="0.2">
      <c r="A287">
        <v>282</v>
      </c>
      <c r="B287">
        <v>1001220.5168520173</v>
      </c>
      <c r="C287">
        <v>84609.656160317099</v>
      </c>
      <c r="D287">
        <v>113249.55163142348</v>
      </c>
      <c r="E287">
        <v>49072.452007936241</v>
      </c>
      <c r="F287">
        <v>39397.323600549425</v>
      </c>
      <c r="G287">
        <v>10000</v>
      </c>
      <c r="H287">
        <v>276328.98340022628</v>
      </c>
      <c r="I287">
        <v>45.76625451742062</v>
      </c>
    </row>
    <row r="288" spans="1:9" x14ac:dyDescent="0.2">
      <c r="A288">
        <v>283</v>
      </c>
      <c r="B288">
        <v>1558459.8311999775</v>
      </c>
      <c r="C288">
        <v>116860.2266830819</v>
      </c>
      <c r="D288">
        <v>70373.135010278929</v>
      </c>
      <c r="E288">
        <v>201840.76390068542</v>
      </c>
      <c r="F288">
        <v>49973.591346970527</v>
      </c>
      <c r="G288">
        <v>10000</v>
      </c>
      <c r="H288">
        <v>429047.71694101678</v>
      </c>
      <c r="I288">
        <v>32.982782363867308</v>
      </c>
    </row>
    <row r="289" spans="1:9" x14ac:dyDescent="0.2">
      <c r="A289">
        <v>284</v>
      </c>
      <c r="B289">
        <v>1145932.8881906848</v>
      </c>
      <c r="C289">
        <v>113141.11505681679</v>
      </c>
      <c r="D289">
        <v>82867.310410707636</v>
      </c>
      <c r="E289">
        <v>87895.786048249633</v>
      </c>
      <c r="F289">
        <v>42085.092880263437</v>
      </c>
      <c r="G289">
        <v>10000</v>
      </c>
      <c r="H289">
        <v>315989.30439603754</v>
      </c>
      <c r="I289">
        <v>31.259210090032791</v>
      </c>
    </row>
    <row r="290" spans="1:9" x14ac:dyDescent="0.2">
      <c r="A290">
        <v>285</v>
      </c>
      <c r="B290">
        <v>1364531.2327565681</v>
      </c>
      <c r="C290">
        <v>81617.252932106116</v>
      </c>
      <c r="D290">
        <v>108380.94405529647</v>
      </c>
      <c r="E290">
        <v>149547.55495557692</v>
      </c>
      <c r="F290">
        <v>46353.292266155324</v>
      </c>
      <c r="G290">
        <v>10000</v>
      </c>
      <c r="H290">
        <v>375899.04420913482</v>
      </c>
      <c r="I290">
        <v>31.812235996634335</v>
      </c>
    </row>
    <row r="291" spans="1:9" x14ac:dyDescent="0.2">
      <c r="A291">
        <v>286</v>
      </c>
      <c r="B291">
        <v>1393583.2421003317</v>
      </c>
      <c r="C291">
        <v>149255.37552197673</v>
      </c>
      <c r="D291">
        <v>97067.901331713554</v>
      </c>
      <c r="E291">
        <v>104315.9758274339</v>
      </c>
      <c r="F291">
        <v>43221.875249591576</v>
      </c>
      <c r="G291">
        <v>10000</v>
      </c>
      <c r="H291">
        <v>383861.12793071574</v>
      </c>
      <c r="I291">
        <v>37.096802252707832</v>
      </c>
    </row>
    <row r="292" spans="1:9" x14ac:dyDescent="0.2">
      <c r="A292">
        <v>287</v>
      </c>
      <c r="B292">
        <v>1339178.0304320778</v>
      </c>
      <c r="C292">
        <v>152777.23167366549</v>
      </c>
      <c r="D292">
        <v>76849.349729283102</v>
      </c>
      <c r="E292">
        <v>105986.554877709</v>
      </c>
      <c r="F292">
        <v>43337.53072230293</v>
      </c>
      <c r="G292">
        <v>10000</v>
      </c>
      <c r="H292">
        <v>368950.66700296052</v>
      </c>
      <c r="I292">
        <v>28.572106196701558</v>
      </c>
    </row>
    <row r="293" spans="1:9" x14ac:dyDescent="0.2">
      <c r="A293">
        <v>288</v>
      </c>
      <c r="B293">
        <v>1614271.5189379314</v>
      </c>
      <c r="C293">
        <v>96356.911758736984</v>
      </c>
      <c r="D293">
        <v>153599.31861380691</v>
      </c>
      <c r="E293">
        <v>157484.62870005154</v>
      </c>
      <c r="F293">
        <v>46902.781986926646</v>
      </c>
      <c r="G293">
        <v>10000</v>
      </c>
      <c r="H293">
        <v>444343.64105952211</v>
      </c>
      <c r="I293">
        <v>48.827351283357416</v>
      </c>
    </row>
    <row r="294" spans="1:9" x14ac:dyDescent="0.2">
      <c r="A294">
        <v>289</v>
      </c>
      <c r="B294">
        <v>1694763.6828172752</v>
      </c>
      <c r="C294">
        <v>121763.08868757052</v>
      </c>
      <c r="D294">
        <v>100507.48005788166</v>
      </c>
      <c r="E294">
        <v>204009.28451858964</v>
      </c>
      <c r="F294">
        <v>50123.719697440814</v>
      </c>
      <c r="G294">
        <v>10000</v>
      </c>
      <c r="H294">
        <v>466403.57296148263</v>
      </c>
      <c r="I294">
        <v>30.751953456029764</v>
      </c>
    </row>
    <row r="295" spans="1:9" x14ac:dyDescent="0.2">
      <c r="A295">
        <v>290</v>
      </c>
      <c r="B295">
        <v>1044249.9146474609</v>
      </c>
      <c r="C295">
        <v>81399.823133465732</v>
      </c>
      <c r="D295">
        <v>37524.63485598957</v>
      </c>
      <c r="E295">
        <v>133925.52819493625</v>
      </c>
      <c r="F295">
        <v>45271.767336572506</v>
      </c>
      <c r="G295">
        <v>10000</v>
      </c>
      <c r="H295">
        <v>288121.75352096406</v>
      </c>
      <c r="I295">
        <v>52.633112990704333</v>
      </c>
    </row>
    <row r="296" spans="1:9" x14ac:dyDescent="0.2">
      <c r="A296">
        <v>291</v>
      </c>
      <c r="B296">
        <v>1339913.6474761497</v>
      </c>
      <c r="C296">
        <v>152907.40115683465</v>
      </c>
      <c r="D296">
        <v>47833.506085777932</v>
      </c>
      <c r="E296">
        <v>133190.48548312619</v>
      </c>
      <c r="F296">
        <v>45220.879764216421</v>
      </c>
      <c r="G296">
        <v>10000</v>
      </c>
      <c r="H296">
        <v>369152.27248995518</v>
      </c>
      <c r="I296">
        <v>28.513942079656083</v>
      </c>
    </row>
    <row r="297" spans="1:9" x14ac:dyDescent="0.2">
      <c r="A297">
        <v>292</v>
      </c>
      <c r="B297">
        <v>1643183.859511605</v>
      </c>
      <c r="C297">
        <v>114022.53014219507</v>
      </c>
      <c r="D297">
        <v>169253.79894190995</v>
      </c>
      <c r="E297">
        <v>133732.69995200698</v>
      </c>
      <c r="F297">
        <v>45258.417688985101</v>
      </c>
      <c r="G297">
        <v>10000</v>
      </c>
      <c r="H297">
        <v>452267.44672509714</v>
      </c>
      <c r="I297">
        <v>44.570963157259619</v>
      </c>
    </row>
    <row r="298" spans="1:9" x14ac:dyDescent="0.2">
      <c r="A298">
        <v>293</v>
      </c>
      <c r="B298">
        <v>1309130.7770529054</v>
      </c>
      <c r="C298">
        <v>136026.54350077052</v>
      </c>
      <c r="D298">
        <v>120719.86125167151</v>
      </c>
      <c r="E298">
        <v>72921.039225357308</v>
      </c>
      <c r="F298">
        <v>41048.379638678583</v>
      </c>
      <c r="G298">
        <v>10000</v>
      </c>
      <c r="H298">
        <v>360715.82361647789</v>
      </c>
      <c r="I298">
        <v>36.928727708374609</v>
      </c>
    </row>
    <row r="299" spans="1:9" x14ac:dyDescent="0.2">
      <c r="A299">
        <v>294</v>
      </c>
      <c r="B299">
        <v>872874.76939077291</v>
      </c>
      <c r="C299">
        <v>98953.084373825419</v>
      </c>
      <c r="D299">
        <v>52438.622998798521</v>
      </c>
      <c r="E299">
        <v>59633.939212721612</v>
      </c>
      <c r="F299">
        <v>40128.503483957647</v>
      </c>
      <c r="G299">
        <v>10000</v>
      </c>
      <c r="H299">
        <v>241154.1500693032</v>
      </c>
      <c r="I299">
        <v>25.399928957551971</v>
      </c>
    </row>
    <row r="300" spans="1:9" x14ac:dyDescent="0.2">
      <c r="A300">
        <v>295</v>
      </c>
      <c r="B300">
        <v>1248614.3090955026</v>
      </c>
      <c r="C300">
        <v>146470.94307890892</v>
      </c>
      <c r="D300">
        <v>82608.51822354694</v>
      </c>
      <c r="E300">
        <v>83285.137418113096</v>
      </c>
      <c r="F300">
        <v>41765.894128946289</v>
      </c>
      <c r="G300">
        <v>10000</v>
      </c>
      <c r="H300">
        <v>344130.49284951523</v>
      </c>
      <c r="I300">
        <v>30.276517222290423</v>
      </c>
    </row>
    <row r="301" spans="1:9" x14ac:dyDescent="0.2">
      <c r="A301">
        <v>296</v>
      </c>
      <c r="B301">
        <v>1208955.1804151172</v>
      </c>
      <c r="C301">
        <v>117489.18414115516</v>
      </c>
      <c r="D301">
        <v>96404.46605135758</v>
      </c>
      <c r="E301">
        <v>87322.345766925777</v>
      </c>
      <c r="F301">
        <v>42045.393168479481</v>
      </c>
      <c r="G301">
        <v>10000</v>
      </c>
      <c r="H301">
        <v>333261.389127918</v>
      </c>
      <c r="I301">
        <v>35.488857432441492</v>
      </c>
    </row>
    <row r="302" spans="1:9" x14ac:dyDescent="0.2">
      <c r="A302">
        <v>297</v>
      </c>
      <c r="B302">
        <v>1016789.9321660589</v>
      </c>
      <c r="C302">
        <v>127790.02614463907</v>
      </c>
      <c r="D302">
        <v>82650.457704535394</v>
      </c>
      <c r="E302">
        <v>41296.512443276813</v>
      </c>
      <c r="F302">
        <v>38858.989322996087</v>
      </c>
      <c r="G302">
        <v>10000</v>
      </c>
      <c r="H302">
        <v>280595.9856154474</v>
      </c>
      <c r="I302">
        <v>34.597880690155733</v>
      </c>
    </row>
    <row r="303" spans="1:9" x14ac:dyDescent="0.2">
      <c r="A303">
        <v>298</v>
      </c>
      <c r="B303">
        <v>1496026.8271408009</v>
      </c>
      <c r="C303">
        <v>111410.31187650193</v>
      </c>
      <c r="D303">
        <v>161826.59811739979</v>
      </c>
      <c r="E303">
        <v>105403.08752736649</v>
      </c>
      <c r="F303">
        <v>43297.136828817682</v>
      </c>
      <c r="G303">
        <v>10000</v>
      </c>
      <c r="H303">
        <v>411937.13435008586</v>
      </c>
      <c r="I303">
        <v>27.388492649377184</v>
      </c>
    </row>
    <row r="304" spans="1:9" x14ac:dyDescent="0.2">
      <c r="A304">
        <v>299</v>
      </c>
      <c r="B304">
        <v>1292979.0931651425</v>
      </c>
      <c r="C304">
        <v>95895.817468656576</v>
      </c>
      <c r="D304">
        <v>151265.62334498347</v>
      </c>
      <c r="E304">
        <v>77745.426571929915</v>
      </c>
      <c r="F304">
        <v>41382.375685748993</v>
      </c>
      <c r="G304">
        <v>10000</v>
      </c>
      <c r="H304">
        <v>356289.24307131895</v>
      </c>
      <c r="I304">
        <v>38.911722767618102</v>
      </c>
    </row>
    <row r="305" spans="1:9" x14ac:dyDescent="0.2">
      <c r="A305">
        <v>300</v>
      </c>
      <c r="B305">
        <v>1627837.2279047894</v>
      </c>
      <c r="C305">
        <v>115753.87096601872</v>
      </c>
      <c r="D305">
        <v>104533.27143523601</v>
      </c>
      <c r="E305">
        <v>188709.83206652207</v>
      </c>
      <c r="F305">
        <v>49064.5268353746</v>
      </c>
      <c r="G305">
        <v>10000</v>
      </c>
      <c r="H305">
        <v>448061.50130315142</v>
      </c>
      <c r="I305">
        <v>31.66727147565614</v>
      </c>
    </row>
    <row r="306" spans="1:9" x14ac:dyDescent="0.2">
      <c r="A306">
        <v>301</v>
      </c>
      <c r="B306">
        <v>1487088.8387202914</v>
      </c>
      <c r="C306">
        <v>141152.54050635986</v>
      </c>
      <c r="D306">
        <v>65307.468494595298</v>
      </c>
      <c r="E306">
        <v>165565.3369089592</v>
      </c>
      <c r="F306">
        <v>47462.21563215871</v>
      </c>
      <c r="G306">
        <v>10000</v>
      </c>
      <c r="H306">
        <v>409487.56154207303</v>
      </c>
      <c r="I306">
        <v>26.813664504446976</v>
      </c>
    </row>
    <row r="307" spans="1:9" x14ac:dyDescent="0.2">
      <c r="A307">
        <v>302</v>
      </c>
      <c r="B307">
        <v>1023794.1575451384</v>
      </c>
      <c r="C307">
        <v>113322.09398556864</v>
      </c>
      <c r="D307">
        <v>87164.328116683566</v>
      </c>
      <c r="E307">
        <v>52401.375681579811</v>
      </c>
      <c r="F307">
        <v>39627.787547186294</v>
      </c>
      <c r="G307">
        <v>10000</v>
      </c>
      <c r="H307">
        <v>282515.58533101832</v>
      </c>
      <c r="I307">
        <v>34.617932795657246</v>
      </c>
    </row>
    <row r="308" spans="1:9" x14ac:dyDescent="0.2">
      <c r="A308">
        <v>303</v>
      </c>
      <c r="B308">
        <v>1497612.7675226135</v>
      </c>
      <c r="C308">
        <v>130147.19259786839</v>
      </c>
      <c r="D308">
        <v>107611.62031247135</v>
      </c>
      <c r="E308">
        <v>138990.54671144852</v>
      </c>
      <c r="F308">
        <v>45622.422464638745</v>
      </c>
      <c r="G308">
        <v>10000</v>
      </c>
      <c r="H308">
        <v>412371.78208642697</v>
      </c>
      <c r="I308">
        <v>32.564557992269243</v>
      </c>
    </row>
    <row r="309" spans="1:9" x14ac:dyDescent="0.2">
      <c r="A309">
        <v>304</v>
      </c>
      <c r="B309">
        <v>832117.02355733421</v>
      </c>
      <c r="C309">
        <v>109175.94085608568</v>
      </c>
      <c r="D309">
        <v>64886.599749427522</v>
      </c>
      <c r="E309">
        <v>27984.057493791952</v>
      </c>
      <c r="F309">
        <v>37937.357826493288</v>
      </c>
      <c r="G309">
        <v>10000</v>
      </c>
      <c r="H309">
        <v>229983.95592579845</v>
      </c>
      <c r="I309">
        <v>28.960189245474993</v>
      </c>
    </row>
    <row r="310" spans="1:9" x14ac:dyDescent="0.2">
      <c r="A310">
        <v>305</v>
      </c>
      <c r="B310">
        <v>1441616.3573245232</v>
      </c>
      <c r="C310">
        <v>104395.12869341002</v>
      </c>
      <c r="D310">
        <v>106649.6096962125</v>
      </c>
      <c r="E310">
        <v>149622.04471861394</v>
      </c>
      <c r="F310">
        <v>46358.449249750192</v>
      </c>
      <c r="G310">
        <v>10000</v>
      </c>
      <c r="H310">
        <v>397025.23235798668</v>
      </c>
      <c r="I310">
        <v>40.055115540071988</v>
      </c>
    </row>
    <row r="311" spans="1:9" x14ac:dyDescent="0.2">
      <c r="A311">
        <v>306</v>
      </c>
      <c r="B311">
        <v>1755194.1985209149</v>
      </c>
      <c r="C311">
        <v>90188.751767829337</v>
      </c>
      <c r="D311">
        <v>156266.91414061582</v>
      </c>
      <c r="E311">
        <v>196879.55821771568</v>
      </c>
      <c r="F311">
        <v>49630.123261226472</v>
      </c>
      <c r="G311">
        <v>10000</v>
      </c>
      <c r="H311">
        <v>482965.3473873873</v>
      </c>
      <c r="I311">
        <v>30.530898774660407</v>
      </c>
    </row>
    <row r="312" spans="1:9" x14ac:dyDescent="0.2">
      <c r="A312">
        <v>307</v>
      </c>
      <c r="B312">
        <v>1272333.8510285625</v>
      </c>
      <c r="C312">
        <v>158423.07609655632</v>
      </c>
      <c r="D312">
        <v>125094.91201642707</v>
      </c>
      <c r="E312">
        <v>38451.153011812865</v>
      </c>
      <c r="F312">
        <v>38662.002900817817</v>
      </c>
      <c r="G312">
        <v>10000</v>
      </c>
      <c r="H312">
        <v>350631.14402561414</v>
      </c>
      <c r="I312">
        <v>42.650788293754616</v>
      </c>
    </row>
    <row r="313" spans="1:9" x14ac:dyDescent="0.2">
      <c r="A313">
        <v>308</v>
      </c>
      <c r="B313">
        <v>922587.59158150421</v>
      </c>
      <c r="C313">
        <v>83151.387172575531</v>
      </c>
      <c r="D313">
        <v>63562.563065160059</v>
      </c>
      <c r="E313">
        <v>76751.111469640789</v>
      </c>
      <c r="F313">
        <v>41313.538486359743</v>
      </c>
      <c r="G313">
        <v>10000</v>
      </c>
      <c r="H313">
        <v>254778.60019373614</v>
      </c>
      <c r="I313">
        <v>35.100219032452486</v>
      </c>
    </row>
    <row r="314" spans="1:9" x14ac:dyDescent="0.2">
      <c r="A314">
        <v>309</v>
      </c>
      <c r="B314">
        <v>947941.21423091902</v>
      </c>
      <c r="C314">
        <v>92185.4271682244</v>
      </c>
      <c r="D314">
        <v>78871.976787790991</v>
      </c>
      <c r="E314">
        <v>60482.442612432089</v>
      </c>
      <c r="F314">
        <v>40187.246027014531</v>
      </c>
      <c r="G314">
        <v>10000</v>
      </c>
      <c r="H314">
        <v>261727.09259546199</v>
      </c>
      <c r="I314">
        <v>29.694402834744409</v>
      </c>
    </row>
    <row r="315" spans="1:9" x14ac:dyDescent="0.2">
      <c r="A315">
        <v>310</v>
      </c>
      <c r="B315">
        <v>821500.70537320501</v>
      </c>
      <c r="C315">
        <v>98252.346308755077</v>
      </c>
      <c r="D315">
        <v>64063.000135545386</v>
      </c>
      <c r="E315">
        <v>36249.488447389129</v>
      </c>
      <c r="F315">
        <v>38509.579969434635</v>
      </c>
      <c r="G315">
        <v>10000</v>
      </c>
      <c r="H315">
        <v>227074.41486112424</v>
      </c>
      <c r="I315">
        <v>29.035451796411543</v>
      </c>
    </row>
    <row r="316" spans="1:9" x14ac:dyDescent="0.2">
      <c r="A316">
        <v>311</v>
      </c>
      <c r="B316">
        <v>1162932.0189977197</v>
      </c>
      <c r="C316">
        <v>120998.69158527422</v>
      </c>
      <c r="D316">
        <v>79479.487278551547</v>
      </c>
      <c r="E316">
        <v>88072.624466563881</v>
      </c>
      <c r="F316">
        <v>42097.335539992884</v>
      </c>
      <c r="G316">
        <v>10000</v>
      </c>
      <c r="H316">
        <v>320648.13887038257</v>
      </c>
      <c r="I316">
        <v>34.539526379208056</v>
      </c>
    </row>
    <row r="317" spans="1:9" x14ac:dyDescent="0.2">
      <c r="A317">
        <v>312</v>
      </c>
      <c r="B317">
        <v>1288914.7386181301</v>
      </c>
      <c r="C317">
        <v>153865.64165296627</v>
      </c>
      <c r="D317">
        <v>81781.237059596315</v>
      </c>
      <c r="E317">
        <v>87472.674231254801</v>
      </c>
      <c r="F317">
        <v>42055.800523702259</v>
      </c>
      <c r="G317">
        <v>10000</v>
      </c>
      <c r="H317">
        <v>355175.35346751963</v>
      </c>
      <c r="I317">
        <v>25.853004084957863</v>
      </c>
    </row>
    <row r="318" spans="1:9" x14ac:dyDescent="0.2">
      <c r="A318">
        <v>313</v>
      </c>
      <c r="B318">
        <v>1013899.4700366863</v>
      </c>
      <c r="C318">
        <v>109927.79030947475</v>
      </c>
      <c r="D318">
        <v>34926.445597786485</v>
      </c>
      <c r="E318">
        <v>101895.29130085577</v>
      </c>
      <c r="F318">
        <v>43054.289397751549</v>
      </c>
      <c r="G318">
        <v>10000</v>
      </c>
      <c r="H318">
        <v>279803.81660586857</v>
      </c>
      <c r="I318">
        <v>36.841071617951286</v>
      </c>
    </row>
    <row r="319" spans="1:9" x14ac:dyDescent="0.2">
      <c r="A319">
        <v>314</v>
      </c>
      <c r="B319">
        <v>1644822.2621835428</v>
      </c>
      <c r="C319">
        <v>111845.51194947935</v>
      </c>
      <c r="D319">
        <v>115961.73162078181</v>
      </c>
      <c r="E319">
        <v>186030.21405014858</v>
      </c>
      <c r="F319">
        <v>48879.014818856442</v>
      </c>
      <c r="G319">
        <v>10000</v>
      </c>
      <c r="H319">
        <v>452716.47243926622</v>
      </c>
      <c r="I319">
        <v>40.668919297936483</v>
      </c>
    </row>
    <row r="320" spans="1:9" x14ac:dyDescent="0.2">
      <c r="A320">
        <v>315</v>
      </c>
      <c r="B320">
        <v>1860671.2246563286</v>
      </c>
      <c r="C320">
        <v>136761.93373956886</v>
      </c>
      <c r="D320">
        <v>168593.00067709107</v>
      </c>
      <c r="E320">
        <v>168829.57248600712</v>
      </c>
      <c r="F320">
        <v>47688.20117210818</v>
      </c>
      <c r="G320">
        <v>10000</v>
      </c>
      <c r="H320">
        <v>511872.70807477523</v>
      </c>
      <c r="I320">
        <v>28.880516731264542</v>
      </c>
    </row>
    <row r="321" spans="1:9" x14ac:dyDescent="0.2">
      <c r="A321">
        <v>316</v>
      </c>
      <c r="B321">
        <v>1233071.3894907669</v>
      </c>
      <c r="C321">
        <v>123420.19050130318</v>
      </c>
      <c r="D321">
        <v>33152.968601531546</v>
      </c>
      <c r="E321">
        <v>147112.85678846823</v>
      </c>
      <c r="F321">
        <v>46184.736239201644</v>
      </c>
      <c r="G321">
        <v>10000</v>
      </c>
      <c r="H321">
        <v>339870.75213050458</v>
      </c>
      <c r="I321">
        <v>33.171097476309569</v>
      </c>
    </row>
    <row r="322" spans="1:9" x14ac:dyDescent="0.2">
      <c r="A322">
        <v>317</v>
      </c>
      <c r="B322">
        <v>1158683.8790061711</v>
      </c>
      <c r="C322">
        <v>74094.005511684067</v>
      </c>
      <c r="D322">
        <v>79376.780895033546</v>
      </c>
      <c r="E322">
        <v>130947.49803361806</v>
      </c>
      <c r="F322">
        <v>45065.596017712021</v>
      </c>
      <c r="G322">
        <v>10000</v>
      </c>
      <c r="H322">
        <v>319483.88045804773</v>
      </c>
      <c r="I322">
        <v>43.123148845330341</v>
      </c>
    </row>
    <row r="323" spans="1:9" x14ac:dyDescent="0.2">
      <c r="A323">
        <v>318</v>
      </c>
      <c r="B323">
        <v>1444762.430071837</v>
      </c>
      <c r="C323">
        <v>118409.72173278841</v>
      </c>
      <c r="D323">
        <v>82456.649760435437</v>
      </c>
      <c r="E323">
        <v>159947.77575989961</v>
      </c>
      <c r="F323">
        <v>47073.307552608436</v>
      </c>
      <c r="G323">
        <v>10000</v>
      </c>
      <c r="H323">
        <v>397887.45480573189</v>
      </c>
      <c r="I323">
        <v>36.952255232667682</v>
      </c>
    </row>
    <row r="324" spans="1:9" x14ac:dyDescent="0.2">
      <c r="A324">
        <v>319</v>
      </c>
      <c r="B324">
        <v>1474555.610041789</v>
      </c>
      <c r="C324">
        <v>126326.61169427558</v>
      </c>
      <c r="D324">
        <v>161760.22820835124</v>
      </c>
      <c r="E324">
        <v>86011.204306971224</v>
      </c>
      <c r="F324">
        <v>41954.62183663647</v>
      </c>
      <c r="G324">
        <v>10000</v>
      </c>
      <c r="H324">
        <v>406052.66604623449</v>
      </c>
      <c r="I324">
        <v>32.929574003684834</v>
      </c>
    </row>
    <row r="325" spans="1:9" x14ac:dyDescent="0.2">
      <c r="A325">
        <v>320</v>
      </c>
      <c r="B325">
        <v>795876.61334987707</v>
      </c>
      <c r="C325">
        <v>83096.179727900846</v>
      </c>
      <c r="D325">
        <v>35761.544655159858</v>
      </c>
      <c r="E325">
        <v>70325.391454600947</v>
      </c>
      <c r="F325">
        <v>40868.680946856985</v>
      </c>
      <c r="G325">
        <v>10000</v>
      </c>
      <c r="H325">
        <v>220051.79678451864</v>
      </c>
      <c r="I325">
        <v>28.86491697415995</v>
      </c>
    </row>
    <row r="326" spans="1:9" x14ac:dyDescent="0.2">
      <c r="A326">
        <v>321</v>
      </c>
      <c r="B326">
        <v>938807.8240714143</v>
      </c>
      <c r="C326">
        <v>106653.25271664228</v>
      </c>
      <c r="D326">
        <v>64670.626975692889</v>
      </c>
      <c r="E326">
        <v>57892.168342152399</v>
      </c>
      <c r="F326">
        <v>40007.919346764393</v>
      </c>
      <c r="G326">
        <v>10000</v>
      </c>
      <c r="H326">
        <v>259223.96738125198</v>
      </c>
      <c r="I326">
        <v>33.493095194179894</v>
      </c>
    </row>
    <row r="327" spans="1:9" x14ac:dyDescent="0.2">
      <c r="A327">
        <v>322</v>
      </c>
      <c r="B327">
        <v>1175866.2447282108</v>
      </c>
      <c r="C327">
        <v>91417.196790890739</v>
      </c>
      <c r="D327">
        <v>91707.473258173282</v>
      </c>
      <c r="E327">
        <v>107617.79975226241</v>
      </c>
      <c r="F327">
        <v>43450.46305977201</v>
      </c>
      <c r="G327">
        <v>10000</v>
      </c>
      <c r="H327">
        <v>324192.93286109844</v>
      </c>
      <c r="I327">
        <v>44.068192865214698</v>
      </c>
    </row>
    <row r="328" spans="1:9" x14ac:dyDescent="0.2">
      <c r="A328">
        <v>323</v>
      </c>
      <c r="B328">
        <v>1643355.8379728098</v>
      </c>
      <c r="C328">
        <v>100784.48349499649</v>
      </c>
      <c r="D328">
        <v>123691.32825491909</v>
      </c>
      <c r="E328">
        <v>188770.07072147721</v>
      </c>
      <c r="F328">
        <v>49068.697203794574</v>
      </c>
      <c r="G328">
        <v>10000</v>
      </c>
      <c r="H328">
        <v>452314.57967518736</v>
      </c>
      <c r="I328">
        <v>31.090726045323439</v>
      </c>
    </row>
    <row r="329" spans="1:9" x14ac:dyDescent="0.2">
      <c r="A329">
        <v>324</v>
      </c>
      <c r="B329">
        <v>1033477.2287845736</v>
      </c>
      <c r="C329">
        <v>97619.666558435143</v>
      </c>
      <c r="D329">
        <v>52582.2147706252</v>
      </c>
      <c r="E329">
        <v>101912.02839678188</v>
      </c>
      <c r="F329">
        <v>43055.448119777204</v>
      </c>
      <c r="G329">
        <v>10000</v>
      </c>
      <c r="H329">
        <v>285169.35784561944</v>
      </c>
      <c r="I329">
        <v>34.618977854038533</v>
      </c>
    </row>
    <row r="330" spans="1:9" x14ac:dyDescent="0.2">
      <c r="A330">
        <v>325</v>
      </c>
      <c r="B330">
        <v>1699044.3986979318</v>
      </c>
      <c r="C330">
        <v>138048.79039642808</v>
      </c>
      <c r="D330">
        <v>136917.52967962215</v>
      </c>
      <c r="E330">
        <v>155822.71287120003</v>
      </c>
      <c r="F330">
        <v>46787.726275698464</v>
      </c>
      <c r="G330">
        <v>10000</v>
      </c>
      <c r="H330">
        <v>467576.75922294875</v>
      </c>
      <c r="I330">
        <v>34.203755822913749</v>
      </c>
    </row>
    <row r="331" spans="1:9" x14ac:dyDescent="0.2">
      <c r="A331">
        <v>326</v>
      </c>
      <c r="B331">
        <v>1273545.0925947565</v>
      </c>
      <c r="C331">
        <v>130980.42714416463</v>
      </c>
      <c r="D331">
        <v>40238.639655458173</v>
      </c>
      <c r="E331">
        <v>143789.38417029279</v>
      </c>
      <c r="F331">
        <v>45954.649673327964</v>
      </c>
      <c r="G331">
        <v>10000</v>
      </c>
      <c r="H331">
        <v>350963.10064324358</v>
      </c>
      <c r="I331">
        <v>42.217691713660003</v>
      </c>
    </row>
    <row r="332" spans="1:9" x14ac:dyDescent="0.2">
      <c r="A332">
        <v>327</v>
      </c>
      <c r="B332">
        <v>1144789.8501298921</v>
      </c>
      <c r="C332">
        <v>97419.937784183028</v>
      </c>
      <c r="D332">
        <v>55508.714636710625</v>
      </c>
      <c r="E332">
        <v>127893.24003457843</v>
      </c>
      <c r="F332">
        <v>44854.147387009274</v>
      </c>
      <c r="G332">
        <v>10000</v>
      </c>
      <c r="H332">
        <v>315676.03984248138</v>
      </c>
      <c r="I332">
        <v>34.74158566106918</v>
      </c>
    </row>
    <row r="333" spans="1:9" x14ac:dyDescent="0.2">
      <c r="A333">
        <v>328</v>
      </c>
      <c r="B333">
        <v>1469098.5953240481</v>
      </c>
      <c r="C333">
        <v>139448.95467194018</v>
      </c>
      <c r="D333">
        <v>140640.11984545505</v>
      </c>
      <c r="E333">
        <v>92092.397633881847</v>
      </c>
      <c r="F333">
        <v>42375.627528499514</v>
      </c>
      <c r="G333">
        <v>10000</v>
      </c>
      <c r="H333">
        <v>404557.09967977658</v>
      </c>
      <c r="I333">
        <v>38.899831556722418</v>
      </c>
    </row>
    <row r="334" spans="1:9" x14ac:dyDescent="0.2">
      <c r="A334">
        <v>329</v>
      </c>
      <c r="B334">
        <v>1432880.3170664015</v>
      </c>
      <c r="C334">
        <v>114045.9883116831</v>
      </c>
      <c r="D334">
        <v>140376.75129938649</v>
      </c>
      <c r="E334">
        <v>106813.48663427445</v>
      </c>
      <c r="F334">
        <v>43394.77984391131</v>
      </c>
      <c r="G334">
        <v>10000</v>
      </c>
      <c r="H334">
        <v>394631.00608925533</v>
      </c>
      <c r="I334">
        <v>56.958359506538507</v>
      </c>
    </row>
    <row r="335" spans="1:9" x14ac:dyDescent="0.2">
      <c r="A335">
        <v>330</v>
      </c>
      <c r="B335">
        <v>977751.78263213427</v>
      </c>
      <c r="C335">
        <v>118854.58072413974</v>
      </c>
      <c r="D335">
        <v>88780.324673788855</v>
      </c>
      <c r="E335">
        <v>33914.254068359602</v>
      </c>
      <c r="F335">
        <v>38347.909897040277</v>
      </c>
      <c r="G335">
        <v>10000</v>
      </c>
      <c r="H335">
        <v>269897.06936332851</v>
      </c>
      <c r="I335">
        <v>42.129108770869834</v>
      </c>
    </row>
    <row r="336" spans="1:9" x14ac:dyDescent="0.2">
      <c r="A336">
        <v>331</v>
      </c>
      <c r="B336">
        <v>1221790.9740324544</v>
      </c>
      <c r="C336">
        <v>128713.45035551164</v>
      </c>
      <c r="D336">
        <v>137189.5320757906</v>
      </c>
      <c r="E336">
        <v>41970.569280956348</v>
      </c>
      <c r="F336">
        <v>38905.654796373899</v>
      </c>
      <c r="G336">
        <v>10000</v>
      </c>
      <c r="H336">
        <v>336779.20650863252</v>
      </c>
      <c r="I336">
        <v>33.040008564533444</v>
      </c>
    </row>
    <row r="337" spans="1:9" x14ac:dyDescent="0.2">
      <c r="A337">
        <v>332</v>
      </c>
      <c r="B337">
        <v>1113038.3658105212</v>
      </c>
      <c r="C337">
        <v>149181.43805515411</v>
      </c>
      <c r="D337">
        <v>102117.70413365467</v>
      </c>
      <c r="E337">
        <v>27753.585388445961</v>
      </c>
      <c r="F337">
        <v>37921.402065353948</v>
      </c>
      <c r="G337">
        <v>10000</v>
      </c>
      <c r="H337">
        <v>306974.12964260863</v>
      </c>
      <c r="I337">
        <v>28.221875725060361</v>
      </c>
    </row>
    <row r="338" spans="1:9" x14ac:dyDescent="0.2">
      <c r="A338">
        <v>333</v>
      </c>
      <c r="B338">
        <v>1365706.4863470611</v>
      </c>
      <c r="C338">
        <v>125472.96038822106</v>
      </c>
      <c r="D338">
        <v>152573.62717414793</v>
      </c>
      <c r="E338">
        <v>67501.377967416163</v>
      </c>
      <c r="F338">
        <v>40673.172320821111</v>
      </c>
      <c r="G338">
        <v>10000</v>
      </c>
      <c r="H338">
        <v>376221.13785060623</v>
      </c>
      <c r="I338">
        <v>34.823946516342218</v>
      </c>
    </row>
    <row r="339" spans="1:9" x14ac:dyDescent="0.2">
      <c r="A339">
        <v>334</v>
      </c>
      <c r="B339">
        <v>1070550.4924421986</v>
      </c>
      <c r="C339">
        <v>83840.860846071751</v>
      </c>
      <c r="D339">
        <v>47129.181964322757</v>
      </c>
      <c r="E339">
        <v>129401.18499756414</v>
      </c>
      <c r="F339">
        <v>44958.54357675444</v>
      </c>
      <c r="G339">
        <v>10000</v>
      </c>
      <c r="H339">
        <v>295329.77138471312</v>
      </c>
      <c r="I339">
        <v>30.769256023783385</v>
      </c>
    </row>
    <row r="340" spans="1:9" x14ac:dyDescent="0.2">
      <c r="A340">
        <v>335</v>
      </c>
      <c r="B340">
        <v>1079072.1927230754</v>
      </c>
      <c r="C340">
        <v>102940.51278626668</v>
      </c>
      <c r="D340">
        <v>119983.44086143734</v>
      </c>
      <c r="E340">
        <v>45585.389730543327</v>
      </c>
      <c r="F340">
        <v>39155.911596729922</v>
      </c>
      <c r="G340">
        <v>10000</v>
      </c>
      <c r="H340">
        <v>297665.25497497729</v>
      </c>
      <c r="I340">
        <v>40.552309737972408</v>
      </c>
    </row>
    <row r="341" spans="1:9" x14ac:dyDescent="0.2">
      <c r="A341">
        <v>336</v>
      </c>
      <c r="B341">
        <v>1559281.222654117</v>
      </c>
      <c r="C341">
        <v>97871.435389889783</v>
      </c>
      <c r="D341">
        <v>98230.255995729414</v>
      </c>
      <c r="E341">
        <v>193757.18002587953</v>
      </c>
      <c r="F341">
        <v>49413.958617176271</v>
      </c>
      <c r="G341">
        <v>10000</v>
      </c>
      <c r="H341">
        <v>429272.83002867503</v>
      </c>
      <c r="I341">
        <v>33.06955143975685</v>
      </c>
    </row>
    <row r="342" spans="1:9" x14ac:dyDescent="0.2">
      <c r="A342">
        <v>337</v>
      </c>
      <c r="B342">
        <v>1567436.948353949</v>
      </c>
      <c r="C342">
        <v>107742.64118980814</v>
      </c>
      <c r="D342">
        <v>137936.55047715388</v>
      </c>
      <c r="E342">
        <v>149480.19307283539</v>
      </c>
      <c r="F342">
        <v>46348.628751196295</v>
      </c>
      <c r="G342">
        <v>10000</v>
      </c>
      <c r="H342">
        <v>431508.01349099376</v>
      </c>
      <c r="I342">
        <v>36.921170946349726</v>
      </c>
    </row>
    <row r="343" spans="1:9" x14ac:dyDescent="0.2">
      <c r="A343">
        <v>338</v>
      </c>
      <c r="B343">
        <v>1706520.5239461535</v>
      </c>
      <c r="C343">
        <v>140250.7371971239</v>
      </c>
      <c r="D343">
        <v>91204.320553368612</v>
      </c>
      <c r="E343">
        <v>198432.96473909306</v>
      </c>
      <c r="F343">
        <v>49737.666789629518</v>
      </c>
      <c r="G343">
        <v>10000</v>
      </c>
      <c r="H343">
        <v>469625.68927921506</v>
      </c>
      <c r="I343">
        <v>41.123281977459904</v>
      </c>
    </row>
    <row r="344" spans="1:9" x14ac:dyDescent="0.2">
      <c r="A344">
        <v>339</v>
      </c>
      <c r="B344">
        <v>1419704.4213976357</v>
      </c>
      <c r="C344">
        <v>132007.73282996859</v>
      </c>
      <c r="D344">
        <v>78016.275172817739</v>
      </c>
      <c r="E344">
        <v>144960.26091259078</v>
      </c>
      <c r="F344">
        <v>46035.710370871675</v>
      </c>
      <c r="G344">
        <v>10000</v>
      </c>
      <c r="H344">
        <v>391019.9792862488</v>
      </c>
      <c r="I344">
        <v>52.595671214091325</v>
      </c>
    </row>
    <row r="345" spans="1:9" x14ac:dyDescent="0.2">
      <c r="A345">
        <v>340</v>
      </c>
      <c r="B345">
        <v>1748628.0132123469</v>
      </c>
      <c r="C345">
        <v>122664.39644450598</v>
      </c>
      <c r="D345">
        <v>162560.60972597983</v>
      </c>
      <c r="E345">
        <v>158937.43147976475</v>
      </c>
      <c r="F345">
        <v>47003.360640906787</v>
      </c>
      <c r="G345">
        <v>10000</v>
      </c>
      <c r="H345">
        <v>481165.79829115735</v>
      </c>
      <c r="I345">
        <v>26.870928561082934</v>
      </c>
    </row>
    <row r="346" spans="1:9" x14ac:dyDescent="0.2">
      <c r="A346">
        <v>341</v>
      </c>
      <c r="B346">
        <v>1377052.0057498699</v>
      </c>
      <c r="C346">
        <v>133209.47648133928</v>
      </c>
      <c r="D346">
        <v>58786.850394262656</v>
      </c>
      <c r="E346">
        <v>150888.0999578317</v>
      </c>
      <c r="F346">
        <v>46446.099227849889</v>
      </c>
      <c r="G346">
        <v>10000</v>
      </c>
      <c r="H346">
        <v>379330.52606128354</v>
      </c>
      <c r="I346">
        <v>28.937796459653534</v>
      </c>
    </row>
    <row r="347" spans="1:9" x14ac:dyDescent="0.2">
      <c r="A347">
        <v>342</v>
      </c>
      <c r="B347">
        <v>1024524.6486100494</v>
      </c>
      <c r="C347">
        <v>139207.03872678074</v>
      </c>
      <c r="D347">
        <v>69709.397873564958</v>
      </c>
      <c r="E347">
        <v>44704.427473892705</v>
      </c>
      <c r="F347">
        <v>39094.921902038725</v>
      </c>
      <c r="G347">
        <v>10000</v>
      </c>
      <c r="H347">
        <v>282715.78597627714</v>
      </c>
      <c r="I347">
        <v>31.53425752996651</v>
      </c>
    </row>
    <row r="348" spans="1:9" x14ac:dyDescent="0.2">
      <c r="A348">
        <v>343</v>
      </c>
      <c r="B348">
        <v>1481115.5226359721</v>
      </c>
      <c r="C348">
        <v>77984.700110423146</v>
      </c>
      <c r="D348">
        <v>150991.77739196821</v>
      </c>
      <c r="E348">
        <v>142975.70077459427</v>
      </c>
      <c r="F348">
        <v>45898.317745933455</v>
      </c>
      <c r="G348">
        <v>10000</v>
      </c>
      <c r="H348">
        <v>407850.49602291908</v>
      </c>
      <c r="I348">
        <v>41.727104117439225</v>
      </c>
    </row>
    <row r="349" spans="1:9" x14ac:dyDescent="0.2">
      <c r="A349">
        <v>344</v>
      </c>
      <c r="B349">
        <v>940464.22410438582</v>
      </c>
      <c r="C349">
        <v>93500.57427527351</v>
      </c>
      <c r="D349">
        <v>81013.485889836724</v>
      </c>
      <c r="E349">
        <v>55333.111471734832</v>
      </c>
      <c r="F349">
        <v>39830.753871120105</v>
      </c>
      <c r="G349">
        <v>10000</v>
      </c>
      <c r="H349">
        <v>259677.92550796515</v>
      </c>
      <c r="I349">
        <v>48.151943420335563</v>
      </c>
    </row>
    <row r="350" spans="1:9" x14ac:dyDescent="0.2">
      <c r="A350">
        <v>345</v>
      </c>
      <c r="B350">
        <v>1353163.4167121202</v>
      </c>
      <c r="C350">
        <v>106431.96110306487</v>
      </c>
      <c r="D350">
        <v>46625.411245971241</v>
      </c>
      <c r="E350">
        <v>181182.75169174315</v>
      </c>
      <c r="F350">
        <v>48543.421270966835</v>
      </c>
      <c r="G350">
        <v>10000</v>
      </c>
      <c r="H350">
        <v>372783.54531174607</v>
      </c>
      <c r="I350">
        <v>48.544538671822529</v>
      </c>
    </row>
    <row r="351" spans="1:9" x14ac:dyDescent="0.2">
      <c r="A351">
        <v>346</v>
      </c>
      <c r="B351">
        <v>1677207.2359448227</v>
      </c>
      <c r="C351">
        <v>95598.185304891042</v>
      </c>
      <c r="D351">
        <v>120807.04433811753</v>
      </c>
      <c r="E351">
        <v>204994.81999909211</v>
      </c>
      <c r="F351">
        <v>50191.949076860226</v>
      </c>
      <c r="G351">
        <v>10000</v>
      </c>
      <c r="H351">
        <v>461591.99871896091</v>
      </c>
      <c r="I351">
        <v>26.627260997188142</v>
      </c>
    </row>
    <row r="352" spans="1:9" x14ac:dyDescent="0.2">
      <c r="A352">
        <v>347</v>
      </c>
      <c r="B352">
        <v>1381204.9916728514</v>
      </c>
      <c r="C352">
        <v>130577.59433861771</v>
      </c>
      <c r="D352">
        <v>91066.376336589121</v>
      </c>
      <c r="E352">
        <v>124224.5728441079</v>
      </c>
      <c r="F352">
        <v>44600.162735361315</v>
      </c>
      <c r="G352">
        <v>10000</v>
      </c>
      <c r="H352">
        <v>380468.70625467604</v>
      </c>
      <c r="I352">
        <v>34.444352632665897</v>
      </c>
    </row>
    <row r="353" spans="1:9" x14ac:dyDescent="0.2">
      <c r="A353">
        <v>348</v>
      </c>
      <c r="B353">
        <v>841079.9821341401</v>
      </c>
      <c r="C353">
        <v>93664.427439240855</v>
      </c>
      <c r="D353">
        <v>50935.022525752938</v>
      </c>
      <c r="E353">
        <v>57836.833681593234</v>
      </c>
      <c r="F353">
        <v>40004.088485648761</v>
      </c>
      <c r="G353">
        <v>10000</v>
      </c>
      <c r="H353">
        <v>232440.37213223582</v>
      </c>
      <c r="I353">
        <v>47.9224974400599</v>
      </c>
    </row>
    <row r="354" spans="1:9" x14ac:dyDescent="0.2">
      <c r="A354">
        <v>349</v>
      </c>
      <c r="B354">
        <v>1466636.8951818543</v>
      </c>
      <c r="C354">
        <v>110702.10189738138</v>
      </c>
      <c r="D354">
        <v>106949.505321296</v>
      </c>
      <c r="E354">
        <v>149856.1731494705</v>
      </c>
      <c r="F354">
        <v>46374.658141117186</v>
      </c>
      <c r="G354">
        <v>10000</v>
      </c>
      <c r="H354">
        <v>403882.43850926508</v>
      </c>
      <c r="I354">
        <v>28.813158514135345</v>
      </c>
    </row>
    <row r="355" spans="1:9" x14ac:dyDescent="0.2">
      <c r="A355">
        <v>350</v>
      </c>
      <c r="B355">
        <v>1515305.0943667912</v>
      </c>
      <c r="C355">
        <v>103901.82113195327</v>
      </c>
      <c r="D355">
        <v>127594.79535099003</v>
      </c>
      <c r="E355">
        <v>149382.13913082419</v>
      </c>
      <c r="F355">
        <v>46341.840401364745</v>
      </c>
      <c r="G355">
        <v>10000</v>
      </c>
      <c r="H355">
        <v>417220.59601513221</v>
      </c>
      <c r="I355">
        <v>49.148620250166083</v>
      </c>
    </row>
    <row r="356" spans="1:9" x14ac:dyDescent="0.2">
      <c r="A356">
        <v>351</v>
      </c>
      <c r="B356">
        <v>1478292.8462973763</v>
      </c>
      <c r="C356">
        <v>100484.80019985867</v>
      </c>
      <c r="D356">
        <v>123376.20750136231</v>
      </c>
      <c r="E356">
        <v>147036.45033441461</v>
      </c>
      <c r="F356">
        <v>46179.446561613324</v>
      </c>
      <c r="G356">
        <v>10000</v>
      </c>
      <c r="H356">
        <v>407076.90459724888</v>
      </c>
      <c r="I356">
        <v>32.251101399982346</v>
      </c>
    </row>
    <row r="357" spans="1:9" x14ac:dyDescent="0.2">
      <c r="A357">
        <v>352</v>
      </c>
      <c r="B357">
        <v>840070.70188609976</v>
      </c>
      <c r="C357">
        <v>117048.61512915253</v>
      </c>
      <c r="D357">
        <v>44566.612165952014</v>
      </c>
      <c r="E357">
        <v>41664.100628475702</v>
      </c>
      <c r="F357">
        <v>38884.437735817548</v>
      </c>
      <c r="G357">
        <v>10000</v>
      </c>
      <c r="H357">
        <v>232163.76565939779</v>
      </c>
      <c r="I357">
        <v>39.81388332304649</v>
      </c>
    </row>
    <row r="358" spans="1:9" x14ac:dyDescent="0.2">
      <c r="A358">
        <v>353</v>
      </c>
      <c r="B358">
        <v>1392490.702659219</v>
      </c>
      <c r="C358">
        <v>95584.427737208462</v>
      </c>
      <c r="D358">
        <v>49067.258516352405</v>
      </c>
      <c r="E358">
        <v>199124.47626716836</v>
      </c>
      <c r="F358">
        <v>49785.540664650121</v>
      </c>
      <c r="G358">
        <v>10000</v>
      </c>
      <c r="H358">
        <v>383561.70318537939</v>
      </c>
      <c r="I358">
        <v>55.176466241824905</v>
      </c>
    </row>
    <row r="359" spans="1:9" x14ac:dyDescent="0.2">
      <c r="A359">
        <v>354</v>
      </c>
      <c r="B359">
        <v>1960172.0951007735</v>
      </c>
      <c r="C359">
        <v>161570.40186943766</v>
      </c>
      <c r="D359">
        <v>160561.41209307467</v>
      </c>
      <c r="E359">
        <v>178642.83047757347</v>
      </c>
      <c r="F359">
        <v>48367.580571524319</v>
      </c>
      <c r="G359">
        <v>10000</v>
      </c>
      <c r="H359">
        <v>539142.22501161008</v>
      </c>
      <c r="I359">
        <v>29.24611408955586</v>
      </c>
    </row>
    <row r="360" spans="1:9" x14ac:dyDescent="0.2">
      <c r="A360">
        <v>355</v>
      </c>
      <c r="B360">
        <v>695390.76792381506</v>
      </c>
      <c r="C360">
        <v>89221.60154212371</v>
      </c>
      <c r="D360">
        <v>28785.121515239738</v>
      </c>
      <c r="E360">
        <v>45364.960390191329</v>
      </c>
      <c r="F360">
        <v>39140.651103936325</v>
      </c>
      <c r="G360">
        <v>10000</v>
      </c>
      <c r="H360">
        <v>192512.33455149108</v>
      </c>
      <c r="I360">
        <v>39.205014332654564</v>
      </c>
    </row>
    <row r="361" spans="1:9" x14ac:dyDescent="0.2">
      <c r="A361">
        <v>356</v>
      </c>
      <c r="B361">
        <v>1722117.5295198432</v>
      </c>
      <c r="C361">
        <v>150038.77705008682</v>
      </c>
      <c r="D361">
        <v>99366.027681512292</v>
      </c>
      <c r="E361">
        <v>185643.22496789822</v>
      </c>
      <c r="F361">
        <v>48852.223267008339</v>
      </c>
      <c r="G361">
        <v>10000</v>
      </c>
      <c r="H361">
        <v>473900.25296650565</v>
      </c>
      <c r="I361">
        <v>24.580129304884288</v>
      </c>
    </row>
    <row r="362" spans="1:9" x14ac:dyDescent="0.2">
      <c r="A362">
        <v>357</v>
      </c>
      <c r="B362">
        <v>1719352.7327894403</v>
      </c>
      <c r="C362">
        <v>134903.20079355163</v>
      </c>
      <c r="D362">
        <v>137653.97401834352</v>
      </c>
      <c r="E362">
        <v>163281.26202292976</v>
      </c>
      <c r="F362">
        <v>47304.087370818212</v>
      </c>
      <c r="G362">
        <v>10000</v>
      </c>
      <c r="H362">
        <v>473142.52420564304</v>
      </c>
      <c r="I362">
        <v>49.468932295735371</v>
      </c>
    </row>
    <row r="363" spans="1:9" x14ac:dyDescent="0.2">
      <c r="A363">
        <v>358</v>
      </c>
      <c r="B363">
        <v>1455906.6575146953</v>
      </c>
      <c r="C363">
        <v>143592.96630675407</v>
      </c>
      <c r="D363">
        <v>83035.352564854882</v>
      </c>
      <c r="E363">
        <v>138710.33430238138</v>
      </c>
      <c r="F363">
        <v>45603.023144011015</v>
      </c>
      <c r="G363">
        <v>10000</v>
      </c>
      <c r="H363">
        <v>400941.67631800135</v>
      </c>
      <c r="I363">
        <v>31.69576183845826</v>
      </c>
    </row>
    <row r="364" spans="1:9" x14ac:dyDescent="0.2">
      <c r="A364">
        <v>359</v>
      </c>
      <c r="B364">
        <v>1625602.7694130477</v>
      </c>
      <c r="C364">
        <v>119027.8316788379</v>
      </c>
      <c r="D364">
        <v>95813.954367756756</v>
      </c>
      <c r="E364">
        <v>193229.87944473024</v>
      </c>
      <c r="F364">
        <v>49377.453192327477</v>
      </c>
      <c r="G364">
        <v>10000</v>
      </c>
      <c r="H364">
        <v>447449.11868365237</v>
      </c>
      <c r="I364">
        <v>26.42208189555523</v>
      </c>
    </row>
    <row r="365" spans="1:9" x14ac:dyDescent="0.2">
      <c r="A365">
        <v>360</v>
      </c>
      <c r="B365">
        <v>1174908.3212040097</v>
      </c>
      <c r="C365">
        <v>103205.66334067579</v>
      </c>
      <c r="D365">
        <v>99742.194881482501</v>
      </c>
      <c r="E365">
        <v>88832.594312021232</v>
      </c>
      <c r="F365">
        <v>42149.948836986077</v>
      </c>
      <c r="G365">
        <v>10000</v>
      </c>
      <c r="H365">
        <v>323930.40137116559</v>
      </c>
      <c r="I365">
        <v>28.632623588609015</v>
      </c>
    </row>
    <row r="366" spans="1:9" x14ac:dyDescent="0.2">
      <c r="A366">
        <v>361</v>
      </c>
      <c r="B366">
        <v>1284061.3232619099</v>
      </c>
      <c r="C366">
        <v>108768.22956977942</v>
      </c>
      <c r="D366">
        <v>79130.160858989402</v>
      </c>
      <c r="E366">
        <v>130885.51602824396</v>
      </c>
      <c r="F366">
        <v>45061.304955801505</v>
      </c>
      <c r="G366">
        <v>10000</v>
      </c>
      <c r="H366">
        <v>353845.21141281427</v>
      </c>
      <c r="I366">
        <v>44.243460998034905</v>
      </c>
    </row>
    <row r="367" spans="1:9" x14ac:dyDescent="0.2">
      <c r="A367">
        <v>362</v>
      </c>
      <c r="B367">
        <v>924472.51347746071</v>
      </c>
      <c r="C367">
        <v>114479.61414591031</v>
      </c>
      <c r="D367">
        <v>28844.696574111695</v>
      </c>
      <c r="E367">
        <v>80404.417347906841</v>
      </c>
      <c r="F367">
        <v>41566.459662547401</v>
      </c>
      <c r="G367">
        <v>10000</v>
      </c>
      <c r="H367">
        <v>255295.18773047626</v>
      </c>
      <c r="I367">
        <v>47.597645341596071</v>
      </c>
    </row>
    <row r="368" spans="1:9" x14ac:dyDescent="0.2">
      <c r="A368">
        <v>363</v>
      </c>
      <c r="B368">
        <v>1322002.0581464514</v>
      </c>
      <c r="C368">
        <v>102571.24949576067</v>
      </c>
      <c r="D368">
        <v>53375.818554688565</v>
      </c>
      <c r="E368">
        <v>170492.94128114884</v>
      </c>
      <c r="F368">
        <v>47803.357473310309</v>
      </c>
      <c r="G368">
        <v>10000</v>
      </c>
      <c r="H368">
        <v>364243.36680490838</v>
      </c>
      <c r="I368">
        <v>49.914385343095553</v>
      </c>
    </row>
    <row r="369" spans="1:9" x14ac:dyDescent="0.2">
      <c r="A369">
        <v>364</v>
      </c>
      <c r="B369">
        <v>1577688.0214909462</v>
      </c>
      <c r="C369">
        <v>125503.11555807783</v>
      </c>
      <c r="D369">
        <v>78024.033918250992</v>
      </c>
      <c r="E369">
        <v>191530.50097599614</v>
      </c>
      <c r="F369">
        <v>49259.803913722812</v>
      </c>
      <c r="G369">
        <v>10000</v>
      </c>
      <c r="H369">
        <v>434317.45436604775</v>
      </c>
      <c r="I369">
        <v>54.46194742807765</v>
      </c>
    </row>
    <row r="370" spans="1:9" x14ac:dyDescent="0.2">
      <c r="A370">
        <v>365</v>
      </c>
      <c r="B370">
        <v>894864.16916381079</v>
      </c>
      <c r="C370">
        <v>133130.67454768103</v>
      </c>
      <c r="D370">
        <v>46895.426583438966</v>
      </c>
      <c r="E370">
        <v>38489.850064161714</v>
      </c>
      <c r="F370">
        <v>38664.68192751889</v>
      </c>
      <c r="G370">
        <v>10000</v>
      </c>
      <c r="H370">
        <v>247180.63312280059</v>
      </c>
      <c r="I370">
        <v>34.420428733270825</v>
      </c>
    </row>
    <row r="371" spans="1:9" x14ac:dyDescent="0.2">
      <c r="A371">
        <v>366</v>
      </c>
      <c r="B371">
        <v>1133044.9495875784</v>
      </c>
      <c r="C371">
        <v>89664.524840756698</v>
      </c>
      <c r="D371">
        <v>122870.10597677175</v>
      </c>
      <c r="E371">
        <v>69136.212040141356</v>
      </c>
      <c r="F371">
        <v>40786.353141240557</v>
      </c>
      <c r="G371">
        <v>10000</v>
      </c>
      <c r="H371">
        <v>312457.19599891035</v>
      </c>
      <c r="I371">
        <v>36.869159830944419</v>
      </c>
    </row>
    <row r="372" spans="1:9" x14ac:dyDescent="0.2">
      <c r="A372">
        <v>367</v>
      </c>
      <c r="B372">
        <v>1660954.8193003503</v>
      </c>
      <c r="C372">
        <v>102741.63469391158</v>
      </c>
      <c r="D372">
        <v>125519.02063715285</v>
      </c>
      <c r="E372">
        <v>189741.22476590137</v>
      </c>
      <c r="F372">
        <v>49135.930945331631</v>
      </c>
      <c r="G372">
        <v>10000</v>
      </c>
      <c r="H372">
        <v>457137.81104229746</v>
      </c>
      <c r="I372">
        <v>35.912643520989946</v>
      </c>
    </row>
    <row r="373" spans="1:9" x14ac:dyDescent="0.2">
      <c r="A373">
        <v>368</v>
      </c>
      <c r="B373">
        <v>1598070.3461146094</v>
      </c>
      <c r="C373">
        <v>140239.92705001132</v>
      </c>
      <c r="D373">
        <v>138985.80582263577</v>
      </c>
      <c r="E373">
        <v>125957.62152219619</v>
      </c>
      <c r="F373">
        <v>44720.143028459737</v>
      </c>
      <c r="G373">
        <v>10000</v>
      </c>
      <c r="H373">
        <v>439903.49742330308</v>
      </c>
      <c r="I373">
        <v>29.573888264802434</v>
      </c>
    </row>
    <row r="374" spans="1:9" x14ac:dyDescent="0.2">
      <c r="A374">
        <v>369</v>
      </c>
      <c r="B374">
        <v>1685985.9276862121</v>
      </c>
      <c r="C374">
        <v>118292.39904696775</v>
      </c>
      <c r="D374">
        <v>110214.82541385572</v>
      </c>
      <c r="E374">
        <v>195926.54434671337</v>
      </c>
      <c r="F374">
        <v>49564.145377849389</v>
      </c>
      <c r="G374">
        <v>10000</v>
      </c>
      <c r="H374">
        <v>463997.91418538621</v>
      </c>
      <c r="I374">
        <v>42.474585345902483</v>
      </c>
    </row>
    <row r="375" spans="1:9" x14ac:dyDescent="0.2">
      <c r="A375">
        <v>370</v>
      </c>
      <c r="B375">
        <v>1724269.1218945791</v>
      </c>
      <c r="C375">
        <v>133935.07065102036</v>
      </c>
      <c r="D375">
        <v>95743.879700969032</v>
      </c>
      <c r="E375">
        <v>204643.35762295732</v>
      </c>
      <c r="F375">
        <v>50167.617066204737</v>
      </c>
      <c r="G375">
        <v>10000</v>
      </c>
      <c r="H375">
        <v>474489.92504115141</v>
      </c>
      <c r="I375">
        <v>32.866911486519939</v>
      </c>
    </row>
    <row r="376" spans="1:9" x14ac:dyDescent="0.2">
      <c r="A376">
        <v>371</v>
      </c>
      <c r="B376">
        <v>1431124.7141583937</v>
      </c>
      <c r="C376">
        <v>93805.625852118785</v>
      </c>
      <c r="D376">
        <v>53421.307557921136</v>
      </c>
      <c r="E376">
        <v>206618.56454434805</v>
      </c>
      <c r="F376">
        <v>50304.362160762554</v>
      </c>
      <c r="G376">
        <v>10000</v>
      </c>
      <c r="H376">
        <v>394149.86011515051</v>
      </c>
      <c r="I376">
        <v>42.260101659031534</v>
      </c>
    </row>
    <row r="377" spans="1:9" x14ac:dyDescent="0.2">
      <c r="A377">
        <v>372</v>
      </c>
      <c r="B377">
        <v>1118565.3934504827</v>
      </c>
      <c r="C377">
        <v>138629.48747538292</v>
      </c>
      <c r="D377">
        <v>75752.399063367455</v>
      </c>
      <c r="E377">
        <v>63697.191839857594</v>
      </c>
      <c r="F377">
        <v>40409.805588913223</v>
      </c>
      <c r="G377">
        <v>10000</v>
      </c>
      <c r="H377">
        <v>308488.88396752119</v>
      </c>
      <c r="I377">
        <v>34.900273148258471</v>
      </c>
    </row>
    <row r="378" spans="1:9" x14ac:dyDescent="0.2">
      <c r="A378">
        <v>373</v>
      </c>
      <c r="B378">
        <v>1438063.614958263</v>
      </c>
      <c r="C378">
        <v>134125.68327897057</v>
      </c>
      <c r="D378">
        <v>121409.07574171155</v>
      </c>
      <c r="E378">
        <v>107102.04106433151</v>
      </c>
      <c r="F378">
        <v>43414.756689069101</v>
      </c>
      <c r="G378">
        <v>10000</v>
      </c>
      <c r="H378">
        <v>396051.55677408271</v>
      </c>
      <c r="I378">
        <v>32.850268212545984</v>
      </c>
    </row>
    <row r="379" spans="1:9" x14ac:dyDescent="0.2">
      <c r="A379">
        <v>374</v>
      </c>
      <c r="B379">
        <v>1255600.9218113783</v>
      </c>
      <c r="C379">
        <v>102799.05961592573</v>
      </c>
      <c r="D379">
        <v>81526.899229782706</v>
      </c>
      <c r="E379">
        <v>126931.72572647996</v>
      </c>
      <c r="F379">
        <v>44787.581011833223</v>
      </c>
      <c r="G379">
        <v>10000</v>
      </c>
      <c r="H379">
        <v>346045.26558402163</v>
      </c>
      <c r="I379">
        <v>39.315258731313726</v>
      </c>
    </row>
    <row r="380" spans="1:9" x14ac:dyDescent="0.2">
      <c r="A380">
        <v>375</v>
      </c>
      <c r="B380">
        <v>1035668.1792464763</v>
      </c>
      <c r="C380">
        <v>108239.40654731996</v>
      </c>
      <c r="D380">
        <v>85131.376349949744</v>
      </c>
      <c r="E380">
        <v>62099.815618022178</v>
      </c>
      <c r="F380">
        <v>40299.218004324612</v>
      </c>
      <c r="G380">
        <v>10000</v>
      </c>
      <c r="H380">
        <v>285769.81651961646</v>
      </c>
      <c r="I380">
        <v>29.43730364526143</v>
      </c>
    </row>
    <row r="381" spans="1:9" x14ac:dyDescent="0.2">
      <c r="A381">
        <v>376</v>
      </c>
      <c r="B381">
        <v>933514.97178580717</v>
      </c>
      <c r="C381">
        <v>85742.457127269547</v>
      </c>
      <c r="D381">
        <v>103708.9898085717</v>
      </c>
      <c r="E381">
        <v>39581.675127380746</v>
      </c>
      <c r="F381">
        <v>38740.269816510969</v>
      </c>
      <c r="G381">
        <v>10000</v>
      </c>
      <c r="H381">
        <v>257773.39187973295</v>
      </c>
      <c r="I381">
        <v>33.223299078327287</v>
      </c>
    </row>
    <row r="382" spans="1:9" x14ac:dyDescent="0.2">
      <c r="A382">
        <v>377</v>
      </c>
      <c r="B382">
        <v>1358908.0020904187</v>
      </c>
      <c r="C382">
        <v>114870.24803780715</v>
      </c>
      <c r="D382">
        <v>78626.333189199722</v>
      </c>
      <c r="E382">
        <v>144834.34952878105</v>
      </c>
      <c r="F382">
        <v>46026.993428915608</v>
      </c>
      <c r="G382">
        <v>10000</v>
      </c>
      <c r="H382">
        <v>374357.9241847035</v>
      </c>
      <c r="I382">
        <v>46.948914570957569</v>
      </c>
    </row>
    <row r="383" spans="1:9" x14ac:dyDescent="0.2">
      <c r="A383">
        <v>378</v>
      </c>
      <c r="B383">
        <v>1141845.9257263273</v>
      </c>
      <c r="C383">
        <v>89565.228420002473</v>
      </c>
      <c r="D383">
        <v>101669.51912796561</v>
      </c>
      <c r="E383">
        <v>91312.814836608653</v>
      </c>
      <c r="F383">
        <v>42321.656411765216</v>
      </c>
      <c r="G383">
        <v>10000</v>
      </c>
      <c r="H383">
        <v>314869.21879634197</v>
      </c>
      <c r="I383">
        <v>38.4425209250048</v>
      </c>
    </row>
    <row r="384" spans="1:9" x14ac:dyDescent="0.2">
      <c r="A384">
        <v>379</v>
      </c>
      <c r="B384">
        <v>884351.42815338389</v>
      </c>
      <c r="C384">
        <v>90300.202337666109</v>
      </c>
      <c r="D384">
        <v>74168.819468132715</v>
      </c>
      <c r="E384">
        <v>50345.031664488939</v>
      </c>
      <c r="F384">
        <v>39485.425269079999</v>
      </c>
      <c r="G384">
        <v>10000</v>
      </c>
      <c r="H384">
        <v>244299.47873936777</v>
      </c>
      <c r="I384">
        <v>46.422593788222791</v>
      </c>
    </row>
    <row r="385" spans="1:9" x14ac:dyDescent="0.2">
      <c r="A385">
        <v>380</v>
      </c>
      <c r="B385">
        <v>1662195.4948764853</v>
      </c>
      <c r="C385">
        <v>134919.52970578169</v>
      </c>
      <c r="D385">
        <v>119118.37398584872</v>
      </c>
      <c r="E385">
        <v>165951.01436515927</v>
      </c>
      <c r="F385">
        <v>47488.916379126415</v>
      </c>
      <c r="G385">
        <v>10000</v>
      </c>
      <c r="H385">
        <v>457477.8344359161</v>
      </c>
      <c r="I385">
        <v>27.993921602561294</v>
      </c>
    </row>
    <row r="386" spans="1:9" x14ac:dyDescent="0.2">
      <c r="A386">
        <v>381</v>
      </c>
      <c r="B386">
        <v>965031.10186378111</v>
      </c>
      <c r="C386">
        <v>128707.46995653141</v>
      </c>
      <c r="D386">
        <v>57488.77431094338</v>
      </c>
      <c r="E386">
        <v>50704.260913015067</v>
      </c>
      <c r="F386">
        <v>39510.294986285662</v>
      </c>
      <c r="G386">
        <v>10000</v>
      </c>
      <c r="H386">
        <v>266410.80016677553</v>
      </c>
      <c r="I386">
        <v>26.11771656051242</v>
      </c>
    </row>
    <row r="387" spans="1:9" x14ac:dyDescent="0.2">
      <c r="A387">
        <v>382</v>
      </c>
      <c r="B387">
        <v>1497290.4609228836</v>
      </c>
      <c r="C387">
        <v>145720.82063636516</v>
      </c>
      <c r="D387">
        <v>59842.250682357364</v>
      </c>
      <c r="E387">
        <v>169019.05895588192</v>
      </c>
      <c r="F387">
        <v>47701.319466176436</v>
      </c>
      <c r="G387">
        <v>10000</v>
      </c>
      <c r="H387">
        <v>412283.44974078087</v>
      </c>
      <c r="I387">
        <v>37.109986749516835</v>
      </c>
    </row>
    <row r="388" spans="1:9" x14ac:dyDescent="0.2">
      <c r="A388">
        <v>383</v>
      </c>
      <c r="B388">
        <v>1443354.7101359745</v>
      </c>
      <c r="C388">
        <v>86384.861792270065</v>
      </c>
      <c r="D388">
        <v>130128.18525011046</v>
      </c>
      <c r="E388">
        <v>144953.37034332461</v>
      </c>
      <c r="F388">
        <v>46035.233331460935</v>
      </c>
      <c r="G388">
        <v>10000</v>
      </c>
      <c r="H388">
        <v>397501.65071716608</v>
      </c>
      <c r="I388">
        <v>41.45831322130681</v>
      </c>
    </row>
    <row r="389" spans="1:9" x14ac:dyDescent="0.2">
      <c r="A389">
        <v>384</v>
      </c>
      <c r="B389">
        <v>1090971.8718030336</v>
      </c>
      <c r="C389">
        <v>127243.16583217654</v>
      </c>
      <c r="D389">
        <v>48932.843245543248</v>
      </c>
      <c r="E389">
        <v>92356.59098886924</v>
      </c>
      <c r="F389">
        <v>42393.917837690948</v>
      </c>
      <c r="G389">
        <v>10000</v>
      </c>
      <c r="H389">
        <v>300926.51790427999</v>
      </c>
      <c r="I389">
        <v>25.181356070596969</v>
      </c>
    </row>
    <row r="390" spans="1:9" x14ac:dyDescent="0.2">
      <c r="A390">
        <v>385</v>
      </c>
      <c r="B390">
        <v>1105609.5675308837</v>
      </c>
      <c r="C390">
        <v>111705.23621703619</v>
      </c>
      <c r="D390">
        <v>46816.313513458219</v>
      </c>
      <c r="E390">
        <v>112619.86083525186</v>
      </c>
      <c r="F390">
        <v>43796.759596286662</v>
      </c>
      <c r="G390">
        <v>10000</v>
      </c>
      <c r="H390">
        <v>304938.17016203294</v>
      </c>
      <c r="I390">
        <v>27.664710667531111</v>
      </c>
    </row>
    <row r="391" spans="1:9" x14ac:dyDescent="0.2">
      <c r="A391">
        <v>386</v>
      </c>
      <c r="B391">
        <v>1220393.9498504191</v>
      </c>
      <c r="C391">
        <v>124845.24216277536</v>
      </c>
      <c r="D391">
        <v>88722.783725820351</v>
      </c>
      <c r="E391">
        <v>90558.849061718327</v>
      </c>
      <c r="F391">
        <v>42269.458781195877</v>
      </c>
      <c r="G391">
        <v>10000</v>
      </c>
      <c r="H391">
        <v>336396.33373150992</v>
      </c>
      <c r="I391">
        <v>36.591025979761433</v>
      </c>
    </row>
    <row r="392" spans="1:9" x14ac:dyDescent="0.2">
      <c r="A392">
        <v>387</v>
      </c>
      <c r="B392">
        <v>1441728.9488249714</v>
      </c>
      <c r="C392">
        <v>158660.44943532665</v>
      </c>
      <c r="D392">
        <v>70575.941944875522</v>
      </c>
      <c r="E392">
        <v>132637.12776932193</v>
      </c>
      <c r="F392">
        <v>45182.570384029976</v>
      </c>
      <c r="G392">
        <v>10000</v>
      </c>
      <c r="H392">
        <v>397056.0895335541</v>
      </c>
      <c r="I392">
        <v>35.405166754596415</v>
      </c>
    </row>
    <row r="393" spans="1:9" x14ac:dyDescent="0.2">
      <c r="A393">
        <v>388</v>
      </c>
      <c r="B393">
        <v>1557765.4485921662</v>
      </c>
      <c r="C393">
        <v>115770.75402391146</v>
      </c>
      <c r="D393">
        <v>97643.813393005898</v>
      </c>
      <c r="E393">
        <v>177176.76139342115</v>
      </c>
      <c r="F393">
        <v>48266.083481083006</v>
      </c>
      <c r="G393">
        <v>10000</v>
      </c>
      <c r="H393">
        <v>428857.4122914215</v>
      </c>
      <c r="I393">
        <v>37.74326505493444</v>
      </c>
    </row>
    <row r="394" spans="1:9" x14ac:dyDescent="0.2">
      <c r="A394">
        <v>389</v>
      </c>
      <c r="B394">
        <v>890207.51336593204</v>
      </c>
      <c r="C394">
        <v>100124.60883185902</v>
      </c>
      <c r="D394">
        <v>60463.703319269443</v>
      </c>
      <c r="E394">
        <v>55475.492436507229</v>
      </c>
      <c r="F394">
        <v>39840.611014835114</v>
      </c>
      <c r="G394">
        <v>10000</v>
      </c>
      <c r="H394">
        <v>245904.41560247081</v>
      </c>
      <c r="I394">
        <v>43.345153295116432</v>
      </c>
    </row>
    <row r="395" spans="1:9" x14ac:dyDescent="0.2">
      <c r="A395">
        <v>390</v>
      </c>
      <c r="B395">
        <v>1374009.3321536141</v>
      </c>
      <c r="C395">
        <v>146760.66743474588</v>
      </c>
      <c r="D395">
        <v>127238.85041947587</v>
      </c>
      <c r="E395">
        <v>73414.576076587327</v>
      </c>
      <c r="F395">
        <v>41082.547574532975</v>
      </c>
      <c r="G395">
        <v>10000</v>
      </c>
      <c r="H395">
        <v>378496.64150534204</v>
      </c>
      <c r="I395">
        <v>53.235740466281527</v>
      </c>
    </row>
    <row r="396" spans="1:9" x14ac:dyDescent="0.2">
      <c r="A396">
        <v>391</v>
      </c>
      <c r="B396">
        <v>1127798.2319297828</v>
      </c>
      <c r="C396">
        <v>143213.63981437543</v>
      </c>
      <c r="D396">
        <v>34303.003275684328</v>
      </c>
      <c r="E396">
        <v>100542.01983333733</v>
      </c>
      <c r="F396">
        <v>42960.601373077203</v>
      </c>
      <c r="G396">
        <v>10000</v>
      </c>
      <c r="H396">
        <v>311019.26429647428</v>
      </c>
      <c r="I396">
        <v>33.939303984244468</v>
      </c>
    </row>
    <row r="397" spans="1:9" x14ac:dyDescent="0.2">
      <c r="A397">
        <v>392</v>
      </c>
      <c r="B397">
        <v>1004027.9380755287</v>
      </c>
      <c r="C397">
        <v>114776.07223682718</v>
      </c>
      <c r="D397">
        <v>89198.321640077294</v>
      </c>
      <c r="E397">
        <v>44072.805834772211</v>
      </c>
      <c r="F397">
        <v>39051.194250099616</v>
      </c>
      <c r="G397">
        <v>10000</v>
      </c>
      <c r="H397">
        <v>277098.39396177628</v>
      </c>
      <c r="I397">
        <v>30.940863058554076</v>
      </c>
    </row>
    <row r="398" spans="1:9" x14ac:dyDescent="0.2">
      <c r="A398">
        <v>393</v>
      </c>
      <c r="B398">
        <v>1704941.9277718407</v>
      </c>
      <c r="C398">
        <v>118882.92699939637</v>
      </c>
      <c r="D398">
        <v>102892.26669799438</v>
      </c>
      <c r="E398">
        <v>207081.45238005623</v>
      </c>
      <c r="F398">
        <v>50336.408241696205</v>
      </c>
      <c r="G398">
        <v>10000</v>
      </c>
      <c r="H398">
        <v>469193.05431914318</v>
      </c>
      <c r="I398">
        <v>36.728749848315907</v>
      </c>
    </row>
    <row r="399" spans="1:9" x14ac:dyDescent="0.2">
      <c r="A399">
        <v>394</v>
      </c>
      <c r="B399">
        <v>1212414.9226663481</v>
      </c>
      <c r="C399">
        <v>127839.47191658577</v>
      </c>
      <c r="D399">
        <v>41858.250350594877</v>
      </c>
      <c r="E399">
        <v>129543.46108514081</v>
      </c>
      <c r="F399">
        <v>44968.393459740517</v>
      </c>
      <c r="G399">
        <v>10000</v>
      </c>
      <c r="H399">
        <v>334209.57681206195</v>
      </c>
      <c r="I399">
        <v>29.214183468908349</v>
      </c>
    </row>
    <row r="400" spans="1:9" x14ac:dyDescent="0.2">
      <c r="A400">
        <v>395</v>
      </c>
      <c r="B400">
        <v>788565.84928310534</v>
      </c>
      <c r="C400">
        <v>77163.85629814511</v>
      </c>
      <c r="D400">
        <v>81222.457891735467</v>
      </c>
      <c r="E400">
        <v>31482.326271325586</v>
      </c>
      <c r="F400">
        <v>38179.545664937927</v>
      </c>
      <c r="G400">
        <v>10000</v>
      </c>
      <c r="H400">
        <v>218048.18612614408</v>
      </c>
      <c r="I400">
        <v>41.29675306814034</v>
      </c>
    </row>
    <row r="401" spans="1:9" x14ac:dyDescent="0.2">
      <c r="A401">
        <v>396</v>
      </c>
      <c r="B401">
        <v>1836880.7687005699</v>
      </c>
      <c r="C401">
        <v>117009.48745850197</v>
      </c>
      <c r="D401">
        <v>161121.96407765694</v>
      </c>
      <c r="E401">
        <v>188192.46156789557</v>
      </c>
      <c r="F401">
        <v>49028.708877777382</v>
      </c>
      <c r="G401">
        <v>10000</v>
      </c>
      <c r="H401">
        <v>505352.62198183191</v>
      </c>
      <c r="I401">
        <v>39.884942336224313</v>
      </c>
    </row>
    <row r="402" spans="1:9" x14ac:dyDescent="0.2">
      <c r="A402">
        <v>397</v>
      </c>
      <c r="B402">
        <v>1468370.5676997032</v>
      </c>
      <c r="C402">
        <v>134302.302446913</v>
      </c>
      <c r="D402">
        <v>59611.073764892724</v>
      </c>
      <c r="E402">
        <v>172501.76787707114</v>
      </c>
      <c r="F402">
        <v>47942.430083797233</v>
      </c>
      <c r="G402">
        <v>10000</v>
      </c>
      <c r="H402">
        <v>404357.57417267415</v>
      </c>
      <c r="I402">
        <v>32.880377838423236</v>
      </c>
    </row>
    <row r="403" spans="1:9" x14ac:dyDescent="0.2">
      <c r="A403">
        <v>398</v>
      </c>
      <c r="B403">
        <v>1165013.2256038631</v>
      </c>
      <c r="C403">
        <v>136714.84462217579</v>
      </c>
      <c r="D403">
        <v>67251.357368025361</v>
      </c>
      <c r="E403">
        <v>85343.895292677786</v>
      </c>
      <c r="F403">
        <v>41908.423520262309</v>
      </c>
      <c r="G403">
        <v>10000</v>
      </c>
      <c r="H403">
        <v>321218.52080314123</v>
      </c>
      <c r="I403">
        <v>35.243472474790778</v>
      </c>
    </row>
    <row r="404" spans="1:9" x14ac:dyDescent="0.2">
      <c r="A404">
        <v>399</v>
      </c>
      <c r="B404">
        <v>1751082.9771173336</v>
      </c>
      <c r="C404">
        <v>116871.4493325189</v>
      </c>
      <c r="D404">
        <v>118013.22441080304</v>
      </c>
      <c r="E404">
        <v>206647.56937668382</v>
      </c>
      <c r="F404">
        <v>50306.370187616572</v>
      </c>
      <c r="G404">
        <v>10000</v>
      </c>
      <c r="H404">
        <v>481838.61330762232</v>
      </c>
      <c r="I404">
        <v>39.221147607094707</v>
      </c>
    </row>
    <row r="405" spans="1:9" x14ac:dyDescent="0.2">
      <c r="A405">
        <v>400</v>
      </c>
      <c r="B405">
        <v>1117449.1030147707</v>
      </c>
      <c r="C405">
        <v>116999.90514709979</v>
      </c>
      <c r="D405">
        <v>127306.3000381993</v>
      </c>
      <c r="E405">
        <v>35424.293665757294</v>
      </c>
      <c r="F405">
        <v>38452.45109993704</v>
      </c>
      <c r="G405">
        <v>10000</v>
      </c>
      <c r="H405">
        <v>308182.94995099341</v>
      </c>
      <c r="I405">
        <v>31.933378597036487</v>
      </c>
    </row>
    <row r="406" spans="1:9" x14ac:dyDescent="0.2">
      <c r="A406">
        <v>401</v>
      </c>
      <c r="B406">
        <v>1412202.2103475491</v>
      </c>
      <c r="C406">
        <v>140775.09510827402</v>
      </c>
      <c r="D406">
        <v>60505.023338365972</v>
      </c>
      <c r="E406">
        <v>151215.04756541472</v>
      </c>
      <c r="F406">
        <v>46468.734062221018</v>
      </c>
      <c r="G406">
        <v>10000</v>
      </c>
      <c r="H406">
        <v>388963.90007427573</v>
      </c>
      <c r="I406">
        <v>33.024435476073492</v>
      </c>
    </row>
    <row r="407" spans="1:9" x14ac:dyDescent="0.2">
      <c r="A407">
        <v>402</v>
      </c>
      <c r="B407">
        <v>1021122.267045463</v>
      </c>
      <c r="C407">
        <v>110388.34584019252</v>
      </c>
      <c r="D407">
        <v>86294.604668048385</v>
      </c>
      <c r="E407">
        <v>55273.725684091798</v>
      </c>
      <c r="F407">
        <v>39826.642547360207</v>
      </c>
      <c r="G407">
        <v>10000</v>
      </c>
      <c r="H407">
        <v>281783.31873969291</v>
      </c>
      <c r="I407">
        <v>33.149122334652375</v>
      </c>
    </row>
    <row r="408" spans="1:9" x14ac:dyDescent="0.2">
      <c r="A408">
        <v>403</v>
      </c>
      <c r="B408">
        <v>1713564.1511132591</v>
      </c>
      <c r="C408">
        <v>138181.63576764008</v>
      </c>
      <c r="D408">
        <v>93305.910124608286</v>
      </c>
      <c r="E408">
        <v>200207.98862034996</v>
      </c>
      <c r="F408">
        <v>49860.553058331927</v>
      </c>
      <c r="G408">
        <v>10000</v>
      </c>
      <c r="H408">
        <v>471556.08757093025</v>
      </c>
      <c r="I408">
        <v>41.267398711369609</v>
      </c>
    </row>
    <row r="409" spans="1:9" x14ac:dyDescent="0.2">
      <c r="A409">
        <v>404</v>
      </c>
      <c r="B409">
        <v>1516152.1290181992</v>
      </c>
      <c r="C409">
        <v>122112.79925433559</v>
      </c>
      <c r="D409">
        <v>52412.27891177241</v>
      </c>
      <c r="E409">
        <v>202881.98304175705</v>
      </c>
      <c r="F409">
        <v>50045.67574904472</v>
      </c>
      <c r="G409">
        <v>10000</v>
      </c>
      <c r="H409">
        <v>417452.73695690976</v>
      </c>
      <c r="I409">
        <v>41.492060894820241</v>
      </c>
    </row>
    <row r="410" spans="1:9" x14ac:dyDescent="0.2">
      <c r="A410">
        <v>405</v>
      </c>
      <c r="B410">
        <v>1660557.5025489847</v>
      </c>
      <c r="C410">
        <v>151564.40536886491</v>
      </c>
      <c r="D410">
        <v>83802.721052119232</v>
      </c>
      <c r="E410">
        <v>182993.04545995712</v>
      </c>
      <c r="F410">
        <v>48668.749301073956</v>
      </c>
      <c r="G410">
        <v>10000</v>
      </c>
      <c r="H410">
        <v>457028.92118201521</v>
      </c>
      <c r="I410">
        <v>38.078765904522584</v>
      </c>
    </row>
    <row r="411" spans="1:9" x14ac:dyDescent="0.2">
      <c r="A411">
        <v>406</v>
      </c>
      <c r="B411">
        <v>1437150.4334803233</v>
      </c>
      <c r="C411">
        <v>138596.98804084546</v>
      </c>
      <c r="D411">
        <v>132378.0798084437</v>
      </c>
      <c r="E411">
        <v>92427.399606004677</v>
      </c>
      <c r="F411">
        <v>42398.819972723395</v>
      </c>
      <c r="G411">
        <v>10000</v>
      </c>
      <c r="H411">
        <v>395801.28742801724</v>
      </c>
      <c r="I411">
        <v>34.174446017033496</v>
      </c>
    </row>
    <row r="412" spans="1:9" x14ac:dyDescent="0.2">
      <c r="A412">
        <v>407</v>
      </c>
      <c r="B412">
        <v>1117447.8799007828</v>
      </c>
      <c r="C412">
        <v>107624.57132231421</v>
      </c>
      <c r="D412">
        <v>108864.3902513591</v>
      </c>
      <c r="E412">
        <v>61440.107278404896</v>
      </c>
      <c r="F412">
        <v>40253.545888504959</v>
      </c>
      <c r="G412">
        <v>10000</v>
      </c>
      <c r="H412">
        <v>308182.61474058311</v>
      </c>
      <c r="I412">
        <v>27.611974186464565</v>
      </c>
    </row>
    <row r="413" spans="1:9" x14ac:dyDescent="0.2">
      <c r="A413">
        <v>408</v>
      </c>
      <c r="B413">
        <v>1130643.4380340446</v>
      </c>
      <c r="C413">
        <v>92997.862059593914</v>
      </c>
      <c r="D413">
        <v>93401.130499354927</v>
      </c>
      <c r="E413">
        <v>92964.064073942922</v>
      </c>
      <c r="F413">
        <v>42435.973666657585</v>
      </c>
      <c r="G413">
        <v>10000</v>
      </c>
      <c r="H413">
        <v>311799.03029954934</v>
      </c>
      <c r="I413">
        <v>30.547893636619985</v>
      </c>
    </row>
    <row r="414" spans="1:9" x14ac:dyDescent="0.2">
      <c r="A414">
        <v>409</v>
      </c>
      <c r="B414">
        <v>1380627.8105740021</v>
      </c>
      <c r="C414">
        <v>102651.67339110377</v>
      </c>
      <c r="D414">
        <v>53372.591473819892</v>
      </c>
      <c r="E414">
        <v>185447.5788155607</v>
      </c>
      <c r="F414">
        <v>48838.678533384969</v>
      </c>
      <c r="G414">
        <v>10000</v>
      </c>
      <c r="H414">
        <v>380310.52221386932</v>
      </c>
      <c r="I414">
        <v>38.387591752703244</v>
      </c>
    </row>
    <row r="415" spans="1:9" x14ac:dyDescent="0.2">
      <c r="A415">
        <v>410</v>
      </c>
      <c r="B415">
        <v>1676958.6280438385</v>
      </c>
      <c r="C415">
        <v>159821.73827090304</v>
      </c>
      <c r="D415">
        <v>92259.285272833236</v>
      </c>
      <c r="E415">
        <v>171565.2469067499</v>
      </c>
      <c r="F415">
        <v>47877.594016621144</v>
      </c>
      <c r="G415">
        <v>10000</v>
      </c>
      <c r="H415">
        <v>461523.86446710728</v>
      </c>
      <c r="I415">
        <v>31.201853313536805</v>
      </c>
    </row>
    <row r="416" spans="1:9" x14ac:dyDescent="0.2">
      <c r="A416">
        <v>411</v>
      </c>
      <c r="B416">
        <v>1570219.544800966</v>
      </c>
      <c r="C416">
        <v>132542.52371330204</v>
      </c>
      <c r="D416">
        <v>106760.70315951275</v>
      </c>
      <c r="E416">
        <v>156156.55518842197</v>
      </c>
      <c r="F416">
        <v>46810.838436121521</v>
      </c>
      <c r="G416">
        <v>10000</v>
      </c>
      <c r="H416">
        <v>432270.62049735832</v>
      </c>
      <c r="I416">
        <v>33.759244795484477</v>
      </c>
    </row>
    <row r="417" spans="1:9" x14ac:dyDescent="0.2">
      <c r="A417">
        <v>412</v>
      </c>
      <c r="B417">
        <v>1225201.0549717161</v>
      </c>
      <c r="C417">
        <v>130020.43288897692</v>
      </c>
      <c r="D417">
        <v>137999.43262048694</v>
      </c>
      <c r="E417">
        <v>40864.815723245221</v>
      </c>
      <c r="F417">
        <v>38829.102626993896</v>
      </c>
      <c r="G417">
        <v>10000</v>
      </c>
      <c r="H417">
        <v>337713.78385970299</v>
      </c>
      <c r="I417">
        <v>40.618638246468059</v>
      </c>
    </row>
    <row r="418" spans="1:9" x14ac:dyDescent="0.2">
      <c r="A418">
        <v>413</v>
      </c>
      <c r="B418">
        <v>1350654.1082794326</v>
      </c>
      <c r="C418">
        <v>103762.45630082698</v>
      </c>
      <c r="D418">
        <v>82695.607300508476</v>
      </c>
      <c r="E418">
        <v>149301.51418959015</v>
      </c>
      <c r="F418">
        <v>46336.258674663935</v>
      </c>
      <c r="G418">
        <v>10000</v>
      </c>
      <c r="H418">
        <v>372095.83646558959</v>
      </c>
      <c r="I418">
        <v>31.662820773396195</v>
      </c>
    </row>
    <row r="419" spans="1:9" x14ac:dyDescent="0.2">
      <c r="A419">
        <v>414</v>
      </c>
      <c r="B419">
        <v>1866721.1464468793</v>
      </c>
      <c r="C419">
        <v>140419.45408113813</v>
      </c>
      <c r="D419">
        <v>147506.58862569186</v>
      </c>
      <c r="E419">
        <v>186680.67869761505</v>
      </c>
      <c r="F419">
        <v>48924.046986757967</v>
      </c>
      <c r="G419">
        <v>10000</v>
      </c>
      <c r="H419">
        <v>513530.76839120296</v>
      </c>
      <c r="I419">
        <v>38.3675186153488</v>
      </c>
    </row>
    <row r="420" spans="1:9" x14ac:dyDescent="0.2">
      <c r="A420">
        <v>415</v>
      </c>
      <c r="B420">
        <v>1578709.596532139</v>
      </c>
      <c r="C420">
        <v>167892.53637666456</v>
      </c>
      <c r="D420">
        <v>53556.62597517285</v>
      </c>
      <c r="E420">
        <v>175030.75427842769</v>
      </c>
      <c r="F420">
        <v>48117.513757737303</v>
      </c>
      <c r="G420">
        <v>10000</v>
      </c>
      <c r="H420">
        <v>434597.43038800237</v>
      </c>
      <c r="I420">
        <v>35.878814362666915</v>
      </c>
    </row>
    <row r="421" spans="1:9" x14ac:dyDescent="0.2">
      <c r="A421">
        <v>416</v>
      </c>
      <c r="B421">
        <v>1754538.2847433649</v>
      </c>
      <c r="C421">
        <v>118383.88615773043</v>
      </c>
      <c r="D421">
        <v>154699.44303698433</v>
      </c>
      <c r="E421">
        <v>171807.86572582915</v>
      </c>
      <c r="F421">
        <v>47894.390704095858</v>
      </c>
      <c r="G421">
        <v>10000</v>
      </c>
      <c r="H421">
        <v>482785.58562463976</v>
      </c>
      <c r="I421">
        <v>39.02777467774655</v>
      </c>
    </row>
    <row r="422" spans="1:9" x14ac:dyDescent="0.2">
      <c r="A422">
        <v>417</v>
      </c>
      <c r="B422">
        <v>1128769.1154407794</v>
      </c>
      <c r="C422">
        <v>84599.278345289189</v>
      </c>
      <c r="D422">
        <v>113618.59031526436</v>
      </c>
      <c r="E422">
        <v>81430.016312231717</v>
      </c>
      <c r="F422">
        <v>41637.462667769883</v>
      </c>
      <c r="G422">
        <v>10000</v>
      </c>
      <c r="H422">
        <v>311285.34764055512</v>
      </c>
      <c r="I422">
        <v>28.287650601436134</v>
      </c>
    </row>
    <row r="423" spans="1:9" x14ac:dyDescent="0.2">
      <c r="A423">
        <v>418</v>
      </c>
      <c r="B423">
        <v>1149817.5912344446</v>
      </c>
      <c r="C423">
        <v>123847.64476845652</v>
      </c>
      <c r="D423">
        <v>100910.70452170764</v>
      </c>
      <c r="E423">
        <v>62003.087424796591</v>
      </c>
      <c r="F423">
        <v>40292.521437101299</v>
      </c>
      <c r="G423">
        <v>10000</v>
      </c>
      <c r="H423">
        <v>317053.95815206203</v>
      </c>
      <c r="I423">
        <v>36.76755215235027</v>
      </c>
    </row>
    <row r="424" spans="1:9" x14ac:dyDescent="0.2">
      <c r="A424">
        <v>419</v>
      </c>
      <c r="B424">
        <v>1102584.3607193071</v>
      </c>
      <c r="C424">
        <v>112073.14983815573</v>
      </c>
      <c r="D424">
        <v>121898.51262737846</v>
      </c>
      <c r="E424">
        <v>41279.592218857229</v>
      </c>
      <c r="F424">
        <v>38857.817922843962</v>
      </c>
      <c r="G424">
        <v>10000</v>
      </c>
      <c r="H424">
        <v>304109.0726072354</v>
      </c>
      <c r="I424">
        <v>34.937319813901482</v>
      </c>
    </row>
    <row r="425" spans="1:9" x14ac:dyDescent="0.2">
      <c r="A425">
        <v>420</v>
      </c>
      <c r="B425">
        <v>969477.99670446524</v>
      </c>
      <c r="C425">
        <v>75835.411191903491</v>
      </c>
      <c r="D425">
        <v>102631.97418325265</v>
      </c>
      <c r="E425">
        <v>59072.509313727605</v>
      </c>
      <c r="F425">
        <v>40089.635260181138</v>
      </c>
      <c r="G425">
        <v>10000</v>
      </c>
      <c r="H425">
        <v>267629.52994906489</v>
      </c>
      <c r="I425">
        <v>46.091573551579771</v>
      </c>
    </row>
    <row r="426" spans="1:9" x14ac:dyDescent="0.2">
      <c r="A426">
        <v>421</v>
      </c>
      <c r="B426">
        <v>1294660.4893339374</v>
      </c>
      <c r="C426">
        <v>90684.225859977058</v>
      </c>
      <c r="D426">
        <v>126989.78326243802</v>
      </c>
      <c r="E426">
        <v>105754.57221028244</v>
      </c>
      <c r="F426">
        <v>43321.470383788786</v>
      </c>
      <c r="G426">
        <v>10000</v>
      </c>
      <c r="H426">
        <v>356750.05171648634</v>
      </c>
      <c r="I426">
        <v>35.017140901454269</v>
      </c>
    </row>
    <row r="427" spans="1:9" x14ac:dyDescent="0.2">
      <c r="A427">
        <v>422</v>
      </c>
      <c r="B427">
        <v>1431764.1634209407</v>
      </c>
      <c r="C427">
        <v>118424.86345245976</v>
      </c>
      <c r="D427">
        <v>96570.061833017986</v>
      </c>
      <c r="E427">
        <v>143402.33061822536</v>
      </c>
      <c r="F427">
        <v>45927.853658184831</v>
      </c>
      <c r="G427">
        <v>10000</v>
      </c>
      <c r="H427">
        <v>394325.10956188792</v>
      </c>
      <c r="I427">
        <v>38.004425391805285</v>
      </c>
    </row>
    <row r="428" spans="1:9" x14ac:dyDescent="0.2">
      <c r="A428">
        <v>423</v>
      </c>
      <c r="B428">
        <v>1524512.1797771417</v>
      </c>
      <c r="C428">
        <v>91188.487562568174</v>
      </c>
      <c r="D428">
        <v>83534.972169140558</v>
      </c>
      <c r="E428">
        <v>204839.27787081216</v>
      </c>
      <c r="F428">
        <v>50181.180775671608</v>
      </c>
      <c r="G428">
        <v>10000</v>
      </c>
      <c r="H428">
        <v>419743.91837819252</v>
      </c>
      <c r="I428">
        <v>43.530497926678152</v>
      </c>
    </row>
    <row r="429" spans="1:9" x14ac:dyDescent="0.2">
      <c r="A429">
        <v>424</v>
      </c>
      <c r="B429">
        <v>1026160.6137005792</v>
      </c>
      <c r="C429">
        <v>70919.905112541775</v>
      </c>
      <c r="D429">
        <v>82190.127563014044</v>
      </c>
      <c r="E429">
        <v>97316.794426552136</v>
      </c>
      <c r="F429">
        <v>42737.316537222847</v>
      </c>
      <c r="G429">
        <v>10000</v>
      </c>
      <c r="H429">
        <v>283164.14363933081</v>
      </c>
      <c r="I429">
        <v>33.039698015642827</v>
      </c>
    </row>
    <row r="430" spans="1:9" x14ac:dyDescent="0.2">
      <c r="A430">
        <v>425</v>
      </c>
      <c r="B430">
        <v>1379168.9998755786</v>
      </c>
      <c r="C430">
        <v>87007.686268964244</v>
      </c>
      <c r="D430">
        <v>107171.9071346495</v>
      </c>
      <c r="E430">
        <v>149388.81972492358</v>
      </c>
      <c r="F430">
        <v>46342.302904033168</v>
      </c>
      <c r="G430">
        <v>10000</v>
      </c>
      <c r="H430">
        <v>379910.71603257052</v>
      </c>
      <c r="I430">
        <v>45.714901301047988</v>
      </c>
    </row>
    <row r="431" spans="1:9" x14ac:dyDescent="0.2">
      <c r="A431">
        <v>426</v>
      </c>
      <c r="B431">
        <v>1659969.7786587563</v>
      </c>
      <c r="C431">
        <v>73543.939259537568</v>
      </c>
      <c r="D431">
        <v>138028.82244618473</v>
      </c>
      <c r="E431">
        <v>205096.12363958795</v>
      </c>
      <c r="F431">
        <v>50198.962405817627</v>
      </c>
      <c r="G431">
        <v>10000</v>
      </c>
      <c r="H431">
        <v>456867.84775112791</v>
      </c>
      <c r="I431">
        <v>34.093178061849571</v>
      </c>
    </row>
    <row r="432" spans="1:9" x14ac:dyDescent="0.2">
      <c r="A432">
        <v>427</v>
      </c>
      <c r="B432">
        <v>1296743.2652803129</v>
      </c>
      <c r="C432">
        <v>158417.78912252377</v>
      </c>
      <c r="D432">
        <v>136948.39340401877</v>
      </c>
      <c r="E432">
        <v>33626.680278586711</v>
      </c>
      <c r="F432">
        <v>38328.000942363702</v>
      </c>
      <c r="G432">
        <v>10000</v>
      </c>
      <c r="H432">
        <v>357320.86374749296</v>
      </c>
      <c r="I432">
        <v>37.276778225480356</v>
      </c>
    </row>
    <row r="433" spans="1:9" x14ac:dyDescent="0.2">
      <c r="A433">
        <v>428</v>
      </c>
      <c r="B433">
        <v>1363650.0481641842</v>
      </c>
      <c r="C433">
        <v>142069.62040425485</v>
      </c>
      <c r="D433">
        <v>63321.326698378252</v>
      </c>
      <c r="E433">
        <v>134925.59424739386</v>
      </c>
      <c r="F433">
        <v>45341.002678665733</v>
      </c>
      <c r="G433">
        <v>10000</v>
      </c>
      <c r="H433">
        <v>375657.5440286927</v>
      </c>
      <c r="I433">
        <v>38.137272336035927</v>
      </c>
    </row>
    <row r="434" spans="1:9" x14ac:dyDescent="0.2">
      <c r="A434">
        <v>429</v>
      </c>
      <c r="B434">
        <v>1610292.2172048239</v>
      </c>
      <c r="C434">
        <v>144490.55642000554</v>
      </c>
      <c r="D434">
        <v>88812.685959966679</v>
      </c>
      <c r="E434">
        <v>172039.39898388012</v>
      </c>
      <c r="F434">
        <v>47910.419929653239</v>
      </c>
      <c r="G434">
        <v>10000</v>
      </c>
      <c r="H434">
        <v>443253.06129350554</v>
      </c>
      <c r="I434">
        <v>39.164384113475784</v>
      </c>
    </row>
    <row r="435" spans="1:9" x14ac:dyDescent="0.2">
      <c r="A435">
        <v>430</v>
      </c>
      <c r="B435">
        <v>1021771.6113837233</v>
      </c>
      <c r="C435">
        <v>111361.79716641943</v>
      </c>
      <c r="D435">
        <v>90817.518724920068</v>
      </c>
      <c r="E435">
        <v>50299.678720338852</v>
      </c>
      <c r="F435">
        <v>39482.285449869611</v>
      </c>
      <c r="G435">
        <v>10000</v>
      </c>
      <c r="H435">
        <v>281961.28006154799</v>
      </c>
      <c r="I435">
        <v>32.569428124963011</v>
      </c>
    </row>
    <row r="436" spans="1:9" x14ac:dyDescent="0.2">
      <c r="A436">
        <v>431</v>
      </c>
      <c r="B436">
        <v>1231310.6774329168</v>
      </c>
      <c r="C436">
        <v>103414.3405353023</v>
      </c>
      <c r="D436">
        <v>70686.831155468855</v>
      </c>
      <c r="E436">
        <v>130268.44928564352</v>
      </c>
      <c r="F436">
        <v>45018.584950544551</v>
      </c>
      <c r="G436">
        <v>10000</v>
      </c>
      <c r="H436">
        <v>339388.20592695917</v>
      </c>
      <c r="I436">
        <v>42.066767178010011</v>
      </c>
    </row>
    <row r="437" spans="1:9" x14ac:dyDescent="0.2">
      <c r="A437">
        <v>432</v>
      </c>
      <c r="B437">
        <v>1617553.4354270231</v>
      </c>
      <c r="C437">
        <v>137427.70949931195</v>
      </c>
      <c r="D437">
        <v>80515.491290665188</v>
      </c>
      <c r="E437">
        <v>188266.0864866451</v>
      </c>
      <c r="F437">
        <v>49033.805987536973</v>
      </c>
      <c r="G437">
        <v>10000</v>
      </c>
      <c r="H437">
        <v>445243.09326415922</v>
      </c>
      <c r="I437">
        <v>32.351357892526465</v>
      </c>
    </row>
    <row r="438" spans="1:9" x14ac:dyDescent="0.2">
      <c r="A438">
        <v>433</v>
      </c>
      <c r="B438">
        <v>1186939.5145720378</v>
      </c>
      <c r="C438">
        <v>83331.972732579088</v>
      </c>
      <c r="D438">
        <v>116445.32493003148</v>
      </c>
      <c r="E438">
        <v>94881.678278145628</v>
      </c>
      <c r="F438">
        <v>42568.731573102392</v>
      </c>
      <c r="G438">
        <v>10000</v>
      </c>
      <c r="H438">
        <v>327227.70751385862</v>
      </c>
      <c r="I438">
        <v>38.741087890750649</v>
      </c>
    </row>
    <row r="439" spans="1:9" x14ac:dyDescent="0.2">
      <c r="A439">
        <v>434</v>
      </c>
      <c r="B439">
        <v>1129768.4057096608</v>
      </c>
      <c r="C439">
        <v>101655.38702203013</v>
      </c>
      <c r="D439">
        <v>65855.242667373604</v>
      </c>
      <c r="E439">
        <v>110405.1528785187</v>
      </c>
      <c r="F439">
        <v>43643.433660820527</v>
      </c>
      <c r="G439">
        <v>10000</v>
      </c>
      <c r="H439">
        <v>311559.21622874297</v>
      </c>
      <c r="I439">
        <v>41.12487597851154</v>
      </c>
    </row>
    <row r="440" spans="1:9" x14ac:dyDescent="0.2">
      <c r="A440">
        <v>435</v>
      </c>
      <c r="B440">
        <v>1234453.3895948455</v>
      </c>
      <c r="C440">
        <v>111150.82043780407</v>
      </c>
      <c r="D440">
        <v>55262.966257823136</v>
      </c>
      <c r="E440">
        <v>138263.62364505065</v>
      </c>
      <c r="F440">
        <v>45572.097021580434</v>
      </c>
      <c r="G440">
        <v>10000</v>
      </c>
      <c r="H440">
        <v>340249.50736225827</v>
      </c>
      <c r="I440">
        <v>44.986539331531674</v>
      </c>
    </row>
    <row r="441" spans="1:9" x14ac:dyDescent="0.2">
      <c r="A441">
        <v>436</v>
      </c>
      <c r="B441">
        <v>1462202.8527425691</v>
      </c>
      <c r="C441">
        <v>90682.925804182945</v>
      </c>
      <c r="D441">
        <v>141840.70255926321</v>
      </c>
      <c r="E441">
        <v>134810.56370664571</v>
      </c>
      <c r="F441">
        <v>45333.039025844708</v>
      </c>
      <c r="G441">
        <v>10000</v>
      </c>
      <c r="H441">
        <v>402667.23109593656</v>
      </c>
      <c r="I441">
        <v>28.390934570444969</v>
      </c>
    </row>
    <row r="442" spans="1:9" x14ac:dyDescent="0.2">
      <c r="A442">
        <v>437</v>
      </c>
      <c r="B442">
        <v>1591791.1845429477</v>
      </c>
      <c r="C442">
        <v>128788.40530004428</v>
      </c>
      <c r="D442">
        <v>95159.606027318994</v>
      </c>
      <c r="E442">
        <v>176046.74784101004</v>
      </c>
      <c r="F442">
        <v>48187.851773608389</v>
      </c>
      <c r="G442">
        <v>10000</v>
      </c>
      <c r="H442">
        <v>438182.61094198166</v>
      </c>
      <c r="I442">
        <v>57.188745639305679</v>
      </c>
    </row>
    <row r="443" spans="1:9" x14ac:dyDescent="0.2">
      <c r="A443">
        <v>438</v>
      </c>
      <c r="B443">
        <v>1338841.7379936352</v>
      </c>
      <c r="C443">
        <v>94540.510317029635</v>
      </c>
      <c r="D443">
        <v>106277.05376518368</v>
      </c>
      <c r="E443">
        <v>132844.04233427075</v>
      </c>
      <c r="F443">
        <v>45196.895238526435</v>
      </c>
      <c r="G443">
        <v>10000</v>
      </c>
      <c r="H443">
        <v>368858.50165501056</v>
      </c>
      <c r="I443">
        <v>30.839486342214393</v>
      </c>
    </row>
    <row r="444" spans="1:9" x14ac:dyDescent="0.2">
      <c r="A444">
        <v>439</v>
      </c>
      <c r="B444">
        <v>1515228.6467563272</v>
      </c>
      <c r="C444">
        <v>90540.608022750064</v>
      </c>
      <c r="D444">
        <v>82070.170417159898</v>
      </c>
      <c r="E444">
        <v>204435.63017123306</v>
      </c>
      <c r="F444">
        <v>50153.235934931523</v>
      </c>
      <c r="G444">
        <v>10000</v>
      </c>
      <c r="H444">
        <v>417199.64454607456</v>
      </c>
      <c r="I444">
        <v>38.460061929816817</v>
      </c>
    </row>
    <row r="445" spans="1:9" x14ac:dyDescent="0.2">
      <c r="A445">
        <v>440</v>
      </c>
      <c r="B445">
        <v>1191024.0074240945</v>
      </c>
      <c r="C445">
        <v>97821.644005995142</v>
      </c>
      <c r="D445">
        <v>69806.89685244963</v>
      </c>
      <c r="E445">
        <v>125995.78996630284</v>
      </c>
      <c r="F445">
        <v>44722.785459205581</v>
      </c>
      <c r="G445">
        <v>10000</v>
      </c>
      <c r="H445">
        <v>328347.11628395313</v>
      </c>
      <c r="I445">
        <v>34.112709005726444</v>
      </c>
    </row>
    <row r="446" spans="1:9" x14ac:dyDescent="0.2">
      <c r="A446">
        <v>441</v>
      </c>
      <c r="B446">
        <v>1339767.8648258164</v>
      </c>
      <c r="C446">
        <v>78540.442062567061</v>
      </c>
      <c r="D446">
        <v>139288.8435476911</v>
      </c>
      <c r="E446">
        <v>117171.18216197094</v>
      </c>
      <c r="F446">
        <v>44111.851072751837</v>
      </c>
      <c r="G446">
        <v>10000</v>
      </c>
      <c r="H446">
        <v>369112.31884498097</v>
      </c>
      <c r="I446">
        <v>31.550156992200588</v>
      </c>
    </row>
    <row r="447" spans="1:9" x14ac:dyDescent="0.2">
      <c r="A447">
        <v>442</v>
      </c>
      <c r="B447">
        <v>1435294.9920290918</v>
      </c>
      <c r="C447">
        <v>109992.73425913963</v>
      </c>
      <c r="D447">
        <v>123080.93630577401</v>
      </c>
      <c r="E447">
        <v>127399.16653017087</v>
      </c>
      <c r="F447">
        <v>44819.942298242597</v>
      </c>
      <c r="G447">
        <v>10000</v>
      </c>
      <c r="H447">
        <v>395292.77939332713</v>
      </c>
      <c r="I447">
        <v>46.789209091147129</v>
      </c>
    </row>
    <row r="448" spans="1:9" x14ac:dyDescent="0.2">
      <c r="A448">
        <v>443</v>
      </c>
      <c r="B448">
        <v>1059731.5964076247</v>
      </c>
      <c r="C448">
        <v>79032.225877913705</v>
      </c>
      <c r="D448">
        <v>52109.550187306326</v>
      </c>
      <c r="E448">
        <v>126467.49329759713</v>
      </c>
      <c r="F448">
        <v>44755.441843679801</v>
      </c>
      <c r="G448">
        <v>10000</v>
      </c>
      <c r="H448">
        <v>292364.71120649698</v>
      </c>
      <c r="I448">
        <v>54.349494183772059</v>
      </c>
    </row>
    <row r="449" spans="1:9" x14ac:dyDescent="0.2">
      <c r="A449">
        <v>444</v>
      </c>
      <c r="B449">
        <v>1240316.4281481029</v>
      </c>
      <c r="C449">
        <v>89141.438470705718</v>
      </c>
      <c r="D449">
        <v>58929.518518386416</v>
      </c>
      <c r="E449">
        <v>156921.5904730121</v>
      </c>
      <c r="F449">
        <v>46863.802417362371</v>
      </c>
      <c r="G449">
        <v>10000</v>
      </c>
      <c r="H449">
        <v>341856.34987946658</v>
      </c>
      <c r="I449">
        <v>41.931299728683058</v>
      </c>
    </row>
    <row r="450" spans="1:9" x14ac:dyDescent="0.2">
      <c r="A450">
        <v>445</v>
      </c>
      <c r="B450">
        <v>1731554.2632273529</v>
      </c>
      <c r="C450">
        <v>148773.24003534269</v>
      </c>
      <c r="D450">
        <v>112714.23024459092</v>
      </c>
      <c r="E450">
        <v>176761.69505453983</v>
      </c>
      <c r="F450">
        <v>48237.348119160451</v>
      </c>
      <c r="G450">
        <v>10000</v>
      </c>
      <c r="H450">
        <v>476486.51345363387</v>
      </c>
      <c r="I450">
        <v>37.864684082379817</v>
      </c>
    </row>
    <row r="451" spans="1:9" x14ac:dyDescent="0.2">
      <c r="A451">
        <v>446</v>
      </c>
      <c r="B451">
        <v>1140395.06846415</v>
      </c>
      <c r="C451">
        <v>164036.77962814691</v>
      </c>
      <c r="D451">
        <v>39977.490613000809</v>
      </c>
      <c r="E451">
        <v>78988.862411847498</v>
      </c>
      <c r="F451">
        <v>41468.459705435591</v>
      </c>
      <c r="G451">
        <v>10000</v>
      </c>
      <c r="H451">
        <v>314471.59235843085</v>
      </c>
      <c r="I451">
        <v>36.668353493770319</v>
      </c>
    </row>
    <row r="452" spans="1:9" x14ac:dyDescent="0.2">
      <c r="A452">
        <v>447</v>
      </c>
      <c r="B452">
        <v>1272652.8657649094</v>
      </c>
      <c r="C452">
        <v>80252.763577483041</v>
      </c>
      <c r="D452">
        <v>85259.809120174614</v>
      </c>
      <c r="E452">
        <v>148897.69924022863</v>
      </c>
      <c r="F452">
        <v>46308.302255092749</v>
      </c>
      <c r="G452">
        <v>10000</v>
      </c>
      <c r="H452">
        <v>350718.57419297902</v>
      </c>
      <c r="I452">
        <v>39.432719747297234</v>
      </c>
    </row>
    <row r="453" spans="1:9" x14ac:dyDescent="0.2">
      <c r="A453">
        <v>448</v>
      </c>
      <c r="B453">
        <v>1478740.4228887095</v>
      </c>
      <c r="C453">
        <v>116288.26280611583</v>
      </c>
      <c r="D453">
        <v>116650.71689400355</v>
      </c>
      <c r="E453">
        <v>138660.98263482042</v>
      </c>
      <c r="F453">
        <v>45599.606490102953</v>
      </c>
      <c r="G453">
        <v>10000</v>
      </c>
      <c r="H453">
        <v>407199.56882504275</v>
      </c>
      <c r="I453">
        <v>32.017859173438097</v>
      </c>
    </row>
    <row r="454" spans="1:9" x14ac:dyDescent="0.2">
      <c r="A454">
        <v>449</v>
      </c>
      <c r="B454">
        <v>1602004.549960339</v>
      </c>
      <c r="C454">
        <v>88572.514786309621</v>
      </c>
      <c r="D454">
        <v>154552.19187237814</v>
      </c>
      <c r="E454">
        <v>160729.57850575462</v>
      </c>
      <c r="F454">
        <v>47127.432358090708</v>
      </c>
      <c r="G454">
        <v>10000</v>
      </c>
      <c r="H454">
        <v>440981.71752253309</v>
      </c>
      <c r="I454">
        <v>26.802244836894715</v>
      </c>
    </row>
    <row r="455" spans="1:9" x14ac:dyDescent="0.2">
      <c r="A455">
        <v>450</v>
      </c>
      <c r="B455">
        <v>1233284.5319506417</v>
      </c>
      <c r="C455">
        <v>121839.49746273553</v>
      </c>
      <c r="D455">
        <v>78723.832372034303</v>
      </c>
      <c r="E455">
        <v>106025.60274283745</v>
      </c>
      <c r="F455">
        <v>43340.234036042588</v>
      </c>
      <c r="G455">
        <v>10000</v>
      </c>
      <c r="H455">
        <v>339929.16661364987</v>
      </c>
      <c r="I455">
        <v>34.953842627158053</v>
      </c>
    </row>
    <row r="456" spans="1:9" x14ac:dyDescent="0.2">
      <c r="A456">
        <v>451</v>
      </c>
      <c r="B456">
        <v>1653576.2537431081</v>
      </c>
      <c r="C456">
        <v>107336.42603618786</v>
      </c>
      <c r="D456">
        <v>157500.59567624025</v>
      </c>
      <c r="E456">
        <v>153641.85310816063</v>
      </c>
      <c r="F456">
        <v>46636.743676718812</v>
      </c>
      <c r="G456">
        <v>10000</v>
      </c>
      <c r="H456">
        <v>455115.61849730753</v>
      </c>
      <c r="I456">
        <v>32.698113578782049</v>
      </c>
    </row>
    <row r="457" spans="1:9" x14ac:dyDescent="0.2">
      <c r="A457">
        <v>452</v>
      </c>
      <c r="B457">
        <v>1365360.8737718849</v>
      </c>
      <c r="C457">
        <v>124106.87604685934</v>
      </c>
      <c r="D457">
        <v>77346.60440515104</v>
      </c>
      <c r="E457">
        <v>139046.63242346246</v>
      </c>
      <c r="F457">
        <v>45626.305321624328</v>
      </c>
      <c r="G457">
        <v>10000</v>
      </c>
      <c r="H457">
        <v>376126.4181970972</v>
      </c>
      <c r="I457">
        <v>29.955778537914192</v>
      </c>
    </row>
    <row r="458" spans="1:9" x14ac:dyDescent="0.2">
      <c r="A458">
        <v>453</v>
      </c>
      <c r="B458">
        <v>1015738.2130615145</v>
      </c>
      <c r="C458">
        <v>122289.90274905844</v>
      </c>
      <c r="D458">
        <v>77996.788690171947</v>
      </c>
      <c r="E458">
        <v>50523.29051257937</v>
      </c>
      <c r="F458">
        <v>39497.766266255494</v>
      </c>
      <c r="G458">
        <v>10000</v>
      </c>
      <c r="H458">
        <v>280307.74821806524</v>
      </c>
      <c r="I458">
        <v>42.685578715576227</v>
      </c>
    </row>
    <row r="459" spans="1:9" x14ac:dyDescent="0.2">
      <c r="A459">
        <v>454</v>
      </c>
      <c r="B459">
        <v>1012476.3359905995</v>
      </c>
      <c r="C459">
        <v>123670.44604038475</v>
      </c>
      <c r="D459">
        <v>70375.547138709968</v>
      </c>
      <c r="E459">
        <v>55523.836956261257</v>
      </c>
      <c r="F459">
        <v>39843.957943125781</v>
      </c>
      <c r="G459">
        <v>10000</v>
      </c>
      <c r="H459">
        <v>279413.78807848174</v>
      </c>
      <c r="I459">
        <v>31.093819442788678</v>
      </c>
    </row>
    <row r="460" spans="1:9" x14ac:dyDescent="0.2">
      <c r="A460">
        <v>455</v>
      </c>
      <c r="B460">
        <v>1344031.3095284132</v>
      </c>
      <c r="C460">
        <v>105244.6251529351</v>
      </c>
      <c r="D460">
        <v>55820.420046632222</v>
      </c>
      <c r="E460">
        <v>171352.83774717964</v>
      </c>
      <c r="F460">
        <v>47862.888767112439</v>
      </c>
      <c r="G460">
        <v>10000</v>
      </c>
      <c r="H460">
        <v>370280.77171385946</v>
      </c>
      <c r="I460">
        <v>48.926290629001222</v>
      </c>
    </row>
    <row r="461" spans="1:9" x14ac:dyDescent="0.2">
      <c r="A461">
        <v>456</v>
      </c>
      <c r="B461">
        <v>1132689.8751649638</v>
      </c>
      <c r="C461">
        <v>120510.3804721106</v>
      </c>
      <c r="D461">
        <v>80642.305166220875</v>
      </c>
      <c r="E461">
        <v>79690.184771932632</v>
      </c>
      <c r="F461">
        <v>41517.012791903027</v>
      </c>
      <c r="G461">
        <v>10000</v>
      </c>
      <c r="H461">
        <v>312359.88320216717</v>
      </c>
      <c r="I461">
        <v>25.595069682761821</v>
      </c>
    </row>
    <row r="462" spans="1:9" x14ac:dyDescent="0.2">
      <c r="A462">
        <v>457</v>
      </c>
      <c r="B462">
        <v>1379201.8908962342</v>
      </c>
      <c r="C462">
        <v>84972.789827473534</v>
      </c>
      <c r="D462">
        <v>77189.774561187092</v>
      </c>
      <c r="E462">
        <v>179341.23425659043</v>
      </c>
      <c r="F462">
        <v>48415.931602379344</v>
      </c>
      <c r="G462">
        <v>10000</v>
      </c>
      <c r="H462">
        <v>379919.73024763045</v>
      </c>
      <c r="I462">
        <v>43.215583646533076</v>
      </c>
    </row>
    <row r="463" spans="1:9" x14ac:dyDescent="0.2">
      <c r="A463">
        <v>458</v>
      </c>
      <c r="B463">
        <v>1104134.0372199237</v>
      </c>
      <c r="C463">
        <v>132823.46254050464</v>
      </c>
      <c r="D463">
        <v>69637.587602942163</v>
      </c>
      <c r="E463">
        <v>71147.159058268764</v>
      </c>
      <c r="F463">
        <v>40925.572550187841</v>
      </c>
      <c r="G463">
        <v>10000</v>
      </c>
      <c r="H463">
        <v>304533.78175190336</v>
      </c>
      <c r="I463">
        <v>40.80015990483232</v>
      </c>
    </row>
    <row r="464" spans="1:9" x14ac:dyDescent="0.2">
      <c r="A464">
        <v>459</v>
      </c>
      <c r="B464">
        <v>1439261.9895271664</v>
      </c>
      <c r="C464">
        <v>119370.1676417178</v>
      </c>
      <c r="D464">
        <v>95289.877965886175</v>
      </c>
      <c r="E464">
        <v>145637.35528017106</v>
      </c>
      <c r="F464">
        <v>46082.586134781071</v>
      </c>
      <c r="G464">
        <v>10000</v>
      </c>
      <c r="H464">
        <v>396379.98702255607</v>
      </c>
      <c r="I464">
        <v>33.689323751846516</v>
      </c>
    </row>
    <row r="465" spans="1:9" x14ac:dyDescent="0.2">
      <c r="A465">
        <v>460</v>
      </c>
      <c r="B465">
        <v>1240441.6675043139</v>
      </c>
      <c r="C465">
        <v>132651.83290305504</v>
      </c>
      <c r="D465">
        <v>115966.40268752391</v>
      </c>
      <c r="E465">
        <v>62916.668422666407</v>
      </c>
      <c r="F465">
        <v>40355.769352338444</v>
      </c>
      <c r="G465">
        <v>10000</v>
      </c>
      <c r="H465">
        <v>341890.67336558382</v>
      </c>
      <c r="I465">
        <v>37.271777932044344</v>
      </c>
    </row>
    <row r="466" spans="1:9" x14ac:dyDescent="0.2">
      <c r="A466">
        <v>461</v>
      </c>
      <c r="B466">
        <v>848949.53395098913</v>
      </c>
      <c r="C466">
        <v>98852.248973584239</v>
      </c>
      <c r="D466">
        <v>69152.375028908835</v>
      </c>
      <c r="E466">
        <v>37964.210401423792</v>
      </c>
      <c r="F466">
        <v>38628.291489329335</v>
      </c>
      <c r="G466">
        <v>10000</v>
      </c>
      <c r="H466">
        <v>234597.12589324621</v>
      </c>
      <c r="I466">
        <v>35.074250514736519</v>
      </c>
    </row>
    <row r="467" spans="1:9" x14ac:dyDescent="0.2">
      <c r="A467">
        <v>462</v>
      </c>
      <c r="B467">
        <v>1337086.1008028747</v>
      </c>
      <c r="C467">
        <v>132164.27618825805</v>
      </c>
      <c r="D467">
        <v>62757.981003857567</v>
      </c>
      <c r="E467">
        <v>137907.63728136572</v>
      </c>
      <c r="F467">
        <v>45547.451811786857</v>
      </c>
      <c r="G467">
        <v>10000</v>
      </c>
      <c r="H467">
        <v>368377.3462852682</v>
      </c>
      <c r="I467">
        <v>23.886305967294849</v>
      </c>
    </row>
    <row r="468" spans="1:9" x14ac:dyDescent="0.2">
      <c r="A468">
        <v>463</v>
      </c>
      <c r="B468">
        <v>1102593.4451175733</v>
      </c>
      <c r="C468">
        <v>130395.42139531797</v>
      </c>
      <c r="D468">
        <v>98944.906408150826</v>
      </c>
      <c r="E468">
        <v>45613.384786146707</v>
      </c>
      <c r="F468">
        <v>39157.849715964003</v>
      </c>
      <c r="G468">
        <v>10000</v>
      </c>
      <c r="H468">
        <v>304111.56230557949</v>
      </c>
      <c r="I468">
        <v>48.174352801118722</v>
      </c>
    </row>
    <row r="469" spans="1:9" x14ac:dyDescent="0.2">
      <c r="A469">
        <v>464</v>
      </c>
      <c r="B469">
        <v>1357727.874866154</v>
      </c>
      <c r="C469">
        <v>136035.67927531942</v>
      </c>
      <c r="D469">
        <v>99622.78977381422</v>
      </c>
      <c r="E469">
        <v>105099.88025481922</v>
      </c>
      <c r="F469">
        <v>43276.145556102871</v>
      </c>
      <c r="G469">
        <v>10000</v>
      </c>
      <c r="H469">
        <v>374034.49486005574</v>
      </c>
      <c r="I469">
        <v>38.635477588453213</v>
      </c>
    </row>
    <row r="470" spans="1:9" x14ac:dyDescent="0.2">
      <c r="A470">
        <v>465</v>
      </c>
      <c r="B470">
        <v>1006131.7357955654</v>
      </c>
      <c r="C470">
        <v>99972.422177969056</v>
      </c>
      <c r="D470">
        <v>96861.53207783727</v>
      </c>
      <c r="E470">
        <v>51290.156070679535</v>
      </c>
      <c r="F470">
        <v>39550.85695873935</v>
      </c>
      <c r="G470">
        <v>10000</v>
      </c>
      <c r="H470">
        <v>277674.96728522523</v>
      </c>
      <c r="I470">
        <v>44.355235046240679</v>
      </c>
    </row>
    <row r="471" spans="1:9" x14ac:dyDescent="0.2">
      <c r="A471">
        <v>466</v>
      </c>
      <c r="B471">
        <v>928000.83405554877</v>
      </c>
      <c r="C471">
        <v>102568.00876229817</v>
      </c>
      <c r="D471">
        <v>54160.666617081573</v>
      </c>
      <c r="E471">
        <v>68772.333288673864</v>
      </c>
      <c r="F471">
        <v>40761.161535369727</v>
      </c>
      <c r="G471">
        <v>10000</v>
      </c>
      <c r="H471">
        <v>256262.17020342336</v>
      </c>
      <c r="I471">
        <v>35.904930798767452</v>
      </c>
    </row>
    <row r="472" spans="1:9" x14ac:dyDescent="0.2">
      <c r="A472">
        <v>467</v>
      </c>
      <c r="B472">
        <v>1945131.1449188739</v>
      </c>
      <c r="C472">
        <v>150126.47717508717</v>
      </c>
      <c r="D472">
        <v>147816.82367938428</v>
      </c>
      <c r="E472">
        <v>197409.91449933389</v>
      </c>
      <c r="F472">
        <v>49666.840234569267</v>
      </c>
      <c r="G472">
        <v>10000</v>
      </c>
      <c r="H472">
        <v>535020.05558837461</v>
      </c>
      <c r="I472">
        <v>36.878915878488428</v>
      </c>
    </row>
    <row r="473" spans="1:9" x14ac:dyDescent="0.2">
      <c r="A473">
        <v>468</v>
      </c>
      <c r="B473">
        <v>1325430.5839781552</v>
      </c>
      <c r="C473">
        <v>107026.60839397852</v>
      </c>
      <c r="D473">
        <v>79471.235647600741</v>
      </c>
      <c r="E473">
        <v>142799.06599455042</v>
      </c>
      <c r="F473">
        <v>45886.08918423811</v>
      </c>
      <c r="G473">
        <v>10000</v>
      </c>
      <c r="H473">
        <v>365182.99922036775</v>
      </c>
      <c r="I473">
        <v>31.867203605558302</v>
      </c>
    </row>
    <row r="474" spans="1:9" x14ac:dyDescent="0.2">
      <c r="A474">
        <v>469</v>
      </c>
      <c r="B474">
        <v>959119.90034833364</v>
      </c>
      <c r="C474">
        <v>95420.545389420527</v>
      </c>
      <c r="D474">
        <v>46168.827271661612</v>
      </c>
      <c r="E474">
        <v>90907.770422399059</v>
      </c>
      <c r="F474">
        <v>42293.614875396859</v>
      </c>
      <c r="G474">
        <v>10000</v>
      </c>
      <c r="H474">
        <v>264790.75795887806</v>
      </c>
      <c r="I474">
        <v>26.802803779820941</v>
      </c>
    </row>
    <row r="475" spans="1:9" x14ac:dyDescent="0.2">
      <c r="A475">
        <v>470</v>
      </c>
      <c r="B475">
        <v>1254688.5715189225</v>
      </c>
      <c r="C475">
        <v>105624.57706662266</v>
      </c>
      <c r="D475">
        <v>113953.53255536518</v>
      </c>
      <c r="E475">
        <v>93728.236501589607</v>
      </c>
      <c r="F475">
        <v>42488.877911648509</v>
      </c>
      <c r="G475">
        <v>10000</v>
      </c>
      <c r="H475">
        <v>345795.22403522593</v>
      </c>
      <c r="I475">
        <v>34.201656174220631</v>
      </c>
    </row>
    <row r="476" spans="1:9" x14ac:dyDescent="0.2">
      <c r="A476">
        <v>471</v>
      </c>
      <c r="B476">
        <v>1048135.3893368798</v>
      </c>
      <c r="C476">
        <v>95991.282962872574</v>
      </c>
      <c r="D476">
        <v>123989.10821941795</v>
      </c>
      <c r="E476">
        <v>40408.702047905514</v>
      </c>
      <c r="F476">
        <v>38797.52552639346</v>
      </c>
      <c r="G476">
        <v>10000</v>
      </c>
      <c r="H476">
        <v>289186.61875658948</v>
      </c>
      <c r="I476">
        <v>26.480633086200893</v>
      </c>
    </row>
    <row r="477" spans="1:9" x14ac:dyDescent="0.2">
      <c r="A477">
        <v>472</v>
      </c>
      <c r="B477">
        <v>1664066.1290297753</v>
      </c>
      <c r="C477">
        <v>138078.09884781748</v>
      </c>
      <c r="D477">
        <v>113050.75450878523</v>
      </c>
      <c r="E477">
        <v>169151.18614023115</v>
      </c>
      <c r="F477">
        <v>47710.466732785229</v>
      </c>
      <c r="G477">
        <v>10000</v>
      </c>
      <c r="H477">
        <v>457990.50622961909</v>
      </c>
      <c r="I477">
        <v>35.131505458658239</v>
      </c>
    </row>
    <row r="478" spans="1:9" x14ac:dyDescent="0.2">
      <c r="A478">
        <v>473</v>
      </c>
      <c r="B478">
        <v>1004012.2309286416</v>
      </c>
      <c r="C478">
        <v>159835.96059881631</v>
      </c>
      <c r="D478">
        <v>60464.172383493591</v>
      </c>
      <c r="E478">
        <v>28800.102949023156</v>
      </c>
      <c r="F478">
        <v>37993.853281086216</v>
      </c>
      <c r="G478">
        <v>10000</v>
      </c>
      <c r="H478">
        <v>277094.08921241929</v>
      </c>
      <c r="I478">
        <v>54.439213716319635</v>
      </c>
    </row>
    <row r="479" spans="1:9" x14ac:dyDescent="0.2">
      <c r="A479">
        <v>474</v>
      </c>
      <c r="B479">
        <v>801135.22589952743</v>
      </c>
      <c r="C479">
        <v>107647.87363450005</v>
      </c>
      <c r="D479">
        <v>38256.504245873424</v>
      </c>
      <c r="E479">
        <v>46377.837212058497</v>
      </c>
      <c r="F479">
        <v>39210.773345450201</v>
      </c>
      <c r="G479">
        <v>10000</v>
      </c>
      <c r="H479">
        <v>221492.98843788219</v>
      </c>
      <c r="I479">
        <v>43.933017986258108</v>
      </c>
    </row>
    <row r="480" spans="1:9" x14ac:dyDescent="0.2">
      <c r="A480">
        <v>475</v>
      </c>
      <c r="B480">
        <v>1423178.4640748359</v>
      </c>
      <c r="C480">
        <v>104682.35155489108</v>
      </c>
      <c r="D480">
        <v>55519.213559924377</v>
      </c>
      <c r="E480">
        <v>192447.24992592208</v>
      </c>
      <c r="F480">
        <v>49323.271148717678</v>
      </c>
      <c r="G480">
        <v>10000</v>
      </c>
      <c r="H480">
        <v>391972.08618945518</v>
      </c>
      <c r="I480">
        <v>33.16694036846922</v>
      </c>
    </row>
    <row r="481" spans="1:9" x14ac:dyDescent="0.2">
      <c r="A481">
        <v>476</v>
      </c>
      <c r="B481">
        <v>1723069.023068869</v>
      </c>
      <c r="C481">
        <v>113258.70169453093</v>
      </c>
      <c r="D481">
        <v>139603.35229874824</v>
      </c>
      <c r="E481">
        <v>182653.71130755733</v>
      </c>
      <c r="F481">
        <v>48645.256936677048</v>
      </c>
      <c r="G481">
        <v>10000</v>
      </c>
      <c r="H481">
        <v>474161.02223751356</v>
      </c>
      <c r="I481">
        <v>37.944386284956693</v>
      </c>
    </row>
    <row r="482" spans="1:9" x14ac:dyDescent="0.2">
      <c r="A482">
        <v>477</v>
      </c>
      <c r="B482">
        <v>1132453.4429330197</v>
      </c>
      <c r="C482">
        <v>99046.23549538989</v>
      </c>
      <c r="D482">
        <v>57097.222217859744</v>
      </c>
      <c r="E482">
        <v>121724.54430234116</v>
      </c>
      <c r="F482">
        <v>44427.083836315927</v>
      </c>
      <c r="G482">
        <v>10000</v>
      </c>
      <c r="H482">
        <v>312295.08585190668</v>
      </c>
      <c r="I482">
        <v>32.722746660298107</v>
      </c>
    </row>
    <row r="483" spans="1:9" x14ac:dyDescent="0.2">
      <c r="A483">
        <v>478</v>
      </c>
      <c r="B483">
        <v>934633.67074615462</v>
      </c>
      <c r="C483">
        <v>88923.894300282191</v>
      </c>
      <c r="D483">
        <v>55683.676909665483</v>
      </c>
      <c r="E483">
        <v>81808.733241907335</v>
      </c>
      <c r="F483">
        <v>41663.681532132046</v>
      </c>
      <c r="G483">
        <v>10000</v>
      </c>
      <c r="H483">
        <v>258079.98598398705</v>
      </c>
      <c r="I483">
        <v>29.30933500918664</v>
      </c>
    </row>
    <row r="484" spans="1:9" x14ac:dyDescent="0.2">
      <c r="A484">
        <v>479</v>
      </c>
      <c r="B484">
        <v>1179896.9483997056</v>
      </c>
      <c r="C484">
        <v>102566.29568505047</v>
      </c>
      <c r="D484">
        <v>50406.724414278135</v>
      </c>
      <c r="E484">
        <v>136850.32652735972</v>
      </c>
      <c r="F484">
        <v>45474.253374971056</v>
      </c>
      <c r="G484">
        <v>10000</v>
      </c>
      <c r="H484">
        <v>325297.60000165936</v>
      </c>
      <c r="I484">
        <v>38.410970278805564</v>
      </c>
    </row>
    <row r="485" spans="1:9" x14ac:dyDescent="0.2">
      <c r="A485">
        <v>480</v>
      </c>
      <c r="B485">
        <v>1830926.1153812548</v>
      </c>
      <c r="C485">
        <v>129419.9425538786</v>
      </c>
      <c r="D485">
        <v>131198.37465978324</v>
      </c>
      <c r="E485">
        <v>203045.36707302506</v>
      </c>
      <c r="F485">
        <v>50056.98695120943</v>
      </c>
      <c r="G485">
        <v>10000</v>
      </c>
      <c r="H485">
        <v>503720.67123789637</v>
      </c>
      <c r="I485">
        <v>27.833909801967447</v>
      </c>
    </row>
    <row r="486" spans="1:9" x14ac:dyDescent="0.2">
      <c r="A486">
        <v>481</v>
      </c>
      <c r="B486">
        <v>1829398.1470419965</v>
      </c>
      <c r="C486">
        <v>115538.90814751448</v>
      </c>
      <c r="D486">
        <v>143222.0460207779</v>
      </c>
      <c r="E486">
        <v>204390.82340301678</v>
      </c>
      <c r="F486">
        <v>50150.133927901159</v>
      </c>
      <c r="G486">
        <v>10000</v>
      </c>
      <c r="H486">
        <v>503301.91149921028</v>
      </c>
      <c r="I486">
        <v>37.255870250715368</v>
      </c>
    </row>
    <row r="487" spans="1:9" x14ac:dyDescent="0.2">
      <c r="A487">
        <v>482</v>
      </c>
      <c r="B487">
        <v>1307794.705747229</v>
      </c>
      <c r="C487">
        <v>138605.8935364621</v>
      </c>
      <c r="D487">
        <v>97574.941084630686</v>
      </c>
      <c r="E487">
        <v>91812.566545474168</v>
      </c>
      <c r="F487">
        <v>42356.254606994364</v>
      </c>
      <c r="G487">
        <v>10000</v>
      </c>
      <c r="H487">
        <v>360349.65577356133</v>
      </c>
      <c r="I487">
        <v>24.369776402657298</v>
      </c>
    </row>
    <row r="488" spans="1:9" x14ac:dyDescent="0.2">
      <c r="A488">
        <v>483</v>
      </c>
      <c r="B488">
        <v>1784536.8723357569</v>
      </c>
      <c r="C488">
        <v>164467.7039961105</v>
      </c>
      <c r="D488">
        <v>79085.532351237591</v>
      </c>
      <c r="E488">
        <v>207115.11634362984</v>
      </c>
      <c r="F488">
        <v>50338.738823789754</v>
      </c>
      <c r="G488">
        <v>10000</v>
      </c>
      <c r="H488">
        <v>491007.09151476767</v>
      </c>
      <c r="I488">
        <v>35.409358544519925</v>
      </c>
    </row>
    <row r="489" spans="1:9" x14ac:dyDescent="0.2">
      <c r="A489">
        <v>484</v>
      </c>
      <c r="B489">
        <v>1204743.0104431668</v>
      </c>
      <c r="C489">
        <v>148493.54390814903</v>
      </c>
      <c r="D489">
        <v>113713.96442675525</v>
      </c>
      <c r="E489">
        <v>41057.068033418283</v>
      </c>
      <c r="F489">
        <v>38842.412402313574</v>
      </c>
      <c r="G489">
        <v>10000</v>
      </c>
      <c r="H489">
        <v>332106.98877063609</v>
      </c>
      <c r="I489">
        <v>44.05794220466948</v>
      </c>
    </row>
    <row r="490" spans="1:9" x14ac:dyDescent="0.2">
      <c r="A490">
        <v>485</v>
      </c>
      <c r="B490">
        <v>2101498.2140556937</v>
      </c>
      <c r="C490">
        <v>151496.87202045211</v>
      </c>
      <c r="D490">
        <v>178654.85421049243</v>
      </c>
      <c r="E490">
        <v>207366.62218642962</v>
      </c>
      <c r="F490">
        <v>50356.15076675282</v>
      </c>
      <c r="G490">
        <v>10000</v>
      </c>
      <c r="H490">
        <v>577874.49918412685</v>
      </c>
      <c r="I490">
        <v>42.377828471838853</v>
      </c>
    </row>
    <row r="491" spans="1:9" x14ac:dyDescent="0.2">
      <c r="A491">
        <v>486</v>
      </c>
      <c r="B491">
        <v>1430749.1123750543</v>
      </c>
      <c r="C491">
        <v>117693.03174050455</v>
      </c>
      <c r="D491">
        <v>96931.809765697893</v>
      </c>
      <c r="E491">
        <v>143488.27627779532</v>
      </c>
      <c r="F491">
        <v>45933.803742308904</v>
      </c>
      <c r="G491">
        <v>10000</v>
      </c>
      <c r="H491">
        <v>394046.92152630672</v>
      </c>
      <c r="I491">
        <v>39.299667320588057</v>
      </c>
    </row>
    <row r="492" spans="1:9" x14ac:dyDescent="0.2">
      <c r="A492">
        <v>487</v>
      </c>
      <c r="B492">
        <v>1111843.4097795677</v>
      </c>
      <c r="C492">
        <v>76923.724322260226</v>
      </c>
      <c r="D492">
        <v>104348.14215102731</v>
      </c>
      <c r="E492">
        <v>92940.432201970849</v>
      </c>
      <c r="F492">
        <v>42434.337613982592</v>
      </c>
      <c r="G492">
        <v>10000</v>
      </c>
      <c r="H492">
        <v>306646.63628924097</v>
      </c>
      <c r="I492">
        <v>45.846002086525587</v>
      </c>
    </row>
    <row r="493" spans="1:9" x14ac:dyDescent="0.2">
      <c r="A493">
        <v>488</v>
      </c>
      <c r="B493">
        <v>1360703.0902475342</v>
      </c>
      <c r="C493">
        <v>128934.17372410197</v>
      </c>
      <c r="D493">
        <v>100115.48128625345</v>
      </c>
      <c r="E493">
        <v>112043.38674651789</v>
      </c>
      <c r="F493">
        <v>43756.849851682011</v>
      </c>
      <c r="G493">
        <v>10000</v>
      </c>
      <c r="H493">
        <v>374849.89160855534</v>
      </c>
      <c r="I493">
        <v>32.010215243795777</v>
      </c>
    </row>
    <row r="494" spans="1:9" x14ac:dyDescent="0.2">
      <c r="A494">
        <v>489</v>
      </c>
      <c r="B494">
        <v>1086087.6475226053</v>
      </c>
      <c r="C494">
        <v>98210.682732877089</v>
      </c>
      <c r="D494">
        <v>51559.183853278082</v>
      </c>
      <c r="E494">
        <v>115801.06861612551</v>
      </c>
      <c r="F494">
        <v>44016.997058039458</v>
      </c>
      <c r="G494">
        <v>10000</v>
      </c>
      <c r="H494">
        <v>299587.93226032017</v>
      </c>
      <c r="I494">
        <v>32.243402517830646</v>
      </c>
    </row>
    <row r="495" spans="1:9" x14ac:dyDescent="0.2">
      <c r="A495">
        <v>490</v>
      </c>
      <c r="B495">
        <v>1707829.8173288363</v>
      </c>
      <c r="C495">
        <v>141061.07861160321</v>
      </c>
      <c r="D495">
        <v>117278.26514409625</v>
      </c>
      <c r="E495">
        <v>173624.98336951283</v>
      </c>
      <c r="F495">
        <v>48020.191156350884</v>
      </c>
      <c r="G495">
        <v>10000</v>
      </c>
      <c r="H495">
        <v>469984.51828156319</v>
      </c>
      <c r="I495">
        <v>33.267143825306093</v>
      </c>
    </row>
    <row r="496" spans="1:9" x14ac:dyDescent="0.2">
      <c r="A496">
        <v>491</v>
      </c>
      <c r="B496">
        <v>983962.39991830755</v>
      </c>
      <c r="C496">
        <v>91139.287789167953</v>
      </c>
      <c r="D496">
        <v>85308.507459713859</v>
      </c>
      <c r="E496">
        <v>64673.947969339759</v>
      </c>
      <c r="F496">
        <v>40477.427167108137</v>
      </c>
      <c r="G496">
        <v>10000</v>
      </c>
      <c r="H496">
        <v>271599.17038532969</v>
      </c>
      <c r="I496">
        <v>46.830796804840801</v>
      </c>
    </row>
    <row r="497" spans="1:9" x14ac:dyDescent="0.2">
      <c r="A497">
        <v>492</v>
      </c>
      <c r="B497">
        <v>1035834.2930619592</v>
      </c>
      <c r="C497">
        <v>87596.653893006922</v>
      </c>
      <c r="D497">
        <v>62892.844287574262</v>
      </c>
      <c r="E497">
        <v>102247.19223596079</v>
      </c>
      <c r="F497">
        <v>43078.651770181896</v>
      </c>
      <c r="G497">
        <v>10000</v>
      </c>
      <c r="H497">
        <v>285815.34218672389</v>
      </c>
      <c r="I497">
        <v>43.445976480731851</v>
      </c>
    </row>
    <row r="498" spans="1:9" x14ac:dyDescent="0.2">
      <c r="A498">
        <v>493</v>
      </c>
      <c r="B498">
        <v>1277117.7794958267</v>
      </c>
      <c r="C498">
        <v>131858.88080956897</v>
      </c>
      <c r="D498">
        <v>123990.61797756382</v>
      </c>
      <c r="E498">
        <v>65554.364425431922</v>
      </c>
      <c r="F498">
        <v>40538.379075606827</v>
      </c>
      <c r="G498">
        <v>10000</v>
      </c>
      <c r="H498">
        <v>351942.24228817155</v>
      </c>
      <c r="I498">
        <v>31.813999238925771</v>
      </c>
    </row>
    <row r="499" spans="1:9" x14ac:dyDescent="0.2">
      <c r="A499">
        <v>494</v>
      </c>
      <c r="B499">
        <v>1125664.1628138963</v>
      </c>
      <c r="C499">
        <v>124646.32465692863</v>
      </c>
      <c r="D499">
        <v>34643.69514517553</v>
      </c>
      <c r="E499">
        <v>117041.50170349704</v>
      </c>
      <c r="F499">
        <v>44102.873194857486</v>
      </c>
      <c r="G499">
        <v>10000</v>
      </c>
      <c r="H499">
        <v>310434.39470045868</v>
      </c>
      <c r="I499">
        <v>35.288456682157673</v>
      </c>
    </row>
    <row r="500" spans="1:9" x14ac:dyDescent="0.2">
      <c r="A500">
        <v>495</v>
      </c>
      <c r="B500">
        <v>937640.9005193864</v>
      </c>
      <c r="C500">
        <v>111849.15021195608</v>
      </c>
      <c r="D500">
        <v>57135.49369336931</v>
      </c>
      <c r="E500">
        <v>59780.83930057448</v>
      </c>
      <c r="F500">
        <v>40138.673490039771</v>
      </c>
      <c r="G500">
        <v>10000</v>
      </c>
      <c r="H500">
        <v>258904.1566959396</v>
      </c>
      <c r="I500">
        <v>32.662753782271125</v>
      </c>
    </row>
    <row r="501" spans="1:9" x14ac:dyDescent="0.2">
      <c r="A501">
        <v>496</v>
      </c>
      <c r="B501">
        <v>1429483.0185429079</v>
      </c>
      <c r="C501">
        <v>146043.76030466444</v>
      </c>
      <c r="D501">
        <v>29449.252876687169</v>
      </c>
      <c r="E501">
        <v>179761.86645245311</v>
      </c>
      <c r="F501">
        <v>48445.052292862136</v>
      </c>
      <c r="G501">
        <v>10000</v>
      </c>
      <c r="H501">
        <v>393699.93192666682</v>
      </c>
      <c r="I501">
        <v>29.055613731243088</v>
      </c>
    </row>
    <row r="502" spans="1:9" x14ac:dyDescent="0.2">
      <c r="A502">
        <v>497</v>
      </c>
      <c r="B502">
        <v>1277769.5393555267</v>
      </c>
      <c r="C502">
        <v>140481.54546928714</v>
      </c>
      <c r="D502">
        <v>95617.43455671423</v>
      </c>
      <c r="E502">
        <v>84193.130407275239</v>
      </c>
      <c r="F502">
        <v>41828.755182042136</v>
      </c>
      <c r="G502">
        <v>10000</v>
      </c>
      <c r="H502">
        <v>352120.86561531876</v>
      </c>
      <c r="I502">
        <v>35.208528842675321</v>
      </c>
    </row>
    <row r="503" spans="1:9" x14ac:dyDescent="0.2">
      <c r="A503">
        <v>498</v>
      </c>
      <c r="B503">
        <v>1559320.2182637113</v>
      </c>
      <c r="C503">
        <v>161009.07386927755</v>
      </c>
      <c r="D503">
        <v>62213.731044960776</v>
      </c>
      <c r="E503">
        <v>168402.10509617225</v>
      </c>
      <c r="F503">
        <v>47658.607275888848</v>
      </c>
      <c r="G503">
        <v>10000</v>
      </c>
      <c r="H503">
        <v>429283.51728629944</v>
      </c>
      <c r="I503">
        <v>38.70188694723727</v>
      </c>
    </row>
    <row r="504" spans="1:9" x14ac:dyDescent="0.2">
      <c r="A504">
        <v>499</v>
      </c>
      <c r="B504">
        <v>1477052.9286347148</v>
      </c>
      <c r="C504">
        <v>86141.259434414635</v>
      </c>
      <c r="D504">
        <v>86382.027232927023</v>
      </c>
      <c r="E504">
        <v>194732.3330418168</v>
      </c>
      <c r="F504">
        <v>49481.469210587318</v>
      </c>
      <c r="G504">
        <v>10000</v>
      </c>
      <c r="H504">
        <v>406737.08891974576</v>
      </c>
      <c r="I504">
        <v>32.94658801160513</v>
      </c>
    </row>
    <row r="505" spans="1:9" x14ac:dyDescent="0.2">
      <c r="A505">
        <v>500</v>
      </c>
      <c r="B505">
        <v>1466200.7332366621</v>
      </c>
      <c r="C505">
        <v>144433.69912278454</v>
      </c>
      <c r="D505">
        <v>95636.661027464477</v>
      </c>
      <c r="E505">
        <v>128777.19798840086</v>
      </c>
      <c r="F505">
        <v>44915.344476120066</v>
      </c>
      <c r="G505">
        <v>10000</v>
      </c>
      <c r="H505">
        <v>403762.90261476999</v>
      </c>
      <c r="I505">
        <v>39.113367768907935</v>
      </c>
    </row>
    <row r="506" spans="1:9" x14ac:dyDescent="0.2">
      <c r="A506">
        <v>501</v>
      </c>
      <c r="B506">
        <v>1303064.2961345636</v>
      </c>
      <c r="C506">
        <v>85402.627402531361</v>
      </c>
      <c r="D506">
        <v>109518.80581849751</v>
      </c>
      <c r="E506">
        <v>129188.00675041608</v>
      </c>
      <c r="F506">
        <v>44943.785082721115</v>
      </c>
      <c r="G506">
        <v>10000</v>
      </c>
      <c r="H506">
        <v>359053.22505416605</v>
      </c>
      <c r="I506">
        <v>36.344397336789264</v>
      </c>
    </row>
    <row r="507" spans="1:9" x14ac:dyDescent="0.2">
      <c r="A507">
        <v>502</v>
      </c>
      <c r="B507">
        <v>1330614.6889732154</v>
      </c>
      <c r="C507">
        <v>121226.75653947344</v>
      </c>
      <c r="D507">
        <v>156736.39783727319</v>
      </c>
      <c r="E507">
        <v>58584.749455646321</v>
      </c>
      <c r="F507">
        <v>40055.867270006282</v>
      </c>
      <c r="G507">
        <v>10000</v>
      </c>
      <c r="H507">
        <v>366603.77110239922</v>
      </c>
      <c r="I507">
        <v>37.733049179200329</v>
      </c>
    </row>
    <row r="508" spans="1:9" x14ac:dyDescent="0.2">
      <c r="A508">
        <v>503</v>
      </c>
      <c r="B508">
        <v>1130961.8333128565</v>
      </c>
      <c r="C508">
        <v>123454.39216600585</v>
      </c>
      <c r="D508">
        <v>97179.201372260359</v>
      </c>
      <c r="E508">
        <v>61027.702378169073</v>
      </c>
      <c r="F508">
        <v>40224.994780027089</v>
      </c>
      <c r="G508">
        <v>10000</v>
      </c>
      <c r="H508">
        <v>311886.29069646233</v>
      </c>
      <c r="I508">
        <v>35.760544559648366</v>
      </c>
    </row>
    <row r="509" spans="1:9" x14ac:dyDescent="0.2">
      <c r="A509">
        <v>504</v>
      </c>
      <c r="B509">
        <v>1275130.6034407008</v>
      </c>
      <c r="C509">
        <v>82928.745966744566</v>
      </c>
      <c r="D509">
        <v>62280.766724126341</v>
      </c>
      <c r="E509">
        <v>168521.26140965262</v>
      </c>
      <c r="F509">
        <v>47666.856559129796</v>
      </c>
      <c r="G509">
        <v>10000</v>
      </c>
      <c r="H509">
        <v>351397.63065965334</v>
      </c>
      <c r="I509">
        <v>34.587145606072795</v>
      </c>
    </row>
    <row r="510" spans="1:9" x14ac:dyDescent="0.2">
      <c r="A510">
        <v>505</v>
      </c>
      <c r="B510">
        <v>1219723.6272452867</v>
      </c>
      <c r="C510">
        <v>129527.55806343509</v>
      </c>
      <c r="D510">
        <v>45624.660915475695</v>
      </c>
      <c r="E510">
        <v>126315.48581329451</v>
      </c>
      <c r="F510">
        <v>44744.918248612703</v>
      </c>
      <c r="G510">
        <v>10000</v>
      </c>
      <c r="H510">
        <v>336212.62304081803</v>
      </c>
      <c r="I510">
        <v>43.278824051599713</v>
      </c>
    </row>
    <row r="511" spans="1:9" x14ac:dyDescent="0.2">
      <c r="A511">
        <v>506</v>
      </c>
      <c r="B511">
        <v>1623788.9700925879</v>
      </c>
      <c r="C511">
        <v>138576.65149999823</v>
      </c>
      <c r="D511">
        <v>111675.26812355734</v>
      </c>
      <c r="E511">
        <v>159647.57890350756</v>
      </c>
      <c r="F511">
        <v>47052.524693319749</v>
      </c>
      <c r="G511">
        <v>10000</v>
      </c>
      <c r="H511">
        <v>446952.02322038286</v>
      </c>
      <c r="I511">
        <v>39.530251281281565</v>
      </c>
    </row>
    <row r="512" spans="1:9" x14ac:dyDescent="0.2">
      <c r="A512">
        <v>507</v>
      </c>
      <c r="B512">
        <v>1355492.1491436665</v>
      </c>
      <c r="C512">
        <v>136732.75507756611</v>
      </c>
      <c r="D512">
        <v>43858.121139639683</v>
      </c>
      <c r="E512">
        <v>156028.88873296033</v>
      </c>
      <c r="F512">
        <v>46801.999989204945</v>
      </c>
      <c r="G512">
        <v>10000</v>
      </c>
      <c r="H512">
        <v>373421.76493937103</v>
      </c>
      <c r="I512">
        <v>40.902354202582046</v>
      </c>
    </row>
    <row r="513" spans="1:9" x14ac:dyDescent="0.2">
      <c r="A513">
        <v>508</v>
      </c>
      <c r="B513">
        <v>1315815.7728855135</v>
      </c>
      <c r="C513">
        <v>109978.53874537637</v>
      </c>
      <c r="D513">
        <v>113747.8720678563</v>
      </c>
      <c r="E513">
        <v>105516.53275100687</v>
      </c>
      <c r="F513">
        <v>43304.990728915858</v>
      </c>
      <c r="G513">
        <v>10000</v>
      </c>
      <c r="H513">
        <v>362547.93429315538</v>
      </c>
      <c r="I513">
        <v>29.613157987681777</v>
      </c>
    </row>
    <row r="514" spans="1:9" x14ac:dyDescent="0.2">
      <c r="A514">
        <v>509</v>
      </c>
      <c r="B514">
        <v>1188417.7693673328</v>
      </c>
      <c r="C514">
        <v>137366.14198715292</v>
      </c>
      <c r="D514">
        <v>79115.13971990181</v>
      </c>
      <c r="E514">
        <v>79638.150479727061</v>
      </c>
      <c r="F514">
        <v>41513.410417827261</v>
      </c>
      <c r="G514">
        <v>10000</v>
      </c>
      <c r="H514">
        <v>327632.84260460903</v>
      </c>
      <c r="I514">
        <v>45.986219823030751</v>
      </c>
    </row>
    <row r="515" spans="1:9" x14ac:dyDescent="0.2">
      <c r="A515">
        <v>510</v>
      </c>
      <c r="B515">
        <v>1039068.8357744941</v>
      </c>
      <c r="C515">
        <v>146513.46780940593</v>
      </c>
      <c r="D515">
        <v>65679.16184526727</v>
      </c>
      <c r="E515">
        <v>45368.29908809848</v>
      </c>
      <c r="F515">
        <v>39140.882244560664</v>
      </c>
      <c r="G515">
        <v>10000</v>
      </c>
      <c r="H515">
        <v>286701.81098733237</v>
      </c>
      <c r="I515">
        <v>37.659804048325043</v>
      </c>
    </row>
    <row r="516" spans="1:9" x14ac:dyDescent="0.2">
      <c r="A516">
        <v>511</v>
      </c>
      <c r="B516">
        <v>1433733.1847048369</v>
      </c>
      <c r="C516">
        <v>133890.27677676137</v>
      </c>
      <c r="D516">
        <v>121617.80409167413</v>
      </c>
      <c r="E516">
        <v>106017.02460419454</v>
      </c>
      <c r="F516">
        <v>43339.640164905781</v>
      </c>
      <c r="G516">
        <v>10000</v>
      </c>
      <c r="H516">
        <v>394864.74563753582</v>
      </c>
      <c r="I516">
        <v>51.006226608379045</v>
      </c>
    </row>
    <row r="517" spans="1:9" x14ac:dyDescent="0.2">
      <c r="A517">
        <v>512</v>
      </c>
      <c r="B517">
        <v>1287644.5640721831</v>
      </c>
      <c r="C517">
        <v>87535.051109566877</v>
      </c>
      <c r="D517">
        <v>73196.378753244848</v>
      </c>
      <c r="E517">
        <v>157211.91390042842</v>
      </c>
      <c r="F517">
        <v>46883.901731568119</v>
      </c>
      <c r="G517">
        <v>10000</v>
      </c>
      <c r="H517">
        <v>354827.24549480824</v>
      </c>
      <c r="I517">
        <v>38.593275265802959</v>
      </c>
    </row>
    <row r="518" spans="1:9" x14ac:dyDescent="0.2">
      <c r="A518">
        <v>513</v>
      </c>
      <c r="B518">
        <v>983296.40924633201</v>
      </c>
      <c r="C518">
        <v>143806.86058077074</v>
      </c>
      <c r="D518">
        <v>63463.177512862931</v>
      </c>
      <c r="E518">
        <v>35676.684511683714</v>
      </c>
      <c r="F518">
        <v>38469.924312347335</v>
      </c>
      <c r="G518">
        <v>10000</v>
      </c>
      <c r="H518">
        <v>271416.64691766468</v>
      </c>
      <c r="I518">
        <v>37.13540820814935</v>
      </c>
    </row>
    <row r="519" spans="1:9" x14ac:dyDescent="0.2">
      <c r="A519">
        <v>514</v>
      </c>
      <c r="B519">
        <v>1448105.741766551</v>
      </c>
      <c r="C519">
        <v>107423.56527845707</v>
      </c>
      <c r="D519">
        <v>99762.802140097192</v>
      </c>
      <c r="E519">
        <v>154893.93919265791</v>
      </c>
      <c r="F519">
        <v>46723.426559491694</v>
      </c>
      <c r="G519">
        <v>10000</v>
      </c>
      <c r="H519">
        <v>398803.73317070387</v>
      </c>
      <c r="I519">
        <v>38.218044863892736</v>
      </c>
    </row>
    <row r="520" spans="1:9" x14ac:dyDescent="0.2">
      <c r="A520">
        <v>515</v>
      </c>
      <c r="B520">
        <v>1444309.4345744224</v>
      </c>
      <c r="C520">
        <v>89207.875409672008</v>
      </c>
      <c r="D520">
        <v>104421.0318643237</v>
      </c>
      <c r="E520">
        <v>166600.51628508695</v>
      </c>
      <c r="F520">
        <v>47533.881896659863</v>
      </c>
      <c r="G520">
        <v>10000</v>
      </c>
      <c r="H520">
        <v>397763.30545574252</v>
      </c>
      <c r="I520">
        <v>25.347688727290482</v>
      </c>
    </row>
    <row r="521" spans="1:9" x14ac:dyDescent="0.2">
      <c r="A521">
        <v>516</v>
      </c>
      <c r="B521">
        <v>1424716.0949161509</v>
      </c>
      <c r="C521">
        <v>83326.891174903678</v>
      </c>
      <c r="D521">
        <v>75999.027403205109</v>
      </c>
      <c r="E521">
        <v>193660.32239631723</v>
      </c>
      <c r="F521">
        <v>49407.253088975805</v>
      </c>
      <c r="G521">
        <v>10000</v>
      </c>
      <c r="H521">
        <v>392393.49406340183</v>
      </c>
      <c r="I521">
        <v>41.51283929438361</v>
      </c>
    </row>
    <row r="522" spans="1:9" x14ac:dyDescent="0.2">
      <c r="A522">
        <v>517</v>
      </c>
      <c r="B522">
        <v>1197061.9354903649</v>
      </c>
      <c r="C522">
        <v>127165.14091937635</v>
      </c>
      <c r="D522">
        <v>72646.991693147284</v>
      </c>
      <c r="E522">
        <v>97443.65757970608</v>
      </c>
      <c r="F522">
        <v>42746.099370902732</v>
      </c>
      <c r="G522">
        <v>10000</v>
      </c>
      <c r="H522">
        <v>330001.88956313243</v>
      </c>
      <c r="I522">
        <v>38.790866631620787</v>
      </c>
    </row>
    <row r="523" spans="1:9" x14ac:dyDescent="0.2">
      <c r="A523">
        <v>518</v>
      </c>
      <c r="B523">
        <v>1253956.3795491199</v>
      </c>
      <c r="C523">
        <v>121873.24350302559</v>
      </c>
      <c r="D523">
        <v>31159.862444525836</v>
      </c>
      <c r="E523">
        <v>155776.89688726197</v>
      </c>
      <c r="F523">
        <v>46784.554399887369</v>
      </c>
      <c r="G523">
        <v>10000</v>
      </c>
      <c r="H523">
        <v>345594.55723470083</v>
      </c>
      <c r="I523">
        <v>35.999933811562457</v>
      </c>
    </row>
    <row r="524" spans="1:9" x14ac:dyDescent="0.2">
      <c r="A524">
        <v>519</v>
      </c>
      <c r="B524">
        <v>1552996.1042523109</v>
      </c>
      <c r="C524">
        <v>137441.35776715731</v>
      </c>
      <c r="D524">
        <v>92099.531990191143</v>
      </c>
      <c r="E524">
        <v>160872.12058667335</v>
      </c>
      <c r="F524">
        <v>47137.300656000458</v>
      </c>
      <c r="G524">
        <v>10000</v>
      </c>
      <c r="H524">
        <v>427550.31100002228</v>
      </c>
      <c r="I524">
        <v>37.68968415031479</v>
      </c>
    </row>
    <row r="525" spans="1:9" x14ac:dyDescent="0.2">
      <c r="A525">
        <v>520</v>
      </c>
      <c r="B525">
        <v>1103185.1225236233</v>
      </c>
      <c r="C525">
        <v>89134.29269169613</v>
      </c>
      <c r="D525">
        <v>51692.551336019576</v>
      </c>
      <c r="E525">
        <v>128547.43725756505</v>
      </c>
      <c r="F525">
        <v>44899.43796398527</v>
      </c>
      <c r="G525">
        <v>10000</v>
      </c>
      <c r="H525">
        <v>304273.71924926603</v>
      </c>
      <c r="I525">
        <v>32.519360988086945</v>
      </c>
    </row>
    <row r="526" spans="1:9" x14ac:dyDescent="0.2">
      <c r="A526">
        <v>521</v>
      </c>
      <c r="B526">
        <v>1519310.7835867461</v>
      </c>
      <c r="C526">
        <v>153995.05635920065</v>
      </c>
      <c r="D526">
        <v>145314.43002505257</v>
      </c>
      <c r="E526">
        <v>86986.760865698336</v>
      </c>
      <c r="F526">
        <v>42022.160367625271</v>
      </c>
      <c r="G526">
        <v>10000</v>
      </c>
      <c r="H526">
        <v>418318.40761757689</v>
      </c>
      <c r="I526">
        <v>32.434627756993763</v>
      </c>
    </row>
    <row r="527" spans="1:9" x14ac:dyDescent="0.2">
      <c r="A527">
        <v>522</v>
      </c>
      <c r="B527">
        <v>1529524.5390271218</v>
      </c>
      <c r="C527">
        <v>115580.5421934911</v>
      </c>
      <c r="D527">
        <v>58147.193721441865</v>
      </c>
      <c r="E527">
        <v>207055.28829232676</v>
      </c>
      <c r="F527">
        <v>50334.596881776466</v>
      </c>
      <c r="G527">
        <v>10000</v>
      </c>
      <c r="H527">
        <v>421117.62108903623</v>
      </c>
      <c r="I527">
        <v>43.246169822459414</v>
      </c>
    </row>
    <row r="528" spans="1:9" x14ac:dyDescent="0.2">
      <c r="A528">
        <v>523</v>
      </c>
      <c r="B528">
        <v>1269344.1042613615</v>
      </c>
      <c r="C528">
        <v>110065.67633788721</v>
      </c>
      <c r="D528">
        <v>62668.466648579895</v>
      </c>
      <c r="E528">
        <v>141295.61748648627</v>
      </c>
      <c r="F528">
        <v>45782.004287525975</v>
      </c>
      <c r="G528">
        <v>10000</v>
      </c>
      <c r="H528">
        <v>349811.76476047933</v>
      </c>
      <c r="I528">
        <v>26.081839666954831</v>
      </c>
    </row>
    <row r="529" spans="1:9" x14ac:dyDescent="0.2">
      <c r="A529">
        <v>524</v>
      </c>
      <c r="B529">
        <v>857297.53509102296</v>
      </c>
      <c r="C529">
        <v>124032.53554044855</v>
      </c>
      <c r="D529">
        <v>26746.160052848831</v>
      </c>
      <c r="E529">
        <v>56214.533938796136</v>
      </c>
      <c r="F529">
        <v>39891.77542653204</v>
      </c>
      <c r="G529">
        <v>10000</v>
      </c>
      <c r="H529">
        <v>236885.00495862553</v>
      </c>
      <c r="I529">
        <v>51.213496827162388</v>
      </c>
    </row>
    <row r="530" spans="1:9" x14ac:dyDescent="0.2">
      <c r="A530">
        <v>525</v>
      </c>
      <c r="B530">
        <v>1121313.3056007084</v>
      </c>
      <c r="C530">
        <v>96267.219040539567</v>
      </c>
      <c r="D530">
        <v>131770.56193685081</v>
      </c>
      <c r="E530">
        <v>51629.831369644409</v>
      </c>
      <c r="F530">
        <v>39574.37294097538</v>
      </c>
      <c r="G530">
        <v>10000</v>
      </c>
      <c r="H530">
        <v>309241.9852880101</v>
      </c>
      <c r="I530">
        <v>35.698935284739704</v>
      </c>
    </row>
    <row r="531" spans="1:9" x14ac:dyDescent="0.2">
      <c r="A531">
        <v>526</v>
      </c>
      <c r="B531">
        <v>1241020.4971843576</v>
      </c>
      <c r="C531">
        <v>114138.78828785848</v>
      </c>
      <c r="D531">
        <v>128717.63554550736</v>
      </c>
      <c r="E531">
        <v>68453.777701284314</v>
      </c>
      <c r="F531">
        <v>40739.107687011994</v>
      </c>
      <c r="G531">
        <v>10000</v>
      </c>
      <c r="H531">
        <v>342049.30922166217</v>
      </c>
      <c r="I531">
        <v>33.308913512963734</v>
      </c>
    </row>
    <row r="532" spans="1:9" x14ac:dyDescent="0.2">
      <c r="A532">
        <v>527</v>
      </c>
      <c r="B532">
        <v>1233438.3130212829</v>
      </c>
      <c r="C532">
        <v>127234.14667498264</v>
      </c>
      <c r="D532">
        <v>121341.866655473</v>
      </c>
      <c r="E532">
        <v>61161.071007219965</v>
      </c>
      <c r="F532">
        <v>40234.227992807537</v>
      </c>
      <c r="G532">
        <v>10000</v>
      </c>
      <c r="H532">
        <v>339971.31233048311</v>
      </c>
      <c r="I532">
        <v>31.236014061445271</v>
      </c>
    </row>
    <row r="533" spans="1:9" x14ac:dyDescent="0.2">
      <c r="A533">
        <v>528</v>
      </c>
      <c r="B533">
        <v>1204255.4229072877</v>
      </c>
      <c r="C533">
        <v>127402.9273945476</v>
      </c>
      <c r="D533">
        <v>86258.0715207303</v>
      </c>
      <c r="E533">
        <v>86335.300816780669</v>
      </c>
      <c r="F533">
        <v>41977.059287315591</v>
      </c>
      <c r="G533">
        <v>10000</v>
      </c>
      <c r="H533">
        <v>331973.35901937413</v>
      </c>
      <c r="I533">
        <v>48.420640225108464</v>
      </c>
    </row>
    <row r="534" spans="1:9" x14ac:dyDescent="0.2">
      <c r="A534">
        <v>529</v>
      </c>
      <c r="B534">
        <v>1282496.1265031111</v>
      </c>
      <c r="C534">
        <v>142023.27154378063</v>
      </c>
      <c r="D534">
        <v>76072.850547097056</v>
      </c>
      <c r="E534">
        <v>102241.84506573537</v>
      </c>
      <c r="F534">
        <v>43078.281581473981</v>
      </c>
      <c r="G534">
        <v>10000</v>
      </c>
      <c r="H534">
        <v>353416.24873808702</v>
      </c>
      <c r="I534">
        <v>31.990313125478291</v>
      </c>
    </row>
    <row r="535" spans="1:9" x14ac:dyDescent="0.2">
      <c r="A535">
        <v>530</v>
      </c>
      <c r="B535">
        <v>1214647.4396405818</v>
      </c>
      <c r="C535">
        <v>84545.328830394166</v>
      </c>
      <c r="D535">
        <v>74405.276027335465</v>
      </c>
      <c r="E535">
        <v>140166.95627207446</v>
      </c>
      <c r="F535">
        <v>45703.866203451311</v>
      </c>
      <c r="G535">
        <v>10000</v>
      </c>
      <c r="H535">
        <v>334821.42733325541</v>
      </c>
      <c r="I535">
        <v>43.24696778053611</v>
      </c>
    </row>
    <row r="536" spans="1:9" x14ac:dyDescent="0.2">
      <c r="A536">
        <v>531</v>
      </c>
      <c r="B536">
        <v>1376277.2472191171</v>
      </c>
      <c r="C536">
        <v>99707.378545706</v>
      </c>
      <c r="D536">
        <v>71534.814709986065</v>
      </c>
      <c r="E536">
        <v>170099.85619128041</v>
      </c>
      <c r="F536">
        <v>47776.143890165564</v>
      </c>
      <c r="G536">
        <v>10000</v>
      </c>
      <c r="H536">
        <v>379118.19333713804</v>
      </c>
      <c r="I536">
        <v>35.76148682533313</v>
      </c>
    </row>
    <row r="537" spans="1:9" x14ac:dyDescent="0.2">
      <c r="A537">
        <v>532</v>
      </c>
      <c r="B537">
        <v>1079330.1273724365</v>
      </c>
      <c r="C537">
        <v>124141.96832442432</v>
      </c>
      <c r="D537">
        <v>93128.177238546996</v>
      </c>
      <c r="E537">
        <v>50939.237205650352</v>
      </c>
      <c r="F537">
        <v>39526.562575775795</v>
      </c>
      <c r="G537">
        <v>10000</v>
      </c>
      <c r="H537">
        <v>297735.94534439745</v>
      </c>
      <c r="I537">
        <v>29.821067163263891</v>
      </c>
    </row>
    <row r="538" spans="1:9" x14ac:dyDescent="0.2">
      <c r="A538">
        <v>533</v>
      </c>
      <c r="B538">
        <v>1358803.916090284</v>
      </c>
      <c r="C538">
        <v>98067.313445448963</v>
      </c>
      <c r="D538">
        <v>50759.766866470898</v>
      </c>
      <c r="E538">
        <v>186584.90148438211</v>
      </c>
      <c r="F538">
        <v>48917.416256611068</v>
      </c>
      <c r="G538">
        <v>10000</v>
      </c>
      <c r="H538">
        <v>374329.39805291302</v>
      </c>
      <c r="I538">
        <v>33.23970182232739</v>
      </c>
    </row>
    <row r="539" spans="1:9" x14ac:dyDescent="0.2">
      <c r="A539">
        <v>534</v>
      </c>
      <c r="B539">
        <v>1046746.3421338161</v>
      </c>
      <c r="C539">
        <v>103165.53615744838</v>
      </c>
      <c r="D539">
        <v>62572.825000919518</v>
      </c>
      <c r="E539">
        <v>90782.620375311235</v>
      </c>
      <c r="F539">
        <v>42284.950641367701</v>
      </c>
      <c r="G539">
        <v>10000</v>
      </c>
      <c r="H539">
        <v>288805.93217504682</v>
      </c>
      <c r="I539">
        <v>36.602383729002398</v>
      </c>
    </row>
    <row r="540" spans="1:9" x14ac:dyDescent="0.2">
      <c r="A540">
        <v>535</v>
      </c>
      <c r="B540">
        <v>1393376.0589456614</v>
      </c>
      <c r="C540">
        <v>97988.464360244456</v>
      </c>
      <c r="D540">
        <v>153408.52065333107</v>
      </c>
      <c r="E540">
        <v>99517.676372333619</v>
      </c>
      <c r="F540">
        <v>42889.685287315406</v>
      </c>
      <c r="G540">
        <v>10000</v>
      </c>
      <c r="H540">
        <v>383804.34667322453</v>
      </c>
      <c r="I540">
        <v>36.62487821846635</v>
      </c>
    </row>
    <row r="541" spans="1:9" x14ac:dyDescent="0.2">
      <c r="A541">
        <v>536</v>
      </c>
      <c r="B541">
        <v>1179058.0273177968</v>
      </c>
      <c r="C541">
        <v>103430.94867414393</v>
      </c>
      <c r="D541">
        <v>97583.028320588623</v>
      </c>
      <c r="E541">
        <v>91704.904606977245</v>
      </c>
      <c r="F541">
        <v>42348.801088175351</v>
      </c>
      <c r="G541">
        <v>10000</v>
      </c>
      <c r="H541">
        <v>325067.68268988514</v>
      </c>
      <c r="I541">
        <v>38.627175946731072</v>
      </c>
    </row>
    <row r="542" spans="1:9" x14ac:dyDescent="0.2">
      <c r="A542">
        <v>537</v>
      </c>
      <c r="B542">
        <v>1347852.9262895014</v>
      </c>
      <c r="C542">
        <v>144162.4081834931</v>
      </c>
      <c r="D542">
        <v>58240.779943170477</v>
      </c>
      <c r="E542">
        <v>133670.81441538755</v>
      </c>
      <c r="F542">
        <v>45254.133305680669</v>
      </c>
      <c r="G542">
        <v>10000</v>
      </c>
      <c r="H542">
        <v>371328.13584773178</v>
      </c>
      <c r="I542">
        <v>27.356068531991504</v>
      </c>
    </row>
    <row r="543" spans="1:9" x14ac:dyDescent="0.2">
      <c r="A543">
        <v>538</v>
      </c>
      <c r="B543">
        <v>1381098.718198278</v>
      </c>
      <c r="C543">
        <v>93774.560425128133</v>
      </c>
      <c r="D543">
        <v>94598.228683906593</v>
      </c>
      <c r="E543">
        <v>155314.26543897449</v>
      </c>
      <c r="F543">
        <v>46752.526068852079</v>
      </c>
      <c r="G543">
        <v>10000</v>
      </c>
      <c r="H543">
        <v>380439.58061686123</v>
      </c>
      <c r="I543">
        <v>29.398428822502289</v>
      </c>
    </row>
    <row r="544" spans="1:9" x14ac:dyDescent="0.2">
      <c r="A544">
        <v>539</v>
      </c>
      <c r="B544">
        <v>1356245.1063898152</v>
      </c>
      <c r="C544">
        <v>104046.81554931436</v>
      </c>
      <c r="D544">
        <v>56639.692964369431</v>
      </c>
      <c r="E544">
        <v>174837.48092724252</v>
      </c>
      <c r="F544">
        <v>48104.133294962936</v>
      </c>
      <c r="G544">
        <v>10000</v>
      </c>
      <c r="H544">
        <v>373628.12273588928</v>
      </c>
      <c r="I544">
        <v>37.336571203192406</v>
      </c>
    </row>
    <row r="545" spans="1:9" x14ac:dyDescent="0.2">
      <c r="A545">
        <v>540</v>
      </c>
      <c r="B545">
        <v>1411785.8813368229</v>
      </c>
      <c r="C545">
        <v>117683.91757713913</v>
      </c>
      <c r="D545">
        <v>104689.20104104509</v>
      </c>
      <c r="E545">
        <v>131381.06859583419</v>
      </c>
      <c r="F545">
        <v>45095.612441250058</v>
      </c>
      <c r="G545">
        <v>10000</v>
      </c>
      <c r="H545">
        <v>388849.79965526849</v>
      </c>
      <c r="I545">
        <v>32.439908794148792</v>
      </c>
    </row>
    <row r="546" spans="1:9" x14ac:dyDescent="0.2">
      <c r="A546">
        <v>541</v>
      </c>
      <c r="B546">
        <v>1590001.0143109302</v>
      </c>
      <c r="C546">
        <v>155364.21012627249</v>
      </c>
      <c r="D546">
        <v>73257.308287706619</v>
      </c>
      <c r="E546">
        <v>171216.98906743072</v>
      </c>
      <c r="F546">
        <v>47853.483858514432</v>
      </c>
      <c r="G546">
        <v>10000</v>
      </c>
      <c r="H546">
        <v>437691.99133992428</v>
      </c>
      <c r="I546">
        <v>37.882371182882039</v>
      </c>
    </row>
    <row r="547" spans="1:9" x14ac:dyDescent="0.2">
      <c r="A547">
        <v>542</v>
      </c>
      <c r="B547">
        <v>1479164.8468769905</v>
      </c>
      <c r="C547">
        <v>106260.9921870465</v>
      </c>
      <c r="D547">
        <v>73358.415212231266</v>
      </c>
      <c r="E547">
        <v>188636.99603829678</v>
      </c>
      <c r="F547">
        <v>49059.484341112853</v>
      </c>
      <c r="G547">
        <v>10000</v>
      </c>
      <c r="H547">
        <v>407315.88777868741</v>
      </c>
      <c r="I547">
        <v>49.352520559130092</v>
      </c>
    </row>
    <row r="548" spans="1:9" x14ac:dyDescent="0.2">
      <c r="A548">
        <v>543</v>
      </c>
      <c r="B548">
        <v>1382650.9467071609</v>
      </c>
      <c r="C548">
        <v>141790.52764285394</v>
      </c>
      <c r="D548">
        <v>83797.373457524722</v>
      </c>
      <c r="E548">
        <v>120906.62913250303</v>
      </c>
      <c r="F548">
        <v>44370.458939942517</v>
      </c>
      <c r="G548">
        <v>10000</v>
      </c>
      <c r="H548">
        <v>380864.98917282419</v>
      </c>
      <c r="I548">
        <v>39.029256406259179</v>
      </c>
    </row>
    <row r="549" spans="1:9" x14ac:dyDescent="0.2">
      <c r="A549">
        <v>544</v>
      </c>
      <c r="B549">
        <v>1677526.4598074993</v>
      </c>
      <c r="C549">
        <v>116702.33133106866</v>
      </c>
      <c r="D549">
        <v>142359.06817335472</v>
      </c>
      <c r="E549">
        <v>165182.38324059447</v>
      </c>
      <c r="F549">
        <v>47435.703455118084</v>
      </c>
      <c r="G549">
        <v>10000</v>
      </c>
      <c r="H549">
        <v>461679.4862001359</v>
      </c>
      <c r="I549">
        <v>42.256924458581111</v>
      </c>
    </row>
    <row r="550" spans="1:9" x14ac:dyDescent="0.2">
      <c r="A550">
        <v>545</v>
      </c>
      <c r="B550">
        <v>1181204.9978410695</v>
      </c>
      <c r="C550">
        <v>130439.81396287047</v>
      </c>
      <c r="D550">
        <v>51668.640309370225</v>
      </c>
      <c r="E550">
        <v>109936.63594054653</v>
      </c>
      <c r="F550">
        <v>43610.997872807064</v>
      </c>
      <c r="G550">
        <v>10000</v>
      </c>
      <c r="H550">
        <v>325656.0880855943</v>
      </c>
      <c r="I550">
        <v>30.022757548460717</v>
      </c>
    </row>
    <row r="551" spans="1:9" x14ac:dyDescent="0.2">
      <c r="A551">
        <v>546</v>
      </c>
      <c r="B551">
        <v>1820344.9496604421</v>
      </c>
      <c r="C551">
        <v>112261.85262395875</v>
      </c>
      <c r="D551">
        <v>157250.11777294884</v>
      </c>
      <c r="E551">
        <v>192015.4186332135</v>
      </c>
      <c r="F551">
        <v>49293.375136145551</v>
      </c>
      <c r="G551">
        <v>10000</v>
      </c>
      <c r="H551">
        <v>500820.76416626666</v>
      </c>
      <c r="I551">
        <v>54.62223091822986</v>
      </c>
    </row>
    <row r="552" spans="1:9" x14ac:dyDescent="0.2">
      <c r="A552">
        <v>547</v>
      </c>
      <c r="B552">
        <v>986763.73385893507</v>
      </c>
      <c r="C552">
        <v>120029.67096100395</v>
      </c>
      <c r="D552">
        <v>84843.499449496929</v>
      </c>
      <c r="E552">
        <v>38807.097055967613</v>
      </c>
      <c r="F552">
        <v>38686.645180797757</v>
      </c>
      <c r="G552">
        <v>10000</v>
      </c>
      <c r="H552">
        <v>272366.91264726629</v>
      </c>
      <c r="I552">
        <v>32.249369247665314</v>
      </c>
    </row>
    <row r="553" spans="1:9" x14ac:dyDescent="0.2">
      <c r="A553">
        <v>548</v>
      </c>
      <c r="B553">
        <v>1012577.8586190215</v>
      </c>
      <c r="C553">
        <v>112182.67592232498</v>
      </c>
      <c r="D553">
        <v>43852.452183284549</v>
      </c>
      <c r="E553">
        <v>91099.588958839115</v>
      </c>
      <c r="F553">
        <v>42306.894620227322</v>
      </c>
      <c r="G553">
        <v>10000</v>
      </c>
      <c r="H553">
        <v>279441.61168467597</v>
      </c>
      <c r="I553">
        <v>41.450419712964063</v>
      </c>
    </row>
    <row r="554" spans="1:9" x14ac:dyDescent="0.2">
      <c r="A554">
        <v>549</v>
      </c>
      <c r="B554">
        <v>1354035.6559024972</v>
      </c>
      <c r="C554">
        <v>113621.94433624941</v>
      </c>
      <c r="D554">
        <v>95773.85382124134</v>
      </c>
      <c r="E554">
        <v>128715.70823678331</v>
      </c>
      <c r="F554">
        <v>44911.087493315768</v>
      </c>
      <c r="G554">
        <v>10000</v>
      </c>
      <c r="H554">
        <v>373022.59388758981</v>
      </c>
      <c r="I554">
        <v>33.497550998351073</v>
      </c>
    </row>
    <row r="555" spans="1:9" x14ac:dyDescent="0.2">
      <c r="A555">
        <v>550</v>
      </c>
      <c r="B555">
        <v>1552449.0197135019</v>
      </c>
      <c r="C555">
        <v>128096.46820405313</v>
      </c>
      <c r="D555">
        <v>95416.605166691152</v>
      </c>
      <c r="E555">
        <v>166369.41908524625</v>
      </c>
      <c r="F555">
        <v>47517.88285974782</v>
      </c>
      <c r="G555">
        <v>10000</v>
      </c>
      <c r="H555">
        <v>427400.37531573832</v>
      </c>
      <c r="I555">
        <v>42.754798255981029</v>
      </c>
    </row>
    <row r="556" spans="1:9" x14ac:dyDescent="0.2">
      <c r="A556">
        <v>551</v>
      </c>
      <c r="B556">
        <v>1361660.0867065766</v>
      </c>
      <c r="C556">
        <v>154850.75243498629</v>
      </c>
      <c r="D556">
        <v>67670.849566148783</v>
      </c>
      <c r="E556">
        <v>118394.05548913902</v>
      </c>
      <c r="F556">
        <v>44196.511533863471</v>
      </c>
      <c r="G556">
        <v>10000</v>
      </c>
      <c r="H556">
        <v>375112.16902413755</v>
      </c>
      <c r="I556">
        <v>38.690927221018931</v>
      </c>
    </row>
    <row r="557" spans="1:9" x14ac:dyDescent="0.2">
      <c r="A557">
        <v>552</v>
      </c>
      <c r="B557">
        <v>1197608.9183557765</v>
      </c>
      <c r="C557">
        <v>131590.9016505077</v>
      </c>
      <c r="D557">
        <v>117271.97979359231</v>
      </c>
      <c r="E557">
        <v>51709.058071875435</v>
      </c>
      <c r="F557">
        <v>39579.857866514452</v>
      </c>
      <c r="G557">
        <v>10000</v>
      </c>
      <c r="H557">
        <v>330151.79738248989</v>
      </c>
      <c r="I557">
        <v>33.89237783611442</v>
      </c>
    </row>
    <row r="558" spans="1:9" x14ac:dyDescent="0.2">
      <c r="A558">
        <v>553</v>
      </c>
      <c r="B558">
        <v>1282707.2430734979</v>
      </c>
      <c r="C558">
        <v>136105.27421042064</v>
      </c>
      <c r="D558">
        <v>79808.80788048009</v>
      </c>
      <c r="E558">
        <v>104336.71487871475</v>
      </c>
      <c r="F558">
        <v>43223.31103006487</v>
      </c>
      <c r="G558">
        <v>10000</v>
      </c>
      <c r="H558">
        <v>353474.10799968039</v>
      </c>
      <c r="I558">
        <v>36.109661377449342</v>
      </c>
    </row>
    <row r="559" spans="1:9" x14ac:dyDescent="0.2">
      <c r="A559">
        <v>554</v>
      </c>
      <c r="B559">
        <v>1119874.3820262817</v>
      </c>
      <c r="C559">
        <v>102497.67715717587</v>
      </c>
      <c r="D559">
        <v>106566.78022581736</v>
      </c>
      <c r="E559">
        <v>69005.84436383014</v>
      </c>
      <c r="F559">
        <v>40777.327686726705</v>
      </c>
      <c r="G559">
        <v>10000</v>
      </c>
      <c r="H559">
        <v>308847.62943355006</v>
      </c>
      <c r="I559">
        <v>38.527181704411333</v>
      </c>
    </row>
    <row r="560" spans="1:9" x14ac:dyDescent="0.2">
      <c r="A560">
        <v>555</v>
      </c>
      <c r="B560">
        <v>1188139.4052309368</v>
      </c>
      <c r="C560">
        <v>119262.80243242037</v>
      </c>
      <c r="D560">
        <v>53837.864086185044</v>
      </c>
      <c r="E560">
        <v>120138.5991168809</v>
      </c>
      <c r="F560">
        <v>44317.287631168678</v>
      </c>
      <c r="G560">
        <v>10000</v>
      </c>
      <c r="H560">
        <v>327556.55326665501</v>
      </c>
      <c r="I560">
        <v>42.447062677842581</v>
      </c>
    </row>
    <row r="561" spans="1:9" x14ac:dyDescent="0.2">
      <c r="A561">
        <v>556</v>
      </c>
      <c r="B561">
        <v>1397373.5568753828</v>
      </c>
      <c r="C561">
        <v>108640.09200950964</v>
      </c>
      <c r="D561">
        <v>144819.51061073967</v>
      </c>
      <c r="E561">
        <v>98613.24024643212</v>
      </c>
      <c r="F561">
        <v>42827.07047859914</v>
      </c>
      <c r="G561">
        <v>10000</v>
      </c>
      <c r="H561">
        <v>384899.91334528057</v>
      </c>
      <c r="I561">
        <v>32.480029851943314</v>
      </c>
    </row>
    <row r="562" spans="1:9" x14ac:dyDescent="0.2">
      <c r="A562">
        <v>557</v>
      </c>
      <c r="B562">
        <v>884023.02826044231</v>
      </c>
      <c r="C562">
        <v>111129.7996121012</v>
      </c>
      <c r="D562">
        <v>73285.169422071514</v>
      </c>
      <c r="E562">
        <v>31606.373839240536</v>
      </c>
      <c r="F562">
        <v>38188.13357348588</v>
      </c>
      <c r="G562">
        <v>10000</v>
      </c>
      <c r="H562">
        <v>244209.47644689912</v>
      </c>
      <c r="I562">
        <v>43.542177176524696</v>
      </c>
    </row>
    <row r="563" spans="1:9" x14ac:dyDescent="0.2">
      <c r="A563">
        <v>558</v>
      </c>
      <c r="B563">
        <v>1479680.6863488154</v>
      </c>
      <c r="C563">
        <v>98661.533644686191</v>
      </c>
      <c r="D563">
        <v>72943.503432228943</v>
      </c>
      <c r="E563">
        <v>196264.66924173315</v>
      </c>
      <c r="F563">
        <v>49587.554024427678</v>
      </c>
      <c r="G563">
        <v>10000</v>
      </c>
      <c r="H563">
        <v>407457.26034307596</v>
      </c>
      <c r="I563">
        <v>44.553254002064506</v>
      </c>
    </row>
    <row r="564" spans="1:9" x14ac:dyDescent="0.2">
      <c r="A564">
        <v>559</v>
      </c>
      <c r="B564">
        <v>1352655.7844101992</v>
      </c>
      <c r="C564">
        <v>120752.77747521087</v>
      </c>
      <c r="D564">
        <v>72118.368057387997</v>
      </c>
      <c r="E564">
        <v>143816.73341462793</v>
      </c>
      <c r="F564">
        <v>45956.543082551165</v>
      </c>
      <c r="G564">
        <v>10000</v>
      </c>
      <c r="H564">
        <v>372644.42202977795</v>
      </c>
      <c r="I564">
        <v>35.255651832869496</v>
      </c>
    </row>
    <row r="565" spans="1:9" x14ac:dyDescent="0.2">
      <c r="A565">
        <v>560</v>
      </c>
      <c r="B565">
        <v>892573.93466808181</v>
      </c>
      <c r="C565">
        <v>121095.76579707568</v>
      </c>
      <c r="D565">
        <v>61546.566731757201</v>
      </c>
      <c r="E565">
        <v>35455.986603549834</v>
      </c>
      <c r="F565">
        <v>38454.645226399603</v>
      </c>
      <c r="G565">
        <v>10000</v>
      </c>
      <c r="H565">
        <v>246552.96435878234</v>
      </c>
      <c r="I565">
        <v>25.660911972195258</v>
      </c>
    </row>
    <row r="566" spans="1:9" x14ac:dyDescent="0.2">
      <c r="A566">
        <v>561</v>
      </c>
      <c r="B566">
        <v>1065894.2025933629</v>
      </c>
      <c r="C566">
        <v>135448.42673488081</v>
      </c>
      <c r="D566">
        <v>47907.205438138459</v>
      </c>
      <c r="E566">
        <v>79213.977395568989</v>
      </c>
      <c r="F566">
        <v>41484.044588924007</v>
      </c>
      <c r="G566">
        <v>10000</v>
      </c>
      <c r="H566">
        <v>294053.65415751224</v>
      </c>
      <c r="I566">
        <v>57.018192841696425</v>
      </c>
    </row>
    <row r="567" spans="1:9" x14ac:dyDescent="0.2">
      <c r="A567">
        <v>562</v>
      </c>
      <c r="B567">
        <v>1696754.5647365518</v>
      </c>
      <c r="C567">
        <v>128038.02992841355</v>
      </c>
      <c r="D567">
        <v>93562.060354512185</v>
      </c>
      <c r="E567">
        <v>205146.64959136458</v>
      </c>
      <c r="F567">
        <v>50202.460356325239</v>
      </c>
      <c r="G567">
        <v>10000</v>
      </c>
      <c r="H567">
        <v>466949.20023061556</v>
      </c>
      <c r="I567">
        <v>46.932023474537175</v>
      </c>
    </row>
    <row r="568" spans="1:9" x14ac:dyDescent="0.2">
      <c r="A568">
        <v>563</v>
      </c>
      <c r="B568">
        <v>1108295.8542512981</v>
      </c>
      <c r="C568">
        <v>109858.42251594328</v>
      </c>
      <c r="D568">
        <v>110616.92894154704</v>
      </c>
      <c r="E568">
        <v>55365.999999542808</v>
      </c>
      <c r="F568">
        <v>39833.030769199118</v>
      </c>
      <c r="G568">
        <v>10000</v>
      </c>
      <c r="H568">
        <v>305674.38222623226</v>
      </c>
      <c r="I568">
        <v>46.62502811222614</v>
      </c>
    </row>
    <row r="569" spans="1:9" x14ac:dyDescent="0.2">
      <c r="A569">
        <v>564</v>
      </c>
      <c r="B569">
        <v>1075049.4150180938</v>
      </c>
      <c r="C569">
        <v>91471.593811540937</v>
      </c>
      <c r="D569">
        <v>147512.93297383882</v>
      </c>
      <c r="E569">
        <v>29533.599455524767</v>
      </c>
      <c r="F569">
        <v>38044.633808459403</v>
      </c>
      <c r="G569">
        <v>10000</v>
      </c>
      <c r="H569">
        <v>296562.76004936389</v>
      </c>
      <c r="I569">
        <v>27.498673001072476</v>
      </c>
    </row>
    <row r="570" spans="1:9" x14ac:dyDescent="0.2">
      <c r="A570">
        <v>565</v>
      </c>
      <c r="B570">
        <v>1432590.6436799578</v>
      </c>
      <c r="C570">
        <v>116489.31954549454</v>
      </c>
      <c r="D570">
        <v>49213.929340144896</v>
      </c>
      <c r="E570">
        <v>189714.30139770216</v>
      </c>
      <c r="F570">
        <v>49134.067019840921</v>
      </c>
      <c r="G570">
        <v>10000</v>
      </c>
      <c r="H570">
        <v>394551.61730318249</v>
      </c>
      <c r="I570">
        <v>36.811846130954549</v>
      </c>
    </row>
    <row r="571" spans="1:9" x14ac:dyDescent="0.2">
      <c r="A571">
        <v>566</v>
      </c>
      <c r="B571">
        <v>1643185.2200652934</v>
      </c>
      <c r="C571">
        <v>125262.79342416432</v>
      </c>
      <c r="D571">
        <v>90290.334783874059</v>
      </c>
      <c r="E571">
        <v>197071.2941100756</v>
      </c>
      <c r="F571">
        <v>49643.397284543695</v>
      </c>
      <c r="G571">
        <v>10000</v>
      </c>
      <c r="H571">
        <v>452267.81960265769</v>
      </c>
      <c r="I571">
        <v>32.441036095047764</v>
      </c>
    </row>
    <row r="572" spans="1:9" x14ac:dyDescent="0.2">
      <c r="A572">
        <v>567</v>
      </c>
      <c r="B572">
        <v>1826152.8523150492</v>
      </c>
      <c r="C572">
        <v>139994.98754726877</v>
      </c>
      <c r="D572">
        <v>114802.50599779395</v>
      </c>
      <c r="E572">
        <v>207265.82960438076</v>
      </c>
      <c r="F572">
        <v>50349.172818764826</v>
      </c>
      <c r="G572">
        <v>10000</v>
      </c>
      <c r="H572">
        <v>502412.4959682083</v>
      </c>
      <c r="I572">
        <v>29.201722829808947</v>
      </c>
    </row>
    <row r="573" spans="1:9" x14ac:dyDescent="0.2">
      <c r="A573">
        <v>568</v>
      </c>
      <c r="B573">
        <v>1275496.0721820612</v>
      </c>
      <c r="C573">
        <v>137645.8081097957</v>
      </c>
      <c r="D573">
        <v>102528.52771961519</v>
      </c>
      <c r="E573">
        <v>79798.915988528766</v>
      </c>
      <c r="F573">
        <v>41524.540337667371</v>
      </c>
      <c r="G573">
        <v>10000</v>
      </c>
      <c r="H573">
        <v>351497.79215560702</v>
      </c>
      <c r="I573">
        <v>29.512291651317451</v>
      </c>
    </row>
    <row r="574" spans="1:9" x14ac:dyDescent="0.2">
      <c r="A574">
        <v>569</v>
      </c>
      <c r="B574">
        <v>1352845.2246162652</v>
      </c>
      <c r="C574">
        <v>107335.36651559974</v>
      </c>
      <c r="D574">
        <v>71334.336929681012</v>
      </c>
      <c r="E574">
        <v>157147.21460493107</v>
      </c>
      <c r="F574">
        <v>46879.422549572148</v>
      </c>
      <c r="G574">
        <v>10000</v>
      </c>
      <c r="H574">
        <v>372696.34059978399</v>
      </c>
      <c r="I574">
        <v>34.789207068854736</v>
      </c>
    </row>
    <row r="575" spans="1:9" x14ac:dyDescent="0.2">
      <c r="A575">
        <v>570</v>
      </c>
      <c r="B575">
        <v>1217975.0424284255</v>
      </c>
      <c r="C575">
        <v>115579.51355476679</v>
      </c>
      <c r="D575">
        <v>50244.007062668628</v>
      </c>
      <c r="E575">
        <v>134591.97395957919</v>
      </c>
      <c r="F575">
        <v>45317.905889509326</v>
      </c>
      <c r="G575">
        <v>10000</v>
      </c>
      <c r="H575">
        <v>335733.40046652389</v>
      </c>
      <c r="I575">
        <v>40.036702140995033</v>
      </c>
    </row>
    <row r="576" spans="1:9" x14ac:dyDescent="0.2">
      <c r="A576">
        <v>571</v>
      </c>
      <c r="B576">
        <v>1149225.7947643613</v>
      </c>
      <c r="C576">
        <v>117680.40875060305</v>
      </c>
      <c r="D576">
        <v>94247.249325315279</v>
      </c>
      <c r="E576">
        <v>73851.326368215101</v>
      </c>
      <c r="F576">
        <v>41112.784133184126</v>
      </c>
      <c r="G576">
        <v>10000</v>
      </c>
      <c r="H576">
        <v>316891.76857731753</v>
      </c>
      <c r="I576">
        <v>38.180440962362667</v>
      </c>
    </row>
    <row r="577" spans="1:9" x14ac:dyDescent="0.2">
      <c r="A577">
        <v>572</v>
      </c>
      <c r="B577">
        <v>1032210.7478989841</v>
      </c>
      <c r="C577">
        <v>101920.83946888952</v>
      </c>
      <c r="D577">
        <v>128894.66096128053</v>
      </c>
      <c r="E577">
        <v>26193.374288033279</v>
      </c>
      <c r="F577">
        <v>37813.387450709997</v>
      </c>
      <c r="G577">
        <v>10000</v>
      </c>
      <c r="H577">
        <v>284822.26216891332</v>
      </c>
      <c r="I577">
        <v>37.460593301532043</v>
      </c>
    </row>
    <row r="578" spans="1:9" x14ac:dyDescent="0.2">
      <c r="A578">
        <v>573</v>
      </c>
      <c r="B578">
        <v>1250440.567964169</v>
      </c>
      <c r="C578">
        <v>148761.90444193626</v>
      </c>
      <c r="D578">
        <v>134454.61877771217</v>
      </c>
      <c r="E578">
        <v>33121.455923880385</v>
      </c>
      <c r="F578">
        <v>38293.023871653255</v>
      </c>
      <c r="G578">
        <v>10000</v>
      </c>
      <c r="H578">
        <v>344631.00301518204</v>
      </c>
      <c r="I578">
        <v>41.75299287514153</v>
      </c>
    </row>
    <row r="579" spans="1:9" x14ac:dyDescent="0.2">
      <c r="A579">
        <v>574</v>
      </c>
      <c r="B579">
        <v>1584235.5740978867</v>
      </c>
      <c r="C579">
        <v>95231.154580737028</v>
      </c>
      <c r="D579">
        <v>100390.15140802343</v>
      </c>
      <c r="E579">
        <v>200602.71094879799</v>
      </c>
      <c r="F579">
        <v>49887.879988762943</v>
      </c>
      <c r="G579">
        <v>10000</v>
      </c>
      <c r="H579">
        <v>436111.89692632138</v>
      </c>
      <c r="I579">
        <v>38.428550515506515</v>
      </c>
    </row>
    <row r="580" spans="1:9" x14ac:dyDescent="0.2">
      <c r="A580">
        <v>575</v>
      </c>
      <c r="B580">
        <v>1697871.2034817697</v>
      </c>
      <c r="C580">
        <v>170122.43097245554</v>
      </c>
      <c r="D580">
        <v>104933.78163816468</v>
      </c>
      <c r="E580">
        <v>155437.92965748021</v>
      </c>
      <c r="F580">
        <v>46761.087437825547</v>
      </c>
      <c r="G580">
        <v>10000</v>
      </c>
      <c r="H580">
        <v>467255.22970592597</v>
      </c>
      <c r="I580">
        <v>36.946267532944532</v>
      </c>
    </row>
    <row r="581" spans="1:9" x14ac:dyDescent="0.2">
      <c r="A581">
        <v>576</v>
      </c>
      <c r="B581">
        <v>1312387.3920714343</v>
      </c>
      <c r="C581">
        <v>131285.64232591895</v>
      </c>
      <c r="D581">
        <v>68457.752915177334</v>
      </c>
      <c r="E581">
        <v>127067.93546385122</v>
      </c>
      <c r="F581">
        <v>44797.010916728155</v>
      </c>
      <c r="G581">
        <v>10000</v>
      </c>
      <c r="H581">
        <v>361608.34162167565</v>
      </c>
      <c r="I581">
        <v>25.937093818960165</v>
      </c>
    </row>
    <row r="582" spans="1:9" x14ac:dyDescent="0.2">
      <c r="A582">
        <v>577</v>
      </c>
      <c r="B582">
        <v>1382292.0003140757</v>
      </c>
      <c r="C582">
        <v>108591.34081671103</v>
      </c>
      <c r="D582">
        <v>57600.277030856836</v>
      </c>
      <c r="E582">
        <v>176365.10544861239</v>
      </c>
      <c r="F582">
        <v>48209.891915673164</v>
      </c>
      <c r="G582">
        <v>10000</v>
      </c>
      <c r="H582">
        <v>380766.61521185341</v>
      </c>
      <c r="I582">
        <v>35.79643940157704</v>
      </c>
    </row>
    <row r="583" spans="1:9" x14ac:dyDescent="0.2">
      <c r="A583">
        <v>578</v>
      </c>
      <c r="B583">
        <v>1212149.0319720982</v>
      </c>
      <c r="C583">
        <v>106609.38368612052</v>
      </c>
      <c r="D583">
        <v>122854.90390651817</v>
      </c>
      <c r="E583">
        <v>73578.520797976598</v>
      </c>
      <c r="F583">
        <v>41093.897593706075</v>
      </c>
      <c r="G583">
        <v>10000</v>
      </c>
      <c r="H583">
        <v>334136.70598432136</v>
      </c>
      <c r="I583">
        <v>24.939574040485827</v>
      </c>
    </row>
    <row r="584" spans="1:9" x14ac:dyDescent="0.2">
      <c r="A584">
        <v>579</v>
      </c>
      <c r="B584">
        <v>1570752.4003255491</v>
      </c>
      <c r="C584">
        <v>99733.143635322616</v>
      </c>
      <c r="D584">
        <v>91698.816210586083</v>
      </c>
      <c r="E584">
        <v>201064.82424057071</v>
      </c>
      <c r="F584">
        <v>49919.872447424124</v>
      </c>
      <c r="G584">
        <v>10000</v>
      </c>
      <c r="H584">
        <v>432416.6565339035</v>
      </c>
      <c r="I584">
        <v>34.529673815465472</v>
      </c>
    </row>
    <row r="585" spans="1:9" x14ac:dyDescent="0.2">
      <c r="A585">
        <v>580</v>
      </c>
      <c r="B585">
        <v>1387183.2857058309</v>
      </c>
      <c r="C585">
        <v>137025.77888289906</v>
      </c>
      <c r="D585">
        <v>80397.564555285688</v>
      </c>
      <c r="E585">
        <v>129704.26646761749</v>
      </c>
      <c r="F585">
        <v>44979.526140065827</v>
      </c>
      <c r="G585">
        <v>10000</v>
      </c>
      <c r="H585">
        <v>382107.13604586804</v>
      </c>
      <c r="I585">
        <v>28.384817909627248</v>
      </c>
    </row>
    <row r="586" spans="1:9" x14ac:dyDescent="0.2">
      <c r="A586">
        <v>581</v>
      </c>
      <c r="B586">
        <v>1561879.6096414411</v>
      </c>
      <c r="C586">
        <v>89322.83830746969</v>
      </c>
      <c r="D586">
        <v>141887.52630275363</v>
      </c>
      <c r="E586">
        <v>161587.74362027671</v>
      </c>
      <c r="F586">
        <v>47186.843789096078</v>
      </c>
      <c r="G586">
        <v>10000</v>
      </c>
      <c r="H586">
        <v>429984.95201959612</v>
      </c>
      <c r="I586">
        <v>40.607699212033502</v>
      </c>
    </row>
    <row r="587" spans="1:9" x14ac:dyDescent="0.2">
      <c r="A587">
        <v>582</v>
      </c>
      <c r="B587">
        <v>861911.14842936117</v>
      </c>
      <c r="C587">
        <v>108907.43090678082</v>
      </c>
      <c r="D587">
        <v>50542.771310873504</v>
      </c>
      <c r="E587">
        <v>49287.043945949132</v>
      </c>
      <c r="F587">
        <v>39412.179965488787</v>
      </c>
      <c r="G587">
        <v>10000</v>
      </c>
      <c r="H587">
        <v>238149.42612909223</v>
      </c>
      <c r="I587">
        <v>28.596761211419285</v>
      </c>
    </row>
    <row r="588" spans="1:9" x14ac:dyDescent="0.2">
      <c r="A588">
        <v>583</v>
      </c>
      <c r="B588">
        <v>1391827.6840486128</v>
      </c>
      <c r="C588">
        <v>133694.13255622317</v>
      </c>
      <c r="D588">
        <v>70323.550021810384</v>
      </c>
      <c r="E588">
        <v>143432.37782276273</v>
      </c>
      <c r="F588">
        <v>45929.933849268193</v>
      </c>
      <c r="G588">
        <v>10000</v>
      </c>
      <c r="H588">
        <v>383379.99425006442</v>
      </c>
      <c r="I588">
        <v>30.242351773935134</v>
      </c>
    </row>
    <row r="589" spans="1:9" x14ac:dyDescent="0.2">
      <c r="A589">
        <v>584</v>
      </c>
      <c r="B589">
        <v>1412358.0521552362</v>
      </c>
      <c r="C589">
        <v>149034.41233008404</v>
      </c>
      <c r="D589">
        <v>60679.066414679939</v>
      </c>
      <c r="E589">
        <v>143367.67724016155</v>
      </c>
      <c r="F589">
        <v>45925.45457816503</v>
      </c>
      <c r="G589">
        <v>10000</v>
      </c>
      <c r="H589">
        <v>389006.61056309059</v>
      </c>
      <c r="I589">
        <v>49.784624764334879</v>
      </c>
    </row>
    <row r="590" spans="1:9" x14ac:dyDescent="0.2">
      <c r="A590">
        <v>585</v>
      </c>
      <c r="B590">
        <v>1224121.5043313554</v>
      </c>
      <c r="C590">
        <v>80207.126181716871</v>
      </c>
      <c r="D590">
        <v>92291.355450616276</v>
      </c>
      <c r="E590">
        <v>129924.65352728835</v>
      </c>
      <c r="F590">
        <v>44994.783705735346</v>
      </c>
      <c r="G590">
        <v>10000</v>
      </c>
      <c r="H590">
        <v>337417.91886535683</v>
      </c>
      <c r="I590">
        <v>24.829402335066494</v>
      </c>
    </row>
    <row r="591" spans="1:9" x14ac:dyDescent="0.2">
      <c r="A591">
        <v>586</v>
      </c>
      <c r="B591">
        <v>1465623.9205634994</v>
      </c>
      <c r="C591">
        <v>118581.8748199098</v>
      </c>
      <c r="D591">
        <v>66932.624335067725</v>
      </c>
      <c r="E591">
        <v>179652.81763175005</v>
      </c>
      <c r="F591">
        <v>48437.502759121155</v>
      </c>
      <c r="G591">
        <v>10000</v>
      </c>
      <c r="H591">
        <v>403604.81954584876</v>
      </c>
      <c r="I591">
        <v>42.591436594984359</v>
      </c>
    </row>
    <row r="592" spans="1:9" x14ac:dyDescent="0.2">
      <c r="A592">
        <v>587</v>
      </c>
      <c r="B592">
        <v>1234927.6289680679</v>
      </c>
      <c r="C592">
        <v>101118.79599342485</v>
      </c>
      <c r="D592">
        <v>81610.454140069225</v>
      </c>
      <c r="E592">
        <v>123126.11321119292</v>
      </c>
      <c r="F592">
        <v>44524.115530005663</v>
      </c>
      <c r="G592">
        <v>10000</v>
      </c>
      <c r="H592">
        <v>340379.47887469269</v>
      </c>
      <c r="I592">
        <v>29.744631374525859</v>
      </c>
    </row>
    <row r="593" spans="1:9" x14ac:dyDescent="0.2">
      <c r="A593">
        <v>588</v>
      </c>
      <c r="B593">
        <v>1598918.7491469195</v>
      </c>
      <c r="C593">
        <v>152346.74870056991</v>
      </c>
      <c r="D593">
        <v>77720.976628903576</v>
      </c>
      <c r="E593">
        <v>172150.19746461403</v>
      </c>
      <c r="F593">
        <v>47918.090593704044</v>
      </c>
      <c r="G593">
        <v>10000</v>
      </c>
      <c r="H593">
        <v>440136.01338779158</v>
      </c>
      <c r="I593">
        <v>38.391870793516631</v>
      </c>
    </row>
    <row r="594" spans="1:9" x14ac:dyDescent="0.2">
      <c r="A594">
        <v>589</v>
      </c>
      <c r="B594">
        <v>1167216.4265601356</v>
      </c>
      <c r="C594">
        <v>101034.24622600857</v>
      </c>
      <c r="D594">
        <v>70812.586416720151</v>
      </c>
      <c r="E594">
        <v>115948.31332066457</v>
      </c>
      <c r="F594">
        <v>44027.190922199858</v>
      </c>
      <c r="G594">
        <v>10000</v>
      </c>
      <c r="H594">
        <v>321822.33688559313</v>
      </c>
      <c r="I594">
        <v>39.918345771094266</v>
      </c>
    </row>
    <row r="595" spans="1:9" x14ac:dyDescent="0.2">
      <c r="A595">
        <v>590</v>
      </c>
      <c r="B595">
        <v>1351509.7647008386</v>
      </c>
      <c r="C595">
        <v>140741.83581927067</v>
      </c>
      <c r="D595">
        <v>106340.47801599393</v>
      </c>
      <c r="E595">
        <v>92821.895270102497</v>
      </c>
      <c r="F595">
        <v>42426.131211007094</v>
      </c>
      <c r="G595">
        <v>10000</v>
      </c>
      <c r="H595">
        <v>372330.34031637415</v>
      </c>
      <c r="I595">
        <v>49.005145177343145</v>
      </c>
    </row>
    <row r="596" spans="1:9" x14ac:dyDescent="0.2">
      <c r="A596">
        <v>591</v>
      </c>
      <c r="B596">
        <v>1573084.1370018045</v>
      </c>
      <c r="C596">
        <v>96612.189888667461</v>
      </c>
      <c r="D596">
        <v>95308.731070219277</v>
      </c>
      <c r="E596">
        <v>201205.18857685974</v>
      </c>
      <c r="F596">
        <v>49929.589978397984</v>
      </c>
      <c r="G596">
        <v>10000</v>
      </c>
      <c r="H596">
        <v>433055.69951414451</v>
      </c>
      <c r="I596">
        <v>33.979665253981011</v>
      </c>
    </row>
    <row r="597" spans="1:9" x14ac:dyDescent="0.2">
      <c r="A597">
        <v>592</v>
      </c>
      <c r="B597">
        <v>1697278.4782350073</v>
      </c>
      <c r="C597">
        <v>156907.11328469461</v>
      </c>
      <c r="D597">
        <v>147766.02654528551</v>
      </c>
      <c r="E597">
        <v>127586.71905404462</v>
      </c>
      <c r="F597">
        <v>44832.926703741556</v>
      </c>
      <c r="G597">
        <v>10000</v>
      </c>
      <c r="H597">
        <v>467092.78558776627</v>
      </c>
      <c r="I597">
        <v>31.664565464927744</v>
      </c>
    </row>
    <row r="598" spans="1:9" x14ac:dyDescent="0.2">
      <c r="A598">
        <v>593</v>
      </c>
      <c r="B598">
        <v>1783813.149806547</v>
      </c>
      <c r="C598">
        <v>114860.96416091867</v>
      </c>
      <c r="D598">
        <v>129547.67770607599</v>
      </c>
      <c r="E598">
        <v>206129.59367690794</v>
      </c>
      <c r="F598">
        <v>50270.510331478246</v>
      </c>
      <c r="G598">
        <v>10000</v>
      </c>
      <c r="H598">
        <v>490808.74587538088</v>
      </c>
      <c r="I598">
        <v>44.514907471846072</v>
      </c>
    </row>
    <row r="599" spans="1:9" x14ac:dyDescent="0.2">
      <c r="A599">
        <v>594</v>
      </c>
      <c r="B599">
        <v>1285598.5457781577</v>
      </c>
      <c r="C599">
        <v>134565.74732818545</v>
      </c>
      <c r="D599">
        <v>76540.490031477952</v>
      </c>
      <c r="E599">
        <v>109574.3532563621</v>
      </c>
      <c r="F599">
        <v>43585.916763901994</v>
      </c>
      <c r="G599">
        <v>10000</v>
      </c>
      <c r="H599">
        <v>354266.5073799275</v>
      </c>
      <c r="I599">
        <v>32.194887780829973</v>
      </c>
    </row>
    <row r="600" spans="1:9" x14ac:dyDescent="0.2">
      <c r="A600">
        <v>595</v>
      </c>
      <c r="B600">
        <v>938845.81678826944</v>
      </c>
      <c r="C600">
        <v>105846.2508187154</v>
      </c>
      <c r="D600">
        <v>36423.363952792999</v>
      </c>
      <c r="E600">
        <v>85074.960082675068</v>
      </c>
      <c r="F600">
        <v>41889.804928800586</v>
      </c>
      <c r="G600">
        <v>10000</v>
      </c>
      <c r="H600">
        <v>259234.37978298403</v>
      </c>
      <c r="I600">
        <v>45.570838381295246</v>
      </c>
    </row>
    <row r="601" spans="1:9" x14ac:dyDescent="0.2">
      <c r="A601">
        <v>596</v>
      </c>
      <c r="B601">
        <v>1372416.9522972279</v>
      </c>
      <c r="C601">
        <v>134320.41917181443</v>
      </c>
      <c r="D601">
        <v>111104.64671051729</v>
      </c>
      <c r="E601">
        <v>99730.728045757249</v>
      </c>
      <c r="F601">
        <v>42904.435018552424</v>
      </c>
      <c r="G601">
        <v>10000</v>
      </c>
      <c r="H601">
        <v>378060.22894664138</v>
      </c>
      <c r="I601">
        <v>47.25117498917529</v>
      </c>
    </row>
    <row r="602" spans="1:9" x14ac:dyDescent="0.2">
      <c r="A602">
        <v>597</v>
      </c>
      <c r="B602">
        <v>1534041.4536585554</v>
      </c>
      <c r="C602">
        <v>117204.94122543656</v>
      </c>
      <c r="D602">
        <v>96557.508217030831</v>
      </c>
      <c r="E602">
        <v>170770.51701484897</v>
      </c>
      <c r="F602">
        <v>47822.574254874155</v>
      </c>
      <c r="G602">
        <v>10000</v>
      </c>
      <c r="H602">
        <v>422355.5407121905</v>
      </c>
      <c r="I602">
        <v>45.256416627637925</v>
      </c>
    </row>
    <row r="603" spans="1:9" x14ac:dyDescent="0.2">
      <c r="A603">
        <v>598</v>
      </c>
      <c r="B603">
        <v>899063.18800194666</v>
      </c>
      <c r="C603">
        <v>87197.25150857307</v>
      </c>
      <c r="D603">
        <v>68201.007182232395</v>
      </c>
      <c r="E603">
        <v>62599.368139151011</v>
      </c>
      <c r="F603">
        <v>40333.802409633528</v>
      </c>
      <c r="G603">
        <v>10000</v>
      </c>
      <c r="H603">
        <v>248331.42923959001</v>
      </c>
      <c r="I603">
        <v>42.724011162322753</v>
      </c>
    </row>
    <row r="604" spans="1:9" x14ac:dyDescent="0.2">
      <c r="A604">
        <v>599</v>
      </c>
      <c r="B604">
        <v>1100346.6926619138</v>
      </c>
      <c r="C604">
        <v>118904.78094526766</v>
      </c>
      <c r="D604">
        <v>69077.612400073005</v>
      </c>
      <c r="E604">
        <v>83717.584262267308</v>
      </c>
      <c r="F604">
        <v>41795.832756618503</v>
      </c>
      <c r="G604">
        <v>10000</v>
      </c>
      <c r="H604">
        <v>303495.81036422646</v>
      </c>
      <c r="I604">
        <v>34.63270799077786</v>
      </c>
    </row>
    <row r="605" spans="1:9" x14ac:dyDescent="0.2">
      <c r="A605">
        <v>600</v>
      </c>
      <c r="B605">
        <v>876328.83799834608</v>
      </c>
      <c r="C605">
        <v>85665.856482837611</v>
      </c>
      <c r="D605">
        <v>66238.426149467137</v>
      </c>
      <c r="E605">
        <v>60039.892259144159</v>
      </c>
      <c r="F605">
        <v>40156.607925633056</v>
      </c>
      <c r="G605">
        <v>10000</v>
      </c>
      <c r="H605">
        <v>242100.78281708198</v>
      </c>
      <c r="I605">
        <v>43.91114186795086</v>
      </c>
    </row>
    <row r="606" spans="1:9" x14ac:dyDescent="0.2">
      <c r="A606">
        <v>601</v>
      </c>
      <c r="B606">
        <v>1556219.5909954759</v>
      </c>
      <c r="C606">
        <v>104312.71352343931</v>
      </c>
      <c r="D606">
        <v>79846.236550154252</v>
      </c>
      <c r="E606">
        <v>204141.89899420695</v>
      </c>
      <c r="F606">
        <v>50132.900699598948</v>
      </c>
      <c r="G606">
        <v>10000</v>
      </c>
      <c r="H606">
        <v>428433.74976739945</v>
      </c>
      <c r="I606">
        <v>46.307171051649036</v>
      </c>
    </row>
    <row r="607" spans="1:9" x14ac:dyDescent="0.2">
      <c r="A607">
        <v>602</v>
      </c>
      <c r="B607">
        <v>959868.87822273432</v>
      </c>
      <c r="C607">
        <v>110241.82174353604</v>
      </c>
      <c r="D607">
        <v>74141.867951393069</v>
      </c>
      <c r="E607">
        <v>51076.284964004699</v>
      </c>
      <c r="F607">
        <v>39536.050497508011</v>
      </c>
      <c r="G607">
        <v>10000</v>
      </c>
      <c r="H607">
        <v>264996.02515644184</v>
      </c>
      <c r="I607">
        <v>32.498172400235177</v>
      </c>
    </row>
    <row r="608" spans="1:9" x14ac:dyDescent="0.2">
      <c r="A608">
        <v>603</v>
      </c>
      <c r="B608">
        <v>1497219.9235281991</v>
      </c>
      <c r="C608">
        <v>117043.27200012443</v>
      </c>
      <c r="D608">
        <v>60817.929910082523</v>
      </c>
      <c r="E608">
        <v>194909.20213931031</v>
      </c>
      <c r="F608">
        <v>49493.713994259939</v>
      </c>
      <c r="G608">
        <v>10000</v>
      </c>
      <c r="H608">
        <v>412264.11804377718</v>
      </c>
      <c r="I608">
        <v>33.881933140892187</v>
      </c>
    </row>
    <row r="609" spans="1:9" x14ac:dyDescent="0.2">
      <c r="A609">
        <v>604</v>
      </c>
      <c r="B609">
        <v>776237.89002091018</v>
      </c>
      <c r="C609">
        <v>111495.68574085922</v>
      </c>
      <c r="D609">
        <v>36700.262348107033</v>
      </c>
      <c r="E609">
        <v>37853.006552440653</v>
      </c>
      <c r="F609">
        <v>38620.592761322812</v>
      </c>
      <c r="G609">
        <v>10000</v>
      </c>
      <c r="H609">
        <v>214669.54740272969</v>
      </c>
      <c r="I609">
        <v>36.245511059087342</v>
      </c>
    </row>
    <row r="610" spans="1:9" x14ac:dyDescent="0.2">
      <c r="A610">
        <v>605</v>
      </c>
      <c r="B610">
        <v>1601732.0664333571</v>
      </c>
      <c r="C610">
        <v>105139.86499729651</v>
      </c>
      <c r="D610">
        <v>103198.84056202999</v>
      </c>
      <c r="E610">
        <v>193193.40616423209</v>
      </c>
      <c r="F610">
        <v>49374.928119062221</v>
      </c>
      <c r="G610">
        <v>10000</v>
      </c>
      <c r="H610">
        <v>440907.03984262084</v>
      </c>
      <c r="I610">
        <v>36.751493194221183</v>
      </c>
    </row>
    <row r="611" spans="1:9" x14ac:dyDescent="0.2">
      <c r="A611">
        <v>606</v>
      </c>
      <c r="B611">
        <v>743787.93299284822</v>
      </c>
      <c r="C611">
        <v>78412.614989142123</v>
      </c>
      <c r="D611">
        <v>73165.311247808015</v>
      </c>
      <c r="E611">
        <v>26372.497109183048</v>
      </c>
      <c r="F611">
        <v>37825.788261404981</v>
      </c>
      <c r="G611">
        <v>10000</v>
      </c>
      <c r="H611">
        <v>205776.21160753819</v>
      </c>
      <c r="I611">
        <v>46.150926729589941</v>
      </c>
    </row>
    <row r="612" spans="1:9" x14ac:dyDescent="0.2">
      <c r="A612">
        <v>607</v>
      </c>
      <c r="B612">
        <v>966308.72412644816</v>
      </c>
      <c r="C612">
        <v>107972.9186754106</v>
      </c>
      <c r="D612">
        <v>83314.827793298944</v>
      </c>
      <c r="E612">
        <v>46269.901913407033</v>
      </c>
      <c r="F612">
        <v>39203.30090169741</v>
      </c>
      <c r="G612">
        <v>10000</v>
      </c>
      <c r="H612">
        <v>266760.949283814</v>
      </c>
      <c r="I612">
        <v>46.975689458957874</v>
      </c>
    </row>
    <row r="613" spans="1:9" x14ac:dyDescent="0.2">
      <c r="A613">
        <v>608</v>
      </c>
      <c r="B613">
        <v>1200900.4626866409</v>
      </c>
      <c r="C613">
        <v>104004.53149736412</v>
      </c>
      <c r="D613">
        <v>96280.840651814142</v>
      </c>
      <c r="E613">
        <v>97984.943090889108</v>
      </c>
      <c r="F613">
        <v>42783.572983215396</v>
      </c>
      <c r="G613">
        <v>10000</v>
      </c>
      <c r="H613">
        <v>331053.88822328276</v>
      </c>
      <c r="I613">
        <v>34.398904773828022</v>
      </c>
    </row>
    <row r="614" spans="1:9" x14ac:dyDescent="0.2">
      <c r="A614">
        <v>609</v>
      </c>
      <c r="B614">
        <v>989512.91259499395</v>
      </c>
      <c r="C614">
        <v>86405.674053567011</v>
      </c>
      <c r="D614">
        <v>90440.238787491035</v>
      </c>
      <c r="E614">
        <v>65724.304119767621</v>
      </c>
      <c r="F614">
        <v>40550.144131368528</v>
      </c>
      <c r="G614">
        <v>10000</v>
      </c>
      <c r="H614">
        <v>273120.36109219422</v>
      </c>
      <c r="I614">
        <v>47.742037439770577</v>
      </c>
    </row>
    <row r="615" spans="1:9" x14ac:dyDescent="0.2">
      <c r="A615">
        <v>610</v>
      </c>
      <c r="B615">
        <v>1449767.6199703333</v>
      </c>
      <c r="C615">
        <v>111694.60956908701</v>
      </c>
      <c r="D615">
        <v>87154.127139684351</v>
      </c>
      <c r="E615">
        <v>163117.69261802259</v>
      </c>
      <c r="F615">
        <v>47292.76333509387</v>
      </c>
      <c r="G615">
        <v>10000</v>
      </c>
      <c r="H615">
        <v>399259.19266188785</v>
      </c>
      <c r="I615">
        <v>45.394100172036573</v>
      </c>
    </row>
    <row r="616" spans="1:9" x14ac:dyDescent="0.2">
      <c r="A616">
        <v>611</v>
      </c>
      <c r="B616">
        <v>1321296.4872453827</v>
      </c>
      <c r="C616">
        <v>123718.02355929074</v>
      </c>
      <c r="D616">
        <v>140139.24487142591</v>
      </c>
      <c r="E616">
        <v>69388.881765576763</v>
      </c>
      <c r="F616">
        <v>40803.845660693776</v>
      </c>
      <c r="G616">
        <v>10000</v>
      </c>
      <c r="H616">
        <v>364049.9958569872</v>
      </c>
      <c r="I616">
        <v>33.889917128710536</v>
      </c>
    </row>
    <row r="617" spans="1:9" x14ac:dyDescent="0.2">
      <c r="A617">
        <v>612</v>
      </c>
      <c r="B617">
        <v>1685913.6658272711</v>
      </c>
      <c r="C617">
        <v>145394.5046685405</v>
      </c>
      <c r="D617">
        <v>136087.35281143492</v>
      </c>
      <c r="E617">
        <v>146363.40152180201</v>
      </c>
      <c r="F617">
        <v>46132.850874586293</v>
      </c>
      <c r="G617">
        <v>10000</v>
      </c>
      <c r="H617">
        <v>463978.10987636377</v>
      </c>
      <c r="I617">
        <v>29.677652221469749</v>
      </c>
    </row>
    <row r="618" spans="1:9" x14ac:dyDescent="0.2">
      <c r="A618">
        <v>613</v>
      </c>
      <c r="B618">
        <v>1221660.8654411347</v>
      </c>
      <c r="C618">
        <v>107759.24836619625</v>
      </c>
      <c r="D618">
        <v>44473.476304254902</v>
      </c>
      <c r="E618">
        <v>148247.53311994154</v>
      </c>
      <c r="F618">
        <v>46263.290754457492</v>
      </c>
      <c r="G618">
        <v>10000</v>
      </c>
      <c r="H618">
        <v>336743.54854485014</v>
      </c>
      <c r="I618">
        <v>36.961880562820561</v>
      </c>
    </row>
    <row r="619" spans="1:9" x14ac:dyDescent="0.2">
      <c r="A619">
        <v>614</v>
      </c>
      <c r="B619">
        <v>1383447.0034531469</v>
      </c>
      <c r="C619">
        <v>141754.20043989568</v>
      </c>
      <c r="D619">
        <v>149245.1254829526</v>
      </c>
      <c r="E619">
        <v>59934.520099062611</v>
      </c>
      <c r="F619">
        <v>40149.312929935106</v>
      </c>
      <c r="G619">
        <v>10000</v>
      </c>
      <c r="H619">
        <v>381083.15895184601</v>
      </c>
      <c r="I619">
        <v>26.275731928902538</v>
      </c>
    </row>
    <row r="620" spans="1:9" x14ac:dyDescent="0.2">
      <c r="A620">
        <v>615</v>
      </c>
      <c r="B620">
        <v>1844334.6892574406</v>
      </c>
      <c r="C620">
        <v>97636.911971970228</v>
      </c>
      <c r="D620">
        <v>166673.8841379215</v>
      </c>
      <c r="E620">
        <v>203028.82847063211</v>
      </c>
      <c r="F620">
        <v>50055.841971043759</v>
      </c>
      <c r="G620">
        <v>10000</v>
      </c>
      <c r="H620">
        <v>507395.46655156754</v>
      </c>
      <c r="I620">
        <v>24.783477749301834</v>
      </c>
    </row>
    <row r="621" spans="1:9" x14ac:dyDescent="0.2">
      <c r="A621">
        <v>616</v>
      </c>
      <c r="B621">
        <v>1205663.3661030764</v>
      </c>
      <c r="C621">
        <v>153714.32119539432</v>
      </c>
      <c r="D621">
        <v>107224.85431200836</v>
      </c>
      <c r="E621">
        <v>42479.18231956684</v>
      </c>
      <c r="F621">
        <v>38940.866468277709</v>
      </c>
      <c r="G621">
        <v>10000</v>
      </c>
      <c r="H621">
        <v>332359.22429524723</v>
      </c>
      <c r="I621">
        <v>33.467728970564394</v>
      </c>
    </row>
    <row r="622" spans="1:9" x14ac:dyDescent="0.2">
      <c r="A622">
        <v>617</v>
      </c>
      <c r="B622">
        <v>1542216.9489199498</v>
      </c>
      <c r="C622">
        <v>129976.40389475826</v>
      </c>
      <c r="D622">
        <v>60627.475494786791</v>
      </c>
      <c r="E622">
        <v>194525.13795680657</v>
      </c>
      <c r="F622">
        <v>49467.124935471227</v>
      </c>
      <c r="G622">
        <v>10000</v>
      </c>
      <c r="H622">
        <v>424596.14228182286</v>
      </c>
      <c r="I622">
        <v>29.250306024294012</v>
      </c>
    </row>
    <row r="623" spans="1:9" x14ac:dyDescent="0.2">
      <c r="A623">
        <v>618</v>
      </c>
      <c r="B623">
        <v>1025741.4510159334</v>
      </c>
      <c r="C623">
        <v>140685.68949807089</v>
      </c>
      <c r="D623">
        <v>85578.893717624887</v>
      </c>
      <c r="E623">
        <v>28791.430517210272</v>
      </c>
      <c r="F623">
        <v>37993.252881960711</v>
      </c>
      <c r="G623">
        <v>10000</v>
      </c>
      <c r="H623">
        <v>283049.26661486679</v>
      </c>
      <c r="I623">
        <v>32.357302280669401</v>
      </c>
    </row>
    <row r="624" spans="1:9" x14ac:dyDescent="0.2">
      <c r="A624">
        <v>619</v>
      </c>
      <c r="B624">
        <v>1092207.1803151148</v>
      </c>
      <c r="C624">
        <v>107033.76063391614</v>
      </c>
      <c r="D624">
        <v>83275.186661495245</v>
      </c>
      <c r="E624">
        <v>79455.36691709506</v>
      </c>
      <c r="F624">
        <v>41500.756171183508</v>
      </c>
      <c r="G624">
        <v>10000</v>
      </c>
      <c r="H624">
        <v>301265.07038368989</v>
      </c>
      <c r="I624">
        <v>30.881487114152726</v>
      </c>
    </row>
    <row r="625" spans="1:9" x14ac:dyDescent="0.2">
      <c r="A625">
        <v>620</v>
      </c>
      <c r="B625">
        <v>1331845.4235717584</v>
      </c>
      <c r="C625">
        <v>164891.50419539257</v>
      </c>
      <c r="D625">
        <v>112887.05516490192</v>
      </c>
      <c r="E625">
        <v>59072.851715663972</v>
      </c>
      <c r="F625">
        <v>40089.658964930582</v>
      </c>
      <c r="G625">
        <v>10000</v>
      </c>
      <c r="H625">
        <v>366941.07004088903</v>
      </c>
      <c r="I625">
        <v>26.916631970601259</v>
      </c>
    </row>
    <row r="626" spans="1:9" x14ac:dyDescent="0.2">
      <c r="A626">
        <v>621</v>
      </c>
      <c r="B626">
        <v>1863603.8018505662</v>
      </c>
      <c r="C626">
        <v>140478.76077893501</v>
      </c>
      <c r="D626">
        <v>168720.3174932035</v>
      </c>
      <c r="E626">
        <v>165986.00237168738</v>
      </c>
      <c r="F626">
        <v>47491.338625732205</v>
      </c>
      <c r="G626">
        <v>10000</v>
      </c>
      <c r="H626">
        <v>512676.4192695581</v>
      </c>
      <c r="I626">
        <v>40.146256073324665</v>
      </c>
    </row>
    <row r="627" spans="1:9" x14ac:dyDescent="0.2">
      <c r="A627">
        <v>622</v>
      </c>
      <c r="B627">
        <v>1429945.5933871665</v>
      </c>
      <c r="C627">
        <v>136115.34750629915</v>
      </c>
      <c r="D627">
        <v>163046.33190639887</v>
      </c>
      <c r="E627">
        <v>64219.09019588244</v>
      </c>
      <c r="F627">
        <v>40445.937013561095</v>
      </c>
      <c r="G627">
        <v>10000</v>
      </c>
      <c r="H627">
        <v>393826.70662214153</v>
      </c>
      <c r="I627">
        <v>37.101636456217662</v>
      </c>
    </row>
    <row r="628" spans="1:9" x14ac:dyDescent="0.2">
      <c r="A628">
        <v>623</v>
      </c>
      <c r="B628">
        <v>1652687.4207706116</v>
      </c>
      <c r="C628">
        <v>118714.0832858502</v>
      </c>
      <c r="D628">
        <v>94751.484684130017</v>
      </c>
      <c r="E628">
        <v>201459.27371983085</v>
      </c>
      <c r="F628">
        <v>49947.180488295984</v>
      </c>
      <c r="G628">
        <v>10000</v>
      </c>
      <c r="H628">
        <v>454872.02217810706</v>
      </c>
      <c r="I628">
        <v>34.944324360591665</v>
      </c>
    </row>
    <row r="629" spans="1:9" x14ac:dyDescent="0.2">
      <c r="A629">
        <v>624</v>
      </c>
      <c r="B629">
        <v>1445981.1737115036</v>
      </c>
      <c r="C629">
        <v>128001.04741159531</v>
      </c>
      <c r="D629">
        <v>56971.058773716708</v>
      </c>
      <c r="E629">
        <v>175125.30191613184</v>
      </c>
      <c r="F629">
        <v>48124.059363424516</v>
      </c>
      <c r="G629">
        <v>10000</v>
      </c>
      <c r="H629">
        <v>398221.46746486844</v>
      </c>
      <c r="I629">
        <v>31.390383804226786</v>
      </c>
    </row>
    <row r="630" spans="1:9" x14ac:dyDescent="0.2">
      <c r="A630">
        <v>625</v>
      </c>
      <c r="B630">
        <v>1345853.1558654504</v>
      </c>
      <c r="C630">
        <v>160884.99078518723</v>
      </c>
      <c r="D630">
        <v>108449.99924773192</v>
      </c>
      <c r="E630">
        <v>70560.149132997874</v>
      </c>
      <c r="F630">
        <v>40884.933401515234</v>
      </c>
      <c r="G630">
        <v>10000</v>
      </c>
      <c r="H630">
        <v>370780.0725674323</v>
      </c>
      <c r="I630">
        <v>37.034645539299078</v>
      </c>
    </row>
    <row r="631" spans="1:9" x14ac:dyDescent="0.2">
      <c r="A631">
        <v>626</v>
      </c>
      <c r="B631">
        <v>1146952.3010538514</v>
      </c>
      <c r="C631">
        <v>113351.50416327405</v>
      </c>
      <c r="D631">
        <v>83704.423987592381</v>
      </c>
      <c r="E631">
        <v>87177.401152582097</v>
      </c>
      <c r="F631">
        <v>42035.358541332607</v>
      </c>
      <c r="G631">
        <v>10000</v>
      </c>
      <c r="H631">
        <v>316268.68784478109</v>
      </c>
      <c r="I631">
        <v>28.801486362400652</v>
      </c>
    </row>
    <row r="632" spans="1:9" x14ac:dyDescent="0.2">
      <c r="A632">
        <v>627</v>
      </c>
      <c r="B632">
        <v>1606396.6028928582</v>
      </c>
      <c r="C632">
        <v>124615.33660053642</v>
      </c>
      <c r="D632">
        <v>147222.71909759231</v>
      </c>
      <c r="E632">
        <v>135001.12942617392</v>
      </c>
      <c r="F632">
        <v>45346.232037196656</v>
      </c>
      <c r="G632">
        <v>10000</v>
      </c>
      <c r="H632">
        <v>442185.41716149932</v>
      </c>
      <c r="I632">
        <v>35.237275856737867</v>
      </c>
    </row>
    <row r="633" spans="1:9" x14ac:dyDescent="0.2">
      <c r="A633">
        <v>628</v>
      </c>
      <c r="B633">
        <v>1475790.2477872665</v>
      </c>
      <c r="C633">
        <v>137799.52580805891</v>
      </c>
      <c r="D633">
        <v>55997.039004306469</v>
      </c>
      <c r="E633">
        <v>174512.81355768067</v>
      </c>
      <c r="F633">
        <v>48081.656323224051</v>
      </c>
      <c r="G633">
        <v>10000</v>
      </c>
      <c r="H633">
        <v>406391.03469327011</v>
      </c>
      <c r="I633">
        <v>26.255425091654985</v>
      </c>
    </row>
    <row r="634" spans="1:9" x14ac:dyDescent="0.2">
      <c r="A634">
        <v>629</v>
      </c>
      <c r="B634">
        <v>1280771.8721560717</v>
      </c>
      <c r="C634">
        <v>97005.293159538036</v>
      </c>
      <c r="D634">
        <v>100343.45481628361</v>
      </c>
      <c r="E634">
        <v>121203.90658526575</v>
      </c>
      <c r="F634">
        <v>44391.039686672244</v>
      </c>
      <c r="G634">
        <v>10000</v>
      </c>
      <c r="H634">
        <v>352943.69424775965</v>
      </c>
      <c r="I634">
        <v>24.205838450760126</v>
      </c>
    </row>
    <row r="635" spans="1:9" x14ac:dyDescent="0.2">
      <c r="A635">
        <v>630</v>
      </c>
      <c r="B635">
        <v>1439830.1522894928</v>
      </c>
      <c r="C635">
        <v>133233.90580922217</v>
      </c>
      <c r="D635">
        <v>122465.50765356403</v>
      </c>
      <c r="E635">
        <v>107400.84302842758</v>
      </c>
      <c r="F635">
        <v>43435.442978891137</v>
      </c>
      <c r="G635">
        <v>10000</v>
      </c>
      <c r="H635">
        <v>396535.69947010488</v>
      </c>
      <c r="I635">
        <v>27.405227131674668</v>
      </c>
    </row>
    <row r="636" spans="1:9" x14ac:dyDescent="0.2">
      <c r="A636">
        <v>631</v>
      </c>
      <c r="B636">
        <v>1235332.9534341679</v>
      </c>
      <c r="C636">
        <v>133562.62801569657</v>
      </c>
      <c r="D636">
        <v>108025.82940141793</v>
      </c>
      <c r="E636">
        <v>68181.825696454966</v>
      </c>
      <c r="F636">
        <v>40720.280240523804</v>
      </c>
      <c r="G636">
        <v>10000</v>
      </c>
      <c r="H636">
        <v>340490.56335409329</v>
      </c>
      <c r="I636">
        <v>38.06719598020414</v>
      </c>
    </row>
    <row r="637" spans="1:9" x14ac:dyDescent="0.2">
      <c r="A637">
        <v>632</v>
      </c>
      <c r="B637">
        <v>1205910.4021625991</v>
      </c>
      <c r="C637">
        <v>117556.41517042543</v>
      </c>
      <c r="D637">
        <v>44141.0670635774</v>
      </c>
      <c r="E637">
        <v>135358.47423608787</v>
      </c>
      <c r="F637">
        <v>45370.971293267619</v>
      </c>
      <c r="G637">
        <v>10000</v>
      </c>
      <c r="H637">
        <v>332426.92776335834</v>
      </c>
      <c r="I637">
        <v>27.319533455529701</v>
      </c>
    </row>
    <row r="638" spans="1:9" x14ac:dyDescent="0.2">
      <c r="A638">
        <v>633</v>
      </c>
      <c r="B638">
        <v>1328848.8399871811</v>
      </c>
      <c r="C638">
        <v>103105.3723140112</v>
      </c>
      <c r="D638">
        <v>79158.982629991966</v>
      </c>
      <c r="E638">
        <v>147634.60485331583</v>
      </c>
      <c r="F638">
        <v>46220.85725907571</v>
      </c>
      <c r="G638">
        <v>10000</v>
      </c>
      <c r="H638">
        <v>366119.81705639476</v>
      </c>
      <c r="I638">
        <v>35.044170208757109</v>
      </c>
    </row>
    <row r="639" spans="1:9" x14ac:dyDescent="0.2">
      <c r="A639">
        <v>634</v>
      </c>
      <c r="B639">
        <v>1160585.1940545607</v>
      </c>
      <c r="C639">
        <v>106565.85880615648</v>
      </c>
      <c r="D639">
        <v>111586.50243056053</v>
      </c>
      <c r="E639">
        <v>70941.280123096425</v>
      </c>
      <c r="F639">
        <v>40911.319393137448</v>
      </c>
      <c r="G639">
        <v>10000</v>
      </c>
      <c r="H639">
        <v>320004.96075295092</v>
      </c>
      <c r="I639">
        <v>35.712219777392889</v>
      </c>
    </row>
    <row r="640" spans="1:9" x14ac:dyDescent="0.2">
      <c r="A640">
        <v>635</v>
      </c>
      <c r="B640">
        <v>892996.39613169676</v>
      </c>
      <c r="C640">
        <v>102215.81066755744</v>
      </c>
      <c r="D640">
        <v>57190.46627822968</v>
      </c>
      <c r="E640">
        <v>57295.833859252962</v>
      </c>
      <c r="F640">
        <v>39966.634651794433</v>
      </c>
      <c r="G640">
        <v>10000</v>
      </c>
      <c r="H640">
        <v>246668.74545683456</v>
      </c>
      <c r="I640">
        <v>55.220186252825911</v>
      </c>
    </row>
    <row r="641" spans="1:9" x14ac:dyDescent="0.2">
      <c r="A641">
        <v>636</v>
      </c>
      <c r="B641">
        <v>1436385.847184605</v>
      </c>
      <c r="C641">
        <v>86066.875063068117</v>
      </c>
      <c r="D641">
        <v>84848.696379567118</v>
      </c>
      <c r="E641">
        <v>185812.24634830633</v>
      </c>
      <c r="F641">
        <v>48863.924747190438</v>
      </c>
      <c r="G641">
        <v>10000</v>
      </c>
      <c r="H641">
        <v>395591.74253813201</v>
      </c>
      <c r="I641">
        <v>33.420959597215798</v>
      </c>
    </row>
    <row r="642" spans="1:9" x14ac:dyDescent="0.2">
      <c r="A642">
        <v>637</v>
      </c>
      <c r="B642">
        <v>1048887.4514014244</v>
      </c>
      <c r="C642">
        <v>144218.79986185572</v>
      </c>
      <c r="D642">
        <v>89930.039048341656</v>
      </c>
      <c r="E642">
        <v>27350.402876737491</v>
      </c>
      <c r="F642">
        <v>37893.489429927984</v>
      </c>
      <c r="G642">
        <v>10000</v>
      </c>
      <c r="H642">
        <v>289392.73121686286</v>
      </c>
      <c r="I642">
        <v>42.140660280637832</v>
      </c>
    </row>
    <row r="643" spans="1:9" x14ac:dyDescent="0.2">
      <c r="A643">
        <v>638</v>
      </c>
      <c r="B643">
        <v>955239.29405296582</v>
      </c>
      <c r="C643">
        <v>91247.0045305815</v>
      </c>
      <c r="D643">
        <v>103798.02086507836</v>
      </c>
      <c r="E643">
        <v>39918.605789339352</v>
      </c>
      <c r="F643">
        <v>38763.595785415797</v>
      </c>
      <c r="G643">
        <v>10000</v>
      </c>
      <c r="H643">
        <v>263727.22697041498</v>
      </c>
      <c r="I643">
        <v>33.991422439061651</v>
      </c>
    </row>
    <row r="644" spans="1:9" x14ac:dyDescent="0.2">
      <c r="A644">
        <v>639</v>
      </c>
      <c r="B644">
        <v>1196236.0465879606</v>
      </c>
      <c r="C644">
        <v>93157.440059940753</v>
      </c>
      <c r="D644">
        <v>72799.785178871563</v>
      </c>
      <c r="E644">
        <v>128894.83039400498</v>
      </c>
      <c r="F644">
        <v>44923.488258046498</v>
      </c>
      <c r="G644">
        <v>10000</v>
      </c>
      <c r="H644">
        <v>329775.54389086383</v>
      </c>
      <c r="I644">
        <v>30.388864995174973</v>
      </c>
    </row>
    <row r="645" spans="1:9" x14ac:dyDescent="0.2">
      <c r="A645">
        <v>640</v>
      </c>
      <c r="B645">
        <v>1560206.3862121943</v>
      </c>
      <c r="C645">
        <v>117320.71672787446</v>
      </c>
      <c r="D645">
        <v>102680.40730608437</v>
      </c>
      <c r="E645">
        <v>171642.32873585631</v>
      </c>
      <c r="F645">
        <v>47882.930450943903</v>
      </c>
      <c r="G645">
        <v>10000</v>
      </c>
      <c r="H645">
        <v>429526.38322075899</v>
      </c>
      <c r="I645">
        <v>31.743778503864419</v>
      </c>
    </row>
    <row r="646" spans="1:9" x14ac:dyDescent="0.2">
      <c r="A646">
        <v>641</v>
      </c>
      <c r="B646">
        <v>912824.89704532421</v>
      </c>
      <c r="C646">
        <v>91695.575860131066</v>
      </c>
      <c r="D646">
        <v>59064.117968849976</v>
      </c>
      <c r="E646">
        <v>70464.968097462784</v>
      </c>
      <c r="F646">
        <v>40878.343945208959</v>
      </c>
      <c r="G646">
        <v>10000</v>
      </c>
      <c r="H646">
        <v>252103.0058716528</v>
      </c>
      <c r="I646">
        <v>40.43076765900831</v>
      </c>
    </row>
    <row r="647" spans="1:9" x14ac:dyDescent="0.2">
      <c r="A647">
        <v>642</v>
      </c>
      <c r="B647">
        <v>902457.47513840406</v>
      </c>
      <c r="C647">
        <v>81832.97981706413</v>
      </c>
      <c r="D647">
        <v>98951.690663180023</v>
      </c>
      <c r="E647">
        <v>39726.697766497193</v>
      </c>
      <c r="F647">
        <v>38750.309845372882</v>
      </c>
      <c r="G647">
        <v>10000</v>
      </c>
      <c r="H647">
        <v>249261.67809211425</v>
      </c>
      <c r="I647">
        <v>49.388495776233562</v>
      </c>
    </row>
    <row r="648" spans="1:9" x14ac:dyDescent="0.2">
      <c r="A648">
        <v>643</v>
      </c>
      <c r="B648">
        <v>1654895.441624972</v>
      </c>
      <c r="C648">
        <v>84091.439537142593</v>
      </c>
      <c r="D648">
        <v>165663.44651504816</v>
      </c>
      <c r="E648">
        <v>168085.57921866875</v>
      </c>
      <c r="F648">
        <v>47636.693945907835</v>
      </c>
      <c r="G648">
        <v>10000</v>
      </c>
      <c r="H648">
        <v>455477.15921676729</v>
      </c>
      <c r="I648">
        <v>41.419705302067342</v>
      </c>
    </row>
    <row r="649" spans="1:9" x14ac:dyDescent="0.2">
      <c r="A649">
        <v>644</v>
      </c>
      <c r="B649">
        <v>1629113.9784863493</v>
      </c>
      <c r="C649">
        <v>130887.05246354941</v>
      </c>
      <c r="D649">
        <v>131812.31719961931</v>
      </c>
      <c r="E649">
        <v>149370.97440274374</v>
      </c>
      <c r="F649">
        <v>46341.067458651487</v>
      </c>
      <c r="G649">
        <v>10000</v>
      </c>
      <c r="H649">
        <v>448411.41152456397</v>
      </c>
      <c r="I649">
        <v>34.798234613148409</v>
      </c>
    </row>
    <row r="650" spans="1:9" x14ac:dyDescent="0.2">
      <c r="A650">
        <v>645</v>
      </c>
      <c r="B650">
        <v>1076333.2973499754</v>
      </c>
      <c r="C650">
        <v>115050.20669156124</v>
      </c>
      <c r="D650">
        <v>32845.942340737376</v>
      </c>
      <c r="E650">
        <v>115053.25073704807</v>
      </c>
      <c r="F650">
        <v>43965.225051026406</v>
      </c>
      <c r="G650">
        <v>10000</v>
      </c>
      <c r="H650">
        <v>296914.62482037308</v>
      </c>
      <c r="I650">
        <v>28.22274347360004</v>
      </c>
    </row>
    <row r="651" spans="1:9" x14ac:dyDescent="0.2">
      <c r="A651">
        <v>646</v>
      </c>
      <c r="B651">
        <v>934042.8697891382</v>
      </c>
      <c r="C651">
        <v>111985.31747782855</v>
      </c>
      <c r="D651">
        <v>59701.858816209511</v>
      </c>
      <c r="E651">
        <v>56331.050959123197</v>
      </c>
      <c r="F651">
        <v>39899.841989477762</v>
      </c>
      <c r="G651">
        <v>10000</v>
      </c>
      <c r="H651">
        <v>257918.069242639</v>
      </c>
      <c r="I651">
        <v>41.896474033411764</v>
      </c>
    </row>
    <row r="652" spans="1:9" x14ac:dyDescent="0.2">
      <c r="A652">
        <v>647</v>
      </c>
      <c r="B652">
        <v>1031728.0570650804</v>
      </c>
      <c r="C652">
        <v>129177.71746862905</v>
      </c>
      <c r="D652">
        <v>99907.051572339784</v>
      </c>
      <c r="E652">
        <v>27688.321580289805</v>
      </c>
      <c r="F652">
        <v>37916.883801712371</v>
      </c>
      <c r="G652">
        <v>10000</v>
      </c>
      <c r="H652">
        <v>284689.97442297102</v>
      </c>
      <c r="I652">
        <v>48.363231249976522</v>
      </c>
    </row>
    <row r="653" spans="1:9" x14ac:dyDescent="0.2">
      <c r="A653">
        <v>648</v>
      </c>
      <c r="B653">
        <v>1024787.7385863811</v>
      </c>
      <c r="C653">
        <v>114100.33629273863</v>
      </c>
      <c r="D653">
        <v>49379.733387909175</v>
      </c>
      <c r="E653">
        <v>87266.306053897933</v>
      </c>
      <c r="F653">
        <v>42041.513496039086</v>
      </c>
      <c r="G653">
        <v>10000</v>
      </c>
      <c r="H653">
        <v>282787.88923058484</v>
      </c>
      <c r="I653">
        <v>32.856758019185733</v>
      </c>
    </row>
    <row r="654" spans="1:9" x14ac:dyDescent="0.2">
      <c r="A654">
        <v>649</v>
      </c>
      <c r="B654">
        <v>1216822.537788528</v>
      </c>
      <c r="C654">
        <v>118539.11126597226</v>
      </c>
      <c r="D654">
        <v>107741.25388826101</v>
      </c>
      <c r="E654">
        <v>77754.193679383272</v>
      </c>
      <c r="F654">
        <v>41382.982639341921</v>
      </c>
      <c r="G654">
        <v>10000</v>
      </c>
      <c r="H654">
        <v>335417.54147295846</v>
      </c>
      <c r="I654">
        <v>42.443039561608977</v>
      </c>
    </row>
    <row r="655" spans="1:9" x14ac:dyDescent="0.2">
      <c r="A655">
        <v>650</v>
      </c>
      <c r="B655">
        <v>1312169.8783863536</v>
      </c>
      <c r="C655">
        <v>82352.779589143785</v>
      </c>
      <c r="D655">
        <v>85203.282177782428</v>
      </c>
      <c r="E655">
        <v>157115.44431230181</v>
      </c>
      <c r="F655">
        <v>46877.223067774743</v>
      </c>
      <c r="G655">
        <v>10000</v>
      </c>
      <c r="H655">
        <v>361548.72914700274</v>
      </c>
      <c r="I655">
        <v>35.504393836010955</v>
      </c>
    </row>
    <row r="656" spans="1:9" x14ac:dyDescent="0.2">
      <c r="A656">
        <v>651</v>
      </c>
      <c r="B656">
        <v>1690014.1236312513</v>
      </c>
      <c r="C656">
        <v>129888.18350720161</v>
      </c>
      <c r="D656">
        <v>95795.405048645625</v>
      </c>
      <c r="E656">
        <v>199599.85405989923</v>
      </c>
      <c r="F656">
        <v>49818.451434916096</v>
      </c>
      <c r="G656">
        <v>10000</v>
      </c>
      <c r="H656">
        <v>465101.89405066258</v>
      </c>
      <c r="I656">
        <v>34.3010712020127</v>
      </c>
    </row>
    <row r="657" spans="1:9" x14ac:dyDescent="0.2">
      <c r="A657">
        <v>652</v>
      </c>
      <c r="B657">
        <v>998520.13529853045</v>
      </c>
      <c r="C657">
        <v>126631.76664419148</v>
      </c>
      <c r="D657">
        <v>54786.111102652438</v>
      </c>
      <c r="E657">
        <v>63757.079086482918</v>
      </c>
      <c r="F657">
        <v>40413.951629064206</v>
      </c>
      <c r="G657">
        <v>10000</v>
      </c>
      <c r="H657">
        <v>275588.90846239106</v>
      </c>
      <c r="I657">
        <v>31.673088205311785</v>
      </c>
    </row>
    <row r="658" spans="1:9" x14ac:dyDescent="0.2">
      <c r="A658">
        <v>653</v>
      </c>
      <c r="B658">
        <v>1190362.7633500411</v>
      </c>
      <c r="C658">
        <v>115072.22026088486</v>
      </c>
      <c r="D658">
        <v>85504.211013788095</v>
      </c>
      <c r="E658">
        <v>95011.727432833461</v>
      </c>
      <c r="F658">
        <v>42577.734976119238</v>
      </c>
      <c r="G658">
        <v>10000</v>
      </c>
      <c r="H658">
        <v>328165.89368362568</v>
      </c>
      <c r="I658">
        <v>36.391972964174286</v>
      </c>
    </row>
    <row r="659" spans="1:9" x14ac:dyDescent="0.2">
      <c r="A659">
        <v>654</v>
      </c>
      <c r="B659">
        <v>1071495.6452551978</v>
      </c>
      <c r="C659">
        <v>104622.58572926406</v>
      </c>
      <c r="D659">
        <v>124629.73069820035</v>
      </c>
      <c r="E659">
        <v>37724.771515421635</v>
      </c>
      <c r="F659">
        <v>38611.714951067654</v>
      </c>
      <c r="G659">
        <v>10000</v>
      </c>
      <c r="H659">
        <v>295588.80289395369</v>
      </c>
      <c r="I659">
        <v>45.373650136819379</v>
      </c>
    </row>
    <row r="660" spans="1:9" x14ac:dyDescent="0.2">
      <c r="A660">
        <v>655</v>
      </c>
      <c r="B660">
        <v>1354426.590678751</v>
      </c>
      <c r="C660">
        <v>116745.25158263517</v>
      </c>
      <c r="D660">
        <v>169696.13598229855</v>
      </c>
      <c r="E660">
        <v>56758.885794803871</v>
      </c>
      <c r="F660">
        <v>39929.461324255652</v>
      </c>
      <c r="G660">
        <v>10000</v>
      </c>
      <c r="H660">
        <v>373129.73468399327</v>
      </c>
      <c r="I660">
        <v>29.733460855460919</v>
      </c>
    </row>
    <row r="661" spans="1:9" x14ac:dyDescent="0.2">
      <c r="A661">
        <v>656</v>
      </c>
      <c r="B661">
        <v>1221398.6415212376</v>
      </c>
      <c r="C661">
        <v>80823.511838563281</v>
      </c>
      <c r="D661">
        <v>170244.58160618559</v>
      </c>
      <c r="E661">
        <v>55744.363999910449</v>
      </c>
      <c r="F661">
        <v>39859.225199993802</v>
      </c>
      <c r="G661">
        <v>10000</v>
      </c>
      <c r="H661">
        <v>336671.68264465313</v>
      </c>
      <c r="I661">
        <v>34.135146353177639</v>
      </c>
    </row>
    <row r="662" spans="1:9" x14ac:dyDescent="0.2">
      <c r="A662">
        <v>657</v>
      </c>
      <c r="B662">
        <v>1651826.8197145208</v>
      </c>
      <c r="C662">
        <v>129856.97158414805</v>
      </c>
      <c r="D662">
        <v>115266.71621601266</v>
      </c>
      <c r="E662">
        <v>171630.37266246878</v>
      </c>
      <c r="F662">
        <v>47882.102722786301</v>
      </c>
      <c r="G662">
        <v>10000</v>
      </c>
      <c r="H662">
        <v>454636.16318541585</v>
      </c>
      <c r="I662">
        <v>31.589961885054507</v>
      </c>
    </row>
    <row r="663" spans="1:9" x14ac:dyDescent="0.2">
      <c r="A663">
        <v>658</v>
      </c>
      <c r="B663">
        <v>1191476.2693050676</v>
      </c>
      <c r="C663">
        <v>116669.53535343934</v>
      </c>
      <c r="D663">
        <v>120774.56403574573</v>
      </c>
      <c r="E663">
        <v>60816.586146640453</v>
      </c>
      <c r="F663">
        <v>40210.37904092126</v>
      </c>
      <c r="G663">
        <v>10000</v>
      </c>
      <c r="H663">
        <v>328471.06457674684</v>
      </c>
      <c r="I663">
        <v>38.539777677888871</v>
      </c>
    </row>
    <row r="664" spans="1:9" x14ac:dyDescent="0.2">
      <c r="A664">
        <v>659</v>
      </c>
      <c r="B664">
        <v>1364081.0572481458</v>
      </c>
      <c r="C664">
        <v>124801.08551633816</v>
      </c>
      <c r="D664">
        <v>59853.5547211593</v>
      </c>
      <c r="E664">
        <v>154429.73792772851</v>
      </c>
      <c r="F664">
        <v>46691.289548842738</v>
      </c>
      <c r="G664">
        <v>10000</v>
      </c>
      <c r="H664">
        <v>375775.66771406872</v>
      </c>
      <c r="I664">
        <v>30.789352337570364</v>
      </c>
    </row>
    <row r="665" spans="1:9" x14ac:dyDescent="0.2">
      <c r="A665">
        <v>660</v>
      </c>
      <c r="B665">
        <v>1624461.5630081212</v>
      </c>
      <c r="C665">
        <v>115618.32156412078</v>
      </c>
      <c r="D665">
        <v>91296.510043404254</v>
      </c>
      <c r="E665">
        <v>200351.06609022382</v>
      </c>
      <c r="F665">
        <v>49870.458421630872</v>
      </c>
      <c r="G665">
        <v>10000</v>
      </c>
      <c r="H665">
        <v>447136.35611937975</v>
      </c>
      <c r="I665">
        <v>27.991978404232668</v>
      </c>
    </row>
    <row r="666" spans="1:9" x14ac:dyDescent="0.2">
      <c r="A666">
        <v>661</v>
      </c>
      <c r="B666">
        <v>1009486.9574384416</v>
      </c>
      <c r="C666">
        <v>97174.181813204428</v>
      </c>
      <c r="D666">
        <v>95656.570007855553</v>
      </c>
      <c r="E666">
        <v>55894.162070773986</v>
      </c>
      <c r="F666">
        <v>39869.595835668973</v>
      </c>
      <c r="G666">
        <v>10000</v>
      </c>
      <c r="H666">
        <v>278594.50972750294</v>
      </c>
      <c r="I666">
        <v>32.770984728028161</v>
      </c>
    </row>
    <row r="667" spans="1:9" x14ac:dyDescent="0.2">
      <c r="A667">
        <v>662</v>
      </c>
      <c r="B667">
        <v>1158171.3233837057</v>
      </c>
      <c r="C667">
        <v>135580.17186394898</v>
      </c>
      <c r="D667">
        <v>114179.45448405982</v>
      </c>
      <c r="E667">
        <v>40761.810061768789</v>
      </c>
      <c r="F667">
        <v>38821.971465814757</v>
      </c>
      <c r="G667">
        <v>10000</v>
      </c>
      <c r="H667">
        <v>319343.40787559235</v>
      </c>
      <c r="I667">
        <v>36.793643200810735</v>
      </c>
    </row>
    <row r="668" spans="1:9" x14ac:dyDescent="0.2">
      <c r="A668">
        <v>663</v>
      </c>
      <c r="B668">
        <v>1780923.9225452663</v>
      </c>
      <c r="C668">
        <v>111537.85881026232</v>
      </c>
      <c r="D668">
        <v>151171.96755422003</v>
      </c>
      <c r="E668">
        <v>188272.81698778775</v>
      </c>
      <c r="F668">
        <v>49034.271945308385</v>
      </c>
      <c r="G668">
        <v>10000</v>
      </c>
      <c r="H668">
        <v>490016.9152975785</v>
      </c>
      <c r="I668">
        <v>33.3410591960264</v>
      </c>
    </row>
    <row r="669" spans="1:9" x14ac:dyDescent="0.2">
      <c r="A669">
        <v>664</v>
      </c>
      <c r="B669">
        <v>1225494.6948466292</v>
      </c>
      <c r="C669">
        <v>111055.2385341303</v>
      </c>
      <c r="D669">
        <v>58712.601655181061</v>
      </c>
      <c r="E669">
        <v>132830.46430357127</v>
      </c>
      <c r="F669">
        <v>45195.955221016477</v>
      </c>
      <c r="G669">
        <v>10000</v>
      </c>
      <c r="H669">
        <v>337794.25971389911</v>
      </c>
      <c r="I669">
        <v>31.525241789716699</v>
      </c>
    </row>
    <row r="670" spans="1:9" x14ac:dyDescent="0.2">
      <c r="A670">
        <v>665</v>
      </c>
      <c r="B670">
        <v>1373089.1940025026</v>
      </c>
      <c r="C670">
        <v>85360.218656702098</v>
      </c>
      <c r="D670">
        <v>59827.260512739129</v>
      </c>
      <c r="E670">
        <v>193650.41895622486</v>
      </c>
      <c r="F670">
        <v>49406.567466200184</v>
      </c>
      <c r="G670">
        <v>10000</v>
      </c>
      <c r="H670">
        <v>378244.46559186629</v>
      </c>
      <c r="I670">
        <v>39.427019119112238</v>
      </c>
    </row>
    <row r="671" spans="1:9" x14ac:dyDescent="0.2">
      <c r="A671">
        <v>666</v>
      </c>
      <c r="B671">
        <v>1269130.8492736567</v>
      </c>
      <c r="C671">
        <v>98487.205535975023</v>
      </c>
      <c r="D671">
        <v>57891.857319322975</v>
      </c>
      <c r="E671">
        <v>156537.0745014413</v>
      </c>
      <c r="F671">
        <v>46837.18208086901</v>
      </c>
      <c r="G671">
        <v>10000</v>
      </c>
      <c r="H671">
        <v>349753.31943760824</v>
      </c>
      <c r="I671">
        <v>50.666724613778293</v>
      </c>
    </row>
    <row r="672" spans="1:9" x14ac:dyDescent="0.2">
      <c r="A672">
        <v>667</v>
      </c>
      <c r="B672">
        <v>1503126.3326340013</v>
      </c>
      <c r="C672">
        <v>124647.71655858224</v>
      </c>
      <c r="D672">
        <v>93719.149146226933</v>
      </c>
      <c r="E672">
        <v>158540.12623128964</v>
      </c>
      <c r="F672">
        <v>46975.854892935437</v>
      </c>
      <c r="G672">
        <v>10000</v>
      </c>
      <c r="H672">
        <v>413882.84682903421</v>
      </c>
      <c r="I672">
        <v>40.933664911353475</v>
      </c>
    </row>
    <row r="673" spans="1:9" x14ac:dyDescent="0.2">
      <c r="A673">
        <v>668</v>
      </c>
      <c r="B673">
        <v>1733704.7853196403</v>
      </c>
      <c r="C673">
        <v>132521.69441556555</v>
      </c>
      <c r="D673">
        <v>152109.5361393606</v>
      </c>
      <c r="E673">
        <v>155667.66916759507</v>
      </c>
      <c r="F673">
        <v>46776.992480833505</v>
      </c>
      <c r="G673">
        <v>10000</v>
      </c>
      <c r="H673">
        <v>477075.89220335468</v>
      </c>
      <c r="I673">
        <v>30.80952150724319</v>
      </c>
    </row>
    <row r="674" spans="1:9" x14ac:dyDescent="0.2">
      <c r="A674">
        <v>669</v>
      </c>
      <c r="B674">
        <v>1302240.2312555327</v>
      </c>
      <c r="C674">
        <v>115258.74340098961</v>
      </c>
      <c r="D674">
        <v>60186.715796520599</v>
      </c>
      <c r="E674">
        <v>147191.72381759138</v>
      </c>
      <c r="F674">
        <v>46190.196264294784</v>
      </c>
      <c r="G674">
        <v>10000</v>
      </c>
      <c r="H674">
        <v>358827.37927939638</v>
      </c>
      <c r="I674">
        <v>42.118796519716042</v>
      </c>
    </row>
    <row r="675" spans="1:9" x14ac:dyDescent="0.2">
      <c r="A675">
        <v>670</v>
      </c>
      <c r="B675">
        <v>1157426.2618700797</v>
      </c>
      <c r="C675">
        <v>108524.61147010846</v>
      </c>
      <c r="D675">
        <v>85021.071142732922</v>
      </c>
      <c r="E675">
        <v>93145.029362378962</v>
      </c>
      <c r="F675">
        <v>42448.502032780081</v>
      </c>
      <c r="G675">
        <v>10000</v>
      </c>
      <c r="H675">
        <v>319139.21400800045</v>
      </c>
      <c r="I675">
        <v>35.34242593947117</v>
      </c>
    </row>
    <row r="676" spans="1:9" x14ac:dyDescent="0.2">
      <c r="A676">
        <v>671</v>
      </c>
      <c r="B676">
        <v>1638310.3165228695</v>
      </c>
      <c r="C676">
        <v>138701.69151222566</v>
      </c>
      <c r="D676">
        <v>158060.52964431999</v>
      </c>
      <c r="E676">
        <v>119870.81831240763</v>
      </c>
      <c r="F676">
        <v>44298.748960089761</v>
      </c>
      <c r="G676">
        <v>10000</v>
      </c>
      <c r="H676">
        <v>450931.78842904308</v>
      </c>
      <c r="I676">
        <v>34.003460710998539</v>
      </c>
    </row>
    <row r="677" spans="1:9" x14ac:dyDescent="0.2">
      <c r="A677">
        <v>672</v>
      </c>
      <c r="B677">
        <v>1419318.6998505748</v>
      </c>
      <c r="C677">
        <v>101460.23405155654</v>
      </c>
      <c r="D677">
        <v>121881.13775469955</v>
      </c>
      <c r="E677">
        <v>132406.30508528126</v>
      </c>
      <c r="F677">
        <v>45166.590352057938</v>
      </c>
      <c r="G677">
        <v>10000</v>
      </c>
      <c r="H677">
        <v>390914.26724359533</v>
      </c>
      <c r="I677">
        <v>42.040746245613178</v>
      </c>
    </row>
    <row r="678" spans="1:9" x14ac:dyDescent="0.2">
      <c r="A678">
        <v>673</v>
      </c>
      <c r="B678">
        <v>1464792.3128860425</v>
      </c>
      <c r="C678">
        <v>104479.60614221309</v>
      </c>
      <c r="D678">
        <v>86316.216950026908</v>
      </c>
      <c r="E678">
        <v>174500.29389853423</v>
      </c>
      <c r="F678">
        <v>48080.789577590833</v>
      </c>
      <c r="G678">
        <v>10000</v>
      </c>
      <c r="H678">
        <v>403376.90656836506</v>
      </c>
      <c r="I678">
        <v>36.453667631867582</v>
      </c>
    </row>
    <row r="679" spans="1:9" x14ac:dyDescent="0.2">
      <c r="A679">
        <v>674</v>
      </c>
      <c r="B679">
        <v>1384022.8170247781</v>
      </c>
      <c r="C679">
        <v>114555.06861668972</v>
      </c>
      <c r="D679">
        <v>109783.46859297542</v>
      </c>
      <c r="E679">
        <v>122426.73402338981</v>
      </c>
      <c r="F679">
        <v>44475.696970850062</v>
      </c>
      <c r="G679">
        <v>10000</v>
      </c>
      <c r="H679">
        <v>381240.96820390498</v>
      </c>
      <c r="I679">
        <v>29.573522684839681</v>
      </c>
    </row>
    <row r="680" spans="1:9" x14ac:dyDescent="0.2">
      <c r="A680">
        <v>675</v>
      </c>
      <c r="B680">
        <v>855485.74754677119</v>
      </c>
      <c r="C680">
        <v>95053.375649505339</v>
      </c>
      <c r="D680">
        <v>61256.079263289394</v>
      </c>
      <c r="E680">
        <v>50577.487566215212</v>
      </c>
      <c r="F680">
        <v>39501.51836996874</v>
      </c>
      <c r="G680">
        <v>10000</v>
      </c>
      <c r="H680">
        <v>236388.46084897869</v>
      </c>
      <c r="I680">
        <v>34.686640078899416</v>
      </c>
    </row>
    <row r="681" spans="1:9" x14ac:dyDescent="0.2">
      <c r="A681">
        <v>676</v>
      </c>
      <c r="B681">
        <v>982268.11321492121</v>
      </c>
      <c r="C681">
        <v>103600.33452253595</v>
      </c>
      <c r="D681">
        <v>77652.772067835351</v>
      </c>
      <c r="E681">
        <v>59745.495704250447</v>
      </c>
      <c r="F681">
        <v>40136.226625678879</v>
      </c>
      <c r="G681">
        <v>10000</v>
      </c>
      <c r="H681">
        <v>271134.82892030058</v>
      </c>
      <c r="I681">
        <v>38.878177427519773</v>
      </c>
    </row>
    <row r="682" spans="1:9" x14ac:dyDescent="0.2">
      <c r="A682">
        <v>677</v>
      </c>
      <c r="B682">
        <v>1478248.309997119</v>
      </c>
      <c r="C682">
        <v>126865.97791039356</v>
      </c>
      <c r="D682">
        <v>127285.83463820352</v>
      </c>
      <c r="E682">
        <v>118695.50516534079</v>
      </c>
      <c r="F682">
        <v>44217.381126831278</v>
      </c>
      <c r="G682">
        <v>10000</v>
      </c>
      <c r="H682">
        <v>407064.69884076912</v>
      </c>
      <c r="I682">
        <v>45.514854355297324</v>
      </c>
    </row>
    <row r="683" spans="1:9" x14ac:dyDescent="0.2">
      <c r="A683">
        <v>678</v>
      </c>
      <c r="B683">
        <v>1446076.6454145093</v>
      </c>
      <c r="C683">
        <v>125479.79967858497</v>
      </c>
      <c r="D683">
        <v>138516.32663228046</v>
      </c>
      <c r="E683">
        <v>101242.41608077065</v>
      </c>
      <c r="F683">
        <v>43009.090344053351</v>
      </c>
      <c r="G683">
        <v>10000</v>
      </c>
      <c r="H683">
        <v>398247.6327356894</v>
      </c>
      <c r="I683">
        <v>42.920052549968318</v>
      </c>
    </row>
    <row r="684" spans="1:9" x14ac:dyDescent="0.2">
      <c r="A684">
        <v>679</v>
      </c>
      <c r="B684">
        <v>1238956.6354351731</v>
      </c>
      <c r="C684">
        <v>129532.48537508848</v>
      </c>
      <c r="D684">
        <v>139063.54190016896</v>
      </c>
      <c r="E684">
        <v>43851.762358684377</v>
      </c>
      <c r="F684">
        <v>39035.891240216617</v>
      </c>
      <c r="G684">
        <v>10000</v>
      </c>
      <c r="H684">
        <v>341483.68087415845</v>
      </c>
      <c r="I684">
        <v>35.083887800930455</v>
      </c>
    </row>
    <row r="685" spans="1:9" x14ac:dyDescent="0.2">
      <c r="A685">
        <v>680</v>
      </c>
      <c r="B685">
        <v>1245978.321974569</v>
      </c>
      <c r="C685">
        <v>150855.38490592936</v>
      </c>
      <c r="D685">
        <v>78524.157193774736</v>
      </c>
      <c r="E685">
        <v>82328.835348676759</v>
      </c>
      <c r="F685">
        <v>41699.68860106224</v>
      </c>
      <c r="G685">
        <v>10000</v>
      </c>
      <c r="H685">
        <v>343408.06604944309</v>
      </c>
      <c r="I685">
        <v>31.030482387910599</v>
      </c>
    </row>
    <row r="686" spans="1:9" x14ac:dyDescent="0.2">
      <c r="A686">
        <v>681</v>
      </c>
      <c r="B686">
        <v>830578.72494879505</v>
      </c>
      <c r="C686">
        <v>115871.24046521026</v>
      </c>
      <c r="D686">
        <v>52626.761020135011</v>
      </c>
      <c r="E686">
        <v>32794.009081292701</v>
      </c>
      <c r="F686">
        <v>38270.354474858723</v>
      </c>
      <c r="G686">
        <v>10000</v>
      </c>
      <c r="H686">
        <v>229562.3650414967</v>
      </c>
      <c r="I686">
        <v>50.339337658119874</v>
      </c>
    </row>
    <row r="687" spans="1:9" x14ac:dyDescent="0.2">
      <c r="A687">
        <v>682</v>
      </c>
      <c r="B687">
        <v>970938.2831880888</v>
      </c>
      <c r="C687">
        <v>114507.9118187624</v>
      </c>
      <c r="D687">
        <v>99705.26610046938</v>
      </c>
      <c r="E687">
        <v>26015.490266343139</v>
      </c>
      <c r="F687">
        <v>37801.072403054532</v>
      </c>
      <c r="G687">
        <v>10000</v>
      </c>
      <c r="H687">
        <v>268029.74058862944</v>
      </c>
      <c r="I687">
        <v>53.228634883601394</v>
      </c>
    </row>
    <row r="688" spans="1:9" x14ac:dyDescent="0.2">
      <c r="A688">
        <v>683</v>
      </c>
      <c r="B688">
        <v>1019887.487402227</v>
      </c>
      <c r="C688">
        <v>141104.29689848196</v>
      </c>
      <c r="D688">
        <v>69358.4095306339</v>
      </c>
      <c r="E688">
        <v>42069.687918692449</v>
      </c>
      <c r="F688">
        <v>38912.516855909475</v>
      </c>
      <c r="G688">
        <v>10000</v>
      </c>
      <c r="H688">
        <v>281444.91120371775</v>
      </c>
      <c r="I688">
        <v>52.893881598062578</v>
      </c>
    </row>
    <row r="689" spans="1:9" x14ac:dyDescent="0.2">
      <c r="A689">
        <v>684</v>
      </c>
      <c r="B689">
        <v>1468747.7201411128</v>
      </c>
      <c r="C689">
        <v>124233.56566129161</v>
      </c>
      <c r="D689">
        <v>90033.108407792795</v>
      </c>
      <c r="E689">
        <v>153562.98041134342</v>
      </c>
      <c r="F689">
        <v>46631.283259246848</v>
      </c>
      <c r="G689">
        <v>10000</v>
      </c>
      <c r="H689">
        <v>404460.9377396747</v>
      </c>
      <c r="I689">
        <v>33.091099716700555</v>
      </c>
    </row>
    <row r="690" spans="1:9" x14ac:dyDescent="0.2">
      <c r="A690">
        <v>685</v>
      </c>
      <c r="B690">
        <v>1388533.1840616371</v>
      </c>
      <c r="C690">
        <v>98701.140746568737</v>
      </c>
      <c r="D690">
        <v>79228.589964334751</v>
      </c>
      <c r="E690">
        <v>166986.74205807337</v>
      </c>
      <c r="F690">
        <v>47560.620604020463</v>
      </c>
      <c r="G690">
        <v>10000</v>
      </c>
      <c r="H690">
        <v>382477.0933729973</v>
      </c>
      <c r="I690">
        <v>31.626706448008623</v>
      </c>
    </row>
    <row r="691" spans="1:9" x14ac:dyDescent="0.2">
      <c r="A691">
        <v>686</v>
      </c>
      <c r="B691">
        <v>1390160.7977551026</v>
      </c>
      <c r="C691">
        <v>126044.24322368788</v>
      </c>
      <c r="D691">
        <v>164904.59813182108</v>
      </c>
      <c r="E691">
        <v>61702.602253246587</v>
      </c>
      <c r="F691">
        <v>40271.71861753246</v>
      </c>
      <c r="G691">
        <v>10000</v>
      </c>
      <c r="H691">
        <v>382923.162226288</v>
      </c>
      <c r="I691">
        <v>38.25635353528881</v>
      </c>
    </row>
    <row r="692" spans="1:9" x14ac:dyDescent="0.2">
      <c r="A692">
        <v>687</v>
      </c>
      <c r="B692">
        <v>1439326.0738100249</v>
      </c>
      <c r="C692">
        <v>103692.82964556484</v>
      </c>
      <c r="D692">
        <v>56303.504964962522</v>
      </c>
      <c r="E692">
        <v>196778.11526184657</v>
      </c>
      <c r="F692">
        <v>49623.100287358611</v>
      </c>
      <c r="G692">
        <v>10000</v>
      </c>
      <c r="H692">
        <v>396397.55015973258</v>
      </c>
      <c r="I692">
        <v>38.826630404597807</v>
      </c>
    </row>
    <row r="693" spans="1:9" x14ac:dyDescent="0.2">
      <c r="A693">
        <v>688</v>
      </c>
      <c r="B693">
        <v>1647631.5541874627</v>
      </c>
      <c r="C693">
        <v>92522.146185389443</v>
      </c>
      <c r="D693">
        <v>114241.50650071674</v>
      </c>
      <c r="E693">
        <v>206431.34239896608</v>
      </c>
      <c r="F693">
        <v>50291.400627620729</v>
      </c>
      <c r="G693">
        <v>10000</v>
      </c>
      <c r="H693">
        <v>453486.39571269299</v>
      </c>
      <c r="I693">
        <v>47.928523904105759</v>
      </c>
    </row>
    <row r="694" spans="1:9" x14ac:dyDescent="0.2">
      <c r="A694">
        <v>689</v>
      </c>
      <c r="B694">
        <v>1105107.1452477863</v>
      </c>
      <c r="C694">
        <v>101235.58793229554</v>
      </c>
      <c r="D694">
        <v>59850.574425280545</v>
      </c>
      <c r="E694">
        <v>110092.52238511751</v>
      </c>
      <c r="F694">
        <v>43621.790011277364</v>
      </c>
      <c r="G694">
        <v>10000</v>
      </c>
      <c r="H694">
        <v>304800.47475397092</v>
      </c>
      <c r="I694">
        <v>30.081131504593081</v>
      </c>
    </row>
    <row r="695" spans="1:9" x14ac:dyDescent="0.2">
      <c r="A695">
        <v>690</v>
      </c>
      <c r="B695">
        <v>1480750.0837571339</v>
      </c>
      <c r="C695">
        <v>93534.02406258641</v>
      </c>
      <c r="D695">
        <v>93701.841076420373</v>
      </c>
      <c r="E695">
        <v>181920.01499555836</v>
      </c>
      <c r="F695">
        <v>48594.462576615573</v>
      </c>
      <c r="G695">
        <v>10000</v>
      </c>
      <c r="H695">
        <v>407750.34271118074</v>
      </c>
      <c r="I695">
        <v>39.093115451557324</v>
      </c>
    </row>
    <row r="696" spans="1:9" x14ac:dyDescent="0.2">
      <c r="A696">
        <v>691</v>
      </c>
      <c r="B696">
        <v>1456611.018400592</v>
      </c>
      <c r="C696">
        <v>150216.02132437975</v>
      </c>
      <c r="D696">
        <v>71868.54545227332</v>
      </c>
      <c r="E696">
        <v>143140.42699956091</v>
      </c>
      <c r="F696">
        <v>45909.721869200373</v>
      </c>
      <c r="G696">
        <v>10000</v>
      </c>
      <c r="H696">
        <v>401134.71564541431</v>
      </c>
      <c r="I696">
        <v>27.897215839784153</v>
      </c>
    </row>
    <row r="697" spans="1:9" x14ac:dyDescent="0.2">
      <c r="A697">
        <v>692</v>
      </c>
      <c r="B697">
        <v>1287954.9459390007</v>
      </c>
      <c r="C697">
        <v>143047.59823024806</v>
      </c>
      <c r="D697">
        <v>124710.07851846312</v>
      </c>
      <c r="E697">
        <v>57194.980468509188</v>
      </c>
      <c r="F697">
        <v>39959.652493973714</v>
      </c>
      <c r="G697">
        <v>10000</v>
      </c>
      <c r="H697">
        <v>354912.30971119407</v>
      </c>
      <c r="I697">
        <v>43.59148119599692</v>
      </c>
    </row>
    <row r="698" spans="1:9" x14ac:dyDescent="0.2">
      <c r="A698">
        <v>693</v>
      </c>
      <c r="B698">
        <v>1383859.1028733402</v>
      </c>
      <c r="C698">
        <v>130173.64195479004</v>
      </c>
      <c r="D698">
        <v>126672.70212145473</v>
      </c>
      <c r="E698">
        <v>91981.786299204061</v>
      </c>
      <c r="F698">
        <v>42367.969820714126</v>
      </c>
      <c r="G698">
        <v>10000</v>
      </c>
      <c r="H698">
        <v>381196.100196163</v>
      </c>
      <c r="I698">
        <v>30.218371759312568</v>
      </c>
    </row>
    <row r="699" spans="1:9" x14ac:dyDescent="0.2">
      <c r="A699">
        <v>694</v>
      </c>
      <c r="B699">
        <v>1543915.5414679926</v>
      </c>
      <c r="C699">
        <v>129987.17165119523</v>
      </c>
      <c r="D699">
        <v>69405.8705400896</v>
      </c>
      <c r="E699">
        <v>186740.43749446649</v>
      </c>
      <c r="F699">
        <v>48928.184134232295</v>
      </c>
      <c r="G699">
        <v>10000</v>
      </c>
      <c r="H699">
        <v>425061.6638199836</v>
      </c>
      <c r="I699">
        <v>32.908610909024574</v>
      </c>
    </row>
    <row r="700" spans="1:9" x14ac:dyDescent="0.2">
      <c r="A700">
        <v>695</v>
      </c>
      <c r="B700">
        <v>1507730.8156242827</v>
      </c>
      <c r="C700">
        <v>95153.233368837376</v>
      </c>
      <c r="D700">
        <v>79716.918894487637</v>
      </c>
      <c r="E700">
        <v>200400.7176101415</v>
      </c>
      <c r="F700">
        <v>49873.895834548261</v>
      </c>
      <c r="G700">
        <v>10000</v>
      </c>
      <c r="H700">
        <v>415144.76570801478</v>
      </c>
      <c r="I700">
        <v>33.062082647243429</v>
      </c>
    </row>
    <row r="701" spans="1:9" x14ac:dyDescent="0.2">
      <c r="A701">
        <v>696</v>
      </c>
      <c r="B701">
        <v>1139309.6667686491</v>
      </c>
      <c r="C701">
        <v>137474.76561555674</v>
      </c>
      <c r="D701">
        <v>109396.2047059633</v>
      </c>
      <c r="E701">
        <v>38628.848582400264</v>
      </c>
      <c r="F701">
        <v>38674.304901858479</v>
      </c>
      <c r="G701">
        <v>10000</v>
      </c>
      <c r="H701">
        <v>314174.1238057788</v>
      </c>
      <c r="I701">
        <v>32.405706690852526</v>
      </c>
    </row>
    <row r="702" spans="1:9" x14ac:dyDescent="0.2">
      <c r="A702">
        <v>697</v>
      </c>
      <c r="B702">
        <v>1522599.467486707</v>
      </c>
      <c r="C702">
        <v>96660.176238558488</v>
      </c>
      <c r="D702">
        <v>104832.82952316209</v>
      </c>
      <c r="E702">
        <v>179312.74919821409</v>
      </c>
      <c r="F702">
        <v>48413.959559876355</v>
      </c>
      <c r="G702">
        <v>10000</v>
      </c>
      <c r="H702">
        <v>419219.71451981104</v>
      </c>
      <c r="I702">
        <v>41.772370923205699</v>
      </c>
    </row>
    <row r="703" spans="1:9" x14ac:dyDescent="0.2">
      <c r="A703">
        <v>698</v>
      </c>
      <c r="B703">
        <v>1022711.0763286217</v>
      </c>
      <c r="C703">
        <v>95621.383466539177</v>
      </c>
      <c r="D703">
        <v>90528.683568383029</v>
      </c>
      <c r="E703">
        <v>65531.864324775735</v>
      </c>
      <c r="F703">
        <v>40536.821376330627</v>
      </c>
      <c r="G703">
        <v>10000</v>
      </c>
      <c r="H703">
        <v>282218.75273602852</v>
      </c>
      <c r="I703">
        <v>31.798403928264062</v>
      </c>
    </row>
    <row r="704" spans="1:9" x14ac:dyDescent="0.2">
      <c r="A704">
        <v>699</v>
      </c>
      <c r="B704">
        <v>1247202.5226194484</v>
      </c>
      <c r="C704">
        <v>104155.10943655141</v>
      </c>
      <c r="D704">
        <v>109617.2532281028</v>
      </c>
      <c r="E704">
        <v>97239.26265467114</v>
      </c>
      <c r="F704">
        <v>42731.948953015693</v>
      </c>
      <c r="G704">
        <v>10000</v>
      </c>
      <c r="H704">
        <v>343743.57427234104</v>
      </c>
      <c r="I704">
        <v>45.439981774313708</v>
      </c>
    </row>
    <row r="705" spans="1:9" x14ac:dyDescent="0.2">
      <c r="A705">
        <v>700</v>
      </c>
      <c r="B705">
        <v>1363611.1817695661</v>
      </c>
      <c r="C705">
        <v>143875.9808089482</v>
      </c>
      <c r="D705">
        <v>140576.56775637955</v>
      </c>
      <c r="E705">
        <v>60973.127125493869</v>
      </c>
      <c r="F705">
        <v>40221.216493303422</v>
      </c>
      <c r="G705">
        <v>10000</v>
      </c>
      <c r="H705">
        <v>375646.89218412508</v>
      </c>
      <c r="I705">
        <v>29.822927587333933</v>
      </c>
    </row>
    <row r="706" spans="1:9" x14ac:dyDescent="0.2">
      <c r="A706">
        <v>701</v>
      </c>
      <c r="B706">
        <v>1016085.7482971648</v>
      </c>
      <c r="C706">
        <v>157120.63782192252</v>
      </c>
      <c r="D706">
        <v>43089.105813733891</v>
      </c>
      <c r="E706">
        <v>50684.335623070685</v>
      </c>
      <c r="F706">
        <v>39508.915543135663</v>
      </c>
      <c r="G706">
        <v>10000</v>
      </c>
      <c r="H706">
        <v>280402.99480186275</v>
      </c>
      <c r="I706">
        <v>37.870953869440356</v>
      </c>
    </row>
    <row r="707" spans="1:9" x14ac:dyDescent="0.2">
      <c r="A707">
        <v>702</v>
      </c>
      <c r="B707">
        <v>1364148.4311831926</v>
      </c>
      <c r="C707">
        <v>124295.86321038842</v>
      </c>
      <c r="D707">
        <v>130927.57053230621</v>
      </c>
      <c r="E707">
        <v>88447.416032426176</v>
      </c>
      <c r="F707">
        <v>42123.282648398737</v>
      </c>
      <c r="G707">
        <v>10000</v>
      </c>
      <c r="H707">
        <v>375794.13242351951</v>
      </c>
      <c r="I707">
        <v>37.920622358897795</v>
      </c>
    </row>
    <row r="708" spans="1:9" x14ac:dyDescent="0.2">
      <c r="A708">
        <v>703</v>
      </c>
      <c r="B708">
        <v>1161547.7183104523</v>
      </c>
      <c r="C708">
        <v>130297.76565074384</v>
      </c>
      <c r="D708">
        <v>66462.352030138121</v>
      </c>
      <c r="E708">
        <v>91195.126682463553</v>
      </c>
      <c r="F708">
        <v>42313.508770324399</v>
      </c>
      <c r="G708">
        <v>10000</v>
      </c>
      <c r="H708">
        <v>320268.7531336699</v>
      </c>
      <c r="I708">
        <v>28.928406686556926</v>
      </c>
    </row>
    <row r="709" spans="1:9" x14ac:dyDescent="0.2">
      <c r="A709">
        <v>704</v>
      </c>
      <c r="B709">
        <v>1177322.9404663411</v>
      </c>
      <c r="C709">
        <v>82954.105874720321</v>
      </c>
      <c r="D709">
        <v>117113.5821162825</v>
      </c>
      <c r="E709">
        <v>92145.189096739487</v>
      </c>
      <c r="F709">
        <v>42379.28232208197</v>
      </c>
      <c r="G709">
        <v>10000</v>
      </c>
      <c r="H709">
        <v>324592.15940982429</v>
      </c>
      <c r="I709">
        <v>38.290616681535553</v>
      </c>
    </row>
    <row r="710" spans="1:9" x14ac:dyDescent="0.2">
      <c r="A710">
        <v>705</v>
      </c>
      <c r="B710">
        <v>1025939.9894273377</v>
      </c>
      <c r="C710">
        <v>99144.251658520152</v>
      </c>
      <c r="D710">
        <v>82372.100064934246</v>
      </c>
      <c r="E710">
        <v>70693.183472592034</v>
      </c>
      <c r="F710">
        <v>40894.14347117945</v>
      </c>
      <c r="G710">
        <v>10000</v>
      </c>
      <c r="H710">
        <v>283103.67866722587</v>
      </c>
      <c r="I710">
        <v>44.157661305750011</v>
      </c>
    </row>
    <row r="711" spans="1:9" x14ac:dyDescent="0.2">
      <c r="A711">
        <v>706</v>
      </c>
      <c r="B711">
        <v>1723891.3190641899</v>
      </c>
      <c r="C711">
        <v>130568.80090050926</v>
      </c>
      <c r="D711">
        <v>139481.33456530719</v>
      </c>
      <c r="E711">
        <v>166789.29646685568</v>
      </c>
      <c r="F711">
        <v>47546.951293859245</v>
      </c>
      <c r="G711">
        <v>10000</v>
      </c>
      <c r="H711">
        <v>474386.38322653138</v>
      </c>
      <c r="I711">
        <v>38.815896160671954</v>
      </c>
    </row>
    <row r="712" spans="1:9" x14ac:dyDescent="0.2">
      <c r="A712">
        <v>707</v>
      </c>
      <c r="B712">
        <v>994399.34542159503</v>
      </c>
      <c r="C712">
        <v>122915.51342825445</v>
      </c>
      <c r="D712">
        <v>50986.93037241511</v>
      </c>
      <c r="E712">
        <v>69729.669554993903</v>
      </c>
      <c r="F712">
        <v>40827.438661499582</v>
      </c>
      <c r="G712">
        <v>10000</v>
      </c>
      <c r="H712">
        <v>274459.55201716308</v>
      </c>
      <c r="I712">
        <v>31.343660067242169</v>
      </c>
    </row>
    <row r="713" spans="1:9" x14ac:dyDescent="0.2">
      <c r="A713">
        <v>708</v>
      </c>
      <c r="B713">
        <v>1383534.8797895643</v>
      </c>
      <c r="C713">
        <v>101244.87021842162</v>
      </c>
      <c r="D713">
        <v>68842.695837620209</v>
      </c>
      <c r="E713">
        <v>173039.98526905969</v>
      </c>
      <c r="F713">
        <v>47979.691287857975</v>
      </c>
      <c r="G713">
        <v>10000</v>
      </c>
      <c r="H713">
        <v>381107.24261295947</v>
      </c>
      <c r="I713">
        <v>36.653116288551978</v>
      </c>
    </row>
    <row r="714" spans="1:9" x14ac:dyDescent="0.2">
      <c r="A714">
        <v>709</v>
      </c>
      <c r="B714">
        <v>1313087.8403620704</v>
      </c>
      <c r="C714">
        <v>107667.3015597921</v>
      </c>
      <c r="D714">
        <v>150600.21227938982</v>
      </c>
      <c r="E714">
        <v>72512.685795323923</v>
      </c>
      <c r="F714">
        <v>41020.109016599352</v>
      </c>
      <c r="G714">
        <v>10000</v>
      </c>
      <c r="H714">
        <v>361800.30865110521</v>
      </c>
      <c r="I714">
        <v>44.776236975795314</v>
      </c>
    </row>
    <row r="715" spans="1:9" x14ac:dyDescent="0.2">
      <c r="A715">
        <v>710</v>
      </c>
      <c r="B715">
        <v>951494.38990767393</v>
      </c>
      <c r="C715">
        <v>97284.171907221738</v>
      </c>
      <c r="D715">
        <v>67583.753391025646</v>
      </c>
      <c r="E715">
        <v>67181.906565608864</v>
      </c>
      <c r="F715">
        <v>40651.05506992677</v>
      </c>
      <c r="G715">
        <v>10000</v>
      </c>
      <c r="H715">
        <v>262700.88693378301</v>
      </c>
      <c r="I715">
        <v>33.332769776397413</v>
      </c>
    </row>
    <row r="716" spans="1:9" x14ac:dyDescent="0.2">
      <c r="A716">
        <v>711</v>
      </c>
      <c r="B716">
        <v>1049046.6828287859</v>
      </c>
      <c r="C716">
        <v>120531.48746017515</v>
      </c>
      <c r="D716">
        <v>42348.600456318825</v>
      </c>
      <c r="E716">
        <v>94045.444306844802</v>
      </c>
      <c r="F716">
        <v>42510.838452012336</v>
      </c>
      <c r="G716">
        <v>10000</v>
      </c>
      <c r="H716">
        <v>289436.37067535112</v>
      </c>
      <c r="I716">
        <v>44.089814243413677</v>
      </c>
    </row>
    <row r="717" spans="1:9" x14ac:dyDescent="0.2">
      <c r="A717">
        <v>712</v>
      </c>
      <c r="B717">
        <v>1216941.2917678608</v>
      </c>
      <c r="C717">
        <v>124573.56910072418</v>
      </c>
      <c r="D717">
        <v>100089.2423345034</v>
      </c>
      <c r="E717">
        <v>79297.452487603601</v>
      </c>
      <c r="F717">
        <v>41489.823633757173</v>
      </c>
      <c r="G717">
        <v>10000</v>
      </c>
      <c r="H717">
        <v>335450.08755658835</v>
      </c>
      <c r="I717">
        <v>30.339285190679583</v>
      </c>
    </row>
    <row r="718" spans="1:9" x14ac:dyDescent="0.2">
      <c r="A718">
        <v>713</v>
      </c>
      <c r="B718">
        <v>1028929.6303575463</v>
      </c>
      <c r="C718">
        <v>115889.86567900189</v>
      </c>
      <c r="D718">
        <v>110418.2832737526</v>
      </c>
      <c r="E718">
        <v>29567.873356596785</v>
      </c>
      <c r="F718">
        <v>38047.006616995168</v>
      </c>
      <c r="G718">
        <v>10000</v>
      </c>
      <c r="H718">
        <v>283923.02892634645</v>
      </c>
      <c r="I718">
        <v>28.194361881713981</v>
      </c>
    </row>
    <row r="719" spans="1:9" x14ac:dyDescent="0.2">
      <c r="A719">
        <v>714</v>
      </c>
      <c r="B719">
        <v>1015641.7365528548</v>
      </c>
      <c r="C719">
        <v>99499.85696707372</v>
      </c>
      <c r="D719">
        <v>94647.628938682363</v>
      </c>
      <c r="E719">
        <v>56240.264863120377</v>
      </c>
      <c r="F719">
        <v>39893.556798216028</v>
      </c>
      <c r="G719">
        <v>10000</v>
      </c>
      <c r="H719">
        <v>280281.30756709247</v>
      </c>
      <c r="I719">
        <v>40.82003624624695</v>
      </c>
    </row>
    <row r="720" spans="1:9" x14ac:dyDescent="0.2">
      <c r="A720">
        <v>715</v>
      </c>
      <c r="B720">
        <v>1218162.0967232133</v>
      </c>
      <c r="C720">
        <v>129196.72151269251</v>
      </c>
      <c r="D720">
        <v>143742.72697966231</v>
      </c>
      <c r="E720">
        <v>34459.555143968471</v>
      </c>
      <c r="F720">
        <v>38385.661509967045</v>
      </c>
      <c r="G720">
        <v>10000</v>
      </c>
      <c r="H720">
        <v>335784.66514629038</v>
      </c>
      <c r="I720">
        <v>32.063198502463507</v>
      </c>
    </row>
    <row r="721" spans="1:9" x14ac:dyDescent="0.2">
      <c r="A721">
        <v>716</v>
      </c>
      <c r="B721">
        <v>1664494.1152232657</v>
      </c>
      <c r="C721">
        <v>126348.5548748539</v>
      </c>
      <c r="D721">
        <v>100392.17408567965</v>
      </c>
      <c r="E721">
        <v>192069.92391312897</v>
      </c>
      <c r="F721">
        <v>49297.148578601234</v>
      </c>
      <c r="G721">
        <v>10000</v>
      </c>
      <c r="H721">
        <v>458107.80145226378</v>
      </c>
      <c r="I721">
        <v>48.745544539160491</v>
      </c>
    </row>
    <row r="722" spans="1:9" x14ac:dyDescent="0.2">
      <c r="A722">
        <v>717</v>
      </c>
      <c r="B722">
        <v>1702629.3382747085</v>
      </c>
      <c r="C722">
        <v>120810.79237526607</v>
      </c>
      <c r="D722">
        <v>157045.33092372646</v>
      </c>
      <c r="E722">
        <v>154038.90377533235</v>
      </c>
      <c r="F722">
        <v>46664.231799830704</v>
      </c>
      <c r="G722">
        <v>10000</v>
      </c>
      <c r="H722">
        <v>468559.25887415558</v>
      </c>
      <c r="I722">
        <v>42.7381115831542</v>
      </c>
    </row>
    <row r="723" spans="1:9" x14ac:dyDescent="0.2">
      <c r="A723">
        <v>718</v>
      </c>
      <c r="B723">
        <v>1580429.7304172409</v>
      </c>
      <c r="C723">
        <v>132165.83149719937</v>
      </c>
      <c r="D723">
        <v>62689.140931852657</v>
      </c>
      <c r="E723">
        <v>200343.9195233965</v>
      </c>
      <c r="F723">
        <v>49869.963659312059</v>
      </c>
      <c r="G723">
        <v>10000</v>
      </c>
      <c r="H723">
        <v>435068.85561176058</v>
      </c>
      <c r="I723">
        <v>33.222882153362988</v>
      </c>
    </row>
    <row r="724" spans="1:9" x14ac:dyDescent="0.2">
      <c r="A724">
        <v>719</v>
      </c>
      <c r="B724">
        <v>1159158.4084118465</v>
      </c>
      <c r="C724">
        <v>121332.60760418719</v>
      </c>
      <c r="D724">
        <v>66107.333531098862</v>
      </c>
      <c r="E724">
        <v>99299.415409428519</v>
      </c>
      <c r="F724">
        <v>42874.574912960437</v>
      </c>
      <c r="G724">
        <v>10000</v>
      </c>
      <c r="H724">
        <v>319613.93145767506</v>
      </c>
      <c r="I724">
        <v>31.473421267835654</v>
      </c>
    </row>
    <row r="725" spans="1:9" x14ac:dyDescent="0.2">
      <c r="A725">
        <v>720</v>
      </c>
      <c r="B725">
        <v>1451931.4891663003</v>
      </c>
      <c r="C725">
        <v>91276.378863806851</v>
      </c>
      <c r="D725">
        <v>81009.996397068171</v>
      </c>
      <c r="E725">
        <v>188514.82757491723</v>
      </c>
      <c r="F725">
        <v>49051.02652441735</v>
      </c>
      <c r="G725">
        <v>10000</v>
      </c>
      <c r="H725">
        <v>399852.2293602096</v>
      </c>
      <c r="I725">
        <v>34.143276359614575</v>
      </c>
    </row>
    <row r="726" spans="1:9" x14ac:dyDescent="0.2">
      <c r="A726">
        <v>721</v>
      </c>
      <c r="B726">
        <v>1369882.2434403561</v>
      </c>
      <c r="C726">
        <v>164120.67530008045</v>
      </c>
      <c r="D726">
        <v>58525.077538967067</v>
      </c>
      <c r="E726">
        <v>120385.43001812992</v>
      </c>
      <c r="F726">
        <v>44334.375924332075</v>
      </c>
      <c r="G726">
        <v>10000</v>
      </c>
      <c r="H726">
        <v>377365.55878150952</v>
      </c>
      <c r="I726">
        <v>51.757163268728299</v>
      </c>
    </row>
    <row r="727" spans="1:9" x14ac:dyDescent="0.2">
      <c r="A727">
        <v>722</v>
      </c>
      <c r="B727">
        <v>1210087.3403232326</v>
      </c>
      <c r="C727">
        <v>123848.70136961801</v>
      </c>
      <c r="D727">
        <v>114662.92133252304</v>
      </c>
      <c r="E727">
        <v>64588.535671096717</v>
      </c>
      <c r="F727">
        <v>40471.514007999009</v>
      </c>
      <c r="G727">
        <v>10000</v>
      </c>
      <c r="H727">
        <v>333571.6723812368</v>
      </c>
      <c r="I727">
        <v>49.381666774169318</v>
      </c>
    </row>
    <row r="728" spans="1:9" x14ac:dyDescent="0.2">
      <c r="A728">
        <v>723</v>
      </c>
      <c r="B728">
        <v>892665.14121604711</v>
      </c>
      <c r="C728">
        <v>117218.16093169582</v>
      </c>
      <c r="D728">
        <v>66767.075696513959</v>
      </c>
      <c r="E728">
        <v>34223.411009870106</v>
      </c>
      <c r="F728">
        <v>38369.313069914082</v>
      </c>
      <c r="G728">
        <v>10000</v>
      </c>
      <c r="H728">
        <v>246577.96070799397</v>
      </c>
      <c r="I728">
        <v>38.11688985987039</v>
      </c>
    </row>
    <row r="729" spans="1:9" x14ac:dyDescent="0.2">
      <c r="A729">
        <v>724</v>
      </c>
      <c r="B729">
        <v>1355108.9289268702</v>
      </c>
      <c r="C729">
        <v>95056.059245865006</v>
      </c>
      <c r="D729">
        <v>145918.96372534818</v>
      </c>
      <c r="E729">
        <v>99456.28063466023</v>
      </c>
      <c r="F729">
        <v>42885.434813168788</v>
      </c>
      <c r="G729">
        <v>10000</v>
      </c>
      <c r="H729">
        <v>373316.7384190422</v>
      </c>
      <c r="I729">
        <v>25.937980088203474</v>
      </c>
    </row>
    <row r="730" spans="1:9" x14ac:dyDescent="0.2">
      <c r="A730">
        <v>725</v>
      </c>
      <c r="B730">
        <v>1321109.2819199841</v>
      </c>
      <c r="C730">
        <v>86394.396609919859</v>
      </c>
      <c r="D730">
        <v>109076.28211124708</v>
      </c>
      <c r="E730">
        <v>133299.57869307732</v>
      </c>
      <c r="F730">
        <v>45228.4323710592</v>
      </c>
      <c r="G730">
        <v>10000</v>
      </c>
      <c r="H730">
        <v>363998.68978530343</v>
      </c>
      <c r="I730">
        <v>26.718660766214434</v>
      </c>
    </row>
    <row r="731" spans="1:9" x14ac:dyDescent="0.2">
      <c r="A731">
        <v>726</v>
      </c>
      <c r="B731">
        <v>1218688.9504624414</v>
      </c>
      <c r="C731">
        <v>140900.12957868553</v>
      </c>
      <c r="D731">
        <v>124766.89747984261</v>
      </c>
      <c r="E731">
        <v>41396.142470025334</v>
      </c>
      <c r="F731">
        <v>38865.886786386371</v>
      </c>
      <c r="G731">
        <v>10000</v>
      </c>
      <c r="H731">
        <v>335929.05631493987</v>
      </c>
      <c r="I731">
        <v>28.949571710386486</v>
      </c>
    </row>
    <row r="732" spans="1:9" x14ac:dyDescent="0.2">
      <c r="A732">
        <v>727</v>
      </c>
      <c r="B732">
        <v>875847.94648103951</v>
      </c>
      <c r="C732">
        <v>134086.09533799969</v>
      </c>
      <c r="D732">
        <v>36964.738636768372</v>
      </c>
      <c r="E732">
        <v>42009.784524785151</v>
      </c>
      <c r="F732">
        <v>38908.369697869741</v>
      </c>
      <c r="G732">
        <v>10000</v>
      </c>
      <c r="H732">
        <v>241968.98819742294</v>
      </c>
      <c r="I732">
        <v>32.974912975011456</v>
      </c>
    </row>
    <row r="733" spans="1:9" x14ac:dyDescent="0.2">
      <c r="A733">
        <v>728</v>
      </c>
      <c r="B733">
        <v>837226.40207796218</v>
      </c>
      <c r="C733">
        <v>85301.860271983285</v>
      </c>
      <c r="D733">
        <v>76239.331844988308</v>
      </c>
      <c r="E733">
        <v>41004.296905164461</v>
      </c>
      <c r="F733">
        <v>38838.759016511387</v>
      </c>
      <c r="G733">
        <v>10000</v>
      </c>
      <c r="H733">
        <v>231384.24803864743</v>
      </c>
      <c r="I733">
        <v>26.425807187866244</v>
      </c>
    </row>
    <row r="734" spans="1:9" x14ac:dyDescent="0.2">
      <c r="A734">
        <v>729</v>
      </c>
      <c r="B734">
        <v>1319502.5688542037</v>
      </c>
      <c r="C734">
        <v>107128.82209576901</v>
      </c>
      <c r="D734">
        <v>110023.46278249589</v>
      </c>
      <c r="E734">
        <v>112609.98804885821</v>
      </c>
      <c r="F734">
        <v>43796.076095690179</v>
      </c>
      <c r="G734">
        <v>10000</v>
      </c>
      <c r="H734">
        <v>363558.34902281332</v>
      </c>
      <c r="I734">
        <v>31.875800125779875</v>
      </c>
    </row>
    <row r="735" spans="1:9" x14ac:dyDescent="0.2">
      <c r="A735">
        <v>730</v>
      </c>
      <c r="B735">
        <v>1698942.6574581251</v>
      </c>
      <c r="C735">
        <v>148462.39485555716</v>
      </c>
      <c r="D735">
        <v>82613.352746435266</v>
      </c>
      <c r="E735">
        <v>196845.3716056713</v>
      </c>
      <c r="F735">
        <v>49627.756495777248</v>
      </c>
      <c r="G735">
        <v>10000</v>
      </c>
      <c r="H735">
        <v>467548.87570344092</v>
      </c>
      <c r="I735">
        <v>36.287736883671769</v>
      </c>
    </row>
    <row r="736" spans="1:9" x14ac:dyDescent="0.2">
      <c r="A736">
        <v>731</v>
      </c>
      <c r="B736">
        <v>1012562.621527029</v>
      </c>
      <c r="C736">
        <v>93123.992353240596</v>
      </c>
      <c r="D736">
        <v>122181.27414755165</v>
      </c>
      <c r="E736">
        <v>35663.179882731201</v>
      </c>
      <c r="F736">
        <v>38468.989376496778</v>
      </c>
      <c r="G736">
        <v>10000</v>
      </c>
      <c r="H736">
        <v>279437.43576002022</v>
      </c>
      <c r="I736">
        <v>26.124380495086612</v>
      </c>
    </row>
    <row r="737" spans="1:9" x14ac:dyDescent="0.2">
      <c r="A737">
        <v>732</v>
      </c>
      <c r="B737">
        <v>1578295.1375829547</v>
      </c>
      <c r="C737">
        <v>136685.15813934544</v>
      </c>
      <c r="D737">
        <v>80426.514932303253</v>
      </c>
      <c r="E737">
        <v>178981.16563731732</v>
      </c>
      <c r="F737">
        <v>48391.0037748912</v>
      </c>
      <c r="G737">
        <v>10000</v>
      </c>
      <c r="H737">
        <v>434483.84248385724</v>
      </c>
      <c r="I737">
        <v>40.407599570807619</v>
      </c>
    </row>
    <row r="738" spans="1:9" x14ac:dyDescent="0.2">
      <c r="A738">
        <v>733</v>
      </c>
      <c r="B738">
        <v>1397572.9324785299</v>
      </c>
      <c r="C738">
        <v>114775.17117585833</v>
      </c>
      <c r="D738">
        <v>62629.898059824627</v>
      </c>
      <c r="E738">
        <v>169794.48294022772</v>
      </c>
      <c r="F738">
        <v>47755.002665092688</v>
      </c>
      <c r="G738">
        <v>10000</v>
      </c>
      <c r="H738">
        <v>384954.55484100338</v>
      </c>
      <c r="I738">
        <v>33.702066627442889</v>
      </c>
    </row>
    <row r="739" spans="1:9" x14ac:dyDescent="0.2">
      <c r="A739">
        <v>734</v>
      </c>
      <c r="B739">
        <v>896827.76893477805</v>
      </c>
      <c r="C739">
        <v>85371.988191241398</v>
      </c>
      <c r="D739">
        <v>92871.311081063934</v>
      </c>
      <c r="E739">
        <v>40660.524688028156</v>
      </c>
      <c r="F739">
        <v>38814.959401478874</v>
      </c>
      <c r="G739">
        <v>10000</v>
      </c>
      <c r="H739">
        <v>247718.78336181235</v>
      </c>
      <c r="I739">
        <v>39.850940732516037</v>
      </c>
    </row>
    <row r="740" spans="1:9" x14ac:dyDescent="0.2">
      <c r="A740">
        <v>735</v>
      </c>
      <c r="B740">
        <v>1718743.8560011419</v>
      </c>
      <c r="C740">
        <v>113145.74530966509</v>
      </c>
      <c r="D740">
        <v>129279.49979083404</v>
      </c>
      <c r="E740">
        <v>191306.13739502733</v>
      </c>
      <c r="F740">
        <v>49244.27105042497</v>
      </c>
      <c r="G740">
        <v>10000</v>
      </c>
      <c r="H740">
        <v>472975.65354595141</v>
      </c>
      <c r="I740">
        <v>26.347525980163997</v>
      </c>
    </row>
    <row r="741" spans="1:9" x14ac:dyDescent="0.2">
      <c r="A741">
        <v>736</v>
      </c>
      <c r="B741">
        <v>1257688.836485368</v>
      </c>
      <c r="C741">
        <v>119758.36747918908</v>
      </c>
      <c r="D741">
        <v>51553.161279494147</v>
      </c>
      <c r="E741">
        <v>139638.66499967611</v>
      </c>
      <c r="F741">
        <v>45667.292192285269</v>
      </c>
      <c r="G741">
        <v>10000</v>
      </c>
      <c r="H741">
        <v>346617.48595064459</v>
      </c>
      <c r="I741">
        <v>34.716693454881096</v>
      </c>
    </row>
    <row r="742" spans="1:9" x14ac:dyDescent="0.2">
      <c r="A742">
        <v>737</v>
      </c>
      <c r="B742">
        <v>1780705.7434065151</v>
      </c>
      <c r="C742">
        <v>107516.94649639956</v>
      </c>
      <c r="D742">
        <v>160334.85478991503</v>
      </c>
      <c r="E742">
        <v>183407.85245207493</v>
      </c>
      <c r="F742">
        <v>48697.466708220571</v>
      </c>
      <c r="G742">
        <v>10000</v>
      </c>
      <c r="H742">
        <v>489957.12044661015</v>
      </c>
      <c r="I742">
        <v>40.256106184427097</v>
      </c>
    </row>
    <row r="743" spans="1:9" x14ac:dyDescent="0.2">
      <c r="A743">
        <v>738</v>
      </c>
      <c r="B743">
        <v>1009777.688422588</v>
      </c>
      <c r="C743">
        <v>113308.43906702331</v>
      </c>
      <c r="D743">
        <v>90670.43406097831</v>
      </c>
      <c r="E743">
        <v>45542.381154174072</v>
      </c>
      <c r="F743">
        <v>39152.934079904364</v>
      </c>
      <c r="G743">
        <v>10000</v>
      </c>
      <c r="H743">
        <v>278674.18836208008</v>
      </c>
      <c r="I743">
        <v>31.760376151998205</v>
      </c>
    </row>
    <row r="744" spans="1:9" x14ac:dyDescent="0.2">
      <c r="A744">
        <v>739</v>
      </c>
      <c r="B744">
        <v>1512022.6748444783</v>
      </c>
      <c r="C744">
        <v>100452.69973565148</v>
      </c>
      <c r="D744">
        <v>76776.696288934094</v>
      </c>
      <c r="E744">
        <v>199294.31143883866</v>
      </c>
      <c r="F744">
        <v>49797.298484227293</v>
      </c>
      <c r="G744">
        <v>10000</v>
      </c>
      <c r="H744">
        <v>416321.00594765152</v>
      </c>
      <c r="I744">
        <v>38.662883911020707</v>
      </c>
    </row>
    <row r="745" spans="1:9" x14ac:dyDescent="0.2">
      <c r="A745">
        <v>740</v>
      </c>
      <c r="B745">
        <v>1240138.2050161378</v>
      </c>
      <c r="C745">
        <v>136786.99389095593</v>
      </c>
      <c r="D745">
        <v>51406.38628861442</v>
      </c>
      <c r="E745">
        <v>119351.34022358154</v>
      </c>
      <c r="F745">
        <v>44262.785092401806</v>
      </c>
      <c r="G745">
        <v>10000</v>
      </c>
      <c r="H745">
        <v>341807.50549555366</v>
      </c>
      <c r="I745">
        <v>30.925843796437526</v>
      </c>
    </row>
    <row r="746" spans="1:9" x14ac:dyDescent="0.2">
      <c r="A746">
        <v>741</v>
      </c>
      <c r="B746">
        <v>930361.0674520405</v>
      </c>
      <c r="C746">
        <v>91069.746349362584</v>
      </c>
      <c r="D746">
        <v>60398.032761894276</v>
      </c>
      <c r="E746">
        <v>74297.566304631473</v>
      </c>
      <c r="F746">
        <v>41143.677667243719</v>
      </c>
      <c r="G746">
        <v>10000</v>
      </c>
      <c r="H746">
        <v>256909.02308313205</v>
      </c>
      <c r="I746">
        <v>27.906043321837661</v>
      </c>
    </row>
    <row r="747" spans="1:9" x14ac:dyDescent="0.2">
      <c r="A747">
        <v>742</v>
      </c>
      <c r="B747">
        <v>1491973.2916083853</v>
      </c>
      <c r="C747">
        <v>121380.55106651703</v>
      </c>
      <c r="D747">
        <v>105659.34129172374</v>
      </c>
      <c r="E747">
        <v>147569.9372121818</v>
      </c>
      <c r="F747">
        <v>46216.380268535664</v>
      </c>
      <c r="G747">
        <v>10000</v>
      </c>
      <c r="H747">
        <v>410826.20983895822</v>
      </c>
      <c r="I747">
        <v>51.252233596412161</v>
      </c>
    </row>
    <row r="748" spans="1:9" x14ac:dyDescent="0.2">
      <c r="A748">
        <v>743</v>
      </c>
      <c r="B748">
        <v>1112208.4217718816</v>
      </c>
      <c r="C748">
        <v>106783.78274660354</v>
      </c>
      <c r="D748">
        <v>80050.209339311274</v>
      </c>
      <c r="E748">
        <v>87832.003365170254</v>
      </c>
      <c r="F748">
        <v>42080.677156050246</v>
      </c>
      <c r="G748">
        <v>10000</v>
      </c>
      <c r="H748">
        <v>306746.67260713532</v>
      </c>
      <c r="I748">
        <v>26.129629321022129</v>
      </c>
    </row>
    <row r="749" spans="1:9" x14ac:dyDescent="0.2">
      <c r="A749">
        <v>744</v>
      </c>
      <c r="B749">
        <v>1130981.9237171316</v>
      </c>
      <c r="C749">
        <v>114936.75975771391</v>
      </c>
      <c r="D749">
        <v>65083.469091787345</v>
      </c>
      <c r="E749">
        <v>99016.574281330701</v>
      </c>
      <c r="F749">
        <v>42854.993604092124</v>
      </c>
      <c r="G749">
        <v>10000</v>
      </c>
      <c r="H749">
        <v>311891.79673492408</v>
      </c>
      <c r="I749">
        <v>36.774269893282337</v>
      </c>
    </row>
    <row r="750" spans="1:9" x14ac:dyDescent="0.2">
      <c r="A750">
        <v>745</v>
      </c>
      <c r="B750">
        <v>1515613.5874070129</v>
      </c>
      <c r="C750">
        <v>88451.157533540449</v>
      </c>
      <c r="D750">
        <v>112374.4009600783</v>
      </c>
      <c r="E750">
        <v>178146.37360021364</v>
      </c>
      <c r="F750">
        <v>48333.210480014786</v>
      </c>
      <c r="G750">
        <v>10000</v>
      </c>
      <c r="H750">
        <v>417305.1425738472</v>
      </c>
      <c r="I750">
        <v>35.521649864172595</v>
      </c>
    </row>
    <row r="751" spans="1:9" x14ac:dyDescent="0.2">
      <c r="A751">
        <v>746</v>
      </c>
      <c r="B751">
        <v>1405635.7688930009</v>
      </c>
      <c r="C751">
        <v>96717.11678435895</v>
      </c>
      <c r="D751">
        <v>66337.438688143942</v>
      </c>
      <c r="E751">
        <v>185282.47690431387</v>
      </c>
      <c r="F751">
        <v>48827.248401067882</v>
      </c>
      <c r="G751">
        <v>10000</v>
      </c>
      <c r="H751">
        <v>387164.28077788459</v>
      </c>
      <c r="I751">
        <v>36.679485433359609</v>
      </c>
    </row>
    <row r="752" spans="1:9" x14ac:dyDescent="0.2">
      <c r="A752">
        <v>747</v>
      </c>
      <c r="B752">
        <v>1171690.8289173886</v>
      </c>
      <c r="C752">
        <v>88615.945301178042</v>
      </c>
      <c r="D752">
        <v>92588.742183003633</v>
      </c>
      <c r="E752">
        <v>108343.23264217944</v>
      </c>
      <c r="F752">
        <v>43500.68533676627</v>
      </c>
      <c r="G752">
        <v>10000</v>
      </c>
      <c r="H752">
        <v>323048.60546312737</v>
      </c>
      <c r="I752">
        <v>37.322954618267048</v>
      </c>
    </row>
    <row r="753" spans="1:9" x14ac:dyDescent="0.2">
      <c r="A753">
        <v>748</v>
      </c>
      <c r="B753">
        <v>1529634.1862993441</v>
      </c>
      <c r="C753">
        <v>116597.68296955731</v>
      </c>
      <c r="D753">
        <v>110934.91110594517</v>
      </c>
      <c r="E753">
        <v>156762.30249656475</v>
      </c>
      <c r="F753">
        <v>46852.774788223716</v>
      </c>
      <c r="G753">
        <v>10000</v>
      </c>
      <c r="H753">
        <v>421147.67136029096</v>
      </c>
      <c r="I753">
        <v>50.461009474748153</v>
      </c>
    </row>
    <row r="754" spans="1:9" x14ac:dyDescent="0.2">
      <c r="A754">
        <v>749</v>
      </c>
      <c r="B754">
        <v>1126148.5906050643</v>
      </c>
      <c r="C754">
        <v>125810.31261224428</v>
      </c>
      <c r="D754">
        <v>122263.80527411962</v>
      </c>
      <c r="E754">
        <v>34130.181852306996</v>
      </c>
      <c r="F754">
        <v>38362.858743621247</v>
      </c>
      <c r="G754">
        <v>10000</v>
      </c>
      <c r="H754">
        <v>310567.15848229214</v>
      </c>
      <c r="I754">
        <v>28.469991038339863</v>
      </c>
    </row>
    <row r="755" spans="1:9" x14ac:dyDescent="0.2">
      <c r="A755">
        <v>750</v>
      </c>
      <c r="B755">
        <v>1378101.5686882329</v>
      </c>
      <c r="C755">
        <v>94641.692772368755</v>
      </c>
      <c r="D755">
        <v>39279.866737745673</v>
      </c>
      <c r="E755">
        <v>205471.6524675212</v>
      </c>
      <c r="F755">
        <v>50224.960555443773</v>
      </c>
      <c r="G755">
        <v>10000</v>
      </c>
      <c r="H755">
        <v>379618.1725330794</v>
      </c>
      <c r="I755">
        <v>51.020329414413006</v>
      </c>
    </row>
    <row r="756" spans="1:9" x14ac:dyDescent="0.2">
      <c r="A756">
        <v>751</v>
      </c>
      <c r="B756">
        <v>863077.60878724116</v>
      </c>
      <c r="C756">
        <v>148338.11159286083</v>
      </c>
      <c r="D756">
        <v>35719.454668032973</v>
      </c>
      <c r="E756">
        <v>26571.94726029722</v>
      </c>
      <c r="F756">
        <v>37839.596348789804</v>
      </c>
      <c r="G756">
        <v>10000</v>
      </c>
      <c r="H756">
        <v>238469.10986998084</v>
      </c>
      <c r="I756">
        <v>27.919835177739209</v>
      </c>
    </row>
    <row r="757" spans="1:9" x14ac:dyDescent="0.2">
      <c r="A757">
        <v>752</v>
      </c>
      <c r="B757">
        <v>1154654.579818785</v>
      </c>
      <c r="C757">
        <v>104884.98503105425</v>
      </c>
      <c r="D757">
        <v>95137.913517052453</v>
      </c>
      <c r="E757">
        <v>86376.76949110943</v>
      </c>
      <c r="F757">
        <v>41979.930195538342</v>
      </c>
      <c r="G757">
        <v>10000</v>
      </c>
      <c r="H757">
        <v>318379.59823475446</v>
      </c>
      <c r="I757">
        <v>40.023145437857437</v>
      </c>
    </row>
    <row r="758" spans="1:9" x14ac:dyDescent="0.2">
      <c r="A758">
        <v>753</v>
      </c>
      <c r="B758">
        <v>1528966.7207704417</v>
      </c>
      <c r="C758">
        <v>130242.26643556253</v>
      </c>
      <c r="D758">
        <v>62681.595907417497</v>
      </c>
      <c r="E758">
        <v>188959.09766152597</v>
      </c>
      <c r="F758">
        <v>49081.783684259492</v>
      </c>
      <c r="G758">
        <v>10000</v>
      </c>
      <c r="H758">
        <v>420964.74368876551</v>
      </c>
      <c r="I758">
        <v>36.18529556390159</v>
      </c>
    </row>
    <row r="759" spans="1:9" x14ac:dyDescent="0.2">
      <c r="A759">
        <v>754</v>
      </c>
      <c r="B759">
        <v>1694536.4047639547</v>
      </c>
      <c r="C759">
        <v>142153.08038950423</v>
      </c>
      <c r="D759">
        <v>106091.55944158787</v>
      </c>
      <c r="E759">
        <v>179658.7323622329</v>
      </c>
      <c r="F759">
        <v>48437.912240462283</v>
      </c>
      <c r="G759">
        <v>10000</v>
      </c>
      <c r="H759">
        <v>466341.28443378722</v>
      </c>
      <c r="I759">
        <v>33.856144907974269</v>
      </c>
    </row>
    <row r="760" spans="1:9" x14ac:dyDescent="0.2">
      <c r="A760">
        <v>755</v>
      </c>
      <c r="B760">
        <v>1729173.9192823705</v>
      </c>
      <c r="C760">
        <v>151176.72319501193</v>
      </c>
      <c r="D760">
        <v>122072.66601015457</v>
      </c>
      <c r="E760">
        <v>165151.21421033386</v>
      </c>
      <c r="F760">
        <v>47433.545599176956</v>
      </c>
      <c r="G760">
        <v>10000</v>
      </c>
      <c r="H760">
        <v>475834.14901467733</v>
      </c>
      <c r="I760">
        <v>33.95489386868271</v>
      </c>
    </row>
    <row r="761" spans="1:9" x14ac:dyDescent="0.2">
      <c r="A761">
        <v>756</v>
      </c>
      <c r="B761">
        <v>1471812.058031912</v>
      </c>
      <c r="C761">
        <v>159618.06762835072</v>
      </c>
      <c r="D761">
        <v>95745.937689022176</v>
      </c>
      <c r="E761">
        <v>115912.07242484519</v>
      </c>
      <c r="F761">
        <v>44024.681937104666</v>
      </c>
      <c r="G761">
        <v>10000</v>
      </c>
      <c r="H761">
        <v>405300.75967932277</v>
      </c>
      <c r="I761">
        <v>47.337524626099849</v>
      </c>
    </row>
    <row r="762" spans="1:9" x14ac:dyDescent="0.2">
      <c r="A762">
        <v>757</v>
      </c>
      <c r="B762">
        <v>1140896.8297373196</v>
      </c>
      <c r="C762">
        <v>72578.313555798231</v>
      </c>
      <c r="D762">
        <v>70465.03397226792</v>
      </c>
      <c r="E762">
        <v>136140.63798848659</v>
      </c>
      <c r="F762">
        <v>45425.121091510613</v>
      </c>
      <c r="G762">
        <v>10000</v>
      </c>
      <c r="H762">
        <v>314609.10660806333</v>
      </c>
      <c r="I762">
        <v>36.078294007334399</v>
      </c>
    </row>
    <row r="763" spans="1:9" x14ac:dyDescent="0.2">
      <c r="A763">
        <v>758</v>
      </c>
      <c r="B763">
        <v>1532110.6676309053</v>
      </c>
      <c r="C763">
        <v>134329.51682618744</v>
      </c>
      <c r="D763">
        <v>115675.62022017567</v>
      </c>
      <c r="E763">
        <v>136379.58302295784</v>
      </c>
      <c r="F763">
        <v>45441.663440050921</v>
      </c>
      <c r="G763">
        <v>10000</v>
      </c>
      <c r="H763">
        <v>421826.38350937184</v>
      </c>
      <c r="I763">
        <v>42.062365052283141</v>
      </c>
    </row>
    <row r="764" spans="1:9" x14ac:dyDescent="0.2">
      <c r="A764">
        <v>759</v>
      </c>
      <c r="B764">
        <v>1167743.4048536366</v>
      </c>
      <c r="C764">
        <v>101364.75510323669</v>
      </c>
      <c r="D764">
        <v>30094.827513368349</v>
      </c>
      <c r="E764">
        <v>153855.63557221441</v>
      </c>
      <c r="F764">
        <v>46651.544001153299</v>
      </c>
      <c r="G764">
        <v>10000</v>
      </c>
      <c r="H764">
        <v>321966.7621899728</v>
      </c>
      <c r="I764">
        <v>27.089112565444978</v>
      </c>
    </row>
    <row r="765" spans="1:9" x14ac:dyDescent="0.2">
      <c r="A765">
        <v>760</v>
      </c>
      <c r="B765">
        <v>1721817.3666936923</v>
      </c>
      <c r="C765">
        <v>106603.46499214221</v>
      </c>
      <c r="D765">
        <v>124192.32456238822</v>
      </c>
      <c r="E765">
        <v>202970.40274446784</v>
      </c>
      <c r="F765">
        <v>50051.797113078537</v>
      </c>
      <c r="G765">
        <v>10000</v>
      </c>
      <c r="H765">
        <v>473817.98941207677</v>
      </c>
      <c r="I765">
        <v>27.949233903220346</v>
      </c>
    </row>
    <row r="766" spans="1:9" x14ac:dyDescent="0.2">
      <c r="A766">
        <v>761</v>
      </c>
      <c r="B766">
        <v>1486385.0089888158</v>
      </c>
      <c r="C766">
        <v>82306.19716992561</v>
      </c>
      <c r="D766">
        <v>90315.660317040791</v>
      </c>
      <c r="E766">
        <v>197032.12473868826</v>
      </c>
      <c r="F766">
        <v>49640.685558832258</v>
      </c>
      <c r="G766">
        <v>10000</v>
      </c>
      <c r="H766">
        <v>409294.6677844869</v>
      </c>
      <c r="I766">
        <v>38.262550116048871</v>
      </c>
    </row>
    <row r="767" spans="1:9" x14ac:dyDescent="0.2">
      <c r="A767">
        <v>762</v>
      </c>
      <c r="B767">
        <v>1202149.9968613852</v>
      </c>
      <c r="C767">
        <v>119238.68587580012</v>
      </c>
      <c r="D767">
        <v>113816.32808016664</v>
      </c>
      <c r="E767">
        <v>67657.354761656446</v>
      </c>
      <c r="F767">
        <v>40683.970714268529</v>
      </c>
      <c r="G767">
        <v>10000</v>
      </c>
      <c r="H767">
        <v>331396.33943189168</v>
      </c>
      <c r="I767">
        <v>37.93324668070575</v>
      </c>
    </row>
    <row r="768" spans="1:9" x14ac:dyDescent="0.2">
      <c r="A768">
        <v>763</v>
      </c>
      <c r="B768">
        <v>1348061.1131334086</v>
      </c>
      <c r="C768">
        <v>101055.65710482476</v>
      </c>
      <c r="D768">
        <v>77614.789241717459</v>
      </c>
      <c r="E768">
        <v>155920.265886851</v>
      </c>
      <c r="F768">
        <v>46794.479946012762</v>
      </c>
      <c r="G768">
        <v>10000</v>
      </c>
      <c r="H768">
        <v>371385.192179406</v>
      </c>
      <c r="I768">
        <v>43.221930173900446</v>
      </c>
    </row>
    <row r="769" spans="1:9" x14ac:dyDescent="0.2">
      <c r="A769">
        <v>764</v>
      </c>
      <c r="B769">
        <v>1090234.734133322</v>
      </c>
      <c r="C769">
        <v>108611.00516687975</v>
      </c>
      <c r="D769">
        <v>88816.773727253196</v>
      </c>
      <c r="E769">
        <v>72291.893387417062</v>
      </c>
      <c r="F769">
        <v>41004.823388359648</v>
      </c>
      <c r="G769">
        <v>10000</v>
      </c>
      <c r="H769">
        <v>300724.49566990964</v>
      </c>
      <c r="I769">
        <v>49.428749540078215</v>
      </c>
    </row>
    <row r="770" spans="1:9" x14ac:dyDescent="0.2">
      <c r="A770">
        <v>765</v>
      </c>
      <c r="B770">
        <v>877856.56471619115</v>
      </c>
      <c r="C770">
        <v>128132.62672111273</v>
      </c>
      <c r="D770">
        <v>56582.086965127222</v>
      </c>
      <c r="E770">
        <v>29745.46147123678</v>
      </c>
      <c r="F770">
        <v>38059.301178777932</v>
      </c>
      <c r="G770">
        <v>10000</v>
      </c>
      <c r="H770">
        <v>242519.47633625468</v>
      </c>
      <c r="I770">
        <v>35.940945277411956</v>
      </c>
    </row>
    <row r="771" spans="1:9" x14ac:dyDescent="0.2">
      <c r="A771">
        <v>766</v>
      </c>
      <c r="B771">
        <v>1688601.2060583972</v>
      </c>
      <c r="C771">
        <v>102606.56842242193</v>
      </c>
      <c r="D771">
        <v>150774.68288453354</v>
      </c>
      <c r="E771">
        <v>173333.40894030919</v>
      </c>
      <c r="F771">
        <v>48000.005234329095</v>
      </c>
      <c r="G771">
        <v>10000</v>
      </c>
      <c r="H771">
        <v>464714.66548159375</v>
      </c>
      <c r="I771">
        <v>30.073998016768044</v>
      </c>
    </row>
    <row r="772" spans="1:9" x14ac:dyDescent="0.2">
      <c r="A772">
        <v>767</v>
      </c>
      <c r="B772">
        <v>1296267.4848000149</v>
      </c>
      <c r="C772">
        <v>115092.95596681602</v>
      </c>
      <c r="D772">
        <v>95047.065734735253</v>
      </c>
      <c r="E772">
        <v>113212.64937036228</v>
      </c>
      <c r="F772">
        <v>43837.798802563542</v>
      </c>
      <c r="G772">
        <v>10000</v>
      </c>
      <c r="H772">
        <v>357190.46987447713</v>
      </c>
      <c r="I772">
        <v>42.404021196277</v>
      </c>
    </row>
    <row r="773" spans="1:9" x14ac:dyDescent="0.2">
      <c r="A773">
        <v>768</v>
      </c>
      <c r="B773">
        <v>1641027.1181876895</v>
      </c>
      <c r="C773">
        <v>136802.707436089</v>
      </c>
      <c r="D773">
        <v>72218.317108321047</v>
      </c>
      <c r="E773">
        <v>202627.29543869954</v>
      </c>
      <c r="F773">
        <v>50028.043530371506</v>
      </c>
      <c r="G773">
        <v>10000</v>
      </c>
      <c r="H773">
        <v>451676.3635134811</v>
      </c>
      <c r="I773">
        <v>39.017036018500683</v>
      </c>
    </row>
    <row r="774" spans="1:9" x14ac:dyDescent="0.2">
      <c r="A774">
        <v>769</v>
      </c>
      <c r="B774">
        <v>985784.21592029452</v>
      </c>
      <c r="C774">
        <v>127521.33168818449</v>
      </c>
      <c r="D774">
        <v>81137.805030564079</v>
      </c>
      <c r="E774">
        <v>35015.197171486936</v>
      </c>
      <c r="F774">
        <v>38424.129034949096</v>
      </c>
      <c r="G774">
        <v>10000</v>
      </c>
      <c r="H774">
        <v>272098.46292518463</v>
      </c>
      <c r="I774">
        <v>31.377872661083053</v>
      </c>
    </row>
    <row r="775" spans="1:9" x14ac:dyDescent="0.2">
      <c r="A775">
        <v>770</v>
      </c>
      <c r="B775">
        <v>1722504.1544049478</v>
      </c>
      <c r="C775">
        <v>149373.04543122882</v>
      </c>
      <c r="D775">
        <v>120889.26411774271</v>
      </c>
      <c r="E775">
        <v>166235.30499378062</v>
      </c>
      <c r="F775">
        <v>47508.598038030963</v>
      </c>
      <c r="G775">
        <v>10000</v>
      </c>
      <c r="H775">
        <v>474006.21258078312</v>
      </c>
      <c r="I775">
        <v>33.801718619856629</v>
      </c>
    </row>
    <row r="776" spans="1:9" x14ac:dyDescent="0.2">
      <c r="A776">
        <v>771</v>
      </c>
      <c r="B776">
        <v>1148559.5616608327</v>
      </c>
      <c r="C776">
        <v>101422.97238007557</v>
      </c>
      <c r="D776">
        <v>84081.52369920921</v>
      </c>
      <c r="E776">
        <v>98392.868608253499</v>
      </c>
      <c r="F776">
        <v>42811.813980571394</v>
      </c>
      <c r="G776">
        <v>10000</v>
      </c>
      <c r="H776">
        <v>316709.1786681097</v>
      </c>
      <c r="I776">
        <v>36.046554270197412</v>
      </c>
    </row>
    <row r="777" spans="1:9" x14ac:dyDescent="0.2">
      <c r="A777">
        <v>772</v>
      </c>
      <c r="B777">
        <v>1658962.6988142044</v>
      </c>
      <c r="C777">
        <v>125313.15047449076</v>
      </c>
      <c r="D777">
        <v>83817.710401419768</v>
      </c>
      <c r="E777">
        <v>207121.78308439779</v>
      </c>
      <c r="F777">
        <v>50339.200367381389</v>
      </c>
      <c r="G777">
        <v>10000</v>
      </c>
      <c r="H777">
        <v>456591.84432768967</v>
      </c>
      <c r="I777">
        <v>45.273404327644243</v>
      </c>
    </row>
    <row r="778" spans="1:9" x14ac:dyDescent="0.2">
      <c r="A778">
        <v>773</v>
      </c>
      <c r="B778">
        <v>1113181.9421999191</v>
      </c>
      <c r="C778">
        <v>102530.83185409023</v>
      </c>
      <c r="D778">
        <v>143222.53491812234</v>
      </c>
      <c r="E778">
        <v>32977.083035150084</v>
      </c>
      <c r="F778">
        <v>38283.028825510388</v>
      </c>
      <c r="G778">
        <v>10000</v>
      </c>
      <c r="H778">
        <v>307013.47863287304</v>
      </c>
      <c r="I778">
        <v>36.108056633957347</v>
      </c>
    </row>
    <row r="779" spans="1:9" x14ac:dyDescent="0.2">
      <c r="A779">
        <v>774</v>
      </c>
      <c r="B779">
        <v>1556697.0844332373</v>
      </c>
      <c r="C779">
        <v>143487.22197898175</v>
      </c>
      <c r="D779">
        <v>56143.131602095142</v>
      </c>
      <c r="E779">
        <v>189794.63120366971</v>
      </c>
      <c r="F779">
        <v>49139.628314100206</v>
      </c>
      <c r="G779">
        <v>10000</v>
      </c>
      <c r="H779">
        <v>428564.61309884681</v>
      </c>
      <c r="I779">
        <v>45.927714587182095</v>
      </c>
    </row>
    <row r="780" spans="1:9" x14ac:dyDescent="0.2">
      <c r="A780">
        <v>775</v>
      </c>
      <c r="B780">
        <v>1027315.3948912859</v>
      </c>
      <c r="C780">
        <v>114521.35432073803</v>
      </c>
      <c r="D780">
        <v>78044.557924758177</v>
      </c>
      <c r="E780">
        <v>60711.603307742196</v>
      </c>
      <c r="F780">
        <v>40203.110998228309</v>
      </c>
      <c r="G780">
        <v>10000</v>
      </c>
      <c r="H780">
        <v>283480.6265514667</v>
      </c>
      <c r="I780">
        <v>34.909694556041842</v>
      </c>
    </row>
    <row r="781" spans="1:9" x14ac:dyDescent="0.2">
      <c r="A781">
        <v>776</v>
      </c>
      <c r="B781">
        <v>1717956.5433397153</v>
      </c>
      <c r="C781">
        <v>154057.24666192735</v>
      </c>
      <c r="D781">
        <v>109598.68498308491</v>
      </c>
      <c r="E781">
        <v>171248.29720768487</v>
      </c>
      <c r="F781">
        <v>47855.651345147417</v>
      </c>
      <c r="G781">
        <v>10000</v>
      </c>
      <c r="H781">
        <v>472759.88019784447</v>
      </c>
      <c r="I781">
        <v>43.881093762891325</v>
      </c>
    </row>
    <row r="782" spans="1:9" x14ac:dyDescent="0.2">
      <c r="A782">
        <v>777</v>
      </c>
      <c r="B782">
        <v>1201459.2776023508</v>
      </c>
      <c r="C782">
        <v>132734.95466440188</v>
      </c>
      <c r="D782">
        <v>83436.362520046736</v>
      </c>
      <c r="E782">
        <v>83270.818750027043</v>
      </c>
      <c r="F782">
        <v>41764.902836540336</v>
      </c>
      <c r="G782">
        <v>10000</v>
      </c>
      <c r="H782">
        <v>331207.03877101606</v>
      </c>
      <c r="I782">
        <v>28.763959666900227</v>
      </c>
    </row>
    <row r="783" spans="1:9" x14ac:dyDescent="0.2">
      <c r="A783">
        <v>778</v>
      </c>
      <c r="B783">
        <v>1268613.9208208465</v>
      </c>
      <c r="C783">
        <v>124481.09890712005</v>
      </c>
      <c r="D783">
        <v>144967.91085596909</v>
      </c>
      <c r="E783">
        <v>50655.705222168872</v>
      </c>
      <c r="F783">
        <v>39506.933438457847</v>
      </c>
      <c r="G783">
        <v>10000</v>
      </c>
      <c r="H783">
        <v>349611.64842371584</v>
      </c>
      <c r="I783">
        <v>32.849281222916652</v>
      </c>
    </row>
    <row r="784" spans="1:9" x14ac:dyDescent="0.2">
      <c r="A784">
        <v>779</v>
      </c>
      <c r="B784">
        <v>1090233.8184856221</v>
      </c>
      <c r="C784">
        <v>104316.66382925338</v>
      </c>
      <c r="D784">
        <v>109478.94449719496</v>
      </c>
      <c r="E784">
        <v>56983.616775308823</v>
      </c>
      <c r="F784">
        <v>39945.019622905995</v>
      </c>
      <c r="G784">
        <v>10000</v>
      </c>
      <c r="H784">
        <v>300724.24472466315</v>
      </c>
      <c r="I784">
        <v>46.857395305413483</v>
      </c>
    </row>
    <row r="785" spans="1:9" x14ac:dyDescent="0.2">
      <c r="A785">
        <v>780</v>
      </c>
      <c r="B785">
        <v>1327026.5359515192</v>
      </c>
      <c r="C785">
        <v>123457.01617643113</v>
      </c>
      <c r="D785">
        <v>71475.186635875303</v>
      </c>
      <c r="E785">
        <v>135319.88801286006</v>
      </c>
      <c r="F785">
        <v>45368.299939351848</v>
      </c>
      <c r="G785">
        <v>10000</v>
      </c>
      <c r="H785">
        <v>365620.39076451835</v>
      </c>
      <c r="I785">
        <v>44.158679680543798</v>
      </c>
    </row>
    <row r="786" spans="1:9" x14ac:dyDescent="0.2">
      <c r="A786">
        <v>781</v>
      </c>
      <c r="B786">
        <v>1809015.2880904702</v>
      </c>
      <c r="C786">
        <v>141861.74394407379</v>
      </c>
      <c r="D786">
        <v>127165.91692113565</v>
      </c>
      <c r="E786">
        <v>189564.37372543459</v>
      </c>
      <c r="F786">
        <v>49123.687411760853</v>
      </c>
      <c r="G786">
        <v>10000</v>
      </c>
      <c r="H786">
        <v>497715.72200240486</v>
      </c>
      <c r="I786">
        <v>53.122443602751041</v>
      </c>
    </row>
    <row r="787" spans="1:9" x14ac:dyDescent="0.2">
      <c r="A787">
        <v>782</v>
      </c>
      <c r="B787">
        <v>1350407.7027748583</v>
      </c>
      <c r="C787">
        <v>112798.71701462714</v>
      </c>
      <c r="D787">
        <v>46439.078028413562</v>
      </c>
      <c r="E787">
        <v>174696.16114832053</v>
      </c>
      <c r="F787">
        <v>48094.349617960652</v>
      </c>
      <c r="G787">
        <v>10000</v>
      </c>
      <c r="H787">
        <v>372028.30580932187</v>
      </c>
      <c r="I787">
        <v>52.794297432128552</v>
      </c>
    </row>
    <row r="788" spans="1:9" x14ac:dyDescent="0.2">
      <c r="A788">
        <v>783</v>
      </c>
      <c r="B788">
        <v>1345324.7857436247</v>
      </c>
      <c r="C788">
        <v>78853.277898028478</v>
      </c>
      <c r="D788">
        <v>48134.617136536421</v>
      </c>
      <c r="E788">
        <v>203555.0949738234</v>
      </c>
      <c r="F788">
        <v>50092.275805880083</v>
      </c>
      <c r="G788">
        <v>10000</v>
      </c>
      <c r="H788">
        <v>370635.26581426838</v>
      </c>
      <c r="I788">
        <v>48.366046299697729</v>
      </c>
    </row>
    <row r="789" spans="1:9" x14ac:dyDescent="0.2">
      <c r="A789">
        <v>784</v>
      </c>
      <c r="B789">
        <v>1104344.8676757223</v>
      </c>
      <c r="C789">
        <v>151990.55230119635</v>
      </c>
      <c r="D789">
        <v>30053.693168810572</v>
      </c>
      <c r="E789">
        <v>90296.051992122811</v>
      </c>
      <c r="F789">
        <v>42251.265137916191</v>
      </c>
      <c r="G789">
        <v>10000</v>
      </c>
      <c r="H789">
        <v>304591.56260004593</v>
      </c>
      <c r="I789">
        <v>41.876537545230477</v>
      </c>
    </row>
    <row r="790" spans="1:9" x14ac:dyDescent="0.2">
      <c r="A790">
        <v>785</v>
      </c>
      <c r="B790">
        <v>1250706.6995775343</v>
      </c>
      <c r="C790">
        <v>123959.75364118515</v>
      </c>
      <c r="D790">
        <v>91718.491287423225</v>
      </c>
      <c r="E790">
        <v>96354.966491913627</v>
      </c>
      <c r="F790">
        <v>42670.728449440168</v>
      </c>
      <c r="G790">
        <v>10000</v>
      </c>
      <c r="H790">
        <v>344703.93986996211</v>
      </c>
      <c r="I790">
        <v>30.168220939299367</v>
      </c>
    </row>
    <row r="791" spans="1:9" x14ac:dyDescent="0.2">
      <c r="A791">
        <v>786</v>
      </c>
      <c r="B791">
        <v>1095063.5217505174</v>
      </c>
      <c r="C791">
        <v>119632.45934506897</v>
      </c>
      <c r="D791">
        <v>117655.16063127332</v>
      </c>
      <c r="E791">
        <v>36250.610540951668</v>
      </c>
      <c r="F791">
        <v>38509.657652835114</v>
      </c>
      <c r="G791">
        <v>10000</v>
      </c>
      <c r="H791">
        <v>302047.8881701291</v>
      </c>
      <c r="I791">
        <v>46.602198765654151</v>
      </c>
    </row>
    <row r="792" spans="1:9" x14ac:dyDescent="0.2">
      <c r="A792">
        <v>787</v>
      </c>
      <c r="B792">
        <v>1540428.4965501982</v>
      </c>
      <c r="C792">
        <v>85588.404343609931</v>
      </c>
      <c r="D792">
        <v>97435.714504773016</v>
      </c>
      <c r="E792">
        <v>201155.71008938923</v>
      </c>
      <c r="F792">
        <v>49926.164544650026</v>
      </c>
      <c r="G792">
        <v>10000</v>
      </c>
      <c r="H792">
        <v>424105.9934824222</v>
      </c>
      <c r="I792">
        <v>44.983157305149462</v>
      </c>
    </row>
    <row r="793" spans="1:9" x14ac:dyDescent="0.2">
      <c r="A793">
        <v>788</v>
      </c>
      <c r="B793">
        <v>1271036.6011053668</v>
      </c>
      <c r="C793">
        <v>152104.78848327356</v>
      </c>
      <c r="D793">
        <v>87649.973074699781</v>
      </c>
      <c r="E793">
        <v>79048.280843930668</v>
      </c>
      <c r="F793">
        <v>41472.573289195199</v>
      </c>
      <c r="G793">
        <v>10000</v>
      </c>
      <c r="H793">
        <v>350275.6156910992</v>
      </c>
      <c r="I793">
        <v>39.095720202092636</v>
      </c>
    </row>
    <row r="794" spans="1:9" x14ac:dyDescent="0.2">
      <c r="A794">
        <v>789</v>
      </c>
      <c r="B794">
        <v>1516355.1672460549</v>
      </c>
      <c r="C794">
        <v>152555.81836168666</v>
      </c>
      <c r="D794">
        <v>64185.539152352925</v>
      </c>
      <c r="E794">
        <v>163451.17420685891</v>
      </c>
      <c r="F794">
        <v>47315.850522013308</v>
      </c>
      <c r="G794">
        <v>10000</v>
      </c>
      <c r="H794">
        <v>417508.38224291179</v>
      </c>
      <c r="I794">
        <v>31.877793326331449</v>
      </c>
    </row>
    <row r="795" spans="1:9" x14ac:dyDescent="0.2">
      <c r="A795">
        <v>790</v>
      </c>
      <c r="B795">
        <v>1378427.4574436403</v>
      </c>
      <c r="C795">
        <v>112783.64996723265</v>
      </c>
      <c r="D795">
        <v>78063.691899897211</v>
      </c>
      <c r="E795">
        <v>152315.24328976098</v>
      </c>
      <c r="F795">
        <v>46544.901458521912</v>
      </c>
      <c r="G795">
        <v>10000</v>
      </c>
      <c r="H795">
        <v>379707.48661541269</v>
      </c>
      <c r="I795">
        <v>36.913345499646574</v>
      </c>
    </row>
    <row r="796" spans="1:9" x14ac:dyDescent="0.2">
      <c r="A796">
        <v>791</v>
      </c>
      <c r="B796">
        <v>1769081.7721311362</v>
      </c>
      <c r="C796">
        <v>129837.78624631131</v>
      </c>
      <c r="D796">
        <v>111108.38292407661</v>
      </c>
      <c r="E796">
        <v>205591.9601345656</v>
      </c>
      <c r="F796">
        <v>50233.289547777618</v>
      </c>
      <c r="G796">
        <v>10000</v>
      </c>
      <c r="H796">
        <v>486771.41885273112</v>
      </c>
      <c r="I796">
        <v>30.585155486654696</v>
      </c>
    </row>
    <row r="797" spans="1:9" x14ac:dyDescent="0.2">
      <c r="A797">
        <v>792</v>
      </c>
      <c r="B797">
        <v>1486741.6363289799</v>
      </c>
      <c r="C797">
        <v>93571.443353979805</v>
      </c>
      <c r="D797">
        <v>129486.75666852876</v>
      </c>
      <c r="E797">
        <v>149952.8546783838</v>
      </c>
      <c r="F797">
        <v>46381.351477734257</v>
      </c>
      <c r="G797">
        <v>10000</v>
      </c>
      <c r="H797">
        <v>409392.40617862664</v>
      </c>
      <c r="I797">
        <v>28.68727183492561</v>
      </c>
    </row>
    <row r="798" spans="1:9" x14ac:dyDescent="0.2">
      <c r="A798">
        <v>793</v>
      </c>
      <c r="B798">
        <v>1358618.9038663469</v>
      </c>
      <c r="C798">
        <v>117834.04888870234</v>
      </c>
      <c r="D798">
        <v>72007.69909364215</v>
      </c>
      <c r="E798">
        <v>148178.43781380495</v>
      </c>
      <c r="F798">
        <v>46258.507233263415</v>
      </c>
      <c r="G798">
        <v>10000</v>
      </c>
      <c r="H798">
        <v>374278.69302941283</v>
      </c>
      <c r="I798">
        <v>37.501686907044203</v>
      </c>
    </row>
    <row r="799" spans="1:9" x14ac:dyDescent="0.2">
      <c r="A799">
        <v>794</v>
      </c>
      <c r="B799">
        <v>1580717.8569770968</v>
      </c>
      <c r="C799">
        <v>96389.645258992372</v>
      </c>
      <c r="D799">
        <v>101074.02357202569</v>
      </c>
      <c r="E799">
        <v>197977.98354701052</v>
      </c>
      <c r="F799">
        <v>49706.168091716114</v>
      </c>
      <c r="G799">
        <v>10000</v>
      </c>
      <c r="H799">
        <v>435147.82046974474</v>
      </c>
      <c r="I799">
        <v>31.74383670431364</v>
      </c>
    </row>
    <row r="800" spans="1:9" x14ac:dyDescent="0.2">
      <c r="A800">
        <v>795</v>
      </c>
      <c r="B800">
        <v>1090961.3961633146</v>
      </c>
      <c r="C800">
        <v>99306.814166691955</v>
      </c>
      <c r="D800">
        <v>70256.335181615344</v>
      </c>
      <c r="E800">
        <v>98538.594849344954</v>
      </c>
      <c r="F800">
        <v>42821.902720339269</v>
      </c>
      <c r="G800">
        <v>10000</v>
      </c>
      <c r="H800">
        <v>300923.64691799146</v>
      </c>
      <c r="I800">
        <v>48.693785068469055</v>
      </c>
    </row>
    <row r="801" spans="1:9" x14ac:dyDescent="0.2">
      <c r="A801">
        <v>796</v>
      </c>
      <c r="B801">
        <v>1222162.9126937541</v>
      </c>
      <c r="C801">
        <v>135923.78902155787</v>
      </c>
      <c r="D801">
        <v>85913.598205413291</v>
      </c>
      <c r="E801">
        <v>83278.331026693239</v>
      </c>
      <c r="F801">
        <v>41765.422917232609</v>
      </c>
      <c r="G801">
        <v>10000</v>
      </c>
      <c r="H801">
        <v>336881.141170897</v>
      </c>
      <c r="I801">
        <v>44.047384246130719</v>
      </c>
    </row>
    <row r="802" spans="1:9" x14ac:dyDescent="0.2">
      <c r="A802">
        <v>797</v>
      </c>
      <c r="B802">
        <v>1514516.4602967135</v>
      </c>
      <c r="C802">
        <v>150507.74402820968</v>
      </c>
      <c r="D802">
        <v>88429.82369930399</v>
      </c>
      <c r="E802">
        <v>142220.83498360403</v>
      </c>
      <c r="F802">
        <v>45846.057806557197</v>
      </c>
      <c r="G802">
        <v>10000</v>
      </c>
      <c r="H802">
        <v>417004.46051767492</v>
      </c>
      <c r="I802">
        <v>34.227625491140792</v>
      </c>
    </row>
    <row r="803" spans="1:9" x14ac:dyDescent="0.2">
      <c r="A803">
        <v>798</v>
      </c>
      <c r="B803">
        <v>1509856.5425169475</v>
      </c>
      <c r="C803">
        <v>153065.53925895109</v>
      </c>
      <c r="D803">
        <v>80005.128043215402</v>
      </c>
      <c r="E803">
        <v>146513.4433224508</v>
      </c>
      <c r="F803">
        <v>46143.238383861979</v>
      </c>
      <c r="G803">
        <v>10000</v>
      </c>
      <c r="H803">
        <v>415727.34900847927</v>
      </c>
      <c r="I803">
        <v>41.225075947575959</v>
      </c>
    </row>
    <row r="804" spans="1:9" x14ac:dyDescent="0.2">
      <c r="A804">
        <v>799</v>
      </c>
      <c r="B804">
        <v>1530088.0102879736</v>
      </c>
      <c r="C804">
        <v>124638.21635441326</v>
      </c>
      <c r="D804">
        <v>147306.87177600124</v>
      </c>
      <c r="E804">
        <v>115341.76081320635</v>
      </c>
      <c r="F804">
        <v>43985.198825529675</v>
      </c>
      <c r="G804">
        <v>10000</v>
      </c>
      <c r="H804">
        <v>421272.04776915046</v>
      </c>
      <c r="I804">
        <v>44.733014536536089</v>
      </c>
    </row>
    <row r="805" spans="1:9" x14ac:dyDescent="0.2">
      <c r="A805">
        <v>800</v>
      </c>
      <c r="B805">
        <v>1125589.9168696178</v>
      </c>
      <c r="C805">
        <v>93504.746953158683</v>
      </c>
      <c r="D805">
        <v>99583.303748144172</v>
      </c>
      <c r="E805">
        <v>85412.801944765131</v>
      </c>
      <c r="F805">
        <v>41913.193980791431</v>
      </c>
      <c r="G805">
        <v>10000</v>
      </c>
      <c r="H805">
        <v>310414.0466268594</v>
      </c>
      <c r="I805">
        <v>31.879973522088893</v>
      </c>
    </row>
    <row r="806" spans="1:9" x14ac:dyDescent="0.2">
      <c r="A806">
        <v>801</v>
      </c>
      <c r="B806">
        <v>1412152.7677141083</v>
      </c>
      <c r="C806">
        <v>85884.229922640108</v>
      </c>
      <c r="D806">
        <v>62023.605929075668</v>
      </c>
      <c r="E806">
        <v>201118.89781839016</v>
      </c>
      <c r="F806">
        <v>49923.616002811628</v>
      </c>
      <c r="G806">
        <v>10000</v>
      </c>
      <c r="H806">
        <v>388950.34967291757</v>
      </c>
      <c r="I806">
        <v>24.670646537462325</v>
      </c>
    </row>
    <row r="807" spans="1:9" x14ac:dyDescent="0.2">
      <c r="A807">
        <v>802</v>
      </c>
      <c r="B807">
        <v>1671885.9883604832</v>
      </c>
      <c r="C807">
        <v>103432.31756280521</v>
      </c>
      <c r="D807">
        <v>129359.64979774761</v>
      </c>
      <c r="E807">
        <v>188305.16250309849</v>
      </c>
      <c r="F807">
        <v>49036.511250214513</v>
      </c>
      <c r="G807">
        <v>10000</v>
      </c>
      <c r="H807">
        <v>460133.64111386583</v>
      </c>
      <c r="I807">
        <v>31.504856055472093</v>
      </c>
    </row>
    <row r="808" spans="1:9" x14ac:dyDescent="0.2">
      <c r="A808">
        <v>803</v>
      </c>
      <c r="B808">
        <v>1512981.0220812843</v>
      </c>
      <c r="C808">
        <v>84822.141709804957</v>
      </c>
      <c r="D808">
        <v>84718.14816655936</v>
      </c>
      <c r="E808">
        <v>206731.20344659904</v>
      </c>
      <c r="F808">
        <v>50312.160238610704</v>
      </c>
      <c r="G808">
        <v>10000</v>
      </c>
      <c r="H808">
        <v>416583.65356157406</v>
      </c>
      <c r="I808">
        <v>31.874043987307619</v>
      </c>
    </row>
    <row r="809" spans="1:9" x14ac:dyDescent="0.2">
      <c r="A809">
        <v>804</v>
      </c>
      <c r="B809">
        <v>1224699.098929639</v>
      </c>
      <c r="C809">
        <v>125117.33207701096</v>
      </c>
      <c r="D809">
        <v>110217.26909419602</v>
      </c>
      <c r="E809">
        <v>71305.107609971921</v>
      </c>
      <c r="F809">
        <v>40936.507449921133</v>
      </c>
      <c r="G809">
        <v>10000</v>
      </c>
      <c r="H809">
        <v>337576.21623110003</v>
      </c>
      <c r="I809">
        <v>37.720284491013508</v>
      </c>
    </row>
    <row r="810" spans="1:9" x14ac:dyDescent="0.2">
      <c r="A810">
        <v>805</v>
      </c>
      <c r="B810">
        <v>1352425.9762148783</v>
      </c>
      <c r="C810">
        <v>134295.5140672772</v>
      </c>
      <c r="D810">
        <v>33376.592280854238</v>
      </c>
      <c r="E810">
        <v>167325.27615540338</v>
      </c>
      <c r="F810">
        <v>47584.057579989465</v>
      </c>
      <c r="G810">
        <v>10000</v>
      </c>
      <c r="H810">
        <v>372581.44008352427</v>
      </c>
      <c r="I810">
        <v>30.450862413069984</v>
      </c>
    </row>
    <row r="811" spans="1:9" x14ac:dyDescent="0.2">
      <c r="A811">
        <v>806</v>
      </c>
      <c r="B811">
        <v>1276863.9053586775</v>
      </c>
      <c r="C811">
        <v>124056.89356801921</v>
      </c>
      <c r="D811">
        <v>89624.049088024913</v>
      </c>
      <c r="E811">
        <v>104927.50987701394</v>
      </c>
      <c r="F811">
        <v>43264.212222254813</v>
      </c>
      <c r="G811">
        <v>10000</v>
      </c>
      <c r="H811">
        <v>351872.6647553129</v>
      </c>
      <c r="I811">
        <v>33.849487724978616</v>
      </c>
    </row>
    <row r="812" spans="1:9" x14ac:dyDescent="0.2">
      <c r="A812">
        <v>807</v>
      </c>
      <c r="B812">
        <v>1085944.9597755896</v>
      </c>
      <c r="C812">
        <v>122793.89633731122</v>
      </c>
      <c r="D812">
        <v>56912.796103727946</v>
      </c>
      <c r="E812">
        <v>87766.024953260901</v>
      </c>
      <c r="F812">
        <v>42076.109419841137</v>
      </c>
      <c r="G812">
        <v>10000</v>
      </c>
      <c r="H812">
        <v>299548.82681414118</v>
      </c>
      <c r="I812">
        <v>47.267832123508335</v>
      </c>
    </row>
    <row r="813" spans="1:9" x14ac:dyDescent="0.2">
      <c r="A813">
        <v>808</v>
      </c>
      <c r="B813">
        <v>1602590.2461005582</v>
      </c>
      <c r="C813">
        <v>166948.69122846765</v>
      </c>
      <c r="D813">
        <v>166597.06898606382</v>
      </c>
      <c r="E813">
        <v>76313.250006955321</v>
      </c>
      <c r="F813">
        <v>41283.225000481521</v>
      </c>
      <c r="G813">
        <v>10000</v>
      </c>
      <c r="H813">
        <v>441142.23522196832</v>
      </c>
      <c r="I813">
        <v>30.506898502202553</v>
      </c>
    </row>
    <row r="814" spans="1:9" x14ac:dyDescent="0.2">
      <c r="A814">
        <v>809</v>
      </c>
      <c r="B814">
        <v>1493410.7821894651</v>
      </c>
      <c r="C814">
        <v>126574.93905382705</v>
      </c>
      <c r="D814">
        <v>147557.86964739455</v>
      </c>
      <c r="E814">
        <v>103894.65722307799</v>
      </c>
      <c r="F814">
        <v>43192.707038520777</v>
      </c>
      <c r="G814">
        <v>10000</v>
      </c>
      <c r="H814">
        <v>411220.17296282033</v>
      </c>
      <c r="I814">
        <v>41.550775777348825</v>
      </c>
    </row>
    <row r="815" spans="1:9" x14ac:dyDescent="0.2">
      <c r="A815">
        <v>810</v>
      </c>
      <c r="B815">
        <v>1008324.6343626459</v>
      </c>
      <c r="C815">
        <v>76256.175143481232</v>
      </c>
      <c r="D815">
        <v>93143.630032258254</v>
      </c>
      <c r="E815">
        <v>77510.072729059888</v>
      </c>
      <c r="F815">
        <v>41366.081958165683</v>
      </c>
      <c r="G815">
        <v>10000</v>
      </c>
      <c r="H815">
        <v>278275.95986296504</v>
      </c>
      <c r="I815">
        <v>27.396402975008257</v>
      </c>
    </row>
    <row r="816" spans="1:9" x14ac:dyDescent="0.2">
      <c r="A816">
        <v>811</v>
      </c>
      <c r="B816">
        <v>1714020.3513433002</v>
      </c>
      <c r="C816">
        <v>123661.23709957612</v>
      </c>
      <c r="D816">
        <v>116840.50072293605</v>
      </c>
      <c r="E816">
        <v>191894.38173854144</v>
      </c>
      <c r="F816">
        <v>49284.995658822103</v>
      </c>
      <c r="G816">
        <v>10000</v>
      </c>
      <c r="H816">
        <v>471681.1152198757</v>
      </c>
      <c r="I816">
        <v>25.503346802167769</v>
      </c>
    </row>
    <row r="817" spans="1:9" x14ac:dyDescent="0.2">
      <c r="A817">
        <v>812</v>
      </c>
      <c r="B817">
        <v>1379698.5953557666</v>
      </c>
      <c r="C817">
        <v>104864.07169276362</v>
      </c>
      <c r="D817">
        <v>31782.887202061156</v>
      </c>
      <c r="E817">
        <v>203332.06448298288</v>
      </c>
      <c r="F817">
        <v>50076.835233437276</v>
      </c>
      <c r="G817">
        <v>10000</v>
      </c>
      <c r="H817">
        <v>380055.85861124494</v>
      </c>
      <c r="I817">
        <v>35.594950715557552</v>
      </c>
    </row>
    <row r="818" spans="1:9" x14ac:dyDescent="0.2">
      <c r="A818">
        <v>813</v>
      </c>
      <c r="B818">
        <v>1237408.4159316197</v>
      </c>
      <c r="C818">
        <v>119422.46614981329</v>
      </c>
      <c r="D818">
        <v>95023.426138648196</v>
      </c>
      <c r="E818">
        <v>94098.936960581108</v>
      </c>
      <c r="F818">
        <v>42514.541789578696</v>
      </c>
      <c r="G818">
        <v>10000</v>
      </c>
      <c r="H818">
        <v>341059.37103862129</v>
      </c>
      <c r="I818">
        <v>30.001609144185736</v>
      </c>
    </row>
    <row r="819" spans="1:9" x14ac:dyDescent="0.2">
      <c r="A819">
        <v>814</v>
      </c>
      <c r="B819">
        <v>1101607.9109766267</v>
      </c>
      <c r="C819">
        <v>109295.34728172577</v>
      </c>
      <c r="D819">
        <v>60167.338564875841</v>
      </c>
      <c r="E819">
        <v>101361.44697352524</v>
      </c>
      <c r="F819">
        <v>43017.33094432098</v>
      </c>
      <c r="G819">
        <v>10000</v>
      </c>
      <c r="H819">
        <v>303841.46376444784</v>
      </c>
      <c r="I819">
        <v>35.878638633899996</v>
      </c>
    </row>
    <row r="820" spans="1:9" x14ac:dyDescent="0.2">
      <c r="A820">
        <v>815</v>
      </c>
      <c r="B820">
        <v>1320534.1494786392</v>
      </c>
      <c r="C820">
        <v>98459.054651939718</v>
      </c>
      <c r="D820">
        <v>129535.69973515223</v>
      </c>
      <c r="E820">
        <v>102733.96162912133</v>
      </c>
      <c r="F820">
        <v>43112.351189708403</v>
      </c>
      <c r="G820">
        <v>10000</v>
      </c>
      <c r="H820">
        <v>363841.06720592169</v>
      </c>
      <c r="I820">
        <v>35.247706643745701</v>
      </c>
    </row>
    <row r="821" spans="1:9" x14ac:dyDescent="0.2">
      <c r="A821">
        <v>816</v>
      </c>
      <c r="B821">
        <v>1199065.127588145</v>
      </c>
      <c r="C821">
        <v>129067.35459923434</v>
      </c>
      <c r="D821">
        <v>67764.246079750679</v>
      </c>
      <c r="E821">
        <v>100744.65963643168</v>
      </c>
      <c r="F821">
        <v>42974.630282522194</v>
      </c>
      <c r="G821">
        <v>10000</v>
      </c>
      <c r="H821">
        <v>330550.89059793885</v>
      </c>
      <c r="I821">
        <v>46.9048773157119</v>
      </c>
    </row>
    <row r="822" spans="1:9" x14ac:dyDescent="0.2">
      <c r="A822">
        <v>817</v>
      </c>
      <c r="B822">
        <v>1117677.035894973</v>
      </c>
      <c r="C822">
        <v>104195.51866866626</v>
      </c>
      <c r="D822">
        <v>142887.73701134589</v>
      </c>
      <c r="E822">
        <v>32885.475497359665</v>
      </c>
      <c r="F822">
        <v>38276.686765201819</v>
      </c>
      <c r="G822">
        <v>10000</v>
      </c>
      <c r="H822">
        <v>308245.41794257361</v>
      </c>
      <c r="I822">
        <v>28.466683541821318</v>
      </c>
    </row>
    <row r="823" spans="1:9" x14ac:dyDescent="0.2">
      <c r="A823">
        <v>818</v>
      </c>
      <c r="B823">
        <v>1852522.3028185365</v>
      </c>
      <c r="C823">
        <v>100911.33696498869</v>
      </c>
      <c r="D823">
        <v>174851.24647929679</v>
      </c>
      <c r="E823">
        <v>194417.15655568024</v>
      </c>
      <c r="F823">
        <v>49459.649300008627</v>
      </c>
      <c r="G823">
        <v>10000</v>
      </c>
      <c r="H823">
        <v>509639.38929997437</v>
      </c>
      <c r="I823">
        <v>41.693458124012999</v>
      </c>
    </row>
    <row r="824" spans="1:9" x14ac:dyDescent="0.2">
      <c r="A824">
        <v>819</v>
      </c>
      <c r="B824">
        <v>1713995.0065300851</v>
      </c>
      <c r="C824">
        <v>143796.57480416901</v>
      </c>
      <c r="D824">
        <v>140034.5021196437</v>
      </c>
      <c r="E824">
        <v>151364.04308158474</v>
      </c>
      <c r="F824">
        <v>46479.049136417401</v>
      </c>
      <c r="G824">
        <v>10000</v>
      </c>
      <c r="H824">
        <v>471674.16914181487</v>
      </c>
      <c r="I824">
        <v>37.242881410293492</v>
      </c>
    </row>
    <row r="825" spans="1:9" x14ac:dyDescent="0.2">
      <c r="A825">
        <v>820</v>
      </c>
      <c r="B825">
        <v>1162929.9165149692</v>
      </c>
      <c r="C825">
        <v>86847.079517319042</v>
      </c>
      <c r="D825">
        <v>50132.15091248112</v>
      </c>
      <c r="E825">
        <v>147459.59129204068</v>
      </c>
      <c r="F825">
        <v>46208.740935602815</v>
      </c>
      <c r="G825">
        <v>10000</v>
      </c>
      <c r="H825">
        <v>320647.56265744369</v>
      </c>
      <c r="I825">
        <v>27.04872889464669</v>
      </c>
    </row>
    <row r="826" spans="1:9" x14ac:dyDescent="0.2">
      <c r="A826">
        <v>821</v>
      </c>
      <c r="B826">
        <v>1238772.8080880421</v>
      </c>
      <c r="C826">
        <v>148711.86984969111</v>
      </c>
      <c r="D826">
        <v>51433.465180278596</v>
      </c>
      <c r="E826">
        <v>107823.27713468189</v>
      </c>
      <c r="F826">
        <v>43464.688417016441</v>
      </c>
      <c r="G826">
        <v>10000</v>
      </c>
      <c r="H826">
        <v>341433.30058166804</v>
      </c>
      <c r="I826">
        <v>26.184886219929126</v>
      </c>
    </row>
    <row r="827" spans="1:9" x14ac:dyDescent="0.2">
      <c r="A827">
        <v>822</v>
      </c>
      <c r="B827">
        <v>1167609.0323813118</v>
      </c>
      <c r="C827">
        <v>132297.26397204294</v>
      </c>
      <c r="D827">
        <v>57161.479793433893</v>
      </c>
      <c r="E827">
        <v>99577.373708454208</v>
      </c>
      <c r="F827">
        <v>42893.818179816059</v>
      </c>
      <c r="G827">
        <v>10000</v>
      </c>
      <c r="H827">
        <v>321929.93565374712</v>
      </c>
      <c r="I827">
        <v>39.198121852157314</v>
      </c>
    </row>
    <row r="828" spans="1:9" x14ac:dyDescent="0.2">
      <c r="A828">
        <v>823</v>
      </c>
      <c r="B828">
        <v>1448016.9941900023</v>
      </c>
      <c r="C828">
        <v>102213.71878115751</v>
      </c>
      <c r="D828">
        <v>49033.206190101904</v>
      </c>
      <c r="E828">
        <v>207188.65575009235</v>
      </c>
      <c r="F828">
        <v>50343.83001346793</v>
      </c>
      <c r="G828">
        <v>10000</v>
      </c>
      <c r="H828">
        <v>398779.41073481971</v>
      </c>
      <c r="I828">
        <v>27.408429422932397</v>
      </c>
    </row>
    <row r="829" spans="1:9" x14ac:dyDescent="0.2">
      <c r="A829">
        <v>824</v>
      </c>
      <c r="B829">
        <v>1336420.8972636217</v>
      </c>
      <c r="C829">
        <v>110105.50183759794</v>
      </c>
      <c r="D829">
        <v>157066.8856596695</v>
      </c>
      <c r="E829">
        <v>70165.069322071897</v>
      </c>
      <c r="F829">
        <v>40857.581722297284</v>
      </c>
      <c r="G829">
        <v>10000</v>
      </c>
      <c r="H829">
        <v>368195.03854163666</v>
      </c>
      <c r="I829">
        <v>32.404778096349588</v>
      </c>
    </row>
    <row r="830" spans="1:9" x14ac:dyDescent="0.2">
      <c r="A830">
        <v>825</v>
      </c>
      <c r="B830">
        <v>1095949.0861663905</v>
      </c>
      <c r="C830">
        <v>94230.492558241633</v>
      </c>
      <c r="D830">
        <v>80726.812811106298</v>
      </c>
      <c r="E830">
        <v>94772.135487762673</v>
      </c>
      <c r="F830">
        <v>42561.147841460494</v>
      </c>
      <c r="G830">
        <v>10000</v>
      </c>
      <c r="H830">
        <v>302290.58869857108</v>
      </c>
      <c r="I830">
        <v>37.117499626970442</v>
      </c>
    </row>
    <row r="831" spans="1:9" x14ac:dyDescent="0.2">
      <c r="A831">
        <v>826</v>
      </c>
      <c r="B831">
        <v>1431614.5753906264</v>
      </c>
      <c r="C831">
        <v>111904.83360059347</v>
      </c>
      <c r="D831">
        <v>70809.133252119471</v>
      </c>
      <c r="E831">
        <v>173554.81294601431</v>
      </c>
      <c r="F831">
        <v>48015.333203954833</v>
      </c>
      <c r="G831">
        <v>10000</v>
      </c>
      <c r="H831">
        <v>394284.1130026821</v>
      </c>
      <c r="I831">
        <v>39.214796185918686</v>
      </c>
    </row>
    <row r="832" spans="1:9" x14ac:dyDescent="0.2">
      <c r="A832">
        <v>827</v>
      </c>
      <c r="B832">
        <v>1107216.3120184932</v>
      </c>
      <c r="C832">
        <v>115257.03141159631</v>
      </c>
      <c r="D832">
        <v>79939.330261442752</v>
      </c>
      <c r="E832">
        <v>78731.514548174164</v>
      </c>
      <c r="F832">
        <v>41450.643314873603</v>
      </c>
      <c r="G832">
        <v>10000</v>
      </c>
      <c r="H832">
        <v>305378.51953608688</v>
      </c>
      <c r="I832">
        <v>35.588650233233317</v>
      </c>
    </row>
    <row r="833" spans="1:9" x14ac:dyDescent="0.2">
      <c r="A833">
        <v>828</v>
      </c>
      <c r="B833">
        <v>1390490.9549325174</v>
      </c>
      <c r="C833">
        <v>99070.300265041311</v>
      </c>
      <c r="D833">
        <v>129676.00402941025</v>
      </c>
      <c r="E833">
        <v>119962.2621442262</v>
      </c>
      <c r="F833">
        <v>44305.079686907971</v>
      </c>
      <c r="G833">
        <v>10000</v>
      </c>
      <c r="H833">
        <v>383013.64612558571</v>
      </c>
      <c r="I833">
        <v>37.62011377529619</v>
      </c>
    </row>
    <row r="834" spans="1:9" x14ac:dyDescent="0.2">
      <c r="A834">
        <v>829</v>
      </c>
      <c r="B834">
        <v>1630577.2835481241</v>
      </c>
      <c r="C834">
        <v>144025.82053374147</v>
      </c>
      <c r="D834">
        <v>92127.388160505259</v>
      </c>
      <c r="E834">
        <v>174573.39063021238</v>
      </c>
      <c r="F834">
        <v>48085.850120553165</v>
      </c>
      <c r="G834">
        <v>10000</v>
      </c>
      <c r="H834">
        <v>448812.44944501226</v>
      </c>
      <c r="I834">
        <v>37.382847879271885</v>
      </c>
    </row>
    <row r="835" spans="1:9" x14ac:dyDescent="0.2">
      <c r="A835">
        <v>830</v>
      </c>
      <c r="B835">
        <v>1573113.0361855822</v>
      </c>
      <c r="C835">
        <v>100643.74758679679</v>
      </c>
      <c r="D835">
        <v>94843.543664982266</v>
      </c>
      <c r="E835">
        <v>197877.14172727356</v>
      </c>
      <c r="F835">
        <v>49699.186734965093</v>
      </c>
      <c r="G835">
        <v>10000</v>
      </c>
      <c r="H835">
        <v>433063.61971401772</v>
      </c>
      <c r="I835">
        <v>46.753975892779984</v>
      </c>
    </row>
    <row r="836" spans="1:9" x14ac:dyDescent="0.2">
      <c r="A836">
        <v>831</v>
      </c>
      <c r="B836">
        <v>1225429.5783182168</v>
      </c>
      <c r="C836">
        <v>96195.473376803769</v>
      </c>
      <c r="D836">
        <v>171362.7541922165</v>
      </c>
      <c r="E836">
        <v>41355.138085951483</v>
      </c>
      <c r="F836">
        <v>38863.048021335104</v>
      </c>
      <c r="G836">
        <v>10000</v>
      </c>
      <c r="H836">
        <v>337776.41367630684</v>
      </c>
      <c r="I836">
        <v>39.924120723537897</v>
      </c>
    </row>
    <row r="837" spans="1:9" x14ac:dyDescent="0.2">
      <c r="A837">
        <v>832</v>
      </c>
      <c r="B837">
        <v>1258021.2460945267</v>
      </c>
      <c r="C837">
        <v>102540.78662157564</v>
      </c>
      <c r="D837">
        <v>95606.557651666648</v>
      </c>
      <c r="E837">
        <v>114625.62284220303</v>
      </c>
      <c r="F837">
        <v>43935.62004292175</v>
      </c>
      <c r="G837">
        <v>10000</v>
      </c>
      <c r="H837">
        <v>346708.58715836704</v>
      </c>
      <c r="I837">
        <v>37.308680378981919</v>
      </c>
    </row>
    <row r="838" spans="1:9" x14ac:dyDescent="0.2">
      <c r="A838">
        <v>833</v>
      </c>
      <c r="B838">
        <v>1494000.2745383461</v>
      </c>
      <c r="C838">
        <v>95174.765811438629</v>
      </c>
      <c r="D838">
        <v>117535.53785978848</v>
      </c>
      <c r="E838">
        <v>161491.26302824594</v>
      </c>
      <c r="F838">
        <v>47180.164363493946</v>
      </c>
      <c r="G838">
        <v>10000</v>
      </c>
      <c r="H838">
        <v>411381.73106296704</v>
      </c>
      <c r="I838">
        <v>27.299722148967533</v>
      </c>
    </row>
    <row r="839" spans="1:9" x14ac:dyDescent="0.2">
      <c r="A839">
        <v>834</v>
      </c>
      <c r="B839">
        <v>1051634.6050357027</v>
      </c>
      <c r="C839">
        <v>84341.304832569702</v>
      </c>
      <c r="D839">
        <v>77189.906583247241</v>
      </c>
      <c r="E839">
        <v>95970.31454129098</v>
      </c>
      <c r="F839">
        <v>42644.098699012451</v>
      </c>
      <c r="G839">
        <v>10000</v>
      </c>
      <c r="H839">
        <v>290145.62465612037</v>
      </c>
      <c r="I839">
        <v>38.077249162317671</v>
      </c>
    </row>
    <row r="840" spans="1:9" x14ac:dyDescent="0.2">
      <c r="A840">
        <v>835</v>
      </c>
      <c r="B840">
        <v>1501543.9018217851</v>
      </c>
      <c r="C840">
        <v>129995.12728727557</v>
      </c>
      <c r="D840">
        <v>114261.20626303848</v>
      </c>
      <c r="E840">
        <v>133921.34935371933</v>
      </c>
      <c r="F840">
        <v>45271.478032180567</v>
      </c>
      <c r="G840">
        <v>10000</v>
      </c>
      <c r="H840">
        <v>413449.16093621391</v>
      </c>
      <c r="I840">
        <v>40.184679681976334</v>
      </c>
    </row>
    <row r="841" spans="1:9" x14ac:dyDescent="0.2">
      <c r="A841">
        <v>836</v>
      </c>
      <c r="B841">
        <v>1407900.719938796</v>
      </c>
      <c r="C841">
        <v>108633.1850376526</v>
      </c>
      <c r="D841">
        <v>115425.82158732224</v>
      </c>
      <c r="E841">
        <v>128808.50198069183</v>
      </c>
      <c r="F841">
        <v>44917.511675586356</v>
      </c>
      <c r="G841">
        <v>10000</v>
      </c>
      <c r="H841">
        <v>387785.02028125303</v>
      </c>
      <c r="I841">
        <v>30.863215235848543</v>
      </c>
    </row>
    <row r="842" spans="1:9" x14ac:dyDescent="0.2">
      <c r="A842">
        <v>837</v>
      </c>
      <c r="B842">
        <v>1481133.3781651831</v>
      </c>
      <c r="C842">
        <v>135560.15269104959</v>
      </c>
      <c r="D842">
        <v>116626.69890949443</v>
      </c>
      <c r="E842">
        <v>121272.73334767294</v>
      </c>
      <c r="F842">
        <v>44395.804616377362</v>
      </c>
      <c r="G842">
        <v>10000</v>
      </c>
      <c r="H842">
        <v>407855.38956459425</v>
      </c>
      <c r="I842">
        <v>42.733811963500472</v>
      </c>
    </row>
    <row r="843" spans="1:9" x14ac:dyDescent="0.2">
      <c r="A843">
        <v>838</v>
      </c>
      <c r="B843">
        <v>1166979.2238349675</v>
      </c>
      <c r="C843">
        <v>82809.060008948436</v>
      </c>
      <c r="D843">
        <v>51147.242925509374</v>
      </c>
      <c r="E843">
        <v>151324.70004909934</v>
      </c>
      <c r="F843">
        <v>46476.325388014571</v>
      </c>
      <c r="G843">
        <v>10000</v>
      </c>
      <c r="H843">
        <v>321757.32837157173</v>
      </c>
      <c r="I843">
        <v>30.907332775726083</v>
      </c>
    </row>
    <row r="844" spans="1:9" x14ac:dyDescent="0.2">
      <c r="A844">
        <v>839</v>
      </c>
      <c r="B844">
        <v>1003492.3519027737</v>
      </c>
      <c r="C844">
        <v>135472.01381171425</v>
      </c>
      <c r="D844">
        <v>51583.575833280622</v>
      </c>
      <c r="E844">
        <v>59758.867542040076</v>
      </c>
      <c r="F844">
        <v>40137.152368295079</v>
      </c>
      <c r="G844">
        <v>10000</v>
      </c>
      <c r="H844">
        <v>276951.60955533001</v>
      </c>
      <c r="I844">
        <v>42.664950932149438</v>
      </c>
    </row>
    <row r="845" spans="1:9" x14ac:dyDescent="0.2">
      <c r="A845">
        <v>840</v>
      </c>
      <c r="B845">
        <v>1414407.0829897528</v>
      </c>
      <c r="C845">
        <v>123967.25236297552</v>
      </c>
      <c r="D845">
        <v>81599.291731306308</v>
      </c>
      <c r="E845">
        <v>147771.30882937775</v>
      </c>
      <c r="F845">
        <v>46230.321380495385</v>
      </c>
      <c r="G845">
        <v>10000</v>
      </c>
      <c r="H845">
        <v>389568.17430415499</v>
      </c>
      <c r="I845">
        <v>41.58668041091844</v>
      </c>
    </row>
    <row r="846" spans="1:9" x14ac:dyDescent="0.2">
      <c r="A846">
        <v>841</v>
      </c>
      <c r="B846">
        <v>1429277.771775831</v>
      </c>
      <c r="C846">
        <v>115990.29904961682</v>
      </c>
      <c r="D846">
        <v>61548.100140768242</v>
      </c>
      <c r="E846">
        <v>177796.3070665673</v>
      </c>
      <c r="F846">
        <v>48308.975104608508</v>
      </c>
      <c r="G846">
        <v>10000</v>
      </c>
      <c r="H846">
        <v>393643.68136156088</v>
      </c>
      <c r="I846">
        <v>31.472738493427705</v>
      </c>
    </row>
    <row r="847" spans="1:9" x14ac:dyDescent="0.2">
      <c r="A847">
        <v>842</v>
      </c>
      <c r="B847">
        <v>1329249.5951716066</v>
      </c>
      <c r="C847">
        <v>72733.404761700833</v>
      </c>
      <c r="D847">
        <v>96353.456653300367</v>
      </c>
      <c r="E847">
        <v>160061.60014682449</v>
      </c>
      <c r="F847">
        <v>47081.187702472467</v>
      </c>
      <c r="G847">
        <v>10000</v>
      </c>
      <c r="H847">
        <v>366229.64926429815</v>
      </c>
      <c r="I847">
        <v>42.610193178397019</v>
      </c>
    </row>
    <row r="848" spans="1:9" x14ac:dyDescent="0.2">
      <c r="A848">
        <v>843</v>
      </c>
      <c r="B848">
        <v>1111460.2852738348</v>
      </c>
      <c r="C848">
        <v>110025.52570470089</v>
      </c>
      <c r="D848">
        <v>57698.128049788349</v>
      </c>
      <c r="E848">
        <v>105513.22080495085</v>
      </c>
      <c r="F848">
        <v>43304.761440342743</v>
      </c>
      <c r="G848">
        <v>10000</v>
      </c>
      <c r="H848">
        <v>306541.63599978283</v>
      </c>
      <c r="I848">
        <v>35.715261702895233</v>
      </c>
    </row>
    <row r="849" spans="1:9" x14ac:dyDescent="0.2">
      <c r="A849">
        <v>844</v>
      </c>
      <c r="B849">
        <v>1314881.0572979285</v>
      </c>
      <c r="C849">
        <v>123378.85053968619</v>
      </c>
      <c r="D849">
        <v>150235.85908740413</v>
      </c>
      <c r="E849">
        <v>58618.827122101015</v>
      </c>
      <c r="F849">
        <v>40058.226493068527</v>
      </c>
      <c r="G849">
        <v>10000</v>
      </c>
      <c r="H849">
        <v>362291.76324225985</v>
      </c>
      <c r="I849">
        <v>43.454207598383221</v>
      </c>
    </row>
    <row r="850" spans="1:9" x14ac:dyDescent="0.2">
      <c r="A850">
        <v>845</v>
      </c>
      <c r="B850">
        <v>1479368.1857722141</v>
      </c>
      <c r="C850">
        <v>111380.58871674391</v>
      </c>
      <c r="D850">
        <v>54138.737961976483</v>
      </c>
      <c r="E850">
        <v>201876.24131233073</v>
      </c>
      <c r="F850">
        <v>49976.047475469051</v>
      </c>
      <c r="G850">
        <v>10000</v>
      </c>
      <c r="H850">
        <v>407371.61546652019</v>
      </c>
      <c r="I850">
        <v>30.027638825967394</v>
      </c>
    </row>
    <row r="851" spans="1:9" x14ac:dyDescent="0.2">
      <c r="A851">
        <v>846</v>
      </c>
      <c r="B851">
        <v>1398070.5994581252</v>
      </c>
      <c r="C851">
        <v>122851.1700375537</v>
      </c>
      <c r="D851">
        <v>80872.547217937637</v>
      </c>
      <c r="E851">
        <v>145307.48105213355</v>
      </c>
      <c r="F851">
        <v>46059.74868822463</v>
      </c>
      <c r="G851">
        <v>10000</v>
      </c>
      <c r="H851">
        <v>385090.94699584955</v>
      </c>
      <c r="I851">
        <v>38.695578507026738</v>
      </c>
    </row>
    <row r="852" spans="1:9" x14ac:dyDescent="0.2">
      <c r="A852">
        <v>847</v>
      </c>
      <c r="B852">
        <v>1071973.1322038064</v>
      </c>
      <c r="C852">
        <v>116224.92067994583</v>
      </c>
      <c r="D852">
        <v>67205.5594537453</v>
      </c>
      <c r="E852">
        <v>80702.114825362849</v>
      </c>
      <c r="F852">
        <v>41587.069487909735</v>
      </c>
      <c r="G852">
        <v>10000</v>
      </c>
      <c r="H852">
        <v>295719.6644469637</v>
      </c>
      <c r="I852">
        <v>28.292237916578966</v>
      </c>
    </row>
    <row r="853" spans="1:9" x14ac:dyDescent="0.2">
      <c r="A853">
        <v>848</v>
      </c>
      <c r="B853">
        <v>1241930.0146329252</v>
      </c>
      <c r="C853">
        <v>145085.17027042521</v>
      </c>
      <c r="D853">
        <v>77068.943759415051</v>
      </c>
      <c r="E853">
        <v>88048.775878729677</v>
      </c>
      <c r="F853">
        <v>42095.684483912053</v>
      </c>
      <c r="G853">
        <v>10000</v>
      </c>
      <c r="H853">
        <v>342298.57439248206</v>
      </c>
      <c r="I853">
        <v>42.560737676260068</v>
      </c>
    </row>
    <row r="854" spans="1:9" x14ac:dyDescent="0.2">
      <c r="A854">
        <v>849</v>
      </c>
      <c r="B854">
        <v>936707.95255060308</v>
      </c>
      <c r="C854">
        <v>96451.17524326178</v>
      </c>
      <c r="D854">
        <v>98376.154449577924</v>
      </c>
      <c r="E854">
        <v>35372.289574589202</v>
      </c>
      <c r="F854">
        <v>38448.850816702325</v>
      </c>
      <c r="G854">
        <v>10000</v>
      </c>
      <c r="H854">
        <v>258648.47008413123</v>
      </c>
      <c r="I854">
        <v>35.656499843722955</v>
      </c>
    </row>
    <row r="855" spans="1:9" x14ac:dyDescent="0.2">
      <c r="A855">
        <v>850</v>
      </c>
      <c r="B855">
        <v>1026246.8521935076</v>
      </c>
      <c r="C855">
        <v>117247.37697632644</v>
      </c>
      <c r="D855">
        <v>68294.030285656685</v>
      </c>
      <c r="E855">
        <v>67007.397493379802</v>
      </c>
      <c r="F855">
        <v>40638.973672618602</v>
      </c>
      <c r="G855">
        <v>10000</v>
      </c>
      <c r="H855">
        <v>283187.77842798154</v>
      </c>
      <c r="I855">
        <v>54.313801678724424</v>
      </c>
    </row>
    <row r="856" spans="1:9" x14ac:dyDescent="0.2">
      <c r="A856">
        <v>851</v>
      </c>
      <c r="B856">
        <v>1669085.615412228</v>
      </c>
      <c r="C856">
        <v>110061.77404429189</v>
      </c>
      <c r="D856">
        <v>144514.90307280386</v>
      </c>
      <c r="E856">
        <v>167213.18751050069</v>
      </c>
      <c r="F856">
        <v>47576.29759688081</v>
      </c>
      <c r="G856">
        <v>10000</v>
      </c>
      <c r="H856">
        <v>459366.16222447727</v>
      </c>
      <c r="I856">
        <v>39.331447937039101</v>
      </c>
    </row>
    <row r="857" spans="1:9" x14ac:dyDescent="0.2">
      <c r="A857">
        <v>852</v>
      </c>
      <c r="B857">
        <v>1285417.8019575032</v>
      </c>
      <c r="C857">
        <v>133795.268140345</v>
      </c>
      <c r="D857">
        <v>139185.65001886184</v>
      </c>
      <c r="E857">
        <v>51659.618857387897</v>
      </c>
      <c r="F857">
        <v>39576.435151665311</v>
      </c>
      <c r="G857">
        <v>10000</v>
      </c>
      <c r="H857">
        <v>354216.97216826008</v>
      </c>
      <c r="I857">
        <v>27.820448155538841</v>
      </c>
    </row>
    <row r="858" spans="1:9" x14ac:dyDescent="0.2">
      <c r="A858">
        <v>853</v>
      </c>
      <c r="B858">
        <v>1281295.4577860781</v>
      </c>
      <c r="C858">
        <v>112282.54924684062</v>
      </c>
      <c r="D858">
        <v>56508.002688928071</v>
      </c>
      <c r="E858">
        <v>148047.21522032219</v>
      </c>
      <c r="F858">
        <v>46249.422592176154</v>
      </c>
      <c r="G858">
        <v>10000</v>
      </c>
      <c r="H858">
        <v>353087.18974826706</v>
      </c>
      <c r="I858">
        <v>55.028120582335355</v>
      </c>
    </row>
    <row r="859" spans="1:9" x14ac:dyDescent="0.2">
      <c r="A859">
        <v>854</v>
      </c>
      <c r="B859">
        <v>1329588.3213157509</v>
      </c>
      <c r="C859">
        <v>97788.642367607463</v>
      </c>
      <c r="D859">
        <v>114815.36830613893</v>
      </c>
      <c r="E859">
        <v>119448.92964435821</v>
      </c>
      <c r="F859">
        <v>44269.541283070947</v>
      </c>
      <c r="G859">
        <v>10000</v>
      </c>
      <c r="H859">
        <v>366322.48160117556</v>
      </c>
      <c r="I859">
        <v>37.318939407830023</v>
      </c>
    </row>
    <row r="860" spans="1:9" x14ac:dyDescent="0.2">
      <c r="A860">
        <v>855</v>
      </c>
      <c r="B860">
        <v>867997.53892632783</v>
      </c>
      <c r="C860">
        <v>84544.717506316127</v>
      </c>
      <c r="D860">
        <v>66036.020248361936</v>
      </c>
      <c r="E860">
        <v>59142.278016413271</v>
      </c>
      <c r="F860">
        <v>40094.465401136302</v>
      </c>
      <c r="G860">
        <v>10000</v>
      </c>
      <c r="H860">
        <v>239817.48117222765</v>
      </c>
      <c r="I860">
        <v>44.251897923917724</v>
      </c>
    </row>
    <row r="861" spans="1:9" x14ac:dyDescent="0.2">
      <c r="A861">
        <v>856</v>
      </c>
      <c r="B861">
        <v>1701269.8269346789</v>
      </c>
      <c r="C861">
        <v>133673.35966846067</v>
      </c>
      <c r="D861">
        <v>115843.46562339492</v>
      </c>
      <c r="E861">
        <v>180194.81596992604</v>
      </c>
      <c r="F861">
        <v>48475.025720994876</v>
      </c>
      <c r="G861">
        <v>10000</v>
      </c>
      <c r="H861">
        <v>468186.66698277654</v>
      </c>
      <c r="I861">
        <v>36.562348163165296</v>
      </c>
    </row>
    <row r="862" spans="1:9" x14ac:dyDescent="0.2">
      <c r="A862">
        <v>857</v>
      </c>
      <c r="B862">
        <v>1289904.6216561713</v>
      </c>
      <c r="C862">
        <v>109869.52682537379</v>
      </c>
      <c r="D862">
        <v>61005.945062764324</v>
      </c>
      <c r="E862">
        <v>148303.97380614985</v>
      </c>
      <c r="F862">
        <v>46267.198186579604</v>
      </c>
      <c r="G862">
        <v>10000</v>
      </c>
      <c r="H862">
        <v>355446.64388086757</v>
      </c>
      <c r="I862">
        <v>39.546994016158543</v>
      </c>
    </row>
    <row r="863" spans="1:9" x14ac:dyDescent="0.2">
      <c r="A863">
        <v>858</v>
      </c>
      <c r="B863">
        <v>1048486.8185280187</v>
      </c>
      <c r="C863">
        <v>111596.35400272332</v>
      </c>
      <c r="D863">
        <v>76006.929076592569</v>
      </c>
      <c r="E863">
        <v>70779.528263133048</v>
      </c>
      <c r="F863">
        <v>40900.121187447672</v>
      </c>
      <c r="G863">
        <v>10000</v>
      </c>
      <c r="H863">
        <v>289282.93252989661</v>
      </c>
      <c r="I863">
        <v>37.400219745033212</v>
      </c>
    </row>
    <row r="864" spans="1:9" x14ac:dyDescent="0.2">
      <c r="A864">
        <v>859</v>
      </c>
      <c r="B864">
        <v>1142669.6629496072</v>
      </c>
      <c r="C864">
        <v>89668.765076504831</v>
      </c>
      <c r="D864">
        <v>95226.611656037203</v>
      </c>
      <c r="E864">
        <v>97452.86147646379</v>
      </c>
      <c r="F864">
        <v>42746.736563755185</v>
      </c>
      <c r="G864">
        <v>10000</v>
      </c>
      <c r="H864">
        <v>315094.97477276099</v>
      </c>
      <c r="I864">
        <v>31.227075954464389</v>
      </c>
    </row>
    <row r="865" spans="1:9" x14ac:dyDescent="0.2">
      <c r="A865">
        <v>860</v>
      </c>
      <c r="B865">
        <v>1535490.8977692907</v>
      </c>
      <c r="C865">
        <v>102999.80924583873</v>
      </c>
      <c r="D865">
        <v>82575.805963842955</v>
      </c>
      <c r="E865">
        <v>197503.82305185802</v>
      </c>
      <c r="F865">
        <v>49673.341595897866</v>
      </c>
      <c r="G865">
        <v>10000</v>
      </c>
      <c r="H865">
        <v>422752.77985743753</v>
      </c>
      <c r="I865">
        <v>43.440085468730501</v>
      </c>
    </row>
    <row r="866" spans="1:9" x14ac:dyDescent="0.2">
      <c r="A866">
        <v>861</v>
      </c>
      <c r="B866">
        <v>1129858.1487989107</v>
      </c>
      <c r="C866">
        <v>92549.494062759579</v>
      </c>
      <c r="D866">
        <v>136286.40438316617</v>
      </c>
      <c r="E866">
        <v>53073.587746472542</v>
      </c>
      <c r="F866">
        <v>39674.325305525024</v>
      </c>
      <c r="G866">
        <v>10000</v>
      </c>
      <c r="H866">
        <v>311583.81149792334</v>
      </c>
      <c r="I866">
        <v>37.024786046694096</v>
      </c>
    </row>
    <row r="867" spans="1:9" x14ac:dyDescent="0.2">
      <c r="A867">
        <v>862</v>
      </c>
      <c r="B867">
        <v>1477860.5542095457</v>
      </c>
      <c r="C867">
        <v>149988.74172014085</v>
      </c>
      <c r="D867">
        <v>114449.39701097533</v>
      </c>
      <c r="E867">
        <v>108975.81131205884</v>
      </c>
      <c r="F867">
        <v>43544.479244680995</v>
      </c>
      <c r="G867">
        <v>10000</v>
      </c>
      <c r="H867">
        <v>406958.42928785604</v>
      </c>
      <c r="I867">
        <v>40.497596360316201</v>
      </c>
    </row>
    <row r="868" spans="1:9" x14ac:dyDescent="0.2">
      <c r="A868">
        <v>863</v>
      </c>
      <c r="B868">
        <v>1007274.7397519395</v>
      </c>
      <c r="C868">
        <v>152572.40523867556</v>
      </c>
      <c r="D868">
        <v>63171.834386231116</v>
      </c>
      <c r="E868">
        <v>33897.250163486111</v>
      </c>
      <c r="F868">
        <v>38346.732703625959</v>
      </c>
      <c r="G868">
        <v>10000</v>
      </c>
      <c r="H868">
        <v>277988.22249201877</v>
      </c>
      <c r="I868">
        <v>37.067344196804129</v>
      </c>
    </row>
    <row r="869" spans="1:9" x14ac:dyDescent="0.2">
      <c r="A869">
        <v>864</v>
      </c>
      <c r="B869">
        <v>1378910.4748929627</v>
      </c>
      <c r="C869">
        <v>97407.972822115</v>
      </c>
      <c r="D869">
        <v>138755.64375273566</v>
      </c>
      <c r="E869">
        <v>110056.92193500696</v>
      </c>
      <c r="F869">
        <v>43619.325364731252</v>
      </c>
      <c r="G869">
        <v>10000</v>
      </c>
      <c r="H869">
        <v>379839.86387458886</v>
      </c>
      <c r="I869">
        <v>35.92871275681896</v>
      </c>
    </row>
    <row r="870" spans="1:9" x14ac:dyDescent="0.2">
      <c r="A870">
        <v>865</v>
      </c>
      <c r="B870">
        <v>1381543.2780654698</v>
      </c>
      <c r="C870">
        <v>96056.019955765732</v>
      </c>
      <c r="D870">
        <v>79963.777965056448</v>
      </c>
      <c r="E870">
        <v>166981.37136430552</v>
      </c>
      <c r="F870">
        <v>47560.248786759606</v>
      </c>
      <c r="G870">
        <v>10000</v>
      </c>
      <c r="H870">
        <v>380561.41807188728</v>
      </c>
      <c r="I870">
        <v>35.317370349685383</v>
      </c>
    </row>
    <row r="871" spans="1:9" x14ac:dyDescent="0.2">
      <c r="A871">
        <v>866</v>
      </c>
      <c r="B871">
        <v>1448774.9246733482</v>
      </c>
      <c r="C871">
        <v>94898.344986848839</v>
      </c>
      <c r="D871">
        <v>106917.48173301015</v>
      </c>
      <c r="E871">
        <v>160088.27066903771</v>
      </c>
      <c r="F871">
        <v>47083.034123241072</v>
      </c>
      <c r="G871">
        <v>10000</v>
      </c>
      <c r="H871">
        <v>398987.13151213777</v>
      </c>
      <c r="I871">
        <v>40.350830132673373</v>
      </c>
    </row>
    <row r="872" spans="1:9" x14ac:dyDescent="0.2">
      <c r="A872">
        <v>867</v>
      </c>
      <c r="B872">
        <v>839495.8263736224</v>
      </c>
      <c r="C872">
        <v>107538.22175679666</v>
      </c>
      <c r="D872">
        <v>65056.938707505222</v>
      </c>
      <c r="E872">
        <v>31247.747438537212</v>
      </c>
      <c r="F872">
        <v>38163.30559189873</v>
      </c>
      <c r="G872">
        <v>10000</v>
      </c>
      <c r="H872">
        <v>232006.21349473784</v>
      </c>
      <c r="I872">
        <v>34.436354086361291</v>
      </c>
    </row>
    <row r="873" spans="1:9" x14ac:dyDescent="0.2">
      <c r="A873">
        <v>868</v>
      </c>
      <c r="B873">
        <v>1213427.1436085771</v>
      </c>
      <c r="C873">
        <v>114939.34290322581</v>
      </c>
      <c r="D873">
        <v>68882.436229911036</v>
      </c>
      <c r="E873">
        <v>116593.36195236299</v>
      </c>
      <c r="F873">
        <v>44071.848135163593</v>
      </c>
      <c r="G873">
        <v>10000</v>
      </c>
      <c r="H873">
        <v>334486.98922066344</v>
      </c>
      <c r="I873">
        <v>33.512771861086762</v>
      </c>
    </row>
    <row r="874" spans="1:9" x14ac:dyDescent="0.2">
      <c r="A874">
        <v>869</v>
      </c>
      <c r="B874">
        <v>1440072.9541156292</v>
      </c>
      <c r="C874">
        <v>154229.04413669955</v>
      </c>
      <c r="D874">
        <v>33109.748927366192</v>
      </c>
      <c r="E874">
        <v>171397.47068714592</v>
      </c>
      <c r="F874">
        <v>47865.978739879334</v>
      </c>
      <c r="G874">
        <v>10000</v>
      </c>
      <c r="H874">
        <v>396602.24249109102</v>
      </c>
      <c r="I874">
        <v>36.602019445507224</v>
      </c>
    </row>
    <row r="875" spans="1:9" x14ac:dyDescent="0.2">
      <c r="A875">
        <v>870</v>
      </c>
      <c r="B875">
        <v>874705.27549925691</v>
      </c>
      <c r="C875">
        <v>117641.32025180386</v>
      </c>
      <c r="D875">
        <v>38096.309664212808</v>
      </c>
      <c r="E875">
        <v>56038.599014287538</v>
      </c>
      <c r="F875">
        <v>39879.59531637375</v>
      </c>
      <c r="G875">
        <v>10000</v>
      </c>
      <c r="H875">
        <v>241655.82424667792</v>
      </c>
      <c r="I875">
        <v>30.589856767941484</v>
      </c>
    </row>
    <row r="876" spans="1:9" x14ac:dyDescent="0.2">
      <c r="A876">
        <v>871</v>
      </c>
      <c r="B876">
        <v>1150858.1467803628</v>
      </c>
      <c r="C876">
        <v>89086.364256597386</v>
      </c>
      <c r="D876">
        <v>70458.144358813632</v>
      </c>
      <c r="E876">
        <v>123261.16233016115</v>
      </c>
      <c r="F876">
        <v>44533.465084395772</v>
      </c>
      <c r="G876">
        <v>10000</v>
      </c>
      <c r="H876">
        <v>317339.13602996792</v>
      </c>
      <c r="I876">
        <v>49.266366886776524</v>
      </c>
    </row>
    <row r="877" spans="1:9" x14ac:dyDescent="0.2">
      <c r="A877">
        <v>872</v>
      </c>
      <c r="B877">
        <v>1563000.3679232057</v>
      </c>
      <c r="C877">
        <v>143927.76881705321</v>
      </c>
      <c r="D877">
        <v>84581.337118882133</v>
      </c>
      <c r="E877">
        <v>164401.37118237585</v>
      </c>
      <c r="F877">
        <v>47381.633389549097</v>
      </c>
      <c r="G877">
        <v>10000</v>
      </c>
      <c r="H877">
        <v>430292.11050786031</v>
      </c>
      <c r="I877">
        <v>26.404292713959052</v>
      </c>
    </row>
    <row r="878" spans="1:9" x14ac:dyDescent="0.2">
      <c r="A878">
        <v>873</v>
      </c>
      <c r="B878">
        <v>1357699.9852116981</v>
      </c>
      <c r="C878">
        <v>111105.83577473376</v>
      </c>
      <c r="D878">
        <v>93402.735666681736</v>
      </c>
      <c r="E878">
        <v>134225.72939680016</v>
      </c>
      <c r="F878">
        <v>45292.550496701544</v>
      </c>
      <c r="G878">
        <v>10000</v>
      </c>
      <c r="H878">
        <v>374026.85133491718</v>
      </c>
      <c r="I878">
        <v>38.850722853931387</v>
      </c>
    </row>
    <row r="879" spans="1:9" x14ac:dyDescent="0.2">
      <c r="A879">
        <v>874</v>
      </c>
      <c r="B879">
        <v>1131583.8377726483</v>
      </c>
      <c r="C879">
        <v>100770.96651129155</v>
      </c>
      <c r="D879">
        <v>66440.307457097326</v>
      </c>
      <c r="E879">
        <v>111150.45378239665</v>
      </c>
      <c r="F879">
        <v>43695.031415704383</v>
      </c>
      <c r="G879">
        <v>10000</v>
      </c>
      <c r="H879">
        <v>312056.75916648994</v>
      </c>
      <c r="I879">
        <v>28.802017338515817</v>
      </c>
    </row>
    <row r="880" spans="1:9" x14ac:dyDescent="0.2">
      <c r="A880">
        <v>875</v>
      </c>
      <c r="B880">
        <v>874256.84809267602</v>
      </c>
      <c r="C880">
        <v>78303.632533940938</v>
      </c>
      <c r="D880">
        <v>59793.997773876697</v>
      </c>
      <c r="E880">
        <v>72421.50035554207</v>
      </c>
      <c r="F880">
        <v>41013.796178460601</v>
      </c>
      <c r="G880">
        <v>10000</v>
      </c>
      <c r="H880">
        <v>241532.9268418203</v>
      </c>
      <c r="I880">
        <v>36.983998575336443</v>
      </c>
    </row>
    <row r="881" spans="1:9" x14ac:dyDescent="0.2">
      <c r="A881">
        <v>876</v>
      </c>
      <c r="B881">
        <v>1073032.1113337569</v>
      </c>
      <c r="C881">
        <v>106188.44860909643</v>
      </c>
      <c r="D881">
        <v>64105.600297991121</v>
      </c>
      <c r="E881">
        <v>93259.421176272444</v>
      </c>
      <c r="F881">
        <v>42456.421466049629</v>
      </c>
      <c r="G881">
        <v>10000</v>
      </c>
      <c r="H881">
        <v>296009.8915494096</v>
      </c>
      <c r="I881">
        <v>41.982686830597302</v>
      </c>
    </row>
    <row r="882" spans="1:9" x14ac:dyDescent="0.2">
      <c r="A882">
        <v>877</v>
      </c>
      <c r="B882">
        <v>1223216.3107783524</v>
      </c>
      <c r="C882">
        <v>93249.546333556907</v>
      </c>
      <c r="D882">
        <v>91638.685209516188</v>
      </c>
      <c r="E882">
        <v>118105.10023250959</v>
      </c>
      <c r="F882">
        <v>44176.506939173742</v>
      </c>
      <c r="G882">
        <v>10000</v>
      </c>
      <c r="H882">
        <v>337169.83871475642</v>
      </c>
      <c r="I882">
        <v>34.461210659973318</v>
      </c>
    </row>
    <row r="883" spans="1:9" x14ac:dyDescent="0.2">
      <c r="A883">
        <v>878</v>
      </c>
      <c r="B883">
        <v>1008596.724493001</v>
      </c>
      <c r="C883">
        <v>115704.34135012556</v>
      </c>
      <c r="D883">
        <v>79785.603932312166</v>
      </c>
      <c r="E883">
        <v>53178.963869369079</v>
      </c>
      <c r="F883">
        <v>39681.620575571702</v>
      </c>
      <c r="G883">
        <v>10000</v>
      </c>
      <c r="H883">
        <v>278350.52972737851</v>
      </c>
      <c r="I883">
        <v>30.911548545814277</v>
      </c>
    </row>
    <row r="884" spans="1:9" x14ac:dyDescent="0.2">
      <c r="A884">
        <v>879</v>
      </c>
      <c r="B884">
        <v>1389932.277552542</v>
      </c>
      <c r="C884">
        <v>133169.89434197565</v>
      </c>
      <c r="D884">
        <v>77180.873506141739</v>
      </c>
      <c r="E884">
        <v>137023.52161882454</v>
      </c>
      <c r="F884">
        <v>45486.243804380159</v>
      </c>
      <c r="G884">
        <v>10000</v>
      </c>
      <c r="H884">
        <v>382860.53327132214</v>
      </c>
      <c r="I884">
        <v>36.269815566304473</v>
      </c>
    </row>
    <row r="885" spans="1:9" x14ac:dyDescent="0.2">
      <c r="A885">
        <v>880</v>
      </c>
      <c r="B885">
        <v>1135897.9891034574</v>
      </c>
      <c r="C885">
        <v>100028.01150813622</v>
      </c>
      <c r="D885">
        <v>23345.65637744257</v>
      </c>
      <c r="E885">
        <v>153255.44838497424</v>
      </c>
      <c r="F885">
        <v>46609.992580498212</v>
      </c>
      <c r="G885">
        <v>10000</v>
      </c>
      <c r="H885">
        <v>313239.10885105125</v>
      </c>
      <c r="I885">
        <v>34.005284187601966</v>
      </c>
    </row>
    <row r="886" spans="1:9" x14ac:dyDescent="0.2">
      <c r="A886">
        <v>881</v>
      </c>
      <c r="B886">
        <v>1177995.9149065148</v>
      </c>
      <c r="C886">
        <v>146868.99834220536</v>
      </c>
      <c r="D886">
        <v>88990.312732882681</v>
      </c>
      <c r="E886">
        <v>58843.504700882004</v>
      </c>
      <c r="F886">
        <v>40073.781094676444</v>
      </c>
      <c r="G886">
        <v>10000</v>
      </c>
      <c r="H886">
        <v>324776.59687064652</v>
      </c>
      <c r="I886">
        <v>37.568541264836469</v>
      </c>
    </row>
    <row r="887" spans="1:9" x14ac:dyDescent="0.2">
      <c r="A887">
        <v>882</v>
      </c>
      <c r="B887">
        <v>1421164.3994946959</v>
      </c>
      <c r="C887">
        <v>143400.21814586816</v>
      </c>
      <c r="D887">
        <v>46433.81797502211</v>
      </c>
      <c r="E887">
        <v>164217.18710346014</v>
      </c>
      <c r="F887">
        <v>47368.882184085698</v>
      </c>
      <c r="G887">
        <v>10000</v>
      </c>
      <c r="H887">
        <v>391420.10540843604</v>
      </c>
      <c r="I887">
        <v>34.662626817128114</v>
      </c>
    </row>
    <row r="888" spans="1:9" x14ac:dyDescent="0.2">
      <c r="A888">
        <v>883</v>
      </c>
      <c r="B888">
        <v>1620714.7554800501</v>
      </c>
      <c r="C888">
        <v>125288.40992127889</v>
      </c>
      <c r="D888">
        <v>92357.372169601906</v>
      </c>
      <c r="E888">
        <v>189354.55111391973</v>
      </c>
      <c r="F888">
        <v>49109.161230963669</v>
      </c>
      <c r="G888">
        <v>10000</v>
      </c>
      <c r="H888">
        <v>446109.49443576415</v>
      </c>
      <c r="I888">
        <v>27.335372206417063</v>
      </c>
    </row>
    <row r="889" spans="1:9" x14ac:dyDescent="0.2">
      <c r="A889">
        <v>884</v>
      </c>
      <c r="B889">
        <v>1578907.4952844616</v>
      </c>
      <c r="C889">
        <v>111382.20559569006</v>
      </c>
      <c r="D889">
        <v>82384.846864894149</v>
      </c>
      <c r="E889">
        <v>200971.22235588118</v>
      </c>
      <c r="F889">
        <v>49913.392316945625</v>
      </c>
      <c r="G889">
        <v>10000</v>
      </c>
      <c r="H889">
        <v>434651.66713341104</v>
      </c>
      <c r="I889">
        <v>31.684071594070943</v>
      </c>
    </row>
    <row r="890" spans="1:9" x14ac:dyDescent="0.2">
      <c r="A890">
        <v>885</v>
      </c>
      <c r="B890">
        <v>1653436.6908940077</v>
      </c>
      <c r="C890">
        <v>132634.62363746978</v>
      </c>
      <c r="D890">
        <v>128754.14441681323</v>
      </c>
      <c r="E890">
        <v>156831.06607256777</v>
      </c>
      <c r="F890">
        <v>46857.535343485462</v>
      </c>
      <c r="G890">
        <v>10000</v>
      </c>
      <c r="H890">
        <v>455077.36947033624</v>
      </c>
      <c r="I890">
        <v>31.191572971413535</v>
      </c>
    </row>
    <row r="891" spans="1:9" x14ac:dyDescent="0.2">
      <c r="A891">
        <v>886</v>
      </c>
      <c r="B891">
        <v>1555390.8457657695</v>
      </c>
      <c r="C891">
        <v>141004.94886965823</v>
      </c>
      <c r="D891">
        <v>87169.218914273806</v>
      </c>
      <c r="E891">
        <v>162764.16514134643</v>
      </c>
      <c r="F891">
        <v>47268.288355939374</v>
      </c>
      <c r="G891">
        <v>10000</v>
      </c>
      <c r="H891">
        <v>428206.62128121784</v>
      </c>
      <c r="I891">
        <v>26.767109708083957</v>
      </c>
    </row>
    <row r="892" spans="1:9" x14ac:dyDescent="0.2">
      <c r="A892">
        <v>887</v>
      </c>
      <c r="B892">
        <v>1521213.8793111043</v>
      </c>
      <c r="C892">
        <v>90335.855774193798</v>
      </c>
      <c r="D892">
        <v>108017.21118672576</v>
      </c>
      <c r="E892">
        <v>181894.23140998275</v>
      </c>
      <c r="F892">
        <v>48592.677559152653</v>
      </c>
      <c r="G892">
        <v>10000</v>
      </c>
      <c r="H892">
        <v>418839.97593005496</v>
      </c>
      <c r="I892">
        <v>34.826910843611174</v>
      </c>
    </row>
    <row r="893" spans="1:9" x14ac:dyDescent="0.2">
      <c r="A893">
        <v>888</v>
      </c>
      <c r="B893">
        <v>1524377.7704239185</v>
      </c>
      <c r="C893">
        <v>133613.18939746212</v>
      </c>
      <c r="D893">
        <v>83226.548259144212</v>
      </c>
      <c r="E893">
        <v>165415.50165537227</v>
      </c>
      <c r="F893">
        <v>47451.842422294998</v>
      </c>
      <c r="G893">
        <v>10000</v>
      </c>
      <c r="H893">
        <v>419707.08173427358</v>
      </c>
      <c r="I893">
        <v>29.908736812625126</v>
      </c>
    </row>
    <row r="894" spans="1:9" x14ac:dyDescent="0.2">
      <c r="A894">
        <v>889</v>
      </c>
      <c r="B894">
        <v>1474329.7316897903</v>
      </c>
      <c r="C894">
        <v>131856.14107725432</v>
      </c>
      <c r="D894">
        <v>113808.74373022522</v>
      </c>
      <c r="E894">
        <v>125628.51741928376</v>
      </c>
      <c r="F894">
        <v>44697.358898258099</v>
      </c>
      <c r="G894">
        <v>10000</v>
      </c>
      <c r="H894">
        <v>405990.76112502138</v>
      </c>
      <c r="I894">
        <v>35.417503186046623</v>
      </c>
    </row>
    <row r="895" spans="1:9" x14ac:dyDescent="0.2">
      <c r="A895">
        <v>890</v>
      </c>
      <c r="B895">
        <v>1020895.8880991326</v>
      </c>
      <c r="C895">
        <v>130763.4122334659</v>
      </c>
      <c r="D895">
        <v>71927.348469109493</v>
      </c>
      <c r="E895">
        <v>49596.885394180943</v>
      </c>
      <c r="F895">
        <v>39433.630527289446</v>
      </c>
      <c r="G895">
        <v>10000</v>
      </c>
      <c r="H895">
        <v>281721.2766240458</v>
      </c>
      <c r="I895">
        <v>45.168030460040981</v>
      </c>
    </row>
    <row r="896" spans="1:9" x14ac:dyDescent="0.2">
      <c r="A896">
        <v>891</v>
      </c>
      <c r="B896">
        <v>1650091.0263478104</v>
      </c>
      <c r="C896">
        <v>133542.41495282704</v>
      </c>
      <c r="D896">
        <v>84102.464310379801</v>
      </c>
      <c r="E896">
        <v>196885.06267345612</v>
      </c>
      <c r="F896">
        <v>49630.504338931583</v>
      </c>
      <c r="G896">
        <v>10000</v>
      </c>
      <c r="H896">
        <v>454160.44627559459</v>
      </c>
      <c r="I896">
        <v>31.87732167946135</v>
      </c>
    </row>
    <row r="897" spans="1:9" x14ac:dyDescent="0.2">
      <c r="A897">
        <v>892</v>
      </c>
      <c r="B897">
        <v>1080771.7312614829</v>
      </c>
      <c r="C897">
        <v>117846.10252733357</v>
      </c>
      <c r="D897">
        <v>62356.417806186</v>
      </c>
      <c r="E897">
        <v>85976.309404942935</v>
      </c>
      <c r="F897">
        <v>41952.206035726813</v>
      </c>
      <c r="G897">
        <v>10000</v>
      </c>
      <c r="H897">
        <v>298131.03577418928</v>
      </c>
      <c r="I897">
        <v>40.151681943489564</v>
      </c>
    </row>
    <row r="898" spans="1:9" x14ac:dyDescent="0.2">
      <c r="A898">
        <v>893</v>
      </c>
      <c r="B898">
        <v>1516616.8882631029</v>
      </c>
      <c r="C898">
        <v>119875.21819181833</v>
      </c>
      <c r="D898">
        <v>133107.14214809606</v>
      </c>
      <c r="E898">
        <v>129623.79494165846</v>
      </c>
      <c r="F898">
        <v>44973.955034422506</v>
      </c>
      <c r="G898">
        <v>10000</v>
      </c>
      <c r="H898">
        <v>417580.11031599535</v>
      </c>
      <c r="I898">
        <v>37.443578350943035</v>
      </c>
    </row>
    <row r="899" spans="1:9" x14ac:dyDescent="0.2">
      <c r="A899">
        <v>894</v>
      </c>
      <c r="B899">
        <v>883234.09648814634</v>
      </c>
      <c r="C899">
        <v>93030.318451992294</v>
      </c>
      <c r="D899">
        <v>46491.093443606136</v>
      </c>
      <c r="E899">
        <v>73390.936477730924</v>
      </c>
      <c r="F899">
        <v>41080.910986919829</v>
      </c>
      <c r="G899">
        <v>10000</v>
      </c>
      <c r="H899">
        <v>243993.25936024918</v>
      </c>
      <c r="I899">
        <v>49.381911097793228</v>
      </c>
    </row>
    <row r="900" spans="1:9" x14ac:dyDescent="0.2">
      <c r="A900">
        <v>895</v>
      </c>
      <c r="B900">
        <v>1643215.6203966571</v>
      </c>
      <c r="C900">
        <v>124942.61544985921</v>
      </c>
      <c r="D900">
        <v>111574.22720591541</v>
      </c>
      <c r="E900">
        <v>177472.73462064113</v>
      </c>
      <c r="F900">
        <v>48286.573935275155</v>
      </c>
      <c r="G900">
        <v>10000</v>
      </c>
      <c r="H900">
        <v>452276.15121169091</v>
      </c>
      <c r="I900">
        <v>27.395035525410123</v>
      </c>
    </row>
    <row r="901" spans="1:9" x14ac:dyDescent="0.2">
      <c r="A901">
        <v>896</v>
      </c>
      <c r="B901">
        <v>1460709.7565149318</v>
      </c>
      <c r="C901">
        <v>96178.70604642923</v>
      </c>
      <c r="D901">
        <v>67406.044478432625</v>
      </c>
      <c r="E901">
        <v>198903.06574733244</v>
      </c>
      <c r="F901">
        <v>49770.212244046095</v>
      </c>
      <c r="G901">
        <v>10000</v>
      </c>
      <c r="H901">
        <v>402258.02851624036</v>
      </c>
      <c r="I901">
        <v>47.611784299764757</v>
      </c>
    </row>
    <row r="902" spans="1:9" x14ac:dyDescent="0.2">
      <c r="A902">
        <v>897</v>
      </c>
      <c r="B902">
        <v>1132404.0870299353</v>
      </c>
      <c r="C902">
        <v>92706.318952803835</v>
      </c>
      <c r="D902">
        <v>48226.946915549168</v>
      </c>
      <c r="E902">
        <v>135937.25277505131</v>
      </c>
      <c r="F902">
        <v>45411.040576734325</v>
      </c>
      <c r="G902">
        <v>10000</v>
      </c>
      <c r="H902">
        <v>312281.5592201387</v>
      </c>
      <c r="I902">
        <v>32.170857169461712</v>
      </c>
    </row>
    <row r="903" spans="1:9" x14ac:dyDescent="0.2">
      <c r="A903">
        <v>898</v>
      </c>
      <c r="B903">
        <v>1019582.481328695</v>
      </c>
      <c r="C903">
        <v>81041.925508322849</v>
      </c>
      <c r="D903">
        <v>82737.216717141899</v>
      </c>
      <c r="E903">
        <v>85652.396754652567</v>
      </c>
      <c r="F903">
        <v>41929.781313783642</v>
      </c>
      <c r="G903">
        <v>10000</v>
      </c>
      <c r="H903">
        <v>281361.32029390096</v>
      </c>
      <c r="I903">
        <v>34.055146703111888</v>
      </c>
    </row>
    <row r="904" spans="1:9" x14ac:dyDescent="0.2">
      <c r="A904">
        <v>899</v>
      </c>
      <c r="B904">
        <v>1249493.3748319773</v>
      </c>
      <c r="C904">
        <v>148178.42236066799</v>
      </c>
      <c r="D904">
        <v>81935.173331690748</v>
      </c>
      <c r="E904">
        <v>82543.281747191082</v>
      </c>
      <c r="F904">
        <v>41714.534890190145</v>
      </c>
      <c r="G904">
        <v>10000</v>
      </c>
      <c r="H904">
        <v>344371.41232974001</v>
      </c>
      <c r="I904">
        <v>35.951245189502941</v>
      </c>
    </row>
    <row r="905" spans="1:9" x14ac:dyDescent="0.2">
      <c r="A905">
        <v>900</v>
      </c>
      <c r="B905">
        <v>1409132.8723618397</v>
      </c>
      <c r="C905">
        <v>101811.42177549467</v>
      </c>
      <c r="D905">
        <v>160352.45995242218</v>
      </c>
      <c r="E905">
        <v>93486.671859542272</v>
      </c>
      <c r="F905">
        <v>42472.154205660619</v>
      </c>
      <c r="G905">
        <v>10000</v>
      </c>
      <c r="H905">
        <v>388122.70779311977</v>
      </c>
      <c r="I905">
        <v>48.49172073383464</v>
      </c>
    </row>
    <row r="906" spans="1:9" x14ac:dyDescent="0.2">
      <c r="A906">
        <v>901</v>
      </c>
      <c r="B906">
        <v>1609839.3090595817</v>
      </c>
      <c r="C906">
        <v>149459.07422912068</v>
      </c>
      <c r="D906">
        <v>49669.464840582616</v>
      </c>
      <c r="E906">
        <v>203885.26320716974</v>
      </c>
      <c r="F906">
        <v>50115.133606650219</v>
      </c>
      <c r="G906">
        <v>10000</v>
      </c>
      <c r="H906">
        <v>443128.93588352326</v>
      </c>
      <c r="I906">
        <v>30.766995703933937</v>
      </c>
    </row>
    <row r="907" spans="1:9" x14ac:dyDescent="0.2">
      <c r="A907">
        <v>902</v>
      </c>
      <c r="B907">
        <v>1004411.9194898328</v>
      </c>
      <c r="C907">
        <v>80352.843592115474</v>
      </c>
      <c r="D907">
        <v>43565.035676919848</v>
      </c>
      <c r="E907">
        <v>119044.22645898072</v>
      </c>
      <c r="F907">
        <v>44241.523370237126</v>
      </c>
      <c r="G907">
        <v>10000</v>
      </c>
      <c r="H907">
        <v>277203.62909825321</v>
      </c>
      <c r="I907">
        <v>43.859521502749296</v>
      </c>
    </row>
    <row r="908" spans="1:9" x14ac:dyDescent="0.2">
      <c r="A908">
        <v>903</v>
      </c>
      <c r="B908">
        <v>1629814.4370721183</v>
      </c>
      <c r="C908">
        <v>81760.109655409644</v>
      </c>
      <c r="D908">
        <v>127135.35117064796</v>
      </c>
      <c r="E908">
        <v>199870.71706063862</v>
      </c>
      <c r="F908">
        <v>49837.203488813444</v>
      </c>
      <c r="G908">
        <v>10000</v>
      </c>
      <c r="H908">
        <v>448603.38137550961</v>
      </c>
      <c r="I908">
        <v>35.822390103239854</v>
      </c>
    </row>
    <row r="909" spans="1:9" x14ac:dyDescent="0.2">
      <c r="A909">
        <v>904</v>
      </c>
      <c r="B909">
        <v>1085462.7248579108</v>
      </c>
      <c r="C909">
        <v>108493.17000664475</v>
      </c>
      <c r="D909">
        <v>63912.936951601921</v>
      </c>
      <c r="E909">
        <v>94470.305163809768</v>
      </c>
      <c r="F909">
        <v>42540.251895956062</v>
      </c>
      <c r="G909">
        <v>10000</v>
      </c>
      <c r="H909">
        <v>299416.66401801253</v>
      </c>
      <c r="I909">
        <v>42.803081781780591</v>
      </c>
    </row>
    <row r="910" spans="1:9" x14ac:dyDescent="0.2">
      <c r="A910">
        <v>905</v>
      </c>
      <c r="B910">
        <v>1467165.0197486817</v>
      </c>
      <c r="C910">
        <v>113344.60518341343</v>
      </c>
      <c r="D910">
        <v>57776.082518003204</v>
      </c>
      <c r="E910">
        <v>193509.66715286544</v>
      </c>
      <c r="F910">
        <v>49396.823110582998</v>
      </c>
      <c r="G910">
        <v>10000</v>
      </c>
      <c r="H910">
        <v>404027.17796486511</v>
      </c>
      <c r="I910">
        <v>30.225614589394908</v>
      </c>
    </row>
    <row r="911" spans="1:9" x14ac:dyDescent="0.2">
      <c r="A911">
        <v>906</v>
      </c>
      <c r="B911">
        <v>1468420.8666800605</v>
      </c>
      <c r="C911">
        <v>104725.39723109758</v>
      </c>
      <c r="D911">
        <v>72889.96489200287</v>
      </c>
      <c r="E911">
        <v>187757.40740088385</v>
      </c>
      <c r="F911">
        <v>48998.589743138116</v>
      </c>
      <c r="G911">
        <v>10000</v>
      </c>
      <c r="H911">
        <v>404371.3592671224</v>
      </c>
      <c r="I911">
        <v>41.459595663653587</v>
      </c>
    </row>
    <row r="912" spans="1:9" x14ac:dyDescent="0.2">
      <c r="A912">
        <v>907</v>
      </c>
      <c r="B912">
        <v>1201491.6703662286</v>
      </c>
      <c r="C912">
        <v>88129.521343360466</v>
      </c>
      <c r="D912">
        <v>101425.70599286618</v>
      </c>
      <c r="E912">
        <v>108171.86749990529</v>
      </c>
      <c r="F912">
        <v>43488.821596147289</v>
      </c>
      <c r="G912">
        <v>10000</v>
      </c>
      <c r="H912">
        <v>331215.91643227916</v>
      </c>
      <c r="I912">
        <v>34.154559701737469</v>
      </c>
    </row>
    <row r="913" spans="1:9" x14ac:dyDescent="0.2">
      <c r="A913">
        <v>908</v>
      </c>
      <c r="B913">
        <v>1699757.0608924981</v>
      </c>
      <c r="C913">
        <v>135287.37041860289</v>
      </c>
      <c r="D913">
        <v>113364.12126353494</v>
      </c>
      <c r="E913">
        <v>180616.37160848055</v>
      </c>
      <c r="F913">
        <v>48504.210342125582</v>
      </c>
      <c r="G913">
        <v>10000</v>
      </c>
      <c r="H913">
        <v>467772.07363274397</v>
      </c>
      <c r="I913">
        <v>27.724563742866156</v>
      </c>
    </row>
    <row r="914" spans="1:9" x14ac:dyDescent="0.2">
      <c r="A914">
        <v>909</v>
      </c>
      <c r="B914">
        <v>1048099.8398274737</v>
      </c>
      <c r="C914">
        <v>109772.98037400226</v>
      </c>
      <c r="D914">
        <v>104887.27894493283</v>
      </c>
      <c r="E914">
        <v>45375.252962306746</v>
      </c>
      <c r="F914">
        <v>39141.363666621233</v>
      </c>
      <c r="G914">
        <v>10000</v>
      </c>
      <c r="H914">
        <v>289176.8759478631</v>
      </c>
      <c r="I914">
        <v>38.067971690445702</v>
      </c>
    </row>
    <row r="915" spans="1:9" x14ac:dyDescent="0.2">
      <c r="A915">
        <v>910</v>
      </c>
      <c r="B915">
        <v>1092001.0423226883</v>
      </c>
      <c r="C915">
        <v>105994.87509527736</v>
      </c>
      <c r="D915">
        <v>65559.071404281407</v>
      </c>
      <c r="E915">
        <v>96943.178264141665</v>
      </c>
      <c r="F915">
        <v>42711.450802902109</v>
      </c>
      <c r="G915">
        <v>10000</v>
      </c>
      <c r="H915">
        <v>301208.57556660252</v>
      </c>
      <c r="I915">
        <v>39.522668016591723</v>
      </c>
    </row>
    <row r="916" spans="1:9" x14ac:dyDescent="0.2">
      <c r="A916">
        <v>911</v>
      </c>
      <c r="B916">
        <v>1557043.6769874538</v>
      </c>
      <c r="C916">
        <v>116112.13289572058</v>
      </c>
      <c r="D916">
        <v>91435.816195796986</v>
      </c>
      <c r="E916">
        <v>182478.5236748278</v>
      </c>
      <c r="F916">
        <v>48633.128562103462</v>
      </c>
      <c r="G916">
        <v>10000</v>
      </c>
      <c r="H916">
        <v>428659.60132844886</v>
      </c>
      <c r="I916">
        <v>37.402852968912292</v>
      </c>
    </row>
    <row r="917" spans="1:9" x14ac:dyDescent="0.2">
      <c r="A917">
        <v>912</v>
      </c>
      <c r="B917">
        <v>762200.17223215115</v>
      </c>
      <c r="C917">
        <v>75517.859123897491</v>
      </c>
      <c r="D917">
        <v>28224.744788561959</v>
      </c>
      <c r="E917">
        <v>75829.956805625436</v>
      </c>
      <c r="F917">
        <v>41249.766240389457</v>
      </c>
      <c r="G917">
        <v>10000</v>
      </c>
      <c r="H917">
        <v>210822.32695847435</v>
      </c>
      <c r="I917">
        <v>32.958110367649468</v>
      </c>
    </row>
    <row r="918" spans="1:9" x14ac:dyDescent="0.2">
      <c r="A918">
        <v>913</v>
      </c>
      <c r="B918">
        <v>988075.60330237413</v>
      </c>
      <c r="C918">
        <v>164042.34494307288</v>
      </c>
      <c r="D918">
        <v>36744.03705228959</v>
      </c>
      <c r="E918">
        <v>42965.529032144499</v>
      </c>
      <c r="F918">
        <v>38974.536625302309</v>
      </c>
      <c r="G918">
        <v>10000</v>
      </c>
      <c r="H918">
        <v>272726.44765280926</v>
      </c>
      <c r="I918">
        <v>28.285398977068656</v>
      </c>
    </row>
    <row r="919" spans="1:9" x14ac:dyDescent="0.2">
      <c r="A919">
        <v>914</v>
      </c>
      <c r="B919">
        <v>1030028.0789582196</v>
      </c>
      <c r="C919">
        <v>82827.322906211673</v>
      </c>
      <c r="D919">
        <v>109250.40277128006</v>
      </c>
      <c r="E919">
        <v>61863.490445904295</v>
      </c>
      <c r="F919">
        <v>40282.857030870298</v>
      </c>
      <c r="G919">
        <v>10000</v>
      </c>
      <c r="H919">
        <v>284224.07315426634</v>
      </c>
      <c r="I919">
        <v>38.457964061350609</v>
      </c>
    </row>
    <row r="920" spans="1:9" x14ac:dyDescent="0.2">
      <c r="A920">
        <v>915</v>
      </c>
      <c r="B920">
        <v>927640.06255878159</v>
      </c>
      <c r="C920">
        <v>124232.39317842537</v>
      </c>
      <c r="D920">
        <v>74696.982821054189</v>
      </c>
      <c r="E920">
        <v>29211.579902317895</v>
      </c>
      <c r="F920">
        <v>38022.340147083545</v>
      </c>
      <c r="G920">
        <v>10000</v>
      </c>
      <c r="H920">
        <v>256163.29604888102</v>
      </c>
      <c r="I920">
        <v>46.532029346216049</v>
      </c>
    </row>
    <row r="921" spans="1:9" x14ac:dyDescent="0.2">
      <c r="A921">
        <v>916</v>
      </c>
      <c r="B921">
        <v>1409837.3350600391</v>
      </c>
      <c r="C921">
        <v>115668.21436577737</v>
      </c>
      <c r="D921">
        <v>83889.883737193915</v>
      </c>
      <c r="E921">
        <v>152219.41006958537</v>
      </c>
      <c r="F921">
        <v>46538.266850971289</v>
      </c>
      <c r="G921">
        <v>10000</v>
      </c>
      <c r="H921">
        <v>388315.77502352791</v>
      </c>
      <c r="I921">
        <v>38.328890230856757</v>
      </c>
    </row>
    <row r="922" spans="1:9" x14ac:dyDescent="0.2">
      <c r="A922">
        <v>917</v>
      </c>
      <c r="B922">
        <v>1290399.970949579</v>
      </c>
      <c r="C922">
        <v>100080.46309793094</v>
      </c>
      <c r="D922">
        <v>131871.79259344528</v>
      </c>
      <c r="E922">
        <v>91308.768847266809</v>
      </c>
      <c r="F922">
        <v>42321.376304810779</v>
      </c>
      <c r="G922">
        <v>10000</v>
      </c>
      <c r="H922">
        <v>355582.40084345383</v>
      </c>
      <c r="I922">
        <v>36.953549206529999</v>
      </c>
    </row>
    <row r="923" spans="1:9" x14ac:dyDescent="0.2">
      <c r="A923">
        <v>918</v>
      </c>
      <c r="B923">
        <v>1495839.8021602398</v>
      </c>
      <c r="C923">
        <v>105473.74993410485</v>
      </c>
      <c r="D923">
        <v>98689.988368185368</v>
      </c>
      <c r="E923">
        <v>169955.95771407915</v>
      </c>
      <c r="F923">
        <v>47766.181687897792</v>
      </c>
      <c r="G923">
        <v>10000</v>
      </c>
      <c r="H923">
        <v>411885.87770426716</v>
      </c>
      <c r="I923">
        <v>31.457463919607616</v>
      </c>
    </row>
    <row r="924" spans="1:9" x14ac:dyDescent="0.2">
      <c r="A924">
        <v>919</v>
      </c>
      <c r="B924">
        <v>1023245.9362883917</v>
      </c>
      <c r="C924">
        <v>90994.507385243647</v>
      </c>
      <c r="D924">
        <v>37273.127194842971</v>
      </c>
      <c r="E924">
        <v>119803.60762191997</v>
      </c>
      <c r="F924">
        <v>44294.095912286764</v>
      </c>
      <c r="G924">
        <v>10000</v>
      </c>
      <c r="H924">
        <v>282365.33811429335</v>
      </c>
      <c r="I924">
        <v>46.692059745862686</v>
      </c>
    </row>
    <row r="925" spans="1:9" x14ac:dyDescent="0.2">
      <c r="A925">
        <v>920</v>
      </c>
      <c r="B925">
        <v>1369034.6861576256</v>
      </c>
      <c r="C925">
        <v>107097.96295830164</v>
      </c>
      <c r="D925">
        <v>101182.38329858887</v>
      </c>
      <c r="E925">
        <v>133603.45816801861</v>
      </c>
      <c r="F925">
        <v>45249.470180862831</v>
      </c>
      <c r="G925">
        <v>10000</v>
      </c>
      <c r="H925">
        <v>377133.27460577193</v>
      </c>
      <c r="I925">
        <v>45.864831657717346</v>
      </c>
    </row>
    <row r="926" spans="1:9" x14ac:dyDescent="0.2">
      <c r="A926">
        <v>921</v>
      </c>
      <c r="B926">
        <v>1329444.4078649678</v>
      </c>
      <c r="C926">
        <v>102947.54730517416</v>
      </c>
      <c r="D926">
        <v>59927.482734960271</v>
      </c>
      <c r="E926">
        <v>165921.16061373774</v>
      </c>
      <c r="F926">
        <v>47486.849580951071</v>
      </c>
      <c r="G926">
        <v>10000</v>
      </c>
      <c r="H926">
        <v>366283.0402348233</v>
      </c>
      <c r="I926">
        <v>34.940854575333567</v>
      </c>
    </row>
    <row r="927" spans="1:9" x14ac:dyDescent="0.2">
      <c r="A927">
        <v>922</v>
      </c>
      <c r="B927">
        <v>1274091.6497727348</v>
      </c>
      <c r="C927">
        <v>124521.35251926925</v>
      </c>
      <c r="D927">
        <v>141476.20064291277</v>
      </c>
      <c r="E927">
        <v>55287.726781124024</v>
      </c>
      <c r="F927">
        <v>39827.611854077812</v>
      </c>
      <c r="G927">
        <v>10000</v>
      </c>
      <c r="H927">
        <v>351112.89179738378</v>
      </c>
      <c r="I927">
        <v>33.812663436858152</v>
      </c>
    </row>
    <row r="928" spans="1:9" x14ac:dyDescent="0.2">
      <c r="A928">
        <v>923</v>
      </c>
      <c r="B928">
        <v>1598907.2795525687</v>
      </c>
      <c r="C928">
        <v>101097.9798220364</v>
      </c>
      <c r="D928">
        <v>107681.06020062941</v>
      </c>
      <c r="E928">
        <v>192057.53882324856</v>
      </c>
      <c r="F928">
        <v>49296.291149301825</v>
      </c>
      <c r="G928">
        <v>10000</v>
      </c>
      <c r="H928">
        <v>440132.86999521614</v>
      </c>
      <c r="I928">
        <v>48.708380515089885</v>
      </c>
    </row>
    <row r="929" spans="1:9" x14ac:dyDescent="0.2">
      <c r="A929">
        <v>924</v>
      </c>
      <c r="B929">
        <v>1476092.1634082878</v>
      </c>
      <c r="C929">
        <v>132356.00766626035</v>
      </c>
      <c r="D929">
        <v>138758.63905464203</v>
      </c>
      <c r="E929">
        <v>102278.32480154572</v>
      </c>
      <c r="F929">
        <v>43080.807101645471</v>
      </c>
      <c r="G929">
        <v>10000</v>
      </c>
      <c r="H929">
        <v>406473.77862409357</v>
      </c>
      <c r="I929">
        <v>33.829426611913746</v>
      </c>
    </row>
    <row r="930" spans="1:9" x14ac:dyDescent="0.2">
      <c r="A930">
        <v>925</v>
      </c>
      <c r="B930">
        <v>1479809.0302925438</v>
      </c>
      <c r="C930">
        <v>117563.78948566569</v>
      </c>
      <c r="D930">
        <v>124658.13065591444</v>
      </c>
      <c r="E930">
        <v>130252.99921053028</v>
      </c>
      <c r="F930">
        <v>45017.515329959795</v>
      </c>
      <c r="G930">
        <v>10000</v>
      </c>
      <c r="H930">
        <v>407492.43468207022</v>
      </c>
      <c r="I930">
        <v>34.043238082574582</v>
      </c>
    </row>
    <row r="931" spans="1:9" x14ac:dyDescent="0.2">
      <c r="A931">
        <v>926</v>
      </c>
      <c r="B931">
        <v>1128126.7573217168</v>
      </c>
      <c r="C931">
        <v>115515.16223844474</v>
      </c>
      <c r="D931">
        <v>64770.122704708221</v>
      </c>
      <c r="E931">
        <v>98036.84953421769</v>
      </c>
      <c r="F931">
        <v>42787.166506215071</v>
      </c>
      <c r="G931">
        <v>10000</v>
      </c>
      <c r="H931">
        <v>311109.30098358571</v>
      </c>
      <c r="I931">
        <v>31.407601567246871</v>
      </c>
    </row>
    <row r="932" spans="1:9" x14ac:dyDescent="0.2">
      <c r="A932">
        <v>927</v>
      </c>
      <c r="B932">
        <v>1393508.3985241912</v>
      </c>
      <c r="C932">
        <v>89547.297983752884</v>
      </c>
      <c r="D932">
        <v>51034.944677782398</v>
      </c>
      <c r="E932">
        <v>203191.28448112463</v>
      </c>
      <c r="F932">
        <v>50067.088925616314</v>
      </c>
      <c r="G932">
        <v>10000</v>
      </c>
      <c r="H932">
        <v>383840.61606827617</v>
      </c>
      <c r="I932">
        <v>35.927319041507836</v>
      </c>
    </row>
    <row r="933" spans="1:9" x14ac:dyDescent="0.2">
      <c r="A933">
        <v>928</v>
      </c>
      <c r="B933">
        <v>1537878.8489459734</v>
      </c>
      <c r="C933">
        <v>116048.16195324463</v>
      </c>
      <c r="D933">
        <v>81397.490431568265</v>
      </c>
      <c r="E933">
        <v>187014.4243201451</v>
      </c>
      <c r="F933">
        <v>48947.152452933122</v>
      </c>
      <c r="G933">
        <v>10000</v>
      </c>
      <c r="H933">
        <v>423407.22915789112</v>
      </c>
      <c r="I933">
        <v>25.599634897301964</v>
      </c>
    </row>
    <row r="934" spans="1:9" x14ac:dyDescent="0.2">
      <c r="A934">
        <v>929</v>
      </c>
      <c r="B934">
        <v>1412685.2781237571</v>
      </c>
      <c r="C934">
        <v>108489.36322263868</v>
      </c>
      <c r="D934">
        <v>105108.457153686</v>
      </c>
      <c r="E934">
        <v>139818.71365095707</v>
      </c>
      <c r="F934">
        <v>45679.757098912414</v>
      </c>
      <c r="G934">
        <v>10000</v>
      </c>
      <c r="H934">
        <v>389096.29112619424</v>
      </c>
      <c r="I934">
        <v>26.398390056878775</v>
      </c>
    </row>
    <row r="935" spans="1:9" x14ac:dyDescent="0.2">
      <c r="A935">
        <v>930</v>
      </c>
      <c r="B935">
        <v>1638692.9365278184</v>
      </c>
      <c r="C935">
        <v>137201.22863983028</v>
      </c>
      <c r="D935">
        <v>120405.76771619896</v>
      </c>
      <c r="E935">
        <v>156588.88512708672</v>
      </c>
      <c r="F935">
        <v>46840.768970336765</v>
      </c>
      <c r="G935">
        <v>10000</v>
      </c>
      <c r="H935">
        <v>451036.65045345272</v>
      </c>
      <c r="I935">
        <v>57.119956445010111</v>
      </c>
    </row>
    <row r="936" spans="1:9" x14ac:dyDescent="0.2">
      <c r="A936">
        <v>931</v>
      </c>
      <c r="B936">
        <v>1464907.1287844679</v>
      </c>
      <c r="C936">
        <v>128364.29154679271</v>
      </c>
      <c r="D936">
        <v>130034.53105888527</v>
      </c>
      <c r="E936">
        <v>111303.89639766593</v>
      </c>
      <c r="F936">
        <v>43705.654365992254</v>
      </c>
      <c r="G936">
        <v>10000</v>
      </c>
      <c r="H936">
        <v>403408.37336933619</v>
      </c>
      <c r="I936">
        <v>32.020614547791119</v>
      </c>
    </row>
    <row r="937" spans="1:9" x14ac:dyDescent="0.2">
      <c r="A937">
        <v>932</v>
      </c>
      <c r="B937">
        <v>862843.10052823985</v>
      </c>
      <c r="C937">
        <v>91840.382215218342</v>
      </c>
      <c r="D937">
        <v>81732.852112593362</v>
      </c>
      <c r="E937">
        <v>36317.328867960612</v>
      </c>
      <c r="F937">
        <v>38514.276613935734</v>
      </c>
      <c r="G937">
        <v>10000</v>
      </c>
      <c r="H937">
        <v>238404.83980970804</v>
      </c>
      <c r="I937">
        <v>34.089883159062495</v>
      </c>
    </row>
    <row r="938" spans="1:9" x14ac:dyDescent="0.2">
      <c r="A938">
        <v>933</v>
      </c>
      <c r="B938">
        <v>1551368.9411998247</v>
      </c>
      <c r="C938">
        <v>151430.23174689597</v>
      </c>
      <c r="D938">
        <v>105878.98981007365</v>
      </c>
      <c r="E938">
        <v>134484.66713811006</v>
      </c>
      <c r="F938">
        <v>45310.476955715305</v>
      </c>
      <c r="G938">
        <v>10000</v>
      </c>
      <c r="H938">
        <v>427104.36565079505</v>
      </c>
      <c r="I938">
        <v>37.372828776570266</v>
      </c>
    </row>
    <row r="939" spans="1:9" x14ac:dyDescent="0.2">
      <c r="A939">
        <v>934</v>
      </c>
      <c r="B939">
        <v>1004029.1921617669</v>
      </c>
      <c r="C939">
        <v>74769.361070134313</v>
      </c>
      <c r="D939">
        <v>87722.620961939305</v>
      </c>
      <c r="E939">
        <v>82869.627566189287</v>
      </c>
      <c r="F939">
        <v>41737.128062274642</v>
      </c>
      <c r="G939">
        <v>10000</v>
      </c>
      <c r="H939">
        <v>277098.73766053753</v>
      </c>
      <c r="I939">
        <v>32.029940050928879</v>
      </c>
    </row>
    <row r="940" spans="1:9" x14ac:dyDescent="0.2">
      <c r="A940">
        <v>935</v>
      </c>
      <c r="B940">
        <v>1603923.3216096577</v>
      </c>
      <c r="C940">
        <v>121890.40899799357</v>
      </c>
      <c r="D940">
        <v>83570.97261384179</v>
      </c>
      <c r="E940">
        <v>196446.08671977068</v>
      </c>
      <c r="F940">
        <v>49600.113695984124</v>
      </c>
      <c r="G940">
        <v>10000</v>
      </c>
      <c r="H940">
        <v>441507.58202759014</v>
      </c>
      <c r="I940">
        <v>37.727812903890893</v>
      </c>
    </row>
    <row r="941" spans="1:9" x14ac:dyDescent="0.2">
      <c r="A941">
        <v>936</v>
      </c>
      <c r="B941">
        <v>1330124.9932340449</v>
      </c>
      <c r="C941">
        <v>111627.38981840883</v>
      </c>
      <c r="D941">
        <v>52170.211232234826</v>
      </c>
      <c r="E941">
        <v>165232.77070193907</v>
      </c>
      <c r="F941">
        <v>47439.191817826548</v>
      </c>
      <c r="G941">
        <v>10000</v>
      </c>
      <c r="H941">
        <v>366469.56357040926</v>
      </c>
      <c r="I941">
        <v>34.218887647529186</v>
      </c>
    </row>
    <row r="942" spans="1:9" x14ac:dyDescent="0.2">
      <c r="A942">
        <v>937</v>
      </c>
      <c r="B942">
        <v>694047.96242389025</v>
      </c>
      <c r="C942">
        <v>74792.481489522586</v>
      </c>
      <c r="D942">
        <v>33564.153743096307</v>
      </c>
      <c r="E942">
        <v>54046.037155648366</v>
      </c>
      <c r="F942">
        <v>39741.648726160267</v>
      </c>
      <c r="G942">
        <v>10000</v>
      </c>
      <c r="H942">
        <v>192144.32111442753</v>
      </c>
      <c r="I942">
        <v>36.110624121718217</v>
      </c>
    </row>
    <row r="943" spans="1:9" x14ac:dyDescent="0.2">
      <c r="A943">
        <v>938</v>
      </c>
      <c r="B943">
        <v>1518939.5792878109</v>
      </c>
      <c r="C943">
        <v>119674.92348205429</v>
      </c>
      <c r="D943">
        <v>68099.803970138659</v>
      </c>
      <c r="E943">
        <v>191204.69841307099</v>
      </c>
      <c r="F943">
        <v>49237.248351674141</v>
      </c>
      <c r="G943">
        <v>10000</v>
      </c>
      <c r="H943">
        <v>418216.67421693803</v>
      </c>
      <c r="I943">
        <v>29.783639277448216</v>
      </c>
    </row>
    <row r="944" spans="1:9" x14ac:dyDescent="0.2">
      <c r="A944">
        <v>939</v>
      </c>
      <c r="B944">
        <v>1098626.2818846006</v>
      </c>
      <c r="C944">
        <v>95753.595413154108</v>
      </c>
      <c r="D944">
        <v>49262.075209291739</v>
      </c>
      <c r="E944">
        <v>123461.31670626643</v>
      </c>
      <c r="F944">
        <v>44547.32192581844</v>
      </c>
      <c r="G944">
        <v>10000</v>
      </c>
      <c r="H944">
        <v>303024.3092545307</v>
      </c>
      <c r="I944">
        <v>25.447167456939404</v>
      </c>
    </row>
    <row r="945" spans="1:9" x14ac:dyDescent="0.2">
      <c r="A945">
        <v>940</v>
      </c>
      <c r="B945">
        <v>1191513.8732704115</v>
      </c>
      <c r="C945">
        <v>163164.36131688289</v>
      </c>
      <c r="D945">
        <v>71670.630733770871</v>
      </c>
      <c r="E945">
        <v>63266.397051075859</v>
      </c>
      <c r="F945">
        <v>40379.981334305245</v>
      </c>
      <c r="G945">
        <v>10000</v>
      </c>
      <c r="H945">
        <v>328481.37043603486</v>
      </c>
      <c r="I945">
        <v>36.594253724663687</v>
      </c>
    </row>
    <row r="946" spans="1:9" x14ac:dyDescent="0.2">
      <c r="A946">
        <v>941</v>
      </c>
      <c r="B946">
        <v>1384345.4506952087</v>
      </c>
      <c r="C946">
        <v>102216.48204121277</v>
      </c>
      <c r="D946">
        <v>55493.934152760223</v>
      </c>
      <c r="E946">
        <v>184823.50085731264</v>
      </c>
      <c r="F946">
        <v>48795.47313627549</v>
      </c>
      <c r="G946">
        <v>10000</v>
      </c>
      <c r="H946">
        <v>381329.3901875611</v>
      </c>
      <c r="I946">
        <v>32.036486689845162</v>
      </c>
    </row>
    <row r="947" spans="1:9" x14ac:dyDescent="0.2">
      <c r="A947">
        <v>942</v>
      </c>
      <c r="B947">
        <v>1286717.9792764261</v>
      </c>
      <c r="C947">
        <v>108231.93460391047</v>
      </c>
      <c r="D947">
        <v>64941.936711340059</v>
      </c>
      <c r="E947">
        <v>145337.59778580681</v>
      </c>
      <c r="F947">
        <v>46061.833692863547</v>
      </c>
      <c r="G947">
        <v>10000</v>
      </c>
      <c r="H947">
        <v>354573.30279392086</v>
      </c>
      <c r="I947">
        <v>47.995190671277548</v>
      </c>
    </row>
    <row r="948" spans="1:9" x14ac:dyDescent="0.2">
      <c r="A948">
        <v>943</v>
      </c>
      <c r="B948">
        <v>1349623.6575532954</v>
      </c>
      <c r="C948">
        <v>155365.6766177617</v>
      </c>
      <c r="D948">
        <v>100737.10760613695</v>
      </c>
      <c r="E948">
        <v>83902.040891090408</v>
      </c>
      <c r="F948">
        <v>41808.602830921642</v>
      </c>
      <c r="G948">
        <v>10000</v>
      </c>
      <c r="H948">
        <v>371813.42794591072</v>
      </c>
      <c r="I948">
        <v>36.187721009729408</v>
      </c>
    </row>
    <row r="949" spans="1:9" x14ac:dyDescent="0.2">
      <c r="A949">
        <v>944</v>
      </c>
      <c r="B949">
        <v>899347.74960648874</v>
      </c>
      <c r="C949">
        <v>102515.64931627056</v>
      </c>
      <c r="D949">
        <v>64942.167992139555</v>
      </c>
      <c r="E949">
        <v>51393.582515395981</v>
      </c>
      <c r="F949">
        <v>39558.017251065874</v>
      </c>
      <c r="G949">
        <v>10000</v>
      </c>
      <c r="H949">
        <v>248409.41707487198</v>
      </c>
      <c r="I949">
        <v>24.452624510994006</v>
      </c>
    </row>
    <row r="950" spans="1:9" x14ac:dyDescent="0.2">
      <c r="A950">
        <v>945</v>
      </c>
      <c r="B950">
        <v>1427579.0026362853</v>
      </c>
      <c r="C950">
        <v>152576.92303953078</v>
      </c>
      <c r="D950">
        <v>43048.884557994017</v>
      </c>
      <c r="E950">
        <v>160444.60070306389</v>
      </c>
      <c r="F950">
        <v>47107.70312559673</v>
      </c>
      <c r="G950">
        <v>10000</v>
      </c>
      <c r="H950">
        <v>393178.11142618547</v>
      </c>
      <c r="I950">
        <v>44.795254866741331</v>
      </c>
    </row>
    <row r="951" spans="1:9" x14ac:dyDescent="0.2">
      <c r="A951">
        <v>946</v>
      </c>
      <c r="B951">
        <v>1771605.799947266</v>
      </c>
      <c r="C951">
        <v>136136.63892999172</v>
      </c>
      <c r="D951">
        <v>133523.55207706059</v>
      </c>
      <c r="E951">
        <v>179384.07334617671</v>
      </c>
      <c r="F951">
        <v>48418.897385504541</v>
      </c>
      <c r="G951">
        <v>10000</v>
      </c>
      <c r="H951">
        <v>487463.16173873359</v>
      </c>
      <c r="I951">
        <v>36.692004410803378</v>
      </c>
    </row>
    <row r="952" spans="1:9" x14ac:dyDescent="0.2">
      <c r="A952">
        <v>947</v>
      </c>
      <c r="B952">
        <v>1650126.7214673948</v>
      </c>
      <c r="C952">
        <v>112962.95488092674</v>
      </c>
      <c r="D952">
        <v>98064.801478166366</v>
      </c>
      <c r="E952">
        <v>203082.88807272361</v>
      </c>
      <c r="F952">
        <v>50059.584558880866</v>
      </c>
      <c r="G952">
        <v>10000</v>
      </c>
      <c r="H952">
        <v>454170.22899069765</v>
      </c>
      <c r="I952">
        <v>34.941154601984579</v>
      </c>
    </row>
    <row r="953" spans="1:9" x14ac:dyDescent="0.2">
      <c r="A953">
        <v>948</v>
      </c>
      <c r="B953">
        <v>912895.67777977756</v>
      </c>
      <c r="C953">
        <v>74610.483350205875</v>
      </c>
      <c r="D953">
        <v>27994.13721141874</v>
      </c>
      <c r="E953">
        <v>115520.22935735824</v>
      </c>
      <c r="F953">
        <v>43997.5543401248</v>
      </c>
      <c r="G953">
        <v>10000</v>
      </c>
      <c r="H953">
        <v>252122.40425910766</v>
      </c>
      <c r="I953">
        <v>26.880827055891103</v>
      </c>
    </row>
    <row r="954" spans="1:9" x14ac:dyDescent="0.2">
      <c r="A954">
        <v>949</v>
      </c>
      <c r="B954">
        <v>1333887.2457744533</v>
      </c>
      <c r="C954">
        <v>130561.92161367396</v>
      </c>
      <c r="D954">
        <v>60242.669001050665</v>
      </c>
      <c r="E954">
        <v>140938.76820965827</v>
      </c>
      <c r="F954">
        <v>45757.299337591729</v>
      </c>
      <c r="G954">
        <v>10000</v>
      </c>
      <c r="H954">
        <v>367500.65816197463</v>
      </c>
      <c r="I954">
        <v>27.137992696975516</v>
      </c>
    </row>
    <row r="955" spans="1:9" x14ac:dyDescent="0.2">
      <c r="A955">
        <v>950</v>
      </c>
      <c r="B955">
        <v>1216353.7074656319</v>
      </c>
      <c r="C955">
        <v>95738.182199587856</v>
      </c>
      <c r="D955">
        <v>134750.49943413099</v>
      </c>
      <c r="E955">
        <v>73698.188469260829</v>
      </c>
      <c r="F955">
        <v>41102.182278641136</v>
      </c>
      <c r="G955">
        <v>10000</v>
      </c>
      <c r="H955">
        <v>335289.0523816208</v>
      </c>
      <c r="I955">
        <v>33.890974423687553</v>
      </c>
    </row>
    <row r="956" spans="1:9" x14ac:dyDescent="0.2">
      <c r="A956">
        <v>951</v>
      </c>
      <c r="B956">
        <v>1653007.8435144331</v>
      </c>
      <c r="C956">
        <v>119084.91322388702</v>
      </c>
      <c r="D956">
        <v>153826.16822110032</v>
      </c>
      <c r="E956">
        <v>145944.88044488494</v>
      </c>
      <c r="F956">
        <v>46103.876338492038</v>
      </c>
      <c r="G956">
        <v>10000</v>
      </c>
      <c r="H956">
        <v>454959.8382283643</v>
      </c>
      <c r="I956">
        <v>27.840526849142861</v>
      </c>
    </row>
    <row r="957" spans="1:9" x14ac:dyDescent="0.2">
      <c r="A957">
        <v>952</v>
      </c>
      <c r="B957">
        <v>1547305.2998790925</v>
      </c>
      <c r="C957">
        <v>104219.25377455706</v>
      </c>
      <c r="D957">
        <v>82094.523553092542</v>
      </c>
      <c r="E957">
        <v>199841.69960061595</v>
      </c>
      <c r="F957">
        <v>49835.194587734957</v>
      </c>
      <c r="G957">
        <v>10000</v>
      </c>
      <c r="H957">
        <v>425990.67151600047</v>
      </c>
      <c r="I957">
        <v>26.163665099137134</v>
      </c>
    </row>
    <row r="958" spans="1:9" x14ac:dyDescent="0.2">
      <c r="A958">
        <v>953</v>
      </c>
      <c r="B958">
        <v>1903362.26452701</v>
      </c>
      <c r="C958">
        <v>172393.13993278964</v>
      </c>
      <c r="D958">
        <v>119272.34775445734</v>
      </c>
      <c r="E958">
        <v>192575.13439766466</v>
      </c>
      <c r="F958">
        <v>49332.124689069089</v>
      </c>
      <c r="G958">
        <v>10000</v>
      </c>
      <c r="H958">
        <v>523572.74677398079</v>
      </c>
      <c r="I958">
        <v>42.663750534261105</v>
      </c>
    </row>
    <row r="959" spans="1:9" x14ac:dyDescent="0.2">
      <c r="A959">
        <v>954</v>
      </c>
      <c r="B959">
        <v>839242.91014496377</v>
      </c>
      <c r="C959">
        <v>100930.43203753176</v>
      </c>
      <c r="D959">
        <v>61847.077506765694</v>
      </c>
      <c r="E959">
        <v>40364.896135566094</v>
      </c>
      <c r="F959">
        <v>38794.492809385345</v>
      </c>
      <c r="G959">
        <v>10000</v>
      </c>
      <c r="H959">
        <v>231936.89848924891</v>
      </c>
      <c r="I959">
        <v>37.252550653340279</v>
      </c>
    </row>
    <row r="960" spans="1:9" x14ac:dyDescent="0.2">
      <c r="A960">
        <v>955</v>
      </c>
      <c r="B960">
        <v>1363729.1378380652</v>
      </c>
      <c r="C960">
        <v>112845.26765860975</v>
      </c>
      <c r="D960">
        <v>87631.273290112891</v>
      </c>
      <c r="E960">
        <v>139542.07354924551</v>
      </c>
      <c r="F960">
        <v>45660.605091870842</v>
      </c>
      <c r="G960">
        <v>10000</v>
      </c>
      <c r="H960">
        <v>375679.21958983893</v>
      </c>
      <c r="I960">
        <v>25.732102031939288</v>
      </c>
    </row>
    <row r="961" spans="1:9" x14ac:dyDescent="0.2">
      <c r="A961">
        <v>956</v>
      </c>
      <c r="B961">
        <v>977407.06147674017</v>
      </c>
      <c r="C961">
        <v>106358.33202899263</v>
      </c>
      <c r="D961">
        <v>46420.118434483353</v>
      </c>
      <c r="E961">
        <v>85130.49396913324</v>
      </c>
      <c r="F961">
        <v>41893.649582478451</v>
      </c>
      <c r="G961">
        <v>10000</v>
      </c>
      <c r="H961">
        <v>269802.5940150877</v>
      </c>
      <c r="I961">
        <v>36.243976971884933</v>
      </c>
    </row>
    <row r="962" spans="1:9" x14ac:dyDescent="0.2">
      <c r="A962">
        <v>957</v>
      </c>
      <c r="B962">
        <v>1281869.5349188722</v>
      </c>
      <c r="C962">
        <v>117004.45526186758</v>
      </c>
      <c r="D962">
        <v>73392.223350314205</v>
      </c>
      <c r="E962">
        <v>127987.19269254332</v>
      </c>
      <c r="F962">
        <v>44860.651801791464</v>
      </c>
      <c r="G962">
        <v>10000</v>
      </c>
      <c r="H962">
        <v>353244.52310651657</v>
      </c>
      <c r="I962">
        <v>34.764340243287357</v>
      </c>
    </row>
    <row r="963" spans="1:9" x14ac:dyDescent="0.2">
      <c r="A963">
        <v>958</v>
      </c>
      <c r="B963">
        <v>1313655.322024761</v>
      </c>
      <c r="C963">
        <v>121358.3849613526</v>
      </c>
      <c r="D963">
        <v>113054.5832352375</v>
      </c>
      <c r="E963">
        <v>94968.148279944508</v>
      </c>
      <c r="F963">
        <v>42574.717957842309</v>
      </c>
      <c r="G963">
        <v>10000</v>
      </c>
      <c r="H963">
        <v>361955.83443437691</v>
      </c>
      <c r="I963">
        <v>42.812378230534868</v>
      </c>
    </row>
    <row r="964" spans="1:9" x14ac:dyDescent="0.2">
      <c r="A964">
        <v>959</v>
      </c>
      <c r="B964">
        <v>1193012.1513518568</v>
      </c>
      <c r="C964">
        <v>80870.760511756598</v>
      </c>
      <c r="D964">
        <v>53058.23966415169</v>
      </c>
      <c r="E964">
        <v>158022.94308860332</v>
      </c>
      <c r="F964">
        <v>46940.049906134074</v>
      </c>
      <c r="G964">
        <v>10000</v>
      </c>
      <c r="H964">
        <v>328891.99317064573</v>
      </c>
      <c r="I964">
        <v>41.365662099619783</v>
      </c>
    </row>
    <row r="965" spans="1:9" x14ac:dyDescent="0.2">
      <c r="A965">
        <v>960</v>
      </c>
      <c r="B965">
        <v>927074.85780411097</v>
      </c>
      <c r="C965">
        <v>110955.49492149352</v>
      </c>
      <c r="D965">
        <v>51755.816212117614</v>
      </c>
      <c r="E965">
        <v>62939.718052523116</v>
      </c>
      <c r="F965">
        <v>40357.365095943911</v>
      </c>
      <c r="G965">
        <v>10000</v>
      </c>
      <c r="H965">
        <v>256008.39428207814</v>
      </c>
      <c r="I965">
        <v>42.587131673764297</v>
      </c>
    </row>
    <row r="966" spans="1:9" x14ac:dyDescent="0.2">
      <c r="A966">
        <v>961</v>
      </c>
      <c r="B966">
        <v>1250126.4958261608</v>
      </c>
      <c r="C966">
        <v>100427.14786996572</v>
      </c>
      <c r="D966">
        <v>98804.304418560292</v>
      </c>
      <c r="E966">
        <v>111588.14222017524</v>
      </c>
      <c r="F966">
        <v>43725.332922935209</v>
      </c>
      <c r="G966">
        <v>10000</v>
      </c>
      <c r="H966">
        <v>344544.92743163643</v>
      </c>
      <c r="I966">
        <v>42.336047124726946</v>
      </c>
    </row>
    <row r="967" spans="1:9" x14ac:dyDescent="0.2">
      <c r="A967">
        <v>962</v>
      </c>
      <c r="B967">
        <v>1036571.5414873755</v>
      </c>
      <c r="C967">
        <v>149640.98058640031</v>
      </c>
      <c r="D967">
        <v>82251.119421926254</v>
      </c>
      <c r="E967">
        <v>26304.232515730306</v>
      </c>
      <c r="F967">
        <v>37821.062251089024</v>
      </c>
      <c r="G967">
        <v>10000</v>
      </c>
      <c r="H967">
        <v>286017.39477514592</v>
      </c>
      <c r="I967">
        <v>28.518046594145289</v>
      </c>
    </row>
    <row r="968" spans="1:9" x14ac:dyDescent="0.2">
      <c r="A968">
        <v>963</v>
      </c>
      <c r="B968">
        <v>1728668.8727816041</v>
      </c>
      <c r="C968">
        <v>137785.99039036097</v>
      </c>
      <c r="D968">
        <v>96761.47475353675</v>
      </c>
      <c r="E968">
        <v>201217.80578412733</v>
      </c>
      <c r="F968">
        <v>49930.46347736266</v>
      </c>
      <c r="G968">
        <v>10000</v>
      </c>
      <c r="H968">
        <v>475695.73440538766</v>
      </c>
      <c r="I968">
        <v>38.353261584328195</v>
      </c>
    </row>
    <row r="969" spans="1:9" x14ac:dyDescent="0.2">
      <c r="A969">
        <v>964</v>
      </c>
      <c r="B969">
        <v>1516782.0698702475</v>
      </c>
      <c r="C969">
        <v>115600.22386391935</v>
      </c>
      <c r="D969">
        <v>112597.9391007536</v>
      </c>
      <c r="E969">
        <v>152845.59913300758</v>
      </c>
      <c r="F969">
        <v>46581.618401515916</v>
      </c>
      <c r="G969">
        <v>10000</v>
      </c>
      <c r="H969">
        <v>417625.38049919647</v>
      </c>
      <c r="I969">
        <v>35.067926417076151</v>
      </c>
    </row>
    <row r="970" spans="1:9" x14ac:dyDescent="0.2">
      <c r="A970">
        <v>965</v>
      </c>
      <c r="B970">
        <v>1109831.2004222283</v>
      </c>
      <c r="C970">
        <v>80604.732067889679</v>
      </c>
      <c r="D970">
        <v>59900.119680715019</v>
      </c>
      <c r="E970">
        <v>130552.09055398998</v>
      </c>
      <c r="F970">
        <v>45038.221653737768</v>
      </c>
      <c r="G970">
        <v>10000</v>
      </c>
      <c r="H970">
        <v>306095.16395633243</v>
      </c>
      <c r="I970">
        <v>30.13436776155784</v>
      </c>
    </row>
    <row r="971" spans="1:9" x14ac:dyDescent="0.2">
      <c r="A971">
        <v>966</v>
      </c>
      <c r="B971">
        <v>1089181.3577555106</v>
      </c>
      <c r="C971">
        <v>74009.635782891462</v>
      </c>
      <c r="D971">
        <v>50875.71740245854</v>
      </c>
      <c r="E971">
        <v>139867.32817025066</v>
      </c>
      <c r="F971">
        <v>45683.122719478888</v>
      </c>
      <c r="G971">
        <v>10000</v>
      </c>
      <c r="H971">
        <v>300435.80407507956</v>
      </c>
      <c r="I971">
        <v>35.129101220034997</v>
      </c>
    </row>
    <row r="972" spans="1:9" x14ac:dyDescent="0.2">
      <c r="A972">
        <v>967</v>
      </c>
      <c r="B972">
        <v>1722311.5482802466</v>
      </c>
      <c r="C972">
        <v>144643.49357407916</v>
      </c>
      <c r="D972">
        <v>88401.199880804357</v>
      </c>
      <c r="E972">
        <v>200993.77896600452</v>
      </c>
      <c r="F972">
        <v>49914.953928415693</v>
      </c>
      <c r="G972">
        <v>10000</v>
      </c>
      <c r="H972">
        <v>473953.42634930369</v>
      </c>
      <c r="I972">
        <v>31.733622453762887</v>
      </c>
    </row>
    <row r="973" spans="1:9" x14ac:dyDescent="0.2">
      <c r="A973">
        <v>968</v>
      </c>
      <c r="B973">
        <v>1097916.0630536748</v>
      </c>
      <c r="C973">
        <v>118638.89126447955</v>
      </c>
      <c r="D973">
        <v>120761.55374277718</v>
      </c>
      <c r="E973">
        <v>35005.744831135205</v>
      </c>
      <c r="F973">
        <v>38423.47464215551</v>
      </c>
      <c r="G973">
        <v>10000</v>
      </c>
      <c r="H973">
        <v>302829.66448054748</v>
      </c>
      <c r="I973">
        <v>29.857839059087169</v>
      </c>
    </row>
    <row r="974" spans="1:9" x14ac:dyDescent="0.2">
      <c r="A974">
        <v>969</v>
      </c>
      <c r="B974">
        <v>1304545.8713528127</v>
      </c>
      <c r="C974">
        <v>143216.88108357598</v>
      </c>
      <c r="D974">
        <v>55784.094459272928</v>
      </c>
      <c r="E974">
        <v>125752.36186310457</v>
      </c>
      <c r="F974">
        <v>44705.932744368773</v>
      </c>
      <c r="G974">
        <v>10000</v>
      </c>
      <c r="H974">
        <v>359459.27015032223</v>
      </c>
      <c r="I974">
        <v>35.105924843117478</v>
      </c>
    </row>
    <row r="975" spans="1:9" x14ac:dyDescent="0.2">
      <c r="A975">
        <v>970</v>
      </c>
      <c r="B975">
        <v>1021016.8152754609</v>
      </c>
      <c r="C975">
        <v>77488.760949217714</v>
      </c>
      <c r="D975">
        <v>52546.357930395279</v>
      </c>
      <c r="E975">
        <v>117579.20089749397</v>
      </c>
      <c r="F975">
        <v>44140.098523672663</v>
      </c>
      <c r="G975">
        <v>10000</v>
      </c>
      <c r="H975">
        <v>281754.41830077965</v>
      </c>
      <c r="I975">
        <v>40.560253673469632</v>
      </c>
    </row>
    <row r="976" spans="1:9" x14ac:dyDescent="0.2">
      <c r="A976">
        <v>971</v>
      </c>
      <c r="B976">
        <v>1424734.4218983161</v>
      </c>
      <c r="C976">
        <v>116785.46392016558</v>
      </c>
      <c r="D976">
        <v>159989.65202182153</v>
      </c>
      <c r="E976">
        <v>83820.446857720861</v>
      </c>
      <c r="F976">
        <v>41802.954013226823</v>
      </c>
      <c r="G976">
        <v>10000</v>
      </c>
      <c r="H976">
        <v>392398.51681293483</v>
      </c>
      <c r="I976">
        <v>40.664109376919441</v>
      </c>
    </row>
    <row r="977" spans="1:9" x14ac:dyDescent="0.2">
      <c r="A977">
        <v>972</v>
      </c>
      <c r="B977">
        <v>1412702.3749671755</v>
      </c>
      <c r="C977">
        <v>90383.433442016802</v>
      </c>
      <c r="D977">
        <v>101687.43853097488</v>
      </c>
      <c r="E977">
        <v>159956.21309153052</v>
      </c>
      <c r="F977">
        <v>47073.891675567495</v>
      </c>
      <c r="G977">
        <v>10000</v>
      </c>
      <c r="H977">
        <v>389100.97674008971</v>
      </c>
      <c r="I977">
        <v>35.468556487452176</v>
      </c>
    </row>
    <row r="978" spans="1:9" x14ac:dyDescent="0.2">
      <c r="A978">
        <v>973</v>
      </c>
      <c r="B978">
        <v>981554.07601908722</v>
      </c>
      <c r="C978">
        <v>85000.731477807611</v>
      </c>
      <c r="D978">
        <v>46473.888246903043</v>
      </c>
      <c r="E978">
        <v>106117.89448438241</v>
      </c>
      <c r="F978">
        <v>43346.623464303397</v>
      </c>
      <c r="G978">
        <v>10000</v>
      </c>
      <c r="H978">
        <v>270939.13767339644</v>
      </c>
      <c r="I978">
        <v>30.167712645733509</v>
      </c>
    </row>
    <row r="979" spans="1:9" x14ac:dyDescent="0.2">
      <c r="A979">
        <v>974</v>
      </c>
      <c r="B979">
        <v>850358.75536810758</v>
      </c>
      <c r="C979">
        <v>95132.8231427508</v>
      </c>
      <c r="D979">
        <v>39742.965028175335</v>
      </c>
      <c r="E979">
        <v>69309.222521539632</v>
      </c>
      <c r="F979">
        <v>40798.330789952743</v>
      </c>
      <c r="G979">
        <v>10000</v>
      </c>
      <c r="H979">
        <v>234983.3414824185</v>
      </c>
      <c r="I979">
        <v>36.930580976087157</v>
      </c>
    </row>
    <row r="980" spans="1:9" x14ac:dyDescent="0.2">
      <c r="A980">
        <v>975</v>
      </c>
      <c r="B980">
        <v>1409801.6474294339</v>
      </c>
      <c r="C980">
        <v>117912.24579957104</v>
      </c>
      <c r="D980">
        <v>109947.88854556618</v>
      </c>
      <c r="E980">
        <v>125740.73238882203</v>
      </c>
      <c r="F980">
        <v>44705.127626918445</v>
      </c>
      <c r="G980">
        <v>10000</v>
      </c>
      <c r="H980">
        <v>388305.99436087767</v>
      </c>
      <c r="I980">
        <v>35.114907904982815</v>
      </c>
    </row>
    <row r="981" spans="1:9" x14ac:dyDescent="0.2">
      <c r="A981">
        <v>976</v>
      </c>
      <c r="B981">
        <v>1640838.658250751</v>
      </c>
      <c r="C981">
        <v>138397.86465901439</v>
      </c>
      <c r="D981">
        <v>77083.007843080224</v>
      </c>
      <c r="E981">
        <v>196537.40534249521</v>
      </c>
      <c r="F981">
        <v>49606.435754480437</v>
      </c>
      <c r="G981">
        <v>10000</v>
      </c>
      <c r="H981">
        <v>451624.71359907021</v>
      </c>
      <c r="I981">
        <v>34.977513854176266</v>
      </c>
    </row>
    <row r="982" spans="1:9" x14ac:dyDescent="0.2">
      <c r="A982">
        <v>977</v>
      </c>
      <c r="B982">
        <v>1224362.0262465116</v>
      </c>
      <c r="C982">
        <v>89614.908821204372</v>
      </c>
      <c r="D982">
        <v>125809.40684224109</v>
      </c>
      <c r="E982">
        <v>89839.840142774483</v>
      </c>
      <c r="F982">
        <v>42219.681240653612</v>
      </c>
      <c r="G982">
        <v>10000</v>
      </c>
      <c r="H982">
        <v>337483.83704687352</v>
      </c>
      <c r="I982">
        <v>33.16633157796165</v>
      </c>
    </row>
    <row r="983" spans="1:9" x14ac:dyDescent="0.2">
      <c r="A983">
        <v>978</v>
      </c>
      <c r="B983">
        <v>1215029.6099970841</v>
      </c>
      <c r="C983">
        <v>123769.9092116817</v>
      </c>
      <c r="D983">
        <v>50050.955748419256</v>
      </c>
      <c r="E983">
        <v>126357.47591019599</v>
      </c>
      <c r="F983">
        <v>44747.825255321259</v>
      </c>
      <c r="G983">
        <v>10000</v>
      </c>
      <c r="H983">
        <v>334926.16612561821</v>
      </c>
      <c r="I983">
        <v>26.949357886674882</v>
      </c>
    </row>
    <row r="984" spans="1:9" x14ac:dyDescent="0.2">
      <c r="A984">
        <v>979</v>
      </c>
      <c r="B984">
        <v>1149933.1388816906</v>
      </c>
      <c r="C984">
        <v>73142.274680442744</v>
      </c>
      <c r="D984">
        <v>82645.151625508879</v>
      </c>
      <c r="E984">
        <v>126537.88413680618</v>
      </c>
      <c r="F984">
        <v>44760.31505562504</v>
      </c>
      <c r="G984">
        <v>10000</v>
      </c>
      <c r="H984">
        <v>317085.62549838284</v>
      </c>
      <c r="I984">
        <v>31.428903333003866</v>
      </c>
    </row>
    <row r="985" spans="1:9" x14ac:dyDescent="0.2">
      <c r="A985">
        <v>980</v>
      </c>
      <c r="B985">
        <v>1479542.7066896851</v>
      </c>
      <c r="C985">
        <v>134922.12527303424</v>
      </c>
      <c r="D985">
        <v>86257.31630139894</v>
      </c>
      <c r="E985">
        <v>149864.75160166036</v>
      </c>
      <c r="F985">
        <v>46375.2520339611</v>
      </c>
      <c r="G985">
        <v>10000</v>
      </c>
      <c r="H985">
        <v>407419.44521005463</v>
      </c>
      <c r="I985">
        <v>34.601471879876392</v>
      </c>
    </row>
    <row r="986" spans="1:9" x14ac:dyDescent="0.2">
      <c r="A986">
        <v>981</v>
      </c>
      <c r="B986">
        <v>1566578.6309918249</v>
      </c>
      <c r="C986">
        <v>166140.50713335731</v>
      </c>
      <c r="D986">
        <v>123548.828308539</v>
      </c>
      <c r="E986">
        <v>108099.62475715707</v>
      </c>
      <c r="F986">
        <v>43483.820175495493</v>
      </c>
      <c r="G986">
        <v>10000</v>
      </c>
      <c r="H986">
        <v>431272.78037454886</v>
      </c>
      <c r="I986">
        <v>32.77792506733671</v>
      </c>
    </row>
    <row r="987" spans="1:9" x14ac:dyDescent="0.2">
      <c r="A987">
        <v>982</v>
      </c>
      <c r="B987">
        <v>1011154.2263927211</v>
      </c>
      <c r="C987">
        <v>97600.480374814666</v>
      </c>
      <c r="D987">
        <v>64397.723050849054</v>
      </c>
      <c r="E987">
        <v>85157.70946651492</v>
      </c>
      <c r="F987">
        <v>41895.533732297183</v>
      </c>
      <c r="G987">
        <v>10000</v>
      </c>
      <c r="H987">
        <v>279051.44662447582</v>
      </c>
      <c r="I987">
        <v>41.844026674904121</v>
      </c>
    </row>
    <row r="988" spans="1:9" x14ac:dyDescent="0.2">
      <c r="A988">
        <v>983</v>
      </c>
      <c r="B988">
        <v>1252691.8477546012</v>
      </c>
      <c r="C988">
        <v>89469.435389777398</v>
      </c>
      <c r="D988">
        <v>114582.37466138849</v>
      </c>
      <c r="E988">
        <v>107737.43984532311</v>
      </c>
      <c r="F988">
        <v>43458.745835445443</v>
      </c>
      <c r="G988">
        <v>10000</v>
      </c>
      <c r="H988">
        <v>345247.99573193444</v>
      </c>
      <c r="I988">
        <v>47.624223219459338</v>
      </c>
    </row>
    <row r="989" spans="1:9" x14ac:dyDescent="0.2">
      <c r="A989">
        <v>984</v>
      </c>
      <c r="B989">
        <v>1430217.1983810612</v>
      </c>
      <c r="C989">
        <v>98836.584158822865</v>
      </c>
      <c r="D989">
        <v>80037.819705372094</v>
      </c>
      <c r="E989">
        <v>176787.5982472414</v>
      </c>
      <c r="F989">
        <v>48239.141417116713</v>
      </c>
      <c r="G989">
        <v>10000</v>
      </c>
      <c r="H989">
        <v>393901.14352855308</v>
      </c>
      <c r="I989">
        <v>32.569764228760945</v>
      </c>
    </row>
    <row r="990" spans="1:9" x14ac:dyDescent="0.2">
      <c r="A990">
        <v>985</v>
      </c>
      <c r="B990">
        <v>963155.054486076</v>
      </c>
      <c r="C990">
        <v>82779.254295079736</v>
      </c>
      <c r="D990">
        <v>77235.077065768754</v>
      </c>
      <c r="E990">
        <v>74710.077324685422</v>
      </c>
      <c r="F990">
        <v>41172.236122478222</v>
      </c>
      <c r="G990">
        <v>10000</v>
      </c>
      <c r="H990">
        <v>265896.64480801212</v>
      </c>
      <c r="I990">
        <v>47.700524906310555</v>
      </c>
    </row>
    <row r="991" spans="1:9" x14ac:dyDescent="0.2">
      <c r="A991">
        <v>986</v>
      </c>
      <c r="B991">
        <v>1577218.3411234901</v>
      </c>
      <c r="C991">
        <v>104405.48670175069</v>
      </c>
      <c r="D991">
        <v>131729.13192752085</v>
      </c>
      <c r="E991">
        <v>160913.91926868301</v>
      </c>
      <c r="F991">
        <v>47140.194410908829</v>
      </c>
      <c r="G991">
        <v>10000</v>
      </c>
      <c r="H991">
        <v>434188.73230886343</v>
      </c>
      <c r="I991">
        <v>34.334623559558608</v>
      </c>
    </row>
    <row r="992" spans="1:9" x14ac:dyDescent="0.2">
      <c r="A992">
        <v>987</v>
      </c>
      <c r="B992">
        <v>1331232.8360859787</v>
      </c>
      <c r="C992">
        <v>123719.09301537315</v>
      </c>
      <c r="D992">
        <v>81365.973921438752</v>
      </c>
      <c r="E992">
        <v>126902.55404523254</v>
      </c>
      <c r="F992">
        <v>44785.561433900715</v>
      </c>
      <c r="G992">
        <v>10000</v>
      </c>
      <c r="H992">
        <v>366773.18241594516</v>
      </c>
      <c r="I992">
        <v>32.202761647595949</v>
      </c>
    </row>
    <row r="993" spans="1:9" x14ac:dyDescent="0.2">
      <c r="A993">
        <v>988</v>
      </c>
      <c r="B993">
        <v>1357709.5432094941</v>
      </c>
      <c r="C993">
        <v>93133.222629794342</v>
      </c>
      <c r="D993">
        <v>83110.958638143202</v>
      </c>
      <c r="E993">
        <v>160662.50102872108</v>
      </c>
      <c r="F993">
        <v>47122.788532757608</v>
      </c>
      <c r="G993">
        <v>10000</v>
      </c>
      <c r="H993">
        <v>374029.47082941624</v>
      </c>
      <c r="I993">
        <v>31.513244690743079</v>
      </c>
    </row>
    <row r="994" spans="1:9" x14ac:dyDescent="0.2">
      <c r="A994">
        <v>989</v>
      </c>
      <c r="B994">
        <v>1471867.8706602105</v>
      </c>
      <c r="C994">
        <v>138609.57009382587</v>
      </c>
      <c r="D994">
        <v>104961.83836209727</v>
      </c>
      <c r="E994">
        <v>126955.42563084779</v>
      </c>
      <c r="F994">
        <v>44789.221774443307</v>
      </c>
      <c r="G994">
        <v>10000</v>
      </c>
      <c r="H994">
        <v>405316.05586121423</v>
      </c>
      <c r="I994">
        <v>37.685218974405117</v>
      </c>
    </row>
    <row r="995" spans="1:9" x14ac:dyDescent="0.2">
      <c r="A995">
        <v>990</v>
      </c>
      <c r="B995">
        <v>1292224.9710801458</v>
      </c>
      <c r="C995">
        <v>97758.361324780752</v>
      </c>
      <c r="D995">
        <v>91940.176344672524</v>
      </c>
      <c r="E995">
        <v>131294.41501856354</v>
      </c>
      <c r="F995">
        <v>45089.613347439015</v>
      </c>
      <c r="G995">
        <v>10000</v>
      </c>
      <c r="H995">
        <v>356082.56603545585</v>
      </c>
      <c r="I995">
        <v>33.861657981151168</v>
      </c>
    </row>
    <row r="996" spans="1:9" x14ac:dyDescent="0.2">
      <c r="A996">
        <v>991</v>
      </c>
      <c r="B996">
        <v>1374885.5224574087</v>
      </c>
      <c r="C996">
        <v>97719.718326257425</v>
      </c>
      <c r="D996">
        <v>155038.32772916585</v>
      </c>
      <c r="E996">
        <v>93505.284132515691</v>
      </c>
      <c r="F996">
        <v>42473.442747635694</v>
      </c>
      <c r="G996">
        <v>10000</v>
      </c>
      <c r="H996">
        <v>378736.7729355747</v>
      </c>
      <c r="I996">
        <v>42.77195818431629</v>
      </c>
    </row>
    <row r="997" spans="1:9" x14ac:dyDescent="0.2">
      <c r="A997">
        <v>992</v>
      </c>
      <c r="B997">
        <v>1480760.8965446851</v>
      </c>
      <c r="C997">
        <v>104597.20022005997</v>
      </c>
      <c r="D997">
        <v>82748.495274363697</v>
      </c>
      <c r="E997">
        <v>181820.06747026832</v>
      </c>
      <c r="F997">
        <v>48587.543132557039</v>
      </c>
      <c r="G997">
        <v>10000</v>
      </c>
      <c r="H997">
        <v>407753.30609724903</v>
      </c>
      <c r="I997">
        <v>36.523404993570303</v>
      </c>
    </row>
    <row r="998" spans="1:9" x14ac:dyDescent="0.2">
      <c r="A998">
        <v>993</v>
      </c>
      <c r="B998">
        <v>1311544.1069197454</v>
      </c>
      <c r="C998">
        <v>82438.838704186346</v>
      </c>
      <c r="D998">
        <v>99019.118009678656</v>
      </c>
      <c r="E998">
        <v>143953.2755649001</v>
      </c>
      <c r="F998">
        <v>45965.996000646934</v>
      </c>
      <c r="G998">
        <v>10000</v>
      </c>
      <c r="H998">
        <v>361377.22827941203</v>
      </c>
      <c r="I998">
        <v>28.858980754417111</v>
      </c>
    </row>
    <row r="999" spans="1:9" x14ac:dyDescent="0.2">
      <c r="A999">
        <v>994</v>
      </c>
      <c r="B999">
        <v>1571008.4589476623</v>
      </c>
      <c r="C999">
        <v>119492.00802290847</v>
      </c>
      <c r="D999">
        <v>73763.835037784229</v>
      </c>
      <c r="E999">
        <v>199424.66661915524</v>
      </c>
      <c r="F999">
        <v>49806.323073633823</v>
      </c>
      <c r="G999">
        <v>10000</v>
      </c>
      <c r="H999">
        <v>432486.83275348181</v>
      </c>
      <c r="I999">
        <v>30.929316399718978</v>
      </c>
    </row>
    <row r="1000" spans="1:9" x14ac:dyDescent="0.2">
      <c r="A1000">
        <v>995</v>
      </c>
      <c r="B1000">
        <v>1047622.0799700484</v>
      </c>
      <c r="C1000">
        <v>94006.106146321166</v>
      </c>
      <c r="D1000">
        <v>128749.77219172382</v>
      </c>
      <c r="E1000">
        <v>37681.352259959509</v>
      </c>
      <c r="F1000">
        <v>38608.709002612581</v>
      </c>
      <c r="G1000">
        <v>10000</v>
      </c>
      <c r="H1000">
        <v>289045.93960061704</v>
      </c>
      <c r="I1000">
        <v>30.68521725673531</v>
      </c>
    </row>
    <row r="1001" spans="1:9" x14ac:dyDescent="0.2">
      <c r="A1001">
        <v>996</v>
      </c>
      <c r="B1001">
        <v>1761761.5215810048</v>
      </c>
      <c r="C1001">
        <v>167780.92625119022</v>
      </c>
      <c r="D1001">
        <v>109373.72574996992</v>
      </c>
      <c r="E1001">
        <v>169851.59941555039</v>
      </c>
      <c r="F1001">
        <v>47758.956882615028</v>
      </c>
      <c r="G1001">
        <v>10000</v>
      </c>
      <c r="H1001">
        <v>484765.2082993256</v>
      </c>
      <c r="I1001">
        <v>41.693712203522217</v>
      </c>
    </row>
    <row r="1002" spans="1:9" x14ac:dyDescent="0.2">
      <c r="A1002">
        <v>997</v>
      </c>
      <c r="B1002">
        <v>1633286.1152493663</v>
      </c>
      <c r="C1002">
        <v>106672.18025809211</v>
      </c>
      <c r="D1002">
        <v>144428.62153616617</v>
      </c>
      <c r="E1002">
        <v>161287.94964097429</v>
      </c>
      <c r="F1002">
        <v>47166.088821298225</v>
      </c>
      <c r="G1002">
        <v>10000</v>
      </c>
      <c r="H1002">
        <v>449554.84025653079</v>
      </c>
      <c r="I1002">
        <v>34.173280247219978</v>
      </c>
    </row>
    <row r="1003" spans="1:9" x14ac:dyDescent="0.2">
      <c r="A1003">
        <v>998</v>
      </c>
      <c r="B1003">
        <v>1234305.2472153453</v>
      </c>
      <c r="C1003">
        <v>108766.97573841484</v>
      </c>
      <c r="D1003">
        <v>29180.114732447979</v>
      </c>
      <c r="E1003">
        <v>164849.18092895829</v>
      </c>
      <c r="F1003">
        <v>47412.635602774033</v>
      </c>
      <c r="G1003">
        <v>10000</v>
      </c>
      <c r="H1003">
        <v>340208.90700259514</v>
      </c>
      <c r="I1003">
        <v>32.533564977892553</v>
      </c>
    </row>
    <row r="1004" spans="1:9" x14ac:dyDescent="0.2">
      <c r="A1004">
        <v>999</v>
      </c>
      <c r="B1004">
        <v>923405.79311729618</v>
      </c>
      <c r="C1004">
        <v>126683.76328562506</v>
      </c>
      <c r="D1004">
        <v>67334.619411398671</v>
      </c>
      <c r="E1004">
        <v>32719.275718777208</v>
      </c>
      <c r="F1004">
        <v>38265.180626684574</v>
      </c>
      <c r="G1004">
        <v>10000</v>
      </c>
      <c r="H1004">
        <v>255002.83904248552</v>
      </c>
      <c r="I1004">
        <v>23.863524467620081</v>
      </c>
    </row>
    <row r="1005" spans="1:9" x14ac:dyDescent="0.2">
      <c r="A1005">
        <v>1000</v>
      </c>
      <c r="B1005">
        <v>1064003.4092513083</v>
      </c>
      <c r="C1005">
        <v>102498.22812854091</v>
      </c>
      <c r="D1005">
        <v>135014.85837468886</v>
      </c>
      <c r="E1005">
        <v>28078.47644753637</v>
      </c>
      <c r="F1005">
        <v>37943.894523290975</v>
      </c>
      <c r="G1005">
        <v>10000</v>
      </c>
      <c r="H1005">
        <v>293535.4574740571</v>
      </c>
      <c r="I1005">
        <v>29.879504285387778</v>
      </c>
    </row>
    <row r="1010" spans="1:2" ht="19" x14ac:dyDescent="0.25">
      <c r="A1010" s="4" t="s">
        <v>415</v>
      </c>
    </row>
    <row r="1011" spans="1:2" x14ac:dyDescent="0.2">
      <c r="A1011" t="s">
        <v>416</v>
      </c>
      <c r="B1011" s="14">
        <f>AVERAGE(B6:B1005)</f>
        <v>1308071.0418234519</v>
      </c>
    </row>
    <row r="1012" spans="1:2" x14ac:dyDescent="0.2">
      <c r="A1012" t="s">
        <v>417</v>
      </c>
      <c r="B1012" s="14">
        <f>PERCENTILE(B6:B1005,0.1)</f>
        <v>981208.37009375601</v>
      </c>
    </row>
    <row r="1013" spans="1:2" x14ac:dyDescent="0.2">
      <c r="A1013" t="s">
        <v>418</v>
      </c>
      <c r="B1013" s="14">
        <f>PERCENTILE(B6:B1005,0.5)</f>
        <v>1312737.6162167522</v>
      </c>
    </row>
    <row r="1014" spans="1:2" x14ac:dyDescent="0.2">
      <c r="A1014" t="s">
        <v>419</v>
      </c>
      <c r="B1014" s="14">
        <f>PERCENTILE(B6:B1005,0.9)</f>
        <v>1647877.5014034975</v>
      </c>
    </row>
    <row r="1015" spans="1:2" x14ac:dyDescent="0.2">
      <c r="A1015" t="s">
        <v>420</v>
      </c>
      <c r="B1015" s="14">
        <f>STDEV(B6:B1005)</f>
        <v>252684.23834026698</v>
      </c>
    </row>
    <row r="1016" spans="1:2" x14ac:dyDescent="0.2">
      <c r="A1016" t="s">
        <v>421</v>
      </c>
      <c r="B1016" s="26">
        <f>COUNTIF(B6:B1005,"&gt;0")/1000</f>
        <v>1</v>
      </c>
    </row>
    <row r="1018" spans="1:2" ht="19" x14ac:dyDescent="0.25">
      <c r="A1018" s="4" t="s">
        <v>422</v>
      </c>
    </row>
    <row r="1019" spans="1:2" x14ac:dyDescent="0.2">
      <c r="A1019" t="s">
        <v>423</v>
      </c>
      <c r="B1019" s="24">
        <f>IFERROR(AVERAGE(I6:I1005),"Run MC")</f>
        <v>36.556009322569032</v>
      </c>
    </row>
    <row r="1020" spans="1:2" x14ac:dyDescent="0.2">
      <c r="A1020" t="s">
        <v>424</v>
      </c>
      <c r="B1020" s="24">
        <f>IFERROR(PERCENTILE(I6:I1005,0.1),"Run MC")</f>
        <v>28.098116711770192</v>
      </c>
    </row>
    <row r="1021" spans="1:2" x14ac:dyDescent="0.2">
      <c r="A1021" t="s">
        <v>425</v>
      </c>
      <c r="B1021" s="24">
        <f>IFERROR(PERCENTILE(I6:I1005,0.5),"Run MC")</f>
        <v>35.730007230482791</v>
      </c>
    </row>
    <row r="1022" spans="1:2" x14ac:dyDescent="0.2">
      <c r="A1022" t="s">
        <v>426</v>
      </c>
      <c r="B1022" s="24">
        <f>IFERROR(PERCENTILE(I6:I1005,0.9),"Run MC")</f>
        <v>46.097508869380789</v>
      </c>
    </row>
    <row r="1023" spans="1:2" x14ac:dyDescent="0.2">
      <c r="A1023" t="s">
        <v>427</v>
      </c>
      <c r="B1023" s="26">
        <f>IFERROR(COUNTIF(I6:I1005,"&lt;="&amp;Season_Length)/1000,"Run MC")</f>
        <v>1</v>
      </c>
    </row>
  </sheetData>
  <mergeCells count="2">
    <mergeCell ref="L2:O2"/>
    <mergeCell ref="L1:O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4472C4"/>
  </sheetPr>
  <dimension ref="A1:D4"/>
  <sheetViews>
    <sheetView workbookViewId="0"/>
  </sheetViews>
  <sheetFormatPr baseColWidth="10" defaultColWidth="8.83203125" defaultRowHeight="15" x14ac:dyDescent="0.2"/>
  <cols>
    <col min="1" max="1" width="60" customWidth="1"/>
  </cols>
  <sheetData>
    <row r="1" spans="1:4" ht="21" x14ac:dyDescent="0.25">
      <c r="A1" s="5" t="s">
        <v>428</v>
      </c>
    </row>
    <row r="3" spans="1:4" x14ac:dyDescent="0.2">
      <c r="A3" s="34" t="s">
        <v>429</v>
      </c>
      <c r="B3" s="32"/>
      <c r="C3" s="32"/>
      <c r="D3" s="33"/>
    </row>
    <row r="4" spans="1:4" ht="300" customHeight="1" x14ac:dyDescent="0.2">
      <c r="A4" s="31" t="s">
        <v>430</v>
      </c>
      <c r="B4" s="32"/>
      <c r="C4" s="32"/>
      <c r="D4" s="33"/>
    </row>
  </sheetData>
  <mergeCells count="2">
    <mergeCell ref="A4:D4"/>
    <mergeCell ref="A3:D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4472C4"/>
  </sheetPr>
  <dimension ref="A1:J17"/>
  <sheetViews>
    <sheetView workbookViewId="0"/>
  </sheetViews>
  <sheetFormatPr baseColWidth="10" defaultColWidth="8.83203125" defaultRowHeight="15" x14ac:dyDescent="0.2"/>
  <cols>
    <col min="1" max="5" width="12" customWidth="1"/>
    <col min="6" max="6" width="14" customWidth="1"/>
    <col min="7" max="7" width="12" customWidth="1"/>
    <col min="8" max="8" width="14" customWidth="1"/>
    <col min="9" max="9" width="16" customWidth="1"/>
    <col min="10" max="10" width="14" customWidth="1"/>
  </cols>
  <sheetData>
    <row r="1" spans="1:10" ht="21" x14ac:dyDescent="0.25">
      <c r="A1" s="5" t="s">
        <v>431</v>
      </c>
    </row>
    <row r="3" spans="1:10" x14ac:dyDescent="0.2">
      <c r="A3" s="34" t="s">
        <v>432</v>
      </c>
      <c r="B3" s="32"/>
      <c r="C3" s="32"/>
      <c r="D3" s="32"/>
      <c r="E3" s="32"/>
      <c r="F3" s="32"/>
      <c r="G3" s="32"/>
      <c r="H3" s="32"/>
      <c r="I3" s="32"/>
      <c r="J3" s="33"/>
    </row>
    <row r="4" spans="1:10" ht="240" customHeight="1" x14ac:dyDescent="0.2">
      <c r="A4" s="31" t="s">
        <v>433</v>
      </c>
      <c r="B4" s="32"/>
      <c r="C4" s="32"/>
      <c r="D4" s="32"/>
      <c r="E4" s="32"/>
      <c r="F4" s="32"/>
      <c r="G4" s="32"/>
      <c r="H4" s="32"/>
      <c r="I4" s="32"/>
      <c r="J4" s="33"/>
    </row>
    <row r="6" spans="1:10" x14ac:dyDescent="0.2">
      <c r="A6" s="7" t="s">
        <v>217</v>
      </c>
      <c r="B6" s="7" t="s">
        <v>434</v>
      </c>
      <c r="C6" s="7" t="s">
        <v>435</v>
      </c>
      <c r="D6" s="7" t="s">
        <v>436</v>
      </c>
      <c r="E6" s="7" t="s">
        <v>437</v>
      </c>
      <c r="F6" s="7" t="s">
        <v>438</v>
      </c>
      <c r="G6" s="7" t="s">
        <v>439</v>
      </c>
      <c r="H6" s="7" t="s">
        <v>440</v>
      </c>
      <c r="I6" s="7" t="s">
        <v>352</v>
      </c>
      <c r="J6" s="7" t="s">
        <v>441</v>
      </c>
    </row>
    <row r="7" spans="1:10" x14ac:dyDescent="0.2">
      <c r="A7">
        <f>Base_Year+0</f>
        <v>2026</v>
      </c>
      <c r="B7" s="14">
        <f ca="1">S1_Value*INDEX(Timeline_LearningMult,2)</f>
        <v>65182.141453144468</v>
      </c>
      <c r="C7" s="14">
        <f ca="1">S2_Value*INDEX(Timeline_LearningMult,2)</f>
        <v>61544.060453546976</v>
      </c>
      <c r="D7" s="14">
        <f ca="1">S3_Value*INDEX(Timeline_LearningMult,2)</f>
        <v>17682.61645536124</v>
      </c>
      <c r="E7" s="14">
        <f ca="1">S4_Value*INDEX(Timeline_LearningMult,2)</f>
        <v>19224.181139217315</v>
      </c>
      <c r="F7" s="14">
        <f ca="1">SUM(B7:E7)</f>
        <v>163632.99950127001</v>
      </c>
      <c r="G7" s="14">
        <f>Testing_Cost</f>
        <v>10000</v>
      </c>
      <c r="H7" s="14">
        <f ca="1">F7-G7</f>
        <v>153632.99950127001</v>
      </c>
      <c r="I7">
        <f>INDEX(Timeline_DiscountFactor,2)</f>
        <v>0.95419847328244267</v>
      </c>
      <c r="J7" s="14">
        <f ca="1">H7*I7</f>
        <v>146596.37356991411</v>
      </c>
    </row>
    <row r="8" spans="1:10" x14ac:dyDescent="0.2">
      <c r="A8">
        <f>Base_Year+1</f>
        <v>2027</v>
      </c>
      <c r="B8" s="14">
        <f ca="1">S1_Value*INDEX(Timeline_LearningMult,3)</f>
        <v>97773.212179716706</v>
      </c>
      <c r="C8" s="14">
        <f ca="1">S2_Value*INDEX(Timeline_LearningMult,3)</f>
        <v>92316.090680320456</v>
      </c>
      <c r="D8" s="14">
        <f ca="1">S3_Value*INDEX(Timeline_LearningMult,3)</f>
        <v>26523.92468304186</v>
      </c>
      <c r="E8" s="14">
        <f ca="1">S4_Value*INDEX(Timeline_LearningMult,3)</f>
        <v>28836.271708825974</v>
      </c>
      <c r="F8" s="14">
        <f ca="1">SUM(B8:E8)</f>
        <v>245449.49925190501</v>
      </c>
      <c r="G8" s="14">
        <f>Testing_Cost</f>
        <v>10000</v>
      </c>
      <c r="H8" s="14">
        <f ca="1">F8-G8</f>
        <v>235449.49925190501</v>
      </c>
      <c r="I8">
        <f>INDEX(Timeline_DiscountFactor,3)</f>
        <v>0.91049472641454443</v>
      </c>
      <c r="J8" s="14">
        <f ca="1">H8*I8</f>
        <v>214375.52740580475</v>
      </c>
    </row>
    <row r="9" spans="1:10" x14ac:dyDescent="0.2">
      <c r="A9">
        <f>Base_Year+2</f>
        <v>2028</v>
      </c>
      <c r="B9" s="14">
        <f ca="1">S1_Value*INDEX(Timeline_LearningMult,4)</f>
        <v>130364.28290628894</v>
      </c>
      <c r="C9" s="14">
        <f ca="1">S2_Value*INDEX(Timeline_LearningMult,4)</f>
        <v>123088.12090709395</v>
      </c>
      <c r="D9" s="14">
        <f ca="1">S3_Value*INDEX(Timeline_LearningMult,4)</f>
        <v>35365.23291072248</v>
      </c>
      <c r="E9" s="14">
        <f ca="1">S4_Value*INDEX(Timeline_LearningMult,4)</f>
        <v>38448.36227843463</v>
      </c>
      <c r="F9" s="14">
        <f ca="1">SUM(B9:E9)</f>
        <v>327265.99900254002</v>
      </c>
      <c r="G9" s="14">
        <f>Testing_Cost</f>
        <v>10000</v>
      </c>
      <c r="H9" s="14">
        <f ca="1">F9-G9</f>
        <v>317265.99900254002</v>
      </c>
      <c r="I9">
        <f>INDEX(Timeline_DiscountFactor,4)</f>
        <v>0.86879267787647374</v>
      </c>
      <c r="J9" s="14">
        <f ca="1">H9*I9</f>
        <v>275638.37687257142</v>
      </c>
    </row>
    <row r="10" spans="1:10" x14ac:dyDescent="0.2">
      <c r="A10">
        <f>Base_Year+3</f>
        <v>2029</v>
      </c>
      <c r="B10" s="14">
        <f ca="1">S1_Value*INDEX(Timeline_LearningMult,5)</f>
        <v>130364.28290628894</v>
      </c>
      <c r="C10" s="14">
        <f ca="1">S2_Value*INDEX(Timeline_LearningMult,5)</f>
        <v>123088.12090709395</v>
      </c>
      <c r="D10" s="14">
        <f ca="1">S3_Value*INDEX(Timeline_LearningMult,5)</f>
        <v>35365.23291072248</v>
      </c>
      <c r="E10" s="14">
        <f ca="1">S4_Value*INDEX(Timeline_LearningMult,5)</f>
        <v>38448.36227843463</v>
      </c>
      <c r="F10" s="14">
        <f ca="1">SUM(B10:E10)</f>
        <v>327265.99900254002</v>
      </c>
      <c r="G10" s="14">
        <f>Testing_Cost</f>
        <v>10000</v>
      </c>
      <c r="H10" s="14">
        <f ca="1">F10-G10</f>
        <v>317265.99900254002</v>
      </c>
      <c r="I10">
        <f>INDEX(Timeline_DiscountFactor,5)</f>
        <v>0.82900064682869612</v>
      </c>
      <c r="J10" s="14">
        <f ca="1">H10*I10</f>
        <v>263013.71838985814</v>
      </c>
    </row>
    <row r="11" spans="1:10" x14ac:dyDescent="0.2">
      <c r="A11">
        <f>Base_Year+4</f>
        <v>2030</v>
      </c>
      <c r="B11" s="14">
        <f ca="1">S1_Value*INDEX(Timeline_LearningMult,6)</f>
        <v>130364.28290628894</v>
      </c>
      <c r="C11" s="14">
        <f ca="1">S2_Value*INDEX(Timeline_LearningMult,6)</f>
        <v>123088.12090709395</v>
      </c>
      <c r="D11" s="14">
        <f ca="1">S3_Value*INDEX(Timeline_LearningMult,6)</f>
        <v>35365.23291072248</v>
      </c>
      <c r="E11" s="14">
        <f ca="1">S4_Value*INDEX(Timeline_LearningMult,6)</f>
        <v>38448.36227843463</v>
      </c>
      <c r="F11" s="14">
        <f ca="1">SUM(B11:E11)</f>
        <v>327265.99900254002</v>
      </c>
      <c r="G11" s="14">
        <f>Testing_Cost</f>
        <v>10000</v>
      </c>
      <c r="H11" s="14">
        <f ca="1">F11-G11</f>
        <v>317265.99900254002</v>
      </c>
      <c r="I11">
        <f>INDEX(Timeline_DiscountFactor,6)</f>
        <v>0.79103115155409931</v>
      </c>
      <c r="J11" s="14">
        <f ca="1">H11*I11</f>
        <v>250967.28853994096</v>
      </c>
    </row>
    <row r="14" spans="1:10" ht="19" x14ac:dyDescent="0.25">
      <c r="A14" s="4" t="s">
        <v>442</v>
      </c>
    </row>
    <row r="15" spans="1:10" x14ac:dyDescent="0.2">
      <c r="A15" t="s">
        <v>443</v>
      </c>
      <c r="B15" s="14">
        <f ca="1">SUM(J7:J11)</f>
        <v>1150591.2847780893</v>
      </c>
    </row>
    <row r="16" spans="1:10" x14ac:dyDescent="0.2">
      <c r="A16" t="s">
        <v>444</v>
      </c>
      <c r="B16" s="14">
        <f ca="1">SUM(F7:F11)</f>
        <v>1390880.4957607952</v>
      </c>
    </row>
    <row r="17" spans="1:2" x14ac:dyDescent="0.2">
      <c r="A17" t="s">
        <v>445</v>
      </c>
      <c r="B17" s="14">
        <f ca="1">SUM(H7:H11)</f>
        <v>1340880.4957607952</v>
      </c>
    </row>
  </sheetData>
  <mergeCells count="2">
    <mergeCell ref="A4:J4"/>
    <mergeCell ref="A3:J3"/>
  </mergeCells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4472C4"/>
  </sheetPr>
  <dimension ref="A1:D11"/>
  <sheetViews>
    <sheetView workbookViewId="0"/>
  </sheetViews>
  <sheetFormatPr baseColWidth="10" defaultColWidth="8.83203125" defaultRowHeight="15" x14ac:dyDescent="0.2"/>
  <cols>
    <col min="1" max="1" width="12" customWidth="1"/>
    <col min="2" max="4" width="16" customWidth="1"/>
  </cols>
  <sheetData>
    <row r="1" spans="1:4" ht="21" x14ac:dyDescent="0.25">
      <c r="A1" s="5" t="s">
        <v>446</v>
      </c>
    </row>
    <row r="3" spans="1:4" x14ac:dyDescent="0.2">
      <c r="A3" s="34" t="s">
        <v>447</v>
      </c>
      <c r="B3" s="32"/>
      <c r="C3" s="32"/>
      <c r="D3" s="33"/>
    </row>
    <row r="4" spans="1:4" ht="240" customHeight="1" x14ac:dyDescent="0.2">
      <c r="A4" s="31" t="s">
        <v>448</v>
      </c>
      <c r="B4" s="32"/>
      <c r="C4" s="32"/>
      <c r="D4" s="33"/>
    </row>
    <row r="6" spans="1:4" x14ac:dyDescent="0.2">
      <c r="A6" s="7" t="s">
        <v>217</v>
      </c>
      <c r="B6" s="7" t="s">
        <v>449</v>
      </c>
      <c r="C6" s="7" t="s">
        <v>450</v>
      </c>
      <c r="D6" s="7" t="s">
        <v>451</v>
      </c>
    </row>
    <row r="7" spans="1:4" x14ac:dyDescent="0.2">
      <c r="A7">
        <f>Base_Year+0</f>
        <v>2026</v>
      </c>
      <c r="B7" s="14">
        <f ca="1">INDEX(tbl_Annual[Net_Annual],1)</f>
        <v>153632.99950127001</v>
      </c>
      <c r="C7" s="14">
        <f ca="1">B7</f>
        <v>153632.99950127001</v>
      </c>
      <c r="D7" s="14">
        <f ca="1">INDEX(tbl_Annual[Discounted],1)</f>
        <v>146596.37356991411</v>
      </c>
    </row>
    <row r="8" spans="1:4" x14ac:dyDescent="0.2">
      <c r="A8">
        <f>Base_Year+1</f>
        <v>2027</v>
      </c>
      <c r="B8" s="14">
        <f ca="1">INDEX(tbl_Annual[Net_Annual],2)</f>
        <v>235449.49925190501</v>
      </c>
      <c r="C8" s="14">
        <f ca="1">C7+B8</f>
        <v>389082.49875317502</v>
      </c>
      <c r="D8" s="14">
        <f ca="1">D7+INDEX(tbl_Annual[Discounted],2)</f>
        <v>360971.90097571886</v>
      </c>
    </row>
    <row r="9" spans="1:4" x14ac:dyDescent="0.2">
      <c r="A9">
        <f>Base_Year+2</f>
        <v>2028</v>
      </c>
      <c r="B9" s="14">
        <f ca="1">INDEX(tbl_Annual[Net_Annual],3)</f>
        <v>317265.99900254002</v>
      </c>
      <c r="C9" s="14">
        <f ca="1">C8+B9</f>
        <v>706348.49775571504</v>
      </c>
      <c r="D9" s="14">
        <f ca="1">D8+INDEX(tbl_Annual[Discounted],3)</f>
        <v>636610.27784829028</v>
      </c>
    </row>
    <row r="10" spans="1:4" x14ac:dyDescent="0.2">
      <c r="A10">
        <f>Base_Year+3</f>
        <v>2029</v>
      </c>
      <c r="B10" s="14">
        <f ca="1">INDEX(tbl_Annual[Net_Annual],4)</f>
        <v>317265.99900254002</v>
      </c>
      <c r="C10" s="14">
        <f ca="1">C9+B10</f>
        <v>1023614.4967582551</v>
      </c>
      <c r="D10" s="14">
        <f ca="1">D9+INDEX(tbl_Annual[Discounted],4)</f>
        <v>899623.99623814842</v>
      </c>
    </row>
    <row r="11" spans="1:4" x14ac:dyDescent="0.2">
      <c r="A11">
        <f>Base_Year+4</f>
        <v>2030</v>
      </c>
      <c r="B11" s="14">
        <f ca="1">INDEX(tbl_Annual[Net_Annual],5)</f>
        <v>317265.99900254002</v>
      </c>
      <c r="C11" s="14">
        <f ca="1">C10+B11</f>
        <v>1340880.4957607952</v>
      </c>
      <c r="D11" s="14">
        <f ca="1">D10+INDEX(tbl_Annual[Discounted],5)</f>
        <v>1150591.2847780893</v>
      </c>
    </row>
  </sheetData>
  <mergeCells count="2">
    <mergeCell ref="A4:D4"/>
    <mergeCell ref="A3:D3"/>
  </mergeCells>
  <pageMargins left="0.75" right="0.75" top="1" bottom="1" header="0.5" footer="0.5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472C4"/>
  </sheetPr>
  <dimension ref="A1:D20"/>
  <sheetViews>
    <sheetView workbookViewId="0"/>
  </sheetViews>
  <sheetFormatPr baseColWidth="10" defaultColWidth="8.83203125" defaultRowHeight="15" x14ac:dyDescent="0.2"/>
  <cols>
    <col min="1" max="1" width="28" customWidth="1"/>
    <col min="2" max="2" width="18" customWidth="1"/>
    <col min="3" max="3" width="10" customWidth="1"/>
    <col min="4" max="4" width="25" customWidth="1"/>
  </cols>
  <sheetData>
    <row r="1" spans="1:4" ht="21" x14ac:dyDescent="0.25">
      <c r="A1" s="5" t="s">
        <v>452</v>
      </c>
    </row>
    <row r="3" spans="1:4" x14ac:dyDescent="0.2">
      <c r="A3" s="34" t="s">
        <v>453</v>
      </c>
      <c r="B3" s="32"/>
      <c r="C3" s="32"/>
      <c r="D3" s="33"/>
    </row>
    <row r="4" spans="1:4" ht="315" customHeight="1" x14ac:dyDescent="0.2">
      <c r="A4" s="31" t="s">
        <v>454</v>
      </c>
      <c r="B4" s="32"/>
      <c r="C4" s="32"/>
      <c r="D4" s="33"/>
    </row>
    <row r="6" spans="1:4" x14ac:dyDescent="0.2">
      <c r="A6" s="7" t="s">
        <v>356</v>
      </c>
      <c r="B6" s="7" t="s">
        <v>48</v>
      </c>
      <c r="C6" s="7" t="s">
        <v>169</v>
      </c>
      <c r="D6" s="7" t="s">
        <v>357</v>
      </c>
    </row>
    <row r="7" spans="1:4" x14ac:dyDescent="0.2">
      <c r="A7" t="s">
        <v>455</v>
      </c>
      <c r="B7">
        <f>Annual_Throughput</f>
        <v>50000</v>
      </c>
      <c r="C7" t="s">
        <v>205</v>
      </c>
      <c r="D7" t="s">
        <v>456</v>
      </c>
    </row>
    <row r="8" spans="1:4" x14ac:dyDescent="0.2">
      <c r="A8" t="s">
        <v>457</v>
      </c>
      <c r="B8" s="28">
        <f ca="1">Gross_Value</f>
        <v>327265.99900254002</v>
      </c>
      <c r="C8" t="s">
        <v>214</v>
      </c>
      <c r="D8" t="s">
        <v>458</v>
      </c>
    </row>
    <row r="9" spans="1:4" x14ac:dyDescent="0.2">
      <c r="A9" t="s">
        <v>459</v>
      </c>
      <c r="B9" s="28">
        <f>Testing_Cost</f>
        <v>10000</v>
      </c>
      <c r="C9" t="s">
        <v>214</v>
      </c>
      <c r="D9" t="s">
        <v>460</v>
      </c>
    </row>
    <row r="10" spans="1:4" x14ac:dyDescent="0.2">
      <c r="A10" t="s">
        <v>461</v>
      </c>
      <c r="B10" s="28">
        <f ca="1">Gross_Value-Testing_Cost</f>
        <v>317265.99900254002</v>
      </c>
      <c r="C10" t="s">
        <v>214</v>
      </c>
      <c r="D10" t="s">
        <v>462</v>
      </c>
    </row>
    <row r="11" spans="1:4" x14ac:dyDescent="0.2">
      <c r="A11" t="s">
        <v>463</v>
      </c>
      <c r="B11" s="28">
        <f ca="1">Gross_Value/Annual_Throughput</f>
        <v>6.5453199800508006</v>
      </c>
      <c r="C11" t="s">
        <v>208</v>
      </c>
      <c r="D11" t="s">
        <v>464</v>
      </c>
    </row>
    <row r="12" spans="1:4" x14ac:dyDescent="0.2">
      <c r="A12" t="s">
        <v>465</v>
      </c>
      <c r="B12" s="28">
        <f ca="1">(Gross_Value-Testing_Cost)/Annual_Throughput</f>
        <v>6.3453199800508004</v>
      </c>
      <c r="C12" t="s">
        <v>208</v>
      </c>
      <c r="D12" t="s">
        <v>466</v>
      </c>
    </row>
    <row r="13" spans="1:4" x14ac:dyDescent="0.2">
      <c r="A13" t="s">
        <v>467</v>
      </c>
      <c r="B13" s="28">
        <f>Testing_Cost/Annual_Throughput</f>
        <v>0.2</v>
      </c>
      <c r="C13" t="s">
        <v>208</v>
      </c>
      <c r="D13" t="s">
        <v>468</v>
      </c>
    </row>
    <row r="14" spans="1:4" x14ac:dyDescent="0.2">
      <c r="A14" t="s">
        <v>469</v>
      </c>
      <c r="B14" s="28">
        <f ca="1">NPV_Total/(Annual_Throughput*5)</f>
        <v>4.602365139112357</v>
      </c>
      <c r="C14" t="s">
        <v>208</v>
      </c>
      <c r="D14" t="s">
        <v>470</v>
      </c>
    </row>
    <row r="17" spans="1:2" ht="19" x14ac:dyDescent="0.25">
      <c r="A17" s="4" t="s">
        <v>471</v>
      </c>
    </row>
    <row r="18" spans="1:2" x14ac:dyDescent="0.2">
      <c r="A18" t="s">
        <v>472</v>
      </c>
      <c r="B18" s="14">
        <f>INDEX(TestOpt_Cost,MATCH(Testing_Option,TestOpt_Option,0))</f>
        <v>10</v>
      </c>
    </row>
    <row r="19" spans="1:2" x14ac:dyDescent="0.2">
      <c r="A19" t="s">
        <v>473</v>
      </c>
      <c r="B19">
        <f>Testing_Cost/INDEX(TestOpt_Cost,MATCH(Testing_Option,TestOpt_Option,0))</f>
        <v>1000</v>
      </c>
    </row>
    <row r="20" spans="1:2" x14ac:dyDescent="0.2">
      <c r="A20" t="s">
        <v>474</v>
      </c>
      <c r="B20" s="28">
        <f ca="1">(Gross_Value-Testing_Cost)/(Testing_Cost/INDEX(TestOpt_Cost,MATCH(Testing_Option,TestOpt_Option,0)))</f>
        <v>317.26599900254001</v>
      </c>
    </row>
  </sheetData>
  <mergeCells count="2">
    <mergeCell ref="A4:D4"/>
    <mergeCell ref="A3:D3"/>
  </mergeCells>
  <pageMargins left="0.75" right="0.75" top="1" bottom="1" header="0.5" footer="0.5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472C4"/>
  </sheetPr>
  <dimension ref="A1:G21"/>
  <sheetViews>
    <sheetView workbookViewId="0"/>
  </sheetViews>
  <sheetFormatPr baseColWidth="10" defaultColWidth="8.83203125" defaultRowHeight="15" x14ac:dyDescent="0.2"/>
  <cols>
    <col min="1" max="1" width="18" customWidth="1"/>
    <col min="2" max="4" width="12" customWidth="1"/>
    <col min="5" max="7" width="15" customWidth="1"/>
  </cols>
  <sheetData>
    <row r="1" spans="1:7" ht="21" x14ac:dyDescent="0.25">
      <c r="A1" s="5" t="s">
        <v>475</v>
      </c>
    </row>
    <row r="3" spans="1:7" x14ac:dyDescent="0.2">
      <c r="A3" s="34" t="s">
        <v>476</v>
      </c>
      <c r="B3" s="32"/>
      <c r="C3" s="32"/>
      <c r="D3" s="32"/>
      <c r="E3" s="32"/>
      <c r="F3" s="32"/>
      <c r="G3" s="33"/>
    </row>
    <row r="4" spans="1:7" ht="360" customHeight="1" x14ac:dyDescent="0.2">
      <c r="A4" s="31" t="s">
        <v>477</v>
      </c>
      <c r="B4" s="32"/>
      <c r="C4" s="32"/>
      <c r="D4" s="32"/>
      <c r="E4" s="32"/>
      <c r="F4" s="32"/>
      <c r="G4" s="33"/>
    </row>
    <row r="6" spans="1:7" x14ac:dyDescent="0.2">
      <c r="A6" s="7" t="s">
        <v>47</v>
      </c>
      <c r="B6" s="7" t="s">
        <v>338</v>
      </c>
      <c r="C6" s="7" t="s">
        <v>56</v>
      </c>
      <c r="D6" s="7" t="s">
        <v>339</v>
      </c>
      <c r="E6" s="7" t="s">
        <v>478</v>
      </c>
      <c r="F6" s="7" t="s">
        <v>479</v>
      </c>
      <c r="G6" s="7" t="s">
        <v>480</v>
      </c>
    </row>
    <row r="7" spans="1:7" x14ac:dyDescent="0.2">
      <c r="A7" t="s">
        <v>481</v>
      </c>
      <c r="B7">
        <v>3</v>
      </c>
      <c r="C7">
        <v>5</v>
      </c>
      <c r="D7">
        <v>10</v>
      </c>
      <c r="E7" s="14">
        <f ca="1">NPV_Total*(B7/C7)</f>
        <v>690354.77086685353</v>
      </c>
      <c r="F7" s="14">
        <f ca="1">NPV_Total*(D7/C7)</f>
        <v>2301182.5695561785</v>
      </c>
      <c r="G7" s="14">
        <f ca="1">ABS(F7-E7)</f>
        <v>1610827.7986893249</v>
      </c>
    </row>
    <row r="8" spans="1:7" x14ac:dyDescent="0.2">
      <c r="A8" t="s">
        <v>58</v>
      </c>
      <c r="B8">
        <v>0.04</v>
      </c>
      <c r="C8">
        <v>4.8000000000000001E-2</v>
      </c>
      <c r="D8">
        <v>0.06</v>
      </c>
      <c r="E8" s="14">
        <f ca="1">NPV_Total*((1+C8)/(1+B8))^2.5</f>
        <v>1172845.8581155404</v>
      </c>
      <c r="F8" s="14">
        <f ca="1">NPV_Total*((1+C8)/(1+D8))^2.5</f>
        <v>1118303.3440593116</v>
      </c>
      <c r="G8" s="14">
        <f ca="1">ABS(F8-E8)</f>
        <v>54542.5140562288</v>
      </c>
    </row>
    <row r="9" spans="1:7" x14ac:dyDescent="0.2">
      <c r="A9" t="s">
        <v>482</v>
      </c>
      <c r="B9">
        <v>80</v>
      </c>
      <c r="C9">
        <v>100</v>
      </c>
      <c r="D9">
        <v>120</v>
      </c>
      <c r="E9" s="14">
        <f ca="1">NPV_Total*(B9/C9)</f>
        <v>920473.02782247146</v>
      </c>
      <c r="F9" s="14">
        <f ca="1">NPV_Total*(D9/C9)</f>
        <v>1380709.5417337071</v>
      </c>
      <c r="G9" s="14">
        <f ca="1">ABS(F9-E9)</f>
        <v>460236.51391123561</v>
      </c>
    </row>
    <row r="10" spans="1:7" x14ac:dyDescent="0.2">
      <c r="A10" t="s">
        <v>483</v>
      </c>
      <c r="B10">
        <v>0.5</v>
      </c>
      <c r="C10">
        <v>1</v>
      </c>
      <c r="D10">
        <v>2</v>
      </c>
      <c r="E10" s="14">
        <f ca="1">NPV_Total*(B10/C10)</f>
        <v>575295.64238904463</v>
      </c>
      <c r="F10" s="14">
        <f ca="1">NPV_Total*(D10/C10)</f>
        <v>2301182.5695561785</v>
      </c>
      <c r="G10" s="14">
        <f ca="1">ABS(F10-E10)</f>
        <v>1725886.9271671339</v>
      </c>
    </row>
    <row r="13" spans="1:7" ht="19" x14ac:dyDescent="0.25">
      <c r="A13" s="4" t="s">
        <v>484</v>
      </c>
    </row>
    <row r="14" spans="1:7" x14ac:dyDescent="0.2">
      <c r="A14" t="s">
        <v>485</v>
      </c>
    </row>
    <row r="15" spans="1:7" x14ac:dyDescent="0.2">
      <c r="A15" t="s">
        <v>486</v>
      </c>
    </row>
    <row r="16" spans="1:7" x14ac:dyDescent="0.2">
      <c r="A16" t="s">
        <v>487</v>
      </c>
    </row>
    <row r="18" spans="1:1" ht="19" x14ac:dyDescent="0.25">
      <c r="A18" s="4" t="s">
        <v>488</v>
      </c>
    </row>
    <row r="19" spans="1:1" x14ac:dyDescent="0.2">
      <c r="A19" t="s">
        <v>489</v>
      </c>
    </row>
    <row r="20" spans="1:1" x14ac:dyDescent="0.2">
      <c r="A20" t="s">
        <v>490</v>
      </c>
    </row>
    <row r="21" spans="1:1" x14ac:dyDescent="0.2">
      <c r="A21" t="s">
        <v>491</v>
      </c>
    </row>
  </sheetData>
  <mergeCells count="2">
    <mergeCell ref="A3:G3"/>
    <mergeCell ref="A4:G4"/>
  </mergeCells>
  <pageMargins left="0.75" right="0.75" top="1" bottom="1" header="0.5" footer="0.5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70AD47"/>
  </sheetPr>
  <dimension ref="A1:D93"/>
  <sheetViews>
    <sheetView workbookViewId="0"/>
  </sheetViews>
  <sheetFormatPr baseColWidth="10" defaultColWidth="8.83203125" defaultRowHeight="15" x14ac:dyDescent="0.2"/>
  <cols>
    <col min="1" max="1" width="30" customWidth="1"/>
    <col min="2" max="2" width="18" customWidth="1"/>
    <col min="3" max="3" width="16" customWidth="1"/>
    <col min="4" max="4" width="18" customWidth="1"/>
  </cols>
  <sheetData>
    <row r="1" spans="1:2" ht="21" x14ac:dyDescent="0.25">
      <c r="A1" s="5" t="s">
        <v>492</v>
      </c>
    </row>
    <row r="3" spans="1:2" x14ac:dyDescent="0.2">
      <c r="A3" s="34" t="s">
        <v>493</v>
      </c>
      <c r="B3" s="33"/>
    </row>
    <row r="4" spans="1:2" ht="270" customHeight="1" x14ac:dyDescent="0.2">
      <c r="A4" s="31" t="s">
        <v>494</v>
      </c>
      <c r="B4" s="33"/>
    </row>
    <row r="6" spans="1:2" x14ac:dyDescent="0.2">
      <c r="A6" s="17" t="s">
        <v>495</v>
      </c>
    </row>
    <row r="7" spans="1:2" ht="40" x14ac:dyDescent="0.2">
      <c r="A7" s="18" t="s">
        <v>496</v>
      </c>
    </row>
    <row r="8" spans="1:2" x14ac:dyDescent="0.2">
      <c r="A8" s="7" t="s">
        <v>356</v>
      </c>
      <c r="B8" s="7" t="s">
        <v>48</v>
      </c>
    </row>
    <row r="9" spans="1:2" x14ac:dyDescent="0.2">
      <c r="A9" t="s">
        <v>497</v>
      </c>
      <c r="B9" t="str">
        <f>Testing_Option</f>
        <v>Daily_Biosensor</v>
      </c>
    </row>
    <row r="10" spans="1:2" x14ac:dyDescent="0.2">
      <c r="A10" t="s">
        <v>498</v>
      </c>
      <c r="B10" s="14">
        <f ca="1">NPV_Total</f>
        <v>1150591.2847780893</v>
      </c>
    </row>
    <row r="11" spans="1:2" x14ac:dyDescent="0.2">
      <c r="A11" t="s">
        <v>499</v>
      </c>
      <c r="B11" s="14">
        <f>MC_P10</f>
        <v>981208.37009375601</v>
      </c>
    </row>
    <row r="12" spans="1:2" x14ac:dyDescent="0.2">
      <c r="A12" t="s">
        <v>500</v>
      </c>
      <c r="B12" s="14">
        <f>MC_P50</f>
        <v>1312737.6162167522</v>
      </c>
    </row>
    <row r="13" spans="1:2" x14ac:dyDescent="0.2">
      <c r="A13" t="s">
        <v>501</v>
      </c>
      <c r="B13" s="14">
        <f>MC_P90</f>
        <v>1647877.5014034975</v>
      </c>
    </row>
    <row r="14" spans="1:2" x14ac:dyDescent="0.2">
      <c r="A14" t="s">
        <v>502</v>
      </c>
      <c r="B14" s="26">
        <f>MC_Prob_Positive</f>
        <v>1</v>
      </c>
    </row>
    <row r="15" spans="1:2" x14ac:dyDescent="0.2">
      <c r="A15" t="s">
        <v>503</v>
      </c>
      <c r="B15" s="14">
        <f>Testing_Cost</f>
        <v>10000</v>
      </c>
    </row>
    <row r="16" spans="1:2" x14ac:dyDescent="0.2">
      <c r="A16" t="s">
        <v>504</v>
      </c>
      <c r="B16" s="14">
        <f ca="1">Year1_Gross_Value</f>
        <v>163632.99950127001</v>
      </c>
    </row>
    <row r="17" spans="1:3" x14ac:dyDescent="0.2">
      <c r="A17" t="s">
        <v>505</v>
      </c>
      <c r="B17" s="14">
        <f ca="1">Year1_Net_Value</f>
        <v>153632.99950127001</v>
      </c>
    </row>
    <row r="19" spans="1:3" x14ac:dyDescent="0.2">
      <c r="A19" s="17" t="s">
        <v>506</v>
      </c>
    </row>
    <row r="20" spans="1:3" ht="27" x14ac:dyDescent="0.2">
      <c r="A20" s="18" t="s">
        <v>507</v>
      </c>
    </row>
    <row r="21" spans="1:3" x14ac:dyDescent="0.2">
      <c r="A21" s="7" t="s">
        <v>84</v>
      </c>
      <c r="B21" s="7" t="s">
        <v>387</v>
      </c>
      <c r="C21" s="7" t="s">
        <v>508</v>
      </c>
    </row>
    <row r="22" spans="1:3" x14ac:dyDescent="0.2">
      <c r="A22" t="s">
        <v>88</v>
      </c>
      <c r="B22" s="14">
        <f ca="1">S1_Value</f>
        <v>130364.28290628894</v>
      </c>
      <c r="C22" t="str">
        <f>INDEX(Gate_S1,MATCH(Testing_Option,TestOpt_Option,0))</f>
        <v>ENABLED</v>
      </c>
    </row>
    <row r="23" spans="1:3" x14ac:dyDescent="0.2">
      <c r="A23" t="s">
        <v>92</v>
      </c>
      <c r="B23" s="14">
        <f ca="1">S2_Value</f>
        <v>123088.12090709395</v>
      </c>
      <c r="C23" t="str">
        <f>INDEX(Gate_S2,MATCH(Testing_Option,TestOpt_Option,0))</f>
        <v>ENABLED</v>
      </c>
    </row>
    <row r="24" spans="1:3" x14ac:dyDescent="0.2">
      <c r="A24" t="s">
        <v>93</v>
      </c>
      <c r="B24" s="14">
        <f ca="1">S3_Value</f>
        <v>35365.23291072248</v>
      </c>
      <c r="C24" t="str">
        <f>INDEX(Gate_S3,MATCH(Testing_Option,TestOpt_Option,0))</f>
        <v>ENABLED</v>
      </c>
    </row>
    <row r="25" spans="1:3" x14ac:dyDescent="0.2">
      <c r="A25" t="s">
        <v>95</v>
      </c>
      <c r="B25" s="14">
        <f ca="1">S4_Value</f>
        <v>38448.36227843463</v>
      </c>
      <c r="C25" t="str">
        <f>INDEX(Gate_S4,MATCH(Testing_Option,TestOpt_Option,0))</f>
        <v>ENABLED</v>
      </c>
    </row>
    <row r="27" spans="1:3" x14ac:dyDescent="0.2">
      <c r="A27" s="17" t="s">
        <v>354</v>
      </c>
    </row>
    <row r="28" spans="1:3" ht="27" x14ac:dyDescent="0.2">
      <c r="A28" s="18" t="s">
        <v>509</v>
      </c>
    </row>
    <row r="29" spans="1:3" x14ac:dyDescent="0.2">
      <c r="A29" s="7" t="s">
        <v>356</v>
      </c>
      <c r="B29" s="7" t="s">
        <v>48</v>
      </c>
      <c r="C29" s="7" t="s">
        <v>508</v>
      </c>
    </row>
    <row r="30" spans="1:3" x14ac:dyDescent="0.2">
      <c r="A30" t="s">
        <v>510</v>
      </c>
      <c r="B30" s="29">
        <f>Initial_NAFC</f>
        <v>63.1</v>
      </c>
      <c r="C30" t="str">
        <f>IF(Initial_NAFC&gt;Target_NAFC,"Above Target","At/Below Target")</f>
        <v>Above Target</v>
      </c>
    </row>
    <row r="31" spans="1:3" x14ac:dyDescent="0.2">
      <c r="A31" t="s">
        <v>511</v>
      </c>
      <c r="B31" s="29">
        <f>Target_NAFC</f>
        <v>50</v>
      </c>
      <c r="C31" t="s">
        <v>512</v>
      </c>
    </row>
    <row r="32" spans="1:3" x14ac:dyDescent="0.2">
      <c r="A32" t="s">
        <v>513</v>
      </c>
      <c r="B32" s="30">
        <f ca="1">Days_to_Compliance</f>
        <v>31.516993976586384</v>
      </c>
      <c r="C32" t="str">
        <f ca="1">Compliance_Status</f>
        <v>ACHIEVABLE</v>
      </c>
    </row>
    <row r="33" spans="1:4" x14ac:dyDescent="0.2">
      <c r="A33" t="s">
        <v>514</v>
      </c>
      <c r="B33" s="25">
        <f ca="1">Circulation_Cycles</f>
        <v>3</v>
      </c>
      <c r="C33" t="str">
        <f ca="1">IF(Circulation_Cycles&lt;=3,"Standard","Extended")</f>
        <v>Standard</v>
      </c>
    </row>
    <row r="34" spans="1:4" x14ac:dyDescent="0.2">
      <c r="A34" t="s">
        <v>515</v>
      </c>
      <c r="B34" s="26">
        <f>Treatment_Efficiency</f>
        <v>0.2076069730586371</v>
      </c>
      <c r="C34" t="str">
        <f>IF(Treatment_Efficiency&gt;0.2,"Good","Low")</f>
        <v>Good</v>
      </c>
    </row>
    <row r="35" spans="1:4" x14ac:dyDescent="0.2">
      <c r="A35" t="s">
        <v>516</v>
      </c>
      <c r="B35" s="30">
        <f>MC_Expected_Days</f>
        <v>36.556009322569032</v>
      </c>
      <c r="C35" t="str">
        <f>IF(MC_Expected_Days&lt;=Season_Length,"Achievable","Risk")</f>
        <v>Achievable</v>
      </c>
    </row>
    <row r="36" spans="1:4" x14ac:dyDescent="0.2">
      <c r="A36" t="s">
        <v>517</v>
      </c>
      <c r="B36" s="30">
        <f>MC_P90_Days</f>
        <v>46.097508869380789</v>
      </c>
      <c r="C36" t="str">
        <f>IF(MC_P90_Days&lt;=Season_Length,"Low Risk","High Risk")</f>
        <v>Low Risk</v>
      </c>
    </row>
    <row r="37" spans="1:4" x14ac:dyDescent="0.2">
      <c r="A37" t="s">
        <v>518</v>
      </c>
      <c r="B37" s="26">
        <f>MC_Prob_Achievable</f>
        <v>1</v>
      </c>
      <c r="C37" t="str">
        <f>IF(MC_Prob_Achievable&gt;=0.9,"High Confidence","Review Required")</f>
        <v>High Confidence</v>
      </c>
    </row>
    <row r="39" spans="1:4" x14ac:dyDescent="0.2">
      <c r="A39" s="17" t="s">
        <v>519</v>
      </c>
    </row>
    <row r="40" spans="1:4" ht="27" x14ac:dyDescent="0.2">
      <c r="A40" s="18" t="s">
        <v>520</v>
      </c>
    </row>
    <row r="41" spans="1:4" x14ac:dyDescent="0.2">
      <c r="A41" s="7" t="s">
        <v>356</v>
      </c>
      <c r="B41" s="7" t="s">
        <v>229</v>
      </c>
      <c r="C41" s="7" t="s">
        <v>230</v>
      </c>
      <c r="D41" s="7" t="s">
        <v>52</v>
      </c>
    </row>
    <row r="42" spans="1:4" x14ac:dyDescent="0.2">
      <c r="A42" t="s">
        <v>521</v>
      </c>
      <c r="B42" t="s">
        <v>90</v>
      </c>
      <c r="C42" t="s">
        <v>90</v>
      </c>
      <c r="D42" t="s">
        <v>91</v>
      </c>
    </row>
    <row r="43" spans="1:4" x14ac:dyDescent="0.2">
      <c r="A43" t="s">
        <v>522</v>
      </c>
      <c r="B43" t="s">
        <v>90</v>
      </c>
      <c r="C43" t="s">
        <v>90</v>
      </c>
      <c r="D43" t="s">
        <v>91</v>
      </c>
    </row>
    <row r="44" spans="1:4" x14ac:dyDescent="0.2">
      <c r="A44" t="s">
        <v>523</v>
      </c>
      <c r="B44" t="s">
        <v>90</v>
      </c>
      <c r="C44" t="s">
        <v>91</v>
      </c>
      <c r="D44" t="s">
        <v>91</v>
      </c>
    </row>
    <row r="45" spans="1:4" x14ac:dyDescent="0.2">
      <c r="A45" t="s">
        <v>524</v>
      </c>
      <c r="B45" t="s">
        <v>90</v>
      </c>
      <c r="C45" t="s">
        <v>90</v>
      </c>
      <c r="D45" t="s">
        <v>91</v>
      </c>
    </row>
    <row r="46" spans="1:4" x14ac:dyDescent="0.2">
      <c r="A46" t="s">
        <v>525</v>
      </c>
      <c r="B46" t="s">
        <v>526</v>
      </c>
      <c r="C46" t="s">
        <v>527</v>
      </c>
      <c r="D46" t="s">
        <v>528</v>
      </c>
    </row>
    <row r="47" spans="1:4" x14ac:dyDescent="0.2">
      <c r="A47" t="s">
        <v>529</v>
      </c>
      <c r="B47" t="s">
        <v>530</v>
      </c>
      <c r="C47" t="s">
        <v>531</v>
      </c>
      <c r="D47" t="s">
        <v>532</v>
      </c>
    </row>
    <row r="49" spans="1:2" ht="19" x14ac:dyDescent="0.25">
      <c r="A49" s="4" t="s">
        <v>533</v>
      </c>
    </row>
    <row r="50" spans="1:2" x14ac:dyDescent="0.2">
      <c r="A50" t="s">
        <v>534</v>
      </c>
      <c r="B50" t="str">
        <f ca="1">IF(COUNTIF('17_Checks'!D:D,"FAIL")=0,"HEALTHY","REVIEW REQUIRED")</f>
        <v>HEALTHY</v>
      </c>
    </row>
    <row r="51" spans="1:2" x14ac:dyDescent="0.2">
      <c r="A51" t="s">
        <v>535</v>
      </c>
      <c r="B51">
        <f ca="1">COUNTIF('17_Checks'!D:D,"FAIL")</f>
        <v>0</v>
      </c>
    </row>
    <row r="53" spans="1:2" x14ac:dyDescent="0.2">
      <c r="A53" s="19" t="s">
        <v>300</v>
      </c>
    </row>
    <row r="54" spans="1:2" x14ac:dyDescent="0.2">
      <c r="A54" s="20" t="s">
        <v>301</v>
      </c>
    </row>
    <row r="55" spans="1:2" x14ac:dyDescent="0.2">
      <c r="A55" s="21" t="s">
        <v>536</v>
      </c>
    </row>
    <row r="56" spans="1:2" x14ac:dyDescent="0.2">
      <c r="A56" t="s">
        <v>537</v>
      </c>
    </row>
    <row r="57" spans="1:2" x14ac:dyDescent="0.2">
      <c r="A57" t="s">
        <v>304</v>
      </c>
    </row>
    <row r="58" spans="1:2" x14ac:dyDescent="0.2">
      <c r="A58" t="s">
        <v>538</v>
      </c>
    </row>
    <row r="59" spans="1:2" x14ac:dyDescent="0.2">
      <c r="A59" t="s">
        <v>539</v>
      </c>
    </row>
    <row r="60" spans="1:2" x14ac:dyDescent="0.2">
      <c r="A60" t="s">
        <v>540</v>
      </c>
    </row>
    <row r="61" spans="1:2" x14ac:dyDescent="0.2">
      <c r="A61" t="s">
        <v>541</v>
      </c>
    </row>
    <row r="62" spans="1:2" x14ac:dyDescent="0.2">
      <c r="A62" t="s">
        <v>542</v>
      </c>
    </row>
    <row r="63" spans="1:2" x14ac:dyDescent="0.2">
      <c r="A63" t="s">
        <v>543</v>
      </c>
    </row>
    <row r="65" spans="1:1" x14ac:dyDescent="0.2">
      <c r="A65" s="21" t="s">
        <v>544</v>
      </c>
    </row>
    <row r="66" spans="1:1" x14ac:dyDescent="0.2">
      <c r="A66" t="s">
        <v>545</v>
      </c>
    </row>
    <row r="67" spans="1:1" x14ac:dyDescent="0.2">
      <c r="A67" t="s">
        <v>304</v>
      </c>
    </row>
    <row r="68" spans="1:1" x14ac:dyDescent="0.2">
      <c r="A68" t="s">
        <v>546</v>
      </c>
    </row>
    <row r="69" spans="1:1" x14ac:dyDescent="0.2">
      <c r="A69" t="s">
        <v>547</v>
      </c>
    </row>
    <row r="70" spans="1:1" x14ac:dyDescent="0.2">
      <c r="A70" t="s">
        <v>548</v>
      </c>
    </row>
    <row r="71" spans="1:1" x14ac:dyDescent="0.2">
      <c r="A71" t="s">
        <v>549</v>
      </c>
    </row>
    <row r="72" spans="1:1" x14ac:dyDescent="0.2">
      <c r="A72" t="s">
        <v>550</v>
      </c>
    </row>
    <row r="73" spans="1:1" x14ac:dyDescent="0.2">
      <c r="A73" t="s">
        <v>551</v>
      </c>
    </row>
    <row r="75" spans="1:1" x14ac:dyDescent="0.2">
      <c r="A75" s="21" t="s">
        <v>552</v>
      </c>
    </row>
    <row r="76" spans="1:1" x14ac:dyDescent="0.2">
      <c r="A76" t="s">
        <v>553</v>
      </c>
    </row>
    <row r="77" spans="1:1" x14ac:dyDescent="0.2">
      <c r="A77" t="s">
        <v>304</v>
      </c>
    </row>
    <row r="78" spans="1:1" x14ac:dyDescent="0.2">
      <c r="A78" t="s">
        <v>554</v>
      </c>
    </row>
    <row r="79" spans="1:1" x14ac:dyDescent="0.2">
      <c r="A79" t="s">
        <v>555</v>
      </c>
    </row>
    <row r="80" spans="1:1" x14ac:dyDescent="0.2">
      <c r="A80" t="s">
        <v>556</v>
      </c>
    </row>
    <row r="81" spans="1:1" x14ac:dyDescent="0.2">
      <c r="A81" t="s">
        <v>557</v>
      </c>
    </row>
    <row r="82" spans="1:1" x14ac:dyDescent="0.2">
      <c r="A82" t="s">
        <v>558</v>
      </c>
    </row>
    <row r="83" spans="1:1" x14ac:dyDescent="0.2">
      <c r="A83" t="s">
        <v>559</v>
      </c>
    </row>
    <row r="85" spans="1:1" x14ac:dyDescent="0.2">
      <c r="A85" s="21" t="s">
        <v>560</v>
      </c>
    </row>
    <row r="86" spans="1:1" x14ac:dyDescent="0.2">
      <c r="A86" t="s">
        <v>561</v>
      </c>
    </row>
    <row r="87" spans="1:1" x14ac:dyDescent="0.2">
      <c r="A87" t="s">
        <v>304</v>
      </c>
    </row>
    <row r="88" spans="1:1" x14ac:dyDescent="0.2">
      <c r="A88" t="s">
        <v>562</v>
      </c>
    </row>
    <row r="89" spans="1:1" x14ac:dyDescent="0.2">
      <c r="A89" t="s">
        <v>563</v>
      </c>
    </row>
    <row r="90" spans="1:1" x14ac:dyDescent="0.2">
      <c r="A90" t="s">
        <v>564</v>
      </c>
    </row>
    <row r="91" spans="1:1" x14ac:dyDescent="0.2">
      <c r="A91" t="s">
        <v>565</v>
      </c>
    </row>
    <row r="92" spans="1:1" x14ac:dyDescent="0.2">
      <c r="A92" t="s">
        <v>566</v>
      </c>
    </row>
    <row r="93" spans="1:1" x14ac:dyDescent="0.2">
      <c r="A93" t="s">
        <v>567</v>
      </c>
    </row>
  </sheetData>
  <mergeCells count="2">
    <mergeCell ref="A4:B4"/>
    <mergeCell ref="A3:B3"/>
  </mergeCells>
  <pageMargins left="0.75" right="0.75" top="1" bottom="1" header="0.5" footer="0.5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</sheetPr>
  <dimension ref="A1:D27"/>
  <sheetViews>
    <sheetView workbookViewId="0"/>
  </sheetViews>
  <sheetFormatPr baseColWidth="10" defaultColWidth="8.83203125" defaultRowHeight="15" x14ac:dyDescent="0.2"/>
  <cols>
    <col min="1" max="2" width="12" customWidth="1"/>
    <col min="3" max="3" width="40" customWidth="1"/>
    <col min="4" max="4" width="12" customWidth="1"/>
  </cols>
  <sheetData>
    <row r="1" spans="1:4" ht="21" x14ac:dyDescent="0.25">
      <c r="A1" s="5" t="s">
        <v>568</v>
      </c>
    </row>
    <row r="3" spans="1:4" x14ac:dyDescent="0.2">
      <c r="A3" s="34" t="s">
        <v>569</v>
      </c>
      <c r="B3" s="32"/>
      <c r="C3" s="32"/>
      <c r="D3" s="33"/>
    </row>
    <row r="4" spans="1:4" ht="330" customHeight="1" x14ac:dyDescent="0.2">
      <c r="A4" s="31" t="s">
        <v>570</v>
      </c>
      <c r="B4" s="32"/>
      <c r="C4" s="32"/>
      <c r="D4" s="33"/>
    </row>
    <row r="6" spans="1:4" x14ac:dyDescent="0.2">
      <c r="A6" s="7" t="s">
        <v>571</v>
      </c>
      <c r="B6" s="7" t="s">
        <v>572</v>
      </c>
      <c r="C6" s="7" t="s">
        <v>50</v>
      </c>
      <c r="D6" s="7" t="s">
        <v>508</v>
      </c>
    </row>
    <row r="7" spans="1:4" x14ac:dyDescent="0.2">
      <c r="A7" t="s">
        <v>573</v>
      </c>
      <c r="B7" t="s">
        <v>574</v>
      </c>
      <c r="C7" t="s">
        <v>575</v>
      </c>
      <c r="D7" t="str">
        <f>IF(AND(Discount_Rate&gt;=0,Discount_Rate&lt;=0.15),"PASS","FAIL")</f>
        <v>PASS</v>
      </c>
    </row>
    <row r="8" spans="1:4" x14ac:dyDescent="0.2">
      <c r="A8" t="s">
        <v>576</v>
      </c>
      <c r="B8" t="s">
        <v>574</v>
      </c>
      <c r="C8" t="s">
        <v>577</v>
      </c>
      <c r="D8" t="str">
        <f>IF(AND(Season_Length&gt;=60,Season_Length&lt;=150),"PASS","FAIL")</f>
        <v>PASS</v>
      </c>
    </row>
    <row r="9" spans="1:4" x14ac:dyDescent="0.2">
      <c r="A9" t="s">
        <v>578</v>
      </c>
      <c r="B9" t="s">
        <v>574</v>
      </c>
      <c r="C9" t="s">
        <v>579</v>
      </c>
      <c r="D9" t="str">
        <f>IF(AND(Projection_Years&gt;=1,Projection_Years&lt;=10),"PASS","FAIL")</f>
        <v>PASS</v>
      </c>
    </row>
    <row r="10" spans="1:4" x14ac:dyDescent="0.2">
      <c r="A10" t="s">
        <v>580</v>
      </c>
      <c r="B10" t="s">
        <v>574</v>
      </c>
      <c r="C10" t="s">
        <v>581</v>
      </c>
      <c r="D10" t="str">
        <f>IF(Value_Per_M3&gt;0,"PASS","FAIL")</f>
        <v>PASS</v>
      </c>
    </row>
    <row r="11" spans="1:4" x14ac:dyDescent="0.2">
      <c r="A11" t="s">
        <v>582</v>
      </c>
      <c r="B11" t="s">
        <v>583</v>
      </c>
      <c r="C11" t="s">
        <v>584</v>
      </c>
      <c r="D11" t="str">
        <f>IF(COUNTIF(List_TestingOptions,Testing_Option)=1,"PASS","FAIL")</f>
        <v>PASS</v>
      </c>
    </row>
    <row r="12" spans="1:4" x14ac:dyDescent="0.2">
      <c r="A12" t="s">
        <v>585</v>
      </c>
      <c r="B12" t="s">
        <v>583</v>
      </c>
      <c r="C12" t="s">
        <v>586</v>
      </c>
      <c r="D12" t="str">
        <f>IF(COUNTIF(List_Scenarios,Scenario_Select)=1,"PASS","FAIL")</f>
        <v>PASS</v>
      </c>
    </row>
    <row r="13" spans="1:4" x14ac:dyDescent="0.2">
      <c r="A13" t="s">
        <v>587</v>
      </c>
      <c r="B13" t="s">
        <v>588</v>
      </c>
      <c r="C13" t="s">
        <v>589</v>
      </c>
      <c r="D13" t="str">
        <f ca="1">IF(AND(NPV_Total&gt;-1000000,NPV_Total&lt;10000000),"PASS","FAIL")</f>
        <v>PASS</v>
      </c>
    </row>
    <row r="14" spans="1:4" x14ac:dyDescent="0.2">
      <c r="A14" t="s">
        <v>590</v>
      </c>
      <c r="B14" t="s">
        <v>588</v>
      </c>
      <c r="C14" t="s">
        <v>591</v>
      </c>
      <c r="D14" t="str">
        <f>IF(Testing_Cost&gt;0,"PASS","FAIL")</f>
        <v>PASS</v>
      </c>
    </row>
    <row r="15" spans="1:4" x14ac:dyDescent="0.2">
      <c r="A15" t="s">
        <v>592</v>
      </c>
      <c r="B15" t="s">
        <v>588</v>
      </c>
      <c r="C15" t="s">
        <v>593</v>
      </c>
      <c r="D15" t="str">
        <f ca="1">IF(Gross_Value&gt;=0,"PASS","FAIL")</f>
        <v>PASS</v>
      </c>
    </row>
    <row r="16" spans="1:4" x14ac:dyDescent="0.2">
      <c r="A16" t="s">
        <v>594</v>
      </c>
      <c r="B16" t="s">
        <v>595</v>
      </c>
      <c r="C16" t="s">
        <v>596</v>
      </c>
      <c r="D16" t="str">
        <f>IF(ISERROR(Testing_Option),"FAIL","PASS")</f>
        <v>PASS</v>
      </c>
    </row>
    <row r="17" spans="1:4" x14ac:dyDescent="0.2">
      <c r="A17" t="s">
        <v>597</v>
      </c>
      <c r="B17" t="s">
        <v>574</v>
      </c>
      <c r="C17" t="s">
        <v>598</v>
      </c>
      <c r="D17" t="str">
        <f>IF(AND(Initial_NAFC&gt;=40,Initial_NAFC&lt;=100),"PASS","FAIL")</f>
        <v>PASS</v>
      </c>
    </row>
    <row r="18" spans="1:4" x14ac:dyDescent="0.2">
      <c r="A18" t="s">
        <v>599</v>
      </c>
      <c r="B18" t="s">
        <v>583</v>
      </c>
      <c r="C18" t="s">
        <v>600</v>
      </c>
      <c r="D18" t="str">
        <f>IF(Target_NAFC&lt;Initial_NAFC,"PASS","FAIL")</f>
        <v>PASS</v>
      </c>
    </row>
    <row r="19" spans="1:4" x14ac:dyDescent="0.2">
      <c r="A19" t="s">
        <v>601</v>
      </c>
      <c r="B19" t="s">
        <v>588</v>
      </c>
      <c r="C19" t="s">
        <v>602</v>
      </c>
      <c r="D19" t="str">
        <f ca="1">IF(Days_to_Compliance&lt;=Season_Length,"PASS","FAIL")</f>
        <v>PASS</v>
      </c>
    </row>
    <row r="20" spans="1:4" x14ac:dyDescent="0.2">
      <c r="A20" t="s">
        <v>603</v>
      </c>
      <c r="B20" t="s">
        <v>574</v>
      </c>
      <c r="C20" t="s">
        <v>604</v>
      </c>
      <c r="D20" t="str">
        <f ca="1">IF(AND(Eff_Rapid_Rate&gt;0,Eff_Slow_Rate&gt;0),"PASS","FAIL")</f>
        <v>PASS</v>
      </c>
    </row>
    <row r="23" spans="1:4" ht="19" x14ac:dyDescent="0.25">
      <c r="A23" s="4" t="s">
        <v>605</v>
      </c>
    </row>
    <row r="24" spans="1:4" x14ac:dyDescent="0.2">
      <c r="A24" t="s">
        <v>606</v>
      </c>
      <c r="B24">
        <f>COUNTA(tbl_Checks[Check_ID])</f>
        <v>14</v>
      </c>
    </row>
    <row r="25" spans="1:4" x14ac:dyDescent="0.2">
      <c r="A25" t="s">
        <v>607</v>
      </c>
      <c r="B25">
        <f ca="1">COUNTIF(tbl_Checks[Status],"PASS")</f>
        <v>14</v>
      </c>
    </row>
    <row r="26" spans="1:4" x14ac:dyDescent="0.2">
      <c r="A26" t="s">
        <v>608</v>
      </c>
      <c r="B26">
        <f ca="1">COUNTIF(tbl_Checks[Status],"FAIL")</f>
        <v>0</v>
      </c>
    </row>
    <row r="27" spans="1:4" x14ac:dyDescent="0.2">
      <c r="A27" t="s">
        <v>609</v>
      </c>
      <c r="B27" t="str">
        <f ca="1">IF(COUNTIF(tbl_Checks[Status],"FAIL")=0,"HEALTHY","REVIEW REQUIRED")</f>
        <v>HEALTHY</v>
      </c>
    </row>
  </sheetData>
  <mergeCells count="2">
    <mergeCell ref="A4:D4"/>
    <mergeCell ref="A3:D3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97</vt:i4>
      </vt:variant>
    </vt:vector>
  </HeadingPairs>
  <TitlesOfParts>
    <vt:vector size="115" baseType="lpstr">
      <vt:lpstr>0_Cover</vt:lpstr>
      <vt:lpstr>1_TOC</vt:lpstr>
      <vt:lpstr>2_Instructions</vt:lpstr>
      <vt:lpstr>3_Assumptions</vt:lpstr>
      <vt:lpstr>4_Scenarios</vt:lpstr>
      <vt:lpstr>5_ServiceModels</vt:lpstr>
      <vt:lpstr>6_Calc_Timeline</vt:lpstr>
      <vt:lpstr>7_Calc_Stochastic</vt:lpstr>
      <vt:lpstr>8_Calc_Value</vt:lpstr>
      <vt:lpstr>9_Calc_Costs</vt:lpstr>
      <vt:lpstr>10_Calc_Sim</vt:lpstr>
      <vt:lpstr>11_PL_Monthly</vt:lpstr>
      <vt:lpstr>12_PL_Annual</vt:lpstr>
      <vt:lpstr>13_CashFlow</vt:lpstr>
      <vt:lpstr>14_UnitEconomics</vt:lpstr>
      <vt:lpstr>15_Sensitivity</vt:lpstr>
      <vt:lpstr>16_Dashboard</vt:lpstr>
      <vt:lpstr>17_Checks</vt:lpstr>
      <vt:lpstr>Annual_Throughput</vt:lpstr>
      <vt:lpstr>AnnualThroughput_M3</vt:lpstr>
      <vt:lpstr>Base_Year</vt:lpstr>
      <vt:lpstr>Beta_Efficiency_Gain_Alpha</vt:lpstr>
      <vt:lpstr>Beta_Efficiency_Gain_Beta</vt:lpstr>
      <vt:lpstr>Beta_Efficiency_Gain_Max</vt:lpstr>
      <vt:lpstr>Beta_Efficiency_Gain_Min</vt:lpstr>
      <vt:lpstr>Circulation_Cycles</vt:lpstr>
      <vt:lpstr>Compliance_Status</vt:lpstr>
      <vt:lpstr>Day_80_Survival</vt:lpstr>
      <vt:lpstr>Day_LC50</vt:lpstr>
      <vt:lpstr>Day_Nontoxic</vt:lpstr>
      <vt:lpstr>Days_to_Compliance</vt:lpstr>
      <vt:lpstr>Discount_Rate</vt:lpstr>
      <vt:lpstr>DowntimeCostPerDay</vt:lpstr>
      <vt:lpstr>Eff_Rapid_Rate</vt:lpstr>
      <vt:lpstr>Eff_Slow_Rate</vt:lpstr>
      <vt:lpstr>Gate_S1</vt:lpstr>
      <vt:lpstr>Gate_S2</vt:lpstr>
      <vt:lpstr>Gate_S3</vt:lpstr>
      <vt:lpstr>Gate_S4</vt:lpstr>
      <vt:lpstr>Gross_Value</vt:lpstr>
      <vt:lpstr>Initial_NAFC</vt:lpstr>
      <vt:lpstr>LaborPerDay</vt:lpstr>
      <vt:lpstr>LearningCurve_Mult</vt:lpstr>
      <vt:lpstr>List_Scenarios</vt:lpstr>
      <vt:lpstr>List_TestingOptions</vt:lpstr>
      <vt:lpstr>MC_Anchor</vt:lpstr>
      <vt:lpstr>MC_Expected_Days</vt:lpstr>
      <vt:lpstr>MC_Expected_NPV</vt:lpstr>
      <vt:lpstr>MC_P10</vt:lpstr>
      <vt:lpstr>MC_P10_Days</vt:lpstr>
      <vt:lpstr>MC_P50</vt:lpstr>
      <vt:lpstr>MC_P50_Days</vt:lpstr>
      <vt:lpstr>MC_P90</vt:lpstr>
      <vt:lpstr>MC_P90_Days</vt:lpstr>
      <vt:lpstr>MC_Prob_Achievable</vt:lpstr>
      <vt:lpstr>MC_Prob_Positive</vt:lpstr>
      <vt:lpstr>MC_StdDev</vt:lpstr>
      <vt:lpstr>NAFC_After_Rapid</vt:lpstr>
      <vt:lpstr>NPV_Total</vt:lpstr>
      <vt:lpstr>Projection_Years</vt:lpstr>
      <vt:lpstr>Rapid_Phase_Duration</vt:lpstr>
      <vt:lpstr>Rapid_Phase_Rate</vt:lpstr>
      <vt:lpstr>Recirculation_Cycle</vt:lpstr>
      <vt:lpstr>RegulatoryPenalty</vt:lpstr>
      <vt:lpstr>S1_Value</vt:lpstr>
      <vt:lpstr>S2_Value</vt:lpstr>
      <vt:lpstr>S3_Value</vt:lpstr>
      <vt:lpstr>S4_Value</vt:lpstr>
      <vt:lpstr>Scenario_BaseValues</vt:lpstr>
      <vt:lpstr>Scenario_Select</vt:lpstr>
      <vt:lpstr>Season_End_Day</vt:lpstr>
      <vt:lpstr>Season_End_Month</vt:lpstr>
      <vt:lpstr>Season_Length</vt:lpstr>
      <vt:lpstr>Season_Start_Day</vt:lpstr>
      <vt:lpstr>Season_Start_Month</vt:lpstr>
      <vt:lpstr>Slow_Phase_Rate</vt:lpstr>
      <vt:lpstr>Stoch_Efficiency</vt:lpstr>
      <vt:lpstr>Stoch_ExtValue</vt:lpstr>
      <vt:lpstr>Stoch_Interventions</vt:lpstr>
      <vt:lpstr>Stoch_SeasonExt</vt:lpstr>
      <vt:lpstr>Stoch_TreatmentRate</vt:lpstr>
      <vt:lpstr>System_Capacity</vt:lpstr>
      <vt:lpstr>Target_NAFC</vt:lpstr>
      <vt:lpstr>Testing_Cost</vt:lpstr>
      <vt:lpstr>Testing_Option</vt:lpstr>
      <vt:lpstr>TestOpt_Cost</vt:lpstr>
      <vt:lpstr>TestOpt_Interval</vt:lpstr>
      <vt:lpstr>TestOpt_Latency</vt:lpstr>
      <vt:lpstr>TestOpt_Method</vt:lpstr>
      <vt:lpstr>TestOpt_Option</vt:lpstr>
      <vt:lpstr>TestOpt_Points</vt:lpstr>
      <vt:lpstr>Timeline_DiscountFactor</vt:lpstr>
      <vt:lpstr>Timeline_LearningMult</vt:lpstr>
      <vt:lpstr>Treatment_Cells</vt:lpstr>
      <vt:lpstr>Treatment_Days</vt:lpstr>
      <vt:lpstr>Treatment_Efficiency</vt:lpstr>
      <vt:lpstr>TreatmentCells</vt:lpstr>
      <vt:lpstr>Tri_Extension_Value_Per_Day_Max</vt:lpstr>
      <vt:lpstr>Tri_Extension_Value_Per_Day_Min</vt:lpstr>
      <vt:lpstr>Tri_Extension_Value_Per_Day_Mode</vt:lpstr>
      <vt:lpstr>Tri_Interventions_Avoided_Max</vt:lpstr>
      <vt:lpstr>Tri_Interventions_Avoided_Min</vt:lpstr>
      <vt:lpstr>Tri_Interventions_Avoided_Mode</vt:lpstr>
      <vt:lpstr>Tri_Season_Extension_Days_Max</vt:lpstr>
      <vt:lpstr>Tri_Season_Extension_Days_Min</vt:lpstr>
      <vt:lpstr>Tri_Season_Extension_Days_Mode</vt:lpstr>
      <vt:lpstr>Tri_Treatment_Rate_Factor_Max</vt:lpstr>
      <vt:lpstr>Tri_Treatment_Rate_Factor_Min</vt:lpstr>
      <vt:lpstr>Tri_Treatment_Rate_Factor_Mode</vt:lpstr>
      <vt:lpstr>Value_Per_M3</vt:lpstr>
      <vt:lpstr>ValuePer_M3</vt:lpstr>
      <vt:lpstr>Wetland_Area</vt:lpstr>
      <vt:lpstr>WetlandArea_Ha</vt:lpstr>
      <vt:lpstr>Year1_Gross_Value</vt:lpstr>
      <vt:lpstr>Year1_Net_Value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Greg Saunders</cp:lastModifiedBy>
  <dcterms:created xsi:type="dcterms:W3CDTF">2026-01-30T14:52:59Z</dcterms:created>
  <dcterms:modified xsi:type="dcterms:W3CDTF">2026-01-30T14:54:24Z</dcterms:modified>
</cp:coreProperties>
</file>