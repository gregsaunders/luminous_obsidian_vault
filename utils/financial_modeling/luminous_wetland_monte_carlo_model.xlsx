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BB68E412-0A01-3649-839A-47C6EEEB2F44}" xr6:coauthVersionLast="47" xr6:coauthVersionMax="47" xr10:uidLastSave="{00000000-0000-0000-0000-000000000000}"/>
  <bookViews>
    <workbookView xWindow="0" yWindow="680" windowWidth="30240" windowHeight="18960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'10_Calc_Sim'!$B$1019</definedName>
    <definedName name="MC_Expected_NPV">'10_Calc_Sim'!$B$1011</definedName>
    <definedName name="MC_P10">'10_Calc_Sim'!$B$1012</definedName>
    <definedName name="MC_P10_Days">'10_Calc_Sim'!$B$1020</definedName>
    <definedName name="MC_P50">'10_Calc_Sim'!$B$1013</definedName>
    <definedName name="MC_P50_Days">'10_Calc_Sim'!$B$1021</definedName>
    <definedName name="MC_P90">'10_Calc_Sim'!$B$1014</definedName>
    <definedName name="MC_P90_Days">'10_Calc_Sim'!$B$1022</definedName>
    <definedName name="MC_Prob_Achievable">'10_Calc_Sim'!$B$1023</definedName>
    <definedName name="MC_Prob_Positive">'10_Calc_Sim'!$B$1016</definedName>
    <definedName name="MC_StdDev">'10_Calc_Sim'!$B$1015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3" i="11"/>
  <c r="B1022" i="11"/>
  <c r="B1021" i="11"/>
  <c r="B1020" i="11"/>
  <c r="B1019" i="11"/>
  <c r="B1016" i="11"/>
  <c r="B18" i="17" s="1"/>
  <c r="B1015" i="11"/>
  <c r="B1014" i="11"/>
  <c r="B17" i="17" s="1"/>
  <c r="B1013" i="11"/>
  <c r="B16" i="17" s="1"/>
  <c r="B1012" i="11"/>
  <c r="B15" i="17" s="1"/>
  <c r="B1011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G5" i="11"/>
  <c r="G13" i="13"/>
  <c r="G14" i="13"/>
  <c r="G16" i="13"/>
  <c r="B15" i="15"/>
  <c r="G17" i="13"/>
  <c r="B19" i="15"/>
  <c r="B25" i="15"/>
  <c r="G15" i="13"/>
  <c r="B19" i="17"/>
  <c r="D20" i="18"/>
  <c r="C25" i="7"/>
  <c r="C24" i="7"/>
  <c r="D15" i="9"/>
  <c r="D16" i="9"/>
  <c r="B46" i="17"/>
  <c r="C46" i="17"/>
  <c r="C33" i="17"/>
  <c r="C16" i="9"/>
  <c r="E16" i="9" s="1"/>
  <c r="C32" i="17"/>
  <c r="C15" i="9"/>
  <c r="C14" i="9"/>
  <c r="E14" i="9" s="1"/>
  <c r="C31" i="17"/>
  <c r="C30" i="17"/>
  <c r="C13" i="9"/>
  <c r="E13" i="9" s="1"/>
  <c r="E15" i="9" l="1"/>
  <c r="C26" i="7"/>
  <c r="C27" i="7" s="1"/>
  <c r="D26" i="18"/>
  <c r="F5" i="11"/>
  <c r="E13" i="13"/>
  <c r="E14" i="13"/>
  <c r="E15" i="13"/>
  <c r="E16" i="13"/>
  <c r="E17" i="13"/>
  <c r="B33" i="17"/>
  <c r="D5" i="11"/>
  <c r="C13" i="13"/>
  <c r="C15" i="13"/>
  <c r="C17" i="13"/>
  <c r="C14" i="13"/>
  <c r="C16" i="13"/>
  <c r="B31" i="17"/>
  <c r="C5" i="11"/>
  <c r="B13" i="13"/>
  <c r="B15" i="13"/>
  <c r="B17" i="13"/>
  <c r="B16" i="13"/>
  <c r="B14" i="13"/>
  <c r="B30" i="17"/>
  <c r="E5" i="11" l="1"/>
  <c r="D13" i="13"/>
  <c r="D15" i="13"/>
  <c r="F15" i="13" s="1"/>
  <c r="H15" i="13" s="1"/>
  <c r="D16" i="13"/>
  <c r="F16" i="13" s="1"/>
  <c r="H16" i="13" s="1"/>
  <c r="B32" i="17"/>
  <c r="D14" i="13"/>
  <c r="F14" i="13" s="1"/>
  <c r="H14" i="13" s="1"/>
  <c r="D17" i="13"/>
  <c r="F17" i="13" s="1"/>
  <c r="H17" i="13" s="1"/>
  <c r="E18" i="9"/>
  <c r="B44" i="17"/>
  <c r="C28" i="7"/>
  <c r="D25" i="18"/>
  <c r="C30" i="7"/>
  <c r="C44" i="17" s="1"/>
  <c r="I5" i="11"/>
  <c r="F13" i="13"/>
  <c r="B14" i="15" l="1"/>
  <c r="B17" i="15"/>
  <c r="B26" i="15"/>
  <c r="H5" i="11"/>
  <c r="B16" i="15"/>
  <c r="B18" i="15"/>
  <c r="D21" i="18"/>
  <c r="B45" i="17"/>
  <c r="C45" i="17"/>
  <c r="B20" i="17"/>
  <c r="B22" i="13"/>
  <c r="H13" i="13"/>
  <c r="J17" i="13"/>
  <c r="B17" i="14"/>
  <c r="B14" i="14"/>
  <c r="J14" i="13"/>
  <c r="J15" i="13"/>
  <c r="B15" i="14"/>
  <c r="B16" i="14"/>
  <c r="J16" i="13"/>
  <c r="B23" i="13" l="1"/>
  <c r="J13" i="13"/>
  <c r="B13" i="14"/>
  <c r="C13" i="14" s="1"/>
  <c r="C14" i="14" s="1"/>
  <c r="C15" i="14" s="1"/>
  <c r="C16" i="14" s="1"/>
  <c r="C17" i="14" s="1"/>
  <c r="B21" i="17"/>
  <c r="B21" i="13" l="1"/>
  <c r="D13" i="14"/>
  <c r="D14" i="14" s="1"/>
  <c r="D15" i="14" s="1"/>
  <c r="D16" i="14" s="1"/>
  <c r="D17" i="14" s="1"/>
  <c r="B20" i="15" l="1"/>
  <c r="E13" i="16"/>
  <c r="F13" i="16"/>
  <c r="E14" i="16"/>
  <c r="F14" i="16"/>
  <c r="G14" i="16" s="1"/>
  <c r="E15" i="16"/>
  <c r="F15" i="16"/>
  <c r="E16" i="16"/>
  <c r="F16" i="16"/>
  <c r="B14" i="17"/>
  <c r="D19" i="18"/>
  <c r="B5" i="11"/>
  <c r="G16" i="16" l="1"/>
  <c r="G15" i="16"/>
  <c r="B31" i="18"/>
  <c r="B66" i="17"/>
  <c r="B32" i="18"/>
  <c r="B67" i="17"/>
  <c r="B33" i="18"/>
  <c r="B10" i="1"/>
  <c r="B9" i="1"/>
  <c r="G13" i="16"/>
</calcChain>
</file>

<file path=xl/sharedStrings.xml><?xml version="1.0" encoding="utf-8"?>
<sst xmlns="http://schemas.openxmlformats.org/spreadsheetml/2006/main" count="1044" uniqueCount="746">
  <si>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</si>
  <si>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</si>
  <si>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</si>
  <si>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</si>
  <si>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</si>
  <si>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</si>
  <si>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</si>
  <si>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</si>
  <si>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</si>
  <si>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</si>
  <si>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</si>
  <si>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</si>
  <si>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</si>
  <si>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</si>
  <si>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</si>
  <si>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</si>
  <si>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</si>
  <si>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</si>
  <si>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</si>
  <si>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</si>
  <si>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</si>
  <si>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</si>
  <si>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</si>
  <si>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</si>
  <si>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</si>
  <si>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</si>
  <si>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</si>
  <si>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</si>
  <si>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</si>
  <si>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</si>
  <si>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</si>
  <si>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</si>
  <si>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</si>
  <si>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</si>
  <si>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</si>
  <si>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</si>
  <si>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</si>
  <si>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</si>
  <si>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</si>
  <si>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</si>
  <si>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</si>
  <si>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</si>
  <si>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</si>
  <si>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</si>
  <si>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</si>
  <si>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</si>
  <si>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</si>
  <si>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</si>
  <si>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</si>
  <si>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</si>
  <si>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</si>
  <si>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</si>
  <si>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</si>
  <si>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</si>
  <si>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</si>
  <si>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</si>
  <si>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</si>
  <si>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</si>
  <si>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</si>
  <si>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</si>
  <si>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</si>
  <si>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</si>
  <si>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</si>
  <si>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</si>
  <si>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</si>
  <si>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</si>
  <si>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</si>
  <si>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</si>
  <si>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</si>
  <si>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</si>
  <si>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</si>
  <si>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</si>
  <si>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</si>
  <si>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</si>
  <si>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</si>
  <si>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</si>
  <si>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</si>
  <si>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</si>
  <si>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</si>
  <si>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</si>
  <si>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</si>
  <si>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</si>
  <si>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</si>
  <si>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</si>
  <si>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</si>
  <si>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A5:I1005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</si>
  <si>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</si>
  <si>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</si>
  <si>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</si>
  <si>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</si>
  <si>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</si>
  <si>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</si>
  <si>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</si>
  <si>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</si>
  <si>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</si>
  <si>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</si>
  <si>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</si>
  <si>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</si>
  <si>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</si>
  <si>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</si>
  <si>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</si>
  <si>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</si>
  <si>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</si>
  <si>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</si>
  <si>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</si>
  <si>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</si>
  <si>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</si>
  <si>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</si>
  <si>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</si>
  <si>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</si>
  <si>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</si>
  <si>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</si>
  <si>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</si>
  <si>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</si>
  <si>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</si>
  <si>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</si>
  <si>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</si>
  <si>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</si>
  <si>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</si>
  <si>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</si>
  <si>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</si>
  <si>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</si>
  <si>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</si>
  <si>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</si>
  <si>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</si>
  <si>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</si>
  <si>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</si>
  <si>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</si>
  <si>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</si>
  <si>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</si>
  <si>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</si>
  <si>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</si>
  <si>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</si>
  <si>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</si>
  <si>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</si>
  <si>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</si>
  <si>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</si>
  <si>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</si>
  <si>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</si>
  <si>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</si>
  <si>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</si>
  <si>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</si>
  <si>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</si>
  <si>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</si>
  <si>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</si>
  <si>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</si>
  <si>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</si>
  <si>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</si>
  <si>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</si>
  <si>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</si>
  <si>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</si>
  <si>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</si>
  <si>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</si>
  <si>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</si>
  <si>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</si>
  <si>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</si>
  <si>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</si>
  <si>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</si>
  <si>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</si>
  <si>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</si>
  <si>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</si>
  <si>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</si>
  <si>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</si>
  <si>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</si>
  <si>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</si>
  <si>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</si>
  <si>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</si>
  <si>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</si>
  <si>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</si>
  <si>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</si>
  <si>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</si>
  <si>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</si>
  <si>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</si>
  <si>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</si>
  <si>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</si>
  <si>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</si>
  <si>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</si>
  <si>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</si>
  <si>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</si>
  <si>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</si>
  <si>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</si>
  <si>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</si>
  <si>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</si>
  <si>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</si>
  <si>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</si>
  <si>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</si>
  <si>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</si>
  <si>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</si>
  <si>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</si>
  <si>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</si>
  <si>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</si>
  <si>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</si>
  <si>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</si>
  <si>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</si>
  <si>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</si>
  <si>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</si>
  <si>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</si>
  <si>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</si>
  <si>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</si>
  <si>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</si>
  <si>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</si>
  <si>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</si>
  <si>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</si>
  <si>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</si>
  <si>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</si>
  <si>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</si>
  <si>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</si>
  <si>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</si>
  <si>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</si>
  <si>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</si>
  <si>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</si>
  <si>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</si>
  <si>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</si>
  <si>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</si>
  <si>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</si>
  <si>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</si>
  <si>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</si>
  <si>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</si>
  <si>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</si>
  <si>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</si>
  <si>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</si>
  <si>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</si>
  <si>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</si>
  <si>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</si>
  <si>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</si>
  <si>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</si>
  <si>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</si>
  <si>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</si>
  <si>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</si>
  <si>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</si>
  <si>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</si>
  <si>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</si>
  <si>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</si>
  <si>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</si>
  <si>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</si>
  <si>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</si>
  <si>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</si>
  <si>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</si>
  <si>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</si>
  <si>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</si>
  <si>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</si>
  <si>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</si>
  <si>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</si>
  <si>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</si>
  <si>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</si>
  <si>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</si>
  <si>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</si>
  <si>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</si>
  <si>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</si>
  <si>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</si>
  <si>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</si>
  <si>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</si>
  <si>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</si>
  <si>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</si>
  <si>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</si>
  <si>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</si>
  <si>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</si>
  <si>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</si>
  <si>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</si>
  <si>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</si>
  <si>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</si>
  <si>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</si>
  <si>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</si>
  <si>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</si>
  <si>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</si>
  <si>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</si>
  <si>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</si>
  <si>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</si>
  <si>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</si>
  <si>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</si>
  <si>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</si>
  <si>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</si>
  <si>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</si>
  <si>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</si>
  <si>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</si>
  <si>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</si>
  <si>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</si>
  <si>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</si>
  <si>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</si>
  <si>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</si>
  <si>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</si>
  <si>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</si>
  <si>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</si>
  <si>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</si>
  <si>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</si>
  <si>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</si>
  <si>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</si>
  <si>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</si>
  <si>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</si>
  <si>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</si>
  <si>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</si>
  <si>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</si>
  <si>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</si>
  <si>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</si>
  <si>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</si>
  <si>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</si>
  <si>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</si>
  <si>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</si>
  <si>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</si>
  <si>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</si>
  <si>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</si>
  <si>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</si>
  <si>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</si>
  <si>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</si>
  <si>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</si>
  <si>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</si>
  <si>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</si>
  <si>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</si>
  <si>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</si>
  <si>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</si>
  <si>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</si>
  <si>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</si>
  <si>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</si>
  <si>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</si>
  <si>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</si>
  <si>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</si>
  <si>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</si>
  <si>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</si>
  <si>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</si>
  <si>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</si>
  <si>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</si>
  <si>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</si>
  <si>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</si>
  <si>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</si>
  <si>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</si>
  <si>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</si>
  <si>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</si>
  <si>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</si>
  <si>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</si>
  <si>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</si>
  <si>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</si>
  <si>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</si>
  <si>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</si>
  <si>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</si>
  <si>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</si>
  <si>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</si>
  <si>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</si>
  <si>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</si>
  <si>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</si>
  <si>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</si>
  <si>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</si>
  <si>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</si>
  <si>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</si>
  <si>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</si>
  <si>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</si>
  <si>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</si>
  <si>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</si>
  <si>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</si>
  <si>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</si>
  <si>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</si>
  <si>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</si>
  <si>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</si>
  <si>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</si>
  <si>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</si>
  <si>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</si>
  <si>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</si>
  <si>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</si>
  <si>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</si>
  <si>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TABLE REFERENCE</t>
  </si>
  <si>
    <t>──────────────────────────────────────────────────</t>
  </si>
  <si>
    <t>tbl_ValueScenarios</t>
  </si>
  <si>
    <t xml:space="preserve">  Purpose: Quantify the annual financial benefit of each operational improvement enabled by real-time monitoring</t>
  </si>
  <si>
    <t xml:space="preserve">  Assumptions:</t>
  </si>
  <si>
    <t xml:space="preserve">    - Values are additive (a single biosensor deployment captures all four simultaneously)</t>
  </si>
  <si>
    <t xml:space="preserve">    - Base values calibrated from $250K/year total operational value allocation</t>
  </si>
  <si>
    <t xml:space="preserve">    - Required response days based on operational decision-making windows</t>
  </si>
  <si>
    <t xml:space="preserve">    - HRMS 42-day latency blocks all scenarios; biosensor 1-day latency enables all</t>
  </si>
  <si>
    <t xml:space="preserve">  Data Source: Financial Model Framework v2.1 - operational value allocation</t>
  </si>
  <si>
    <t xml:space="preserve">  Related: tbl_ModelScenarios, tbl_GatedValues, tbl_LatencyGating</t>
  </si>
  <si>
    <t>tbl_ModelScenarios</t>
  </si>
  <si>
    <t xml:space="preserve">  Purpose: Enable sensitivity analysis by adjusting discount rate, growth rate, and risk factors</t>
  </si>
  <si>
    <t xml:space="preserve">    - Base scenario uses unadjusted parameters from model inputs</t>
  </si>
  <si>
    <t xml:space="preserve">    - Conservative adds higher discount (+0.4%), lower growth (-2%), higher risk (+10%)</t>
  </si>
  <si>
    <t xml:space="preserve">    - Optimistic uses lower discount (-0.3%), higher growth (+1%), lower risk (-10%)</t>
  </si>
  <si>
    <t xml:space="preserve">  Data Source: Standard financial modeling practice - scenario analysis parameters</t>
  </si>
  <si>
    <t xml:space="preserve">  Related: tbl_ValueScenarios, tbl_Sensitivity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</si>
  <si>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</si>
  <si>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</si>
  <si>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</si>
  <si>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</si>
  <si>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</si>
  <si>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</si>
  <si>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</si>
  <si>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</si>
  <si>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</si>
  <si>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</si>
  <si>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</si>
  <si>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</si>
  <si>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</si>
  <si>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</si>
  <si>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</si>
  <si>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</si>
  <si>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</si>
  <si>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</si>
  <si>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</si>
  <si>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</si>
  <si>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</si>
  <si>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</si>
  <si>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</si>
  <si>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</si>
  <si>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</si>
  <si>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</si>
  <si>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</si>
  <si>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</si>
  <si>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</si>
  <si>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</si>
  <si>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</si>
  <si>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</si>
  <si>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</si>
  <si>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</si>
  <si>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</si>
  <si>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</si>
  <si>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</si>
  <si>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</si>
  <si>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</si>
  <si>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</si>
  <si>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</si>
  <si>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</si>
  <si>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</si>
  <si>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</si>
  <si>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</si>
  <si>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</si>
  <si>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</si>
  <si>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</si>
  <si>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</si>
  <si>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</si>
  <si>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</si>
  <si>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</si>
  <si>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</si>
  <si>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</si>
  <si>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</si>
  <si>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</si>
  <si>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</si>
  <si>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</si>
  <si>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</si>
  <si>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</si>
  <si>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</si>
  <si>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</si>
  <si>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</si>
  <si>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</si>
  <si>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</si>
  <si>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</si>
  <si>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</si>
  <si>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</si>
  <si>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</si>
  <si>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</si>
  <si>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</si>
  <si>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</si>
  <si>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</si>
  <si>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</si>
  <si>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</si>
  <si>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</si>
  <si>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</si>
  <si>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</si>
  <si>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</si>
  <si>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</si>
  <si>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</si>
  <si>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</si>
  <si>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</si>
  <si>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</si>
  <si>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</si>
  <si>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</si>
  <si>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</si>
  <si>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</si>
  <si>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</si>
  <si>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</si>
  <si>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</si>
  <si>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</si>
  <si>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</si>
  <si>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</si>
  <si>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</si>
  <si>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</si>
  <si>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</si>
  <si>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</si>
  <si>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</si>
  <si>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</si>
  <si>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</si>
  <si>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</si>
  <si>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</si>
  <si>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</si>
  <si>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</si>
  <si>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</si>
  <si>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</si>
  <si>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</si>
  <si>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</si>
  <si>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</si>
  <si>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</si>
  <si>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</si>
  <si>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</si>
  <si>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</si>
  <si>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</si>
  <si>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</si>
  <si>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</si>
  <si>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</si>
  <si>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</si>
  <si>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</si>
  <si>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</si>
  <si>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</si>
  <si>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</si>
  <si>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</si>
  <si>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</si>
  <si>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</si>
  <si>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</si>
  <si>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Select A5:I1005 &gt; Data &gt; What-If Analysis &gt; Data Table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</si>
  <si>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</si>
  <si>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</si>
  <si>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</si>
  <si>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</si>
  <si>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</si>
  <si>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</si>
  <si>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</si>
  <si>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</si>
  <si>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</si>
  <si>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</si>
  <si>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</si>
  <si>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</si>
  <si>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</si>
  <si>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</si>
  <si>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</si>
  <si>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</si>
  <si>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</si>
  <si>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</si>
  <si>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</si>
  <si>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</si>
  <si>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</si>
  <si>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</si>
  <si>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</si>
  <si>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</si>
  <si>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</si>
  <si>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</si>
  <si>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</si>
  <si>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</si>
  <si>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</si>
  <si>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</si>
  <si>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</si>
  <si>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</si>
  <si>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</si>
  <si>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</si>
  <si>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</si>
  <si>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</si>
  <si>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</si>
  <si>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</si>
  <si>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</si>
  <si>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</si>
  <si>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</si>
  <si>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</si>
  <si>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</si>
  <si>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</si>
  <si>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</si>
  <si>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</si>
  <si>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</si>
  <si>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</si>
  <si>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</si>
  <si>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</si>
  <si>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</si>
  <si>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</si>
  <si>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</si>
  <si>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</si>
  <si>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</si>
  <si>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</si>
  <si>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</si>
  <si>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</si>
  <si>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</si>
  <si>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</si>
  <si>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</si>
  <si>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</si>
  <si>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</si>
  <si>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</si>
  <si>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</si>
  <si>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</si>
  <si>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</si>
  <si>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</si>
  <si>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</si>
  <si>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</si>
  <si>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</si>
  <si>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</si>
  <si>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</si>
  <si>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</si>
  <si>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</si>
  <si>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</si>
  <si>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</si>
  <si>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</si>
  <si>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</si>
  <si>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</si>
  <si>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</si>
  <si>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</si>
  <si>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</si>
  <si>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</si>
  <si>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</si>
  <si>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</si>
  <si>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</si>
  <si>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</si>
  <si>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</si>
  <si>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</si>
  <si>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</si>
  <si>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</si>
  <si>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</si>
  <si>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</si>
  <si>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</si>
  <si>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</si>
  <si>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</si>
  <si>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</si>
  <si>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</si>
  <si>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</si>
  <si>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</si>
  <si>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</si>
  <si>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</si>
  <si>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</si>
  <si>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</si>
  <si>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</si>
  <si>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</si>
  <si>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</si>
  <si>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</si>
  <si>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</si>
  <si>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</si>
  <si>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</si>
  <si>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</si>
  <si>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</si>
  <si>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</si>
  <si>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</si>
  <si>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</si>
  <si>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</si>
  <si>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</si>
  <si>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</si>
  <si>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</si>
  <si>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</si>
  <si>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</si>
  <si>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</si>
  <si>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</si>
  <si>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</si>
  <si>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</si>
  <si>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</si>
  <si>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</si>
  <si>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</si>
  <si>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</si>
  <si>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</si>
  <si>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</si>
  <si>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</si>
  <si>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</si>
  <si>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</si>
  <si>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</si>
  <si>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</si>
  <si>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</si>
  <si>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</si>
  <si>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</si>
  <si>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</si>
  <si>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</si>
  <si>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</si>
  <si>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</si>
  <si>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</si>
  <si>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</si>
  <si>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</si>
  <si>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</si>
  <si>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</si>
  <si>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</si>
  <si>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</si>
  <si>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</si>
  <si>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</si>
  <si>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</si>
  <si>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</si>
  <si>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</si>
  <si>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</si>
  <si>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</si>
  <si>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</si>
  <si>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</si>
  <si>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</si>
  <si>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</si>
  <si>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tbl_KPIs</t>
  </si>
  <si>
    <t xml:space="preserve">  Purpose: Provide at-a-glance summary of biosensor investment value and risk profile</t>
  </si>
  <si>
    <t xml:space="preserve">    - NPV calculated over 5-year horizon with 7% discount rate</t>
  </si>
  <si>
    <t xml:space="preserve">    - P10/P50/P90 derived from 1000 Monte Carlo iterations</t>
  </si>
  <si>
    <t xml:space="preserve">    - All metrics assume Daily Biosensor as selected testing option</t>
  </si>
  <si>
    <t xml:space="preserve">    - Values refresh when Monte Carlo simulation is recalculated</t>
  </si>
  <si>
    <t xml:space="preserve">  Data Source: Calculated from 10_Calc_Sim Monte Carlo simulation results</t>
  </si>
  <si>
    <t xml:space="preserve">  Related: tbl_ScenarioBreakdown, tbl_Annual, tbl_CashFlow</t>
  </si>
  <si>
    <t>tbl_ScenarioBreakdown</t>
  </si>
  <si>
    <t xml:space="preserve">  Purpose: Show which value scenarios are captured by the selected testing option</t>
  </si>
  <si>
    <t xml:space="preserve">    - Gate status determined by testing latency vs required response time</t>
  </si>
  <si>
    <t xml:space="preserve">    - ENABLED means testing latency allows capturing this value</t>
  </si>
  <si>
    <t xml:space="preserve">    - BLOCKED means testing latency prevents capturing this value</t>
  </si>
  <si>
    <t xml:space="preserve">    - Values are stochastic and vary with each Monte Carlo iteration</t>
  </si>
  <si>
    <t xml:space="preserve">  Data Source: Calculated from 8_Calc_Value gating logic and stochastic multipliers</t>
  </si>
  <si>
    <t xml:space="preserve">  Related: tbl_KPIs, tbl_ValueScenarios, tbl_GatedValues</t>
  </si>
  <si>
    <t>tbl_TreatmentKPIs</t>
  </si>
  <si>
    <t xml:space="preserve">  Purpose: Validate that biosensor-enabled treatment achieves regulatory compliance within season</t>
  </si>
  <si>
    <t xml:space="preserve">    - Based on Kearl (2022) first-order kinetics model for NAFC degradation</t>
  </si>
  <si>
    <t xml:space="preserve">    - Initial/target NAFC concentrations from site characterization data</t>
  </si>
  <si>
    <t xml:space="preserve">    - Treatment rate factor varies stochastically (0.7-1.3 multiplier)</t>
  </si>
  <si>
    <t xml:space="preserve">    - Season length constraint of 120 days for Alberta operations</t>
  </si>
  <si>
    <t xml:space="preserve">  Data Source: Kearl (2022) wetland treatment kinetics research</t>
  </si>
  <si>
    <t xml:space="preserve">  Related: tbl_KPIs, tbl_Triangular, tbl_TreatmentKinetics</t>
  </si>
  <si>
    <t>tbl_OptionComparison</t>
  </si>
  <si>
    <t xml:space="preserve">  Purpose: Demonstrate the value differential between HRMS and biosensor testing approaches</t>
  </si>
  <si>
    <t xml:space="preserve">    - Monthly HRMS: 42-day turnaround, $60K/season</t>
  </si>
  <si>
    <t xml:space="preserve">    - Weekly HRMS: 42-day turnaround, $28.6K/season</t>
  </si>
  <si>
    <t xml:space="preserve">    - Daily Biosensor: 1-day turnaround, $10K/season</t>
  </si>
  <si>
    <t xml:space="preserve">    - Gate status determined by latency vs required response time</t>
  </si>
  <si>
    <t xml:space="preserve">  Data Source: Testing cost quotes and operational latency measurements</t>
  </si>
  <si>
    <t xml:space="preserve">  Related: tbl_KPIs, tbl_TestOptions, tbl_LatencyGating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</si>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</sst>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6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0"/>
      <color rgb="FF1F4E79"/>
      <name val="Calibri"/>
      <family val="2"/>
    </font>
    <font>
      <sz val="8"/>
      <color rgb="FF999999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7" fillId="2" borderId="0" xfId="0" applyFont="1" applyFill="1" applyAlignment="1">
      <alignment vertical="top" wrapText="1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1" fillId="5" borderId="0" xfId="0" applyFont="1" applyFill="1"/>
    <xf numFmtId="0" fontId="12" fillId="0" borderId="0" xfId="0" applyFont="1"/>
    <xf numFmtId="0" fontId="13" fillId="0" borderId="0" xfId="0" applyFont="1"/>
    <xf numFmtId="0" fontId="15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6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4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26" customHeight="1" x14ac:dyDescent="0.2">
      <c r="A4" s="7" t="s">
        <v>46</v>
      </c>
      <c r="B4" s="31" t="s">
        <v>47</v>
      </c>
      <c r="C4" s="32"/>
      <c r="D4" s="32"/>
    </row>
    <row r="5" spans="1:4" ht="26" customHeight="1" x14ac:dyDescent="0.2">
      <c r="A5" s="7" t="s">
        <v>48</v>
      </c>
      <c r="B5" s="31" t="s">
        <v>49</v>
      </c>
      <c r="C5" s="32"/>
      <c r="D5" s="32"/>
    </row>
    <row r="6" spans="1:4" ht="65" customHeight="1" x14ac:dyDescent="0.2">
      <c r="A6" s="7" t="s">
        <v>50</v>
      </c>
      <c r="B6" s="31" t="s">
        <v>51</v>
      </c>
      <c r="C6" s="32"/>
      <c r="D6" s="32"/>
    </row>
    <row r="7" spans="1:4" ht="26" customHeight="1" x14ac:dyDescent="0.2">
      <c r="A7" s="7" t="s">
        <v>52</v>
      </c>
      <c r="B7" s="31" t="s">
        <v>53</v>
      </c>
      <c r="C7" s="32"/>
      <c r="D7" s="32"/>
    </row>
    <row r="8" spans="1:4" ht="13" customHeight="1" x14ac:dyDescent="0.2">
      <c r="A8" s="7" t="s">
        <v>54</v>
      </c>
      <c r="B8" s="31" t="s">
        <v>55</v>
      </c>
      <c r="C8" s="32"/>
      <c r="D8" s="32"/>
    </row>
    <row r="9" spans="1:4" x14ac:dyDescent="0.2">
      <c r="A9" s="9" t="s">
        <v>56</v>
      </c>
      <c r="B9" s="9" t="s">
        <v>57</v>
      </c>
      <c r="C9" s="9" t="s">
        <v>58</v>
      </c>
      <c r="D9" s="9" t="s">
        <v>59</v>
      </c>
    </row>
    <row r="10" spans="1:4" x14ac:dyDescent="0.2">
      <c r="A10" t="s">
        <v>60</v>
      </c>
      <c r="B10" s="10" t="s">
        <v>61</v>
      </c>
      <c r="C10" t="s">
        <v>62</v>
      </c>
      <c r="D10" t="s">
        <v>63</v>
      </c>
    </row>
    <row r="11" spans="1:4" x14ac:dyDescent="0.2">
      <c r="A11" t="s">
        <v>64</v>
      </c>
      <c r="B11" s="10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1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10">
        <v>5</v>
      </c>
      <c r="C13" t="s">
        <v>71</v>
      </c>
      <c r="D13" t="s">
        <v>72</v>
      </c>
    </row>
    <row r="14" spans="1:4" x14ac:dyDescent="0.2">
      <c r="A14" t="s">
        <v>73</v>
      </c>
      <c r="B14" s="10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9" t="s">
        <v>93</v>
      </c>
      <c r="B21" s="9" t="s">
        <v>94</v>
      </c>
      <c r="C21" s="9" t="s">
        <v>95</v>
      </c>
      <c r="D21" s="9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2" t="s">
        <v>107</v>
      </c>
      <c r="B28" t="s">
        <v>108</v>
      </c>
    </row>
    <row r="29" spans="1:4" x14ac:dyDescent="0.2">
      <c r="A29" s="12" t="s">
        <v>109</v>
      </c>
      <c r="B29" t="s">
        <v>110</v>
      </c>
    </row>
    <row r="30" spans="1:4" x14ac:dyDescent="0.2">
      <c r="A30" s="12" t="s">
        <v>111</v>
      </c>
      <c r="B30" t="s">
        <v>112</v>
      </c>
    </row>
    <row r="31" spans="1:4" x14ac:dyDescent="0.2">
      <c r="A31" s="12" t="s">
        <v>113</v>
      </c>
      <c r="B31" t="s">
        <v>114</v>
      </c>
    </row>
    <row r="32" spans="1:4" x14ac:dyDescent="0.2">
      <c r="A32" s="12" t="s">
        <v>115</v>
      </c>
      <c r="B32" t="s">
        <v>116</v>
      </c>
    </row>
    <row r="33" spans="1:2" x14ac:dyDescent="0.2">
      <c r="A33" s="12" t="s">
        <v>117</v>
      </c>
      <c r="B33" t="s">
        <v>118</v>
      </c>
    </row>
    <row r="34" spans="1:2" x14ac:dyDescent="0.2">
      <c r="A34" s="12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3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2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3" t="s">
        <v>138</v>
      </c>
    </row>
    <row r="57" spans="1:1" x14ac:dyDescent="0.2">
      <c r="A57" t="s">
        <v>139</v>
      </c>
    </row>
    <row r="59" spans="1:1" x14ac:dyDescent="0.2">
      <c r="A59" s="12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2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2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2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9" t="s">
        <v>160</v>
      </c>
      <c r="B83" s="9" t="s">
        <v>161</v>
      </c>
      <c r="C83" s="9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zoomScale="120" zoomScaleNormal="120" workbookViewId="0">
      <selection activeCell="B32" sqref="B32:D32"/>
    </sheetView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26" customHeight="1" x14ac:dyDescent="0.2">
      <c r="A4" s="7" t="s">
        <v>46</v>
      </c>
      <c r="B4" s="31" t="s">
        <v>177</v>
      </c>
      <c r="C4" s="32"/>
      <c r="D4" s="32"/>
    </row>
    <row r="5" spans="1:4" ht="26" customHeight="1" x14ac:dyDescent="0.2">
      <c r="A5" s="7" t="s">
        <v>48</v>
      </c>
      <c r="B5" s="31" t="s">
        <v>178</v>
      </c>
      <c r="C5" s="32"/>
      <c r="D5" s="32"/>
    </row>
    <row r="6" spans="1:4" ht="39" customHeight="1" x14ac:dyDescent="0.2">
      <c r="A6" s="7" t="s">
        <v>50</v>
      </c>
      <c r="B6" s="31" t="s">
        <v>179</v>
      </c>
      <c r="C6" s="32"/>
      <c r="D6" s="32"/>
    </row>
    <row r="7" spans="1:4" ht="13" customHeight="1" x14ac:dyDescent="0.2">
      <c r="A7" s="7" t="s">
        <v>52</v>
      </c>
      <c r="B7" s="31" t="s">
        <v>180</v>
      </c>
      <c r="C7" s="32"/>
      <c r="D7" s="32"/>
    </row>
    <row r="8" spans="1:4" ht="13" customHeight="1" x14ac:dyDescent="0.2">
      <c r="A8" s="7" t="s">
        <v>54</v>
      </c>
      <c r="B8" s="31" t="s">
        <v>181</v>
      </c>
      <c r="C8" s="32"/>
      <c r="D8" s="32"/>
    </row>
    <row r="9" spans="1:4" x14ac:dyDescent="0.2">
      <c r="A9" s="9" t="s">
        <v>56</v>
      </c>
      <c r="B9" s="9" t="s">
        <v>57</v>
      </c>
      <c r="C9" s="9" t="s">
        <v>182</v>
      </c>
      <c r="D9" s="9" t="s">
        <v>183</v>
      </c>
    </row>
    <row r="10" spans="1:4" x14ac:dyDescent="0.2">
      <c r="A10" t="s">
        <v>184</v>
      </c>
      <c r="B10" s="10">
        <v>5</v>
      </c>
      <c r="C10" t="s">
        <v>185</v>
      </c>
      <c r="D10" t="s">
        <v>186</v>
      </c>
    </row>
    <row r="11" spans="1:4" x14ac:dyDescent="0.2">
      <c r="A11" t="s">
        <v>187</v>
      </c>
      <c r="B11" s="10">
        <v>15</v>
      </c>
      <c r="C11" t="s">
        <v>188</v>
      </c>
      <c r="D11" t="s">
        <v>189</v>
      </c>
    </row>
    <row r="12" spans="1:4" x14ac:dyDescent="0.2">
      <c r="A12" t="s">
        <v>190</v>
      </c>
      <c r="B12" s="10">
        <v>9</v>
      </c>
      <c r="C12" t="s">
        <v>185</v>
      </c>
      <c r="D12" t="s">
        <v>191</v>
      </c>
    </row>
    <row r="13" spans="1:4" x14ac:dyDescent="0.2">
      <c r="A13" t="s">
        <v>192</v>
      </c>
      <c r="B13" s="10">
        <v>15</v>
      </c>
      <c r="C13" t="s">
        <v>188</v>
      </c>
      <c r="D13" t="s">
        <v>193</v>
      </c>
    </row>
    <row r="14" spans="1:4" x14ac:dyDescent="0.2">
      <c r="A14" t="s">
        <v>194</v>
      </c>
      <c r="B14" s="10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26" customHeight="1" x14ac:dyDescent="0.2">
      <c r="A17" s="7" t="s">
        <v>46</v>
      </c>
      <c r="B17" s="31" t="s">
        <v>198</v>
      </c>
      <c r="C17" s="32"/>
      <c r="D17" s="32"/>
    </row>
    <row r="18" spans="1:4" ht="26" customHeight="1" x14ac:dyDescent="0.2">
      <c r="A18" s="7" t="s">
        <v>48</v>
      </c>
      <c r="B18" s="31" t="s">
        <v>199</v>
      </c>
      <c r="C18" s="32"/>
      <c r="D18" s="32"/>
    </row>
    <row r="19" spans="1:4" ht="39" customHeight="1" x14ac:dyDescent="0.2">
      <c r="A19" s="7" t="s">
        <v>50</v>
      </c>
      <c r="B19" s="31" t="s">
        <v>200</v>
      </c>
      <c r="C19" s="32"/>
      <c r="D19" s="32"/>
    </row>
    <row r="20" spans="1:4" ht="13" customHeight="1" x14ac:dyDescent="0.2">
      <c r="A20" s="7" t="s">
        <v>52</v>
      </c>
      <c r="B20" s="31" t="s">
        <v>201</v>
      </c>
      <c r="C20" s="32"/>
      <c r="D20" s="32"/>
    </row>
    <row r="21" spans="1:4" ht="13" customHeight="1" x14ac:dyDescent="0.2">
      <c r="A21" s="7" t="s">
        <v>54</v>
      </c>
      <c r="B21" s="31" t="s">
        <v>202</v>
      </c>
      <c r="C21" s="32"/>
      <c r="D21" s="32"/>
    </row>
    <row r="22" spans="1:4" x14ac:dyDescent="0.2">
      <c r="A22" s="9" t="s">
        <v>203</v>
      </c>
      <c r="B22" s="9" t="s">
        <v>204</v>
      </c>
      <c r="C22" s="9" t="s">
        <v>205</v>
      </c>
      <c r="D22" s="9" t="s">
        <v>206</v>
      </c>
    </row>
    <row r="23" spans="1:4" x14ac:dyDescent="0.2">
      <c r="A23" t="s">
        <v>186</v>
      </c>
      <c r="B23">
        <v>5</v>
      </c>
      <c r="C23" s="10">
        <v>0.85</v>
      </c>
      <c r="D23" t="s">
        <v>207</v>
      </c>
    </row>
    <row r="24" spans="1:4" x14ac:dyDescent="0.2">
      <c r="A24" t="s">
        <v>208</v>
      </c>
      <c r="B24">
        <v>6</v>
      </c>
      <c r="C24" s="10">
        <v>1</v>
      </c>
      <c r="D24" t="s">
        <v>209</v>
      </c>
    </row>
    <row r="25" spans="1:4" x14ac:dyDescent="0.2">
      <c r="A25" t="s">
        <v>210</v>
      </c>
      <c r="B25">
        <v>7</v>
      </c>
      <c r="C25" s="10">
        <v>1</v>
      </c>
      <c r="D25" t="s">
        <v>209</v>
      </c>
    </row>
    <row r="26" spans="1:4" x14ac:dyDescent="0.2">
      <c r="A26" t="s">
        <v>211</v>
      </c>
      <c r="B26">
        <v>8</v>
      </c>
      <c r="C26" s="10">
        <v>0.95</v>
      </c>
      <c r="D26" t="s">
        <v>212</v>
      </c>
    </row>
    <row r="27" spans="1:4" x14ac:dyDescent="0.2">
      <c r="A27" t="s">
        <v>191</v>
      </c>
      <c r="B27">
        <v>9</v>
      </c>
      <c r="C27" s="10">
        <v>0.75</v>
      </c>
      <c r="D27" t="s">
        <v>213</v>
      </c>
    </row>
    <row r="30" spans="1:4" x14ac:dyDescent="0.2">
      <c r="A30" s="6" t="s">
        <v>214</v>
      </c>
    </row>
    <row r="31" spans="1:4" ht="26" customHeight="1" x14ac:dyDescent="0.2">
      <c r="A31" s="7" t="s">
        <v>46</v>
      </c>
      <c r="B31" s="31" t="s">
        <v>215</v>
      </c>
      <c r="C31" s="32"/>
      <c r="D31" s="32"/>
    </row>
    <row r="32" spans="1:4" ht="13" customHeight="1" x14ac:dyDescent="0.2">
      <c r="A32" s="7" t="s">
        <v>48</v>
      </c>
      <c r="B32" s="31" t="s">
        <v>216</v>
      </c>
      <c r="C32" s="32"/>
      <c r="D32" s="32"/>
    </row>
    <row r="33" spans="1:4" ht="26" customHeight="1" x14ac:dyDescent="0.2">
      <c r="A33" s="7" t="s">
        <v>50</v>
      </c>
      <c r="B33" s="31" t="s">
        <v>217</v>
      </c>
      <c r="C33" s="32"/>
      <c r="D33" s="32"/>
    </row>
    <row r="34" spans="1:4" ht="26" customHeight="1" x14ac:dyDescent="0.2">
      <c r="A34" s="7" t="s">
        <v>52</v>
      </c>
      <c r="B34" s="31" t="s">
        <v>218</v>
      </c>
      <c r="C34" s="32"/>
      <c r="D34" s="32"/>
    </row>
    <row r="35" spans="1:4" ht="13" customHeight="1" x14ac:dyDescent="0.2">
      <c r="A35" s="7" t="s">
        <v>54</v>
      </c>
      <c r="B35" s="31" t="s">
        <v>219</v>
      </c>
      <c r="C35" s="32"/>
      <c r="D35" s="32"/>
    </row>
    <row r="36" spans="1:4" x14ac:dyDescent="0.2">
      <c r="A36" s="9" t="s">
        <v>56</v>
      </c>
      <c r="B36" s="9" t="s">
        <v>57</v>
      </c>
      <c r="C36" s="9" t="s">
        <v>182</v>
      </c>
      <c r="D36" s="9" t="s">
        <v>220</v>
      </c>
    </row>
    <row r="37" spans="1:4" x14ac:dyDescent="0.2">
      <c r="A37" t="s">
        <v>221</v>
      </c>
      <c r="B37" s="10">
        <v>1</v>
      </c>
      <c r="C37" t="s">
        <v>222</v>
      </c>
      <c r="D37" t="s">
        <v>223</v>
      </c>
    </row>
    <row r="38" spans="1:4" x14ac:dyDescent="0.2">
      <c r="A38" t="s">
        <v>224</v>
      </c>
      <c r="B38" s="10">
        <v>5</v>
      </c>
      <c r="C38" t="s">
        <v>225</v>
      </c>
      <c r="D38" t="s">
        <v>226</v>
      </c>
    </row>
    <row r="39" spans="1:4" x14ac:dyDescent="0.2">
      <c r="A39" t="s">
        <v>227</v>
      </c>
      <c r="B39" s="10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4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26" customHeight="1" x14ac:dyDescent="0.2">
      <c r="A44" s="7" t="s">
        <v>46</v>
      </c>
      <c r="B44" s="31" t="s">
        <v>234</v>
      </c>
      <c r="C44" s="32"/>
    </row>
    <row r="45" spans="1:4" ht="26" customHeight="1" x14ac:dyDescent="0.2">
      <c r="A45" s="7" t="s">
        <v>48</v>
      </c>
      <c r="B45" s="31" t="s">
        <v>235</v>
      </c>
      <c r="C45" s="32"/>
    </row>
    <row r="46" spans="1:4" ht="39" customHeight="1" x14ac:dyDescent="0.2">
      <c r="A46" s="7" t="s">
        <v>50</v>
      </c>
      <c r="B46" s="31" t="s">
        <v>236</v>
      </c>
      <c r="C46" s="32"/>
    </row>
    <row r="47" spans="1:4" ht="26" customHeight="1" x14ac:dyDescent="0.2">
      <c r="A47" s="7" t="s">
        <v>52</v>
      </c>
      <c r="B47" s="31" t="s">
        <v>237</v>
      </c>
      <c r="C47" s="32"/>
    </row>
    <row r="48" spans="1:4" ht="13" customHeight="1" x14ac:dyDescent="0.2">
      <c r="A48" s="7" t="s">
        <v>54</v>
      </c>
      <c r="B48" s="31" t="s">
        <v>238</v>
      </c>
      <c r="C48" s="32"/>
    </row>
    <row r="49" spans="1:3" x14ac:dyDescent="0.2">
      <c r="A49" s="9" t="s">
        <v>56</v>
      </c>
      <c r="B49" s="9" t="s">
        <v>57</v>
      </c>
      <c r="C49" s="9" t="s">
        <v>182</v>
      </c>
    </row>
    <row r="50" spans="1:3" x14ac:dyDescent="0.2">
      <c r="A50" t="s">
        <v>239</v>
      </c>
      <c r="B50" s="15">
        <v>1500</v>
      </c>
      <c r="C50" t="s">
        <v>240</v>
      </c>
    </row>
    <row r="51" spans="1:3" x14ac:dyDescent="0.2">
      <c r="A51" t="s">
        <v>241</v>
      </c>
      <c r="B51" s="15">
        <v>50000</v>
      </c>
      <c r="C51" t="s">
        <v>242</v>
      </c>
    </row>
    <row r="52" spans="1:3" x14ac:dyDescent="0.2">
      <c r="A52" t="s">
        <v>243</v>
      </c>
      <c r="B52" s="15">
        <v>15000</v>
      </c>
      <c r="C52" t="s">
        <v>240</v>
      </c>
    </row>
    <row r="55" spans="1:3" x14ac:dyDescent="0.2">
      <c r="A55" s="6" t="s">
        <v>244</v>
      </c>
    </row>
    <row r="56" spans="1:3" ht="39" customHeight="1" x14ac:dyDescent="0.2">
      <c r="A56" s="7" t="s">
        <v>46</v>
      </c>
      <c r="B56" s="31" t="s">
        <v>245</v>
      </c>
      <c r="C56" s="32"/>
    </row>
    <row r="57" spans="1:3" ht="26" customHeight="1" x14ac:dyDescent="0.2">
      <c r="A57" s="7" t="s">
        <v>48</v>
      </c>
      <c r="B57" s="31" t="s">
        <v>246</v>
      </c>
      <c r="C57" s="32"/>
    </row>
    <row r="58" spans="1:3" ht="39" customHeight="1" x14ac:dyDescent="0.2">
      <c r="A58" s="7" t="s">
        <v>50</v>
      </c>
      <c r="B58" s="31" t="s">
        <v>247</v>
      </c>
      <c r="C58" s="32"/>
    </row>
    <row r="59" spans="1:3" ht="26" customHeight="1" x14ac:dyDescent="0.2">
      <c r="A59" s="7" t="s">
        <v>52</v>
      </c>
      <c r="B59" s="31" t="s">
        <v>248</v>
      </c>
      <c r="C59" s="32"/>
    </row>
    <row r="60" spans="1:3" ht="13" customHeight="1" x14ac:dyDescent="0.2">
      <c r="A60" s="7" t="s">
        <v>54</v>
      </c>
      <c r="B60" s="31" t="s">
        <v>249</v>
      </c>
      <c r="C60" s="32"/>
    </row>
    <row r="61" spans="1:3" x14ac:dyDescent="0.2">
      <c r="A61" s="9" t="s">
        <v>250</v>
      </c>
      <c r="B61" s="9" t="s">
        <v>205</v>
      </c>
      <c r="C61" s="9" t="s">
        <v>183</v>
      </c>
    </row>
    <row r="62" spans="1:3" x14ac:dyDescent="0.2">
      <c r="A62">
        <v>1</v>
      </c>
      <c r="B62" s="10">
        <v>0.5</v>
      </c>
      <c r="C62" t="s">
        <v>251</v>
      </c>
    </row>
    <row r="63" spans="1:3" x14ac:dyDescent="0.2">
      <c r="A63">
        <v>2</v>
      </c>
      <c r="B63" s="10">
        <v>0.75</v>
      </c>
      <c r="C63" t="s">
        <v>252</v>
      </c>
    </row>
    <row r="64" spans="1:3" x14ac:dyDescent="0.2">
      <c r="A64">
        <v>3</v>
      </c>
      <c r="B64" s="10">
        <v>1</v>
      </c>
      <c r="C64" t="s">
        <v>253</v>
      </c>
    </row>
    <row r="65" spans="1:6" x14ac:dyDescent="0.2">
      <c r="A65">
        <v>4</v>
      </c>
      <c r="B65" s="10">
        <v>1</v>
      </c>
      <c r="C65" t="s">
        <v>254</v>
      </c>
    </row>
    <row r="66" spans="1:6" x14ac:dyDescent="0.2">
      <c r="A66">
        <v>5</v>
      </c>
      <c r="B66" s="10">
        <v>1</v>
      </c>
      <c r="C66" t="s">
        <v>254</v>
      </c>
    </row>
    <row r="69" spans="1:6" x14ac:dyDescent="0.2">
      <c r="A69" s="6" t="s">
        <v>255</v>
      </c>
    </row>
    <row r="70" spans="1:6" ht="13" customHeight="1" x14ac:dyDescent="0.2">
      <c r="A70" s="7" t="s">
        <v>46</v>
      </c>
      <c r="B70" s="31" t="s">
        <v>256</v>
      </c>
      <c r="C70" s="32"/>
      <c r="D70" s="32"/>
      <c r="E70" s="32"/>
      <c r="F70" s="32"/>
    </row>
    <row r="71" spans="1:6" ht="13" customHeight="1" x14ac:dyDescent="0.2">
      <c r="A71" s="7" t="s">
        <v>48</v>
      </c>
      <c r="B71" s="31" t="s">
        <v>257</v>
      </c>
      <c r="C71" s="32"/>
      <c r="D71" s="32"/>
      <c r="E71" s="32"/>
      <c r="F71" s="32"/>
    </row>
    <row r="72" spans="1:6" ht="26" customHeight="1" x14ac:dyDescent="0.2">
      <c r="A72" s="7" t="s">
        <v>50</v>
      </c>
      <c r="B72" s="31" t="s">
        <v>258</v>
      </c>
      <c r="C72" s="32"/>
      <c r="D72" s="32"/>
      <c r="E72" s="32"/>
      <c r="F72" s="32"/>
    </row>
    <row r="73" spans="1:6" ht="13" customHeight="1" x14ac:dyDescent="0.2">
      <c r="A73" s="7" t="s">
        <v>52</v>
      </c>
      <c r="B73" s="31" t="s">
        <v>259</v>
      </c>
      <c r="C73" s="32"/>
      <c r="D73" s="32"/>
      <c r="E73" s="32"/>
      <c r="F73" s="32"/>
    </row>
    <row r="74" spans="1:6" ht="13" customHeight="1" x14ac:dyDescent="0.2">
      <c r="A74" s="7" t="s">
        <v>54</v>
      </c>
      <c r="B74" s="31" t="s">
        <v>260</v>
      </c>
      <c r="C74" s="32"/>
      <c r="D74" s="32"/>
      <c r="E74" s="32"/>
      <c r="F74" s="32"/>
    </row>
    <row r="75" spans="1:6" x14ac:dyDescent="0.2">
      <c r="A75" s="9" t="s">
        <v>261</v>
      </c>
      <c r="B75" s="9" t="s">
        <v>262</v>
      </c>
      <c r="C75" s="9" t="s">
        <v>263</v>
      </c>
      <c r="D75" s="9" t="s">
        <v>264</v>
      </c>
      <c r="E75" s="9" t="s">
        <v>265</v>
      </c>
      <c r="F75" s="9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6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6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6">
        <v>10</v>
      </c>
      <c r="F78">
        <v>1</v>
      </c>
    </row>
    <row r="80" spans="1:6" x14ac:dyDescent="0.2">
      <c r="A80" s="6" t="s">
        <v>270</v>
      </c>
    </row>
    <row r="81" spans="1:5" ht="26" customHeight="1" x14ac:dyDescent="0.2">
      <c r="A81" s="7" t="s">
        <v>46</v>
      </c>
      <c r="B81" s="31" t="s">
        <v>271</v>
      </c>
      <c r="C81" s="32"/>
      <c r="D81" s="32"/>
      <c r="E81" s="32"/>
    </row>
    <row r="82" spans="1:5" ht="13" customHeight="1" x14ac:dyDescent="0.2">
      <c r="A82" s="7" t="s">
        <v>48</v>
      </c>
      <c r="B82" s="31" t="s">
        <v>272</v>
      </c>
      <c r="C82" s="32"/>
      <c r="D82" s="32"/>
      <c r="E82" s="32"/>
    </row>
    <row r="83" spans="1:5" ht="39" customHeight="1" x14ac:dyDescent="0.2">
      <c r="A83" s="7" t="s">
        <v>50</v>
      </c>
      <c r="B83" s="31" t="s">
        <v>273</v>
      </c>
      <c r="C83" s="32"/>
      <c r="D83" s="32"/>
      <c r="E83" s="32"/>
    </row>
    <row r="84" spans="1:5" ht="13" customHeight="1" x14ac:dyDescent="0.2">
      <c r="A84" s="7" t="s">
        <v>52</v>
      </c>
      <c r="B84" s="31" t="s">
        <v>274</v>
      </c>
      <c r="C84" s="32"/>
      <c r="D84" s="32"/>
      <c r="E84" s="32"/>
    </row>
    <row r="85" spans="1:5" ht="13" customHeight="1" x14ac:dyDescent="0.2">
      <c r="A85" s="7" t="s">
        <v>54</v>
      </c>
      <c r="B85" s="31" t="s">
        <v>275</v>
      </c>
      <c r="C85" s="32"/>
      <c r="D85" s="32"/>
      <c r="E85" s="32"/>
    </row>
    <row r="86" spans="1:5" x14ac:dyDescent="0.2">
      <c r="A86" s="9" t="s">
        <v>261</v>
      </c>
      <c r="B86" s="9" t="s">
        <v>276</v>
      </c>
      <c r="C86" s="9" t="s">
        <v>277</v>
      </c>
      <c r="D86" s="9" t="s">
        <v>278</v>
      </c>
      <c r="E86" s="9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26" customHeight="1" x14ac:dyDescent="0.2">
      <c r="A102" s="7" t="s">
        <v>46</v>
      </c>
      <c r="B102" s="31" t="s">
        <v>288</v>
      </c>
      <c r="C102" s="32"/>
      <c r="D102" s="32"/>
    </row>
    <row r="103" spans="1:4" ht="26" customHeight="1" x14ac:dyDescent="0.2">
      <c r="A103" s="7" t="s">
        <v>48</v>
      </c>
      <c r="B103" s="31" t="s">
        <v>289</v>
      </c>
      <c r="C103" s="32"/>
      <c r="D103" s="32"/>
    </row>
    <row r="104" spans="1:4" ht="39" customHeight="1" x14ac:dyDescent="0.2">
      <c r="A104" s="7" t="s">
        <v>50</v>
      </c>
      <c r="B104" s="31" t="s">
        <v>290</v>
      </c>
      <c r="C104" s="32"/>
      <c r="D104" s="32"/>
    </row>
    <row r="105" spans="1:4" ht="26" customHeight="1" x14ac:dyDescent="0.2">
      <c r="A105" s="7" t="s">
        <v>52</v>
      </c>
      <c r="B105" s="31" t="s">
        <v>291</v>
      </c>
      <c r="C105" s="32"/>
      <c r="D105" s="32"/>
    </row>
    <row r="106" spans="1:4" ht="13" customHeight="1" x14ac:dyDescent="0.2">
      <c r="A106" s="7" t="s">
        <v>54</v>
      </c>
      <c r="B106" s="31" t="s">
        <v>292</v>
      </c>
      <c r="C106" s="32"/>
      <c r="D106" s="32"/>
    </row>
    <row r="107" spans="1:4" x14ac:dyDescent="0.2">
      <c r="A107" s="9" t="s">
        <v>56</v>
      </c>
      <c r="B107" s="9" t="s">
        <v>57</v>
      </c>
      <c r="C107" s="9" t="s">
        <v>182</v>
      </c>
      <c r="D107" s="9" t="s">
        <v>183</v>
      </c>
    </row>
    <row r="108" spans="1:4" x14ac:dyDescent="0.2">
      <c r="A108" t="s">
        <v>293</v>
      </c>
      <c r="B108" s="17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7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7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7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10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10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10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26" customHeight="1" x14ac:dyDescent="0.2">
      <c r="A118" s="7" t="s">
        <v>46</v>
      </c>
      <c r="B118" s="31" t="s">
        <v>311</v>
      </c>
      <c r="C118" s="32"/>
      <c r="D118" s="32"/>
    </row>
    <row r="119" spans="1:4" ht="26" customHeight="1" x14ac:dyDescent="0.2">
      <c r="A119" s="7" t="s">
        <v>48</v>
      </c>
      <c r="B119" s="31" t="s">
        <v>312</v>
      </c>
      <c r="C119" s="32"/>
      <c r="D119" s="32"/>
    </row>
    <row r="120" spans="1:4" ht="26" customHeight="1" x14ac:dyDescent="0.2">
      <c r="A120" s="7" t="s">
        <v>50</v>
      </c>
      <c r="B120" s="31" t="s">
        <v>313</v>
      </c>
      <c r="C120" s="32"/>
      <c r="D120" s="32"/>
    </row>
    <row r="121" spans="1:4" ht="13" customHeight="1" x14ac:dyDescent="0.2">
      <c r="A121" s="7" t="s">
        <v>52</v>
      </c>
      <c r="B121" s="31" t="s">
        <v>314</v>
      </c>
      <c r="C121" s="32"/>
      <c r="D121" s="32"/>
    </row>
    <row r="122" spans="1:4" ht="13" customHeight="1" x14ac:dyDescent="0.2">
      <c r="A122" s="7" t="s">
        <v>54</v>
      </c>
      <c r="B122" s="31" t="s">
        <v>219</v>
      </c>
      <c r="C122" s="32"/>
      <c r="D122" s="32"/>
    </row>
    <row r="123" spans="1:4" x14ac:dyDescent="0.2">
      <c r="A123" s="9" t="s">
        <v>315</v>
      </c>
      <c r="B123" s="9" t="s">
        <v>316</v>
      </c>
      <c r="C123" s="9" t="s">
        <v>317</v>
      </c>
      <c r="D123" s="9" t="s">
        <v>183</v>
      </c>
    </row>
    <row r="124" spans="1:4" x14ac:dyDescent="0.2">
      <c r="A124" t="s">
        <v>318</v>
      </c>
      <c r="B124" s="10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10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10">
        <v>42</v>
      </c>
      <c r="C126" t="s">
        <v>325</v>
      </c>
      <c r="D126" t="s">
        <v>326</v>
      </c>
    </row>
  </sheetData>
  <mergeCells count="45">
    <mergeCell ref="B121:D121"/>
    <mergeCell ref="B31:D31"/>
    <mergeCell ref="B122:D122"/>
    <mergeCell ref="B102:D102"/>
    <mergeCell ref="B82:E82"/>
    <mergeCell ref="B45:C45"/>
    <mergeCell ref="B105:D105"/>
    <mergeCell ref="B84:E84"/>
    <mergeCell ref="B5:D5"/>
    <mergeCell ref="B73:F73"/>
    <mergeCell ref="B32:D32"/>
    <mergeCell ref="B4:D4"/>
    <mergeCell ref="B35:D35"/>
    <mergeCell ref="B7:D7"/>
    <mergeCell ref="B18:D18"/>
    <mergeCell ref="B21:D21"/>
    <mergeCell ref="B6:D6"/>
    <mergeCell ref="B20:D20"/>
    <mergeCell ref="B33:D33"/>
    <mergeCell ref="B104:D104"/>
    <mergeCell ref="B44:C44"/>
    <mergeCell ref="B74:F74"/>
    <mergeCell ref="B19:D19"/>
    <mergeCell ref="B48:C48"/>
    <mergeCell ref="B118:D118"/>
    <mergeCell ref="B60:C60"/>
    <mergeCell ref="B81:E81"/>
    <mergeCell ref="B57:C57"/>
    <mergeCell ref="B106:D106"/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47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26" customHeight="1" x14ac:dyDescent="0.2">
      <c r="A4" s="7" t="s">
        <v>46</v>
      </c>
      <c r="B4" s="31" t="s">
        <v>328</v>
      </c>
      <c r="C4" s="32"/>
      <c r="D4" s="32"/>
      <c r="E4" s="32"/>
    </row>
    <row r="5" spans="1:5" ht="26" customHeight="1" x14ac:dyDescent="0.2">
      <c r="A5" s="7" t="s">
        <v>48</v>
      </c>
      <c r="B5" s="31" t="s">
        <v>329</v>
      </c>
      <c r="C5" s="32"/>
      <c r="D5" s="32"/>
      <c r="E5" s="32"/>
    </row>
    <row r="6" spans="1:5" ht="52" customHeight="1" x14ac:dyDescent="0.2">
      <c r="A6" s="7" t="s">
        <v>50</v>
      </c>
      <c r="B6" s="31" t="s">
        <v>330</v>
      </c>
      <c r="C6" s="32"/>
      <c r="D6" s="32"/>
      <c r="E6" s="32"/>
    </row>
    <row r="7" spans="1:5" ht="13" customHeight="1" x14ac:dyDescent="0.2">
      <c r="A7" s="7" t="s">
        <v>52</v>
      </c>
      <c r="B7" s="31" t="s">
        <v>331</v>
      </c>
      <c r="C7" s="32"/>
      <c r="D7" s="32"/>
      <c r="E7" s="32"/>
    </row>
    <row r="8" spans="1:5" ht="13" customHeight="1" x14ac:dyDescent="0.2">
      <c r="A8" s="7" t="s">
        <v>54</v>
      </c>
      <c r="B8" s="31" t="s">
        <v>332</v>
      </c>
      <c r="C8" s="32"/>
      <c r="D8" s="32"/>
      <c r="E8" s="32"/>
    </row>
    <row r="9" spans="1:5" x14ac:dyDescent="0.2">
      <c r="A9" s="9" t="s">
        <v>333</v>
      </c>
      <c r="B9" s="9" t="s">
        <v>334</v>
      </c>
      <c r="C9" s="9" t="s">
        <v>335</v>
      </c>
      <c r="D9" s="9" t="s">
        <v>336</v>
      </c>
      <c r="E9" s="9" t="s">
        <v>59</v>
      </c>
    </row>
    <row r="10" spans="1:5" x14ac:dyDescent="0.2">
      <c r="A10" t="s">
        <v>337</v>
      </c>
      <c r="B10" t="s">
        <v>338</v>
      </c>
      <c r="C10" s="15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5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5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5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26" customHeight="1" x14ac:dyDescent="0.2">
      <c r="A17" s="7" t="s">
        <v>46</v>
      </c>
      <c r="B17" s="31" t="s">
        <v>350</v>
      </c>
      <c r="C17" s="32"/>
      <c r="D17" s="32"/>
    </row>
    <row r="18" spans="1:4" ht="26" customHeight="1" x14ac:dyDescent="0.2">
      <c r="A18" s="7" t="s">
        <v>48</v>
      </c>
      <c r="B18" s="31" t="s">
        <v>351</v>
      </c>
      <c r="C18" s="32"/>
      <c r="D18" s="32"/>
    </row>
    <row r="19" spans="1:4" ht="52" customHeight="1" x14ac:dyDescent="0.2">
      <c r="A19" s="7" t="s">
        <v>50</v>
      </c>
      <c r="B19" s="31" t="s">
        <v>352</v>
      </c>
      <c r="C19" s="32"/>
      <c r="D19" s="32"/>
    </row>
    <row r="20" spans="1:4" ht="26" customHeight="1" x14ac:dyDescent="0.2">
      <c r="A20" s="7" t="s">
        <v>52</v>
      </c>
      <c r="B20" s="31" t="s">
        <v>353</v>
      </c>
      <c r="C20" s="32"/>
      <c r="D20" s="32"/>
    </row>
    <row r="21" spans="1:4" ht="13" customHeight="1" x14ac:dyDescent="0.2">
      <c r="A21" s="7" t="s">
        <v>54</v>
      </c>
      <c r="B21" s="31" t="s">
        <v>354</v>
      </c>
      <c r="C21" s="32"/>
      <c r="D21" s="32"/>
    </row>
    <row r="22" spans="1:4" x14ac:dyDescent="0.2">
      <c r="A22" s="9" t="s">
        <v>93</v>
      </c>
      <c r="B22" s="9" t="s">
        <v>355</v>
      </c>
      <c r="C22" s="9" t="s">
        <v>356</v>
      </c>
      <c r="D22" s="9" t="s">
        <v>357</v>
      </c>
    </row>
    <row r="23" spans="1:4" x14ac:dyDescent="0.2">
      <c r="A23" t="s">
        <v>65</v>
      </c>
      <c r="B23" s="11">
        <v>0</v>
      </c>
      <c r="C23" s="11">
        <v>0</v>
      </c>
      <c r="D23" s="11">
        <v>0</v>
      </c>
    </row>
    <row r="24" spans="1:4" x14ac:dyDescent="0.2">
      <c r="A24" t="s">
        <v>283</v>
      </c>
      <c r="B24" s="11">
        <v>4.0000000000000001E-3</v>
      </c>
      <c r="C24" s="11">
        <v>-0.02</v>
      </c>
      <c r="D24" s="11">
        <v>0.1</v>
      </c>
    </row>
    <row r="25" spans="1:4" x14ac:dyDescent="0.2">
      <c r="A25" t="s">
        <v>284</v>
      </c>
      <c r="B25" s="11">
        <v>-3.0000000000000001E-3</v>
      </c>
      <c r="C25" s="11">
        <v>0.01</v>
      </c>
      <c r="D25" s="11">
        <v>-0.1</v>
      </c>
    </row>
    <row r="28" spans="1:4" x14ac:dyDescent="0.2">
      <c r="A28" s="18" t="s">
        <v>358</v>
      </c>
    </row>
    <row r="29" spans="1:4" x14ac:dyDescent="0.2">
      <c r="A29" s="19" t="s">
        <v>359</v>
      </c>
    </row>
    <row r="30" spans="1:4" x14ac:dyDescent="0.2">
      <c r="A30" s="20" t="s">
        <v>360</v>
      </c>
    </row>
    <row r="31" spans="1:4" x14ac:dyDescent="0.2">
      <c r="A31" t="s">
        <v>361</v>
      </c>
    </row>
    <row r="32" spans="1:4" x14ac:dyDescent="0.2">
      <c r="A32" t="s">
        <v>362</v>
      </c>
    </row>
    <row r="33" spans="1:1" x14ac:dyDescent="0.2">
      <c r="A33" t="s">
        <v>363</v>
      </c>
    </row>
    <row r="34" spans="1:1" x14ac:dyDescent="0.2">
      <c r="A34" t="s">
        <v>364</v>
      </c>
    </row>
    <row r="35" spans="1:1" x14ac:dyDescent="0.2">
      <c r="A35" t="s">
        <v>365</v>
      </c>
    </row>
    <row r="36" spans="1:1" x14ac:dyDescent="0.2">
      <c r="A36" t="s">
        <v>366</v>
      </c>
    </row>
    <row r="37" spans="1:1" x14ac:dyDescent="0.2">
      <c r="A37" t="s">
        <v>367</v>
      </c>
    </row>
    <row r="38" spans="1:1" x14ac:dyDescent="0.2">
      <c r="A38" t="s">
        <v>368</v>
      </c>
    </row>
    <row r="40" spans="1:1" x14ac:dyDescent="0.2">
      <c r="A40" s="20" t="s">
        <v>369</v>
      </c>
    </row>
    <row r="41" spans="1:1" x14ac:dyDescent="0.2">
      <c r="A41" t="s">
        <v>370</v>
      </c>
    </row>
    <row r="42" spans="1:1" x14ac:dyDescent="0.2">
      <c r="A42" t="s">
        <v>362</v>
      </c>
    </row>
    <row r="43" spans="1:1" x14ac:dyDescent="0.2">
      <c r="A43" t="s">
        <v>371</v>
      </c>
    </row>
    <row r="44" spans="1:1" x14ac:dyDescent="0.2">
      <c r="A44" t="s">
        <v>372</v>
      </c>
    </row>
    <row r="45" spans="1:1" x14ac:dyDescent="0.2">
      <c r="A45" t="s">
        <v>373</v>
      </c>
    </row>
    <row r="46" spans="1:1" x14ac:dyDescent="0.2">
      <c r="A46" t="s">
        <v>374</v>
      </c>
    </row>
    <row r="47" spans="1:1" x14ac:dyDescent="0.2">
      <c r="A47" t="s">
        <v>375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376</v>
      </c>
    </row>
    <row r="3" spans="1:5" x14ac:dyDescent="0.2">
      <c r="A3" s="6" t="s">
        <v>377</v>
      </c>
    </row>
    <row r="4" spans="1:5" ht="26" customHeight="1" x14ac:dyDescent="0.2">
      <c r="A4" s="7" t="s">
        <v>46</v>
      </c>
      <c r="B4" s="31" t="s">
        <v>378</v>
      </c>
      <c r="C4" s="32"/>
      <c r="D4" s="32"/>
      <c r="E4" s="32"/>
    </row>
    <row r="5" spans="1:5" ht="26" customHeight="1" x14ac:dyDescent="0.2">
      <c r="A5" s="7" t="s">
        <v>48</v>
      </c>
      <c r="B5" s="31" t="s">
        <v>379</v>
      </c>
      <c r="C5" s="32"/>
      <c r="D5" s="32"/>
      <c r="E5" s="32"/>
    </row>
    <row r="6" spans="1:5" ht="52" customHeight="1" x14ac:dyDescent="0.2">
      <c r="A6" s="7" t="s">
        <v>50</v>
      </c>
      <c r="B6" s="31" t="s">
        <v>380</v>
      </c>
      <c r="C6" s="32"/>
      <c r="D6" s="32"/>
      <c r="E6" s="32"/>
    </row>
    <row r="7" spans="1:5" ht="13" customHeight="1" x14ac:dyDescent="0.2">
      <c r="A7" s="7" t="s">
        <v>52</v>
      </c>
      <c r="B7" s="31" t="s">
        <v>381</v>
      </c>
      <c r="C7" s="32"/>
      <c r="D7" s="32"/>
      <c r="E7" s="32"/>
    </row>
    <row r="8" spans="1:5" ht="13" customHeight="1" x14ac:dyDescent="0.2">
      <c r="A8" s="7" t="s">
        <v>54</v>
      </c>
      <c r="B8" s="31" t="s">
        <v>382</v>
      </c>
      <c r="C8" s="32"/>
      <c r="D8" s="32"/>
      <c r="E8" s="32"/>
    </row>
    <row r="9" spans="1:5" x14ac:dyDescent="0.2">
      <c r="A9" s="9" t="s">
        <v>383</v>
      </c>
      <c r="B9" s="9" t="s">
        <v>384</v>
      </c>
      <c r="C9" s="9" t="s">
        <v>385</v>
      </c>
      <c r="D9" s="9" t="s">
        <v>386</v>
      </c>
      <c r="E9" s="9" t="s">
        <v>387</v>
      </c>
    </row>
    <row r="10" spans="1:5" x14ac:dyDescent="0.2">
      <c r="A10" t="s">
        <v>388</v>
      </c>
      <c r="B10" s="10">
        <v>14</v>
      </c>
      <c r="C10" s="10">
        <v>21</v>
      </c>
      <c r="D10" s="10">
        <v>35</v>
      </c>
      <c r="E10" t="s">
        <v>195</v>
      </c>
    </row>
    <row r="11" spans="1:5" x14ac:dyDescent="0.2">
      <c r="A11" t="s">
        <v>389</v>
      </c>
      <c r="B11" s="15">
        <v>3000</v>
      </c>
      <c r="C11" s="15">
        <v>7500</v>
      </c>
      <c r="D11" s="15">
        <v>15000</v>
      </c>
      <c r="E11" t="s">
        <v>240</v>
      </c>
    </row>
    <row r="12" spans="1:5" x14ac:dyDescent="0.2">
      <c r="A12" t="s">
        <v>390</v>
      </c>
      <c r="B12" s="10">
        <v>1</v>
      </c>
      <c r="C12" s="10">
        <v>3</v>
      </c>
      <c r="D12" s="10">
        <v>8</v>
      </c>
      <c r="E12" t="s">
        <v>391</v>
      </c>
    </row>
    <row r="13" spans="1:5" x14ac:dyDescent="0.2">
      <c r="A13" t="s">
        <v>392</v>
      </c>
      <c r="B13" s="10">
        <v>0.7</v>
      </c>
      <c r="C13" s="10">
        <v>1</v>
      </c>
      <c r="D13" s="10">
        <v>1.3</v>
      </c>
      <c r="E13" t="s">
        <v>393</v>
      </c>
    </row>
    <row r="16" spans="1:5" x14ac:dyDescent="0.2">
      <c r="A16" s="6" t="s">
        <v>394</v>
      </c>
    </row>
    <row r="17" spans="1:6" ht="13" customHeight="1" x14ac:dyDescent="0.2">
      <c r="A17" s="7" t="s">
        <v>46</v>
      </c>
      <c r="B17" s="31" t="s">
        <v>395</v>
      </c>
      <c r="C17" s="32"/>
      <c r="D17" s="32"/>
      <c r="E17" s="32"/>
      <c r="F17" s="32"/>
    </row>
    <row r="18" spans="1:6" ht="13" customHeight="1" x14ac:dyDescent="0.2">
      <c r="A18" s="7" t="s">
        <v>48</v>
      </c>
      <c r="B18" s="31" t="s">
        <v>396</v>
      </c>
      <c r="C18" s="32"/>
      <c r="D18" s="32"/>
      <c r="E18" s="32"/>
      <c r="F18" s="32"/>
    </row>
    <row r="19" spans="1:6" ht="26" customHeight="1" x14ac:dyDescent="0.2">
      <c r="A19" s="7" t="s">
        <v>50</v>
      </c>
      <c r="B19" s="31" t="s">
        <v>397</v>
      </c>
      <c r="C19" s="32"/>
      <c r="D19" s="32"/>
      <c r="E19" s="32"/>
      <c r="F19" s="32"/>
    </row>
    <row r="20" spans="1:6" ht="13" customHeight="1" x14ac:dyDescent="0.2">
      <c r="A20" s="7" t="s">
        <v>52</v>
      </c>
      <c r="B20" s="31" t="s">
        <v>398</v>
      </c>
      <c r="C20" s="32"/>
      <c r="D20" s="32"/>
      <c r="E20" s="32"/>
      <c r="F20" s="32"/>
    </row>
    <row r="21" spans="1:6" ht="13" customHeight="1" x14ac:dyDescent="0.2">
      <c r="A21" s="7" t="s">
        <v>54</v>
      </c>
      <c r="B21" s="31" t="s">
        <v>399</v>
      </c>
      <c r="C21" s="32"/>
      <c r="D21" s="32"/>
      <c r="E21" s="32"/>
      <c r="F21" s="32"/>
    </row>
    <row r="22" spans="1:6" x14ac:dyDescent="0.2">
      <c r="A22" s="9" t="s">
        <v>383</v>
      </c>
      <c r="B22" s="9" t="s">
        <v>400</v>
      </c>
      <c r="C22" s="9" t="s">
        <v>401</v>
      </c>
      <c r="D22" s="9" t="s">
        <v>384</v>
      </c>
      <c r="E22" s="9" t="s">
        <v>386</v>
      </c>
      <c r="F22" s="9" t="s">
        <v>387</v>
      </c>
    </row>
    <row r="23" spans="1:6" x14ac:dyDescent="0.2">
      <c r="A23" t="s">
        <v>402</v>
      </c>
      <c r="B23" s="10">
        <v>2</v>
      </c>
      <c r="C23" s="10">
        <v>5</v>
      </c>
      <c r="D23" s="10">
        <v>0.05</v>
      </c>
      <c r="E23" s="10">
        <v>0.4</v>
      </c>
      <c r="F23" t="s">
        <v>403</v>
      </c>
    </row>
    <row r="26" spans="1:6" x14ac:dyDescent="0.2">
      <c r="A26" s="6" t="s">
        <v>404</v>
      </c>
    </row>
    <row r="27" spans="1:6" ht="26" customHeight="1" x14ac:dyDescent="0.2">
      <c r="A27" s="7" t="s">
        <v>46</v>
      </c>
      <c r="B27" s="31" t="s">
        <v>405</v>
      </c>
      <c r="C27" s="32"/>
      <c r="D27" s="32"/>
      <c r="E27" s="32"/>
    </row>
    <row r="28" spans="1:6" ht="13" customHeight="1" x14ac:dyDescent="0.2">
      <c r="A28" s="7" t="s">
        <v>48</v>
      </c>
      <c r="B28" s="31" t="s">
        <v>406</v>
      </c>
      <c r="C28" s="32"/>
      <c r="D28" s="32"/>
      <c r="E28" s="32"/>
    </row>
    <row r="29" spans="1:6" ht="52" customHeight="1" x14ac:dyDescent="0.2">
      <c r="A29" s="7" t="s">
        <v>50</v>
      </c>
      <c r="B29" s="31" t="s">
        <v>407</v>
      </c>
      <c r="C29" s="32"/>
      <c r="D29" s="32"/>
      <c r="E29" s="32"/>
    </row>
    <row r="30" spans="1:6" ht="13" customHeight="1" x14ac:dyDescent="0.2">
      <c r="A30" s="7" t="s">
        <v>52</v>
      </c>
      <c r="B30" s="31" t="s">
        <v>408</v>
      </c>
      <c r="C30" s="32"/>
      <c r="D30" s="32"/>
      <c r="E30" s="32"/>
    </row>
    <row r="31" spans="1:6" ht="13" customHeight="1" x14ac:dyDescent="0.2">
      <c r="A31" s="7" t="s">
        <v>54</v>
      </c>
      <c r="B31" s="31" t="s">
        <v>409</v>
      </c>
      <c r="C31" s="32"/>
      <c r="D31" s="32"/>
      <c r="E31" s="32"/>
    </row>
    <row r="32" spans="1:6" x14ac:dyDescent="0.2">
      <c r="A32" s="9" t="s">
        <v>410</v>
      </c>
      <c r="B32" s="9" t="s">
        <v>411</v>
      </c>
      <c r="C32" s="9" t="s">
        <v>65</v>
      </c>
      <c r="D32" s="9" t="s">
        <v>412</v>
      </c>
      <c r="E32" s="9" t="s">
        <v>413</v>
      </c>
    </row>
    <row r="33" spans="1:5" x14ac:dyDescent="0.2">
      <c r="A33" t="s">
        <v>414</v>
      </c>
      <c r="B33" s="15">
        <v>3</v>
      </c>
      <c r="C33" s="15">
        <v>5</v>
      </c>
      <c r="D33" s="15">
        <v>8</v>
      </c>
      <c r="E33" t="s">
        <v>415</v>
      </c>
    </row>
    <row r="34" spans="1:5" x14ac:dyDescent="0.2">
      <c r="A34" t="s">
        <v>416</v>
      </c>
      <c r="B34" s="15">
        <v>10</v>
      </c>
      <c r="C34" s="15">
        <v>20</v>
      </c>
      <c r="D34" s="15">
        <v>30</v>
      </c>
      <c r="E34" t="s">
        <v>417</v>
      </c>
    </row>
    <row r="35" spans="1:5" x14ac:dyDescent="0.2">
      <c r="A35" t="s">
        <v>418</v>
      </c>
      <c r="B35" s="15">
        <v>21</v>
      </c>
      <c r="C35" s="15">
        <v>50</v>
      </c>
      <c r="D35" s="15">
        <v>93</v>
      </c>
      <c r="E35" t="s">
        <v>419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420</v>
      </c>
    </row>
    <row r="3" spans="1:5" x14ac:dyDescent="0.2">
      <c r="A3" s="36" t="s">
        <v>421</v>
      </c>
      <c r="B3" s="34"/>
      <c r="C3" s="34"/>
      <c r="D3" s="34"/>
      <c r="E3" s="35"/>
    </row>
    <row r="4" spans="1:5" ht="135" customHeight="1" x14ac:dyDescent="0.2">
      <c r="A4" s="33" t="s">
        <v>422</v>
      </c>
      <c r="B4" s="34"/>
      <c r="C4" s="34"/>
      <c r="D4" s="34"/>
      <c r="E4" s="35"/>
    </row>
    <row r="6" spans="1:5" x14ac:dyDescent="0.2">
      <c r="A6" s="6" t="s">
        <v>420</v>
      </c>
    </row>
    <row r="7" spans="1:5" ht="26" customHeight="1" x14ac:dyDescent="0.2">
      <c r="A7" s="7" t="s">
        <v>46</v>
      </c>
      <c r="B7" s="31" t="s">
        <v>423</v>
      </c>
      <c r="C7" s="32"/>
      <c r="D7" s="32"/>
      <c r="E7" s="32"/>
    </row>
    <row r="8" spans="1:5" ht="13" customHeight="1" x14ac:dyDescent="0.2">
      <c r="A8" s="7" t="s">
        <v>48</v>
      </c>
      <c r="B8" s="31" t="s">
        <v>424</v>
      </c>
      <c r="C8" s="32"/>
      <c r="D8" s="32"/>
      <c r="E8" s="32"/>
    </row>
    <row r="9" spans="1:5" ht="39" customHeight="1" x14ac:dyDescent="0.2">
      <c r="A9" s="7" t="s">
        <v>50</v>
      </c>
      <c r="B9" s="31" t="s">
        <v>425</v>
      </c>
      <c r="C9" s="32"/>
      <c r="D9" s="32"/>
      <c r="E9" s="32"/>
    </row>
    <row r="10" spans="1:5" ht="13" customHeight="1" x14ac:dyDescent="0.2">
      <c r="A10" s="7" t="s">
        <v>52</v>
      </c>
      <c r="B10" s="31" t="s">
        <v>426</v>
      </c>
      <c r="C10" s="32"/>
      <c r="D10" s="32"/>
      <c r="E10" s="32"/>
    </row>
    <row r="11" spans="1:5" ht="13" customHeight="1" x14ac:dyDescent="0.2">
      <c r="A11" s="7" t="s">
        <v>54</v>
      </c>
      <c r="B11" s="31" t="s">
        <v>427</v>
      </c>
      <c r="C11" s="32"/>
      <c r="D11" s="32"/>
      <c r="E11" s="32"/>
    </row>
    <row r="12" spans="1:5" x14ac:dyDescent="0.2">
      <c r="A12" s="9" t="s">
        <v>428</v>
      </c>
      <c r="B12" s="9" t="s">
        <v>429</v>
      </c>
      <c r="C12" s="9" t="s">
        <v>194</v>
      </c>
      <c r="D12" s="9" t="s">
        <v>430</v>
      </c>
      <c r="E12" s="9" t="s">
        <v>431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432</v>
      </c>
    </row>
    <row r="22" spans="1:5" x14ac:dyDescent="0.2">
      <c r="A22" s="21" t="s">
        <v>433</v>
      </c>
    </row>
    <row r="23" spans="1:5" x14ac:dyDescent="0.2">
      <c r="A23" s="9" t="s">
        <v>434</v>
      </c>
      <c r="B23" s="9" t="s">
        <v>435</v>
      </c>
      <c r="C23" s="9" t="s">
        <v>57</v>
      </c>
      <c r="D23" s="9" t="s">
        <v>182</v>
      </c>
    </row>
    <row r="24" spans="1:5" x14ac:dyDescent="0.2">
      <c r="A24" t="s">
        <v>436</v>
      </c>
      <c r="B24" t="s">
        <v>437</v>
      </c>
      <c r="C24" s="22">
        <f ca="1">Rapid_Phase_Rate*Stoch_TreatmentRate</f>
        <v>0.58267004346849838</v>
      </c>
      <c r="D24" t="s">
        <v>299</v>
      </c>
    </row>
    <row r="25" spans="1:5" x14ac:dyDescent="0.2">
      <c r="A25" t="s">
        <v>438</v>
      </c>
      <c r="B25" t="s">
        <v>439</v>
      </c>
      <c r="C25" s="22">
        <f ca="1">Slow_Phase_Rate*Stoch_TreatmentRate</f>
        <v>0.27162062176726987</v>
      </c>
      <c r="D25" t="s">
        <v>299</v>
      </c>
    </row>
    <row r="26" spans="1:5" x14ac:dyDescent="0.2">
      <c r="A26" t="s">
        <v>440</v>
      </c>
      <c r="B26" t="s">
        <v>441</v>
      </c>
      <c r="C26" s="23">
        <f ca="1">MAX(0,Initial_NAFC-Eff_Rapid_Rate*Rapid_Phase_Duration)</f>
        <v>54.359949347972524</v>
      </c>
      <c r="D26" t="s">
        <v>294</v>
      </c>
    </row>
    <row r="27" spans="1:5" x14ac:dyDescent="0.2">
      <c r="A27" t="s">
        <v>442</v>
      </c>
      <c r="B27" t="s">
        <v>443</v>
      </c>
      <c r="C27" s="24">
        <f ca="1">IF(Initial_NAFC&lt;=Target_NAFC,0,IF(NAFC_After_Rapid&lt;=Target_NAFC,(Initial_NAFC-Target_NAFC)/Eff_Rapid_Rate,Rapid_Phase_Duration+(NAFC_After_Rapid-Target_NAFC)/Eff_Slow_Rate))</f>
        <v>31.051613900317989</v>
      </c>
      <c r="D27" t="s">
        <v>195</v>
      </c>
    </row>
    <row r="28" spans="1:5" x14ac:dyDescent="0.2">
      <c r="A28" t="s">
        <v>444</v>
      </c>
      <c r="B28" t="s">
        <v>445</v>
      </c>
      <c r="C28" s="25">
        <f ca="1">CEILING(Days_to_Compliance/Recirculation_Cycle,1)</f>
        <v>3</v>
      </c>
      <c r="D28" t="s">
        <v>446</v>
      </c>
    </row>
    <row r="29" spans="1:5" x14ac:dyDescent="0.2">
      <c r="A29" t="s">
        <v>447</v>
      </c>
      <c r="B29" t="s">
        <v>448</v>
      </c>
      <c r="C29" s="26">
        <f>(Initial_NAFC-Target_NAFC)/Initial_NAFC</f>
        <v>0.2076069730586371</v>
      </c>
      <c r="D29" t="s">
        <v>403</v>
      </c>
    </row>
    <row r="30" spans="1:5" x14ac:dyDescent="0.2">
      <c r="A30" t="s">
        <v>449</v>
      </c>
      <c r="B30" t="s">
        <v>450</v>
      </c>
      <c r="C30" t="str">
        <f ca="1">IF(Days_to_Compliance&lt;=Season_Length,"ACHIEVABLE","EXCEEDS SEASON")</f>
        <v>ACHIEVABLE</v>
      </c>
      <c r="D30" t="s">
        <v>451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452</v>
      </c>
    </row>
    <row r="2" spans="1:3" x14ac:dyDescent="0.2">
      <c r="A2" s="13" t="s">
        <v>453</v>
      </c>
    </row>
    <row r="4" spans="1:3" x14ac:dyDescent="0.2">
      <c r="A4" s="36" t="s">
        <v>454</v>
      </c>
      <c r="B4" s="34"/>
      <c r="C4" s="35"/>
    </row>
    <row r="5" spans="1:3" ht="195" customHeight="1" x14ac:dyDescent="0.2">
      <c r="A5" s="33" t="s">
        <v>455</v>
      </c>
      <c r="B5" s="34"/>
      <c r="C5" s="35"/>
    </row>
    <row r="7" spans="1:3" x14ac:dyDescent="0.2">
      <c r="A7" s="6" t="s">
        <v>452</v>
      </c>
    </row>
    <row r="8" spans="1:3" ht="39" customHeight="1" x14ac:dyDescent="0.2">
      <c r="A8" s="7" t="s">
        <v>46</v>
      </c>
      <c r="B8" s="31" t="s">
        <v>456</v>
      </c>
      <c r="C8" s="32"/>
    </row>
    <row r="9" spans="1:3" ht="26" customHeight="1" x14ac:dyDescent="0.2">
      <c r="A9" s="7" t="s">
        <v>48</v>
      </c>
      <c r="B9" s="31" t="s">
        <v>457</v>
      </c>
      <c r="C9" s="32"/>
    </row>
    <row r="10" spans="1:3" ht="65" customHeight="1" x14ac:dyDescent="0.2">
      <c r="A10" s="7" t="s">
        <v>50</v>
      </c>
      <c r="B10" s="31" t="s">
        <v>458</v>
      </c>
      <c r="C10" s="32"/>
    </row>
    <row r="11" spans="1:3" ht="26" customHeight="1" x14ac:dyDescent="0.2">
      <c r="A11" s="7" t="s">
        <v>52</v>
      </c>
      <c r="B11" s="31" t="s">
        <v>459</v>
      </c>
      <c r="C11" s="32"/>
    </row>
    <row r="12" spans="1:3" ht="26" customHeight="1" x14ac:dyDescent="0.2">
      <c r="A12" s="7" t="s">
        <v>54</v>
      </c>
      <c r="B12" s="31" t="s">
        <v>460</v>
      </c>
      <c r="C12" s="32"/>
    </row>
    <row r="13" spans="1:3" x14ac:dyDescent="0.2">
      <c r="A13" s="9" t="s">
        <v>383</v>
      </c>
      <c r="B13" s="9" t="s">
        <v>461</v>
      </c>
      <c r="C13" s="9" t="s">
        <v>462</v>
      </c>
    </row>
    <row r="14" spans="1:3" x14ac:dyDescent="0.2">
      <c r="A14" t="s">
        <v>463</v>
      </c>
      <c r="B14">
        <f ca="1">RAND()</f>
        <v>0.86084629480066233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28.603814470435893</v>
      </c>
    </row>
    <row r="15" spans="1:3" x14ac:dyDescent="0.2">
      <c r="A15" t="s">
        <v>464</v>
      </c>
      <c r="B15">
        <f ca="1">RAND()</f>
        <v>0.99457301450272573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14301.123262116498</v>
      </c>
    </row>
    <row r="16" spans="1:3" x14ac:dyDescent="0.2">
      <c r="A16" t="s">
        <v>390</v>
      </c>
      <c r="B16">
        <f ca="1">RAND()</f>
        <v>0.21557942846203371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2.7372714233730067</v>
      </c>
    </row>
    <row r="17" spans="1:3" x14ac:dyDescent="0.2">
      <c r="A17" t="s">
        <v>402</v>
      </c>
      <c r="B17">
        <f ca="1">RAND()</f>
        <v>0.51657889254842126</v>
      </c>
      <c r="C17">
        <f ca="1">Beta_Efficiency_Gain_Min+(Beta_Efficiency_Gain_Max-Beta_Efficiency_Gain_Min)*B17</f>
        <v>0.23080261239194744</v>
      </c>
    </row>
    <row r="18" spans="1:3" x14ac:dyDescent="0.2">
      <c r="A18" t="s">
        <v>392</v>
      </c>
      <c r="B18">
        <f ca="1">RAND()</f>
        <v>0.76708423176607621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1.0952444426099592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465</v>
      </c>
    </row>
    <row r="3" spans="1:5" x14ac:dyDescent="0.2">
      <c r="A3" s="36" t="s">
        <v>466</v>
      </c>
      <c r="B3" s="34"/>
      <c r="C3" s="34"/>
      <c r="D3" s="34"/>
      <c r="E3" s="35"/>
    </row>
    <row r="4" spans="1:5" ht="225" customHeight="1" x14ac:dyDescent="0.2">
      <c r="A4" s="33" t="s">
        <v>467</v>
      </c>
      <c r="B4" s="34"/>
      <c r="C4" s="34"/>
      <c r="D4" s="34"/>
      <c r="E4" s="35"/>
    </row>
    <row r="6" spans="1:5" x14ac:dyDescent="0.2">
      <c r="A6" s="6" t="s">
        <v>465</v>
      </c>
    </row>
    <row r="7" spans="1:5" ht="13" customHeight="1" x14ac:dyDescent="0.2">
      <c r="A7" s="7" t="s">
        <v>46</v>
      </c>
      <c r="B7" s="31" t="s">
        <v>468</v>
      </c>
      <c r="C7" s="32"/>
      <c r="D7" s="32"/>
      <c r="E7" s="32"/>
    </row>
    <row r="8" spans="1:5" ht="26" customHeight="1" x14ac:dyDescent="0.2">
      <c r="A8" s="7" t="s">
        <v>48</v>
      </c>
      <c r="B8" s="31" t="s">
        <v>469</v>
      </c>
      <c r="C8" s="32"/>
      <c r="D8" s="32"/>
      <c r="E8" s="32"/>
    </row>
    <row r="9" spans="1:5" ht="52" customHeight="1" x14ac:dyDescent="0.2">
      <c r="A9" s="7" t="s">
        <v>50</v>
      </c>
      <c r="B9" s="31" t="s">
        <v>470</v>
      </c>
      <c r="C9" s="32"/>
      <c r="D9" s="32"/>
      <c r="E9" s="32"/>
    </row>
    <row r="10" spans="1:5" ht="13" customHeight="1" x14ac:dyDescent="0.2">
      <c r="A10" s="7" t="s">
        <v>52</v>
      </c>
      <c r="B10" s="31" t="s">
        <v>471</v>
      </c>
      <c r="C10" s="32"/>
      <c r="D10" s="32"/>
      <c r="E10" s="32"/>
    </row>
    <row r="11" spans="1:5" ht="13" customHeight="1" x14ac:dyDescent="0.2">
      <c r="A11" s="7" t="s">
        <v>54</v>
      </c>
      <c r="B11" s="31" t="s">
        <v>472</v>
      </c>
      <c r="C11" s="32"/>
      <c r="D11" s="32"/>
      <c r="E11" s="32"/>
    </row>
    <row r="12" spans="1:5" x14ac:dyDescent="0.2">
      <c r="A12" s="9" t="s">
        <v>93</v>
      </c>
      <c r="B12" s="9" t="s">
        <v>335</v>
      </c>
      <c r="C12" s="9" t="s">
        <v>473</v>
      </c>
      <c r="D12" s="9" t="s">
        <v>474</v>
      </c>
      <c r="E12" s="9" t="s">
        <v>475</v>
      </c>
    </row>
    <row r="13" spans="1:5" x14ac:dyDescent="0.2">
      <c r="A13" t="s">
        <v>476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1.36208640335409</v>
      </c>
      <c r="E13">
        <f ca="1">IF(C13="ENABLED",B13*D13,0)</f>
        <v>141656.98594882537</v>
      </c>
    </row>
    <row r="14" spans="1:5" x14ac:dyDescent="0.2">
      <c r="A14" t="s">
        <v>477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0.91242380779100218</v>
      </c>
      <c r="E14">
        <f ca="1">IF(C14="ENABLED",B14*D14,0)</f>
        <v>61588.607025892648</v>
      </c>
    </row>
    <row r="15" spans="1:5" x14ac:dyDescent="0.2">
      <c r="A15" t="s">
        <v>478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1.5386840826129831</v>
      </c>
      <c r="E15">
        <f ca="1">IF(C15="ENABLED",B15*D15,0)</f>
        <v>120017.35844381269</v>
      </c>
    </row>
    <row r="16" spans="1:5" x14ac:dyDescent="0.2">
      <c r="A16" t="s">
        <v>479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1.2308026123919475</v>
      </c>
      <c r="E16">
        <f ca="1">IF(C16="ENABLED",B16*D16,0)</f>
        <v>44308.894046110108</v>
      </c>
    </row>
    <row r="18" spans="1:5" x14ac:dyDescent="0.2">
      <c r="A18" s="12" t="s">
        <v>480</v>
      </c>
      <c r="E18" s="16">
        <f ca="1">SUM(E13:E16)</f>
        <v>367571.84546464082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481</v>
      </c>
    </row>
    <row r="3" spans="1:3" x14ac:dyDescent="0.2">
      <c r="A3" s="36" t="s">
        <v>482</v>
      </c>
      <c r="B3" s="34"/>
      <c r="C3" s="35"/>
    </row>
    <row r="4" spans="1:3" ht="195" customHeight="1" x14ac:dyDescent="0.2">
      <c r="A4" s="33" t="s">
        <v>483</v>
      </c>
      <c r="B4" s="34"/>
      <c r="C4" s="35"/>
    </row>
    <row r="6" spans="1:3" x14ac:dyDescent="0.2">
      <c r="A6" s="6" t="s">
        <v>484</v>
      </c>
    </row>
    <row r="7" spans="1:3" ht="26" customHeight="1" x14ac:dyDescent="0.2">
      <c r="A7" s="7" t="s">
        <v>46</v>
      </c>
      <c r="B7" s="31" t="s">
        <v>485</v>
      </c>
      <c r="C7" s="32"/>
    </row>
    <row r="8" spans="1:3" ht="26" customHeight="1" x14ac:dyDescent="0.2">
      <c r="A8" s="7" t="s">
        <v>48</v>
      </c>
      <c r="B8" s="31" t="s">
        <v>486</v>
      </c>
      <c r="C8" s="32"/>
    </row>
    <row r="9" spans="1:3" ht="52" customHeight="1" x14ac:dyDescent="0.2">
      <c r="A9" s="7" t="s">
        <v>50</v>
      </c>
      <c r="B9" s="31" t="s">
        <v>487</v>
      </c>
      <c r="C9" s="32"/>
    </row>
    <row r="10" spans="1:3" ht="26" customHeight="1" x14ac:dyDescent="0.2">
      <c r="A10" s="7" t="s">
        <v>52</v>
      </c>
      <c r="B10" s="31" t="s">
        <v>488</v>
      </c>
      <c r="C10" s="32"/>
    </row>
    <row r="11" spans="1:3" ht="26" customHeight="1" x14ac:dyDescent="0.2">
      <c r="A11" s="7" t="s">
        <v>54</v>
      </c>
      <c r="B11" s="31" t="s">
        <v>489</v>
      </c>
      <c r="C11" s="32"/>
    </row>
    <row r="12" spans="1:3" x14ac:dyDescent="0.2">
      <c r="A12" s="9" t="s">
        <v>490</v>
      </c>
      <c r="B12" s="9" t="s">
        <v>435</v>
      </c>
      <c r="C12" s="9" t="s">
        <v>57</v>
      </c>
    </row>
    <row r="13" spans="1:3" x14ac:dyDescent="0.2">
      <c r="A13" t="s">
        <v>491</v>
      </c>
      <c r="B13" t="s">
        <v>60</v>
      </c>
      <c r="C13" t="str">
        <f>Testing_Option</f>
        <v>Daily_Biosensor</v>
      </c>
    </row>
    <row r="14" spans="1:3" x14ac:dyDescent="0.2">
      <c r="A14" t="s">
        <v>492</v>
      </c>
      <c r="B14" t="s">
        <v>493</v>
      </c>
      <c r="C14">
        <f>INDEX(TestOpt_Interval,MATCH(Testing_Option,TestOpt_Option,0))</f>
        <v>1</v>
      </c>
    </row>
    <row r="15" spans="1:3" x14ac:dyDescent="0.2">
      <c r="A15" t="s">
        <v>494</v>
      </c>
      <c r="B15" t="s">
        <v>493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493</v>
      </c>
      <c r="C16" s="16">
        <f>INDEX(TestOpt_Cost,MATCH(Testing_Option,TestOpt_Option,0))</f>
        <v>10</v>
      </c>
    </row>
    <row r="17" spans="1:3" x14ac:dyDescent="0.2">
      <c r="A17" t="s">
        <v>495</v>
      </c>
      <c r="B17" t="s">
        <v>496</v>
      </c>
      <c r="C17">
        <f>Season_Length/C14</f>
        <v>100</v>
      </c>
    </row>
    <row r="18" spans="1:3" x14ac:dyDescent="0.2">
      <c r="A18" t="s">
        <v>497</v>
      </c>
      <c r="B18" t="s">
        <v>498</v>
      </c>
      <c r="C18">
        <f>C17*C15</f>
        <v>1000</v>
      </c>
    </row>
    <row r="19" spans="1:3" x14ac:dyDescent="0.2">
      <c r="A19" t="s">
        <v>499</v>
      </c>
      <c r="B19" t="s">
        <v>500</v>
      </c>
      <c r="C19" s="27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O1023"/>
  <sheetViews>
    <sheetView tabSelected="1" topLeftCell="A3" zoomScale="120" zoomScaleNormal="120" workbookViewId="0">
      <selection activeCell="A5" sqref="A5:I1005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15" ht="21" x14ac:dyDescent="0.25">
      <c r="A1" s="5" t="s">
        <v>501</v>
      </c>
      <c r="L1" s="36" t="s">
        <v>502</v>
      </c>
      <c r="M1" s="34"/>
      <c r="N1" s="34"/>
      <c r="O1" s="35"/>
    </row>
    <row r="2" spans="1:15" ht="360" customHeight="1" x14ac:dyDescent="0.2">
      <c r="A2" s="13" t="s">
        <v>503</v>
      </c>
      <c r="L2" s="33" t="s">
        <v>504</v>
      </c>
      <c r="M2" s="34"/>
      <c r="N2" s="34"/>
      <c r="O2" s="35"/>
    </row>
    <row r="3" spans="1:15" x14ac:dyDescent="0.2">
      <c r="A3" s="13" t="s">
        <v>505</v>
      </c>
    </row>
    <row r="4" spans="1:15" x14ac:dyDescent="0.2">
      <c r="A4" s="12" t="s">
        <v>506</v>
      </c>
      <c r="B4" s="12" t="s">
        <v>113</v>
      </c>
      <c r="C4" s="12" t="s">
        <v>337</v>
      </c>
      <c r="D4" s="12" t="s">
        <v>340</v>
      </c>
      <c r="E4" s="12" t="s">
        <v>343</v>
      </c>
      <c r="F4" s="12" t="s">
        <v>346</v>
      </c>
      <c r="G4" s="12" t="s">
        <v>507</v>
      </c>
      <c r="H4" s="12" t="s">
        <v>508</v>
      </c>
      <c r="I4" s="12" t="s">
        <v>442</v>
      </c>
    </row>
    <row r="5" spans="1:15" x14ac:dyDescent="0.2">
      <c r="B5" s="16">
        <f ca="1">NPV_Total</f>
        <v>1297659.0460541232</v>
      </c>
      <c r="C5" s="16">
        <f ca="1">S1_Value</f>
        <v>141656.98594882537</v>
      </c>
      <c r="D5" s="16">
        <f ca="1">S2_Value</f>
        <v>61588.607025892648</v>
      </c>
      <c r="E5" s="16">
        <f ca="1">S3_Value</f>
        <v>120017.35844381269</v>
      </c>
      <c r="F5" s="16">
        <f ca="1">S4_Value</f>
        <v>44308.894046110108</v>
      </c>
      <c r="G5" s="16">
        <f>Testing_Cost</f>
        <v>10000</v>
      </c>
      <c r="H5" s="16">
        <f ca="1">Gross_Value-Testing_Cost</f>
        <v>357571.84546464082</v>
      </c>
      <c r="I5" s="24">
        <f ca="1">Days_to_Compliance</f>
        <v>31.051613900317989</v>
      </c>
    </row>
    <row r="6" spans="1:15" x14ac:dyDescent="0.2">
      <c r="A6">
        <v>1</v>
      </c>
      <c r="B6">
        <f t="dataTable" ref="B6:I1005" dt2D="0" dtr="0" r1="L16" ca="1"/>
        <v>1494673.7674066303</v>
      </c>
      <c r="C6">
        <v>119787.86478672797</v>
      </c>
      <c r="D6">
        <v>111356.92299468321</v>
      </c>
      <c r="E6">
        <v>144423.00695806523</v>
      </c>
      <c r="F6">
        <v>45998.515866327587</v>
      </c>
      <c r="G6">
        <v>10000</v>
      </c>
      <c r="H6">
        <v>411566.31060580397</v>
      </c>
      <c r="I6">
        <v>24.041247672615881</v>
      </c>
    </row>
    <row r="7" spans="1:15" x14ac:dyDescent="0.2">
      <c r="A7">
        <v>2</v>
      </c>
      <c r="B7">
        <v>1452843.116406109</v>
      </c>
      <c r="C7">
        <v>130428.39061937561</v>
      </c>
      <c r="D7">
        <v>57054.108238498076</v>
      </c>
      <c r="E7">
        <v>174536.29212647982</v>
      </c>
      <c r="F7">
        <v>48083.281762602448</v>
      </c>
      <c r="G7">
        <v>10000</v>
      </c>
      <c r="H7">
        <v>400102.07274695596</v>
      </c>
      <c r="I7">
        <v>45.954085446753126</v>
      </c>
    </row>
    <row r="8" spans="1:15" x14ac:dyDescent="0.2">
      <c r="A8">
        <v>3</v>
      </c>
      <c r="B8">
        <v>1145158.4942006613</v>
      </c>
      <c r="C8">
        <v>120797.29136274959</v>
      </c>
      <c r="D8">
        <v>73024.150537557347</v>
      </c>
      <c r="E8">
        <v>89742.67523911607</v>
      </c>
      <c r="F8">
        <v>42212.95443963111</v>
      </c>
      <c r="G8">
        <v>10000</v>
      </c>
      <c r="H8">
        <v>315777.07157905411</v>
      </c>
      <c r="I8">
        <v>44.507532850407998</v>
      </c>
    </row>
    <row r="9" spans="1:15" x14ac:dyDescent="0.2">
      <c r="A9">
        <v>4</v>
      </c>
      <c r="B9">
        <v>1089153.4899395895</v>
      </c>
      <c r="C9">
        <v>103872.0195857365</v>
      </c>
      <c r="D9">
        <v>76803.760814535723</v>
      </c>
      <c r="E9">
        <v>87682.087751976185</v>
      </c>
      <c r="F9">
        <v>42070.298382829125</v>
      </c>
      <c r="G9">
        <v>10000</v>
      </c>
      <c r="H9">
        <v>300428.16653507756</v>
      </c>
      <c r="I9">
        <v>49.524916773272665</v>
      </c>
    </row>
    <row r="10" spans="1:15" x14ac:dyDescent="0.2">
      <c r="A10">
        <v>5</v>
      </c>
      <c r="B10">
        <v>947321.45165118005</v>
      </c>
      <c r="C10">
        <v>135623.92078411049</v>
      </c>
      <c r="D10">
        <v>64006.956298443729</v>
      </c>
      <c r="E10">
        <v>33600.194170732662</v>
      </c>
      <c r="F10">
        <v>38326.167288743025</v>
      </c>
      <c r="G10">
        <v>10000</v>
      </c>
      <c r="H10">
        <v>261557.23854202993</v>
      </c>
      <c r="I10">
        <v>41.932200257762716</v>
      </c>
    </row>
    <row r="11" spans="1:15" x14ac:dyDescent="0.2">
      <c r="A11">
        <v>6</v>
      </c>
      <c r="B11">
        <v>1313855.5970959305</v>
      </c>
      <c r="C11">
        <v>99304.692280635179</v>
      </c>
      <c r="D11">
        <v>69568.816252895253</v>
      </c>
      <c r="E11">
        <v>156315.37991354839</v>
      </c>
      <c r="F11">
        <v>46821.833994014894</v>
      </c>
      <c r="G11">
        <v>10000</v>
      </c>
      <c r="H11">
        <v>362010.72244109371</v>
      </c>
      <c r="I11">
        <v>32.901320643870712</v>
      </c>
    </row>
    <row r="12" spans="1:15" x14ac:dyDescent="0.2">
      <c r="A12">
        <v>7</v>
      </c>
      <c r="B12">
        <v>1695308.4377601345</v>
      </c>
      <c r="C12">
        <v>128480.52981289635</v>
      </c>
      <c r="D12">
        <v>125465.18934136731</v>
      </c>
      <c r="E12">
        <v>174524.67363005888</v>
      </c>
      <c r="F12">
        <v>48082.477405157922</v>
      </c>
      <c r="G12">
        <v>10000</v>
      </c>
      <c r="H12">
        <v>466552.87018948048</v>
      </c>
      <c r="I12">
        <v>24.455985121346515</v>
      </c>
    </row>
    <row r="13" spans="1:15" x14ac:dyDescent="0.2">
      <c r="A13">
        <v>8</v>
      </c>
      <c r="B13">
        <v>750715.59834742034</v>
      </c>
      <c r="C13">
        <v>88985.884789103962</v>
      </c>
      <c r="D13">
        <v>38130.33193184324</v>
      </c>
      <c r="E13">
        <v>51026.040303548223</v>
      </c>
      <c r="F13">
        <v>39532.572021014879</v>
      </c>
      <c r="G13">
        <v>10000</v>
      </c>
      <c r="H13">
        <v>207674.8290455103</v>
      </c>
      <c r="I13">
        <v>28.004321326775582</v>
      </c>
    </row>
    <row r="14" spans="1:15" x14ac:dyDescent="0.2">
      <c r="A14">
        <v>9</v>
      </c>
      <c r="B14">
        <v>1130579.1192787255</v>
      </c>
      <c r="C14">
        <v>97323.014670756485</v>
      </c>
      <c r="D14">
        <v>60742.956113309367</v>
      </c>
      <c r="E14">
        <v>119446.08759242811</v>
      </c>
      <c r="F14">
        <v>44269.34452562964</v>
      </c>
      <c r="G14">
        <v>10000</v>
      </c>
      <c r="H14">
        <v>311781.40290212363</v>
      </c>
      <c r="I14">
        <v>37.167837068377125</v>
      </c>
    </row>
    <row r="15" spans="1:15" x14ac:dyDescent="0.2">
      <c r="A15">
        <v>10</v>
      </c>
      <c r="B15">
        <v>998201.16456978745</v>
      </c>
      <c r="C15">
        <v>118187.67408584844</v>
      </c>
      <c r="D15">
        <v>100426.82243650415</v>
      </c>
      <c r="E15">
        <v>28887.116534959714</v>
      </c>
      <c r="F15">
        <v>37999.877298574131</v>
      </c>
      <c r="G15">
        <v>10000</v>
      </c>
      <c r="H15">
        <v>275501.49035588646</v>
      </c>
      <c r="I15">
        <v>39.617918425016256</v>
      </c>
    </row>
    <row r="16" spans="1:15" x14ac:dyDescent="0.2">
      <c r="A16">
        <v>11</v>
      </c>
      <c r="B16">
        <v>1709396.3741107085</v>
      </c>
      <c r="C16">
        <v>157256.12436162756</v>
      </c>
      <c r="D16">
        <v>118744.93202477873</v>
      </c>
      <c r="E16">
        <v>157508.37157743139</v>
      </c>
      <c r="F16">
        <v>46904.425724591405</v>
      </c>
      <c r="G16">
        <v>10000</v>
      </c>
      <c r="H16">
        <v>470413.85368842911</v>
      </c>
      <c r="I16">
        <v>31.417091889853342</v>
      </c>
    </row>
    <row r="17" spans="1:9" x14ac:dyDescent="0.2">
      <c r="A17">
        <v>12</v>
      </c>
      <c r="B17">
        <v>1382631.0397023391</v>
      </c>
      <c r="C17">
        <v>137128.14877009601</v>
      </c>
      <c r="D17">
        <v>114978.74668965141</v>
      </c>
      <c r="E17">
        <v>96099.589438078299</v>
      </c>
      <c r="F17">
        <v>42653.048499559271</v>
      </c>
      <c r="G17">
        <v>10000</v>
      </c>
      <c r="H17">
        <v>380859.53339738498</v>
      </c>
      <c r="I17">
        <v>30.044727547307474</v>
      </c>
    </row>
    <row r="18" spans="1:9" x14ac:dyDescent="0.2">
      <c r="A18">
        <v>13</v>
      </c>
      <c r="B18">
        <v>1256632.6044772733</v>
      </c>
      <c r="C18">
        <v>136146.38341218166</v>
      </c>
      <c r="D18">
        <v>121237.19447745143</v>
      </c>
      <c r="E18">
        <v>58868.894961355516</v>
      </c>
      <c r="F18">
        <v>40075.538881939996</v>
      </c>
      <c r="G18">
        <v>10000</v>
      </c>
      <c r="H18">
        <v>346328.01173292863</v>
      </c>
      <c r="I18">
        <v>34.709289284682328</v>
      </c>
    </row>
    <row r="19" spans="1:9" x14ac:dyDescent="0.2">
      <c r="A19">
        <v>14</v>
      </c>
      <c r="B19">
        <v>1148421.853211327</v>
      </c>
      <c r="C19">
        <v>100985.92150718905</v>
      </c>
      <c r="D19">
        <v>53937.79379544907</v>
      </c>
      <c r="E19">
        <v>126958.30167575589</v>
      </c>
      <c r="F19">
        <v>44789.420885244639</v>
      </c>
      <c r="G19">
        <v>10000</v>
      </c>
      <c r="H19">
        <v>316671.43786363862</v>
      </c>
      <c r="I19">
        <v>37.947765896313683</v>
      </c>
    </row>
    <row r="20" spans="1:9" x14ac:dyDescent="0.2">
      <c r="A20">
        <v>15</v>
      </c>
      <c r="B20">
        <v>1183443.6880451215</v>
      </c>
      <c r="C20">
        <v>87934.452159413777</v>
      </c>
      <c r="D20">
        <v>137852.88849603222</v>
      </c>
      <c r="E20">
        <v>69659.695501863316</v>
      </c>
      <c r="F20">
        <v>40822.594303975151</v>
      </c>
      <c r="G20">
        <v>10000</v>
      </c>
      <c r="H20">
        <v>326269.63046128448</v>
      </c>
      <c r="I20">
        <v>32.124066756234228</v>
      </c>
    </row>
    <row r="21" spans="1:9" x14ac:dyDescent="0.2">
      <c r="A21">
        <v>16</v>
      </c>
      <c r="B21">
        <v>1375397.7050885425</v>
      </c>
      <c r="C21">
        <v>101082.27480225197</v>
      </c>
      <c r="D21">
        <v>70041.848867197172</v>
      </c>
      <c r="E21">
        <v>169984.83849859482</v>
      </c>
      <c r="F21">
        <v>47768.181126825795</v>
      </c>
      <c r="G21">
        <v>10000</v>
      </c>
      <c r="H21">
        <v>378877.14329486975</v>
      </c>
      <c r="I21">
        <v>39.3218134863654</v>
      </c>
    </row>
    <row r="22" spans="1:9" x14ac:dyDescent="0.2">
      <c r="A22">
        <v>17</v>
      </c>
      <c r="B22">
        <v>937387.47912813525</v>
      </c>
      <c r="C22">
        <v>92412.592831702656</v>
      </c>
      <c r="D22">
        <v>77880.482356480221</v>
      </c>
      <c r="E22">
        <v>58492.170124168835</v>
      </c>
      <c r="F22">
        <v>40049.457931673227</v>
      </c>
      <c r="G22">
        <v>10000</v>
      </c>
      <c r="H22">
        <v>258834.70324402495</v>
      </c>
      <c r="I22">
        <v>38.668458982210154</v>
      </c>
    </row>
    <row r="23" spans="1:9" x14ac:dyDescent="0.2">
      <c r="A23">
        <v>18</v>
      </c>
      <c r="B23">
        <v>1508571.396099152</v>
      </c>
      <c r="C23">
        <v>99494.183316826427</v>
      </c>
      <c r="D23">
        <v>103718.42994653129</v>
      </c>
      <c r="E23">
        <v>174108.83589586444</v>
      </c>
      <c r="F23">
        <v>48053.688638944463</v>
      </c>
      <c r="G23">
        <v>10000</v>
      </c>
      <c r="H23">
        <v>415375.13779816666</v>
      </c>
      <c r="I23">
        <v>36.186520722206055</v>
      </c>
    </row>
    <row r="24" spans="1:9" x14ac:dyDescent="0.2">
      <c r="A24">
        <v>19</v>
      </c>
      <c r="B24">
        <v>1597784.63339489</v>
      </c>
      <c r="C24">
        <v>121401.6684429232</v>
      </c>
      <c r="D24">
        <v>125295.82218662802</v>
      </c>
      <c r="E24">
        <v>156306.48526932354</v>
      </c>
      <c r="F24">
        <v>46821.218210953164</v>
      </c>
      <c r="G24">
        <v>10000</v>
      </c>
      <c r="H24">
        <v>439825.19410982798</v>
      </c>
      <c r="I24">
        <v>27.509588843681769</v>
      </c>
    </row>
    <row r="25" spans="1:9" x14ac:dyDescent="0.2">
      <c r="A25">
        <v>20</v>
      </c>
      <c r="B25">
        <v>1284910.6260209116</v>
      </c>
      <c r="C25">
        <v>130187.18780657841</v>
      </c>
      <c r="D25">
        <v>107270.29730555236</v>
      </c>
      <c r="E25">
        <v>84752.975180701455</v>
      </c>
      <c r="F25">
        <v>41867.513666356252</v>
      </c>
      <c r="G25">
        <v>10000</v>
      </c>
      <c r="H25">
        <v>354077.9739591885</v>
      </c>
      <c r="I25">
        <v>38.75281175111629</v>
      </c>
    </row>
    <row r="26" spans="1:9" x14ac:dyDescent="0.2">
      <c r="A26">
        <v>21</v>
      </c>
      <c r="B26">
        <v>1482995.9812979663</v>
      </c>
      <c r="C26">
        <v>106095.88823858107</v>
      </c>
      <c r="D26">
        <v>74630.832583184863</v>
      </c>
      <c r="E26">
        <v>188583.36790590567</v>
      </c>
      <c r="F26">
        <v>49055.771624255009</v>
      </c>
      <c r="G26">
        <v>10000</v>
      </c>
      <c r="H26">
        <v>408365.86035192665</v>
      </c>
      <c r="I26">
        <v>42.639745609038371</v>
      </c>
    </row>
    <row r="27" spans="1:9" x14ac:dyDescent="0.2">
      <c r="A27">
        <v>22</v>
      </c>
      <c r="B27">
        <v>1638614.8904446783</v>
      </c>
      <c r="C27">
        <v>87763.783077591332</v>
      </c>
      <c r="D27">
        <v>120911.97336890415</v>
      </c>
      <c r="E27">
        <v>202331.91064185675</v>
      </c>
      <c r="F27">
        <v>50007.593813667001</v>
      </c>
      <c r="G27">
        <v>10000</v>
      </c>
      <c r="H27">
        <v>451015.26090201928</v>
      </c>
      <c r="I27">
        <v>37.604793427773551</v>
      </c>
    </row>
    <row r="28" spans="1:9" x14ac:dyDescent="0.2">
      <c r="A28">
        <v>23</v>
      </c>
      <c r="B28">
        <v>1252348.1284598182</v>
      </c>
      <c r="C28">
        <v>162498.49963869373</v>
      </c>
      <c r="D28">
        <v>90388.252948015157</v>
      </c>
      <c r="E28">
        <v>61976.370561878844</v>
      </c>
      <c r="F28">
        <v>40290.671808130079</v>
      </c>
      <c r="G28">
        <v>10000</v>
      </c>
      <c r="H28">
        <v>345153.79495671776</v>
      </c>
      <c r="I28">
        <v>37.35351772604875</v>
      </c>
    </row>
    <row r="29" spans="1:9" x14ac:dyDescent="0.2">
      <c r="A29">
        <v>24</v>
      </c>
      <c r="B29">
        <v>1086772.200303525</v>
      </c>
      <c r="C29">
        <v>108082.68808817802</v>
      </c>
      <c r="D29">
        <v>58221.691722986965</v>
      </c>
      <c r="E29">
        <v>100512.59858827702</v>
      </c>
      <c r="F29">
        <v>42958.564517649953</v>
      </c>
      <c r="G29">
        <v>10000</v>
      </c>
      <c r="H29">
        <v>299775.54291709192</v>
      </c>
      <c r="I29">
        <v>39.148163649970705</v>
      </c>
    </row>
    <row r="30" spans="1:9" x14ac:dyDescent="0.2">
      <c r="A30">
        <v>25</v>
      </c>
      <c r="B30">
        <v>1359752.4383686944</v>
      </c>
      <c r="C30">
        <v>82823.911431513494</v>
      </c>
      <c r="D30">
        <v>54615.07685139883</v>
      </c>
      <c r="E30">
        <v>197478.7583762499</v>
      </c>
      <c r="F30">
        <v>49671.606349124988</v>
      </c>
      <c r="G30">
        <v>10000</v>
      </c>
      <c r="H30">
        <v>374589.3530082872</v>
      </c>
      <c r="I30">
        <v>47.82107884690393</v>
      </c>
    </row>
    <row r="31" spans="1:9" x14ac:dyDescent="0.2">
      <c r="A31">
        <v>26</v>
      </c>
      <c r="B31">
        <v>1298807.6707638931</v>
      </c>
      <c r="C31">
        <v>97384.408559929405</v>
      </c>
      <c r="D31">
        <v>54714.947960576465</v>
      </c>
      <c r="E31">
        <v>168146.38127311642</v>
      </c>
      <c r="F31">
        <v>47640.903318908058</v>
      </c>
      <c r="G31">
        <v>10000</v>
      </c>
      <c r="H31">
        <v>357886.64111253037</v>
      </c>
      <c r="I31">
        <v>41.029600267509117</v>
      </c>
    </row>
    <row r="32" spans="1:9" x14ac:dyDescent="0.2">
      <c r="A32">
        <v>27</v>
      </c>
      <c r="B32">
        <v>1415989.5782751334</v>
      </c>
      <c r="C32">
        <v>121266.70535678169</v>
      </c>
      <c r="D32">
        <v>47563.40788304872</v>
      </c>
      <c r="E32">
        <v>182534.74389562465</v>
      </c>
      <c r="F32">
        <v>48637.020731235549</v>
      </c>
      <c r="G32">
        <v>10000</v>
      </c>
      <c r="H32">
        <v>390001.87786669063</v>
      </c>
      <c r="I32">
        <v>36.666707748509992</v>
      </c>
    </row>
    <row r="33" spans="1:9" x14ac:dyDescent="0.2">
      <c r="A33">
        <v>28</v>
      </c>
      <c r="B33">
        <v>908123.8814476612</v>
      </c>
      <c r="C33">
        <v>122318.99662141447</v>
      </c>
      <c r="D33">
        <v>68766.501659017187</v>
      </c>
      <c r="E33">
        <v>31545.232009123542</v>
      </c>
      <c r="F33">
        <v>38183.90067755471</v>
      </c>
      <c r="G33">
        <v>10000</v>
      </c>
      <c r="H33">
        <v>250814.63096710993</v>
      </c>
      <c r="I33">
        <v>24.97781620495466</v>
      </c>
    </row>
    <row r="34" spans="1:9" x14ac:dyDescent="0.2">
      <c r="A34">
        <v>29</v>
      </c>
      <c r="B34">
        <v>1044546.2352323917</v>
      </c>
      <c r="C34">
        <v>93056.775613419275</v>
      </c>
      <c r="D34">
        <v>79956.903681854645</v>
      </c>
      <c r="E34">
        <v>83414.438987522764</v>
      </c>
      <c r="F34">
        <v>41774.845776059272</v>
      </c>
      <c r="G34">
        <v>10000</v>
      </c>
      <c r="H34">
        <v>288202.96405885596</v>
      </c>
      <c r="I34">
        <v>36.150263514168302</v>
      </c>
    </row>
    <row r="35" spans="1:9" x14ac:dyDescent="0.2">
      <c r="A35">
        <v>30</v>
      </c>
      <c r="B35">
        <v>1304989.9969068337</v>
      </c>
      <c r="C35">
        <v>131838.71341444348</v>
      </c>
      <c r="D35">
        <v>114381.90880511733</v>
      </c>
      <c r="E35">
        <v>81703.939757946704</v>
      </c>
      <c r="F35">
        <v>41656.426598627077</v>
      </c>
      <c r="G35">
        <v>10000</v>
      </c>
      <c r="H35">
        <v>359580.98857613461</v>
      </c>
      <c r="I35">
        <v>35.436544011975741</v>
      </c>
    </row>
    <row r="36" spans="1:9" x14ac:dyDescent="0.2">
      <c r="A36">
        <v>31</v>
      </c>
      <c r="B36">
        <v>1691282.6562263207</v>
      </c>
      <c r="C36">
        <v>161082.30040289441</v>
      </c>
      <c r="D36">
        <v>80691.589071496113</v>
      </c>
      <c r="E36">
        <v>184876.5189324375</v>
      </c>
      <c r="F36">
        <v>48799.143618399517</v>
      </c>
      <c r="G36">
        <v>10000</v>
      </c>
      <c r="H36">
        <v>465449.55202522757</v>
      </c>
      <c r="I36">
        <v>36.479402450893474</v>
      </c>
    </row>
    <row r="37" spans="1:9" x14ac:dyDescent="0.2">
      <c r="A37">
        <v>32</v>
      </c>
      <c r="B37">
        <v>1510837.8165385679</v>
      </c>
      <c r="C37">
        <v>124970.74610787584</v>
      </c>
      <c r="D37">
        <v>75971.702584254992</v>
      </c>
      <c r="E37">
        <v>176812.93576314126</v>
      </c>
      <c r="F37">
        <v>48240.895552832852</v>
      </c>
      <c r="G37">
        <v>10000</v>
      </c>
      <c r="H37">
        <v>415996.28000810498</v>
      </c>
      <c r="I37">
        <v>34.470571303829814</v>
      </c>
    </row>
    <row r="38" spans="1:9" x14ac:dyDescent="0.2">
      <c r="A38">
        <v>33</v>
      </c>
      <c r="B38">
        <v>1334046.9716676269</v>
      </c>
      <c r="C38">
        <v>108766.29638468212</v>
      </c>
      <c r="D38">
        <v>60137.792884449162</v>
      </c>
      <c r="E38">
        <v>161462.19210504604</v>
      </c>
      <c r="F38">
        <v>47178.151761118577</v>
      </c>
      <c r="G38">
        <v>10000</v>
      </c>
      <c r="H38">
        <v>367544.43313529587</v>
      </c>
      <c r="I38">
        <v>40.756051115633767</v>
      </c>
    </row>
    <row r="39" spans="1:9" x14ac:dyDescent="0.2">
      <c r="A39">
        <v>34</v>
      </c>
      <c r="B39">
        <v>1369376.3875141966</v>
      </c>
      <c r="C39">
        <v>87732.811158542769</v>
      </c>
      <c r="D39">
        <v>135877.3390633784</v>
      </c>
      <c r="E39">
        <v>119353.81564868131</v>
      </c>
      <c r="F39">
        <v>44262.956467985634</v>
      </c>
      <c r="G39">
        <v>10000</v>
      </c>
      <c r="H39">
        <v>377226.92233858811</v>
      </c>
      <c r="I39">
        <v>28.273882491985681</v>
      </c>
    </row>
    <row r="40" spans="1:9" x14ac:dyDescent="0.2">
      <c r="A40">
        <v>35</v>
      </c>
      <c r="B40">
        <v>875167.26784156659</v>
      </c>
      <c r="C40">
        <v>114954.43667851531</v>
      </c>
      <c r="D40">
        <v>61428.438890245583</v>
      </c>
      <c r="E40">
        <v>36848.512842038057</v>
      </c>
      <c r="F40">
        <v>38551.05088906418</v>
      </c>
      <c r="G40">
        <v>10000</v>
      </c>
      <c r="H40">
        <v>241782.43929986315</v>
      </c>
      <c r="I40">
        <v>46.408440789282409</v>
      </c>
    </row>
    <row r="41" spans="1:9" x14ac:dyDescent="0.2">
      <c r="A41">
        <v>36</v>
      </c>
      <c r="B41">
        <v>1247485.9047643407</v>
      </c>
      <c r="C41">
        <v>81448.553554509781</v>
      </c>
      <c r="D41">
        <v>156477.35039639738</v>
      </c>
      <c r="E41">
        <v>74722.255671549181</v>
      </c>
      <c r="F41">
        <v>41173.079238799561</v>
      </c>
      <c r="G41">
        <v>10000</v>
      </c>
      <c r="H41">
        <v>343821.23886125593</v>
      </c>
      <c r="I41">
        <v>39.224619558524878</v>
      </c>
    </row>
    <row r="42" spans="1:9" x14ac:dyDescent="0.2">
      <c r="A42">
        <v>37</v>
      </c>
      <c r="B42">
        <v>1060420.3676269872</v>
      </c>
      <c r="C42">
        <v>98443.402927591247</v>
      </c>
      <c r="D42">
        <v>97057.531100338252</v>
      </c>
      <c r="E42">
        <v>66452.019524999283</v>
      </c>
      <c r="F42">
        <v>40600.5244286538</v>
      </c>
      <c r="G42">
        <v>10000</v>
      </c>
      <c r="H42">
        <v>292553.47798158258</v>
      </c>
      <c r="I42">
        <v>28.265607771395473</v>
      </c>
    </row>
    <row r="43" spans="1:9" x14ac:dyDescent="0.2">
      <c r="A43">
        <v>38</v>
      </c>
      <c r="B43">
        <v>1149138.2037254202</v>
      </c>
      <c r="C43">
        <v>123866.57549099225</v>
      </c>
      <c r="D43">
        <v>45131.490582352999</v>
      </c>
      <c r="E43">
        <v>113978.85333962597</v>
      </c>
      <c r="F43">
        <v>43890.843692743336</v>
      </c>
      <c r="G43">
        <v>10000</v>
      </c>
      <c r="H43">
        <v>316867.76310571458</v>
      </c>
      <c r="I43">
        <v>30.025653622998458</v>
      </c>
    </row>
    <row r="44" spans="1:9" x14ac:dyDescent="0.2">
      <c r="A44">
        <v>39</v>
      </c>
      <c r="B44">
        <v>1302709.8209760035</v>
      </c>
      <c r="C44">
        <v>135092.74577753322</v>
      </c>
      <c r="D44">
        <v>132401.76423406572</v>
      </c>
      <c r="E44">
        <v>61223.047788909687</v>
      </c>
      <c r="F44">
        <v>40238.51869307836</v>
      </c>
      <c r="G44">
        <v>10000</v>
      </c>
      <c r="H44">
        <v>358956.076493587</v>
      </c>
      <c r="I44">
        <v>29.826238685883453</v>
      </c>
    </row>
    <row r="45" spans="1:9" x14ac:dyDescent="0.2">
      <c r="A45">
        <v>40</v>
      </c>
      <c r="B45">
        <v>1447736.1933352021</v>
      </c>
      <c r="C45">
        <v>107156.62111033738</v>
      </c>
      <c r="D45">
        <v>122340.46943751059</v>
      </c>
      <c r="E45">
        <v>133933.07334154361</v>
      </c>
      <c r="F45">
        <v>45272.289692876097</v>
      </c>
      <c r="G45">
        <v>10000</v>
      </c>
      <c r="H45">
        <v>398702.45358226768</v>
      </c>
      <c r="I45">
        <v>30.961979447844193</v>
      </c>
    </row>
    <row r="46" spans="1:9" x14ac:dyDescent="0.2">
      <c r="A46">
        <v>41</v>
      </c>
      <c r="B46">
        <v>1376422.8782497372</v>
      </c>
      <c r="C46">
        <v>122976.66431533683</v>
      </c>
      <c r="D46">
        <v>42615.745195757663</v>
      </c>
      <c r="E46">
        <v>175421.15445535537</v>
      </c>
      <c r="F46">
        <v>48144.541462293833</v>
      </c>
      <c r="G46">
        <v>10000</v>
      </c>
      <c r="H46">
        <v>379158.1054287437</v>
      </c>
      <c r="I46">
        <v>36.591457373271865</v>
      </c>
    </row>
    <row r="47" spans="1:9" x14ac:dyDescent="0.2">
      <c r="A47">
        <v>42</v>
      </c>
      <c r="B47">
        <v>1586198.6536213802</v>
      </c>
      <c r="C47">
        <v>143309.08971849972</v>
      </c>
      <c r="D47">
        <v>70414.96611804537</v>
      </c>
      <c r="E47">
        <v>184175.25422489128</v>
      </c>
      <c r="F47">
        <v>48750.594523261701</v>
      </c>
      <c r="G47">
        <v>10000</v>
      </c>
      <c r="H47">
        <v>436649.90458469809</v>
      </c>
      <c r="I47">
        <v>33.605189645032851</v>
      </c>
    </row>
    <row r="48" spans="1:9" x14ac:dyDescent="0.2">
      <c r="A48">
        <v>43</v>
      </c>
      <c r="B48">
        <v>953217.9153211799</v>
      </c>
      <c r="C48">
        <v>114404.2039065595</v>
      </c>
      <c r="D48">
        <v>84268.553736847272</v>
      </c>
      <c r="E48">
        <v>36007.646912947006</v>
      </c>
      <c r="F48">
        <v>38492.837093973256</v>
      </c>
      <c r="G48">
        <v>10000</v>
      </c>
      <c r="H48">
        <v>263173.24165032705</v>
      </c>
      <c r="I48">
        <v>35.262370824275841</v>
      </c>
    </row>
    <row r="49" spans="1:9" x14ac:dyDescent="0.2">
      <c r="A49">
        <v>44</v>
      </c>
      <c r="B49">
        <v>1076742.4176219637</v>
      </c>
      <c r="C49">
        <v>79609.617307315682</v>
      </c>
      <c r="D49">
        <v>121036.77571166959</v>
      </c>
      <c r="E49">
        <v>65823.355066509917</v>
      </c>
      <c r="F49">
        <v>40557.001504604537</v>
      </c>
      <c r="G49">
        <v>10000</v>
      </c>
      <c r="H49">
        <v>297026.74959009973</v>
      </c>
      <c r="I49">
        <v>27.754086664854441</v>
      </c>
    </row>
    <row r="50" spans="1:9" x14ac:dyDescent="0.2">
      <c r="A50">
        <v>45</v>
      </c>
      <c r="B50">
        <v>1293401.3110152856</v>
      </c>
      <c r="C50">
        <v>137891.37397550911</v>
      </c>
      <c r="D50">
        <v>74084.356814005747</v>
      </c>
      <c r="E50">
        <v>110761.14719331743</v>
      </c>
      <c r="F50">
        <v>43668.079421075825</v>
      </c>
      <c r="G50">
        <v>10000</v>
      </c>
      <c r="H50">
        <v>356404.95740390808</v>
      </c>
      <c r="I50">
        <v>32.309063737730284</v>
      </c>
    </row>
    <row r="51" spans="1:9" x14ac:dyDescent="0.2">
      <c r="A51">
        <v>46</v>
      </c>
      <c r="B51">
        <v>1458436.2584985958</v>
      </c>
      <c r="C51">
        <v>114976.26460932869</v>
      </c>
      <c r="D51">
        <v>131843.26282547036</v>
      </c>
      <c r="E51">
        <v>120474.85246006321</v>
      </c>
      <c r="F51">
        <v>44340.566708773607</v>
      </c>
      <c r="G51">
        <v>10000</v>
      </c>
      <c r="H51">
        <v>401634.94660363591</v>
      </c>
      <c r="I51">
        <v>34.081188125916881</v>
      </c>
    </row>
    <row r="52" spans="1:9" x14ac:dyDescent="0.2">
      <c r="A52">
        <v>47</v>
      </c>
      <c r="B52">
        <v>1135764.4766720859</v>
      </c>
      <c r="C52">
        <v>91357.288812451705</v>
      </c>
      <c r="D52">
        <v>85346.497978032101</v>
      </c>
      <c r="E52">
        <v>103344.13712142466</v>
      </c>
      <c r="F52">
        <v>43154.594108406323</v>
      </c>
      <c r="G52">
        <v>10000</v>
      </c>
      <c r="H52">
        <v>313202.5180203148</v>
      </c>
      <c r="I52">
        <v>27.100296983605737</v>
      </c>
    </row>
    <row r="53" spans="1:9" x14ac:dyDescent="0.2">
      <c r="A53">
        <v>48</v>
      </c>
      <c r="B53">
        <v>1421658.9587598904</v>
      </c>
      <c r="C53">
        <v>104801.25279567018</v>
      </c>
      <c r="D53">
        <v>111223.37957783899</v>
      </c>
      <c r="E53">
        <v>139849.14929777861</v>
      </c>
      <c r="F53">
        <v>45681.864182153899</v>
      </c>
      <c r="G53">
        <v>10000</v>
      </c>
      <c r="H53">
        <v>391555.64585344167</v>
      </c>
      <c r="I53">
        <v>27.148370467928117</v>
      </c>
    </row>
    <row r="54" spans="1:9" x14ac:dyDescent="0.2">
      <c r="A54">
        <v>49</v>
      </c>
      <c r="B54">
        <v>1119443.2805086665</v>
      </c>
      <c r="C54">
        <v>106594.41636704074</v>
      </c>
      <c r="D54">
        <v>65997.974052198086</v>
      </c>
      <c r="E54">
        <v>103005.91150731379</v>
      </c>
      <c r="F54">
        <v>43131.178488967882</v>
      </c>
      <c r="G54">
        <v>10000</v>
      </c>
      <c r="H54">
        <v>308729.48041552049</v>
      </c>
      <c r="I54">
        <v>27.631394086535906</v>
      </c>
    </row>
    <row r="55" spans="1:9" x14ac:dyDescent="0.2">
      <c r="A55">
        <v>50</v>
      </c>
      <c r="B55">
        <v>1076565.8806600971</v>
      </c>
      <c r="C55">
        <v>110671.4525675223</v>
      </c>
      <c r="D55">
        <v>82950.848922544639</v>
      </c>
      <c r="E55">
        <v>72347.399700043126</v>
      </c>
      <c r="F55">
        <v>41008.666133079903</v>
      </c>
      <c r="G55">
        <v>10000</v>
      </c>
      <c r="H55">
        <v>296978.36732318997</v>
      </c>
      <c r="I55">
        <v>36.38177112215844</v>
      </c>
    </row>
    <row r="56" spans="1:9" x14ac:dyDescent="0.2">
      <c r="A56">
        <v>51</v>
      </c>
      <c r="B56">
        <v>1325337.5142603728</v>
      </c>
      <c r="C56">
        <v>125735.97726236809</v>
      </c>
      <c r="D56">
        <v>98569.946720260035</v>
      </c>
      <c r="E56">
        <v>107415.1357850097</v>
      </c>
      <c r="F56">
        <v>43436.432477423747</v>
      </c>
      <c r="G56">
        <v>10000</v>
      </c>
      <c r="H56">
        <v>365157.49224506156</v>
      </c>
      <c r="I56">
        <v>43.807514496330739</v>
      </c>
    </row>
    <row r="57" spans="1:9" x14ac:dyDescent="0.2">
      <c r="A57">
        <v>52</v>
      </c>
      <c r="B57">
        <v>1421049.5464018057</v>
      </c>
      <c r="C57">
        <v>106292.28189345742</v>
      </c>
      <c r="D57">
        <v>166704.53433617615</v>
      </c>
      <c r="E57">
        <v>86409.60851759807</v>
      </c>
      <c r="F57">
        <v>41982.203666602945</v>
      </c>
      <c r="G57">
        <v>10000</v>
      </c>
      <c r="H57">
        <v>391388.62841383461</v>
      </c>
      <c r="I57">
        <v>40.541117779195524</v>
      </c>
    </row>
    <row r="58" spans="1:9" x14ac:dyDescent="0.2">
      <c r="A58">
        <v>53</v>
      </c>
      <c r="B58">
        <v>1524265.4554126232</v>
      </c>
      <c r="C58">
        <v>107329.75994134482</v>
      </c>
      <c r="D58">
        <v>147483.75925984388</v>
      </c>
      <c r="E58">
        <v>129871.66580783387</v>
      </c>
      <c r="F58">
        <v>44991.115325157734</v>
      </c>
      <c r="G58">
        <v>10000</v>
      </c>
      <c r="H58">
        <v>419676.30033418036</v>
      </c>
      <c r="I58">
        <v>28.53757738412483</v>
      </c>
    </row>
    <row r="59" spans="1:9" x14ac:dyDescent="0.2">
      <c r="A59">
        <v>54</v>
      </c>
      <c r="B59">
        <v>1451533.2616010061</v>
      </c>
      <c r="C59">
        <v>120538.69437476349</v>
      </c>
      <c r="D59">
        <v>39783.153152679712</v>
      </c>
      <c r="E59">
        <v>199602.6007608597</v>
      </c>
      <c r="F59">
        <v>49818.641591136438</v>
      </c>
      <c r="G59">
        <v>10000</v>
      </c>
      <c r="H59">
        <v>399743.08987943933</v>
      </c>
      <c r="I59">
        <v>41.281442288076875</v>
      </c>
    </row>
    <row r="60" spans="1:9" x14ac:dyDescent="0.2">
      <c r="A60">
        <v>55</v>
      </c>
      <c r="B60">
        <v>1004588.0543441242</v>
      </c>
      <c r="C60">
        <v>88909.326284415976</v>
      </c>
      <c r="D60">
        <v>49295.786637452227</v>
      </c>
      <c r="E60">
        <v>105727.21202343915</v>
      </c>
      <c r="F60">
        <v>43319.576217007329</v>
      </c>
      <c r="G60">
        <v>10000</v>
      </c>
      <c r="H60">
        <v>277251.90116231469</v>
      </c>
      <c r="I60">
        <v>37.290617310293882</v>
      </c>
    </row>
    <row r="61" spans="1:9" x14ac:dyDescent="0.2">
      <c r="A61">
        <v>56</v>
      </c>
      <c r="B61">
        <v>1337002.10310206</v>
      </c>
      <c r="C61">
        <v>108704.49004946198</v>
      </c>
      <c r="D61">
        <v>58413.255447949799</v>
      </c>
      <c r="E61">
        <v>163890.32672872546</v>
      </c>
      <c r="F61">
        <v>47346.253388911762</v>
      </c>
      <c r="G61">
        <v>10000</v>
      </c>
      <c r="H61">
        <v>368354.32561504905</v>
      </c>
      <c r="I61">
        <v>34.604698848416305</v>
      </c>
    </row>
    <row r="62" spans="1:9" x14ac:dyDescent="0.2">
      <c r="A62">
        <v>57</v>
      </c>
      <c r="B62">
        <v>1026026.9893932802</v>
      </c>
      <c r="C62">
        <v>95472.644264368209</v>
      </c>
      <c r="D62">
        <v>57804.299288435453</v>
      </c>
      <c r="E62">
        <v>97126.440412334865</v>
      </c>
      <c r="F62">
        <v>42724.138182392417</v>
      </c>
      <c r="G62">
        <v>10000</v>
      </c>
      <c r="H62">
        <v>283127.52214753092</v>
      </c>
      <c r="I62">
        <v>39.87723586288358</v>
      </c>
    </row>
    <row r="63" spans="1:9" x14ac:dyDescent="0.2">
      <c r="A63">
        <v>58</v>
      </c>
      <c r="B63">
        <v>1146398.9559420124</v>
      </c>
      <c r="C63">
        <v>115711.86519639444</v>
      </c>
      <c r="D63">
        <v>114174.52003670666</v>
      </c>
      <c r="E63">
        <v>56330.824802843534</v>
      </c>
      <c r="F63">
        <v>39899.826332504555</v>
      </c>
      <c r="G63">
        <v>10000</v>
      </c>
      <c r="H63">
        <v>316117.03636844916</v>
      </c>
      <c r="I63">
        <v>47.924559903726625</v>
      </c>
    </row>
    <row r="64" spans="1:9" x14ac:dyDescent="0.2">
      <c r="A64">
        <v>59</v>
      </c>
      <c r="B64">
        <v>1348383.6039269418</v>
      </c>
      <c r="C64">
        <v>104554.66834610283</v>
      </c>
      <c r="D64">
        <v>92600.832030364472</v>
      </c>
      <c r="E64">
        <v>138714.74605618865</v>
      </c>
      <c r="F64">
        <v>45603.328573120751</v>
      </c>
      <c r="G64">
        <v>10000</v>
      </c>
      <c r="H64">
        <v>371473.57500577671</v>
      </c>
      <c r="I64">
        <v>49.628663613279009</v>
      </c>
    </row>
    <row r="65" spans="1:9" x14ac:dyDescent="0.2">
      <c r="A65">
        <v>60</v>
      </c>
      <c r="B65">
        <v>1366266.3790875291</v>
      </c>
      <c r="C65">
        <v>119485.4911938474</v>
      </c>
      <c r="D65">
        <v>49581.658080324705</v>
      </c>
      <c r="E65">
        <v>169568.10422374794</v>
      </c>
      <c r="F65">
        <v>47739.330292413324</v>
      </c>
      <c r="G65">
        <v>10000</v>
      </c>
      <c r="H65">
        <v>376374.5837903333</v>
      </c>
      <c r="I65">
        <v>31.87697179200746</v>
      </c>
    </row>
    <row r="66" spans="1:9" x14ac:dyDescent="0.2">
      <c r="A66">
        <v>61</v>
      </c>
      <c r="B66">
        <v>1505086.5290199625</v>
      </c>
      <c r="C66">
        <v>145607.02095882987</v>
      </c>
      <c r="D66">
        <v>51529.895637912785</v>
      </c>
      <c r="E66">
        <v>178897.90794804221</v>
      </c>
      <c r="F66">
        <v>48385.239781018303</v>
      </c>
      <c r="G66">
        <v>10000</v>
      </c>
      <c r="H66">
        <v>414420.06432580313</v>
      </c>
      <c r="I66">
        <v>41.797528834149148</v>
      </c>
    </row>
    <row r="67" spans="1:9" x14ac:dyDescent="0.2">
      <c r="A67">
        <v>62</v>
      </c>
      <c r="B67">
        <v>1350239.9691067087</v>
      </c>
      <c r="C67">
        <v>121950.04053726248</v>
      </c>
      <c r="D67">
        <v>65029.024078013681</v>
      </c>
      <c r="E67">
        <v>148708.09572706823</v>
      </c>
      <c r="F67">
        <v>46295.175858027796</v>
      </c>
      <c r="G67">
        <v>10000</v>
      </c>
      <c r="H67">
        <v>371982.3362003722</v>
      </c>
      <c r="I67">
        <v>33.338825201108421</v>
      </c>
    </row>
    <row r="68" spans="1:9" x14ac:dyDescent="0.2">
      <c r="A68">
        <v>63</v>
      </c>
      <c r="B68">
        <v>1611053.6937549755</v>
      </c>
      <c r="C68">
        <v>87469.411555136699</v>
      </c>
      <c r="D68">
        <v>123801.30335791984</v>
      </c>
      <c r="E68">
        <v>192840.54007552093</v>
      </c>
      <c r="F68">
        <v>49350.498928305293</v>
      </c>
      <c r="G68">
        <v>10000</v>
      </c>
      <c r="H68">
        <v>443461.75391688274</v>
      </c>
      <c r="I68">
        <v>45.493582160587195</v>
      </c>
    </row>
    <row r="69" spans="1:9" x14ac:dyDescent="0.2">
      <c r="A69">
        <v>64</v>
      </c>
      <c r="B69">
        <v>1808967.0193107175</v>
      </c>
      <c r="C69">
        <v>141502.0485074124</v>
      </c>
      <c r="D69">
        <v>122171.81230048707</v>
      </c>
      <c r="E69">
        <v>194559.15270076631</v>
      </c>
      <c r="F69">
        <v>49469.479802360744</v>
      </c>
      <c r="G69">
        <v>10000</v>
      </c>
      <c r="H69">
        <v>497702.4933110266</v>
      </c>
      <c r="I69">
        <v>33.104080313112107</v>
      </c>
    </row>
    <row r="70" spans="1:9" x14ac:dyDescent="0.2">
      <c r="A70">
        <v>65</v>
      </c>
      <c r="B70">
        <v>1499874.0893723217</v>
      </c>
      <c r="C70">
        <v>147040.25160572657</v>
      </c>
      <c r="D70">
        <v>136305.16892826182</v>
      </c>
      <c r="E70">
        <v>96935.20744978654</v>
      </c>
      <c r="F70">
        <v>42710.898977292913</v>
      </c>
      <c r="G70">
        <v>10000</v>
      </c>
      <c r="H70">
        <v>412991.52696106787</v>
      </c>
      <c r="I70">
        <v>40.67538717740436</v>
      </c>
    </row>
    <row r="71" spans="1:9" x14ac:dyDescent="0.2">
      <c r="A71">
        <v>66</v>
      </c>
      <c r="B71">
        <v>1306000.5146910993</v>
      </c>
      <c r="C71">
        <v>142996.19386351987</v>
      </c>
      <c r="D71">
        <v>53609.933089996113</v>
      </c>
      <c r="E71">
        <v>128364.99959425248</v>
      </c>
      <c r="F71">
        <v>44886.807664217478</v>
      </c>
      <c r="G71">
        <v>10000</v>
      </c>
      <c r="H71">
        <v>359857.93421198596</v>
      </c>
      <c r="I71">
        <v>28.399678190005027</v>
      </c>
    </row>
    <row r="72" spans="1:9" x14ac:dyDescent="0.2">
      <c r="A72">
        <v>67</v>
      </c>
      <c r="B72">
        <v>1319802.6820887441</v>
      </c>
      <c r="C72">
        <v>103073.43340619309</v>
      </c>
      <c r="D72">
        <v>166346.90865679146</v>
      </c>
      <c r="E72">
        <v>63803.117985565055</v>
      </c>
      <c r="F72">
        <v>40417.138937462201</v>
      </c>
      <c r="G72">
        <v>10000</v>
      </c>
      <c r="H72">
        <v>363640.59898601176</v>
      </c>
      <c r="I72">
        <v>37.29208374964216</v>
      </c>
    </row>
    <row r="73" spans="1:9" x14ac:dyDescent="0.2">
      <c r="A73">
        <v>68</v>
      </c>
      <c r="B73">
        <v>1054740.0931788271</v>
      </c>
      <c r="C73">
        <v>137980.56711300637</v>
      </c>
      <c r="D73">
        <v>65051.359184646171</v>
      </c>
      <c r="E73">
        <v>57952.688836652327</v>
      </c>
      <c r="F73">
        <v>40012.109227152854</v>
      </c>
      <c r="G73">
        <v>10000</v>
      </c>
      <c r="H73">
        <v>290996.72436145769</v>
      </c>
      <c r="I73">
        <v>39.536692304732952</v>
      </c>
    </row>
    <row r="74" spans="1:9" x14ac:dyDescent="0.2">
      <c r="A74">
        <v>69</v>
      </c>
      <c r="B74">
        <v>1108232.7119897911</v>
      </c>
      <c r="C74">
        <v>104931.25377530296</v>
      </c>
      <c r="D74">
        <v>73921.916230132992</v>
      </c>
      <c r="E74">
        <v>94277.035564017526</v>
      </c>
      <c r="F74">
        <v>42526.871692893517</v>
      </c>
      <c r="G74">
        <v>10000</v>
      </c>
      <c r="H74">
        <v>305657.07726234698</v>
      </c>
      <c r="I74">
        <v>38.335731608538538</v>
      </c>
    </row>
    <row r="75" spans="1:9" x14ac:dyDescent="0.2">
      <c r="A75">
        <v>70</v>
      </c>
      <c r="B75">
        <v>1031123.3080834399</v>
      </c>
      <c r="C75">
        <v>86783.266112152618</v>
      </c>
      <c r="D75">
        <v>71907.767203031428</v>
      </c>
      <c r="E75">
        <v>93369.181471838718</v>
      </c>
      <c r="F75">
        <v>42464.020255742682</v>
      </c>
      <c r="G75">
        <v>10000</v>
      </c>
      <c r="H75">
        <v>284524.2350427655</v>
      </c>
      <c r="I75">
        <v>36.916465210991305</v>
      </c>
    </row>
    <row r="76" spans="1:9" x14ac:dyDescent="0.2">
      <c r="A76">
        <v>71</v>
      </c>
      <c r="B76">
        <v>1312132.2904206018</v>
      </c>
      <c r="C76">
        <v>75152.587708578722</v>
      </c>
      <c r="D76">
        <v>157153.92558166833</v>
      </c>
      <c r="E76">
        <v>96547.833595018121</v>
      </c>
      <c r="F76">
        <v>42684.080787347404</v>
      </c>
      <c r="G76">
        <v>10000</v>
      </c>
      <c r="H76">
        <v>361538.4276726126</v>
      </c>
      <c r="I76">
        <v>36.264046628485602</v>
      </c>
    </row>
    <row r="77" spans="1:9" x14ac:dyDescent="0.2">
      <c r="A77">
        <v>72</v>
      </c>
      <c r="B77">
        <v>1202448.4521744153</v>
      </c>
      <c r="C77">
        <v>127748.8066475371</v>
      </c>
      <c r="D77">
        <v>94755.714473374785</v>
      </c>
      <c r="E77">
        <v>77601.221632224508</v>
      </c>
      <c r="F77">
        <v>41372.392266846313</v>
      </c>
      <c r="G77">
        <v>10000</v>
      </c>
      <c r="H77">
        <v>331478.1350199827</v>
      </c>
      <c r="I77">
        <v>24.400781771533012</v>
      </c>
    </row>
    <row r="78" spans="1:9" x14ac:dyDescent="0.2">
      <c r="A78">
        <v>73</v>
      </c>
      <c r="B78">
        <v>1204665.5862747226</v>
      </c>
      <c r="C78">
        <v>122283.36418980363</v>
      </c>
      <c r="D78">
        <v>46934.111274401628</v>
      </c>
      <c r="E78">
        <v>128006.31831548658</v>
      </c>
      <c r="F78">
        <v>44861.975883379841</v>
      </c>
      <c r="G78">
        <v>10000</v>
      </c>
      <c r="H78">
        <v>332085.76966307173</v>
      </c>
      <c r="I78">
        <v>40.282794638210987</v>
      </c>
    </row>
    <row r="79" spans="1:9" x14ac:dyDescent="0.2">
      <c r="A79">
        <v>74</v>
      </c>
      <c r="B79">
        <v>1478718.5113712822</v>
      </c>
      <c r="C79">
        <v>159612.41845973645</v>
      </c>
      <c r="D79">
        <v>78644.26425607031</v>
      </c>
      <c r="E79">
        <v>133681.97500871765</v>
      </c>
      <c r="F79">
        <v>45254.905962141995</v>
      </c>
      <c r="G79">
        <v>10000</v>
      </c>
      <c r="H79">
        <v>407193.56368666637</v>
      </c>
      <c r="I79">
        <v>34.289279142342778</v>
      </c>
    </row>
    <row r="80" spans="1:9" x14ac:dyDescent="0.2">
      <c r="A80">
        <v>75</v>
      </c>
      <c r="B80">
        <v>1513171.7033898504</v>
      </c>
      <c r="C80">
        <v>124542.48879865697</v>
      </c>
      <c r="D80">
        <v>52650.256990281312</v>
      </c>
      <c r="E80">
        <v>199623.10534384992</v>
      </c>
      <c r="F80">
        <v>49820.061139189609</v>
      </c>
      <c r="G80">
        <v>10000</v>
      </c>
      <c r="H80">
        <v>416635.91227197787</v>
      </c>
      <c r="I80">
        <v>35.658939472570893</v>
      </c>
    </row>
    <row r="81" spans="1:9" x14ac:dyDescent="0.2">
      <c r="A81">
        <v>76</v>
      </c>
      <c r="B81">
        <v>729341.60613817023</v>
      </c>
      <c r="C81">
        <v>95955.299052370829</v>
      </c>
      <c r="D81">
        <v>50678.774804759712</v>
      </c>
      <c r="E81">
        <v>27293.390238049615</v>
      </c>
      <c r="F81">
        <v>37889.542401095743</v>
      </c>
      <c r="G81">
        <v>10000</v>
      </c>
      <c r="H81">
        <v>201817.00649627589</v>
      </c>
      <c r="I81">
        <v>33.696102652096457</v>
      </c>
    </row>
    <row r="82" spans="1:9" x14ac:dyDescent="0.2">
      <c r="A82">
        <v>77</v>
      </c>
      <c r="B82">
        <v>1512340.5979058687</v>
      </c>
      <c r="C82">
        <v>94553.886668503881</v>
      </c>
      <c r="D82">
        <v>142451.20749106281</v>
      </c>
      <c r="E82">
        <v>143470.47165317705</v>
      </c>
      <c r="F82">
        <v>45932.571114450722</v>
      </c>
      <c r="G82">
        <v>10000</v>
      </c>
      <c r="H82">
        <v>416408.13692719443</v>
      </c>
      <c r="I82">
        <v>40.096600428039359</v>
      </c>
    </row>
    <row r="83" spans="1:9" x14ac:dyDescent="0.2">
      <c r="A83">
        <v>78</v>
      </c>
      <c r="B83">
        <v>1321573.3640935658</v>
      </c>
      <c r="C83">
        <v>143382.24786979659</v>
      </c>
      <c r="D83">
        <v>56814.295032766298</v>
      </c>
      <c r="E83">
        <v>128998.65833527301</v>
      </c>
      <c r="F83">
        <v>44930.676346288135</v>
      </c>
      <c r="G83">
        <v>10000</v>
      </c>
      <c r="H83">
        <v>364125.87758412404</v>
      </c>
      <c r="I83">
        <v>31.083797322875622</v>
      </c>
    </row>
    <row r="84" spans="1:9" x14ac:dyDescent="0.2">
      <c r="A84">
        <v>79</v>
      </c>
      <c r="B84">
        <v>881227.53918004269</v>
      </c>
      <c r="C84">
        <v>120702.38242287874</v>
      </c>
      <c r="D84">
        <v>32049.538625717614</v>
      </c>
      <c r="E84">
        <v>60502.762227293431</v>
      </c>
      <c r="F84">
        <v>40188.652769581851</v>
      </c>
      <c r="G84">
        <v>10000</v>
      </c>
      <c r="H84">
        <v>243443.33604547163</v>
      </c>
      <c r="I84">
        <v>38.366008867678488</v>
      </c>
    </row>
    <row r="85" spans="1:9" x14ac:dyDescent="0.2">
      <c r="A85">
        <v>80</v>
      </c>
      <c r="B85">
        <v>942832.35647610039</v>
      </c>
      <c r="C85">
        <v>142239.78376599753</v>
      </c>
      <c r="D85">
        <v>49710.800072605867</v>
      </c>
      <c r="E85">
        <v>39632.566314181116</v>
      </c>
      <c r="F85">
        <v>38743.793052520232</v>
      </c>
      <c r="G85">
        <v>10000</v>
      </c>
      <c r="H85">
        <v>260326.94320530473</v>
      </c>
      <c r="I85">
        <v>37.549543838339289</v>
      </c>
    </row>
    <row r="86" spans="1:9" x14ac:dyDescent="0.2">
      <c r="A86">
        <v>81</v>
      </c>
      <c r="B86">
        <v>1038108.5950767973</v>
      </c>
      <c r="C86">
        <v>89158.231458254522</v>
      </c>
      <c r="D86">
        <v>55820.694794230869</v>
      </c>
      <c r="E86">
        <v>107983.90910152056</v>
      </c>
      <c r="F86">
        <v>43475.809091643736</v>
      </c>
      <c r="G86">
        <v>10000</v>
      </c>
      <c r="H86">
        <v>286438.6444456497</v>
      </c>
      <c r="I86">
        <v>31.378597943332355</v>
      </c>
    </row>
    <row r="87" spans="1:9" x14ac:dyDescent="0.2">
      <c r="A87">
        <v>82</v>
      </c>
      <c r="B87">
        <v>1148687.1447242866</v>
      </c>
      <c r="C87">
        <v>102099.46369162163</v>
      </c>
      <c r="D87">
        <v>91570.74682258298</v>
      </c>
      <c r="E87">
        <v>90788.571332950334</v>
      </c>
      <c r="F87">
        <v>42285.362630742711</v>
      </c>
      <c r="G87">
        <v>10000</v>
      </c>
      <c r="H87">
        <v>316744.14447789767</v>
      </c>
      <c r="I87">
        <v>28.723195984091927</v>
      </c>
    </row>
    <row r="88" spans="1:9" x14ac:dyDescent="0.2">
      <c r="A88">
        <v>83</v>
      </c>
      <c r="B88">
        <v>1031632.4951797039</v>
      </c>
      <c r="C88">
        <v>95216.021005228526</v>
      </c>
      <c r="D88">
        <v>52094.64764915422</v>
      </c>
      <c r="E88">
        <v>104143.20181060398</v>
      </c>
      <c r="F88">
        <v>43209.913971503353</v>
      </c>
      <c r="G88">
        <v>10000</v>
      </c>
      <c r="H88">
        <v>284663.78443649004</v>
      </c>
      <c r="I88">
        <v>29.216439097593558</v>
      </c>
    </row>
    <row r="89" spans="1:9" x14ac:dyDescent="0.2">
      <c r="A89">
        <v>84</v>
      </c>
      <c r="B89">
        <v>747260.64680381748</v>
      </c>
      <c r="C89">
        <v>102094.02175228407</v>
      </c>
      <c r="D89">
        <v>45603.334660461805</v>
      </c>
      <c r="E89">
        <v>30891.926098015214</v>
      </c>
      <c r="F89">
        <v>38138.671806785664</v>
      </c>
      <c r="G89">
        <v>10000</v>
      </c>
      <c r="H89">
        <v>206727.95431754674</v>
      </c>
      <c r="I89">
        <v>27.502777996719388</v>
      </c>
    </row>
    <row r="90" spans="1:9" x14ac:dyDescent="0.2">
      <c r="A90">
        <v>85</v>
      </c>
      <c r="B90">
        <v>1766577.0605538229</v>
      </c>
      <c r="C90">
        <v>149600.78151279502</v>
      </c>
      <c r="D90">
        <v>149813.60277683113</v>
      </c>
      <c r="E90">
        <v>150267.45410718935</v>
      </c>
      <c r="F90">
        <v>46403.13143819003</v>
      </c>
      <c r="G90">
        <v>10000</v>
      </c>
      <c r="H90">
        <v>486084.96983500547</v>
      </c>
      <c r="I90">
        <v>37.47263976692166</v>
      </c>
    </row>
    <row r="91" spans="1:9" x14ac:dyDescent="0.2">
      <c r="A91">
        <v>86</v>
      </c>
      <c r="B91">
        <v>1169808.6451807278</v>
      </c>
      <c r="C91">
        <v>153275.70580416991</v>
      </c>
      <c r="D91">
        <v>77410.184973524374</v>
      </c>
      <c r="E91">
        <v>61583.41068363357</v>
      </c>
      <c r="F91">
        <v>40263.46689348232</v>
      </c>
      <c r="G91">
        <v>10000</v>
      </c>
      <c r="H91">
        <v>322532.76835481019</v>
      </c>
      <c r="I91">
        <v>33.961488591464658</v>
      </c>
    </row>
    <row r="92" spans="1:9" x14ac:dyDescent="0.2">
      <c r="A92">
        <v>87</v>
      </c>
      <c r="B92">
        <v>1482847.4074058195</v>
      </c>
      <c r="C92">
        <v>161584.4391346203</v>
      </c>
      <c r="D92">
        <v>163764.53722322895</v>
      </c>
      <c r="E92">
        <v>53287.061139954742</v>
      </c>
      <c r="F92">
        <v>39689.104232766091</v>
      </c>
      <c r="G92">
        <v>10000</v>
      </c>
      <c r="H92">
        <v>408325.14173057006</v>
      </c>
      <c r="I92">
        <v>49.138653463298915</v>
      </c>
    </row>
    <row r="93" spans="1:9" x14ac:dyDescent="0.2">
      <c r="A93">
        <v>88</v>
      </c>
      <c r="B93">
        <v>1137911.817801323</v>
      </c>
      <c r="C93">
        <v>114339.74053779891</v>
      </c>
      <c r="D93">
        <v>47268.950709279903</v>
      </c>
      <c r="E93">
        <v>118012.25457544868</v>
      </c>
      <c r="F93">
        <v>44170.079162915674</v>
      </c>
      <c r="G93">
        <v>10000</v>
      </c>
      <c r="H93">
        <v>313791.02498544322</v>
      </c>
      <c r="I93">
        <v>42.850003709894452</v>
      </c>
    </row>
    <row r="94" spans="1:9" x14ac:dyDescent="0.2">
      <c r="A94">
        <v>89</v>
      </c>
      <c r="B94">
        <v>1569248.249781373</v>
      </c>
      <c r="C94">
        <v>121306.94006119754</v>
      </c>
      <c r="D94">
        <v>89556.822956741438</v>
      </c>
      <c r="E94">
        <v>182505.65450562752</v>
      </c>
      <c r="F94">
        <v>48635.006850389589</v>
      </c>
      <c r="G94">
        <v>10000</v>
      </c>
      <c r="H94">
        <v>432004.42437395611</v>
      </c>
      <c r="I94">
        <v>29.754232535028365</v>
      </c>
    </row>
    <row r="95" spans="1:9" x14ac:dyDescent="0.2">
      <c r="A95">
        <v>90</v>
      </c>
      <c r="B95">
        <v>1398017.3639697148</v>
      </c>
      <c r="C95">
        <v>147922.77057090204</v>
      </c>
      <c r="D95">
        <v>31525.935116759796</v>
      </c>
      <c r="E95">
        <v>167997.08406677243</v>
      </c>
      <c r="F95">
        <v>47630.567358468856</v>
      </c>
      <c r="G95">
        <v>10000</v>
      </c>
      <c r="H95">
        <v>385076.35711290309</v>
      </c>
      <c r="I95">
        <v>42.025535782701013</v>
      </c>
    </row>
    <row r="96" spans="1:9" x14ac:dyDescent="0.2">
      <c r="A96">
        <v>91</v>
      </c>
      <c r="B96">
        <v>1614939.9077104288</v>
      </c>
      <c r="C96">
        <v>145406.18166313609</v>
      </c>
      <c r="D96">
        <v>79157.138182488299</v>
      </c>
      <c r="E96">
        <v>181404.71401881406</v>
      </c>
      <c r="F96">
        <v>48558.787893610199</v>
      </c>
      <c r="G96">
        <v>10000</v>
      </c>
      <c r="H96">
        <v>444526.82175804861</v>
      </c>
      <c r="I96">
        <v>32.615875635232769</v>
      </c>
    </row>
    <row r="97" spans="1:9" x14ac:dyDescent="0.2">
      <c r="A97">
        <v>92</v>
      </c>
      <c r="B97">
        <v>1394811.154352966</v>
      </c>
      <c r="C97">
        <v>137290.30483563643</v>
      </c>
      <c r="D97">
        <v>109591.60536422954</v>
      </c>
      <c r="E97">
        <v>104108.24900648501</v>
      </c>
      <c r="F97">
        <v>43207.494161987423</v>
      </c>
      <c r="G97">
        <v>10000</v>
      </c>
      <c r="H97">
        <v>384197.65336833848</v>
      </c>
      <c r="I97">
        <v>37.974100411068946</v>
      </c>
    </row>
    <row r="98" spans="1:9" x14ac:dyDescent="0.2">
      <c r="A98">
        <v>93</v>
      </c>
      <c r="B98">
        <v>1352729.922174938</v>
      </c>
      <c r="C98">
        <v>93434.281185306769</v>
      </c>
      <c r="D98">
        <v>155519.4242334103</v>
      </c>
      <c r="E98">
        <v>91384.421257289374</v>
      </c>
      <c r="F98">
        <v>42326.613779350802</v>
      </c>
      <c r="G98">
        <v>10000</v>
      </c>
      <c r="H98">
        <v>372664.74045535724</v>
      </c>
      <c r="I98">
        <v>33.253872460655558</v>
      </c>
    </row>
    <row r="99" spans="1:9" x14ac:dyDescent="0.2">
      <c r="A99">
        <v>94</v>
      </c>
      <c r="B99">
        <v>1092271.7201912145</v>
      </c>
      <c r="C99">
        <v>121323.79853265462</v>
      </c>
      <c r="D99">
        <v>93620.768359950118</v>
      </c>
      <c r="E99">
        <v>56431.402112535579</v>
      </c>
      <c r="F99">
        <v>39906.789377021691</v>
      </c>
      <c r="G99">
        <v>10000</v>
      </c>
      <c r="H99">
        <v>301282.75838216208</v>
      </c>
      <c r="I99">
        <v>41.444476099463316</v>
      </c>
    </row>
    <row r="100" spans="1:9" x14ac:dyDescent="0.2">
      <c r="A100">
        <v>95</v>
      </c>
      <c r="B100">
        <v>1146915.7069037126</v>
      </c>
      <c r="C100">
        <v>84028.824491038758</v>
      </c>
      <c r="D100">
        <v>91642.809498774252</v>
      </c>
      <c r="E100">
        <v>107167.72098805345</v>
      </c>
      <c r="F100">
        <v>43419.303760711395</v>
      </c>
      <c r="G100">
        <v>10000</v>
      </c>
      <c r="H100">
        <v>316258.65873857785</v>
      </c>
      <c r="I100">
        <v>39.3769639438285</v>
      </c>
    </row>
    <row r="101" spans="1:9" x14ac:dyDescent="0.2">
      <c r="A101">
        <v>96</v>
      </c>
      <c r="B101">
        <v>1167482.1586516553</v>
      </c>
      <c r="C101">
        <v>107106.84250896572</v>
      </c>
      <c r="D101">
        <v>128579.07141528626</v>
      </c>
      <c r="E101">
        <v>56310.809653599797</v>
      </c>
      <c r="F101">
        <v>39898.44066832614</v>
      </c>
      <c r="G101">
        <v>10000</v>
      </c>
      <c r="H101">
        <v>321895.16424617794</v>
      </c>
      <c r="I101">
        <v>45.675588115750799</v>
      </c>
    </row>
    <row r="102" spans="1:9" x14ac:dyDescent="0.2">
      <c r="A102">
        <v>97</v>
      </c>
      <c r="B102">
        <v>1621732.6655842916</v>
      </c>
      <c r="C102">
        <v>113667.0400963383</v>
      </c>
      <c r="D102">
        <v>112097.42042977715</v>
      </c>
      <c r="E102">
        <v>182022.4511941805</v>
      </c>
      <c r="F102">
        <v>48601.554313443266</v>
      </c>
      <c r="G102">
        <v>10000</v>
      </c>
      <c r="H102">
        <v>446388.46603373915</v>
      </c>
      <c r="I102">
        <v>32.671216857573228</v>
      </c>
    </row>
    <row r="103" spans="1:9" x14ac:dyDescent="0.2">
      <c r="A103">
        <v>98</v>
      </c>
      <c r="B103">
        <v>1129182.4651233882</v>
      </c>
      <c r="C103">
        <v>110514.19553350452</v>
      </c>
      <c r="D103">
        <v>40903.775524598503</v>
      </c>
      <c r="E103">
        <v>125305.6536840505</v>
      </c>
      <c r="F103">
        <v>44675.006793511187</v>
      </c>
      <c r="G103">
        <v>10000</v>
      </c>
      <c r="H103">
        <v>311398.63153566467</v>
      </c>
      <c r="I103">
        <v>48.298514729905207</v>
      </c>
    </row>
    <row r="104" spans="1:9" x14ac:dyDescent="0.2">
      <c r="A104">
        <v>99</v>
      </c>
      <c r="B104">
        <v>1215823.0261672162</v>
      </c>
      <c r="C104">
        <v>121418.62444463986</v>
      </c>
      <c r="D104">
        <v>96225.722128320718</v>
      </c>
      <c r="E104">
        <v>85574.852763640345</v>
      </c>
      <c r="F104">
        <v>41924.412883636644</v>
      </c>
      <c r="G104">
        <v>10000</v>
      </c>
      <c r="H104">
        <v>335143.61222023761</v>
      </c>
      <c r="I104">
        <v>33.900530825526459</v>
      </c>
    </row>
    <row r="105" spans="1:9" x14ac:dyDescent="0.2">
      <c r="A105">
        <v>100</v>
      </c>
      <c r="B105">
        <v>1307311.3980467273</v>
      </c>
      <c r="C105">
        <v>99797.8892802544</v>
      </c>
      <c r="D105">
        <v>75027.272546922744</v>
      </c>
      <c r="E105">
        <v>149071.6894115764</v>
      </c>
      <c r="F105">
        <v>46320.347728493747</v>
      </c>
      <c r="G105">
        <v>10000</v>
      </c>
      <c r="H105">
        <v>360217.19896724727</v>
      </c>
      <c r="I105">
        <v>45.129321461701473</v>
      </c>
    </row>
    <row r="106" spans="1:9" x14ac:dyDescent="0.2">
      <c r="A106">
        <v>101</v>
      </c>
      <c r="B106">
        <v>800854.14026127546</v>
      </c>
      <c r="C106">
        <v>86701.215665416574</v>
      </c>
      <c r="D106">
        <v>67572.463272758541</v>
      </c>
      <c r="E106">
        <v>38478.3860345867</v>
      </c>
      <c r="F106">
        <v>38663.888263932924</v>
      </c>
      <c r="G106">
        <v>10000</v>
      </c>
      <c r="H106">
        <v>221415.95323669474</v>
      </c>
      <c r="I106">
        <v>28.926200970901931</v>
      </c>
    </row>
    <row r="107" spans="1:9" x14ac:dyDescent="0.2">
      <c r="A107">
        <v>102</v>
      </c>
      <c r="B107">
        <v>978059.68687664135</v>
      </c>
      <c r="C107">
        <v>138133.96023574442</v>
      </c>
      <c r="D107">
        <v>62195.633171949987</v>
      </c>
      <c r="E107">
        <v>40825.481648432986</v>
      </c>
      <c r="F107">
        <v>38826.379498737668</v>
      </c>
      <c r="G107">
        <v>10000</v>
      </c>
      <c r="H107">
        <v>269981.45455486508</v>
      </c>
      <c r="I107">
        <v>35.239207889976718</v>
      </c>
    </row>
    <row r="108" spans="1:9" x14ac:dyDescent="0.2">
      <c r="A108">
        <v>103</v>
      </c>
      <c r="B108">
        <v>1683577.2330378108</v>
      </c>
      <c r="C108">
        <v>144402.96879972803</v>
      </c>
      <c r="D108">
        <v>116961.95041218908</v>
      </c>
      <c r="E108">
        <v>164578.93442354392</v>
      </c>
      <c r="F108">
        <v>47393.926229322271</v>
      </c>
      <c r="G108">
        <v>10000</v>
      </c>
      <c r="H108">
        <v>463337.77986478328</v>
      </c>
      <c r="I108">
        <v>32.909955823441805</v>
      </c>
    </row>
    <row r="109" spans="1:9" x14ac:dyDescent="0.2">
      <c r="A109">
        <v>104</v>
      </c>
      <c r="B109">
        <v>1435616.8681761094</v>
      </c>
      <c r="C109">
        <v>93120.106577266401</v>
      </c>
      <c r="D109">
        <v>117597.06806152842</v>
      </c>
      <c r="E109">
        <v>148390.62220695402</v>
      </c>
      <c r="F109">
        <v>46273.196922019895</v>
      </c>
      <c r="G109">
        <v>10000</v>
      </c>
      <c r="H109">
        <v>395380.99376776873</v>
      </c>
      <c r="I109">
        <v>35.88568473751549</v>
      </c>
    </row>
    <row r="110" spans="1:9" x14ac:dyDescent="0.2">
      <c r="A110">
        <v>105</v>
      </c>
      <c r="B110">
        <v>1122911.0873162346</v>
      </c>
      <c r="C110">
        <v>102629.00887615925</v>
      </c>
      <c r="D110">
        <v>84478.118635817562</v>
      </c>
      <c r="E110">
        <v>90319.838863661455</v>
      </c>
      <c r="F110">
        <v>42252.911921330407</v>
      </c>
      <c r="G110">
        <v>10000</v>
      </c>
      <c r="H110">
        <v>309679.87829696864</v>
      </c>
      <c r="I110">
        <v>38.29327455123731</v>
      </c>
    </row>
    <row r="111" spans="1:9" x14ac:dyDescent="0.2">
      <c r="A111">
        <v>106</v>
      </c>
      <c r="B111">
        <v>949317.08222533041</v>
      </c>
      <c r="C111">
        <v>95326.163573346712</v>
      </c>
      <c r="D111">
        <v>84772.074706232161</v>
      </c>
      <c r="E111">
        <v>52379.645792412295</v>
      </c>
      <c r="F111">
        <v>39626.283170243929</v>
      </c>
      <c r="G111">
        <v>10000</v>
      </c>
      <c r="H111">
        <v>262104.16724223504</v>
      </c>
      <c r="I111">
        <v>40.184500013653917</v>
      </c>
    </row>
    <row r="112" spans="1:9" x14ac:dyDescent="0.2">
      <c r="A112">
        <v>107</v>
      </c>
      <c r="B112">
        <v>1011924.0248160209</v>
      </c>
      <c r="C112">
        <v>101456.66435350901</v>
      </c>
      <c r="D112">
        <v>109206.73821182028</v>
      </c>
      <c r="E112">
        <v>39840.807641102081</v>
      </c>
      <c r="F112">
        <v>38758.209759768608</v>
      </c>
      <c r="G112">
        <v>10000</v>
      </c>
      <c r="H112">
        <v>279262.41996619996</v>
      </c>
      <c r="I112">
        <v>34.206857975757458</v>
      </c>
    </row>
    <row r="113" spans="1:9" x14ac:dyDescent="0.2">
      <c r="A113">
        <v>108</v>
      </c>
      <c r="B113">
        <v>1532548.8783211596</v>
      </c>
      <c r="C113">
        <v>131422.54702610662</v>
      </c>
      <c r="D113">
        <v>89551.069401990622</v>
      </c>
      <c r="E113">
        <v>163643.68618672548</v>
      </c>
      <c r="F113">
        <v>47329.178274465608</v>
      </c>
      <c r="G113">
        <v>10000</v>
      </c>
      <c r="H113">
        <v>421946.48088928836</v>
      </c>
      <c r="I113">
        <v>36.053705073561574</v>
      </c>
    </row>
    <row r="114" spans="1:9" x14ac:dyDescent="0.2">
      <c r="A114">
        <v>109</v>
      </c>
      <c r="B114">
        <v>1765807.578891275</v>
      </c>
      <c r="C114">
        <v>124119.35564555827</v>
      </c>
      <c r="D114">
        <v>115986.0091087277</v>
      </c>
      <c r="E114">
        <v>205539.08929270323</v>
      </c>
      <c r="F114">
        <v>50229.62925872561</v>
      </c>
      <c r="G114">
        <v>10000</v>
      </c>
      <c r="H114">
        <v>485874.08330571483</v>
      </c>
      <c r="I114">
        <v>31.835565582785339</v>
      </c>
    </row>
    <row r="115" spans="1:9" x14ac:dyDescent="0.2">
      <c r="A115">
        <v>110</v>
      </c>
      <c r="B115">
        <v>1319006.4470773272</v>
      </c>
      <c r="C115">
        <v>137561.11641443719</v>
      </c>
      <c r="D115">
        <v>86304.498074493589</v>
      </c>
      <c r="E115">
        <v>106204.16951130026</v>
      </c>
      <c r="F115">
        <v>43352.596350782325</v>
      </c>
      <c r="G115">
        <v>10000</v>
      </c>
      <c r="H115">
        <v>363422.38035101339</v>
      </c>
      <c r="I115">
        <v>34.605555736517744</v>
      </c>
    </row>
    <row r="116" spans="1:9" x14ac:dyDescent="0.2">
      <c r="A116">
        <v>111</v>
      </c>
      <c r="B116">
        <v>1346351.1924631079</v>
      </c>
      <c r="C116">
        <v>142665.36945712901</v>
      </c>
      <c r="D116">
        <v>70634.395339798823</v>
      </c>
      <c r="E116">
        <v>123094.85006563227</v>
      </c>
      <c r="F116">
        <v>44521.951158389922</v>
      </c>
      <c r="G116">
        <v>10000</v>
      </c>
      <c r="H116">
        <v>370916.56602095003</v>
      </c>
      <c r="I116">
        <v>30.460805681141331</v>
      </c>
    </row>
    <row r="117" spans="1:9" x14ac:dyDescent="0.2">
      <c r="A117">
        <v>112</v>
      </c>
      <c r="B117">
        <v>1300048.3066453743</v>
      </c>
      <c r="C117">
        <v>164038.2395238959</v>
      </c>
      <c r="D117">
        <v>115500.82715718172</v>
      </c>
      <c r="E117">
        <v>49276.160453310178</v>
      </c>
      <c r="F117">
        <v>39411.42649292147</v>
      </c>
      <c r="G117">
        <v>10000</v>
      </c>
      <c r="H117">
        <v>358226.65362730925</v>
      </c>
      <c r="I117">
        <v>34.342965367947038</v>
      </c>
    </row>
    <row r="118" spans="1:9" x14ac:dyDescent="0.2">
      <c r="A118">
        <v>113</v>
      </c>
      <c r="B118">
        <v>1311675.7264700551</v>
      </c>
      <c r="C118">
        <v>102711.5087570379</v>
      </c>
      <c r="D118">
        <v>77834.43657010117</v>
      </c>
      <c r="E118">
        <v>144839.97231540046</v>
      </c>
      <c r="F118">
        <v>46027.382698758491</v>
      </c>
      <c r="G118">
        <v>10000</v>
      </c>
      <c r="H118">
        <v>361413.30034129799</v>
      </c>
      <c r="I118">
        <v>28.967142211337439</v>
      </c>
    </row>
    <row r="119" spans="1:9" x14ac:dyDescent="0.2">
      <c r="A119">
        <v>114</v>
      </c>
      <c r="B119">
        <v>1411010.9503897482</v>
      </c>
      <c r="C119">
        <v>134461.2144557907</v>
      </c>
      <c r="D119">
        <v>173917.72254786448</v>
      </c>
      <c r="E119">
        <v>50745.343508540405</v>
      </c>
      <c r="F119">
        <v>39513.139165975874</v>
      </c>
      <c r="G119">
        <v>10000</v>
      </c>
      <c r="H119">
        <v>388637.41967817146</v>
      </c>
      <c r="I119">
        <v>37.176527108002425</v>
      </c>
    </row>
    <row r="120" spans="1:9" x14ac:dyDescent="0.2">
      <c r="A120">
        <v>115</v>
      </c>
      <c r="B120">
        <v>1381818.6731515124</v>
      </c>
      <c r="C120">
        <v>108515.08991211354</v>
      </c>
      <c r="D120">
        <v>52354.778939001255</v>
      </c>
      <c r="E120">
        <v>181220.95849428789</v>
      </c>
      <c r="F120">
        <v>48546.066357296855</v>
      </c>
      <c r="G120">
        <v>10000</v>
      </c>
      <c r="H120">
        <v>380636.89370269951</v>
      </c>
      <c r="I120">
        <v>45.986369585666644</v>
      </c>
    </row>
    <row r="121" spans="1:9" x14ac:dyDescent="0.2">
      <c r="A121">
        <v>116</v>
      </c>
      <c r="B121">
        <v>1092406.8778224392</v>
      </c>
      <c r="C121">
        <v>123697.8562532152</v>
      </c>
      <c r="D121">
        <v>84185.483975043288</v>
      </c>
      <c r="E121">
        <v>63070.07038501733</v>
      </c>
      <c r="F121">
        <v>40366.389488193505</v>
      </c>
      <c r="G121">
        <v>10000</v>
      </c>
      <c r="H121">
        <v>301319.80010146933</v>
      </c>
      <c r="I121">
        <v>36.555917220437877</v>
      </c>
    </row>
    <row r="122" spans="1:9" x14ac:dyDescent="0.2">
      <c r="A122">
        <v>117</v>
      </c>
      <c r="B122">
        <v>1776013.2078688336</v>
      </c>
      <c r="C122">
        <v>155609.46895220166</v>
      </c>
      <c r="D122">
        <v>89114.724787074345</v>
      </c>
      <c r="E122">
        <v>203835.20765223424</v>
      </c>
      <c r="F122">
        <v>50111.668222077758</v>
      </c>
      <c r="G122">
        <v>10000</v>
      </c>
      <c r="H122">
        <v>488671.06961358804</v>
      </c>
      <c r="I122">
        <v>37.562187981615502</v>
      </c>
    </row>
    <row r="123" spans="1:9" x14ac:dyDescent="0.2">
      <c r="A123">
        <v>118</v>
      </c>
      <c r="B123">
        <v>846493.86739615141</v>
      </c>
      <c r="C123">
        <v>113277.48464011043</v>
      </c>
      <c r="D123">
        <v>29441.778708221154</v>
      </c>
      <c r="E123">
        <v>60982.957874438769</v>
      </c>
      <c r="F123">
        <v>40221.897083614997</v>
      </c>
      <c r="G123">
        <v>10000</v>
      </c>
      <c r="H123">
        <v>233924.11830638535</v>
      </c>
      <c r="I123">
        <v>43.501440086787973</v>
      </c>
    </row>
    <row r="124" spans="1:9" x14ac:dyDescent="0.2">
      <c r="A124">
        <v>119</v>
      </c>
      <c r="B124">
        <v>1534685.3213184141</v>
      </c>
      <c r="C124">
        <v>121828.61147043796</v>
      </c>
      <c r="D124">
        <v>85083.518841662502</v>
      </c>
      <c r="E124">
        <v>177342.3251772915</v>
      </c>
      <c r="F124">
        <v>48277.5455891971</v>
      </c>
      <c r="G124">
        <v>10000</v>
      </c>
      <c r="H124">
        <v>422532.001078589</v>
      </c>
      <c r="I124">
        <v>48.040500788192382</v>
      </c>
    </row>
    <row r="125" spans="1:9" x14ac:dyDescent="0.2">
      <c r="A125">
        <v>120</v>
      </c>
      <c r="B125">
        <v>889324.53525360127</v>
      </c>
      <c r="C125">
        <v>77997.456486205177</v>
      </c>
      <c r="D125">
        <v>53637.682626241287</v>
      </c>
      <c r="E125">
        <v>82327.676405417922</v>
      </c>
      <c r="F125">
        <v>41699.608366528933</v>
      </c>
      <c r="G125">
        <v>10000</v>
      </c>
      <c r="H125">
        <v>245662.4238843933</v>
      </c>
      <c r="I125">
        <v>42.524001003241494</v>
      </c>
    </row>
    <row r="126" spans="1:9" x14ac:dyDescent="0.2">
      <c r="A126">
        <v>121</v>
      </c>
      <c r="B126">
        <v>1609530.1156605417</v>
      </c>
      <c r="C126">
        <v>145596.69583996673</v>
      </c>
      <c r="D126">
        <v>138373.21778134201</v>
      </c>
      <c r="E126">
        <v>124457.96322970398</v>
      </c>
      <c r="F126">
        <v>44616.320531287201</v>
      </c>
      <c r="G126">
        <v>10000</v>
      </c>
      <c r="H126">
        <v>443044.19738229993</v>
      </c>
      <c r="I126">
        <v>36.552069831690261</v>
      </c>
    </row>
    <row r="127" spans="1:9" x14ac:dyDescent="0.2">
      <c r="A127">
        <v>122</v>
      </c>
      <c r="B127">
        <v>1351883.78035646</v>
      </c>
      <c r="C127">
        <v>90008.847774161361</v>
      </c>
      <c r="D127">
        <v>47076.228419736115</v>
      </c>
      <c r="E127">
        <v>195792.87655821213</v>
      </c>
      <c r="F127">
        <v>49554.891454030068</v>
      </c>
      <c r="G127">
        <v>10000</v>
      </c>
      <c r="H127">
        <v>372432.84420613968</v>
      </c>
      <c r="I127">
        <v>43.887002011269026</v>
      </c>
    </row>
    <row r="128" spans="1:9" x14ac:dyDescent="0.2">
      <c r="A128">
        <v>123</v>
      </c>
      <c r="B128">
        <v>1367666.3735991542</v>
      </c>
      <c r="C128">
        <v>107294.41083477928</v>
      </c>
      <c r="D128">
        <v>105784.6358036614</v>
      </c>
      <c r="E128">
        <v>128764.74185811012</v>
      </c>
      <c r="F128">
        <v>44914.482128638396</v>
      </c>
      <c r="G128">
        <v>10000</v>
      </c>
      <c r="H128">
        <v>376758.27062518918</v>
      </c>
      <c r="I128">
        <v>38.348318972152143</v>
      </c>
    </row>
    <row r="129" spans="1:9" x14ac:dyDescent="0.2">
      <c r="A129">
        <v>124</v>
      </c>
      <c r="B129">
        <v>1414003.7494211658</v>
      </c>
      <c r="C129">
        <v>127633.48631448748</v>
      </c>
      <c r="D129">
        <v>103680.33362825679</v>
      </c>
      <c r="E129">
        <v>123587.74112778339</v>
      </c>
      <c r="F129">
        <v>44556.074385769614</v>
      </c>
      <c r="G129">
        <v>10000</v>
      </c>
      <c r="H129">
        <v>389457.63545629726</v>
      </c>
      <c r="I129">
        <v>55.097920240133817</v>
      </c>
    </row>
    <row r="130" spans="1:9" x14ac:dyDescent="0.2">
      <c r="A130">
        <v>125</v>
      </c>
      <c r="B130">
        <v>905254.42004050687</v>
      </c>
      <c r="C130">
        <v>115575.04325395274</v>
      </c>
      <c r="D130">
        <v>40013.211927152159</v>
      </c>
      <c r="E130">
        <v>64008.597834013126</v>
      </c>
      <c r="F130">
        <v>40431.364465431681</v>
      </c>
      <c r="G130">
        <v>10000</v>
      </c>
      <c r="H130">
        <v>250028.21748054973</v>
      </c>
      <c r="I130">
        <v>24.663571632123599</v>
      </c>
    </row>
    <row r="131" spans="1:9" x14ac:dyDescent="0.2">
      <c r="A131">
        <v>126</v>
      </c>
      <c r="B131">
        <v>1083156.3814269493</v>
      </c>
      <c r="C131">
        <v>120271.29131666085</v>
      </c>
      <c r="D131">
        <v>70020.132410372054</v>
      </c>
      <c r="E131">
        <v>77151.873137351591</v>
      </c>
      <c r="F131">
        <v>41341.283524893573</v>
      </c>
      <c r="G131">
        <v>10000</v>
      </c>
      <c r="H131">
        <v>298784.58038927807</v>
      </c>
      <c r="I131">
        <v>46.164958402927127</v>
      </c>
    </row>
    <row r="132" spans="1:9" x14ac:dyDescent="0.2">
      <c r="A132">
        <v>127</v>
      </c>
      <c r="B132">
        <v>1234548.9703674426</v>
      </c>
      <c r="C132">
        <v>100152.99712603417</v>
      </c>
      <c r="D132">
        <v>60541.917535772176</v>
      </c>
      <c r="E132">
        <v>143636.70807351812</v>
      </c>
      <c r="F132">
        <v>45944.079789705094</v>
      </c>
      <c r="G132">
        <v>10000</v>
      </c>
      <c r="H132">
        <v>340275.70252502954</v>
      </c>
      <c r="I132">
        <v>31.673026984801936</v>
      </c>
    </row>
    <row r="133" spans="1:9" x14ac:dyDescent="0.2">
      <c r="A133">
        <v>128</v>
      </c>
      <c r="B133">
        <v>1103806.1886062326</v>
      </c>
      <c r="C133">
        <v>100522.98638175133</v>
      </c>
      <c r="D133">
        <v>80759.552709002674</v>
      </c>
      <c r="E133">
        <v>90870.36610803951</v>
      </c>
      <c r="F133">
        <v>42291.025345941198</v>
      </c>
      <c r="G133">
        <v>10000</v>
      </c>
      <c r="H133">
        <v>304443.9305447347</v>
      </c>
      <c r="I133">
        <v>35.870993179610153</v>
      </c>
    </row>
    <row r="134" spans="1:9" x14ac:dyDescent="0.2">
      <c r="A134">
        <v>129</v>
      </c>
      <c r="B134">
        <v>1186940.0057684761</v>
      </c>
      <c r="C134">
        <v>89269.11483891675</v>
      </c>
      <c r="D134">
        <v>115494.8570514108</v>
      </c>
      <c r="E134">
        <v>90218.008140326725</v>
      </c>
      <c r="F134">
        <v>42245.86210202262</v>
      </c>
      <c r="G134">
        <v>10000</v>
      </c>
      <c r="H134">
        <v>327227.84213267692</v>
      </c>
      <c r="I134">
        <v>45.915559890371618</v>
      </c>
    </row>
    <row r="135" spans="1:9" x14ac:dyDescent="0.2">
      <c r="A135">
        <v>130</v>
      </c>
      <c r="B135">
        <v>1444428.3487079958</v>
      </c>
      <c r="C135">
        <v>83012.746223677226</v>
      </c>
      <c r="D135">
        <v>79604.182774478541</v>
      </c>
      <c r="E135">
        <v>195635.0045781722</v>
      </c>
      <c r="F135">
        <v>49543.961855411922</v>
      </c>
      <c r="G135">
        <v>10000</v>
      </c>
      <c r="H135">
        <v>397795.89543173992</v>
      </c>
      <c r="I135">
        <v>36.114191300004443</v>
      </c>
    </row>
    <row r="136" spans="1:9" x14ac:dyDescent="0.2">
      <c r="A136">
        <v>131</v>
      </c>
      <c r="B136">
        <v>1019525.8420837687</v>
      </c>
      <c r="C136">
        <v>95217.17351933106</v>
      </c>
      <c r="D136">
        <v>83374.786164081204</v>
      </c>
      <c r="E136">
        <v>71784.164926997822</v>
      </c>
      <c r="F136">
        <v>40969.672956484457</v>
      </c>
      <c r="G136">
        <v>10000</v>
      </c>
      <c r="H136">
        <v>281345.79756689456</v>
      </c>
      <c r="I136">
        <v>26.367857868775346</v>
      </c>
    </row>
    <row r="137" spans="1:9" x14ac:dyDescent="0.2">
      <c r="A137">
        <v>132</v>
      </c>
      <c r="B137">
        <v>1546371.6291861734</v>
      </c>
      <c r="C137">
        <v>105008.11758781507</v>
      </c>
      <c r="D137">
        <v>124485.18752470962</v>
      </c>
      <c r="E137">
        <v>159218.65196801885</v>
      </c>
      <c r="F137">
        <v>47022.829751632074</v>
      </c>
      <c r="G137">
        <v>10000</v>
      </c>
      <c r="H137">
        <v>425734.78683217557</v>
      </c>
      <c r="I137">
        <v>49.358078477621625</v>
      </c>
    </row>
    <row r="138" spans="1:9" x14ac:dyDescent="0.2">
      <c r="A138">
        <v>133</v>
      </c>
      <c r="B138">
        <v>1536488.4132927475</v>
      </c>
      <c r="C138">
        <v>140100.18938635019</v>
      </c>
      <c r="D138">
        <v>161457.96628884546</v>
      </c>
      <c r="E138">
        <v>89286.624670257283</v>
      </c>
      <c r="F138">
        <v>42181.381707940884</v>
      </c>
      <c r="G138">
        <v>10000</v>
      </c>
      <c r="H138">
        <v>423026.16205339378</v>
      </c>
      <c r="I138">
        <v>38.344081397904965</v>
      </c>
    </row>
    <row r="139" spans="1:9" x14ac:dyDescent="0.2">
      <c r="A139">
        <v>134</v>
      </c>
      <c r="B139">
        <v>1499497.0514929364</v>
      </c>
      <c r="C139">
        <v>162120.32141543104</v>
      </c>
      <c r="D139">
        <v>75553.423151435258</v>
      </c>
      <c r="E139">
        <v>139553.08294370645</v>
      </c>
      <c r="F139">
        <v>45661.367280718143</v>
      </c>
      <c r="G139">
        <v>10000</v>
      </c>
      <c r="H139">
        <v>412888.19479129091</v>
      </c>
      <c r="I139">
        <v>42.436555178071885</v>
      </c>
    </row>
    <row r="140" spans="1:9" x14ac:dyDescent="0.2">
      <c r="A140">
        <v>135</v>
      </c>
      <c r="B140">
        <v>1202238.8557228995</v>
      </c>
      <c r="C140">
        <v>107285.4890772075</v>
      </c>
      <c r="D140">
        <v>124963.62369129418</v>
      </c>
      <c r="E140">
        <v>68433.851422942273</v>
      </c>
      <c r="F140">
        <v>40737.728175434466</v>
      </c>
      <c r="G140">
        <v>10000</v>
      </c>
      <c r="H140">
        <v>331420.69236687844</v>
      </c>
      <c r="I140">
        <v>26.573161598991007</v>
      </c>
    </row>
    <row r="141" spans="1:9" x14ac:dyDescent="0.2">
      <c r="A141">
        <v>136</v>
      </c>
      <c r="B141">
        <v>1475960.3854844307</v>
      </c>
      <c r="C141">
        <v>155406.41679002246</v>
      </c>
      <c r="D141">
        <v>105437.47972772707</v>
      </c>
      <c r="E141">
        <v>111850.2853468681</v>
      </c>
      <c r="F141">
        <v>43743.481293244709</v>
      </c>
      <c r="G141">
        <v>10000</v>
      </c>
      <c r="H141">
        <v>406437.66315786232</v>
      </c>
      <c r="I141">
        <v>31.955415939382839</v>
      </c>
    </row>
    <row r="142" spans="1:9" x14ac:dyDescent="0.2">
      <c r="A142">
        <v>137</v>
      </c>
      <c r="B142">
        <v>897018.81901664869</v>
      </c>
      <c r="C142">
        <v>89161.778575914374</v>
      </c>
      <c r="D142">
        <v>79206.885253023691</v>
      </c>
      <c r="E142">
        <v>49944.764822706959</v>
      </c>
      <c r="F142">
        <v>39457.714487725869</v>
      </c>
      <c r="G142">
        <v>10000</v>
      </c>
      <c r="H142">
        <v>247771.14313937089</v>
      </c>
      <c r="I142">
        <v>45.497623761787509</v>
      </c>
    </row>
    <row r="143" spans="1:9" x14ac:dyDescent="0.2">
      <c r="A143">
        <v>138</v>
      </c>
      <c r="B143">
        <v>1419403.6948376813</v>
      </c>
      <c r="C143">
        <v>102555.70002884451</v>
      </c>
      <c r="D143">
        <v>53395.539050825559</v>
      </c>
      <c r="E143">
        <v>195454.83366875636</v>
      </c>
      <c r="F143">
        <v>49531.488484760055</v>
      </c>
      <c r="G143">
        <v>10000</v>
      </c>
      <c r="H143">
        <v>390937.56123318651</v>
      </c>
      <c r="I143">
        <v>57.704577250644256</v>
      </c>
    </row>
    <row r="144" spans="1:9" x14ac:dyDescent="0.2">
      <c r="A144">
        <v>139</v>
      </c>
      <c r="B144">
        <v>1218810.1653385912</v>
      </c>
      <c r="C144">
        <v>135210.02126729136</v>
      </c>
      <c r="D144">
        <v>81602.077101578601</v>
      </c>
      <c r="E144">
        <v>87118.87195102236</v>
      </c>
      <c r="F144">
        <v>42031.306519686164</v>
      </c>
      <c r="G144">
        <v>10000</v>
      </c>
      <c r="H144">
        <v>335962.27683957852</v>
      </c>
      <c r="I144">
        <v>46.804485875152913</v>
      </c>
    </row>
    <row r="145" spans="1:9" x14ac:dyDescent="0.2">
      <c r="A145">
        <v>140</v>
      </c>
      <c r="B145">
        <v>1496004.2037074771</v>
      </c>
      <c r="C145">
        <v>105903.28836559683</v>
      </c>
      <c r="D145">
        <v>116773.12566490065</v>
      </c>
      <c r="E145">
        <v>152684.08351995351</v>
      </c>
      <c r="F145">
        <v>46570.436551381397</v>
      </c>
      <c r="G145">
        <v>10000</v>
      </c>
      <c r="H145">
        <v>411930.93410183233</v>
      </c>
      <c r="I145">
        <v>38.48476134620882</v>
      </c>
    </row>
    <row r="146" spans="1:9" x14ac:dyDescent="0.2">
      <c r="A146">
        <v>141</v>
      </c>
      <c r="B146">
        <v>1692636.1507024257</v>
      </c>
      <c r="C146">
        <v>122257.03913240835</v>
      </c>
      <c r="D146">
        <v>105167.26206762152</v>
      </c>
      <c r="E146">
        <v>198643.92218062023</v>
      </c>
      <c r="F146">
        <v>49752.2715355814</v>
      </c>
      <c r="G146">
        <v>10000</v>
      </c>
      <c r="H146">
        <v>465820.49491623143</v>
      </c>
      <c r="I146">
        <v>36.696939852738197</v>
      </c>
    </row>
    <row r="147" spans="1:9" x14ac:dyDescent="0.2">
      <c r="A147">
        <v>142</v>
      </c>
      <c r="B147">
        <v>1304327.5694383858</v>
      </c>
      <c r="C147">
        <v>99628.921210995672</v>
      </c>
      <c r="D147">
        <v>49411.344216334619</v>
      </c>
      <c r="E147">
        <v>172422.25114450642</v>
      </c>
      <c r="F147">
        <v>47936.925079235058</v>
      </c>
      <c r="G147">
        <v>10000</v>
      </c>
      <c r="H147">
        <v>359399.44165107171</v>
      </c>
      <c r="I147">
        <v>30.736919176181338</v>
      </c>
    </row>
    <row r="148" spans="1:9" x14ac:dyDescent="0.2">
      <c r="A148">
        <v>143</v>
      </c>
      <c r="B148">
        <v>1123548.6174919447</v>
      </c>
      <c r="C148">
        <v>86259.816420091855</v>
      </c>
      <c r="D148">
        <v>72969.95032652728</v>
      </c>
      <c r="E148">
        <v>116555.60112234582</v>
      </c>
      <c r="F148">
        <v>44069.233923854714</v>
      </c>
      <c r="G148">
        <v>10000</v>
      </c>
      <c r="H148">
        <v>309854.60179281968</v>
      </c>
      <c r="I148">
        <v>29.038498923801825</v>
      </c>
    </row>
    <row r="149" spans="1:9" x14ac:dyDescent="0.2">
      <c r="A149">
        <v>144</v>
      </c>
      <c r="B149">
        <v>1001883.182366751</v>
      </c>
      <c r="C149">
        <v>152715.32800773552</v>
      </c>
      <c r="D149">
        <v>56416.145854502909</v>
      </c>
      <c r="E149">
        <v>38699.897995381034</v>
      </c>
      <c r="F149">
        <v>38679.223707372534</v>
      </c>
      <c r="G149">
        <v>10000</v>
      </c>
      <c r="H149">
        <v>276510.59556499199</v>
      </c>
      <c r="I149">
        <v>45.46597856000718</v>
      </c>
    </row>
    <row r="150" spans="1:9" x14ac:dyDescent="0.2">
      <c r="A150">
        <v>145</v>
      </c>
      <c r="B150">
        <v>1021816.0495225093</v>
      </c>
      <c r="C150">
        <v>81211.960585800392</v>
      </c>
      <c r="D150">
        <v>50510.504379151149</v>
      </c>
      <c r="E150">
        <v>116205.96556534601</v>
      </c>
      <c r="F150">
        <v>44045.028385293183</v>
      </c>
      <c r="G150">
        <v>10000</v>
      </c>
      <c r="H150">
        <v>281973.45891559072</v>
      </c>
      <c r="I150">
        <v>37.833207370351516</v>
      </c>
    </row>
    <row r="151" spans="1:9" x14ac:dyDescent="0.2">
      <c r="A151">
        <v>146</v>
      </c>
      <c r="B151">
        <v>1363696.9673128873</v>
      </c>
      <c r="C151">
        <v>104236.14889064658</v>
      </c>
      <c r="D151">
        <v>115343.68200146376</v>
      </c>
      <c r="E151">
        <v>121667.44138637405</v>
      </c>
      <c r="F151">
        <v>44423.130557518205</v>
      </c>
      <c r="G151">
        <v>10000</v>
      </c>
      <c r="H151">
        <v>375670.40283600264</v>
      </c>
      <c r="I151">
        <v>35.8918575691781</v>
      </c>
    </row>
    <row r="152" spans="1:9" x14ac:dyDescent="0.2">
      <c r="A152">
        <v>147</v>
      </c>
      <c r="B152">
        <v>992190.29869365413</v>
      </c>
      <c r="C152">
        <v>114011.25372749615</v>
      </c>
      <c r="D152">
        <v>87448.454674370179</v>
      </c>
      <c r="E152">
        <v>43390.469819645084</v>
      </c>
      <c r="F152">
        <v>39003.95560289851</v>
      </c>
      <c r="G152">
        <v>10000</v>
      </c>
      <c r="H152">
        <v>273854.13382440992</v>
      </c>
      <c r="I152">
        <v>35.856505192749282</v>
      </c>
    </row>
    <row r="153" spans="1:9" x14ac:dyDescent="0.2">
      <c r="A153">
        <v>148</v>
      </c>
      <c r="B153">
        <v>1170804.456293179</v>
      </c>
      <c r="C153">
        <v>143710.25119958352</v>
      </c>
      <c r="D153">
        <v>88020.340839884637</v>
      </c>
      <c r="E153">
        <v>60861.596268831818</v>
      </c>
      <c r="F153">
        <v>40213.495126303736</v>
      </c>
      <c r="G153">
        <v>10000</v>
      </c>
      <c r="H153">
        <v>322805.68343460374</v>
      </c>
      <c r="I153">
        <v>48.391937162858518</v>
      </c>
    </row>
    <row r="154" spans="1:9" x14ac:dyDescent="0.2">
      <c r="A154">
        <v>149</v>
      </c>
      <c r="B154">
        <v>1561426.6134675751</v>
      </c>
      <c r="C154">
        <v>124410.56263764779</v>
      </c>
      <c r="D154">
        <v>89761.710486872791</v>
      </c>
      <c r="E154">
        <v>177406.53825007516</v>
      </c>
      <c r="F154">
        <v>48281.991109620591</v>
      </c>
      <c r="G154">
        <v>10000</v>
      </c>
      <c r="H154">
        <v>429860.80248421634</v>
      </c>
      <c r="I154">
        <v>29.666685233486163</v>
      </c>
    </row>
    <row r="155" spans="1:9" x14ac:dyDescent="0.2">
      <c r="A155">
        <v>150</v>
      </c>
      <c r="B155">
        <v>1114024.3599687489</v>
      </c>
      <c r="C155">
        <v>125424.88448909203</v>
      </c>
      <c r="D155">
        <v>72765.980640858033</v>
      </c>
      <c r="E155">
        <v>77675.925083322058</v>
      </c>
      <c r="F155">
        <v>41377.564044229985</v>
      </c>
      <c r="G155">
        <v>10000</v>
      </c>
      <c r="H155">
        <v>307244.35425750207</v>
      </c>
      <c r="I155">
        <v>25.900139605978318</v>
      </c>
    </row>
    <row r="156" spans="1:9" x14ac:dyDescent="0.2">
      <c r="A156">
        <v>151</v>
      </c>
      <c r="B156">
        <v>1512963.0623184959</v>
      </c>
      <c r="C156">
        <v>116209.24013667746</v>
      </c>
      <c r="D156">
        <v>58857.182620587206</v>
      </c>
      <c r="E156">
        <v>201558.27432005326</v>
      </c>
      <c r="F156">
        <v>49954.034376003685</v>
      </c>
      <c r="G156">
        <v>10000</v>
      </c>
      <c r="H156">
        <v>416578.73145332158</v>
      </c>
      <c r="I156">
        <v>33.309981926984953</v>
      </c>
    </row>
    <row r="157" spans="1:9" x14ac:dyDescent="0.2">
      <c r="A157">
        <v>152</v>
      </c>
      <c r="B157">
        <v>976751.40849366807</v>
      </c>
      <c r="C157">
        <v>107020.86853088517</v>
      </c>
      <c r="D157">
        <v>52856.19794500593</v>
      </c>
      <c r="E157">
        <v>78323.444910625578</v>
      </c>
      <c r="F157">
        <v>41422.392339966384</v>
      </c>
      <c r="G157">
        <v>10000</v>
      </c>
      <c r="H157">
        <v>269622.90372648305</v>
      </c>
      <c r="I157">
        <v>46.049238390492775</v>
      </c>
    </row>
    <row r="158" spans="1:9" x14ac:dyDescent="0.2">
      <c r="A158">
        <v>153</v>
      </c>
      <c r="B158">
        <v>1435514.6214219728</v>
      </c>
      <c r="C158">
        <v>110249.16063962894</v>
      </c>
      <c r="D158">
        <v>123918.18977806398</v>
      </c>
      <c r="E158">
        <v>126432.5954489693</v>
      </c>
      <c r="F158">
        <v>44753.025838774796</v>
      </c>
      <c r="G158">
        <v>10000</v>
      </c>
      <c r="H158">
        <v>395352.971705437</v>
      </c>
      <c r="I158">
        <v>40.830718355174483</v>
      </c>
    </row>
    <row r="159" spans="1:9" x14ac:dyDescent="0.2">
      <c r="A159">
        <v>154</v>
      </c>
      <c r="B159">
        <v>1503382.7094689286</v>
      </c>
      <c r="C159">
        <v>97732.042656258811</v>
      </c>
      <c r="D159">
        <v>109804.73435341736</v>
      </c>
      <c r="E159">
        <v>168734.70016124053</v>
      </c>
      <c r="F159">
        <v>47681.633088085888</v>
      </c>
      <c r="G159">
        <v>10000</v>
      </c>
      <c r="H159">
        <v>413953.11025900254</v>
      </c>
      <c r="I159">
        <v>40.193879361155204</v>
      </c>
    </row>
    <row r="160" spans="1:9" x14ac:dyDescent="0.2">
      <c r="A160">
        <v>155</v>
      </c>
      <c r="B160">
        <v>1215430.1711600837</v>
      </c>
      <c r="C160">
        <v>127559.83482915667</v>
      </c>
      <c r="D160">
        <v>67090.675824076607</v>
      </c>
      <c r="E160">
        <v>106979.18335109879</v>
      </c>
      <c r="F160">
        <v>43406.251155076068</v>
      </c>
      <c r="G160">
        <v>10000</v>
      </c>
      <c r="H160">
        <v>335035.94515940815</v>
      </c>
      <c r="I160">
        <v>39.877485514913872</v>
      </c>
    </row>
    <row r="161" spans="1:9" x14ac:dyDescent="0.2">
      <c r="A161">
        <v>156</v>
      </c>
      <c r="B161">
        <v>1202673.5791184073</v>
      </c>
      <c r="C161">
        <v>76230.982402042122</v>
      </c>
      <c r="D161">
        <v>33385.444063680676</v>
      </c>
      <c r="E161">
        <v>183237.71928413346</v>
      </c>
      <c r="F161">
        <v>48685.688258132323</v>
      </c>
      <c r="G161">
        <v>10000</v>
      </c>
      <c r="H161">
        <v>331539.83400798857</v>
      </c>
      <c r="I161">
        <v>26.448113193103133</v>
      </c>
    </row>
    <row r="162" spans="1:9" x14ac:dyDescent="0.2">
      <c r="A162">
        <v>157</v>
      </c>
      <c r="B162">
        <v>1012822.239907891</v>
      </c>
      <c r="C162">
        <v>134187.06276314359</v>
      </c>
      <c r="D162">
        <v>55891.592633531858</v>
      </c>
      <c r="E162">
        <v>59322.958155302193</v>
      </c>
      <c r="F162">
        <v>40106.974026136304</v>
      </c>
      <c r="G162">
        <v>10000</v>
      </c>
      <c r="H162">
        <v>279508.58757811395</v>
      </c>
      <c r="I162">
        <v>31.698722594350802</v>
      </c>
    </row>
    <row r="163" spans="1:9" x14ac:dyDescent="0.2">
      <c r="A163">
        <v>158</v>
      </c>
      <c r="B163">
        <v>1422508.8733436172</v>
      </c>
      <c r="C163">
        <v>71470.219919850191</v>
      </c>
      <c r="D163">
        <v>153332.74062035754</v>
      </c>
      <c r="E163">
        <v>131857.05050334183</v>
      </c>
      <c r="F163">
        <v>45128.565034846739</v>
      </c>
      <c r="G163">
        <v>10000</v>
      </c>
      <c r="H163">
        <v>391788.57607839629</v>
      </c>
      <c r="I163">
        <v>36.277625208389466</v>
      </c>
    </row>
    <row r="164" spans="1:9" x14ac:dyDescent="0.2">
      <c r="A164">
        <v>159</v>
      </c>
      <c r="B164">
        <v>1072418.6945132946</v>
      </c>
      <c r="C164">
        <v>112032.43314692278</v>
      </c>
      <c r="D164">
        <v>109549.91342543722</v>
      </c>
      <c r="E164">
        <v>45134.718763089186</v>
      </c>
      <c r="F164">
        <v>39124.7112989831</v>
      </c>
      <c r="G164">
        <v>10000</v>
      </c>
      <c r="H164">
        <v>295841.77663443226</v>
      </c>
      <c r="I164">
        <v>36.596497256847059</v>
      </c>
    </row>
    <row r="165" spans="1:9" x14ac:dyDescent="0.2">
      <c r="A165">
        <v>160</v>
      </c>
      <c r="B165">
        <v>1087885.8213568553</v>
      </c>
      <c r="C165">
        <v>123629.06298151182</v>
      </c>
      <c r="D165">
        <v>38001.323241813567</v>
      </c>
      <c r="E165">
        <v>105169.40062619511</v>
      </c>
      <c r="F165">
        <v>43280.958504890426</v>
      </c>
      <c r="G165">
        <v>10000</v>
      </c>
      <c r="H165">
        <v>300080.74535441096</v>
      </c>
      <c r="I165">
        <v>47.26075422013259</v>
      </c>
    </row>
    <row r="166" spans="1:9" x14ac:dyDescent="0.2">
      <c r="A166">
        <v>161</v>
      </c>
      <c r="B166">
        <v>879892.76934349304</v>
      </c>
      <c r="C166">
        <v>108762.7535009133</v>
      </c>
      <c r="D166">
        <v>61106.871846541522</v>
      </c>
      <c r="E166">
        <v>44151.272950857267</v>
      </c>
      <c r="F166">
        <v>39056.626588905499</v>
      </c>
      <c r="G166">
        <v>10000</v>
      </c>
      <c r="H166">
        <v>243077.52488721759</v>
      </c>
      <c r="I166">
        <v>28.531485996406911</v>
      </c>
    </row>
    <row r="167" spans="1:9" x14ac:dyDescent="0.2">
      <c r="A167">
        <v>162</v>
      </c>
      <c r="B167">
        <v>1551796.2380777658</v>
      </c>
      <c r="C167">
        <v>132625.95816380568</v>
      </c>
      <c r="D167">
        <v>87313.116699127626</v>
      </c>
      <c r="E167">
        <v>169544.68793015511</v>
      </c>
      <c r="F167">
        <v>47737.709164395354</v>
      </c>
      <c r="G167">
        <v>10000</v>
      </c>
      <c r="H167">
        <v>427221.47195748379</v>
      </c>
      <c r="I167">
        <v>44.177670031524599</v>
      </c>
    </row>
    <row r="168" spans="1:9" x14ac:dyDescent="0.2">
      <c r="A168">
        <v>163</v>
      </c>
      <c r="B168">
        <v>1322592.6668496265</v>
      </c>
      <c r="C168">
        <v>101716.82335533788</v>
      </c>
      <c r="D168">
        <v>81429.213297867784</v>
      </c>
      <c r="E168">
        <v>145206.44062185427</v>
      </c>
      <c r="F168">
        <v>46052.753581512981</v>
      </c>
      <c r="G168">
        <v>10000</v>
      </c>
      <c r="H168">
        <v>364405.23085657286</v>
      </c>
      <c r="I168">
        <v>47.79384955203065</v>
      </c>
    </row>
    <row r="169" spans="1:9" x14ac:dyDescent="0.2">
      <c r="A169">
        <v>164</v>
      </c>
      <c r="B169">
        <v>1644106.4010645493</v>
      </c>
      <c r="C169">
        <v>125110.92481347364</v>
      </c>
      <c r="D169">
        <v>147807.42750877404</v>
      </c>
      <c r="E169">
        <v>143656.48035978738</v>
      </c>
      <c r="F169">
        <v>45945.448640292969</v>
      </c>
      <c r="G169">
        <v>10000</v>
      </c>
      <c r="H169">
        <v>452520.28132232802</v>
      </c>
      <c r="I169">
        <v>31.16745716933011</v>
      </c>
    </row>
    <row r="170" spans="1:9" x14ac:dyDescent="0.2">
      <c r="A170">
        <v>165</v>
      </c>
      <c r="B170">
        <v>1500976.7112906286</v>
      </c>
      <c r="C170">
        <v>114650.71408491429</v>
      </c>
      <c r="D170">
        <v>147297.68457349061</v>
      </c>
      <c r="E170">
        <v>117229.43249484332</v>
      </c>
      <c r="F170">
        <v>44115.88378810454</v>
      </c>
      <c r="G170">
        <v>10000</v>
      </c>
      <c r="H170">
        <v>413293.71494135272</v>
      </c>
      <c r="I170">
        <v>30.944947962380741</v>
      </c>
    </row>
    <row r="171" spans="1:9" x14ac:dyDescent="0.2">
      <c r="A171">
        <v>166</v>
      </c>
      <c r="B171">
        <v>1115624.65125984</v>
      </c>
      <c r="C171">
        <v>113239.1294855434</v>
      </c>
      <c r="D171">
        <v>72967.639254076712</v>
      </c>
      <c r="E171">
        <v>89294.256260120208</v>
      </c>
      <c r="F171">
        <v>42181.91004877755</v>
      </c>
      <c r="G171">
        <v>10000</v>
      </c>
      <c r="H171">
        <v>307682.93504851783</v>
      </c>
      <c r="I171">
        <v>43.054901786788307</v>
      </c>
    </row>
    <row r="172" spans="1:9" x14ac:dyDescent="0.2">
      <c r="A172">
        <v>167</v>
      </c>
      <c r="B172">
        <v>1585011.6066130013</v>
      </c>
      <c r="C172">
        <v>119050.26731245947</v>
      </c>
      <c r="D172">
        <v>100863.39275478212</v>
      </c>
      <c r="E172">
        <v>178082.15421289671</v>
      </c>
      <c r="F172">
        <v>48328.764522431309</v>
      </c>
      <c r="G172">
        <v>10000</v>
      </c>
      <c r="H172">
        <v>436324.57880256959</v>
      </c>
      <c r="I172">
        <v>39.070020151318104</v>
      </c>
    </row>
    <row r="173" spans="1:9" x14ac:dyDescent="0.2">
      <c r="A173">
        <v>168</v>
      </c>
      <c r="B173">
        <v>1181606.7171987779</v>
      </c>
      <c r="C173">
        <v>135498.42888231919</v>
      </c>
      <c r="D173">
        <v>113856.68850273063</v>
      </c>
      <c r="E173">
        <v>47147.041222011409</v>
      </c>
      <c r="F173">
        <v>39264.025930754637</v>
      </c>
      <c r="G173">
        <v>10000</v>
      </c>
      <c r="H173">
        <v>325766.18453781586</v>
      </c>
      <c r="I173">
        <v>36.34488133274801</v>
      </c>
    </row>
    <row r="174" spans="1:9" x14ac:dyDescent="0.2">
      <c r="A174">
        <v>169</v>
      </c>
      <c r="B174">
        <v>1427667.3054939888</v>
      </c>
      <c r="C174">
        <v>131143.23673817271</v>
      </c>
      <c r="D174">
        <v>62285.318587688598</v>
      </c>
      <c r="E174">
        <v>162522.218454488</v>
      </c>
      <c r="F174">
        <v>47251.538200695322</v>
      </c>
      <c r="G174">
        <v>10000</v>
      </c>
      <c r="H174">
        <v>393202.31198104459</v>
      </c>
      <c r="I174">
        <v>35.141446996724937</v>
      </c>
    </row>
    <row r="175" spans="1:9" x14ac:dyDescent="0.2">
      <c r="A175">
        <v>170</v>
      </c>
      <c r="B175">
        <v>1343411.2160012778</v>
      </c>
      <c r="C175">
        <v>97064.818976542098</v>
      </c>
      <c r="D175">
        <v>56010.178657113727</v>
      </c>
      <c r="E175">
        <v>178666.60296704539</v>
      </c>
      <c r="F175">
        <v>48369.226359256987</v>
      </c>
      <c r="G175">
        <v>10000</v>
      </c>
      <c r="H175">
        <v>370110.82695995818</v>
      </c>
      <c r="I175">
        <v>46.074198981264047</v>
      </c>
    </row>
    <row r="176" spans="1:9" x14ac:dyDescent="0.2">
      <c r="A176">
        <v>171</v>
      </c>
      <c r="B176">
        <v>933980.3699594622</v>
      </c>
      <c r="C176">
        <v>112825.50511984363</v>
      </c>
      <c r="D176">
        <v>50134.748837731255</v>
      </c>
      <c r="E176">
        <v>64476.900938452323</v>
      </c>
      <c r="F176">
        <v>40463.785449585164</v>
      </c>
      <c r="G176">
        <v>10000</v>
      </c>
      <c r="H176">
        <v>257900.94034561241</v>
      </c>
      <c r="I176">
        <v>45.312403950805638</v>
      </c>
    </row>
    <row r="177" spans="1:9" x14ac:dyDescent="0.2">
      <c r="A177">
        <v>172</v>
      </c>
      <c r="B177">
        <v>1292907.7655469347</v>
      </c>
      <c r="C177">
        <v>110494.35326126385</v>
      </c>
      <c r="D177">
        <v>121044.85343265768</v>
      </c>
      <c r="E177">
        <v>92337.86657702997</v>
      </c>
      <c r="F177">
        <v>42392.621532255922</v>
      </c>
      <c r="G177">
        <v>10000</v>
      </c>
      <c r="H177">
        <v>356269.69480320741</v>
      </c>
      <c r="I177">
        <v>28.071866480164417</v>
      </c>
    </row>
    <row r="178" spans="1:9" x14ac:dyDescent="0.2">
      <c r="A178">
        <v>173</v>
      </c>
      <c r="B178">
        <v>1692554.1038865685</v>
      </c>
      <c r="C178">
        <v>132928.60479381608</v>
      </c>
      <c r="D178">
        <v>93101.431712272781</v>
      </c>
      <c r="E178">
        <v>199926.88066701544</v>
      </c>
      <c r="F178">
        <v>49841.09173848568</v>
      </c>
      <c r="G178">
        <v>10000</v>
      </c>
      <c r="H178">
        <v>465798.00891158998</v>
      </c>
      <c r="I178">
        <v>28.756690123713504</v>
      </c>
    </row>
    <row r="179" spans="1:9" x14ac:dyDescent="0.2">
      <c r="A179">
        <v>174</v>
      </c>
      <c r="B179">
        <v>1601391.8373254559</v>
      </c>
      <c r="C179">
        <v>125354.63501268133</v>
      </c>
      <c r="D179">
        <v>95951.153761799593</v>
      </c>
      <c r="E179">
        <v>180978.71141846347</v>
      </c>
      <c r="F179">
        <v>48529.295405893623</v>
      </c>
      <c r="G179">
        <v>10000</v>
      </c>
      <c r="H179">
        <v>440813.79559883807</v>
      </c>
      <c r="I179">
        <v>54.835819836175183</v>
      </c>
    </row>
    <row r="180" spans="1:9" x14ac:dyDescent="0.2">
      <c r="A180">
        <v>175</v>
      </c>
      <c r="B180">
        <v>999645.84635408688</v>
      </c>
      <c r="C180">
        <v>88941.859117888409</v>
      </c>
      <c r="D180">
        <v>78531.30457423364</v>
      </c>
      <c r="E180">
        <v>77087.438000280003</v>
      </c>
      <c r="F180">
        <v>41336.822630788614</v>
      </c>
      <c r="G180">
        <v>10000</v>
      </c>
      <c r="H180">
        <v>275897.42432319064</v>
      </c>
      <c r="I180">
        <v>34.743897491193948</v>
      </c>
    </row>
    <row r="181" spans="1:9" x14ac:dyDescent="0.2">
      <c r="A181">
        <v>176</v>
      </c>
      <c r="B181">
        <v>1535880.4085962698</v>
      </c>
      <c r="C181">
        <v>97844.464043099535</v>
      </c>
      <c r="D181">
        <v>82971.773486671475</v>
      </c>
      <c r="E181">
        <v>202054.87822572226</v>
      </c>
      <c r="F181">
        <v>49988.414646396152</v>
      </c>
      <c r="G181">
        <v>10000</v>
      </c>
      <c r="H181">
        <v>422859.53040188947</v>
      </c>
      <c r="I181">
        <v>38.930214510403395</v>
      </c>
    </row>
    <row r="182" spans="1:9" x14ac:dyDescent="0.2">
      <c r="A182">
        <v>177</v>
      </c>
      <c r="B182">
        <v>1015585.4892527387</v>
      </c>
      <c r="C182">
        <v>81196.633679475781</v>
      </c>
      <c r="D182">
        <v>115933.66829147967</v>
      </c>
      <c r="E182">
        <v>53436.163577526691</v>
      </c>
      <c r="F182">
        <v>39699.426709213381</v>
      </c>
      <c r="G182">
        <v>10000</v>
      </c>
      <c r="H182">
        <v>280265.89225769555</v>
      </c>
      <c r="I182">
        <v>56.705007939172425</v>
      </c>
    </row>
    <row r="183" spans="1:9" x14ac:dyDescent="0.2">
      <c r="A183">
        <v>178</v>
      </c>
      <c r="B183">
        <v>868067.42777637066</v>
      </c>
      <c r="C183">
        <v>137139.34784206204</v>
      </c>
      <c r="D183">
        <v>48867.327374515247</v>
      </c>
      <c r="E183">
        <v>26028.020060179369</v>
      </c>
      <c r="F183">
        <v>37801.939850320116</v>
      </c>
      <c r="G183">
        <v>10000</v>
      </c>
      <c r="H183">
        <v>239836.63512707676</v>
      </c>
      <c r="I183">
        <v>33.808495151379574</v>
      </c>
    </row>
    <row r="184" spans="1:9" x14ac:dyDescent="0.2">
      <c r="A184">
        <v>179</v>
      </c>
      <c r="B184">
        <v>1713638.570877525</v>
      </c>
      <c r="C184">
        <v>128262.55782525853</v>
      </c>
      <c r="D184">
        <v>163842.70598764965</v>
      </c>
      <c r="E184">
        <v>143534.234036004</v>
      </c>
      <c r="F184">
        <v>45936.985433261812</v>
      </c>
      <c r="G184">
        <v>10000</v>
      </c>
      <c r="H184">
        <v>471576.48328217398</v>
      </c>
      <c r="I184">
        <v>33.595366853827983</v>
      </c>
    </row>
    <row r="185" spans="1:9" x14ac:dyDescent="0.2">
      <c r="A185">
        <v>180</v>
      </c>
      <c r="B185">
        <v>1562622.3876993344</v>
      </c>
      <c r="C185">
        <v>114915.76974378061</v>
      </c>
      <c r="D185">
        <v>129843.02899063613</v>
      </c>
      <c r="E185">
        <v>149106.93362903659</v>
      </c>
      <c r="F185">
        <v>46322.787712779456</v>
      </c>
      <c r="G185">
        <v>10000</v>
      </c>
      <c r="H185">
        <v>430188.52007623279</v>
      </c>
      <c r="I185">
        <v>37.109221795607382</v>
      </c>
    </row>
    <row r="186" spans="1:9" x14ac:dyDescent="0.2">
      <c r="A186">
        <v>181</v>
      </c>
      <c r="B186">
        <v>971515.39576876664</v>
      </c>
      <c r="C186">
        <v>97219.034159620234</v>
      </c>
      <c r="D186">
        <v>116445.08035459137</v>
      </c>
      <c r="E186">
        <v>26676.927149639501</v>
      </c>
      <c r="F186">
        <v>37846.864187282736</v>
      </c>
      <c r="G186">
        <v>10000</v>
      </c>
      <c r="H186">
        <v>268187.90585113381</v>
      </c>
      <c r="I186">
        <v>33.880324553161245</v>
      </c>
    </row>
    <row r="187" spans="1:9" x14ac:dyDescent="0.2">
      <c r="A187">
        <v>182</v>
      </c>
      <c r="B187">
        <v>1691225.7988849147</v>
      </c>
      <c r="C187">
        <v>162228.50350282236</v>
      </c>
      <c r="D187">
        <v>55936.600866718145</v>
      </c>
      <c r="E187">
        <v>206942.10410318602</v>
      </c>
      <c r="F187">
        <v>50326.761053297494</v>
      </c>
      <c r="G187">
        <v>10000</v>
      </c>
      <c r="H187">
        <v>465433.96952602401</v>
      </c>
      <c r="I187">
        <v>36.989505896483671</v>
      </c>
    </row>
    <row r="188" spans="1:9" x14ac:dyDescent="0.2">
      <c r="A188">
        <v>183</v>
      </c>
      <c r="B188">
        <v>1537260.6197670859</v>
      </c>
      <c r="C188">
        <v>131004.80827879463</v>
      </c>
      <c r="D188">
        <v>102765.597827391</v>
      </c>
      <c r="E188">
        <v>152883.16979922462</v>
      </c>
      <c r="F188">
        <v>46584.219447638621</v>
      </c>
      <c r="G188">
        <v>10000</v>
      </c>
      <c r="H188">
        <v>423237.79535304883</v>
      </c>
      <c r="I188">
        <v>41.530702115883471</v>
      </c>
    </row>
    <row r="189" spans="1:9" x14ac:dyDescent="0.2">
      <c r="A189">
        <v>184</v>
      </c>
      <c r="B189">
        <v>1687467.5001607954</v>
      </c>
      <c r="C189">
        <v>114486.49700920237</v>
      </c>
      <c r="D189">
        <v>124651.98820456438</v>
      </c>
      <c r="E189">
        <v>186363.39230977662</v>
      </c>
      <c r="F189">
        <v>48902.08100606146</v>
      </c>
      <c r="G189">
        <v>10000</v>
      </c>
      <c r="H189">
        <v>464403.95852960483</v>
      </c>
      <c r="I189">
        <v>40.041305153577888</v>
      </c>
    </row>
    <row r="190" spans="1:9" x14ac:dyDescent="0.2">
      <c r="A190">
        <v>185</v>
      </c>
      <c r="B190">
        <v>823450.77368621598</v>
      </c>
      <c r="C190">
        <v>93614.31990190332</v>
      </c>
      <c r="D190">
        <v>75881.171890576938</v>
      </c>
      <c r="E190">
        <v>30034.082219176511</v>
      </c>
      <c r="F190">
        <v>38079.282615173761</v>
      </c>
      <c r="G190">
        <v>10000</v>
      </c>
      <c r="H190">
        <v>227608.85662683053</v>
      </c>
      <c r="I190">
        <v>52.92191876738336</v>
      </c>
    </row>
    <row r="191" spans="1:9" x14ac:dyDescent="0.2">
      <c r="A191">
        <v>186</v>
      </c>
      <c r="B191">
        <v>1460617.6103302974</v>
      </c>
      <c r="C191">
        <v>102785.9951192906</v>
      </c>
      <c r="D191">
        <v>131060.76703687475</v>
      </c>
      <c r="E191">
        <v>133166.77427227577</v>
      </c>
      <c r="F191">
        <v>45219.23821884986</v>
      </c>
      <c r="G191">
        <v>10000</v>
      </c>
      <c r="H191">
        <v>402232.77464729099</v>
      </c>
      <c r="I191">
        <v>32.331247057082635</v>
      </c>
    </row>
    <row r="192" spans="1:9" x14ac:dyDescent="0.2">
      <c r="A192">
        <v>187</v>
      </c>
      <c r="B192">
        <v>1257539.756209509</v>
      </c>
      <c r="C192">
        <v>101720.23374845371</v>
      </c>
      <c r="D192">
        <v>86455.146493751425</v>
      </c>
      <c r="E192">
        <v>123828.50560992189</v>
      </c>
      <c r="F192">
        <v>44572.742696071517</v>
      </c>
      <c r="G192">
        <v>10000</v>
      </c>
      <c r="H192">
        <v>346576.62854819855</v>
      </c>
      <c r="I192">
        <v>39.968119412891085</v>
      </c>
    </row>
    <row r="193" spans="1:9" x14ac:dyDescent="0.2">
      <c r="A193">
        <v>188</v>
      </c>
      <c r="B193">
        <v>1251768.0879242977</v>
      </c>
      <c r="C193">
        <v>136502.50182563259</v>
      </c>
      <c r="D193">
        <v>59007.788830411359</v>
      </c>
      <c r="E193">
        <v>115489.13494383308</v>
      </c>
      <c r="F193">
        <v>43995.401649957668</v>
      </c>
      <c r="G193">
        <v>10000</v>
      </c>
      <c r="H193">
        <v>344994.82724983466</v>
      </c>
      <c r="I193">
        <v>39.44410022241518</v>
      </c>
    </row>
    <row r="194" spans="1:9" x14ac:dyDescent="0.2">
      <c r="A194">
        <v>189</v>
      </c>
      <c r="B194">
        <v>1601169.681487774</v>
      </c>
      <c r="C194">
        <v>137511.93740622766</v>
      </c>
      <c r="D194">
        <v>177248.75059040426</v>
      </c>
      <c r="E194">
        <v>93517.906295140332</v>
      </c>
      <c r="F194">
        <v>42474.316589663562</v>
      </c>
      <c r="G194">
        <v>10000</v>
      </c>
      <c r="H194">
        <v>440752.91088143585</v>
      </c>
      <c r="I194">
        <v>40.24035314278013</v>
      </c>
    </row>
    <row r="195" spans="1:9" x14ac:dyDescent="0.2">
      <c r="A195">
        <v>190</v>
      </c>
      <c r="B195">
        <v>1718688.8355978229</v>
      </c>
      <c r="C195">
        <v>158351.87895240597</v>
      </c>
      <c r="D195">
        <v>135537.34114504975</v>
      </c>
      <c r="E195">
        <v>143160.25949792002</v>
      </c>
      <c r="F195">
        <v>45911.094888317544</v>
      </c>
      <c r="G195">
        <v>10000</v>
      </c>
      <c r="H195">
        <v>472960.57448369323</v>
      </c>
      <c r="I195">
        <v>42.737313989683088</v>
      </c>
    </row>
    <row r="196" spans="1:9" x14ac:dyDescent="0.2">
      <c r="A196">
        <v>191</v>
      </c>
      <c r="B196">
        <v>1126657.7550479749</v>
      </c>
      <c r="C196">
        <v>99325.270711344347</v>
      </c>
      <c r="D196">
        <v>117079.66117562779</v>
      </c>
      <c r="E196">
        <v>63879.353032212413</v>
      </c>
      <c r="F196">
        <v>40422.416748383941</v>
      </c>
      <c r="G196">
        <v>10000</v>
      </c>
      <c r="H196">
        <v>310706.70166756847</v>
      </c>
      <c r="I196">
        <v>49.079483293134778</v>
      </c>
    </row>
    <row r="197" spans="1:9" x14ac:dyDescent="0.2">
      <c r="A197">
        <v>192</v>
      </c>
      <c r="B197">
        <v>1334913.1734132676</v>
      </c>
      <c r="C197">
        <v>99100.606950897185</v>
      </c>
      <c r="D197">
        <v>129795.82073866481</v>
      </c>
      <c r="E197">
        <v>105576.27280215087</v>
      </c>
      <c r="F197">
        <v>43309.126578610441</v>
      </c>
      <c r="G197">
        <v>10000</v>
      </c>
      <c r="H197">
        <v>367781.82707032334</v>
      </c>
      <c r="I197">
        <v>37.70308312080644</v>
      </c>
    </row>
    <row r="198" spans="1:9" x14ac:dyDescent="0.2">
      <c r="A198">
        <v>193</v>
      </c>
      <c r="B198">
        <v>1445977.5233594812</v>
      </c>
      <c r="C198">
        <v>112233.63475859741</v>
      </c>
      <c r="D198">
        <v>81806.557983025399</v>
      </c>
      <c r="E198">
        <v>166643.42200388043</v>
      </c>
      <c r="F198">
        <v>47536.852292576339</v>
      </c>
      <c r="G198">
        <v>10000</v>
      </c>
      <c r="H198">
        <v>398220.46703807957</v>
      </c>
      <c r="I198">
        <v>31.522186627825132</v>
      </c>
    </row>
    <row r="199" spans="1:9" x14ac:dyDescent="0.2">
      <c r="A199">
        <v>194</v>
      </c>
      <c r="B199">
        <v>1197709.8273209124</v>
      </c>
      <c r="C199">
        <v>109325.09225621264</v>
      </c>
      <c r="D199">
        <v>93558.948011598608</v>
      </c>
      <c r="E199">
        <v>94736.716762542419</v>
      </c>
      <c r="F199">
        <v>42558.69577586832</v>
      </c>
      <c r="G199">
        <v>10000</v>
      </c>
      <c r="H199">
        <v>330179.45280622196</v>
      </c>
      <c r="I199">
        <v>35.915222739648478</v>
      </c>
    </row>
    <row r="200" spans="1:9" x14ac:dyDescent="0.2">
      <c r="A200">
        <v>195</v>
      </c>
      <c r="B200">
        <v>1485977.3610663142</v>
      </c>
      <c r="C200">
        <v>119410.7937842535</v>
      </c>
      <c r="D200">
        <v>78016.253688846482</v>
      </c>
      <c r="E200">
        <v>173728.53868764095</v>
      </c>
      <c r="F200">
        <v>48027.360370682836</v>
      </c>
      <c r="G200">
        <v>10000</v>
      </c>
      <c r="H200">
        <v>409182.94653142378</v>
      </c>
      <c r="I200">
        <v>25.888399323678325</v>
      </c>
    </row>
    <row r="201" spans="1:9" x14ac:dyDescent="0.2">
      <c r="A201">
        <v>196</v>
      </c>
      <c r="B201">
        <v>829474.49025144405</v>
      </c>
      <c r="C201">
        <v>92370.007842470572</v>
      </c>
      <c r="D201">
        <v>67360.163919894956</v>
      </c>
      <c r="E201">
        <v>40711.102362812853</v>
      </c>
      <c r="F201">
        <v>38818.460932810121</v>
      </c>
      <c r="G201">
        <v>10000</v>
      </c>
      <c r="H201">
        <v>229259.7350579885</v>
      </c>
      <c r="I201">
        <v>26.71156095462954</v>
      </c>
    </row>
    <row r="202" spans="1:9" x14ac:dyDescent="0.2">
      <c r="A202">
        <v>197</v>
      </c>
      <c r="B202">
        <v>1357707.3756173421</v>
      </c>
      <c r="C202">
        <v>118426.52197930406</v>
      </c>
      <c r="D202">
        <v>86599.756260836191</v>
      </c>
      <c r="E202">
        <v>133743.43747620765</v>
      </c>
      <c r="F202">
        <v>45259.161056045145</v>
      </c>
      <c r="G202">
        <v>10000</v>
      </c>
      <c r="H202">
        <v>374028.87677239307</v>
      </c>
      <c r="I202">
        <v>39.118625927449244</v>
      </c>
    </row>
    <row r="203" spans="1:9" x14ac:dyDescent="0.2">
      <c r="A203">
        <v>198</v>
      </c>
      <c r="B203">
        <v>765396.45380203309</v>
      </c>
      <c r="C203">
        <v>93792.314074041307</v>
      </c>
      <c r="D203">
        <v>38599.278064395563</v>
      </c>
      <c r="E203">
        <v>49855.203560647627</v>
      </c>
      <c r="F203">
        <v>39451.514092660218</v>
      </c>
      <c r="G203">
        <v>10000</v>
      </c>
      <c r="H203">
        <v>211698.30979174469</v>
      </c>
      <c r="I203">
        <v>38.325732853372415</v>
      </c>
    </row>
    <row r="204" spans="1:9" x14ac:dyDescent="0.2">
      <c r="A204">
        <v>199</v>
      </c>
      <c r="B204">
        <v>1228653.0509078153</v>
      </c>
      <c r="C204">
        <v>106516.86306203666</v>
      </c>
      <c r="D204">
        <v>54241.358095486328</v>
      </c>
      <c r="E204">
        <v>142066.27023694111</v>
      </c>
      <c r="F204">
        <v>45835.357170249772</v>
      </c>
      <c r="G204">
        <v>10000</v>
      </c>
      <c r="H204">
        <v>338659.84856471384</v>
      </c>
      <c r="I204">
        <v>51.714495787824646</v>
      </c>
    </row>
    <row r="205" spans="1:9" x14ac:dyDescent="0.2">
      <c r="A205">
        <v>200</v>
      </c>
      <c r="B205">
        <v>892491.12716080574</v>
      </c>
      <c r="C205">
        <v>98867.863002067606</v>
      </c>
      <c r="D205">
        <v>66321.716241824819</v>
      </c>
      <c r="E205">
        <v>51757.480447943133</v>
      </c>
      <c r="F205">
        <v>39583.210184857606</v>
      </c>
      <c r="G205">
        <v>10000</v>
      </c>
      <c r="H205">
        <v>246530.26987669314</v>
      </c>
      <c r="I205">
        <v>36.54316063668022</v>
      </c>
    </row>
    <row r="206" spans="1:9" x14ac:dyDescent="0.2">
      <c r="A206">
        <v>201</v>
      </c>
      <c r="B206">
        <v>1314217.2736281431</v>
      </c>
      <c r="C206">
        <v>91956.684197742565</v>
      </c>
      <c r="D206">
        <v>109440.91369917642</v>
      </c>
      <c r="E206">
        <v>125989.8710476238</v>
      </c>
      <c r="F206">
        <v>44722.375687912412</v>
      </c>
      <c r="G206">
        <v>10000</v>
      </c>
      <c r="H206">
        <v>362109.84463245521</v>
      </c>
      <c r="I206">
        <v>45.774249338423239</v>
      </c>
    </row>
    <row r="207" spans="1:9" x14ac:dyDescent="0.2">
      <c r="A207">
        <v>202</v>
      </c>
      <c r="B207">
        <v>1370838.0541807229</v>
      </c>
      <c r="C207">
        <v>103109.28941812526</v>
      </c>
      <c r="D207">
        <v>54798.906052444087</v>
      </c>
      <c r="E207">
        <v>181176.33848505281</v>
      </c>
      <c r="F207">
        <v>48542.977279734427</v>
      </c>
      <c r="G207">
        <v>10000</v>
      </c>
      <c r="H207">
        <v>377627.51123535662</v>
      </c>
      <c r="I207">
        <v>39.363866422804549</v>
      </c>
    </row>
    <row r="208" spans="1:9" x14ac:dyDescent="0.2">
      <c r="A208">
        <v>203</v>
      </c>
      <c r="B208">
        <v>977028.26540285395</v>
      </c>
      <c r="C208">
        <v>151306.45446735222</v>
      </c>
      <c r="D208">
        <v>37772.014334077197</v>
      </c>
      <c r="E208">
        <v>51083.744276216748</v>
      </c>
      <c r="F208">
        <v>39536.566911430389</v>
      </c>
      <c r="G208">
        <v>10000</v>
      </c>
      <c r="H208">
        <v>269698.77998907655</v>
      </c>
      <c r="I208">
        <v>37.099360227860792</v>
      </c>
    </row>
    <row r="209" spans="1:9" x14ac:dyDescent="0.2">
      <c r="A209">
        <v>204</v>
      </c>
      <c r="B209">
        <v>1735258.3821093072</v>
      </c>
      <c r="C209">
        <v>98445.59761707978</v>
      </c>
      <c r="D209">
        <v>134729.37795208933</v>
      </c>
      <c r="E209">
        <v>204190.43902233595</v>
      </c>
      <c r="F209">
        <v>50136.261163084797</v>
      </c>
      <c r="G209">
        <v>10000</v>
      </c>
      <c r="H209">
        <v>477501.67575458984</v>
      </c>
      <c r="I209">
        <v>27.061638767930919</v>
      </c>
    </row>
    <row r="210" spans="1:9" x14ac:dyDescent="0.2">
      <c r="A210">
        <v>205</v>
      </c>
      <c r="B210">
        <v>1712776.8085470963</v>
      </c>
      <c r="C210">
        <v>160648.54071961588</v>
      </c>
      <c r="D210">
        <v>103637.53805021147</v>
      </c>
      <c r="E210">
        <v>169331.29167940622</v>
      </c>
      <c r="F210">
        <v>47722.935577805045</v>
      </c>
      <c r="G210">
        <v>10000</v>
      </c>
      <c r="H210">
        <v>471340.3060270386</v>
      </c>
      <c r="I210">
        <v>34.398057518486837</v>
      </c>
    </row>
    <row r="211" spans="1:9" x14ac:dyDescent="0.2">
      <c r="A211">
        <v>206</v>
      </c>
      <c r="B211">
        <v>862000.77482209727</v>
      </c>
      <c r="C211">
        <v>103573.02299190662</v>
      </c>
      <c r="D211">
        <v>79560.844809732196</v>
      </c>
      <c r="E211">
        <v>27159.825970326037</v>
      </c>
      <c r="F211">
        <v>37880.295644099497</v>
      </c>
      <c r="G211">
        <v>10000</v>
      </c>
      <c r="H211">
        <v>238173.98941606435</v>
      </c>
      <c r="I211">
        <v>41.103424009130421</v>
      </c>
    </row>
    <row r="212" spans="1:9" x14ac:dyDescent="0.2">
      <c r="A212">
        <v>207</v>
      </c>
      <c r="B212">
        <v>1352229.82286142</v>
      </c>
      <c r="C212">
        <v>154188.98021720946</v>
      </c>
      <c r="D212">
        <v>112282.28720679668</v>
      </c>
      <c r="E212">
        <v>74872.905426324549</v>
      </c>
      <c r="F212">
        <v>41183.50883720709</v>
      </c>
      <c r="G212">
        <v>10000</v>
      </c>
      <c r="H212">
        <v>372527.68168753781</v>
      </c>
      <c r="I212">
        <v>30.54422261611122</v>
      </c>
    </row>
    <row r="213" spans="1:9" x14ac:dyDescent="0.2">
      <c r="A213">
        <v>208</v>
      </c>
      <c r="B213">
        <v>1581366.6282644062</v>
      </c>
      <c r="C213">
        <v>111882.05445027503</v>
      </c>
      <c r="D213">
        <v>102720.91897581157</v>
      </c>
      <c r="E213">
        <v>182114.70986144719</v>
      </c>
      <c r="F213">
        <v>48607.941451946339</v>
      </c>
      <c r="G213">
        <v>10000</v>
      </c>
      <c r="H213">
        <v>435325.62473948015</v>
      </c>
      <c r="I213">
        <v>35.752816394485599</v>
      </c>
    </row>
    <row r="214" spans="1:9" x14ac:dyDescent="0.2">
      <c r="A214">
        <v>209</v>
      </c>
      <c r="B214">
        <v>1642941.8803532205</v>
      </c>
      <c r="C214">
        <v>116159.10413830436</v>
      </c>
      <c r="D214">
        <v>109676.25652486672</v>
      </c>
      <c r="E214">
        <v>187392.445363279</v>
      </c>
      <c r="F214">
        <v>48973.323140534696</v>
      </c>
      <c r="G214">
        <v>10000</v>
      </c>
      <c r="H214">
        <v>452201.12916698481</v>
      </c>
      <c r="I214">
        <v>29.02512717797563</v>
      </c>
    </row>
    <row r="215" spans="1:9" x14ac:dyDescent="0.2">
      <c r="A215">
        <v>210</v>
      </c>
      <c r="B215">
        <v>654633.69041053567</v>
      </c>
      <c r="C215">
        <v>80956.577898596865</v>
      </c>
      <c r="D215">
        <v>36493.208750413367</v>
      </c>
      <c r="E215">
        <v>35439.06330728875</v>
      </c>
      <c r="F215">
        <v>38453.473613581533</v>
      </c>
      <c r="G215">
        <v>10000</v>
      </c>
      <c r="H215">
        <v>181342.32356988051</v>
      </c>
      <c r="I215">
        <v>40.759567977668155</v>
      </c>
    </row>
    <row r="216" spans="1:9" x14ac:dyDescent="0.2">
      <c r="A216">
        <v>211</v>
      </c>
      <c r="B216">
        <v>1095486.829081761</v>
      </c>
      <c r="C216">
        <v>87267.597528964092</v>
      </c>
      <c r="D216">
        <v>69071.442188637826</v>
      </c>
      <c r="E216">
        <v>112066.41711020742</v>
      </c>
      <c r="F216">
        <v>43758.444261475895</v>
      </c>
      <c r="G216">
        <v>10000</v>
      </c>
      <c r="H216">
        <v>302163.90108928521</v>
      </c>
      <c r="I216">
        <v>26.336479001300471</v>
      </c>
    </row>
    <row r="217" spans="1:9" x14ac:dyDescent="0.2">
      <c r="A217">
        <v>212</v>
      </c>
      <c r="B217">
        <v>942747.0314378636</v>
      </c>
      <c r="C217">
        <v>97721.12287228636</v>
      </c>
      <c r="D217">
        <v>77958.40892157107</v>
      </c>
      <c r="E217">
        <v>54828.226659803229</v>
      </c>
      <c r="F217">
        <v>39795.800307217149</v>
      </c>
      <c r="G217">
        <v>10000</v>
      </c>
      <c r="H217">
        <v>260303.55876087782</v>
      </c>
      <c r="I217">
        <v>37.074074155643679</v>
      </c>
    </row>
    <row r="218" spans="1:9" x14ac:dyDescent="0.2">
      <c r="A218">
        <v>213</v>
      </c>
      <c r="B218">
        <v>1221888.4044351673</v>
      </c>
      <c r="C218">
        <v>116904.76143138135</v>
      </c>
      <c r="D218">
        <v>139047.05009914027</v>
      </c>
      <c r="E218">
        <v>51302.39293030039</v>
      </c>
      <c r="F218">
        <v>39551.70412594387</v>
      </c>
      <c r="G218">
        <v>10000</v>
      </c>
      <c r="H218">
        <v>336805.90858676587</v>
      </c>
      <c r="I218">
        <v>33.555616243089418</v>
      </c>
    </row>
    <row r="219" spans="1:9" x14ac:dyDescent="0.2">
      <c r="A219">
        <v>214</v>
      </c>
      <c r="B219">
        <v>1351629.0975206092</v>
      </c>
      <c r="C219">
        <v>127064.66368081531</v>
      </c>
      <c r="D219">
        <v>68085.329074507681</v>
      </c>
      <c r="E219">
        <v>141422.27911405117</v>
      </c>
      <c r="F219">
        <v>45790.773169434309</v>
      </c>
      <c r="G219">
        <v>10000</v>
      </c>
      <c r="H219">
        <v>372363.04503880849</v>
      </c>
      <c r="I219">
        <v>36.486544219846763</v>
      </c>
    </row>
    <row r="220" spans="1:9" x14ac:dyDescent="0.2">
      <c r="A220">
        <v>215</v>
      </c>
      <c r="B220">
        <v>1791796.7010749413</v>
      </c>
      <c r="C220">
        <v>127375.84398019468</v>
      </c>
      <c r="D220">
        <v>136058.62297400442</v>
      </c>
      <c r="E220">
        <v>190381.98449119495</v>
      </c>
      <c r="F220">
        <v>49180.291234005803</v>
      </c>
      <c r="G220">
        <v>10000</v>
      </c>
      <c r="H220">
        <v>492996.7426793999</v>
      </c>
      <c r="I220">
        <v>42.821067039920429</v>
      </c>
    </row>
    <row r="221" spans="1:9" x14ac:dyDescent="0.2">
      <c r="A221">
        <v>216</v>
      </c>
      <c r="B221">
        <v>1468110.603248128</v>
      </c>
      <c r="C221">
        <v>114081.75976295792</v>
      </c>
      <c r="D221">
        <v>56110.149322412086</v>
      </c>
      <c r="E221">
        <v>194620.6791015811</v>
      </c>
      <c r="F221">
        <v>49473.739322417146</v>
      </c>
      <c r="G221">
        <v>10000</v>
      </c>
      <c r="H221">
        <v>404286.32750936825</v>
      </c>
      <c r="I221">
        <v>42.922406694606721</v>
      </c>
    </row>
    <row r="222" spans="1:9" x14ac:dyDescent="0.2">
      <c r="A222">
        <v>217</v>
      </c>
      <c r="B222">
        <v>1441749.0921691922</v>
      </c>
      <c r="C222">
        <v>78448.527988897316</v>
      </c>
      <c r="D222">
        <v>154564.75468974232</v>
      </c>
      <c r="E222">
        <v>129109.94649132402</v>
      </c>
      <c r="F222">
        <v>44938.38091093782</v>
      </c>
      <c r="G222">
        <v>10000</v>
      </c>
      <c r="H222">
        <v>397061.61008090142</v>
      </c>
      <c r="I222">
        <v>37.381278441135876</v>
      </c>
    </row>
    <row r="223" spans="1:9" x14ac:dyDescent="0.2">
      <c r="A223">
        <v>218</v>
      </c>
      <c r="B223">
        <v>1118049.7842483497</v>
      </c>
      <c r="C223">
        <v>84553.06433516214</v>
      </c>
      <c r="D223">
        <v>59398.902966429632</v>
      </c>
      <c r="E223">
        <v>129434.74055608368</v>
      </c>
      <c r="F223">
        <v>44960.866653882716</v>
      </c>
      <c r="G223">
        <v>10000</v>
      </c>
      <c r="H223">
        <v>308347.57451155817</v>
      </c>
      <c r="I223">
        <v>37.777398538653316</v>
      </c>
    </row>
    <row r="224" spans="1:9" x14ac:dyDescent="0.2">
      <c r="A224">
        <v>219</v>
      </c>
      <c r="B224">
        <v>826300.49487662059</v>
      </c>
      <c r="C224">
        <v>128488.05612968784</v>
      </c>
      <c r="D224">
        <v>30919.257740794848</v>
      </c>
      <c r="E224">
        <v>40199.503619641859</v>
      </c>
      <c r="F224">
        <v>38783.042558282898</v>
      </c>
      <c r="G224">
        <v>10000</v>
      </c>
      <c r="H224">
        <v>228389.86004840746</v>
      </c>
      <c r="I224">
        <v>30.183352638970845</v>
      </c>
    </row>
    <row r="225" spans="1:9" x14ac:dyDescent="0.2">
      <c r="A225">
        <v>220</v>
      </c>
      <c r="B225">
        <v>1018522.6574619776</v>
      </c>
      <c r="C225">
        <v>101635.8372992182</v>
      </c>
      <c r="D225">
        <v>86326.902687665599</v>
      </c>
      <c r="E225">
        <v>62762.991511808068</v>
      </c>
      <c r="F225">
        <v>40345.130181586712</v>
      </c>
      <c r="G225">
        <v>10000</v>
      </c>
      <c r="H225">
        <v>281070.86168027855</v>
      </c>
      <c r="I225">
        <v>44.488843119171307</v>
      </c>
    </row>
    <row r="226" spans="1:9" x14ac:dyDescent="0.2">
      <c r="A226">
        <v>221</v>
      </c>
      <c r="B226">
        <v>806627.65956524375</v>
      </c>
      <c r="C226">
        <v>116903.51457365662</v>
      </c>
      <c r="D226">
        <v>42586.661220161695</v>
      </c>
      <c r="E226">
        <v>35079.504926856833</v>
      </c>
      <c r="F226">
        <v>38428.581110320854</v>
      </c>
      <c r="G226">
        <v>10000</v>
      </c>
      <c r="H226">
        <v>222998.26183099602</v>
      </c>
      <c r="I226">
        <v>41.156960596368123</v>
      </c>
    </row>
    <row r="227" spans="1:9" x14ac:dyDescent="0.2">
      <c r="A227">
        <v>222</v>
      </c>
      <c r="B227">
        <v>1278046.8747841821</v>
      </c>
      <c r="C227">
        <v>86194.79311246131</v>
      </c>
      <c r="D227">
        <v>86823.660844295722</v>
      </c>
      <c r="E227">
        <v>143260.39193193484</v>
      </c>
      <c r="F227">
        <v>45918.027133749332</v>
      </c>
      <c r="G227">
        <v>10000</v>
      </c>
      <c r="H227">
        <v>352196.87302244117</v>
      </c>
      <c r="I227">
        <v>42.157272486935028</v>
      </c>
    </row>
    <row r="228" spans="1:9" x14ac:dyDescent="0.2">
      <c r="A228">
        <v>223</v>
      </c>
      <c r="B228">
        <v>1104865.2048122867</v>
      </c>
      <c r="C228">
        <v>144530.95464392746</v>
      </c>
      <c r="D228">
        <v>63104.213841817917</v>
      </c>
      <c r="E228">
        <v>66495.466992385074</v>
      </c>
      <c r="F228">
        <v>40603.532330242044</v>
      </c>
      <c r="G228">
        <v>10000</v>
      </c>
      <c r="H228">
        <v>304734.16780837247</v>
      </c>
      <c r="I228">
        <v>30.198669736968117</v>
      </c>
    </row>
    <row r="229" spans="1:9" x14ac:dyDescent="0.2">
      <c r="A229">
        <v>224</v>
      </c>
      <c r="B229">
        <v>1317207.7513148871</v>
      </c>
      <c r="C229">
        <v>118491.76017163691</v>
      </c>
      <c r="D229">
        <v>82794.393546483072</v>
      </c>
      <c r="E229">
        <v>126860.61269554583</v>
      </c>
      <c r="F229">
        <v>44782.657801999332</v>
      </c>
      <c r="G229">
        <v>10000</v>
      </c>
      <c r="H229">
        <v>362929.4242156652</v>
      </c>
      <c r="I229">
        <v>31.728600274028835</v>
      </c>
    </row>
    <row r="230" spans="1:9" x14ac:dyDescent="0.2">
      <c r="A230">
        <v>225</v>
      </c>
      <c r="B230">
        <v>1093337.1712828067</v>
      </c>
      <c r="C230">
        <v>124726.9553967739</v>
      </c>
      <c r="D230">
        <v>66366.901111701867</v>
      </c>
      <c r="E230">
        <v>79010.91619611354</v>
      </c>
      <c r="F230">
        <v>41469.986505884779</v>
      </c>
      <c r="G230">
        <v>10000</v>
      </c>
      <c r="H230">
        <v>301574.75921047409</v>
      </c>
      <c r="I230">
        <v>33.866253448451644</v>
      </c>
    </row>
    <row r="231" spans="1:9" x14ac:dyDescent="0.2">
      <c r="A231">
        <v>226</v>
      </c>
      <c r="B231">
        <v>763667.83037086832</v>
      </c>
      <c r="C231">
        <v>92977.397292037727</v>
      </c>
      <c r="D231">
        <v>63939.206040108205</v>
      </c>
      <c r="E231">
        <v>26475.065420068619</v>
      </c>
      <c r="F231">
        <v>37832.889144466288</v>
      </c>
      <c r="G231">
        <v>10000</v>
      </c>
      <c r="H231">
        <v>211224.55789668084</v>
      </c>
      <c r="I231">
        <v>26.313797729303975</v>
      </c>
    </row>
    <row r="232" spans="1:9" x14ac:dyDescent="0.2">
      <c r="A232">
        <v>227</v>
      </c>
      <c r="B232">
        <v>1556093.7797652767</v>
      </c>
      <c r="C232">
        <v>106802.13292917806</v>
      </c>
      <c r="D232">
        <v>97162.670888106586</v>
      </c>
      <c r="E232">
        <v>185586.19097465611</v>
      </c>
      <c r="F232">
        <v>48848.274759783882</v>
      </c>
      <c r="G232">
        <v>10000</v>
      </c>
      <c r="H232">
        <v>428399.26955172466</v>
      </c>
      <c r="I232">
        <v>42.108035137915678</v>
      </c>
    </row>
    <row r="233" spans="1:9" x14ac:dyDescent="0.2">
      <c r="A233">
        <v>228</v>
      </c>
      <c r="B233">
        <v>1039297.7869182983</v>
      </c>
      <c r="C233">
        <v>117029.02538700987</v>
      </c>
      <c r="D233">
        <v>90895.746247149727</v>
      </c>
      <c r="E233">
        <v>49418.505278561832</v>
      </c>
      <c r="F233">
        <v>39421.281134669662</v>
      </c>
      <c r="G233">
        <v>10000</v>
      </c>
      <c r="H233">
        <v>286764.55804739113</v>
      </c>
      <c r="I233">
        <v>32.760582408833073</v>
      </c>
    </row>
    <row r="234" spans="1:9" x14ac:dyDescent="0.2">
      <c r="A234">
        <v>229</v>
      </c>
      <c r="B234">
        <v>1427040.7444086694</v>
      </c>
      <c r="C234">
        <v>129761.31089109425</v>
      </c>
      <c r="D234">
        <v>69040.879320833323</v>
      </c>
      <c r="E234">
        <v>157335.91787412047</v>
      </c>
      <c r="F234">
        <v>46892.486622054494</v>
      </c>
      <c r="G234">
        <v>10000</v>
      </c>
      <c r="H234">
        <v>393030.59470810252</v>
      </c>
      <c r="I234">
        <v>36.037036210570136</v>
      </c>
    </row>
    <row r="235" spans="1:9" x14ac:dyDescent="0.2">
      <c r="A235">
        <v>230</v>
      </c>
      <c r="B235">
        <v>1176500.6394159929</v>
      </c>
      <c r="C235">
        <v>155888.52165580803</v>
      </c>
      <c r="D235">
        <v>79910.583965022844</v>
      </c>
      <c r="E235">
        <v>58516.545927304294</v>
      </c>
      <c r="F235">
        <v>40051.145487274916</v>
      </c>
      <c r="G235">
        <v>10000</v>
      </c>
      <c r="H235">
        <v>324366.79703541007</v>
      </c>
      <c r="I235">
        <v>37.594151363275337</v>
      </c>
    </row>
    <row r="236" spans="1:9" x14ac:dyDescent="0.2">
      <c r="A236">
        <v>231</v>
      </c>
      <c r="B236">
        <v>1491475.7505353107</v>
      </c>
      <c r="C236">
        <v>119083.89713419652</v>
      </c>
      <c r="D236">
        <v>122010.06250960744</v>
      </c>
      <c r="E236">
        <v>134298.31677023842</v>
      </c>
      <c r="F236">
        <v>45297.575776401121</v>
      </c>
      <c r="G236">
        <v>10000</v>
      </c>
      <c r="H236">
        <v>410689.85219044343</v>
      </c>
      <c r="I236">
        <v>39.402772946548495</v>
      </c>
    </row>
    <row r="237" spans="1:9" x14ac:dyDescent="0.2">
      <c r="A237">
        <v>232</v>
      </c>
      <c r="B237">
        <v>998004.55963533686</v>
      </c>
      <c r="C237">
        <v>109449.70368474869</v>
      </c>
      <c r="D237">
        <v>76661.817632652383</v>
      </c>
      <c r="E237">
        <v>59235.189169105324</v>
      </c>
      <c r="F237">
        <v>40100.897711707294</v>
      </c>
      <c r="G237">
        <v>10000</v>
      </c>
      <c r="H237">
        <v>275447.60819821368</v>
      </c>
      <c r="I237">
        <v>35.328110253826736</v>
      </c>
    </row>
    <row r="238" spans="1:9" x14ac:dyDescent="0.2">
      <c r="A238">
        <v>233</v>
      </c>
      <c r="B238">
        <v>989363.82110171963</v>
      </c>
      <c r="C238">
        <v>109073.23034381575</v>
      </c>
      <c r="D238">
        <v>100012.17423748932</v>
      </c>
      <c r="E238">
        <v>35534.046650656412</v>
      </c>
      <c r="F238">
        <v>38460.049383506979</v>
      </c>
      <c r="G238">
        <v>10000</v>
      </c>
      <c r="H238">
        <v>273079.50061546848</v>
      </c>
      <c r="I238">
        <v>37.598413894857622</v>
      </c>
    </row>
    <row r="239" spans="1:9" x14ac:dyDescent="0.2">
      <c r="A239">
        <v>234</v>
      </c>
      <c r="B239">
        <v>1258838.422922404</v>
      </c>
      <c r="C239">
        <v>155901.68776512824</v>
      </c>
      <c r="D239">
        <v>124432.21842124604</v>
      </c>
      <c r="E239">
        <v>37969.950130899138</v>
      </c>
      <c r="F239">
        <v>38628.688855216089</v>
      </c>
      <c r="G239">
        <v>10000</v>
      </c>
      <c r="H239">
        <v>346932.54517248948</v>
      </c>
      <c r="I239">
        <v>46.800871963987532</v>
      </c>
    </row>
    <row r="240" spans="1:9" x14ac:dyDescent="0.2">
      <c r="A240">
        <v>235</v>
      </c>
      <c r="B240">
        <v>1150475.6404343799</v>
      </c>
      <c r="C240">
        <v>124326.78182120169</v>
      </c>
      <c r="D240">
        <v>126858.47784866294</v>
      </c>
      <c r="E240">
        <v>37455.941820898355</v>
      </c>
      <c r="F240">
        <v>38593.103664523733</v>
      </c>
      <c r="G240">
        <v>10000</v>
      </c>
      <c r="H240">
        <v>317234.30515528674</v>
      </c>
      <c r="I240">
        <v>29.300119847189528</v>
      </c>
    </row>
    <row r="241" spans="1:9" x14ac:dyDescent="0.2">
      <c r="A241">
        <v>236</v>
      </c>
      <c r="B241">
        <v>1883697.8050063332</v>
      </c>
      <c r="C241">
        <v>149682.52293663222</v>
      </c>
      <c r="D241">
        <v>170971.63523615731</v>
      </c>
      <c r="E241">
        <v>160423.07312418675</v>
      </c>
      <c r="F241">
        <v>47106.212754751396</v>
      </c>
      <c r="G241">
        <v>10000</v>
      </c>
      <c r="H241">
        <v>518183.44405172765</v>
      </c>
      <c r="I241">
        <v>23.791973255858096</v>
      </c>
    </row>
    <row r="242" spans="1:9" x14ac:dyDescent="0.2">
      <c r="A242">
        <v>237</v>
      </c>
      <c r="B242">
        <v>1158436.5050674924</v>
      </c>
      <c r="C242">
        <v>110157.83280218592</v>
      </c>
      <c r="D242">
        <v>109889.79043243802</v>
      </c>
      <c r="E242">
        <v>68617.985252974933</v>
      </c>
      <c r="F242">
        <v>40750.47590212903</v>
      </c>
      <c r="G242">
        <v>10000</v>
      </c>
      <c r="H242">
        <v>319416.08438972785</v>
      </c>
      <c r="I242">
        <v>45.150122171472304</v>
      </c>
    </row>
    <row r="243" spans="1:9" x14ac:dyDescent="0.2">
      <c r="A243">
        <v>238</v>
      </c>
      <c r="B243">
        <v>1344295.0927658817</v>
      </c>
      <c r="C243">
        <v>88400.118170185422</v>
      </c>
      <c r="D243">
        <v>108420.40735824927</v>
      </c>
      <c r="E243">
        <v>137980.07285477465</v>
      </c>
      <c r="F243">
        <v>45552.466582253626</v>
      </c>
      <c r="G243">
        <v>10000</v>
      </c>
      <c r="H243">
        <v>370353.06496546295</v>
      </c>
      <c r="I243">
        <v>36.075606029040046</v>
      </c>
    </row>
    <row r="244" spans="1:9" x14ac:dyDescent="0.2">
      <c r="A244">
        <v>239</v>
      </c>
      <c r="B244">
        <v>1180010.7125757516</v>
      </c>
      <c r="C244">
        <v>85977.928780911723</v>
      </c>
      <c r="D244">
        <v>144745.25504424554</v>
      </c>
      <c r="E244">
        <v>64163.50587117402</v>
      </c>
      <c r="F244">
        <v>40442.08886800435</v>
      </c>
      <c r="G244">
        <v>10000</v>
      </c>
      <c r="H244">
        <v>325328.7785643356</v>
      </c>
      <c r="I244">
        <v>38.295408125247349</v>
      </c>
    </row>
    <row r="245" spans="1:9" x14ac:dyDescent="0.2">
      <c r="A245">
        <v>240</v>
      </c>
      <c r="B245">
        <v>1202145.5054160398</v>
      </c>
      <c r="C245">
        <v>91727.350685411846</v>
      </c>
      <c r="D245">
        <v>128687.39678388543</v>
      </c>
      <c r="E245">
        <v>79478.035489288843</v>
      </c>
      <c r="F245">
        <v>41502.325533873845</v>
      </c>
      <c r="G245">
        <v>10000</v>
      </c>
      <c r="H245">
        <v>331395.10849245999</v>
      </c>
      <c r="I245">
        <v>45.395151551640183</v>
      </c>
    </row>
    <row r="246" spans="1:9" x14ac:dyDescent="0.2">
      <c r="A246">
        <v>241</v>
      </c>
      <c r="B246">
        <v>1795116.0658648487</v>
      </c>
      <c r="C246">
        <v>128415.87147167616</v>
      </c>
      <c r="D246">
        <v>147554.04966755392</v>
      </c>
      <c r="E246">
        <v>179508.99138478382</v>
      </c>
      <c r="F246">
        <v>48427.545557408113</v>
      </c>
      <c r="G246">
        <v>10000</v>
      </c>
      <c r="H246">
        <v>493906.45808142202</v>
      </c>
      <c r="I246">
        <v>44.753756994543068</v>
      </c>
    </row>
    <row r="247" spans="1:9" x14ac:dyDescent="0.2">
      <c r="A247">
        <v>242</v>
      </c>
      <c r="B247">
        <v>1346771.5381667111</v>
      </c>
      <c r="C247">
        <v>103180.84115106118</v>
      </c>
      <c r="D247">
        <v>72575.699335521815</v>
      </c>
      <c r="E247">
        <v>158314.96029847115</v>
      </c>
      <c r="F247">
        <v>46960.266482201849</v>
      </c>
      <c r="G247">
        <v>10000</v>
      </c>
      <c r="H247">
        <v>371031.76726725604</v>
      </c>
      <c r="I247">
        <v>44.6948790256058</v>
      </c>
    </row>
    <row r="248" spans="1:9" x14ac:dyDescent="0.2">
      <c r="A248">
        <v>243</v>
      </c>
      <c r="B248">
        <v>894850.38527233282</v>
      </c>
      <c r="C248">
        <v>84567.228689210795</v>
      </c>
      <c r="D248">
        <v>58758.168001126258</v>
      </c>
      <c r="E248">
        <v>72810.716841279253</v>
      </c>
      <c r="F248">
        <v>41040.741935165483</v>
      </c>
      <c r="G248">
        <v>10000</v>
      </c>
      <c r="H248">
        <v>247176.85546678177</v>
      </c>
      <c r="I248">
        <v>53.170595011980851</v>
      </c>
    </row>
    <row r="249" spans="1:9" x14ac:dyDescent="0.2">
      <c r="A249">
        <v>244</v>
      </c>
      <c r="B249">
        <v>879258.53426234389</v>
      </c>
      <c r="C249">
        <v>95313.890078674536</v>
      </c>
      <c r="D249">
        <v>74160.776738643108</v>
      </c>
      <c r="E249">
        <v>44358.092754848833</v>
      </c>
      <c r="F249">
        <v>39070.944883027994</v>
      </c>
      <c r="G249">
        <v>10000</v>
      </c>
      <c r="H249">
        <v>242903.70445519447</v>
      </c>
      <c r="I249">
        <v>34.10788309766248</v>
      </c>
    </row>
    <row r="250" spans="1:9" x14ac:dyDescent="0.2">
      <c r="A250">
        <v>245</v>
      </c>
      <c r="B250">
        <v>950794.49234903615</v>
      </c>
      <c r="C250">
        <v>87798.641654369087</v>
      </c>
      <c r="D250">
        <v>80511.811169583569</v>
      </c>
      <c r="E250">
        <v>63782.880158586275</v>
      </c>
      <c r="F250">
        <v>40415.737857132903</v>
      </c>
      <c r="G250">
        <v>10000</v>
      </c>
      <c r="H250">
        <v>262509.07083967183</v>
      </c>
      <c r="I250">
        <v>35.204901962046641</v>
      </c>
    </row>
    <row r="251" spans="1:9" x14ac:dyDescent="0.2">
      <c r="A251">
        <v>246</v>
      </c>
      <c r="B251">
        <v>912884.07948070241</v>
      </c>
      <c r="C251">
        <v>123522.57957403269</v>
      </c>
      <c r="D251">
        <v>62430.358703225822</v>
      </c>
      <c r="E251">
        <v>37565.592453867248</v>
      </c>
      <c r="F251">
        <v>38600.694862190809</v>
      </c>
      <c r="G251">
        <v>10000</v>
      </c>
      <c r="H251">
        <v>252119.22559331657</v>
      </c>
      <c r="I251">
        <v>29.029862870488589</v>
      </c>
    </row>
    <row r="252" spans="1:9" x14ac:dyDescent="0.2">
      <c r="A252">
        <v>247</v>
      </c>
      <c r="B252">
        <v>842994.46726747823</v>
      </c>
      <c r="C252">
        <v>101244.51229497517</v>
      </c>
      <c r="D252">
        <v>67780.127848147386</v>
      </c>
      <c r="E252">
        <v>35483.847650223113</v>
      </c>
      <c r="F252">
        <v>38456.574068092363</v>
      </c>
      <c r="G252">
        <v>10000</v>
      </c>
      <c r="H252">
        <v>232965.06186143804</v>
      </c>
      <c r="I252">
        <v>31.903649101824996</v>
      </c>
    </row>
    <row r="253" spans="1:9" x14ac:dyDescent="0.2">
      <c r="A253">
        <v>248</v>
      </c>
      <c r="B253">
        <v>1485266.3282076162</v>
      </c>
      <c r="C253">
        <v>85749.221605892104</v>
      </c>
      <c r="D253">
        <v>122104.32171731643</v>
      </c>
      <c r="E253">
        <v>163794.88916621252</v>
      </c>
      <c r="F253">
        <v>47339.646173045476</v>
      </c>
      <c r="G253">
        <v>10000</v>
      </c>
      <c r="H253">
        <v>408988.07866246649</v>
      </c>
      <c r="I253">
        <v>25.866058714316079</v>
      </c>
    </row>
    <row r="254" spans="1:9" x14ac:dyDescent="0.2">
      <c r="A254">
        <v>249</v>
      </c>
      <c r="B254">
        <v>1416971.1115168124</v>
      </c>
      <c r="C254">
        <v>95956.698833825445</v>
      </c>
      <c r="D254">
        <v>66435.096045122642</v>
      </c>
      <c r="E254">
        <v>188807.77736620669</v>
      </c>
      <c r="F254">
        <v>49071.30766381431</v>
      </c>
      <c r="G254">
        <v>10000</v>
      </c>
      <c r="H254">
        <v>390270.87990896904</v>
      </c>
      <c r="I254">
        <v>43.508227556425979</v>
      </c>
    </row>
    <row r="255" spans="1:9" x14ac:dyDescent="0.2">
      <c r="A255">
        <v>250</v>
      </c>
      <c r="B255">
        <v>1346942.5839953767</v>
      </c>
      <c r="C255">
        <v>126071.26598745954</v>
      </c>
      <c r="D255">
        <v>163927.676471874</v>
      </c>
      <c r="E255">
        <v>51513.390507340358</v>
      </c>
      <c r="F255">
        <v>39566.311650508178</v>
      </c>
      <c r="G255">
        <v>10000</v>
      </c>
      <c r="H255">
        <v>371078.64461718214</v>
      </c>
      <c r="I255">
        <v>30.738280397335227</v>
      </c>
    </row>
    <row r="256" spans="1:9" x14ac:dyDescent="0.2">
      <c r="A256">
        <v>251</v>
      </c>
      <c r="B256">
        <v>1332100.2942190233</v>
      </c>
      <c r="C256">
        <v>97828.411930714268</v>
      </c>
      <c r="D256">
        <v>100624.19354231558</v>
      </c>
      <c r="E256">
        <v>133327.92069753891</v>
      </c>
      <c r="F256">
        <v>45230.394509829617</v>
      </c>
      <c r="G256">
        <v>10000</v>
      </c>
      <c r="H256">
        <v>367010.92068039841</v>
      </c>
      <c r="I256">
        <v>31.065802393272882</v>
      </c>
    </row>
    <row r="257" spans="1:9" x14ac:dyDescent="0.2">
      <c r="A257">
        <v>252</v>
      </c>
      <c r="B257">
        <v>1202752.6836485802</v>
      </c>
      <c r="C257">
        <v>99531.114410263501</v>
      </c>
      <c r="D257">
        <v>44562.817809352295</v>
      </c>
      <c r="E257">
        <v>151012.84593338461</v>
      </c>
      <c r="F257">
        <v>46454.735487695856</v>
      </c>
      <c r="G257">
        <v>10000</v>
      </c>
      <c r="H257">
        <v>331561.51364069624</v>
      </c>
      <c r="I257">
        <v>34.077322373104309</v>
      </c>
    </row>
    <row r="258" spans="1:9" x14ac:dyDescent="0.2">
      <c r="A258">
        <v>253</v>
      </c>
      <c r="B258">
        <v>1447186.4977546406</v>
      </c>
      <c r="C258">
        <v>97279.999584916877</v>
      </c>
      <c r="D258">
        <v>97557.412560661876</v>
      </c>
      <c r="E258">
        <v>166207.70302940495</v>
      </c>
      <c r="F258">
        <v>47506.68713280496</v>
      </c>
      <c r="G258">
        <v>10000</v>
      </c>
      <c r="H258">
        <v>398551.80230778869</v>
      </c>
      <c r="I258">
        <v>32.829643224607615</v>
      </c>
    </row>
    <row r="259" spans="1:9" x14ac:dyDescent="0.2">
      <c r="A259">
        <v>254</v>
      </c>
      <c r="B259">
        <v>1164110.2347584807</v>
      </c>
      <c r="C259">
        <v>145017.75310669281</v>
      </c>
      <c r="D259">
        <v>103004.34029058102</v>
      </c>
      <c r="E259">
        <v>43909.09080358826</v>
      </c>
      <c r="F259">
        <v>39039.86013255611</v>
      </c>
      <c r="G259">
        <v>10000</v>
      </c>
      <c r="H259">
        <v>320971.04433341819</v>
      </c>
      <c r="I259">
        <v>47.662359441626514</v>
      </c>
    </row>
    <row r="260" spans="1:9" x14ac:dyDescent="0.2">
      <c r="A260">
        <v>255</v>
      </c>
      <c r="B260">
        <v>739796.79536134051</v>
      </c>
      <c r="C260">
        <v>104741.97894203395</v>
      </c>
      <c r="D260">
        <v>37499.437653950998</v>
      </c>
      <c r="E260">
        <v>34081.484101654285</v>
      </c>
      <c r="F260">
        <v>38359.487360883759</v>
      </c>
      <c r="G260">
        <v>10000</v>
      </c>
      <c r="H260">
        <v>204682.38805852301</v>
      </c>
      <c r="I260">
        <v>38.420165263773271</v>
      </c>
    </row>
    <row r="261" spans="1:9" x14ac:dyDescent="0.2">
      <c r="A261">
        <v>256</v>
      </c>
      <c r="B261">
        <v>1116063.7643355145</v>
      </c>
      <c r="C261">
        <v>134560.7433896313</v>
      </c>
      <c r="D261">
        <v>69176.766931419028</v>
      </c>
      <c r="E261">
        <v>73011.151254178243</v>
      </c>
      <c r="F261">
        <v>41054.618163750805</v>
      </c>
      <c r="G261">
        <v>10000</v>
      </c>
      <c r="H261">
        <v>307803.27973897936</v>
      </c>
      <c r="I261">
        <v>37.573246778402506</v>
      </c>
    </row>
    <row r="262" spans="1:9" x14ac:dyDescent="0.2">
      <c r="A262">
        <v>257</v>
      </c>
      <c r="B262">
        <v>1556466.0600726895</v>
      </c>
      <c r="C262">
        <v>82734.006587888915</v>
      </c>
      <c r="D262">
        <v>108235.21974058344</v>
      </c>
      <c r="E262">
        <v>197835.75034067783</v>
      </c>
      <c r="F262">
        <v>49696.321177431542</v>
      </c>
      <c r="G262">
        <v>10000</v>
      </c>
      <c r="H262">
        <v>428501.29784658173</v>
      </c>
      <c r="I262">
        <v>37.141824793819744</v>
      </c>
    </row>
    <row r="263" spans="1:9" x14ac:dyDescent="0.2">
      <c r="A263">
        <v>258</v>
      </c>
      <c r="B263">
        <v>1318728.9509223518</v>
      </c>
      <c r="C263">
        <v>140998.07600634033</v>
      </c>
      <c r="D263">
        <v>150632.73012109616</v>
      </c>
      <c r="E263">
        <v>42755.524890281667</v>
      </c>
      <c r="F263">
        <v>38959.997877019501</v>
      </c>
      <c r="G263">
        <v>10000</v>
      </c>
      <c r="H263">
        <v>363346.32889473764</v>
      </c>
      <c r="I263">
        <v>40.802667597032851</v>
      </c>
    </row>
    <row r="264" spans="1:9" x14ac:dyDescent="0.2">
      <c r="A264">
        <v>259</v>
      </c>
      <c r="B264">
        <v>1133039.3833926027</v>
      </c>
      <c r="C264">
        <v>98722.233249557525</v>
      </c>
      <c r="D264">
        <v>93905.70263268394</v>
      </c>
      <c r="E264">
        <v>87752.557565776471</v>
      </c>
      <c r="F264">
        <v>42075.177062246061</v>
      </c>
      <c r="G264">
        <v>10000</v>
      </c>
      <c r="H264">
        <v>312455.670510264</v>
      </c>
      <c r="I264">
        <v>42.945622438170346</v>
      </c>
    </row>
    <row r="265" spans="1:9" x14ac:dyDescent="0.2">
      <c r="A265">
        <v>260</v>
      </c>
      <c r="B265">
        <v>967249.84517069114</v>
      </c>
      <c r="C265">
        <v>106582.3202201244</v>
      </c>
      <c r="D265">
        <v>34923.622896219124</v>
      </c>
      <c r="E265">
        <v>93069.649304295715</v>
      </c>
      <c r="F265">
        <v>42443.283413374316</v>
      </c>
      <c r="G265">
        <v>10000</v>
      </c>
      <c r="H265">
        <v>267018.87583401357</v>
      </c>
      <c r="I265">
        <v>25.825924150023564</v>
      </c>
    </row>
    <row r="266" spans="1:9" x14ac:dyDescent="0.2">
      <c r="A266">
        <v>261</v>
      </c>
      <c r="B266">
        <v>1240362.737057711</v>
      </c>
      <c r="C266">
        <v>122649.82636575193</v>
      </c>
      <c r="D266">
        <v>76903.385274523869</v>
      </c>
      <c r="E266">
        <v>108784.58902390503</v>
      </c>
      <c r="F266">
        <v>43531.240778578038</v>
      </c>
      <c r="G266">
        <v>10000</v>
      </c>
      <c r="H266">
        <v>341869.04144275887</v>
      </c>
      <c r="I266">
        <v>30.929992833796813</v>
      </c>
    </row>
    <row r="267" spans="1:9" x14ac:dyDescent="0.2">
      <c r="A267">
        <v>262</v>
      </c>
      <c r="B267">
        <v>1387614.6493898958</v>
      </c>
      <c r="C267">
        <v>116019.96022707551</v>
      </c>
      <c r="D267">
        <v>68314.657634097675</v>
      </c>
      <c r="E267">
        <v>160761.12285520611</v>
      </c>
      <c r="F267">
        <v>47129.616197668111</v>
      </c>
      <c r="G267">
        <v>10000</v>
      </c>
      <c r="H267">
        <v>382225.35691404738</v>
      </c>
      <c r="I267">
        <v>27.198393823167713</v>
      </c>
    </row>
    <row r="268" spans="1:9" x14ac:dyDescent="0.2">
      <c r="A268">
        <v>263</v>
      </c>
      <c r="B268">
        <v>1285105.9373729192</v>
      </c>
      <c r="C268">
        <v>88950.650826242912</v>
      </c>
      <c r="D268">
        <v>67661.968878108572</v>
      </c>
      <c r="E268">
        <v>160413.34277416195</v>
      </c>
      <c r="F268">
        <v>47105.539115134285</v>
      </c>
      <c r="G268">
        <v>10000</v>
      </c>
      <c r="H268">
        <v>354131.5015936477</v>
      </c>
      <c r="I268">
        <v>38.994444805304099</v>
      </c>
    </row>
    <row r="269" spans="1:9" x14ac:dyDescent="0.2">
      <c r="A269">
        <v>264</v>
      </c>
      <c r="B269">
        <v>1161346.9231293548</v>
      </c>
      <c r="C269">
        <v>157190.46054562912</v>
      </c>
      <c r="D269">
        <v>71085.879128179935</v>
      </c>
      <c r="E269">
        <v>61668.055959184741</v>
      </c>
      <c r="F269">
        <v>40269.326951020477</v>
      </c>
      <c r="G269">
        <v>10000</v>
      </c>
      <c r="H269">
        <v>320213.72258401423</v>
      </c>
      <c r="I269">
        <v>42.1966835963741</v>
      </c>
    </row>
    <row r="270" spans="1:9" x14ac:dyDescent="0.2">
      <c r="A270">
        <v>265</v>
      </c>
      <c r="B270">
        <v>1114938.4684336735</v>
      </c>
      <c r="C270">
        <v>94604.419237679234</v>
      </c>
      <c r="D270">
        <v>81080.735626492518</v>
      </c>
      <c r="E270">
        <v>98958.733546775911</v>
      </c>
      <c r="F270">
        <v>42850.989245546021</v>
      </c>
      <c r="G270">
        <v>10000</v>
      </c>
      <c r="H270">
        <v>307494.87765649369</v>
      </c>
      <c r="I270">
        <v>27.505677400179472</v>
      </c>
    </row>
    <row r="271" spans="1:9" x14ac:dyDescent="0.2">
      <c r="A271">
        <v>266</v>
      </c>
      <c r="B271">
        <v>913796.44891759334</v>
      </c>
      <c r="C271">
        <v>103359.99200290373</v>
      </c>
      <c r="D271">
        <v>93335.494853365904</v>
      </c>
      <c r="E271">
        <v>27752.461289506162</v>
      </c>
      <c r="F271">
        <v>37921.324243119663</v>
      </c>
      <c r="G271">
        <v>10000</v>
      </c>
      <c r="H271">
        <v>252369.27238889551</v>
      </c>
      <c r="I271">
        <v>33.840941628531695</v>
      </c>
    </row>
    <row r="272" spans="1:9" x14ac:dyDescent="0.2">
      <c r="A272">
        <v>267</v>
      </c>
      <c r="B272">
        <v>1326757.7427130269</v>
      </c>
      <c r="C272">
        <v>97325.955936369661</v>
      </c>
      <c r="D272">
        <v>161389.27440757529</v>
      </c>
      <c r="E272">
        <v>75597.800249158623</v>
      </c>
      <c r="F272">
        <v>41233.693863403292</v>
      </c>
      <c r="G272">
        <v>10000</v>
      </c>
      <c r="H272">
        <v>365546.72445650684</v>
      </c>
      <c r="I272">
        <v>29.783156484744186</v>
      </c>
    </row>
    <row r="273" spans="1:9" x14ac:dyDescent="0.2">
      <c r="A273">
        <v>268</v>
      </c>
      <c r="B273">
        <v>1287656.3699364597</v>
      </c>
      <c r="C273">
        <v>101006.52672272301</v>
      </c>
      <c r="D273">
        <v>125493.47709068311</v>
      </c>
      <c r="E273">
        <v>95704.762879929665</v>
      </c>
      <c r="F273">
        <v>42625.7143532259</v>
      </c>
      <c r="G273">
        <v>10000</v>
      </c>
      <c r="H273">
        <v>354830.48104656168</v>
      </c>
      <c r="I273">
        <v>33.925503424205111</v>
      </c>
    </row>
    <row r="274" spans="1:9" x14ac:dyDescent="0.2">
      <c r="A274">
        <v>269</v>
      </c>
      <c r="B274">
        <v>1625722.3595994087</v>
      </c>
      <c r="C274">
        <v>155595.2719876699</v>
      </c>
      <c r="D274">
        <v>60939.012858675887</v>
      </c>
      <c r="E274">
        <v>191677.62001636994</v>
      </c>
      <c r="F274">
        <v>49269.98907805638</v>
      </c>
      <c r="G274">
        <v>10000</v>
      </c>
      <c r="H274">
        <v>447481.8939407721</v>
      </c>
      <c r="I274">
        <v>33.078460525091067</v>
      </c>
    </row>
    <row r="275" spans="1:9" x14ac:dyDescent="0.2">
      <c r="A275">
        <v>270</v>
      </c>
      <c r="B275">
        <v>885113.06981697667</v>
      </c>
      <c r="C275">
        <v>89640.735772411499</v>
      </c>
      <c r="D275">
        <v>80625.899993430052</v>
      </c>
      <c r="E275">
        <v>45118.025253903776</v>
      </c>
      <c r="F275">
        <v>39123.555594501035</v>
      </c>
      <c r="G275">
        <v>10000</v>
      </c>
      <c r="H275">
        <v>244508.21661424637</v>
      </c>
      <c r="I275">
        <v>53.044491925406298</v>
      </c>
    </row>
    <row r="276" spans="1:9" x14ac:dyDescent="0.2">
      <c r="A276">
        <v>271</v>
      </c>
      <c r="B276">
        <v>1517503.1206871259</v>
      </c>
      <c r="C276">
        <v>133615.62715662425</v>
      </c>
      <c r="D276">
        <v>69717.351738374666</v>
      </c>
      <c r="E276">
        <v>176285.62556371884</v>
      </c>
      <c r="F276">
        <v>48204.389462103609</v>
      </c>
      <c r="G276">
        <v>10000</v>
      </c>
      <c r="H276">
        <v>417822.99392082135</v>
      </c>
      <c r="I276">
        <v>32.582745099916778</v>
      </c>
    </row>
    <row r="277" spans="1:9" x14ac:dyDescent="0.2">
      <c r="A277">
        <v>272</v>
      </c>
      <c r="B277">
        <v>1134804.9071684105</v>
      </c>
      <c r="C277">
        <v>73632.042141676488</v>
      </c>
      <c r="D277">
        <v>108043.85529897366</v>
      </c>
      <c r="E277">
        <v>98448.006750895147</v>
      </c>
      <c r="F277">
        <v>42815.631236600435</v>
      </c>
      <c r="G277">
        <v>10000</v>
      </c>
      <c r="H277">
        <v>312939.53542814578</v>
      </c>
      <c r="I277">
        <v>27.883149159371442</v>
      </c>
    </row>
    <row r="278" spans="1:9" x14ac:dyDescent="0.2">
      <c r="A278">
        <v>273</v>
      </c>
      <c r="B278">
        <v>1446832.9710560583</v>
      </c>
      <c r="C278">
        <v>73637.852619316371</v>
      </c>
      <c r="D278">
        <v>164997.08206568804</v>
      </c>
      <c r="E278">
        <v>125155.37604324617</v>
      </c>
      <c r="F278">
        <v>44664.602956840121</v>
      </c>
      <c r="G278">
        <v>10000</v>
      </c>
      <c r="H278">
        <v>398454.91368509072</v>
      </c>
      <c r="I278">
        <v>29.843725331294657</v>
      </c>
    </row>
    <row r="279" spans="1:9" x14ac:dyDescent="0.2">
      <c r="A279">
        <v>274</v>
      </c>
      <c r="B279">
        <v>1223939.6620833725</v>
      </c>
      <c r="C279">
        <v>116030.90191710346</v>
      </c>
      <c r="D279">
        <v>68531.907373620939</v>
      </c>
      <c r="E279">
        <v>118594.85994383958</v>
      </c>
      <c r="F279">
        <v>44210.413380727354</v>
      </c>
      <c r="G279">
        <v>10000</v>
      </c>
      <c r="H279">
        <v>337368.08261529129</v>
      </c>
      <c r="I279">
        <v>42.214546554418888</v>
      </c>
    </row>
    <row r="280" spans="1:9" x14ac:dyDescent="0.2">
      <c r="A280">
        <v>275</v>
      </c>
      <c r="B280">
        <v>971490.26124529145</v>
      </c>
      <c r="C280">
        <v>95329.370814128793</v>
      </c>
      <c r="D280">
        <v>45316.138256908831</v>
      </c>
      <c r="E280">
        <v>94961.266787842527</v>
      </c>
      <c r="F280">
        <v>42574.24154685063</v>
      </c>
      <c r="G280">
        <v>10000</v>
      </c>
      <c r="H280">
        <v>268181.01740573079</v>
      </c>
      <c r="I280">
        <v>36.963263613793984</v>
      </c>
    </row>
    <row r="281" spans="1:9" x14ac:dyDescent="0.2">
      <c r="A281">
        <v>276</v>
      </c>
      <c r="B281">
        <v>1147426.0102672332</v>
      </c>
      <c r="C281">
        <v>100175.46578517475</v>
      </c>
      <c r="D281">
        <v>106216.62805544099</v>
      </c>
      <c r="E281">
        <v>78567.155600831567</v>
      </c>
      <c r="F281">
        <v>41439.264618519112</v>
      </c>
      <c r="G281">
        <v>10000</v>
      </c>
      <c r="H281">
        <v>316398.51405996643</v>
      </c>
      <c r="I281">
        <v>34.73211338396063</v>
      </c>
    </row>
    <row r="282" spans="1:9" x14ac:dyDescent="0.2">
      <c r="A282">
        <v>277</v>
      </c>
      <c r="B282">
        <v>1335261.6969460868</v>
      </c>
      <c r="C282">
        <v>129122.48965550332</v>
      </c>
      <c r="D282">
        <v>158772.99031685578</v>
      </c>
      <c r="E282">
        <v>50486.6358984252</v>
      </c>
      <c r="F282">
        <v>39495.228639121742</v>
      </c>
      <c r="G282">
        <v>10000</v>
      </c>
      <c r="H282">
        <v>367877.34450990602</v>
      </c>
      <c r="I282">
        <v>31.180415500726141</v>
      </c>
    </row>
    <row r="283" spans="1:9" x14ac:dyDescent="0.2">
      <c r="A283">
        <v>278</v>
      </c>
      <c r="B283">
        <v>1153507.8025801678</v>
      </c>
      <c r="C283">
        <v>132261.10338775779</v>
      </c>
      <c r="D283">
        <v>42808.451109846988</v>
      </c>
      <c r="E283">
        <v>109420.48973871161</v>
      </c>
      <c r="F283">
        <v>43575.264674218495</v>
      </c>
      <c r="G283">
        <v>10000</v>
      </c>
      <c r="H283">
        <v>318065.30891053489</v>
      </c>
      <c r="I283">
        <v>32.478400067282536</v>
      </c>
    </row>
    <row r="284" spans="1:9" x14ac:dyDescent="0.2">
      <c r="A284">
        <v>279</v>
      </c>
      <c r="B284">
        <v>1758514.5415558151</v>
      </c>
      <c r="C284">
        <v>101191.81817724924</v>
      </c>
      <c r="D284">
        <v>140564.19503787151</v>
      </c>
      <c r="E284">
        <v>202125.98055948649</v>
      </c>
      <c r="F284">
        <v>49993.337115656759</v>
      </c>
      <c r="G284">
        <v>10000</v>
      </c>
      <c r="H284">
        <v>483875.33089026401</v>
      </c>
      <c r="I284">
        <v>27.015007748296121</v>
      </c>
    </row>
    <row r="285" spans="1:9" x14ac:dyDescent="0.2">
      <c r="A285">
        <v>280</v>
      </c>
      <c r="B285">
        <v>771907.03425975598</v>
      </c>
      <c r="C285">
        <v>86144.263901253507</v>
      </c>
      <c r="D285">
        <v>47669.699440330733</v>
      </c>
      <c r="E285">
        <v>50193.707339008106</v>
      </c>
      <c r="F285">
        <v>39474.948969623634</v>
      </c>
      <c r="G285">
        <v>10000</v>
      </c>
      <c r="H285">
        <v>213482.61965021599</v>
      </c>
      <c r="I285">
        <v>36.899683486786948</v>
      </c>
    </row>
    <row r="286" spans="1:9" x14ac:dyDescent="0.2">
      <c r="A286">
        <v>281</v>
      </c>
      <c r="B286">
        <v>1340818.1017813205</v>
      </c>
      <c r="C286">
        <v>117834.49707827464</v>
      </c>
      <c r="D286">
        <v>56421.851400068132</v>
      </c>
      <c r="E286">
        <v>158192.04462601367</v>
      </c>
      <c r="F286">
        <v>46951.756935647099</v>
      </c>
      <c r="G286">
        <v>10000</v>
      </c>
      <c r="H286">
        <v>369400.15004000353</v>
      </c>
      <c r="I286">
        <v>36.251046617542478</v>
      </c>
    </row>
    <row r="287" spans="1:9" x14ac:dyDescent="0.2">
      <c r="A287">
        <v>282</v>
      </c>
      <c r="B287">
        <v>1540416.5456795599</v>
      </c>
      <c r="C287">
        <v>97143.9681314435</v>
      </c>
      <c r="D287">
        <v>83830.32201628499</v>
      </c>
      <c r="E287">
        <v>203069.75284508013</v>
      </c>
      <c r="F287">
        <v>50058.67519696708</v>
      </c>
      <c r="G287">
        <v>10000</v>
      </c>
      <c r="H287">
        <v>424102.71818977571</v>
      </c>
      <c r="I287">
        <v>29.498435146486948</v>
      </c>
    </row>
    <row r="288" spans="1:9" x14ac:dyDescent="0.2">
      <c r="A288">
        <v>283</v>
      </c>
      <c r="B288">
        <v>1078097.8272531664</v>
      </c>
      <c r="C288">
        <v>145285.17447360459</v>
      </c>
      <c r="D288">
        <v>58811.598675842608</v>
      </c>
      <c r="E288">
        <v>62943.796738487406</v>
      </c>
      <c r="F288">
        <v>40357.647466510665</v>
      </c>
      <c r="G288">
        <v>10000</v>
      </c>
      <c r="H288">
        <v>297398.21735444525</v>
      </c>
      <c r="I288">
        <v>38.70000688598914</v>
      </c>
    </row>
    <row r="289" spans="1:9" x14ac:dyDescent="0.2">
      <c r="A289">
        <v>284</v>
      </c>
      <c r="B289">
        <v>1459071.0041450304</v>
      </c>
      <c r="C289">
        <v>101674.55263560929</v>
      </c>
      <c r="D289">
        <v>80212.523142657723</v>
      </c>
      <c r="E289">
        <v>181365.74139557235</v>
      </c>
      <c r="F289">
        <v>48556.089788924241</v>
      </c>
      <c r="G289">
        <v>10000</v>
      </c>
      <c r="H289">
        <v>401808.90696276358</v>
      </c>
      <c r="I289">
        <v>37.435479571266967</v>
      </c>
    </row>
    <row r="290" spans="1:9" x14ac:dyDescent="0.2">
      <c r="A290">
        <v>285</v>
      </c>
      <c r="B290">
        <v>1882690.5728664449</v>
      </c>
      <c r="C290">
        <v>140059.63700127086</v>
      </c>
      <c r="D290">
        <v>136647.40566783535</v>
      </c>
      <c r="E290">
        <v>201266.52020636457</v>
      </c>
      <c r="F290">
        <v>49933.836014286782</v>
      </c>
      <c r="G290">
        <v>10000</v>
      </c>
      <c r="H290">
        <v>517907.39888975758</v>
      </c>
      <c r="I290">
        <v>30.105889518611463</v>
      </c>
    </row>
    <row r="291" spans="1:9" x14ac:dyDescent="0.2">
      <c r="A291">
        <v>286</v>
      </c>
      <c r="B291">
        <v>1152854.6852842658</v>
      </c>
      <c r="C291">
        <v>134373.64780056739</v>
      </c>
      <c r="D291">
        <v>116911.62194710765</v>
      </c>
      <c r="E291">
        <v>37972.19924913803</v>
      </c>
      <c r="F291">
        <v>38628.844563401857</v>
      </c>
      <c r="G291">
        <v>10000</v>
      </c>
      <c r="H291">
        <v>317886.31356021494</v>
      </c>
      <c r="I291">
        <v>32.702402345919168</v>
      </c>
    </row>
    <row r="292" spans="1:9" x14ac:dyDescent="0.2">
      <c r="A292">
        <v>287</v>
      </c>
      <c r="B292">
        <v>936780.3315768647</v>
      </c>
      <c r="C292">
        <v>113513.4957939161</v>
      </c>
      <c r="D292">
        <v>68378.49899817977</v>
      </c>
      <c r="E292">
        <v>47488.636853227254</v>
      </c>
      <c r="F292">
        <v>39287.674859069579</v>
      </c>
      <c r="G292">
        <v>10000</v>
      </c>
      <c r="H292">
        <v>258668.30650439265</v>
      </c>
      <c r="I292">
        <v>26.740455031610665</v>
      </c>
    </row>
    <row r="293" spans="1:9" x14ac:dyDescent="0.2">
      <c r="A293">
        <v>288</v>
      </c>
      <c r="B293">
        <v>1411277.1512830865</v>
      </c>
      <c r="C293">
        <v>117412.12353594208</v>
      </c>
      <c r="D293">
        <v>69342.78143077968</v>
      </c>
      <c r="E293">
        <v>164562.6703016604</v>
      </c>
      <c r="F293">
        <v>47392.800251653411</v>
      </c>
      <c r="G293">
        <v>10000</v>
      </c>
      <c r="H293">
        <v>388710.37552003562</v>
      </c>
      <c r="I293">
        <v>41.766207751362572</v>
      </c>
    </row>
    <row r="294" spans="1:9" x14ac:dyDescent="0.2">
      <c r="A294">
        <v>289</v>
      </c>
      <c r="B294">
        <v>990736.17600310978</v>
      </c>
      <c r="C294">
        <v>92902.564897868346</v>
      </c>
      <c r="D294">
        <v>67818.427652431463</v>
      </c>
      <c r="E294">
        <v>81118.709261593016</v>
      </c>
      <c r="F294">
        <v>41615.910641187205</v>
      </c>
      <c r="G294">
        <v>10000</v>
      </c>
      <c r="H294">
        <v>273455.61245308002</v>
      </c>
      <c r="I294">
        <v>36.807115059890975</v>
      </c>
    </row>
    <row r="295" spans="1:9" x14ac:dyDescent="0.2">
      <c r="A295">
        <v>290</v>
      </c>
      <c r="B295">
        <v>1666044.8840839681</v>
      </c>
      <c r="C295">
        <v>122389.35699983955</v>
      </c>
      <c r="D295">
        <v>131171.99084148213</v>
      </c>
      <c r="E295">
        <v>167383.38184932436</v>
      </c>
      <c r="F295">
        <v>47588.080281876297</v>
      </c>
      <c r="G295">
        <v>10000</v>
      </c>
      <c r="H295">
        <v>458532.80997252237</v>
      </c>
      <c r="I295">
        <v>33.935410669245016</v>
      </c>
    </row>
    <row r="296" spans="1:9" x14ac:dyDescent="0.2">
      <c r="A296">
        <v>291</v>
      </c>
      <c r="B296">
        <v>1011933.540219459</v>
      </c>
      <c r="C296">
        <v>105836.1761852537</v>
      </c>
      <c r="D296">
        <v>93827.98457785041</v>
      </c>
      <c r="E296">
        <v>50130.307288682838</v>
      </c>
      <c r="F296">
        <v>39470.559735370349</v>
      </c>
      <c r="G296">
        <v>10000</v>
      </c>
      <c r="H296">
        <v>279265.02778715728</v>
      </c>
      <c r="I296">
        <v>32.214752590794426</v>
      </c>
    </row>
    <row r="297" spans="1:9" x14ac:dyDescent="0.2">
      <c r="A297">
        <v>292</v>
      </c>
      <c r="B297">
        <v>935126.65844461299</v>
      </c>
      <c r="C297">
        <v>96542.08861895783</v>
      </c>
      <c r="D297">
        <v>71341.992912836446</v>
      </c>
      <c r="E297">
        <v>60165.696723289431</v>
      </c>
      <c r="F297">
        <v>40165.317465458502</v>
      </c>
      <c r="G297">
        <v>10000</v>
      </c>
      <c r="H297">
        <v>258215.09572054225</v>
      </c>
      <c r="I297">
        <v>29.466632772448627</v>
      </c>
    </row>
    <row r="298" spans="1:9" x14ac:dyDescent="0.2">
      <c r="A298">
        <v>293</v>
      </c>
      <c r="B298">
        <v>1128905.2084028602</v>
      </c>
      <c r="C298">
        <v>116661.8339915625</v>
      </c>
      <c r="D298">
        <v>75181.658539387179</v>
      </c>
      <c r="E298">
        <v>87426.5461288933</v>
      </c>
      <c r="F298">
        <v>42052.607039692608</v>
      </c>
      <c r="G298">
        <v>10000</v>
      </c>
      <c r="H298">
        <v>311322.64569953561</v>
      </c>
      <c r="I298">
        <v>41.022371297190517</v>
      </c>
    </row>
    <row r="299" spans="1:9" x14ac:dyDescent="0.2">
      <c r="A299">
        <v>294</v>
      </c>
      <c r="B299">
        <v>1009679.6472011403</v>
      </c>
      <c r="C299">
        <v>133140.48911591814</v>
      </c>
      <c r="D299">
        <v>69501.500647611902</v>
      </c>
      <c r="E299">
        <v>46767.573994822589</v>
      </c>
      <c r="F299">
        <v>39237.755122718489</v>
      </c>
      <c r="G299">
        <v>10000</v>
      </c>
      <c r="H299">
        <v>278647.31888107111</v>
      </c>
      <c r="I299">
        <v>34.79101129976312</v>
      </c>
    </row>
    <row r="300" spans="1:9" x14ac:dyDescent="0.2">
      <c r="A300">
        <v>295</v>
      </c>
      <c r="B300">
        <v>1408876.1894012</v>
      </c>
      <c r="C300">
        <v>99169.132062646284</v>
      </c>
      <c r="D300">
        <v>155703.10773426021</v>
      </c>
      <c r="E300">
        <v>100240.40062520036</v>
      </c>
      <c r="F300">
        <v>42939.720043283101</v>
      </c>
      <c r="G300">
        <v>10000</v>
      </c>
      <c r="H300">
        <v>388052.36046538991</v>
      </c>
      <c r="I300">
        <v>41.301146442539135</v>
      </c>
    </row>
    <row r="301" spans="1:9" x14ac:dyDescent="0.2">
      <c r="A301">
        <v>296</v>
      </c>
      <c r="B301">
        <v>1071997.0697569218</v>
      </c>
      <c r="C301">
        <v>96055.779777944525</v>
      </c>
      <c r="D301">
        <v>81982.800227321088</v>
      </c>
      <c r="E301">
        <v>85751.034744030825</v>
      </c>
      <c r="F301">
        <v>41936.610097663674</v>
      </c>
      <c r="G301">
        <v>10000</v>
      </c>
      <c r="H301">
        <v>295726.2248469601</v>
      </c>
      <c r="I301">
        <v>33.014733009924129</v>
      </c>
    </row>
    <row r="302" spans="1:9" x14ac:dyDescent="0.2">
      <c r="A302">
        <v>297</v>
      </c>
      <c r="B302">
        <v>1212924.5683759621</v>
      </c>
      <c r="C302">
        <v>107529.01258869808</v>
      </c>
      <c r="D302">
        <v>120829.01317458613</v>
      </c>
      <c r="E302">
        <v>74811.938108595597</v>
      </c>
      <c r="F302">
        <v>41179.288022902772</v>
      </c>
      <c r="G302">
        <v>10000</v>
      </c>
      <c r="H302">
        <v>334349.25189478259</v>
      </c>
      <c r="I302">
        <v>37.757575370744512</v>
      </c>
    </row>
    <row r="303" spans="1:9" x14ac:dyDescent="0.2">
      <c r="A303">
        <v>298</v>
      </c>
      <c r="B303">
        <v>1198726.4635250827</v>
      </c>
      <c r="C303">
        <v>89262.006428654975</v>
      </c>
      <c r="D303">
        <v>56749.543496142753</v>
      </c>
      <c r="E303">
        <v>148187.39780972429</v>
      </c>
      <c r="F303">
        <v>46259.127540673224</v>
      </c>
      <c r="G303">
        <v>10000</v>
      </c>
      <c r="H303">
        <v>330458.0752751953</v>
      </c>
      <c r="I303">
        <v>35.804373790499213</v>
      </c>
    </row>
    <row r="304" spans="1:9" x14ac:dyDescent="0.2">
      <c r="A304">
        <v>299</v>
      </c>
      <c r="B304">
        <v>1422897.1728564994</v>
      </c>
      <c r="C304">
        <v>150618.89131495968</v>
      </c>
      <c r="D304">
        <v>71244.123201491573</v>
      </c>
      <c r="E304">
        <v>134706.16846681421</v>
      </c>
      <c r="F304">
        <v>45325.811663087137</v>
      </c>
      <c r="G304">
        <v>10000</v>
      </c>
      <c r="H304">
        <v>391894.9946463526</v>
      </c>
      <c r="I304">
        <v>33.547876186063846</v>
      </c>
    </row>
    <row r="305" spans="1:9" x14ac:dyDescent="0.2">
      <c r="A305">
        <v>300</v>
      </c>
      <c r="B305">
        <v>1662626.9742867679</v>
      </c>
      <c r="C305">
        <v>161151.16424270003</v>
      </c>
      <c r="D305">
        <v>49651.821107418451</v>
      </c>
      <c r="E305">
        <v>206497.14544700846</v>
      </c>
      <c r="F305">
        <v>50295.956223254434</v>
      </c>
      <c r="G305">
        <v>10000</v>
      </c>
      <c r="H305">
        <v>457596.08702038135</v>
      </c>
      <c r="I305">
        <v>36.493941788934968</v>
      </c>
    </row>
    <row r="306" spans="1:9" x14ac:dyDescent="0.2">
      <c r="A306">
        <v>301</v>
      </c>
      <c r="B306">
        <v>1407060.3369415998</v>
      </c>
      <c r="C306">
        <v>121896.77679924836</v>
      </c>
      <c r="D306">
        <v>36995.939854679382</v>
      </c>
      <c r="E306">
        <v>189539.98658710171</v>
      </c>
      <c r="F306">
        <v>49121.999071414728</v>
      </c>
      <c r="G306">
        <v>10000</v>
      </c>
      <c r="H306">
        <v>387554.70231244422</v>
      </c>
      <c r="I306">
        <v>34.092339124808532</v>
      </c>
    </row>
    <row r="307" spans="1:9" x14ac:dyDescent="0.2">
      <c r="A307">
        <v>302</v>
      </c>
      <c r="B307">
        <v>1215233.1109826691</v>
      </c>
      <c r="C307">
        <v>92472.541530352071</v>
      </c>
      <c r="D307">
        <v>123018.39521943306</v>
      </c>
      <c r="E307">
        <v>87437.627289675132</v>
      </c>
      <c r="F307">
        <v>42053.374196977507</v>
      </c>
      <c r="G307">
        <v>10000</v>
      </c>
      <c r="H307">
        <v>334981.9382364378</v>
      </c>
      <c r="I307">
        <v>48.176767418664831</v>
      </c>
    </row>
    <row r="308" spans="1:9" x14ac:dyDescent="0.2">
      <c r="A308">
        <v>303</v>
      </c>
      <c r="B308">
        <v>1516226.114985415</v>
      </c>
      <c r="C308">
        <v>139979.10267113498</v>
      </c>
      <c r="D308">
        <v>41022.174779223038</v>
      </c>
      <c r="E308">
        <v>196844.06994895026</v>
      </c>
      <c r="F308">
        <v>49627.666381081173</v>
      </c>
      <c r="G308">
        <v>10000</v>
      </c>
      <c r="H308">
        <v>417473.01378038945</v>
      </c>
      <c r="I308">
        <v>26.462239831517138</v>
      </c>
    </row>
    <row r="309" spans="1:9" x14ac:dyDescent="0.2">
      <c r="A309">
        <v>304</v>
      </c>
      <c r="B309">
        <v>986185.02365929587</v>
      </c>
      <c r="C309">
        <v>101879.63475400579</v>
      </c>
      <c r="D309">
        <v>95491.378953766878</v>
      </c>
      <c r="E309">
        <v>45675.168760547327</v>
      </c>
      <c r="F309">
        <v>39162.127068037895</v>
      </c>
      <c r="G309">
        <v>10000</v>
      </c>
      <c r="H309">
        <v>272208.30953635788</v>
      </c>
      <c r="I309">
        <v>27.346922794240825</v>
      </c>
    </row>
    <row r="310" spans="1:9" x14ac:dyDescent="0.2">
      <c r="A310">
        <v>305</v>
      </c>
      <c r="B310">
        <v>1160176.6461341057</v>
      </c>
      <c r="C310">
        <v>121589.46336777948</v>
      </c>
      <c r="D310">
        <v>66555.532404074591</v>
      </c>
      <c r="E310">
        <v>98901.004455645219</v>
      </c>
      <c r="F310">
        <v>42846.99261616006</v>
      </c>
      <c r="G310">
        <v>10000</v>
      </c>
      <c r="H310">
        <v>319892.99284365936</v>
      </c>
      <c r="I310">
        <v>28.692966054047815</v>
      </c>
    </row>
    <row r="311" spans="1:9" x14ac:dyDescent="0.2">
      <c r="A311">
        <v>306</v>
      </c>
      <c r="B311">
        <v>1044572.8000027039</v>
      </c>
      <c r="C311">
        <v>103644.54086184225</v>
      </c>
      <c r="D311">
        <v>69854.374509800866</v>
      </c>
      <c r="E311">
        <v>82967.430103342238</v>
      </c>
      <c r="F311">
        <v>41743.899007154461</v>
      </c>
      <c r="G311">
        <v>10000</v>
      </c>
      <c r="H311">
        <v>288210.24448213982</v>
      </c>
      <c r="I311">
        <v>28.214662538335155</v>
      </c>
    </row>
    <row r="312" spans="1:9" x14ac:dyDescent="0.2">
      <c r="A312">
        <v>307</v>
      </c>
      <c r="B312">
        <v>931149.79370216164</v>
      </c>
      <c r="C312">
        <v>105136.0816351838</v>
      </c>
      <c r="D312">
        <v>58871.369108440282</v>
      </c>
      <c r="E312">
        <v>62771.980597228721</v>
      </c>
      <c r="F312">
        <v>40345.752502885065</v>
      </c>
      <c r="G312">
        <v>10000</v>
      </c>
      <c r="H312">
        <v>257125.18384373782</v>
      </c>
      <c r="I312">
        <v>34.984097548142124</v>
      </c>
    </row>
    <row r="313" spans="1:9" x14ac:dyDescent="0.2">
      <c r="A313">
        <v>308</v>
      </c>
      <c r="B313">
        <v>1239797.6374211838</v>
      </c>
      <c r="C313">
        <v>102619.88938597272</v>
      </c>
      <c r="D313">
        <v>97991.859872236077</v>
      </c>
      <c r="E313">
        <v>107649.74460055881</v>
      </c>
      <c r="F313">
        <v>43452.674626192536</v>
      </c>
      <c r="G313">
        <v>10000</v>
      </c>
      <c r="H313">
        <v>341714.16848496016</v>
      </c>
      <c r="I313">
        <v>24.306217874798946</v>
      </c>
    </row>
    <row r="314" spans="1:9" x14ac:dyDescent="0.2">
      <c r="A314">
        <v>309</v>
      </c>
      <c r="B314">
        <v>1407578.1052193928</v>
      </c>
      <c r="C314">
        <v>101799.65633411375</v>
      </c>
      <c r="D314">
        <v>108577.64810745743</v>
      </c>
      <c r="E314">
        <v>141521.64659334108</v>
      </c>
      <c r="F314">
        <v>45797.652456462078</v>
      </c>
      <c r="G314">
        <v>10000</v>
      </c>
      <c r="H314">
        <v>387696.60349137435</v>
      </c>
      <c r="I314">
        <v>24.399392872032408</v>
      </c>
    </row>
    <row r="315" spans="1:9" x14ac:dyDescent="0.2">
      <c r="A315">
        <v>310</v>
      </c>
      <c r="B315">
        <v>1019455.0428003755</v>
      </c>
      <c r="C315">
        <v>109927.6294750885</v>
      </c>
      <c r="D315">
        <v>70330.768982431764</v>
      </c>
      <c r="E315">
        <v>70207.477935137664</v>
      </c>
      <c r="F315">
        <v>40860.517703201833</v>
      </c>
      <c r="G315">
        <v>10000</v>
      </c>
      <c r="H315">
        <v>281326.39409585978</v>
      </c>
      <c r="I315">
        <v>38.9510240597427</v>
      </c>
    </row>
    <row r="316" spans="1:9" x14ac:dyDescent="0.2">
      <c r="A316">
        <v>311</v>
      </c>
      <c r="B316">
        <v>1687612.6805742346</v>
      </c>
      <c r="C316">
        <v>152362.03797541198</v>
      </c>
      <c r="D316">
        <v>79843.061831502055</v>
      </c>
      <c r="E316">
        <v>192885.06583581434</v>
      </c>
      <c r="F316">
        <v>49353.581480940993</v>
      </c>
      <c r="G316">
        <v>10000</v>
      </c>
      <c r="H316">
        <v>464443.74712366937</v>
      </c>
      <c r="I316">
        <v>39.196177645087957</v>
      </c>
    </row>
    <row r="317" spans="1:9" x14ac:dyDescent="0.2">
      <c r="A317">
        <v>312</v>
      </c>
      <c r="B317">
        <v>756857.71160122973</v>
      </c>
      <c r="C317">
        <v>101793.37428282791</v>
      </c>
      <c r="D317">
        <v>33126.111364818331</v>
      </c>
      <c r="E317">
        <v>45302.353230340734</v>
      </c>
      <c r="F317">
        <v>39136.316762100512</v>
      </c>
      <c r="G317">
        <v>10000</v>
      </c>
      <c r="H317">
        <v>209358.1556400875</v>
      </c>
      <c r="I317">
        <v>29.907940005075737</v>
      </c>
    </row>
    <row r="318" spans="1:9" x14ac:dyDescent="0.2">
      <c r="A318">
        <v>313</v>
      </c>
      <c r="B318">
        <v>1132453.1122895293</v>
      </c>
      <c r="C318">
        <v>133307.48781118268</v>
      </c>
      <c r="D318">
        <v>89694.374716260587</v>
      </c>
      <c r="E318">
        <v>59195.016201056678</v>
      </c>
      <c r="F318">
        <v>40098.116506227001</v>
      </c>
      <c r="G318">
        <v>10000</v>
      </c>
      <c r="H318">
        <v>312294.99523472693</v>
      </c>
      <c r="I318">
        <v>48.720209101980458</v>
      </c>
    </row>
    <row r="319" spans="1:9" x14ac:dyDescent="0.2">
      <c r="A319">
        <v>314</v>
      </c>
      <c r="B319">
        <v>1367003.6863199999</v>
      </c>
      <c r="C319">
        <v>152164.0755404878</v>
      </c>
      <c r="D319">
        <v>118041.01983899481</v>
      </c>
      <c r="E319">
        <v>75167.643346008044</v>
      </c>
      <c r="F319">
        <v>41203.913770108251</v>
      </c>
      <c r="G319">
        <v>10000</v>
      </c>
      <c r="H319">
        <v>376576.65249559889</v>
      </c>
      <c r="I319">
        <v>52.185913101259878</v>
      </c>
    </row>
    <row r="320" spans="1:9" x14ac:dyDescent="0.2">
      <c r="A320">
        <v>315</v>
      </c>
      <c r="B320">
        <v>1155488.541089261</v>
      </c>
      <c r="C320">
        <v>92542.156373418489</v>
      </c>
      <c r="D320">
        <v>74327.125478485206</v>
      </c>
      <c r="E320">
        <v>117597.5084254182</v>
      </c>
      <c r="F320">
        <v>44141.365967913567</v>
      </c>
      <c r="G320">
        <v>10000</v>
      </c>
      <c r="H320">
        <v>318608.15624523553</v>
      </c>
      <c r="I320">
        <v>26.788941459483006</v>
      </c>
    </row>
    <row r="321" spans="1:9" x14ac:dyDescent="0.2">
      <c r="A321">
        <v>316</v>
      </c>
      <c r="B321">
        <v>1445289.1562419119</v>
      </c>
      <c r="C321">
        <v>113746.84302511094</v>
      </c>
      <c r="D321">
        <v>87544.098915001901</v>
      </c>
      <c r="E321">
        <v>159685.70488773554</v>
      </c>
      <c r="F321">
        <v>47055.164184535533</v>
      </c>
      <c r="G321">
        <v>10000</v>
      </c>
      <c r="H321">
        <v>398031.8110123839</v>
      </c>
      <c r="I321">
        <v>36.463082451542064</v>
      </c>
    </row>
    <row r="322" spans="1:9" x14ac:dyDescent="0.2">
      <c r="A322">
        <v>317</v>
      </c>
      <c r="B322">
        <v>1342227.355072713</v>
      </c>
      <c r="C322">
        <v>134418.20414622364</v>
      </c>
      <c r="D322">
        <v>80593.498090958004</v>
      </c>
      <c r="E322">
        <v>120436.74371641988</v>
      </c>
      <c r="F322">
        <v>44337.92841113676</v>
      </c>
      <c r="G322">
        <v>10000</v>
      </c>
      <c r="H322">
        <v>369786.37436473824</v>
      </c>
      <c r="I322">
        <v>43.832834270564952</v>
      </c>
    </row>
    <row r="323" spans="1:9" x14ac:dyDescent="0.2">
      <c r="A323">
        <v>318</v>
      </c>
      <c r="B323">
        <v>1297449.3591954957</v>
      </c>
      <c r="C323">
        <v>113258.82039490517</v>
      </c>
      <c r="D323">
        <v>114037.24922466777</v>
      </c>
      <c r="E323">
        <v>97470.360387858615</v>
      </c>
      <c r="F323">
        <v>42747.948026851751</v>
      </c>
      <c r="G323">
        <v>10000</v>
      </c>
      <c r="H323">
        <v>357514.37803428329</v>
      </c>
      <c r="I323">
        <v>33.298726571135745</v>
      </c>
    </row>
    <row r="324" spans="1:9" x14ac:dyDescent="0.2">
      <c r="A324">
        <v>319</v>
      </c>
      <c r="B324">
        <v>1203119.9025852899</v>
      </c>
      <c r="C324">
        <v>126008.97005506567</v>
      </c>
      <c r="D324">
        <v>116078.78474570606</v>
      </c>
      <c r="E324">
        <v>59458.071942296381</v>
      </c>
      <c r="F324">
        <v>40116.3280575436</v>
      </c>
      <c r="G324">
        <v>10000</v>
      </c>
      <c r="H324">
        <v>331662.15480061172</v>
      </c>
      <c r="I324">
        <v>29.352287042812328</v>
      </c>
    </row>
    <row r="325" spans="1:9" x14ac:dyDescent="0.2">
      <c r="A325">
        <v>320</v>
      </c>
      <c r="B325">
        <v>1575322.3740515669</v>
      </c>
      <c r="C325">
        <v>103902.76642605418</v>
      </c>
      <c r="D325">
        <v>98222.400852286999</v>
      </c>
      <c r="E325">
        <v>192235.34931238252</v>
      </c>
      <c r="F325">
        <v>49308.601106241869</v>
      </c>
      <c r="G325">
        <v>10000</v>
      </c>
      <c r="H325">
        <v>433669.11769696558</v>
      </c>
      <c r="I325">
        <v>32.618572773645283</v>
      </c>
    </row>
    <row r="326" spans="1:9" x14ac:dyDescent="0.2">
      <c r="A326">
        <v>321</v>
      </c>
      <c r="B326">
        <v>1660440.5266997637</v>
      </c>
      <c r="C326">
        <v>106444.31630043659</v>
      </c>
      <c r="D326">
        <v>124493.78137303256</v>
      </c>
      <c r="E326">
        <v>187105.31954546415</v>
      </c>
      <c r="F326">
        <v>48953.445199301364</v>
      </c>
      <c r="G326">
        <v>10000</v>
      </c>
      <c r="H326">
        <v>456996.8624182347</v>
      </c>
      <c r="I326">
        <v>28.833036694782653</v>
      </c>
    </row>
    <row r="327" spans="1:9" x14ac:dyDescent="0.2">
      <c r="A327">
        <v>322</v>
      </c>
      <c r="B327">
        <v>864967.3030890181</v>
      </c>
      <c r="C327">
        <v>89149.345342520581</v>
      </c>
      <c r="D327">
        <v>83419.962770235463</v>
      </c>
      <c r="E327">
        <v>37800.724032074642</v>
      </c>
      <c r="F327">
        <v>38616.973202220557</v>
      </c>
      <c r="G327">
        <v>10000</v>
      </c>
      <c r="H327">
        <v>238987.00534705125</v>
      </c>
      <c r="I327">
        <v>38.168518818264261</v>
      </c>
    </row>
    <row r="328" spans="1:9" x14ac:dyDescent="0.2">
      <c r="A328">
        <v>323</v>
      </c>
      <c r="B328">
        <v>1421498.4774857624</v>
      </c>
      <c r="C328">
        <v>124396.82916267525</v>
      </c>
      <c r="D328">
        <v>123856.52657232483</v>
      </c>
      <c r="E328">
        <v>109666.04356834338</v>
      </c>
      <c r="F328">
        <v>43592.264554731468</v>
      </c>
      <c r="G328">
        <v>10000</v>
      </c>
      <c r="H328">
        <v>391511.66385807493</v>
      </c>
      <c r="I328">
        <v>42.710767389635457</v>
      </c>
    </row>
    <row r="329" spans="1:9" x14ac:dyDescent="0.2">
      <c r="A329">
        <v>324</v>
      </c>
      <c r="B329">
        <v>1689747.6776056194</v>
      </c>
      <c r="C329">
        <v>133388.91393327713</v>
      </c>
      <c r="D329">
        <v>93901.476037993052</v>
      </c>
      <c r="E329">
        <v>198028.79523205446</v>
      </c>
      <c r="F329">
        <v>49709.685823757616</v>
      </c>
      <c r="G329">
        <v>10000</v>
      </c>
      <c r="H329">
        <v>465028.87102708226</v>
      </c>
      <c r="I329">
        <v>41.551740907792023</v>
      </c>
    </row>
    <row r="330" spans="1:9" x14ac:dyDescent="0.2">
      <c r="A330">
        <v>325</v>
      </c>
      <c r="B330">
        <v>1383095.88015327</v>
      </c>
      <c r="C330">
        <v>82044.097337633895</v>
      </c>
      <c r="D330">
        <v>98924.358774121603</v>
      </c>
      <c r="E330">
        <v>162751.08976286169</v>
      </c>
      <c r="F330">
        <v>47267.383137428886</v>
      </c>
      <c r="G330">
        <v>10000</v>
      </c>
      <c r="H330">
        <v>380986.92901204608</v>
      </c>
      <c r="I330">
        <v>43.512261586682015</v>
      </c>
    </row>
    <row r="331" spans="1:9" x14ac:dyDescent="0.2">
      <c r="A331">
        <v>326</v>
      </c>
      <c r="B331">
        <v>1655746.129102183</v>
      </c>
      <c r="C331">
        <v>152920.85530278686</v>
      </c>
      <c r="D331">
        <v>107674.8945258919</v>
      </c>
      <c r="E331">
        <v>158164.68839209698</v>
      </c>
      <c r="F331">
        <v>46949.863042529789</v>
      </c>
      <c r="G331">
        <v>10000</v>
      </c>
      <c r="H331">
        <v>455710.30126330553</v>
      </c>
      <c r="I331">
        <v>29.249248327685443</v>
      </c>
    </row>
    <row r="332" spans="1:9" x14ac:dyDescent="0.2">
      <c r="A332">
        <v>327</v>
      </c>
      <c r="B332">
        <v>1043274.2506525109</v>
      </c>
      <c r="C332">
        <v>146024.12270711671</v>
      </c>
      <c r="D332">
        <v>42133.3963428645</v>
      </c>
      <c r="E332">
        <v>68925.103067949385</v>
      </c>
      <c r="F332">
        <v>40771.73790470419</v>
      </c>
      <c r="G332">
        <v>10000</v>
      </c>
      <c r="H332">
        <v>287854.36002263479</v>
      </c>
      <c r="I332">
        <v>32.70356774505531</v>
      </c>
    </row>
    <row r="333" spans="1:9" x14ac:dyDescent="0.2">
      <c r="A333">
        <v>328</v>
      </c>
      <c r="B333">
        <v>959202.25704753399</v>
      </c>
      <c r="C333">
        <v>93982.994093318586</v>
      </c>
      <c r="D333">
        <v>79541.015198988069</v>
      </c>
      <c r="E333">
        <v>61061.953581613576</v>
      </c>
      <c r="F333">
        <v>40227.366017188629</v>
      </c>
      <c r="G333">
        <v>10000</v>
      </c>
      <c r="H333">
        <v>264813.32889110886</v>
      </c>
      <c r="I333">
        <v>32.08382499282169</v>
      </c>
    </row>
    <row r="334" spans="1:9" x14ac:dyDescent="0.2">
      <c r="A334">
        <v>329</v>
      </c>
      <c r="B334">
        <v>1127511.6505640298</v>
      </c>
      <c r="C334">
        <v>106391.09316348167</v>
      </c>
      <c r="D334">
        <v>53172.486041841163</v>
      </c>
      <c r="E334">
        <v>117259.19915684013</v>
      </c>
      <c r="F334">
        <v>44117.944557012008</v>
      </c>
      <c r="G334">
        <v>10000</v>
      </c>
      <c r="H334">
        <v>310940.72291917499</v>
      </c>
      <c r="I334">
        <v>33.913755883889095</v>
      </c>
    </row>
    <row r="335" spans="1:9" x14ac:dyDescent="0.2">
      <c r="A335">
        <v>330</v>
      </c>
      <c r="B335">
        <v>1017978.060533473</v>
      </c>
      <c r="C335">
        <v>107902.823661713</v>
      </c>
      <c r="D335">
        <v>106685.67993956685</v>
      </c>
      <c r="E335">
        <v>37721.608204299337</v>
      </c>
      <c r="F335">
        <v>38611.495952605335</v>
      </c>
      <c r="G335">
        <v>10000</v>
      </c>
      <c r="H335">
        <v>280921.60775818455</v>
      </c>
      <c r="I335">
        <v>28.533663438730255</v>
      </c>
    </row>
    <row r="336" spans="1:9" x14ac:dyDescent="0.2">
      <c r="A336">
        <v>331</v>
      </c>
      <c r="B336">
        <v>1714601.6758529227</v>
      </c>
      <c r="C336">
        <v>129424.20375710305</v>
      </c>
      <c r="D336">
        <v>109413.69139394601</v>
      </c>
      <c r="E336">
        <v>193599.49752900796</v>
      </c>
      <c r="F336">
        <v>49403.042136623626</v>
      </c>
      <c r="G336">
        <v>10000</v>
      </c>
      <c r="H336">
        <v>471840.43481668067</v>
      </c>
      <c r="I336">
        <v>35.604940375539996</v>
      </c>
    </row>
    <row r="337" spans="1:9" x14ac:dyDescent="0.2">
      <c r="A337">
        <v>332</v>
      </c>
      <c r="B337">
        <v>1450756.0655512314</v>
      </c>
      <c r="C337">
        <v>154396.94450033337</v>
      </c>
      <c r="D337">
        <v>113260.16801768508</v>
      </c>
      <c r="E337">
        <v>99017.891787219341</v>
      </c>
      <c r="F337">
        <v>42855.084816038259</v>
      </c>
      <c r="G337">
        <v>10000</v>
      </c>
      <c r="H337">
        <v>399530.08912127605</v>
      </c>
      <c r="I337">
        <v>37.585227144018347</v>
      </c>
    </row>
    <row r="338" spans="1:9" x14ac:dyDescent="0.2">
      <c r="A338">
        <v>333</v>
      </c>
      <c r="B338">
        <v>1646392.9802050972</v>
      </c>
      <c r="C338">
        <v>118919.99820725928</v>
      </c>
      <c r="D338">
        <v>139586.49432000093</v>
      </c>
      <c r="E338">
        <v>157721.28956075606</v>
      </c>
      <c r="F338">
        <v>46919.166200360036</v>
      </c>
      <c r="G338">
        <v>10000</v>
      </c>
      <c r="H338">
        <v>453146.94828837633</v>
      </c>
      <c r="I338">
        <v>26.089790155204973</v>
      </c>
    </row>
    <row r="339" spans="1:9" x14ac:dyDescent="0.2">
      <c r="A339">
        <v>334</v>
      </c>
      <c r="B339">
        <v>1484580.5533011816</v>
      </c>
      <c r="C339">
        <v>82078.05662920278</v>
      </c>
      <c r="D339">
        <v>85458.6414021854</v>
      </c>
      <c r="E339">
        <v>201325.51478074834</v>
      </c>
      <c r="F339">
        <v>49937.920254051809</v>
      </c>
      <c r="G339">
        <v>10000</v>
      </c>
      <c r="H339">
        <v>408800.13306618831</v>
      </c>
      <c r="I339">
        <v>26.76683242963086</v>
      </c>
    </row>
    <row r="340" spans="1:9" x14ac:dyDescent="0.2">
      <c r="A340">
        <v>335</v>
      </c>
      <c r="B340">
        <v>1540606.5051012582</v>
      </c>
      <c r="C340">
        <v>126719.26987554712</v>
      </c>
      <c r="D340">
        <v>63233.851098620224</v>
      </c>
      <c r="E340">
        <v>194720.97518596964</v>
      </c>
      <c r="F340">
        <v>49480.682897490202</v>
      </c>
      <c r="G340">
        <v>10000</v>
      </c>
      <c r="H340">
        <v>424154.77905762719</v>
      </c>
      <c r="I340">
        <v>40.515383865064813</v>
      </c>
    </row>
    <row r="341" spans="1:9" x14ac:dyDescent="0.2">
      <c r="A341">
        <v>336</v>
      </c>
      <c r="B341">
        <v>1435286.5237446046</v>
      </c>
      <c r="C341">
        <v>104881.89260730585</v>
      </c>
      <c r="D341">
        <v>125817.66761432636</v>
      </c>
      <c r="E341">
        <v>129617.38692490889</v>
      </c>
      <c r="F341">
        <v>44973.511402493692</v>
      </c>
      <c r="G341">
        <v>10000</v>
      </c>
      <c r="H341">
        <v>395290.45854903478</v>
      </c>
      <c r="I341">
        <v>39.185186525272016</v>
      </c>
    </row>
    <row r="342" spans="1:9" x14ac:dyDescent="0.2">
      <c r="A342">
        <v>337</v>
      </c>
      <c r="B342">
        <v>1131871.0100530274</v>
      </c>
      <c r="C342">
        <v>121162.45577232743</v>
      </c>
      <c r="D342">
        <v>97059.610246747063</v>
      </c>
      <c r="E342">
        <v>63516.126197403697</v>
      </c>
      <c r="F342">
        <v>40397.270275204872</v>
      </c>
      <c r="G342">
        <v>10000</v>
      </c>
      <c r="H342">
        <v>312135.46249168302</v>
      </c>
      <c r="I342">
        <v>34.019288703333658</v>
      </c>
    </row>
    <row r="343" spans="1:9" x14ac:dyDescent="0.2">
      <c r="A343">
        <v>338</v>
      </c>
      <c r="B343">
        <v>1587320.8640981091</v>
      </c>
      <c r="C343">
        <v>155381.98934502745</v>
      </c>
      <c r="D343">
        <v>133449.35274152274</v>
      </c>
      <c r="E343">
        <v>114218.67242683744</v>
      </c>
      <c r="F343">
        <v>43907.446552627203</v>
      </c>
      <c r="G343">
        <v>10000</v>
      </c>
      <c r="H343">
        <v>436957.46106601483</v>
      </c>
      <c r="I343">
        <v>27.705815520380185</v>
      </c>
    </row>
    <row r="344" spans="1:9" x14ac:dyDescent="0.2">
      <c r="A344">
        <v>339</v>
      </c>
      <c r="B344">
        <v>1390564.1993334091</v>
      </c>
      <c r="C344">
        <v>147122.97508351761</v>
      </c>
      <c r="D344">
        <v>42692.557949497183</v>
      </c>
      <c r="E344">
        <v>156391.10984468425</v>
      </c>
      <c r="F344">
        <v>46827.076835401218</v>
      </c>
      <c r="G344">
        <v>10000</v>
      </c>
      <c r="H344">
        <v>383033.71971310029</v>
      </c>
      <c r="I344">
        <v>32.23364106646023</v>
      </c>
    </row>
    <row r="345" spans="1:9" x14ac:dyDescent="0.2">
      <c r="A345">
        <v>340</v>
      </c>
      <c r="B345">
        <v>1140878.285271171</v>
      </c>
      <c r="C345">
        <v>95466.085769808371</v>
      </c>
      <c r="D345">
        <v>69338.693573354758</v>
      </c>
      <c r="E345">
        <v>115783.4664635558</v>
      </c>
      <c r="F345">
        <v>44015.778447476943</v>
      </c>
      <c r="G345">
        <v>10000</v>
      </c>
      <c r="H345">
        <v>314604.02425419586</v>
      </c>
      <c r="I345">
        <v>37.560767004280727</v>
      </c>
    </row>
    <row r="346" spans="1:9" x14ac:dyDescent="0.2">
      <c r="A346">
        <v>341</v>
      </c>
      <c r="B346">
        <v>1458985.258545171</v>
      </c>
      <c r="C346">
        <v>138159.96504551361</v>
      </c>
      <c r="D346">
        <v>89711.636254570505</v>
      </c>
      <c r="E346">
        <v>138336.65305408643</v>
      </c>
      <c r="F346">
        <v>45577.152903744442</v>
      </c>
      <c r="G346">
        <v>10000</v>
      </c>
      <c r="H346">
        <v>401785.40725791495</v>
      </c>
      <c r="I346">
        <v>34.070255105349503</v>
      </c>
    </row>
    <row r="347" spans="1:9" x14ac:dyDescent="0.2">
      <c r="A347">
        <v>342</v>
      </c>
      <c r="B347">
        <v>1210441.4556021793</v>
      </c>
      <c r="C347">
        <v>92162.135837883005</v>
      </c>
      <c r="D347">
        <v>133356.60355402171</v>
      </c>
      <c r="E347">
        <v>76830.919277874505</v>
      </c>
      <c r="F347">
        <v>41319.063642314388</v>
      </c>
      <c r="G347">
        <v>10000</v>
      </c>
      <c r="H347">
        <v>333668.72231209365</v>
      </c>
      <c r="I347">
        <v>26.666624064078526</v>
      </c>
    </row>
    <row r="348" spans="1:9" x14ac:dyDescent="0.2">
      <c r="A348">
        <v>343</v>
      </c>
      <c r="B348">
        <v>893250.86030353908</v>
      </c>
      <c r="C348">
        <v>112025.898903308</v>
      </c>
      <c r="D348">
        <v>58425.076517052061</v>
      </c>
      <c r="E348">
        <v>47031.48349560488</v>
      </c>
      <c r="F348">
        <v>39256.025780464952</v>
      </c>
      <c r="G348">
        <v>10000</v>
      </c>
      <c r="H348">
        <v>246738.48469642989</v>
      </c>
      <c r="I348">
        <v>36.955878495392291</v>
      </c>
    </row>
    <row r="349" spans="1:9" x14ac:dyDescent="0.2">
      <c r="A349">
        <v>344</v>
      </c>
      <c r="B349">
        <v>1303213.9556486343</v>
      </c>
      <c r="C349">
        <v>114610.20356512045</v>
      </c>
      <c r="D349">
        <v>32816.017225569129</v>
      </c>
      <c r="E349">
        <v>173646.35002724084</v>
      </c>
      <c r="F349">
        <v>48021.67038650129</v>
      </c>
      <c r="G349">
        <v>10000</v>
      </c>
      <c r="H349">
        <v>359094.24120443169</v>
      </c>
      <c r="I349">
        <v>28.377702517947036</v>
      </c>
    </row>
    <row r="350" spans="1:9" x14ac:dyDescent="0.2">
      <c r="A350">
        <v>345</v>
      </c>
      <c r="B350">
        <v>1192001.3238259219</v>
      </c>
      <c r="C350">
        <v>125201.41505596037</v>
      </c>
      <c r="D350">
        <v>75819.733964369501</v>
      </c>
      <c r="E350">
        <v>95015.796916124702</v>
      </c>
      <c r="F350">
        <v>42578.016709577867</v>
      </c>
      <c r="G350">
        <v>10000</v>
      </c>
      <c r="H350">
        <v>328614.96264603245</v>
      </c>
      <c r="I350">
        <v>47.413142010248386</v>
      </c>
    </row>
    <row r="351" spans="1:9" x14ac:dyDescent="0.2">
      <c r="A351">
        <v>346</v>
      </c>
      <c r="B351">
        <v>1454202.0323084702</v>
      </c>
      <c r="C351">
        <v>100077.43904244433</v>
      </c>
      <c r="D351">
        <v>130824.19881259468</v>
      </c>
      <c r="E351">
        <v>134276.77890254967</v>
      </c>
      <c r="F351">
        <v>45296.08469325344</v>
      </c>
      <c r="G351">
        <v>10000</v>
      </c>
      <c r="H351">
        <v>400474.50145084213</v>
      </c>
      <c r="I351">
        <v>47.545675749382255</v>
      </c>
    </row>
    <row r="352" spans="1:9" x14ac:dyDescent="0.2">
      <c r="A352">
        <v>347</v>
      </c>
      <c r="B352">
        <v>806101.44805962755</v>
      </c>
      <c r="C352">
        <v>119546.65384955991</v>
      </c>
      <c r="D352">
        <v>46645.712196242785</v>
      </c>
      <c r="E352">
        <v>28676.391955252824</v>
      </c>
      <c r="F352">
        <v>37985.288673825191</v>
      </c>
      <c r="G352">
        <v>10000</v>
      </c>
      <c r="H352">
        <v>222854.04667488069</v>
      </c>
      <c r="I352">
        <v>30.243803037827526</v>
      </c>
    </row>
    <row r="353" spans="1:9" x14ac:dyDescent="0.2">
      <c r="A353">
        <v>348</v>
      </c>
      <c r="B353">
        <v>1486621.6637928151</v>
      </c>
      <c r="C353">
        <v>101411.65634659346</v>
      </c>
      <c r="D353">
        <v>95398.703152076618</v>
      </c>
      <c r="E353">
        <v>174470.44361534101</v>
      </c>
      <c r="F353">
        <v>48078.723019523612</v>
      </c>
      <c r="G353">
        <v>10000</v>
      </c>
      <c r="H353">
        <v>409359.52613353467</v>
      </c>
      <c r="I353">
        <v>36.80511966203143</v>
      </c>
    </row>
    <row r="354" spans="1:9" x14ac:dyDescent="0.2">
      <c r="A354">
        <v>349</v>
      </c>
      <c r="B354">
        <v>1742713.3388903653</v>
      </c>
      <c r="C354">
        <v>142747.76949812038</v>
      </c>
      <c r="D354">
        <v>144639.10775789787</v>
      </c>
      <c r="E354">
        <v>155399.50012723432</v>
      </c>
      <c r="F354">
        <v>46758.426931885449</v>
      </c>
      <c r="G354">
        <v>10000</v>
      </c>
      <c r="H354">
        <v>479544.80431513803</v>
      </c>
      <c r="I354">
        <v>39.556522673623704</v>
      </c>
    </row>
    <row r="355" spans="1:9" x14ac:dyDescent="0.2">
      <c r="A355">
        <v>350</v>
      </c>
      <c r="B355">
        <v>724666.16447255691</v>
      </c>
      <c r="C355">
        <v>76718.032619915321</v>
      </c>
      <c r="D355">
        <v>41292.747913081781</v>
      </c>
      <c r="E355">
        <v>52864.97691277635</v>
      </c>
      <c r="F355">
        <v>39659.883017038359</v>
      </c>
      <c r="G355">
        <v>10000</v>
      </c>
      <c r="H355">
        <v>200535.6404628118</v>
      </c>
      <c r="I355">
        <v>38.109704524298678</v>
      </c>
    </row>
    <row r="356" spans="1:9" x14ac:dyDescent="0.2">
      <c r="A356">
        <v>351</v>
      </c>
      <c r="B356">
        <v>1068423.4476686104</v>
      </c>
      <c r="C356">
        <v>90426.568147988044</v>
      </c>
      <c r="D356">
        <v>67376.537817422344</v>
      </c>
      <c r="E356">
        <v>103760.31454474843</v>
      </c>
      <c r="F356">
        <v>43183.406391559511</v>
      </c>
      <c r="G356">
        <v>10000</v>
      </c>
      <c r="H356">
        <v>294746.82690171833</v>
      </c>
      <c r="I356">
        <v>44.012153597039045</v>
      </c>
    </row>
    <row r="357" spans="1:9" x14ac:dyDescent="0.2">
      <c r="A357">
        <v>352</v>
      </c>
      <c r="B357">
        <v>1181548.731806952</v>
      </c>
      <c r="C357">
        <v>117589.48160099678</v>
      </c>
      <c r="D357">
        <v>104274.23468258779</v>
      </c>
      <c r="E357">
        <v>72843.560847081622</v>
      </c>
      <c r="F357">
        <v>41043.01575095181</v>
      </c>
      <c r="G357">
        <v>10000</v>
      </c>
      <c r="H357">
        <v>325750.29288161802</v>
      </c>
      <c r="I357">
        <v>39.427154679877589</v>
      </c>
    </row>
    <row r="358" spans="1:9" x14ac:dyDescent="0.2">
      <c r="A358">
        <v>353</v>
      </c>
      <c r="B358">
        <v>1187575.5076650414</v>
      </c>
      <c r="C358">
        <v>108129.75101769659</v>
      </c>
      <c r="D358">
        <v>74726.280655647366</v>
      </c>
      <c r="E358">
        <v>110870.33921030925</v>
      </c>
      <c r="F358">
        <v>43675.638868406029</v>
      </c>
      <c r="G358">
        <v>10000</v>
      </c>
      <c r="H358">
        <v>327402.00975205924</v>
      </c>
      <c r="I358">
        <v>35.539993471740125</v>
      </c>
    </row>
    <row r="359" spans="1:9" x14ac:dyDescent="0.2">
      <c r="A359">
        <v>354</v>
      </c>
      <c r="B359">
        <v>1437464.6935063687</v>
      </c>
      <c r="C359">
        <v>73821.430369815251</v>
      </c>
      <c r="D359">
        <v>170839.0915756961</v>
      </c>
      <c r="E359">
        <v>117118.67649424318</v>
      </c>
      <c r="F359">
        <v>44108.216064986067</v>
      </c>
      <c r="G359">
        <v>10000</v>
      </c>
      <c r="H359">
        <v>395887.41450474062</v>
      </c>
      <c r="I359">
        <v>53.250385119872909</v>
      </c>
    </row>
    <row r="360" spans="1:9" x14ac:dyDescent="0.2">
      <c r="A360">
        <v>355</v>
      </c>
      <c r="B360">
        <v>973315.36320513417</v>
      </c>
      <c r="C360">
        <v>92251.044975619865</v>
      </c>
      <c r="D360">
        <v>46418.547170919941</v>
      </c>
      <c r="E360">
        <v>97277.053141361204</v>
      </c>
      <c r="F360">
        <v>42734.565217478848</v>
      </c>
      <c r="G360">
        <v>10000</v>
      </c>
      <c r="H360">
        <v>268681.21050537983</v>
      </c>
      <c r="I360">
        <v>25.18804931519141</v>
      </c>
    </row>
    <row r="361" spans="1:9" x14ac:dyDescent="0.2">
      <c r="A361">
        <v>356</v>
      </c>
      <c r="B361">
        <v>1444050.4934183669</v>
      </c>
      <c r="C361">
        <v>102654.32024388111</v>
      </c>
      <c r="D361">
        <v>144864.74299787014</v>
      </c>
      <c r="E361">
        <v>116133.27971057195</v>
      </c>
      <c r="F361">
        <v>44039.996287654976</v>
      </c>
      <c r="G361">
        <v>10000</v>
      </c>
      <c r="H361">
        <v>397692.33923997817</v>
      </c>
      <c r="I361">
        <v>31.73008375310874</v>
      </c>
    </row>
    <row r="362" spans="1:9" x14ac:dyDescent="0.2">
      <c r="A362">
        <v>357</v>
      </c>
      <c r="B362">
        <v>1385252.6203581272</v>
      </c>
      <c r="C362">
        <v>89711.730705886002</v>
      </c>
      <c r="D362">
        <v>96725.224637028034</v>
      </c>
      <c r="E362">
        <v>158189.47737141864</v>
      </c>
      <c r="F362">
        <v>46951.579202636676</v>
      </c>
      <c r="G362">
        <v>10000</v>
      </c>
      <c r="H362">
        <v>381578.01191696938</v>
      </c>
      <c r="I362">
        <v>38.687343038623752</v>
      </c>
    </row>
    <row r="363" spans="1:9" x14ac:dyDescent="0.2">
      <c r="A363">
        <v>358</v>
      </c>
      <c r="B363">
        <v>1405932.9649208451</v>
      </c>
      <c r="C363">
        <v>78277.552604151686</v>
      </c>
      <c r="D363">
        <v>64513.204456296742</v>
      </c>
      <c r="E363">
        <v>204310.40750827623</v>
      </c>
      <c r="F363">
        <v>50144.56667364989</v>
      </c>
      <c r="G363">
        <v>10000</v>
      </c>
      <c r="H363">
        <v>387245.73124237458</v>
      </c>
      <c r="I363">
        <v>31.719987560602611</v>
      </c>
    </row>
    <row r="364" spans="1:9" x14ac:dyDescent="0.2">
      <c r="A364">
        <v>359</v>
      </c>
      <c r="B364">
        <v>1294150.1764664245</v>
      </c>
      <c r="C364">
        <v>112628.76832647625</v>
      </c>
      <c r="D364">
        <v>166787.70151356776</v>
      </c>
      <c r="E364">
        <v>47879.022399617483</v>
      </c>
      <c r="F364">
        <v>39314.70155074275</v>
      </c>
      <c r="G364">
        <v>10000</v>
      </c>
      <c r="H364">
        <v>356610.19379040424</v>
      </c>
      <c r="I364">
        <v>26.635736029619608</v>
      </c>
    </row>
    <row r="365" spans="1:9" x14ac:dyDescent="0.2">
      <c r="A365">
        <v>360</v>
      </c>
      <c r="B365">
        <v>1048227.4642133749</v>
      </c>
      <c r="C365">
        <v>104482.33331455498</v>
      </c>
      <c r="D365">
        <v>67373.133437529395</v>
      </c>
      <c r="E365">
        <v>85441.224625670613</v>
      </c>
      <c r="F365">
        <v>41915.161704854123</v>
      </c>
      <c r="G365">
        <v>10000</v>
      </c>
      <c r="H365">
        <v>289211.85308260913</v>
      </c>
      <c r="I365">
        <v>39.431294779888262</v>
      </c>
    </row>
    <row r="366" spans="1:9" x14ac:dyDescent="0.2">
      <c r="A366">
        <v>361</v>
      </c>
      <c r="B366">
        <v>1721021.3371894448</v>
      </c>
      <c r="C366">
        <v>135087.79419704361</v>
      </c>
      <c r="D366">
        <v>110713.02191824463</v>
      </c>
      <c r="E366">
        <v>188732.88797038747</v>
      </c>
      <c r="F366">
        <v>49066.123013334516</v>
      </c>
      <c r="G366">
        <v>10000</v>
      </c>
      <c r="H366">
        <v>473599.82709901023</v>
      </c>
      <c r="I366">
        <v>36.814409854606751</v>
      </c>
    </row>
    <row r="367" spans="1:9" x14ac:dyDescent="0.2">
      <c r="A367">
        <v>362</v>
      </c>
      <c r="B367">
        <v>1288521.049770158</v>
      </c>
      <c r="C367">
        <v>144709.37279314391</v>
      </c>
      <c r="D367">
        <v>120485.83254277725</v>
      </c>
      <c r="E367">
        <v>59736.639071578109</v>
      </c>
      <c r="F367">
        <v>40135.613474186175</v>
      </c>
      <c r="G367">
        <v>10000</v>
      </c>
      <c r="H367">
        <v>355067.4578816854</v>
      </c>
      <c r="I367">
        <v>33.912847766647417</v>
      </c>
    </row>
    <row r="368" spans="1:9" x14ac:dyDescent="0.2">
      <c r="A368">
        <v>363</v>
      </c>
      <c r="B368">
        <v>1629723.1159016034</v>
      </c>
      <c r="C368">
        <v>92834.589120536344</v>
      </c>
      <c r="D368">
        <v>134258.17995790733</v>
      </c>
      <c r="E368">
        <v>182828.2445282418</v>
      </c>
      <c r="F368">
        <v>48657.340005801358</v>
      </c>
      <c r="G368">
        <v>10000</v>
      </c>
      <c r="H368">
        <v>448578.3536124868</v>
      </c>
      <c r="I368">
        <v>26.47934397568617</v>
      </c>
    </row>
    <row r="369" spans="1:9" x14ac:dyDescent="0.2">
      <c r="A369">
        <v>364</v>
      </c>
      <c r="B369">
        <v>1325332.3761174625</v>
      </c>
      <c r="C369">
        <v>136159.77072934684</v>
      </c>
      <c r="D369">
        <v>63610.741524404133</v>
      </c>
      <c r="E369">
        <v>130360.60673433229</v>
      </c>
      <c r="F369">
        <v>45024.965081607617</v>
      </c>
      <c r="G369">
        <v>10000</v>
      </c>
      <c r="H369">
        <v>365156.0840696909</v>
      </c>
      <c r="I369">
        <v>27.92686406212319</v>
      </c>
    </row>
    <row r="370" spans="1:9" x14ac:dyDescent="0.2">
      <c r="A370">
        <v>365</v>
      </c>
      <c r="B370">
        <v>1189141.7305958371</v>
      </c>
      <c r="C370">
        <v>86044.967842355763</v>
      </c>
      <c r="D370">
        <v>121724.65645045803</v>
      </c>
      <c r="E370">
        <v>87971.308043745143</v>
      </c>
      <c r="F370">
        <v>42090.321326105426</v>
      </c>
      <c r="G370">
        <v>10000</v>
      </c>
      <c r="H370">
        <v>327831.25366266439</v>
      </c>
      <c r="I370">
        <v>27.7734559339101</v>
      </c>
    </row>
    <row r="371" spans="1:9" x14ac:dyDescent="0.2">
      <c r="A371">
        <v>366</v>
      </c>
      <c r="B371">
        <v>1320363.0562676056</v>
      </c>
      <c r="C371">
        <v>113027.18375123291</v>
      </c>
      <c r="D371">
        <v>118564.74571285959</v>
      </c>
      <c r="E371">
        <v>99325.842897833034</v>
      </c>
      <c r="F371">
        <v>42876.404508311512</v>
      </c>
      <c r="G371">
        <v>10000</v>
      </c>
      <c r="H371">
        <v>363794.17687023705</v>
      </c>
      <c r="I371">
        <v>35.435543319443617</v>
      </c>
    </row>
    <row r="372" spans="1:9" x14ac:dyDescent="0.2">
      <c r="A372">
        <v>367</v>
      </c>
      <c r="B372">
        <v>1665591.7023826211</v>
      </c>
      <c r="C372">
        <v>151003.25502698321</v>
      </c>
      <c r="D372">
        <v>109377.91905100993</v>
      </c>
      <c r="E372">
        <v>160888.96846531439</v>
      </c>
      <c r="F372">
        <v>47138.467047598686</v>
      </c>
      <c r="G372">
        <v>10000</v>
      </c>
      <c r="H372">
        <v>458408.60959090618</v>
      </c>
      <c r="I372">
        <v>46.814442614238949</v>
      </c>
    </row>
    <row r="373" spans="1:9" x14ac:dyDescent="0.2">
      <c r="A373">
        <v>368</v>
      </c>
      <c r="B373">
        <v>953869.59221841558</v>
      </c>
      <c r="C373">
        <v>95593.113075612477</v>
      </c>
      <c r="D373">
        <v>89492.334725981622</v>
      </c>
      <c r="E373">
        <v>48882.239403315929</v>
      </c>
      <c r="F373">
        <v>39384.155035614182</v>
      </c>
      <c r="G373">
        <v>10000</v>
      </c>
      <c r="H373">
        <v>263351.84224052425</v>
      </c>
      <c r="I373">
        <v>24.260972458240868</v>
      </c>
    </row>
    <row r="374" spans="1:9" x14ac:dyDescent="0.2">
      <c r="A374">
        <v>369</v>
      </c>
      <c r="B374">
        <v>1319886.6602037444</v>
      </c>
      <c r="C374">
        <v>79013.522715208252</v>
      </c>
      <c r="D374">
        <v>121143.77716591614</v>
      </c>
      <c r="E374">
        <v>128603.02786299626</v>
      </c>
      <c r="F374">
        <v>44903.286544361283</v>
      </c>
      <c r="G374">
        <v>10000</v>
      </c>
      <c r="H374">
        <v>363663.61428848194</v>
      </c>
      <c r="I374">
        <v>28.90063436337028</v>
      </c>
    </row>
    <row r="375" spans="1:9" x14ac:dyDescent="0.2">
      <c r="A375">
        <v>370</v>
      </c>
      <c r="B375">
        <v>1495458.903103644</v>
      </c>
      <c r="C375">
        <v>104023.83745664103</v>
      </c>
      <c r="D375">
        <v>132170.992098788</v>
      </c>
      <c r="E375">
        <v>139901.19072282602</v>
      </c>
      <c r="F375">
        <v>45685.467050041807</v>
      </c>
      <c r="G375">
        <v>10000</v>
      </c>
      <c r="H375">
        <v>411781.48732829693</v>
      </c>
      <c r="I375">
        <v>32.403274442719223</v>
      </c>
    </row>
    <row r="376" spans="1:9" x14ac:dyDescent="0.2">
      <c r="A376">
        <v>371</v>
      </c>
      <c r="B376">
        <v>1530376.5880111959</v>
      </c>
      <c r="C376">
        <v>98884.232873437912</v>
      </c>
      <c r="D376">
        <v>126804.42720196769</v>
      </c>
      <c r="E376">
        <v>158677.13601341532</v>
      </c>
      <c r="F376">
        <v>46985.340185544141</v>
      </c>
      <c r="G376">
        <v>10000</v>
      </c>
      <c r="H376">
        <v>421351.13627436507</v>
      </c>
      <c r="I376">
        <v>45.595721212628938</v>
      </c>
    </row>
    <row r="377" spans="1:9" x14ac:dyDescent="0.2">
      <c r="A377">
        <v>372</v>
      </c>
      <c r="B377">
        <v>1380922.223578901</v>
      </c>
      <c r="C377">
        <v>133024.8177010392</v>
      </c>
      <c r="D377">
        <v>102619.88395783846</v>
      </c>
      <c r="E377">
        <v>111057.88545630517</v>
      </c>
      <c r="F377">
        <v>43688.622839282667</v>
      </c>
      <c r="G377">
        <v>10000</v>
      </c>
      <c r="H377">
        <v>380391.20995446551</v>
      </c>
      <c r="I377">
        <v>32.683977074221616</v>
      </c>
    </row>
    <row r="378" spans="1:9" x14ac:dyDescent="0.2">
      <c r="A378">
        <v>373</v>
      </c>
      <c r="B378">
        <v>1299678.547087668</v>
      </c>
      <c r="C378">
        <v>107979.41671008503</v>
      </c>
      <c r="D378">
        <v>94873.053681544552</v>
      </c>
      <c r="E378">
        <v>120902.6615258199</v>
      </c>
      <c r="F378">
        <v>44370.184259479836</v>
      </c>
      <c r="G378">
        <v>10000</v>
      </c>
      <c r="H378">
        <v>358125.31617692928</v>
      </c>
      <c r="I378">
        <v>40.732649429674822</v>
      </c>
    </row>
    <row r="379" spans="1:9" x14ac:dyDescent="0.2">
      <c r="A379">
        <v>374</v>
      </c>
      <c r="B379">
        <v>924103.24576338346</v>
      </c>
      <c r="C379">
        <v>111756.4334409725</v>
      </c>
      <c r="D379">
        <v>41845.347396707613</v>
      </c>
      <c r="E379">
        <v>70697.744971357723</v>
      </c>
      <c r="F379">
        <v>40894.459267247839</v>
      </c>
      <c r="G379">
        <v>10000</v>
      </c>
      <c r="H379">
        <v>255193.98507628567</v>
      </c>
      <c r="I379">
        <v>30.885045720729117</v>
      </c>
    </row>
    <row r="380" spans="1:9" x14ac:dyDescent="0.2">
      <c r="A380">
        <v>375</v>
      </c>
      <c r="B380">
        <v>1077630.600797588</v>
      </c>
      <c r="C380">
        <v>79791.525657375591</v>
      </c>
      <c r="D380">
        <v>135127.13490968637</v>
      </c>
      <c r="E380">
        <v>52702.848513641475</v>
      </c>
      <c r="F380">
        <v>39648.658743252105</v>
      </c>
      <c r="G380">
        <v>10000</v>
      </c>
      <c r="H380">
        <v>297270.16782395553</v>
      </c>
      <c r="I380">
        <v>34.27278158115314</v>
      </c>
    </row>
    <row r="381" spans="1:9" x14ac:dyDescent="0.2">
      <c r="A381">
        <v>376</v>
      </c>
      <c r="B381">
        <v>1102231.7567127766</v>
      </c>
      <c r="C381">
        <v>132494.14416596325</v>
      </c>
      <c r="D381">
        <v>109652.95452984872</v>
      </c>
      <c r="E381">
        <v>33543.122024416873</v>
      </c>
      <c r="F381">
        <v>38322.216140151933</v>
      </c>
      <c r="G381">
        <v>10000</v>
      </c>
      <c r="H381">
        <v>304012.43686038081</v>
      </c>
      <c r="I381">
        <v>32.304784241728555</v>
      </c>
    </row>
    <row r="382" spans="1:9" x14ac:dyDescent="0.2">
      <c r="A382">
        <v>377</v>
      </c>
      <c r="B382">
        <v>1131078.5034630341</v>
      </c>
      <c r="C382">
        <v>90355.986262130013</v>
      </c>
      <c r="D382">
        <v>93926.921053806524</v>
      </c>
      <c r="E382">
        <v>95054.651706850898</v>
      </c>
      <c r="F382">
        <v>42580.706656628136</v>
      </c>
      <c r="G382">
        <v>10000</v>
      </c>
      <c r="H382">
        <v>311918.26567941555</v>
      </c>
      <c r="I382">
        <v>25.10174220907103</v>
      </c>
    </row>
    <row r="383" spans="1:9" x14ac:dyDescent="0.2">
      <c r="A383">
        <v>378</v>
      </c>
      <c r="B383">
        <v>1266677.8174763171</v>
      </c>
      <c r="C383">
        <v>116514.57705430704</v>
      </c>
      <c r="D383">
        <v>75794.689642054509</v>
      </c>
      <c r="E383">
        <v>122304.53051615054</v>
      </c>
      <c r="F383">
        <v>44467.236728041193</v>
      </c>
      <c r="G383">
        <v>10000</v>
      </c>
      <c r="H383">
        <v>349081.03394055326</v>
      </c>
      <c r="I383">
        <v>40.146278074120573</v>
      </c>
    </row>
    <row r="384" spans="1:9" x14ac:dyDescent="0.2">
      <c r="A384">
        <v>379</v>
      </c>
      <c r="B384">
        <v>1717773.478278518</v>
      </c>
      <c r="C384">
        <v>139745.3965200829</v>
      </c>
      <c r="D384">
        <v>115579.44916800687</v>
      </c>
      <c r="E384">
        <v>178993.03746131132</v>
      </c>
      <c r="F384">
        <v>48391.825670398473</v>
      </c>
      <c r="G384">
        <v>10000</v>
      </c>
      <c r="H384">
        <v>472709.70881979959</v>
      </c>
      <c r="I384">
        <v>33.861810449531575</v>
      </c>
    </row>
    <row r="385" spans="1:9" x14ac:dyDescent="0.2">
      <c r="A385">
        <v>380</v>
      </c>
      <c r="B385">
        <v>1056338.638799981</v>
      </c>
      <c r="C385">
        <v>102282.15237823225</v>
      </c>
      <c r="D385">
        <v>86596.781796586132</v>
      </c>
      <c r="E385">
        <v>71599.036201528172</v>
      </c>
      <c r="F385">
        <v>40956.856352413488</v>
      </c>
      <c r="G385">
        <v>10000</v>
      </c>
      <c r="H385">
        <v>291434.82672876003</v>
      </c>
      <c r="I385">
        <v>26.911030812965848</v>
      </c>
    </row>
    <row r="386" spans="1:9" x14ac:dyDescent="0.2">
      <c r="A386">
        <v>381</v>
      </c>
      <c r="B386">
        <v>1560427.6046061364</v>
      </c>
      <c r="C386">
        <v>163956.32483012904</v>
      </c>
      <c r="D386">
        <v>36330.302169408336</v>
      </c>
      <c r="E386">
        <v>190137.04980277212</v>
      </c>
      <c r="F386">
        <v>49163.334217114992</v>
      </c>
      <c r="G386">
        <v>10000</v>
      </c>
      <c r="H386">
        <v>429587.01101942448</v>
      </c>
      <c r="I386">
        <v>32.243575011861381</v>
      </c>
    </row>
    <row r="387" spans="1:9" x14ac:dyDescent="0.2">
      <c r="A387">
        <v>382</v>
      </c>
      <c r="B387">
        <v>1241711.5795166348</v>
      </c>
      <c r="C387">
        <v>84005.519714194859</v>
      </c>
      <c r="D387">
        <v>90243.167035056511</v>
      </c>
      <c r="E387">
        <v>132796.42405017556</v>
      </c>
      <c r="F387">
        <v>45193.59858808908</v>
      </c>
      <c r="G387">
        <v>10000</v>
      </c>
      <c r="H387">
        <v>342238.70938751602</v>
      </c>
      <c r="I387">
        <v>31.778026479574788</v>
      </c>
    </row>
    <row r="388" spans="1:9" x14ac:dyDescent="0.2">
      <c r="A388">
        <v>383</v>
      </c>
      <c r="B388">
        <v>1233013.2129366058</v>
      </c>
      <c r="C388">
        <v>81819.544573159947</v>
      </c>
      <c r="D388">
        <v>71431.359914465022</v>
      </c>
      <c r="E388">
        <v>150205.08969423149</v>
      </c>
      <c r="F388">
        <v>46398.813901908332</v>
      </c>
      <c r="G388">
        <v>10000</v>
      </c>
      <c r="H388">
        <v>339854.8080837648</v>
      </c>
      <c r="I388">
        <v>37.104511485871797</v>
      </c>
    </row>
    <row r="389" spans="1:9" x14ac:dyDescent="0.2">
      <c r="A389">
        <v>384</v>
      </c>
      <c r="B389">
        <v>1753958.2810857017</v>
      </c>
      <c r="C389">
        <v>110612.10401690674</v>
      </c>
      <c r="D389">
        <v>158785.68022829507</v>
      </c>
      <c r="E389">
        <v>175106.11288722247</v>
      </c>
      <c r="F389">
        <v>48122.730892192325</v>
      </c>
      <c r="G389">
        <v>10000</v>
      </c>
      <c r="H389">
        <v>482626.62802461663</v>
      </c>
      <c r="I389">
        <v>32.899599867346026</v>
      </c>
    </row>
    <row r="390" spans="1:9" x14ac:dyDescent="0.2">
      <c r="A390">
        <v>385</v>
      </c>
      <c r="B390">
        <v>1650042.7405460561</v>
      </c>
      <c r="C390">
        <v>85065.685832371964</v>
      </c>
      <c r="D390">
        <v>149253.53444249829</v>
      </c>
      <c r="E390">
        <v>181277.97873202627</v>
      </c>
      <c r="F390">
        <v>48550.013912217197</v>
      </c>
      <c r="G390">
        <v>10000</v>
      </c>
      <c r="H390">
        <v>454147.21291911369</v>
      </c>
      <c r="I390">
        <v>27.319681907014971</v>
      </c>
    </row>
    <row r="391" spans="1:9" x14ac:dyDescent="0.2">
      <c r="A391">
        <v>386</v>
      </c>
      <c r="B391">
        <v>1546818.0054387213</v>
      </c>
      <c r="C391">
        <v>126347.36744781419</v>
      </c>
      <c r="D391">
        <v>80219.017536298634</v>
      </c>
      <c r="E391">
        <v>180775.50952480259</v>
      </c>
      <c r="F391">
        <v>48515.227582486332</v>
      </c>
      <c r="G391">
        <v>10000</v>
      </c>
      <c r="H391">
        <v>425857.12209140172</v>
      </c>
      <c r="I391">
        <v>37.995782319472191</v>
      </c>
    </row>
    <row r="392" spans="1:9" x14ac:dyDescent="0.2">
      <c r="A392">
        <v>387</v>
      </c>
      <c r="B392">
        <v>888641.52871680853</v>
      </c>
      <c r="C392">
        <v>135756.3770546593</v>
      </c>
      <c r="D392">
        <v>55251.595987920002</v>
      </c>
      <c r="E392">
        <v>26624.059812625812</v>
      </c>
      <c r="F392">
        <v>37843.204140874099</v>
      </c>
      <c r="G392">
        <v>10000</v>
      </c>
      <c r="H392">
        <v>245475.23699607921</v>
      </c>
      <c r="I392">
        <v>28.278828656783684</v>
      </c>
    </row>
    <row r="393" spans="1:9" x14ac:dyDescent="0.2">
      <c r="A393">
        <v>388</v>
      </c>
      <c r="B393">
        <v>1247929.3728487615</v>
      </c>
      <c r="C393">
        <v>135473.79307331148</v>
      </c>
      <c r="D393">
        <v>106694.37879230334</v>
      </c>
      <c r="E393">
        <v>70868.335829702351</v>
      </c>
      <c r="F393">
        <v>40906.269403594779</v>
      </c>
      <c r="G393">
        <v>10000</v>
      </c>
      <c r="H393">
        <v>343942.77709891193</v>
      </c>
      <c r="I393">
        <v>33.448592413958266</v>
      </c>
    </row>
    <row r="394" spans="1:9" x14ac:dyDescent="0.2">
      <c r="A394">
        <v>389</v>
      </c>
      <c r="B394">
        <v>1091697.735068327</v>
      </c>
      <c r="C394">
        <v>107695.06243406054</v>
      </c>
      <c r="D394">
        <v>75464.285004662612</v>
      </c>
      <c r="E394">
        <v>86011.463051958635</v>
      </c>
      <c r="F394">
        <v>41954.639749750982</v>
      </c>
      <c r="G394">
        <v>10000</v>
      </c>
      <c r="H394">
        <v>301125.45024043275</v>
      </c>
      <c r="I394">
        <v>48.670010670754564</v>
      </c>
    </row>
    <row r="395" spans="1:9" x14ac:dyDescent="0.2">
      <c r="A395">
        <v>390</v>
      </c>
      <c r="B395">
        <v>1258712.9003794037</v>
      </c>
      <c r="C395">
        <v>115038.92083315253</v>
      </c>
      <c r="D395">
        <v>130135.50817098169</v>
      </c>
      <c r="E395">
        <v>70820.740714061525</v>
      </c>
      <c r="F395">
        <v>40902.974357127336</v>
      </c>
      <c r="G395">
        <v>10000</v>
      </c>
      <c r="H395">
        <v>346898.14407532307</v>
      </c>
      <c r="I395">
        <v>41.379641967850176</v>
      </c>
    </row>
    <row r="396" spans="1:9" x14ac:dyDescent="0.2">
      <c r="A396">
        <v>391</v>
      </c>
      <c r="B396">
        <v>1136647.2776229666</v>
      </c>
      <c r="C396">
        <v>84594.903624192142</v>
      </c>
      <c r="D396">
        <v>57620.908912391773</v>
      </c>
      <c r="E396">
        <v>135825.35485101436</v>
      </c>
      <c r="F396">
        <v>45403.293797377919</v>
      </c>
      <c r="G396">
        <v>10000</v>
      </c>
      <c r="H396">
        <v>313444.46118497622</v>
      </c>
      <c r="I396">
        <v>50.851658764178012</v>
      </c>
    </row>
    <row r="397" spans="1:9" x14ac:dyDescent="0.2">
      <c r="A397">
        <v>392</v>
      </c>
      <c r="B397">
        <v>1121110.4688372277</v>
      </c>
      <c r="C397">
        <v>123628.89254882246</v>
      </c>
      <c r="D397">
        <v>100014.01954286119</v>
      </c>
      <c r="E397">
        <v>55688.149684574164</v>
      </c>
      <c r="F397">
        <v>39855.333439701288</v>
      </c>
      <c r="G397">
        <v>10000</v>
      </c>
      <c r="H397">
        <v>309186.39521595911</v>
      </c>
      <c r="I397">
        <v>35.724017831664582</v>
      </c>
    </row>
    <row r="398" spans="1:9" x14ac:dyDescent="0.2">
      <c r="A398">
        <v>393</v>
      </c>
      <c r="B398">
        <v>1080476.45110803</v>
      </c>
      <c r="C398">
        <v>142806.15214605877</v>
      </c>
      <c r="D398">
        <v>37498.918032060494</v>
      </c>
      <c r="E398">
        <v>85804.713858035728</v>
      </c>
      <c r="F398">
        <v>41940.326344017856</v>
      </c>
      <c r="G398">
        <v>10000</v>
      </c>
      <c r="H398">
        <v>298050.11038017285</v>
      </c>
      <c r="I398">
        <v>43.009813300054546</v>
      </c>
    </row>
    <row r="399" spans="1:9" x14ac:dyDescent="0.2">
      <c r="A399">
        <v>394</v>
      </c>
      <c r="B399">
        <v>1262307.6859279859</v>
      </c>
      <c r="C399">
        <v>103089.83647170399</v>
      </c>
      <c r="D399">
        <v>33347.440422364059</v>
      </c>
      <c r="E399">
        <v>173438.76606116086</v>
      </c>
      <c r="F399">
        <v>48007.299188849596</v>
      </c>
      <c r="G399">
        <v>10000</v>
      </c>
      <c r="H399">
        <v>347883.34214407852</v>
      </c>
      <c r="I399">
        <v>37.618940470949376</v>
      </c>
    </row>
    <row r="400" spans="1:9" x14ac:dyDescent="0.2">
      <c r="A400">
        <v>395</v>
      </c>
      <c r="B400">
        <v>1170984.8438780617</v>
      </c>
      <c r="C400">
        <v>82119.885079119573</v>
      </c>
      <c r="D400">
        <v>137125.27887036407</v>
      </c>
      <c r="E400">
        <v>72584.851931957033</v>
      </c>
      <c r="F400">
        <v>41025.105133750876</v>
      </c>
      <c r="G400">
        <v>10000</v>
      </c>
      <c r="H400">
        <v>322855.1210151916</v>
      </c>
      <c r="I400">
        <v>46.876030194395298</v>
      </c>
    </row>
    <row r="401" spans="1:9" x14ac:dyDescent="0.2">
      <c r="A401">
        <v>396</v>
      </c>
      <c r="B401">
        <v>1499712.4807351702</v>
      </c>
      <c r="C401">
        <v>127312.07817464366</v>
      </c>
      <c r="D401">
        <v>67670.347466871346</v>
      </c>
      <c r="E401">
        <v>179535.43414550816</v>
      </c>
      <c r="F401">
        <v>48429.376210073642</v>
      </c>
      <c r="G401">
        <v>10000</v>
      </c>
      <c r="H401">
        <v>412947.23599709681</v>
      </c>
      <c r="I401">
        <v>36.876202561303273</v>
      </c>
    </row>
    <row r="402" spans="1:9" x14ac:dyDescent="0.2">
      <c r="A402">
        <v>397</v>
      </c>
      <c r="B402">
        <v>1023521.1695608239</v>
      </c>
      <c r="C402">
        <v>105533.99210098493</v>
      </c>
      <c r="D402">
        <v>113637.09323847716</v>
      </c>
      <c r="E402">
        <v>34856.539047521648</v>
      </c>
      <c r="F402">
        <v>38413.145010982269</v>
      </c>
      <c r="G402">
        <v>10000</v>
      </c>
      <c r="H402">
        <v>282440.76939796604</v>
      </c>
      <c r="I402">
        <v>44.138426534426941</v>
      </c>
    </row>
    <row r="403" spans="1:9" x14ac:dyDescent="0.2">
      <c r="A403">
        <v>398</v>
      </c>
      <c r="B403">
        <v>1516507.2361115203</v>
      </c>
      <c r="C403">
        <v>138504.1625884758</v>
      </c>
      <c r="D403">
        <v>93934.936982605388</v>
      </c>
      <c r="E403">
        <v>148808.81070311426</v>
      </c>
      <c r="F403">
        <v>46302.148433292532</v>
      </c>
      <c r="G403">
        <v>10000</v>
      </c>
      <c r="H403">
        <v>417550.05870748794</v>
      </c>
      <c r="I403">
        <v>33.373728391015476</v>
      </c>
    </row>
    <row r="404" spans="1:9" x14ac:dyDescent="0.2">
      <c r="A404">
        <v>399</v>
      </c>
      <c r="B404">
        <v>814046.7992847237</v>
      </c>
      <c r="C404">
        <v>109133.50959260856</v>
      </c>
      <c r="D404">
        <v>55221.990570708382</v>
      </c>
      <c r="E404">
        <v>32430.860662820338</v>
      </c>
      <c r="F404">
        <v>38245.213430502947</v>
      </c>
      <c r="G404">
        <v>10000</v>
      </c>
      <c r="H404">
        <v>225031.57425664025</v>
      </c>
      <c r="I404">
        <v>32.263342509247138</v>
      </c>
    </row>
    <row r="405" spans="1:9" x14ac:dyDescent="0.2">
      <c r="A405">
        <v>400</v>
      </c>
      <c r="B405">
        <v>1009583.0640031833</v>
      </c>
      <c r="C405">
        <v>115874.14570419044</v>
      </c>
      <c r="D405">
        <v>104808.04604706792</v>
      </c>
      <c r="E405">
        <v>29870.686626627885</v>
      </c>
      <c r="F405">
        <v>38067.970612612698</v>
      </c>
      <c r="G405">
        <v>10000</v>
      </c>
      <c r="H405">
        <v>278620.84899049893</v>
      </c>
      <c r="I405">
        <v>32.605211087619693</v>
      </c>
    </row>
    <row r="406" spans="1:9" x14ac:dyDescent="0.2">
      <c r="A406">
        <v>401</v>
      </c>
      <c r="B406">
        <v>1351801.9500773121</v>
      </c>
      <c r="C406">
        <v>132403.36392996914</v>
      </c>
      <c r="D406">
        <v>157486.32705590106</v>
      </c>
      <c r="E406">
        <v>52861.111171550176</v>
      </c>
      <c r="F406">
        <v>39659.615388799626</v>
      </c>
      <c r="G406">
        <v>10000</v>
      </c>
      <c r="H406">
        <v>372410.41754622001</v>
      </c>
      <c r="I406">
        <v>38.139926720720197</v>
      </c>
    </row>
    <row r="407" spans="1:9" x14ac:dyDescent="0.2">
      <c r="A407">
        <v>402</v>
      </c>
      <c r="B407">
        <v>1207337.8367423611</v>
      </c>
      <c r="C407">
        <v>95099.748721161712</v>
      </c>
      <c r="D407">
        <v>136905.34400370991</v>
      </c>
      <c r="E407">
        <v>69969.032257913204</v>
      </c>
      <c r="F407">
        <v>40844.009925547842</v>
      </c>
      <c r="G407">
        <v>10000</v>
      </c>
      <c r="H407">
        <v>332818.13490833272</v>
      </c>
      <c r="I407">
        <v>40.497087346498112</v>
      </c>
    </row>
    <row r="408" spans="1:9" x14ac:dyDescent="0.2">
      <c r="A408">
        <v>403</v>
      </c>
      <c r="B408">
        <v>1465064.2412086187</v>
      </c>
      <c r="C408">
        <v>104097.45867776337</v>
      </c>
      <c r="D408">
        <v>89040.895627607824</v>
      </c>
      <c r="E408">
        <v>172379.13749383145</v>
      </c>
      <c r="F408">
        <v>47933.940288034486</v>
      </c>
      <c r="G408">
        <v>10000</v>
      </c>
      <c r="H408">
        <v>403451.43208723713</v>
      </c>
      <c r="I408">
        <v>49.137049503508237</v>
      </c>
    </row>
    <row r="409" spans="1:9" x14ac:dyDescent="0.2">
      <c r="A409">
        <v>404</v>
      </c>
      <c r="B409">
        <v>1161920.2674454805</v>
      </c>
      <c r="C409">
        <v>106812.39912875515</v>
      </c>
      <c r="D409">
        <v>82555.953868227356</v>
      </c>
      <c r="E409">
        <v>98203.778949248939</v>
      </c>
      <c r="F409">
        <v>42798.723158024928</v>
      </c>
      <c r="G409">
        <v>10000</v>
      </c>
      <c r="H409">
        <v>320370.85510425642</v>
      </c>
      <c r="I409">
        <v>38.169680804199572</v>
      </c>
    </row>
    <row r="410" spans="1:9" x14ac:dyDescent="0.2">
      <c r="A410">
        <v>405</v>
      </c>
      <c r="B410">
        <v>956716.01364875829</v>
      </c>
      <c r="C410">
        <v>81516.855701505105</v>
      </c>
      <c r="D410">
        <v>125748.72270743168</v>
      </c>
      <c r="E410">
        <v>28867.821427268576</v>
      </c>
      <c r="F410">
        <v>37998.541483426285</v>
      </c>
      <c r="G410">
        <v>10000</v>
      </c>
      <c r="H410">
        <v>264131.94131963165</v>
      </c>
      <c r="I410">
        <v>33.892232302287269</v>
      </c>
    </row>
    <row r="411" spans="1:9" x14ac:dyDescent="0.2">
      <c r="A411">
        <v>406</v>
      </c>
      <c r="B411">
        <v>1883308.3196364562</v>
      </c>
      <c r="C411">
        <v>150260.68625463138</v>
      </c>
      <c r="D411">
        <v>166525.90139743898</v>
      </c>
      <c r="E411">
        <v>163940.39329616897</v>
      </c>
      <c r="F411">
        <v>47349.719535888624</v>
      </c>
      <c r="G411">
        <v>10000</v>
      </c>
      <c r="H411">
        <v>518076.70048412797</v>
      </c>
      <c r="I411">
        <v>29.52600685387003</v>
      </c>
    </row>
    <row r="412" spans="1:9" x14ac:dyDescent="0.2">
      <c r="A412">
        <v>407</v>
      </c>
      <c r="B412">
        <v>1461231.8762641619</v>
      </c>
      <c r="C412">
        <v>109084.11811574629</v>
      </c>
      <c r="D412">
        <v>127656.84283561762</v>
      </c>
      <c r="E412">
        <v>130617.41706332487</v>
      </c>
      <c r="F412">
        <v>45042.744258230188</v>
      </c>
      <c r="G412">
        <v>10000</v>
      </c>
      <c r="H412">
        <v>402401.12227291899</v>
      </c>
      <c r="I412">
        <v>32.364244317994732</v>
      </c>
    </row>
    <row r="413" spans="1:9" x14ac:dyDescent="0.2">
      <c r="A413">
        <v>408</v>
      </c>
      <c r="B413">
        <v>1132738.7985964334</v>
      </c>
      <c r="C413">
        <v>133642.32256610994</v>
      </c>
      <c r="D413">
        <v>47084.069945307674</v>
      </c>
      <c r="E413">
        <v>98806.452113243431</v>
      </c>
      <c r="F413">
        <v>42840.44668476301</v>
      </c>
      <c r="G413">
        <v>10000</v>
      </c>
      <c r="H413">
        <v>312373.29130942404</v>
      </c>
      <c r="I413">
        <v>34.945972504178414</v>
      </c>
    </row>
    <row r="414" spans="1:9" x14ac:dyDescent="0.2">
      <c r="A414">
        <v>409</v>
      </c>
      <c r="B414">
        <v>1327950.8225366503</v>
      </c>
      <c r="C414">
        <v>131649.8105611112</v>
      </c>
      <c r="D414">
        <v>160836.8761807183</v>
      </c>
      <c r="E414">
        <v>44318.792755038863</v>
      </c>
      <c r="F414">
        <v>39068.224113810385</v>
      </c>
      <c r="G414">
        <v>10000</v>
      </c>
      <c r="H414">
        <v>365873.70361067879</v>
      </c>
      <c r="I414">
        <v>39.389912230043478</v>
      </c>
    </row>
    <row r="415" spans="1:9" x14ac:dyDescent="0.2">
      <c r="A415">
        <v>410</v>
      </c>
      <c r="B415">
        <v>880591.3854662847</v>
      </c>
      <c r="C415">
        <v>101446.35063733399</v>
      </c>
      <c r="D415">
        <v>80900.120458608726</v>
      </c>
      <c r="E415">
        <v>32661.348416142842</v>
      </c>
      <c r="F415">
        <v>38261.170274963733</v>
      </c>
      <c r="G415">
        <v>10000</v>
      </c>
      <c r="H415">
        <v>243268.9897870493</v>
      </c>
      <c r="I415">
        <v>33.188586547751612</v>
      </c>
    </row>
    <row r="416" spans="1:9" x14ac:dyDescent="0.2">
      <c r="A416">
        <v>411</v>
      </c>
      <c r="B416">
        <v>1607903.5698021939</v>
      </c>
      <c r="C416">
        <v>128133.88369856292</v>
      </c>
      <c r="D416">
        <v>156064.06733757231</v>
      </c>
      <c r="E416">
        <v>123827.77783539479</v>
      </c>
      <c r="F416">
        <v>44572.692311681174</v>
      </c>
      <c r="G416">
        <v>10000</v>
      </c>
      <c r="H416">
        <v>442598.42118321115</v>
      </c>
      <c r="I416">
        <v>24.517987852261733</v>
      </c>
    </row>
    <row r="417" spans="1:9" x14ac:dyDescent="0.2">
      <c r="A417">
        <v>412</v>
      </c>
      <c r="B417">
        <v>1383463.9870256558</v>
      </c>
      <c r="C417">
        <v>144969.94658477497</v>
      </c>
      <c r="D417">
        <v>135042.64292546309</v>
      </c>
      <c r="E417">
        <v>70214.23828472296</v>
      </c>
      <c r="F417">
        <v>40860.985727403895</v>
      </c>
      <c r="G417">
        <v>10000</v>
      </c>
      <c r="H417">
        <v>381087.81352236489</v>
      </c>
      <c r="I417">
        <v>27.000762245972346</v>
      </c>
    </row>
    <row r="418" spans="1:9" x14ac:dyDescent="0.2">
      <c r="A418">
        <v>413</v>
      </c>
      <c r="B418">
        <v>1266307.7060018426</v>
      </c>
      <c r="C418">
        <v>116629.4312700461</v>
      </c>
      <c r="D418">
        <v>106589.57236892375</v>
      </c>
      <c r="E418">
        <v>93301.277212190049</v>
      </c>
      <c r="F418">
        <v>42459.319191613155</v>
      </c>
      <c r="G418">
        <v>10000</v>
      </c>
      <c r="H418">
        <v>348979.60004277306</v>
      </c>
      <c r="I418">
        <v>33.827312016348827</v>
      </c>
    </row>
    <row r="419" spans="1:9" x14ac:dyDescent="0.2">
      <c r="A419">
        <v>414</v>
      </c>
      <c r="B419">
        <v>1115065.278318566</v>
      </c>
      <c r="C419">
        <v>129354.86426840334</v>
      </c>
      <c r="D419">
        <v>90747.557339750638</v>
      </c>
      <c r="E419">
        <v>57449.908594201006</v>
      </c>
      <c r="F419">
        <v>39977.301364213912</v>
      </c>
      <c r="G419">
        <v>10000</v>
      </c>
      <c r="H419">
        <v>307529.63156656892</v>
      </c>
      <c r="I419">
        <v>32.265095377222025</v>
      </c>
    </row>
    <row r="420" spans="1:9" x14ac:dyDescent="0.2">
      <c r="A420">
        <v>415</v>
      </c>
      <c r="B420">
        <v>1222056.1817400975</v>
      </c>
      <c r="C420">
        <v>107136.00930819291</v>
      </c>
      <c r="D420">
        <v>45421.854861919754</v>
      </c>
      <c r="E420">
        <v>148044.7725038018</v>
      </c>
      <c r="F420">
        <v>46249.253481032436</v>
      </c>
      <c r="G420">
        <v>10000</v>
      </c>
      <c r="H420">
        <v>336851.89015494689</v>
      </c>
      <c r="I420">
        <v>27.151328096152767</v>
      </c>
    </row>
    <row r="421" spans="1:9" x14ac:dyDescent="0.2">
      <c r="A421">
        <v>416</v>
      </c>
      <c r="B421">
        <v>1858859.6986615011</v>
      </c>
      <c r="C421">
        <v>115236.0275305016</v>
      </c>
      <c r="D421">
        <v>150516.39407564196</v>
      </c>
      <c r="E421">
        <v>205403.56708779847</v>
      </c>
      <c r="F421">
        <v>50220.246952232199</v>
      </c>
      <c r="G421">
        <v>10000</v>
      </c>
      <c r="H421">
        <v>511376.23564617429</v>
      </c>
      <c r="I421">
        <v>37.403829837911175</v>
      </c>
    </row>
    <row r="422" spans="1:9" x14ac:dyDescent="0.2">
      <c r="A422">
        <v>417</v>
      </c>
      <c r="B422">
        <v>1550594.9710400035</v>
      </c>
      <c r="C422">
        <v>115473.23727075047</v>
      </c>
      <c r="D422">
        <v>66887.03922476311</v>
      </c>
      <c r="E422">
        <v>204382.42031861283</v>
      </c>
      <c r="F422">
        <v>50149.552175903962</v>
      </c>
      <c r="G422">
        <v>10000</v>
      </c>
      <c r="H422">
        <v>426892.24899003038</v>
      </c>
      <c r="I422">
        <v>40.066108950848395</v>
      </c>
    </row>
    <row r="423" spans="1:9" x14ac:dyDescent="0.2">
      <c r="A423">
        <v>418</v>
      </c>
      <c r="B423">
        <v>1556518.3658689035</v>
      </c>
      <c r="C423">
        <v>111873.06852759</v>
      </c>
      <c r="D423">
        <v>84827.705872336446</v>
      </c>
      <c r="E423">
        <v>192488.71661572656</v>
      </c>
      <c r="F423">
        <v>49326.141919550297</v>
      </c>
      <c r="G423">
        <v>10000</v>
      </c>
      <c r="H423">
        <v>428515.63293520332</v>
      </c>
      <c r="I423">
        <v>38.155957500799012</v>
      </c>
    </row>
    <row r="424" spans="1:9" x14ac:dyDescent="0.2">
      <c r="A424">
        <v>419</v>
      </c>
      <c r="B424">
        <v>1163771.0620556944</v>
      </c>
      <c r="C424">
        <v>105819.96181228098</v>
      </c>
      <c r="D424">
        <v>61671.800411569668</v>
      </c>
      <c r="E424">
        <v>119138.29180120731</v>
      </c>
      <c r="F424">
        <v>44248.035586237427</v>
      </c>
      <c r="G424">
        <v>10000</v>
      </c>
      <c r="H424">
        <v>320878.08961129538</v>
      </c>
      <c r="I424">
        <v>50.917508348751113</v>
      </c>
    </row>
    <row r="425" spans="1:9" x14ac:dyDescent="0.2">
      <c r="A425">
        <v>420</v>
      </c>
      <c r="B425">
        <v>1016743.2394442526</v>
      </c>
      <c r="C425">
        <v>114832.92877207519</v>
      </c>
      <c r="D425">
        <v>97685.162599846692</v>
      </c>
      <c r="E425">
        <v>39341.458085549908</v>
      </c>
      <c r="F425">
        <v>38723.639405922688</v>
      </c>
      <c r="G425">
        <v>10000</v>
      </c>
      <c r="H425">
        <v>280583.18886339449</v>
      </c>
      <c r="I425">
        <v>43.290265902782394</v>
      </c>
    </row>
    <row r="426" spans="1:9" x14ac:dyDescent="0.2">
      <c r="A426">
        <v>421</v>
      </c>
      <c r="B426">
        <v>1303228.5273873522</v>
      </c>
      <c r="C426">
        <v>140209.25033919388</v>
      </c>
      <c r="D426">
        <v>134902.93810718603</v>
      </c>
      <c r="E426">
        <v>54231.554125255461</v>
      </c>
      <c r="F426">
        <v>39754.492208671531</v>
      </c>
      <c r="G426">
        <v>10000</v>
      </c>
      <c r="H426">
        <v>359098.23478030687</v>
      </c>
      <c r="I426">
        <v>33.09100834364574</v>
      </c>
    </row>
    <row r="427" spans="1:9" x14ac:dyDescent="0.2">
      <c r="A427">
        <v>422</v>
      </c>
      <c r="B427">
        <v>1558906.2784969718</v>
      </c>
      <c r="C427">
        <v>91409.241598271983</v>
      </c>
      <c r="D427">
        <v>157937.19207057159</v>
      </c>
      <c r="E427">
        <v>143863.83410264654</v>
      </c>
      <c r="F427">
        <v>45959.803899413986</v>
      </c>
      <c r="G427">
        <v>10000</v>
      </c>
      <c r="H427">
        <v>429170.07167090412</v>
      </c>
      <c r="I427">
        <v>33.646515088510327</v>
      </c>
    </row>
    <row r="428" spans="1:9" x14ac:dyDescent="0.2">
      <c r="A428">
        <v>423</v>
      </c>
      <c r="B428">
        <v>1136018.7477630875</v>
      </c>
      <c r="C428">
        <v>112429.60367141827</v>
      </c>
      <c r="D428">
        <v>73348.738622383738</v>
      </c>
      <c r="E428">
        <v>94922.317024968928</v>
      </c>
      <c r="F428">
        <v>42571.545024805535</v>
      </c>
      <c r="G428">
        <v>10000</v>
      </c>
      <c r="H428">
        <v>313272.20434357645</v>
      </c>
      <c r="I428">
        <v>29.386690055076699</v>
      </c>
    </row>
    <row r="429" spans="1:9" x14ac:dyDescent="0.2">
      <c r="A429">
        <v>424</v>
      </c>
      <c r="B429">
        <v>1256084.428971047</v>
      </c>
      <c r="C429">
        <v>98650.501941658542</v>
      </c>
      <c r="D429">
        <v>106814.10172011548</v>
      </c>
      <c r="E429">
        <v>107285.70173442221</v>
      </c>
      <c r="F429">
        <v>43427.471658536924</v>
      </c>
      <c r="G429">
        <v>10000</v>
      </c>
      <c r="H429">
        <v>346177.77705473313</v>
      </c>
      <c r="I429">
        <v>28.754373939844449</v>
      </c>
    </row>
    <row r="430" spans="1:9" x14ac:dyDescent="0.2">
      <c r="A430">
        <v>425</v>
      </c>
      <c r="B430">
        <v>1016523.4373996167</v>
      </c>
      <c r="C430">
        <v>91849.419849209226</v>
      </c>
      <c r="D430">
        <v>67981.376248767148</v>
      </c>
      <c r="E430">
        <v>88561.006529915961</v>
      </c>
      <c r="F430">
        <v>42131.14660591726</v>
      </c>
      <c r="G430">
        <v>10000</v>
      </c>
      <c r="H430">
        <v>280522.9492338096</v>
      </c>
      <c r="I430">
        <v>40.471997330155759</v>
      </c>
    </row>
    <row r="431" spans="1:9" x14ac:dyDescent="0.2">
      <c r="A431">
        <v>426</v>
      </c>
      <c r="B431">
        <v>907276.8231877638</v>
      </c>
      <c r="C431">
        <v>108291.04916067484</v>
      </c>
      <c r="D431">
        <v>74833.707669000825</v>
      </c>
      <c r="E431">
        <v>38773.413484225355</v>
      </c>
      <c r="F431">
        <v>38684.313241215605</v>
      </c>
      <c r="G431">
        <v>10000</v>
      </c>
      <c r="H431">
        <v>250582.48355511663</v>
      </c>
      <c r="I431">
        <v>32.612398260034986</v>
      </c>
    </row>
    <row r="432" spans="1:9" x14ac:dyDescent="0.2">
      <c r="A432">
        <v>427</v>
      </c>
      <c r="B432">
        <v>1222168.9660980771</v>
      </c>
      <c r="C432">
        <v>160379.02745340712</v>
      </c>
      <c r="D432">
        <v>88393.558894845366</v>
      </c>
      <c r="E432">
        <v>58088.68920044096</v>
      </c>
      <c r="F432">
        <v>40021.524636953603</v>
      </c>
      <c r="G432">
        <v>10000</v>
      </c>
      <c r="H432">
        <v>336882.80018564704</v>
      </c>
      <c r="I432">
        <v>30.948616110308286</v>
      </c>
    </row>
    <row r="433" spans="1:9" x14ac:dyDescent="0.2">
      <c r="A433">
        <v>428</v>
      </c>
      <c r="B433">
        <v>2104970.8215333838</v>
      </c>
      <c r="C433">
        <v>171654.333236893</v>
      </c>
      <c r="D433">
        <v>173296.42513885463</v>
      </c>
      <c r="E433">
        <v>194415.89258220699</v>
      </c>
      <c r="F433">
        <v>49459.561794152796</v>
      </c>
      <c r="G433">
        <v>10000</v>
      </c>
      <c r="H433">
        <v>578826.21275210741</v>
      </c>
      <c r="I433">
        <v>32.419752458395827</v>
      </c>
    </row>
    <row r="434" spans="1:9" x14ac:dyDescent="0.2">
      <c r="A434">
        <v>429</v>
      </c>
      <c r="B434">
        <v>1480048.9157123652</v>
      </c>
      <c r="C434">
        <v>89892.156543974736</v>
      </c>
      <c r="D434">
        <v>104216.9016382893</v>
      </c>
      <c r="E434">
        <v>175312.12684451105</v>
      </c>
      <c r="F434">
        <v>48136.99339692769</v>
      </c>
      <c r="G434">
        <v>10000</v>
      </c>
      <c r="H434">
        <v>407558.17842370283</v>
      </c>
      <c r="I434">
        <v>32.306048398377641</v>
      </c>
    </row>
    <row r="435" spans="1:9" x14ac:dyDescent="0.2">
      <c r="A435">
        <v>430</v>
      </c>
      <c r="B435">
        <v>967540.14447683666</v>
      </c>
      <c r="C435">
        <v>112099.8082697145</v>
      </c>
      <c r="D435">
        <v>58348.410891257816</v>
      </c>
      <c r="E435">
        <v>66075.742518553816</v>
      </c>
      <c r="F435">
        <v>40574.474482053723</v>
      </c>
      <c r="G435">
        <v>10000</v>
      </c>
      <c r="H435">
        <v>267098.43616157986</v>
      </c>
      <c r="I435">
        <v>26.973172007757242</v>
      </c>
    </row>
    <row r="436" spans="1:9" x14ac:dyDescent="0.2">
      <c r="A436">
        <v>431</v>
      </c>
      <c r="B436">
        <v>1016505.9053045313</v>
      </c>
      <c r="C436">
        <v>93575.551421664786</v>
      </c>
      <c r="D436">
        <v>103160.39150435067</v>
      </c>
      <c r="E436">
        <v>54040.907791166319</v>
      </c>
      <c r="F436">
        <v>39741.293616311508</v>
      </c>
      <c r="G436">
        <v>10000</v>
      </c>
      <c r="H436">
        <v>280518.14433349331</v>
      </c>
      <c r="I436">
        <v>36.93822478187645</v>
      </c>
    </row>
    <row r="437" spans="1:9" x14ac:dyDescent="0.2">
      <c r="A437">
        <v>432</v>
      </c>
      <c r="B437">
        <v>1484510.7747111775</v>
      </c>
      <c r="C437">
        <v>85907.501551848589</v>
      </c>
      <c r="D437">
        <v>155205.72571486654</v>
      </c>
      <c r="E437">
        <v>132495.0479724328</v>
      </c>
      <c r="F437">
        <v>45172.734090399194</v>
      </c>
      <c r="G437">
        <v>10000</v>
      </c>
      <c r="H437">
        <v>408781.00932954712</v>
      </c>
      <c r="I437">
        <v>54.280695380374254</v>
      </c>
    </row>
    <row r="438" spans="1:9" x14ac:dyDescent="0.2">
      <c r="A438">
        <v>433</v>
      </c>
      <c r="B438">
        <v>1384529.1312977606</v>
      </c>
      <c r="C438">
        <v>81361.508824331802</v>
      </c>
      <c r="D438">
        <v>83059.354756890709</v>
      </c>
      <c r="E438">
        <v>178594.62351512318</v>
      </c>
      <c r="F438">
        <v>48364.24316643161</v>
      </c>
      <c r="G438">
        <v>10000</v>
      </c>
      <c r="H438">
        <v>381379.7302627773</v>
      </c>
      <c r="I438">
        <v>41.217470262340932</v>
      </c>
    </row>
    <row r="439" spans="1:9" x14ac:dyDescent="0.2">
      <c r="A439">
        <v>434</v>
      </c>
      <c r="B439">
        <v>1620676.1107602171</v>
      </c>
      <c r="C439">
        <v>121615.18688561898</v>
      </c>
      <c r="D439">
        <v>108182.57663088557</v>
      </c>
      <c r="E439">
        <v>177979.48329197257</v>
      </c>
      <c r="F439">
        <v>48321.6565355981</v>
      </c>
      <c r="G439">
        <v>10000</v>
      </c>
      <c r="H439">
        <v>446098.9033440752</v>
      </c>
      <c r="I439">
        <v>31.31804299945356</v>
      </c>
    </row>
    <row r="440" spans="1:9" x14ac:dyDescent="0.2">
      <c r="A440">
        <v>435</v>
      </c>
      <c r="B440">
        <v>1230019.0781133422</v>
      </c>
      <c r="C440">
        <v>92974.2010219449</v>
      </c>
      <c r="D440">
        <v>117842.74002749036</v>
      </c>
      <c r="E440">
        <v>95598.899794557903</v>
      </c>
      <c r="F440">
        <v>42618.385370392469</v>
      </c>
      <c r="G440">
        <v>10000</v>
      </c>
      <c r="H440">
        <v>339034.22621438565</v>
      </c>
      <c r="I440">
        <v>32.467275016000755</v>
      </c>
    </row>
    <row r="441" spans="1:9" x14ac:dyDescent="0.2">
      <c r="A441">
        <v>436</v>
      </c>
      <c r="B441">
        <v>1454609.8639709144</v>
      </c>
      <c r="C441">
        <v>86417.505773761979</v>
      </c>
      <c r="D441">
        <v>122773.62730276279</v>
      </c>
      <c r="E441">
        <v>154686.10214304613</v>
      </c>
      <c r="F441">
        <v>46709.037840672427</v>
      </c>
      <c r="G441">
        <v>10000</v>
      </c>
      <c r="H441">
        <v>400586.27306024334</v>
      </c>
      <c r="I441">
        <v>28.864172665628157</v>
      </c>
    </row>
    <row r="442" spans="1:9" x14ac:dyDescent="0.2">
      <c r="A442">
        <v>437</v>
      </c>
      <c r="B442">
        <v>1233912.4769558418</v>
      </c>
      <c r="C442">
        <v>124247.07532834634</v>
      </c>
      <c r="D442">
        <v>57953.572110383044</v>
      </c>
      <c r="E442">
        <v>123360.28809208948</v>
      </c>
      <c r="F442">
        <v>44540.327637144655</v>
      </c>
      <c r="G442">
        <v>10000</v>
      </c>
      <c r="H442">
        <v>340101.26316796354</v>
      </c>
      <c r="I442">
        <v>42.085179850327961</v>
      </c>
    </row>
    <row r="443" spans="1:9" x14ac:dyDescent="0.2">
      <c r="A443">
        <v>438</v>
      </c>
      <c r="B443">
        <v>1599372.486489878</v>
      </c>
      <c r="C443">
        <v>102970.22341897649</v>
      </c>
      <c r="D443">
        <v>130224.02760107683</v>
      </c>
      <c r="E443">
        <v>169342.40974049046</v>
      </c>
      <c r="F443">
        <v>47723.705289726269</v>
      </c>
      <c r="G443">
        <v>10000</v>
      </c>
      <c r="H443">
        <v>440260.36605027004</v>
      </c>
      <c r="I443">
        <v>35.130475188712381</v>
      </c>
    </row>
    <row r="444" spans="1:9" x14ac:dyDescent="0.2">
      <c r="A444">
        <v>439</v>
      </c>
      <c r="B444">
        <v>1606944.5679516243</v>
      </c>
      <c r="C444">
        <v>94100.141886954079</v>
      </c>
      <c r="D444">
        <v>112512.01675375462</v>
      </c>
      <c r="E444">
        <v>196144.22027340575</v>
      </c>
      <c r="F444">
        <v>49579.215249697321</v>
      </c>
      <c r="G444">
        <v>10000</v>
      </c>
      <c r="H444">
        <v>442335.59416381177</v>
      </c>
      <c r="I444">
        <v>26.928207192341318</v>
      </c>
    </row>
    <row r="445" spans="1:9" x14ac:dyDescent="0.2">
      <c r="A445">
        <v>440</v>
      </c>
      <c r="B445">
        <v>1457592.042681843</v>
      </c>
      <c r="C445">
        <v>123707.26883663279</v>
      </c>
      <c r="D445">
        <v>62983.917637860577</v>
      </c>
      <c r="E445">
        <v>176493.6037724498</v>
      </c>
      <c r="F445">
        <v>48218.787953477295</v>
      </c>
      <c r="G445">
        <v>10000</v>
      </c>
      <c r="H445">
        <v>401403.57820042042</v>
      </c>
      <c r="I445">
        <v>29.843735925544472</v>
      </c>
    </row>
    <row r="446" spans="1:9" x14ac:dyDescent="0.2">
      <c r="A446">
        <v>441</v>
      </c>
      <c r="B446">
        <v>1691765.2810008684</v>
      </c>
      <c r="C446">
        <v>122655.65571543573</v>
      </c>
      <c r="D446">
        <v>122091.96230367922</v>
      </c>
      <c r="E446">
        <v>182219.03938266909</v>
      </c>
      <c r="F446">
        <v>48615.164264954015</v>
      </c>
      <c r="G446">
        <v>10000</v>
      </c>
      <c r="H446">
        <v>465581.82166673802</v>
      </c>
      <c r="I446">
        <v>33.261153906804353</v>
      </c>
    </row>
    <row r="447" spans="1:9" x14ac:dyDescent="0.2">
      <c r="A447">
        <v>442</v>
      </c>
      <c r="B447">
        <v>1549994.9978101398</v>
      </c>
      <c r="C447">
        <v>135087.73580313587</v>
      </c>
      <c r="D447">
        <v>121789.5061319622</v>
      </c>
      <c r="E447">
        <v>134536.51042566772</v>
      </c>
      <c r="F447">
        <v>45314.066106392376</v>
      </c>
      <c r="G447">
        <v>10000</v>
      </c>
      <c r="H447">
        <v>426727.81846715818</v>
      </c>
      <c r="I447">
        <v>33.316855060206279</v>
      </c>
    </row>
    <row r="448" spans="1:9" x14ac:dyDescent="0.2">
      <c r="A448">
        <v>443</v>
      </c>
      <c r="B448">
        <v>1091035.4628516182</v>
      </c>
      <c r="C448">
        <v>154171.66366608691</v>
      </c>
      <c r="D448">
        <v>62091.846770892058</v>
      </c>
      <c r="E448">
        <v>54880.982773606367</v>
      </c>
      <c r="F448">
        <v>39799.45265355736</v>
      </c>
      <c r="G448">
        <v>10000</v>
      </c>
      <c r="H448">
        <v>300943.94586414268</v>
      </c>
      <c r="I448">
        <v>36.021052777554914</v>
      </c>
    </row>
    <row r="449" spans="1:9" x14ac:dyDescent="0.2">
      <c r="A449">
        <v>444</v>
      </c>
      <c r="B449">
        <v>986552.51669639163</v>
      </c>
      <c r="C449">
        <v>166704.4885146679</v>
      </c>
      <c r="D449">
        <v>40622.849879634021</v>
      </c>
      <c r="E449">
        <v>36457.693273096869</v>
      </c>
      <c r="F449">
        <v>38523.994149675942</v>
      </c>
      <c r="G449">
        <v>10000</v>
      </c>
      <c r="H449">
        <v>272309.0258170747</v>
      </c>
      <c r="I449">
        <v>31.858607661039006</v>
      </c>
    </row>
    <row r="450" spans="1:9" x14ac:dyDescent="0.2">
      <c r="A450">
        <v>445</v>
      </c>
      <c r="B450">
        <v>1414940.7996508828</v>
      </c>
      <c r="C450">
        <v>121187.01732750371</v>
      </c>
      <c r="D450">
        <v>90202.863886020103</v>
      </c>
      <c r="E450">
        <v>142461.82350561555</v>
      </c>
      <c r="F450">
        <v>45862.741627311843</v>
      </c>
      <c r="G450">
        <v>10000</v>
      </c>
      <c r="H450">
        <v>389714.44634645124</v>
      </c>
      <c r="I450">
        <v>40.056951363111963</v>
      </c>
    </row>
    <row r="451" spans="1:9" x14ac:dyDescent="0.2">
      <c r="A451">
        <v>446</v>
      </c>
      <c r="B451">
        <v>1862642.0328931757</v>
      </c>
      <c r="C451">
        <v>163285.14795406201</v>
      </c>
      <c r="D451">
        <v>158579.1589453989</v>
      </c>
      <c r="E451">
        <v>153894.30581688782</v>
      </c>
      <c r="F451">
        <v>46654.221171938385</v>
      </c>
      <c r="G451">
        <v>10000</v>
      </c>
      <c r="H451">
        <v>512412.83388828713</v>
      </c>
      <c r="I451">
        <v>28.273978807564781</v>
      </c>
    </row>
    <row r="452" spans="1:9" x14ac:dyDescent="0.2">
      <c r="A452">
        <v>447</v>
      </c>
      <c r="B452">
        <v>1672086.2023601118</v>
      </c>
      <c r="C452">
        <v>115306.95470219658</v>
      </c>
      <c r="D452">
        <v>132175.16567616761</v>
      </c>
      <c r="E452">
        <v>174617.48892531762</v>
      </c>
      <c r="F452">
        <v>48088.903079445066</v>
      </c>
      <c r="G452">
        <v>10000</v>
      </c>
      <c r="H452">
        <v>460188.51238312689</v>
      </c>
      <c r="I452">
        <v>32.995333801669787</v>
      </c>
    </row>
    <row r="453" spans="1:9" x14ac:dyDescent="0.2">
      <c r="A453">
        <v>448</v>
      </c>
      <c r="B453">
        <v>1187856.1449425747</v>
      </c>
      <c r="C453">
        <v>126594.12310255124</v>
      </c>
      <c r="D453">
        <v>42537.17094959745</v>
      </c>
      <c r="E453">
        <v>123778.35714284943</v>
      </c>
      <c r="F453">
        <v>44569.27087912034</v>
      </c>
      <c r="G453">
        <v>10000</v>
      </c>
      <c r="H453">
        <v>327478.92207411845</v>
      </c>
      <c r="I453">
        <v>34.916374055950584</v>
      </c>
    </row>
    <row r="454" spans="1:9" x14ac:dyDescent="0.2">
      <c r="A454">
        <v>449</v>
      </c>
      <c r="B454">
        <v>875988.44413643971</v>
      </c>
      <c r="C454">
        <v>106576.75752721251</v>
      </c>
      <c r="D454">
        <v>41424.691033392795</v>
      </c>
      <c r="E454">
        <v>63602.775768065381</v>
      </c>
      <c r="F454">
        <v>40403.269091635295</v>
      </c>
      <c r="G454">
        <v>10000</v>
      </c>
      <c r="H454">
        <v>242007.49342030598</v>
      </c>
      <c r="I454">
        <v>28.313941490311784</v>
      </c>
    </row>
    <row r="455" spans="1:9" x14ac:dyDescent="0.2">
      <c r="A455">
        <v>450</v>
      </c>
      <c r="B455">
        <v>1299783.4663567939</v>
      </c>
      <c r="C455">
        <v>90866.650783382007</v>
      </c>
      <c r="D455">
        <v>70269.944104653099</v>
      </c>
      <c r="E455">
        <v>159944.40181701939</v>
      </c>
      <c r="F455">
        <v>47073.073971947495</v>
      </c>
      <c r="G455">
        <v>10000</v>
      </c>
      <c r="H455">
        <v>358154.07067700196</v>
      </c>
      <c r="I455">
        <v>40.83869209869227</v>
      </c>
    </row>
    <row r="456" spans="1:9" x14ac:dyDescent="0.2">
      <c r="A456">
        <v>451</v>
      </c>
      <c r="B456">
        <v>1171026.1552128177</v>
      </c>
      <c r="C456">
        <v>113982.49825637175</v>
      </c>
      <c r="D456">
        <v>97221.04612092406</v>
      </c>
      <c r="E456">
        <v>80116.379939162362</v>
      </c>
      <c r="F456">
        <v>41546.518611172774</v>
      </c>
      <c r="G456">
        <v>10000</v>
      </c>
      <c r="H456">
        <v>322866.44292763097</v>
      </c>
      <c r="I456">
        <v>45.698186726959278</v>
      </c>
    </row>
    <row r="457" spans="1:9" x14ac:dyDescent="0.2">
      <c r="A457">
        <v>452</v>
      </c>
      <c r="B457">
        <v>891533.31568078045</v>
      </c>
      <c r="C457">
        <v>136542.62914197391</v>
      </c>
      <c r="D457">
        <v>41370.384848670561</v>
      </c>
      <c r="E457">
        <v>39612.360887968971</v>
      </c>
      <c r="F457">
        <v>38742.394215320928</v>
      </c>
      <c r="G457">
        <v>10000</v>
      </c>
      <c r="H457">
        <v>246267.76909393439</v>
      </c>
      <c r="I457">
        <v>44.479927895941159</v>
      </c>
    </row>
    <row r="458" spans="1:9" x14ac:dyDescent="0.2">
      <c r="A458">
        <v>453</v>
      </c>
      <c r="B458">
        <v>1077247.7715729817</v>
      </c>
      <c r="C458">
        <v>128589.49929554229</v>
      </c>
      <c r="D458">
        <v>59846.867572100622</v>
      </c>
      <c r="E458">
        <v>77372.335302352381</v>
      </c>
      <c r="F458">
        <v>41356.546290162856</v>
      </c>
      <c r="G458">
        <v>10000</v>
      </c>
      <c r="H458">
        <v>297165.24846015812</v>
      </c>
      <c r="I458">
        <v>34.106243861614232</v>
      </c>
    </row>
    <row r="459" spans="1:9" x14ac:dyDescent="0.2">
      <c r="A459">
        <v>454</v>
      </c>
      <c r="B459">
        <v>993746.96108117397</v>
      </c>
      <c r="C459">
        <v>139749.26812333422</v>
      </c>
      <c r="D459">
        <v>60280.660232147442</v>
      </c>
      <c r="E459">
        <v>45126.674779594243</v>
      </c>
      <c r="F459">
        <v>39124.15440781806</v>
      </c>
      <c r="G459">
        <v>10000</v>
      </c>
      <c r="H459">
        <v>274280.75754289393</v>
      </c>
      <c r="I459">
        <v>34.281072042156588</v>
      </c>
    </row>
    <row r="460" spans="1:9" x14ac:dyDescent="0.2">
      <c r="A460">
        <v>455</v>
      </c>
      <c r="B460">
        <v>1093760.6352776974</v>
      </c>
      <c r="C460">
        <v>141326.62806934098</v>
      </c>
      <c r="D460">
        <v>57261.555254326282</v>
      </c>
      <c r="E460">
        <v>72110.375010211414</v>
      </c>
      <c r="F460">
        <v>40992.256731476176</v>
      </c>
      <c r="G460">
        <v>10000</v>
      </c>
      <c r="H460">
        <v>301690.81506535487</v>
      </c>
      <c r="I460">
        <v>41.463882000272044</v>
      </c>
    </row>
    <row r="461" spans="1:9" x14ac:dyDescent="0.2">
      <c r="A461">
        <v>456</v>
      </c>
      <c r="B461">
        <v>1306662.5769747426</v>
      </c>
      <c r="C461">
        <v>152176.31460039306</v>
      </c>
      <c r="D461">
        <v>138061.94070067743</v>
      </c>
      <c r="E461">
        <v>40965.081638840726</v>
      </c>
      <c r="F461">
        <v>38836.0441134582</v>
      </c>
      <c r="G461">
        <v>10000</v>
      </c>
      <c r="H461">
        <v>360039.38105336943</v>
      </c>
      <c r="I461">
        <v>34.969759757515561</v>
      </c>
    </row>
    <row r="462" spans="1:9" x14ac:dyDescent="0.2">
      <c r="A462">
        <v>457</v>
      </c>
      <c r="B462">
        <v>1580422.2868873226</v>
      </c>
      <c r="C462">
        <v>92941.362652146679</v>
      </c>
      <c r="D462">
        <v>94677.386248831535</v>
      </c>
      <c r="E462">
        <v>207109.70268206781</v>
      </c>
      <c r="F462">
        <v>50338.364031835466</v>
      </c>
      <c r="G462">
        <v>10000</v>
      </c>
      <c r="H462">
        <v>435066.81561488146</v>
      </c>
      <c r="I462">
        <v>33.070084633702713</v>
      </c>
    </row>
    <row r="463" spans="1:9" x14ac:dyDescent="0.2">
      <c r="A463">
        <v>458</v>
      </c>
      <c r="B463">
        <v>1450374.8395496164</v>
      </c>
      <c r="C463">
        <v>112813.98424826919</v>
      </c>
      <c r="D463">
        <v>95804.322123328093</v>
      </c>
      <c r="E463">
        <v>154136.32633178859</v>
      </c>
      <c r="F463">
        <v>46670.976438354592</v>
      </c>
      <c r="G463">
        <v>10000</v>
      </c>
      <c r="H463">
        <v>399425.60914174048</v>
      </c>
      <c r="I463">
        <v>41.343040476879622</v>
      </c>
    </row>
    <row r="464" spans="1:9" x14ac:dyDescent="0.2">
      <c r="A464">
        <v>459</v>
      </c>
      <c r="B464">
        <v>1520955.5738807488</v>
      </c>
      <c r="C464">
        <v>93816.031324694515</v>
      </c>
      <c r="D464">
        <v>82109.037554590584</v>
      </c>
      <c r="E464">
        <v>202803.84862097088</v>
      </c>
      <c r="F464">
        <v>50040.266442990294</v>
      </c>
      <c r="G464">
        <v>10000</v>
      </c>
      <c r="H464">
        <v>418769.18394324626</v>
      </c>
      <c r="I464">
        <v>34.559784566176759</v>
      </c>
    </row>
    <row r="465" spans="1:9" x14ac:dyDescent="0.2">
      <c r="A465">
        <v>460</v>
      </c>
      <c r="B465">
        <v>1864647.8691245194</v>
      </c>
      <c r="C465">
        <v>137673.51819331793</v>
      </c>
      <c r="D465">
        <v>131877.58566608842</v>
      </c>
      <c r="E465">
        <v>203334.45499285244</v>
      </c>
      <c r="F465">
        <v>50077.000730274398</v>
      </c>
      <c r="G465">
        <v>10000</v>
      </c>
      <c r="H465">
        <v>512962.55958253314</v>
      </c>
      <c r="I465">
        <v>48.918655280230539</v>
      </c>
    </row>
    <row r="466" spans="1:9" x14ac:dyDescent="0.2">
      <c r="A466">
        <v>461</v>
      </c>
      <c r="B466">
        <v>1332760.8536370546</v>
      </c>
      <c r="C466">
        <v>154538.5880801552</v>
      </c>
      <c r="D466">
        <v>86287.667819168841</v>
      </c>
      <c r="E466">
        <v>93867.201197975242</v>
      </c>
      <c r="F466">
        <v>42498.498544475209</v>
      </c>
      <c r="G466">
        <v>10000</v>
      </c>
      <c r="H466">
        <v>367191.95564177446</v>
      </c>
      <c r="I466">
        <v>42.735024984139102</v>
      </c>
    </row>
    <row r="467" spans="1:9" x14ac:dyDescent="0.2">
      <c r="A467">
        <v>462</v>
      </c>
      <c r="B467">
        <v>993990.37694338278</v>
      </c>
      <c r="C467">
        <v>111855.29074399163</v>
      </c>
      <c r="D467">
        <v>103907.5424643029</v>
      </c>
      <c r="E467">
        <v>30474.839087970482</v>
      </c>
      <c r="F467">
        <v>38109.796552244115</v>
      </c>
      <c r="G467">
        <v>10000</v>
      </c>
      <c r="H467">
        <v>274347.46884850913</v>
      </c>
      <c r="I467">
        <v>35.195019415466696</v>
      </c>
    </row>
    <row r="468" spans="1:9" x14ac:dyDescent="0.2">
      <c r="A468">
        <v>463</v>
      </c>
      <c r="B468">
        <v>2081627.431124534</v>
      </c>
      <c r="C468">
        <v>167108.98326385015</v>
      </c>
      <c r="D468">
        <v>166115.61308479484</v>
      </c>
      <c r="E468">
        <v>199399.4754128507</v>
      </c>
      <c r="F468">
        <v>49804.579067043509</v>
      </c>
      <c r="G468">
        <v>10000</v>
      </c>
      <c r="H468">
        <v>572428.65082853916</v>
      </c>
      <c r="I468">
        <v>48.580379257012602</v>
      </c>
    </row>
    <row r="469" spans="1:9" x14ac:dyDescent="0.2">
      <c r="A469">
        <v>464</v>
      </c>
      <c r="B469">
        <v>884853.70079844049</v>
      </c>
      <c r="C469">
        <v>79472.671921312998</v>
      </c>
      <c r="D469">
        <v>85897.552859614589</v>
      </c>
      <c r="E469">
        <v>49630.921484250335</v>
      </c>
      <c r="F469">
        <v>39435.986871986563</v>
      </c>
      <c r="G469">
        <v>10000</v>
      </c>
      <c r="H469">
        <v>244437.13313716449</v>
      </c>
      <c r="I469">
        <v>35.691531529384008</v>
      </c>
    </row>
    <row r="470" spans="1:9" x14ac:dyDescent="0.2">
      <c r="A470">
        <v>465</v>
      </c>
      <c r="B470">
        <v>1235421.3673483636</v>
      </c>
      <c r="C470">
        <v>111865.26482415032</v>
      </c>
      <c r="D470">
        <v>64945.637107631963</v>
      </c>
      <c r="E470">
        <v>128787.81304874347</v>
      </c>
      <c r="F470">
        <v>44916.079364913014</v>
      </c>
      <c r="G470">
        <v>10000</v>
      </c>
      <c r="H470">
        <v>340514.79434543877</v>
      </c>
      <c r="I470">
        <v>28.789999536446572</v>
      </c>
    </row>
    <row r="471" spans="1:9" x14ac:dyDescent="0.2">
      <c r="A471">
        <v>466</v>
      </c>
      <c r="B471">
        <v>1645792.6350662201</v>
      </c>
      <c r="C471">
        <v>160760.72368016705</v>
      </c>
      <c r="D471">
        <v>150955.65033032728</v>
      </c>
      <c r="E471">
        <v>107802.77293310418</v>
      </c>
      <c r="F471">
        <v>43463.268895368747</v>
      </c>
      <c r="G471">
        <v>10000</v>
      </c>
      <c r="H471">
        <v>452982.41583896725</v>
      </c>
      <c r="I471">
        <v>49.166190922760407</v>
      </c>
    </row>
    <row r="472" spans="1:9" x14ac:dyDescent="0.2">
      <c r="A472">
        <v>467</v>
      </c>
      <c r="B472">
        <v>1472032.347051613</v>
      </c>
      <c r="C472">
        <v>139968.95043694583</v>
      </c>
      <c r="D472">
        <v>52779.847312187645</v>
      </c>
      <c r="E472">
        <v>174529.52196271287</v>
      </c>
      <c r="F472">
        <v>48082.813058957043</v>
      </c>
      <c r="G472">
        <v>10000</v>
      </c>
      <c r="H472">
        <v>405361.13277080341</v>
      </c>
      <c r="I472">
        <v>50.36633955079138</v>
      </c>
    </row>
    <row r="473" spans="1:9" x14ac:dyDescent="0.2">
      <c r="A473">
        <v>468</v>
      </c>
      <c r="B473">
        <v>1497799.6092664436</v>
      </c>
      <c r="C473">
        <v>158764.98966059432</v>
      </c>
      <c r="D473">
        <v>33536.763341470658</v>
      </c>
      <c r="E473">
        <v>181552.23465128097</v>
      </c>
      <c r="F473">
        <v>48569.000860473301</v>
      </c>
      <c r="G473">
        <v>10000</v>
      </c>
      <c r="H473">
        <v>412422.98851381923</v>
      </c>
      <c r="I473">
        <v>44.764420770340671</v>
      </c>
    </row>
    <row r="474" spans="1:9" x14ac:dyDescent="0.2">
      <c r="A474">
        <v>469</v>
      </c>
      <c r="B474">
        <v>1233449.8344120549</v>
      </c>
      <c r="C474">
        <v>106691.78862123807</v>
      </c>
      <c r="D474">
        <v>164863.88338880046</v>
      </c>
      <c r="E474">
        <v>39672.257036733878</v>
      </c>
      <c r="F474">
        <v>38746.540871773883</v>
      </c>
      <c r="G474">
        <v>10000</v>
      </c>
      <c r="H474">
        <v>339974.46991854633</v>
      </c>
      <c r="I474">
        <v>30.220841348876675</v>
      </c>
    </row>
    <row r="475" spans="1:9" x14ac:dyDescent="0.2">
      <c r="A475">
        <v>470</v>
      </c>
      <c r="B475">
        <v>1468860.2385280963</v>
      </c>
      <c r="C475">
        <v>157364.70392223849</v>
      </c>
      <c r="D475">
        <v>48501.819693767182</v>
      </c>
      <c r="E475">
        <v>161448.07671941997</v>
      </c>
      <c r="F475">
        <v>47177.174542113695</v>
      </c>
      <c r="G475">
        <v>10000</v>
      </c>
      <c r="H475">
        <v>404491.77487753931</v>
      </c>
      <c r="I475">
        <v>39.350710144155016</v>
      </c>
    </row>
    <row r="476" spans="1:9" x14ac:dyDescent="0.2">
      <c r="A476">
        <v>471</v>
      </c>
      <c r="B476">
        <v>1575407.7696598337</v>
      </c>
      <c r="C476">
        <v>117584.34521164486</v>
      </c>
      <c r="D476">
        <v>103437.21451430762</v>
      </c>
      <c r="E476">
        <v>174584.3527215147</v>
      </c>
      <c r="F476">
        <v>48086.609034566405</v>
      </c>
      <c r="G476">
        <v>10000</v>
      </c>
      <c r="H476">
        <v>433692.5214820336</v>
      </c>
      <c r="I476">
        <v>28.466387975446143</v>
      </c>
    </row>
    <row r="477" spans="1:9" x14ac:dyDescent="0.2">
      <c r="A477">
        <v>472</v>
      </c>
      <c r="B477">
        <v>1284516.5557508466</v>
      </c>
      <c r="C477">
        <v>90780.812012705152</v>
      </c>
      <c r="D477">
        <v>94516.039284297745</v>
      </c>
      <c r="E477">
        <v>133435.2944643306</v>
      </c>
      <c r="F477">
        <v>45237.828078299812</v>
      </c>
      <c r="G477">
        <v>10000</v>
      </c>
      <c r="H477">
        <v>353969.97383963334</v>
      </c>
      <c r="I477">
        <v>48.621232373687484</v>
      </c>
    </row>
    <row r="478" spans="1:9" x14ac:dyDescent="0.2">
      <c r="A478">
        <v>473</v>
      </c>
      <c r="B478">
        <v>1818401.577263322</v>
      </c>
      <c r="C478">
        <v>133522.04026250521</v>
      </c>
      <c r="D478">
        <v>141136.25704066016</v>
      </c>
      <c r="E478">
        <v>186704.18579936243</v>
      </c>
      <c r="F478">
        <v>48925.674401494318</v>
      </c>
      <c r="G478">
        <v>10000</v>
      </c>
      <c r="H478">
        <v>500288.15750402212</v>
      </c>
      <c r="I478">
        <v>39.128340467470146</v>
      </c>
    </row>
    <row r="479" spans="1:9" x14ac:dyDescent="0.2">
      <c r="A479">
        <v>474</v>
      </c>
      <c r="B479">
        <v>1474223.0012667093</v>
      </c>
      <c r="C479">
        <v>106237.48449233847</v>
      </c>
      <c r="D479">
        <v>165501.79214225645</v>
      </c>
      <c r="E479">
        <v>101215.03863730493</v>
      </c>
      <c r="F479">
        <v>43007.194982582645</v>
      </c>
      <c r="G479">
        <v>10000</v>
      </c>
      <c r="H479">
        <v>405961.51025448245</v>
      </c>
      <c r="I479">
        <v>28.657470332850593</v>
      </c>
    </row>
    <row r="480" spans="1:9" x14ac:dyDescent="0.2">
      <c r="A480">
        <v>475</v>
      </c>
      <c r="B480">
        <v>1072746.5273266386</v>
      </c>
      <c r="C480">
        <v>140426.21142942851</v>
      </c>
      <c r="D480">
        <v>91694.293789498799</v>
      </c>
      <c r="E480">
        <v>35362.916388558289</v>
      </c>
      <c r="F480">
        <v>38448.201903823261</v>
      </c>
      <c r="G480">
        <v>10000</v>
      </c>
      <c r="H480">
        <v>295931.62351130886</v>
      </c>
      <c r="I480">
        <v>51.231977225905325</v>
      </c>
    </row>
    <row r="481" spans="1:9" x14ac:dyDescent="0.2">
      <c r="A481">
        <v>476</v>
      </c>
      <c r="B481">
        <v>1555504.0880282414</v>
      </c>
      <c r="C481">
        <v>112316.40345546794</v>
      </c>
      <c r="D481">
        <v>91451.053333936899</v>
      </c>
      <c r="E481">
        <v>185619.61152691275</v>
      </c>
      <c r="F481">
        <v>48850.588490324728</v>
      </c>
      <c r="G481">
        <v>10000</v>
      </c>
      <c r="H481">
        <v>428237.65680664236</v>
      </c>
      <c r="I481">
        <v>47.548379850782219</v>
      </c>
    </row>
    <row r="482" spans="1:9" x14ac:dyDescent="0.2">
      <c r="A482">
        <v>477</v>
      </c>
      <c r="B482">
        <v>1385277.19159143</v>
      </c>
      <c r="C482">
        <v>159993.77531880449</v>
      </c>
      <c r="D482">
        <v>62096.2060331428</v>
      </c>
      <c r="E482">
        <v>124851.21872186121</v>
      </c>
      <c r="F482">
        <v>44643.545911513473</v>
      </c>
      <c r="G482">
        <v>10000</v>
      </c>
      <c r="H482">
        <v>381584.74598532193</v>
      </c>
      <c r="I482">
        <v>35.166819774845962</v>
      </c>
    </row>
    <row r="483" spans="1:9" x14ac:dyDescent="0.2">
      <c r="A483">
        <v>478</v>
      </c>
      <c r="B483">
        <v>999944.49850918981</v>
      </c>
      <c r="C483">
        <v>132133.68195140988</v>
      </c>
      <c r="D483">
        <v>48736.832941662084</v>
      </c>
      <c r="E483">
        <v>64634.09111868035</v>
      </c>
      <c r="F483">
        <v>40474.667846677869</v>
      </c>
      <c r="G483">
        <v>10000</v>
      </c>
      <c r="H483">
        <v>275979.27385843016</v>
      </c>
      <c r="I483">
        <v>35.710902002203113</v>
      </c>
    </row>
    <row r="484" spans="1:9" x14ac:dyDescent="0.2">
      <c r="A484">
        <v>479</v>
      </c>
      <c r="B484">
        <v>1199922.1463122244</v>
      </c>
      <c r="C484">
        <v>139788.66612977412</v>
      </c>
      <c r="D484">
        <v>93867.488308189088</v>
      </c>
      <c r="E484">
        <v>66524.098833056894</v>
      </c>
      <c r="F484">
        <v>40605.514534596245</v>
      </c>
      <c r="G484">
        <v>10000</v>
      </c>
      <c r="H484">
        <v>330785.76780561637</v>
      </c>
      <c r="I484">
        <v>30.356934820461145</v>
      </c>
    </row>
    <row r="485" spans="1:9" x14ac:dyDescent="0.2">
      <c r="A485">
        <v>480</v>
      </c>
      <c r="B485">
        <v>984819.50705291843</v>
      </c>
      <c r="C485">
        <v>152449.8197999956</v>
      </c>
      <c r="D485">
        <v>30749.981085031653</v>
      </c>
      <c r="E485">
        <v>58578.814546372269</v>
      </c>
      <c r="F485">
        <v>40055.456391671927</v>
      </c>
      <c r="G485">
        <v>10000</v>
      </c>
      <c r="H485">
        <v>271834.07182307146</v>
      </c>
      <c r="I485">
        <v>26.897599920077703</v>
      </c>
    </row>
    <row r="486" spans="1:9" x14ac:dyDescent="0.2">
      <c r="A486">
        <v>481</v>
      </c>
      <c r="B486">
        <v>864146.90976666054</v>
      </c>
      <c r="C486">
        <v>119481.77305170636</v>
      </c>
      <c r="D486">
        <v>47739.479031992138</v>
      </c>
      <c r="E486">
        <v>42592.221471093144</v>
      </c>
      <c r="F486">
        <v>38948.692255691065</v>
      </c>
      <c r="G486">
        <v>10000</v>
      </c>
      <c r="H486">
        <v>238762.16581048272</v>
      </c>
      <c r="I486">
        <v>34.424258733846585</v>
      </c>
    </row>
    <row r="487" spans="1:9" x14ac:dyDescent="0.2">
      <c r="A487">
        <v>482</v>
      </c>
      <c r="B487">
        <v>1238579.9582218525</v>
      </c>
      <c r="C487">
        <v>152632.13657545444</v>
      </c>
      <c r="D487">
        <v>65619.331915001007</v>
      </c>
      <c r="E487">
        <v>90840.052357511682</v>
      </c>
      <c r="F487">
        <v>42288.926701673889</v>
      </c>
      <c r="G487">
        <v>10000</v>
      </c>
      <c r="H487">
        <v>341380.44754964102</v>
      </c>
      <c r="I487">
        <v>40.223301920387364</v>
      </c>
    </row>
    <row r="488" spans="1:9" x14ac:dyDescent="0.2">
      <c r="A488">
        <v>483</v>
      </c>
      <c r="B488">
        <v>1119400.2270552078</v>
      </c>
      <c r="C488">
        <v>92129.48001301926</v>
      </c>
      <c r="D488">
        <v>88382.777134963515</v>
      </c>
      <c r="E488">
        <v>95587.806529526279</v>
      </c>
      <c r="F488">
        <v>42617.617375121052</v>
      </c>
      <c r="G488">
        <v>10000</v>
      </c>
      <c r="H488">
        <v>308717.68105263013</v>
      </c>
      <c r="I488">
        <v>50.250623031277499</v>
      </c>
    </row>
    <row r="489" spans="1:9" x14ac:dyDescent="0.2">
      <c r="A489">
        <v>484</v>
      </c>
      <c r="B489">
        <v>1460526.3235136052</v>
      </c>
      <c r="C489">
        <v>124481.36142646008</v>
      </c>
      <c r="D489">
        <v>50577.372654944826</v>
      </c>
      <c r="E489">
        <v>188124.98480818133</v>
      </c>
      <c r="F489">
        <v>49024.037409797165</v>
      </c>
      <c r="G489">
        <v>10000</v>
      </c>
      <c r="H489">
        <v>402207.75629938336</v>
      </c>
      <c r="I489">
        <v>52.062668663194273</v>
      </c>
    </row>
    <row r="490" spans="1:9" x14ac:dyDescent="0.2">
      <c r="A490">
        <v>485</v>
      </c>
      <c r="B490">
        <v>1405972.894170807</v>
      </c>
      <c r="C490">
        <v>149845.82392007927</v>
      </c>
      <c r="D490">
        <v>155202.95333023509</v>
      </c>
      <c r="E490">
        <v>52568.536880485357</v>
      </c>
      <c r="F490">
        <v>39639.360245572061</v>
      </c>
      <c r="G490">
        <v>10000</v>
      </c>
      <c r="H490">
        <v>387256.67437637178</v>
      </c>
      <c r="I490">
        <v>26.216687484863002</v>
      </c>
    </row>
    <row r="491" spans="1:9" x14ac:dyDescent="0.2">
      <c r="A491">
        <v>486</v>
      </c>
      <c r="B491">
        <v>1108836.3113280481</v>
      </c>
      <c r="C491">
        <v>108627.48111765654</v>
      </c>
      <c r="D491">
        <v>39904.759129721613</v>
      </c>
      <c r="E491">
        <v>122789.45303341679</v>
      </c>
      <c r="F491">
        <v>44500.808286928856</v>
      </c>
      <c r="G491">
        <v>10000</v>
      </c>
      <c r="H491">
        <v>305822.50156772381</v>
      </c>
      <c r="I491">
        <v>36.565491921012665</v>
      </c>
    </row>
    <row r="492" spans="1:9" x14ac:dyDescent="0.2">
      <c r="A492">
        <v>487</v>
      </c>
      <c r="B492">
        <v>1206670.4869182152</v>
      </c>
      <c r="C492">
        <v>118982.35601866178</v>
      </c>
      <c r="D492">
        <v>95421.813233840556</v>
      </c>
      <c r="E492">
        <v>86259.2738151956</v>
      </c>
      <c r="F492">
        <v>41971.795879513535</v>
      </c>
      <c r="G492">
        <v>10000</v>
      </c>
      <c r="H492">
        <v>332635.23894721147</v>
      </c>
      <c r="I492">
        <v>34.763425189666677</v>
      </c>
    </row>
    <row r="493" spans="1:9" x14ac:dyDescent="0.2">
      <c r="A493">
        <v>488</v>
      </c>
      <c r="B493">
        <v>1067243.9247653938</v>
      </c>
      <c r="C493">
        <v>99991.694966902884</v>
      </c>
      <c r="D493">
        <v>96860.893775477525</v>
      </c>
      <c r="E493">
        <v>66936.882585486732</v>
      </c>
      <c r="F493">
        <v>40634.091871302931</v>
      </c>
      <c r="G493">
        <v>10000</v>
      </c>
      <c r="H493">
        <v>294423.56319917005</v>
      </c>
      <c r="I493">
        <v>38.33016961431116</v>
      </c>
    </row>
    <row r="494" spans="1:9" x14ac:dyDescent="0.2">
      <c r="A494">
        <v>489</v>
      </c>
      <c r="B494">
        <v>1277826.2753622499</v>
      </c>
      <c r="C494">
        <v>139230.08160144297</v>
      </c>
      <c r="D494">
        <v>135693.05823328017</v>
      </c>
      <c r="E494">
        <v>47897.307578684922</v>
      </c>
      <c r="F494">
        <v>39315.967447755116</v>
      </c>
      <c r="G494">
        <v>10000</v>
      </c>
      <c r="H494">
        <v>352136.41486116318</v>
      </c>
      <c r="I494">
        <v>46.831408348253113</v>
      </c>
    </row>
    <row r="495" spans="1:9" x14ac:dyDescent="0.2">
      <c r="A495">
        <v>490</v>
      </c>
      <c r="B495">
        <v>1701521.6286745225</v>
      </c>
      <c r="C495">
        <v>117165.49848238747</v>
      </c>
      <c r="D495">
        <v>105161.65530990573</v>
      </c>
      <c r="E495">
        <v>205688.54646217803</v>
      </c>
      <c r="F495">
        <v>50239.976293535401</v>
      </c>
      <c r="G495">
        <v>10000</v>
      </c>
      <c r="H495">
        <v>468255.67654800665</v>
      </c>
      <c r="I495">
        <v>37.334417549253459</v>
      </c>
    </row>
    <row r="496" spans="1:9" x14ac:dyDescent="0.2">
      <c r="A496">
        <v>491</v>
      </c>
      <c r="B496">
        <v>966843.71110694762</v>
      </c>
      <c r="C496">
        <v>74604.318107937273</v>
      </c>
      <c r="D496">
        <v>114433.50624016457</v>
      </c>
      <c r="E496">
        <v>48511.272419693028</v>
      </c>
      <c r="F496">
        <v>39358.472705978747</v>
      </c>
      <c r="G496">
        <v>10000</v>
      </c>
      <c r="H496">
        <v>266907.56947377365</v>
      </c>
      <c r="I496">
        <v>48.206530219169537</v>
      </c>
    </row>
    <row r="497" spans="1:9" x14ac:dyDescent="0.2">
      <c r="A497">
        <v>492</v>
      </c>
      <c r="B497">
        <v>1149977.1665431007</v>
      </c>
      <c r="C497">
        <v>114995.47273223198</v>
      </c>
      <c r="D497">
        <v>65291.303939396967</v>
      </c>
      <c r="E497">
        <v>103636.10772613186</v>
      </c>
      <c r="F497">
        <v>43174.807457962976</v>
      </c>
      <c r="G497">
        <v>10000</v>
      </c>
      <c r="H497">
        <v>317097.69185572374</v>
      </c>
      <c r="I497">
        <v>35.555699764775383</v>
      </c>
    </row>
    <row r="498" spans="1:9" x14ac:dyDescent="0.2">
      <c r="A498">
        <v>493</v>
      </c>
      <c r="B498">
        <v>1787815.4250871723</v>
      </c>
      <c r="C498">
        <v>156476.3928838874</v>
      </c>
      <c r="D498">
        <v>124135.52307010525</v>
      </c>
      <c r="E498">
        <v>173296.27169478501</v>
      </c>
      <c r="F498">
        <v>47997.434194254347</v>
      </c>
      <c r="G498">
        <v>10000</v>
      </c>
      <c r="H498">
        <v>491905.62184303196</v>
      </c>
      <c r="I498">
        <v>37.9946747681647</v>
      </c>
    </row>
    <row r="499" spans="1:9" x14ac:dyDescent="0.2">
      <c r="A499">
        <v>494</v>
      </c>
      <c r="B499">
        <v>1203267.3501940966</v>
      </c>
      <c r="C499">
        <v>112301.99484635155</v>
      </c>
      <c r="D499">
        <v>103525.67895205137</v>
      </c>
      <c r="E499">
        <v>84055.653407281396</v>
      </c>
      <c r="F499">
        <v>41819.237543581025</v>
      </c>
      <c r="G499">
        <v>10000</v>
      </c>
      <c r="H499">
        <v>331702.56474926532</v>
      </c>
      <c r="I499">
        <v>40.409829084879483</v>
      </c>
    </row>
    <row r="500" spans="1:9" x14ac:dyDescent="0.2">
      <c r="A500">
        <v>495</v>
      </c>
      <c r="B500">
        <v>1187210.6681051734</v>
      </c>
      <c r="C500">
        <v>158431.27041113534</v>
      </c>
      <c r="D500">
        <v>54629.792053214689</v>
      </c>
      <c r="E500">
        <v>82527.514888734499</v>
      </c>
      <c r="F500">
        <v>41713.443338450845</v>
      </c>
      <c r="G500">
        <v>10000</v>
      </c>
      <c r="H500">
        <v>327302.02069153538</v>
      </c>
      <c r="I500">
        <v>36.663463915512779</v>
      </c>
    </row>
    <row r="501" spans="1:9" x14ac:dyDescent="0.2">
      <c r="A501">
        <v>496</v>
      </c>
      <c r="B501">
        <v>1061233.4855871981</v>
      </c>
      <c r="C501">
        <v>145855.72694535044</v>
      </c>
      <c r="D501">
        <v>72465.04713219362</v>
      </c>
      <c r="E501">
        <v>45318.139850360603</v>
      </c>
      <c r="F501">
        <v>39137.40968194804</v>
      </c>
      <c r="G501">
        <v>10000</v>
      </c>
      <c r="H501">
        <v>292776.3236098527</v>
      </c>
      <c r="I501">
        <v>27.46055762018581</v>
      </c>
    </row>
    <row r="502" spans="1:9" x14ac:dyDescent="0.2">
      <c r="A502">
        <v>497</v>
      </c>
      <c r="B502">
        <v>1059966.4356943741</v>
      </c>
      <c r="C502">
        <v>124957.91591759417</v>
      </c>
      <c r="D502">
        <v>67928.750906671223</v>
      </c>
      <c r="E502">
        <v>68780.66670107453</v>
      </c>
      <c r="F502">
        <v>40761.738463920541</v>
      </c>
      <c r="G502">
        <v>10000</v>
      </c>
      <c r="H502">
        <v>292429.07198926044</v>
      </c>
      <c r="I502">
        <v>34.45539713225044</v>
      </c>
    </row>
    <row r="503" spans="1:9" x14ac:dyDescent="0.2">
      <c r="A503">
        <v>498</v>
      </c>
      <c r="B503">
        <v>1137193.9144252064</v>
      </c>
      <c r="C503">
        <v>109705.2278929911</v>
      </c>
      <c r="D503">
        <v>84399.17598467294</v>
      </c>
      <c r="E503">
        <v>87436.569329914768</v>
      </c>
      <c r="F503">
        <v>42053.300953609476</v>
      </c>
      <c r="G503">
        <v>10000</v>
      </c>
      <c r="H503">
        <v>313594.27416118828</v>
      </c>
      <c r="I503">
        <v>26.46849450226172</v>
      </c>
    </row>
    <row r="504" spans="1:9" x14ac:dyDescent="0.2">
      <c r="A504">
        <v>499</v>
      </c>
      <c r="B504">
        <v>794930.54273253237</v>
      </c>
      <c r="C504">
        <v>88885.480082084789</v>
      </c>
      <c r="D504">
        <v>64391.544704191248</v>
      </c>
      <c r="E504">
        <v>37892.183912595749</v>
      </c>
      <c r="F504">
        <v>38623.305040102779</v>
      </c>
      <c r="G504">
        <v>10000</v>
      </c>
      <c r="H504">
        <v>219792.51373897455</v>
      </c>
      <c r="I504">
        <v>31.026987799490701</v>
      </c>
    </row>
    <row r="505" spans="1:9" x14ac:dyDescent="0.2">
      <c r="A505">
        <v>500</v>
      </c>
      <c r="B505">
        <v>1387670.1979267888</v>
      </c>
      <c r="C505">
        <v>94797.762382638335</v>
      </c>
      <c r="D505">
        <v>137497.98216183847</v>
      </c>
      <c r="E505">
        <v>115919.63095386964</v>
      </c>
      <c r="F505">
        <v>44025.20521988329</v>
      </c>
      <c r="G505">
        <v>10000</v>
      </c>
      <c r="H505">
        <v>382240.5807182297</v>
      </c>
      <c r="I505">
        <v>32.246256364275808</v>
      </c>
    </row>
    <row r="506" spans="1:9" x14ac:dyDescent="0.2">
      <c r="A506">
        <v>501</v>
      </c>
      <c r="B506">
        <v>1037116.3411091152</v>
      </c>
      <c r="C506">
        <v>94292.414981436028</v>
      </c>
      <c r="D506">
        <v>68233.272820345519</v>
      </c>
      <c r="E506">
        <v>91318.936244642478</v>
      </c>
      <c r="F506">
        <v>42322.080201552169</v>
      </c>
      <c r="G506">
        <v>10000</v>
      </c>
      <c r="H506">
        <v>286166.70424797619</v>
      </c>
      <c r="I506">
        <v>27.585680933024911</v>
      </c>
    </row>
    <row r="507" spans="1:9" x14ac:dyDescent="0.2">
      <c r="A507">
        <v>502</v>
      </c>
      <c r="B507">
        <v>1340677.85115973</v>
      </c>
      <c r="C507">
        <v>142898.38694804261</v>
      </c>
      <c r="D507">
        <v>39663.863166173353</v>
      </c>
      <c r="E507">
        <v>150387.98642264953</v>
      </c>
      <c r="F507">
        <v>46411.475983106502</v>
      </c>
      <c r="G507">
        <v>10000</v>
      </c>
      <c r="H507">
        <v>369361.712519972</v>
      </c>
      <c r="I507">
        <v>35.987185845274354</v>
      </c>
    </row>
    <row r="508" spans="1:9" x14ac:dyDescent="0.2">
      <c r="A508">
        <v>503</v>
      </c>
      <c r="B508">
        <v>1057656.4717169255</v>
      </c>
      <c r="C508">
        <v>82797.304293103967</v>
      </c>
      <c r="D508">
        <v>152341.3098074593</v>
      </c>
      <c r="E508">
        <v>28672.371656332813</v>
      </c>
      <c r="F508">
        <v>37985.010345438423</v>
      </c>
      <c r="G508">
        <v>10000</v>
      </c>
      <c r="H508">
        <v>291795.99610233452</v>
      </c>
      <c r="I508">
        <v>33.98222090375485</v>
      </c>
    </row>
    <row r="509" spans="1:9" x14ac:dyDescent="0.2">
      <c r="A509">
        <v>504</v>
      </c>
      <c r="B509">
        <v>1112783.2481015178</v>
      </c>
      <c r="C509">
        <v>101716.50843589823</v>
      </c>
      <c r="D509">
        <v>56481.54760472638</v>
      </c>
      <c r="E509">
        <v>114761.15239392765</v>
      </c>
      <c r="F509">
        <v>43945.002858041145</v>
      </c>
      <c r="G509">
        <v>10000</v>
      </c>
      <c r="H509">
        <v>306904.21129259345</v>
      </c>
      <c r="I509">
        <v>25.525148915459596</v>
      </c>
    </row>
    <row r="510" spans="1:9" x14ac:dyDescent="0.2">
      <c r="A510">
        <v>505</v>
      </c>
      <c r="B510">
        <v>1381926.8299221317</v>
      </c>
      <c r="C510">
        <v>100144.66061586572</v>
      </c>
      <c r="D510">
        <v>94217.058816407633</v>
      </c>
      <c r="E510">
        <v>149925.36752895673</v>
      </c>
      <c r="F510">
        <v>46379.448521235463</v>
      </c>
      <c r="G510">
        <v>10000</v>
      </c>
      <c r="H510">
        <v>380666.53548246552</v>
      </c>
      <c r="I510">
        <v>24.080201908111569</v>
      </c>
    </row>
    <row r="511" spans="1:9" x14ac:dyDescent="0.2">
      <c r="A511">
        <v>506</v>
      </c>
      <c r="B511">
        <v>1054730.6961231525</v>
      </c>
      <c r="C511">
        <v>84095.881288326738</v>
      </c>
      <c r="D511">
        <v>71870.068418647978</v>
      </c>
      <c r="E511">
        <v>101968.81945954292</v>
      </c>
      <c r="F511">
        <v>43059.379808737591</v>
      </c>
      <c r="G511">
        <v>10000</v>
      </c>
      <c r="H511">
        <v>290994.14897525526</v>
      </c>
      <c r="I511">
        <v>33.71057522728875</v>
      </c>
    </row>
    <row r="512" spans="1:9" x14ac:dyDescent="0.2">
      <c r="A512">
        <v>507</v>
      </c>
      <c r="B512">
        <v>1254826.2366966368</v>
      </c>
      <c r="C512">
        <v>116152.10312249615</v>
      </c>
      <c r="D512">
        <v>66364.913409778368</v>
      </c>
      <c r="E512">
        <v>128424.97653430748</v>
      </c>
      <c r="F512">
        <v>44890.959913913597</v>
      </c>
      <c r="G512">
        <v>10000</v>
      </c>
      <c r="H512">
        <v>345832.95298049564</v>
      </c>
      <c r="I512">
        <v>30.449930233018165</v>
      </c>
    </row>
    <row r="513" spans="1:9" x14ac:dyDescent="0.2">
      <c r="A513">
        <v>508</v>
      </c>
      <c r="B513">
        <v>1167434.5700940101</v>
      </c>
      <c r="C513">
        <v>111304.03346113974</v>
      </c>
      <c r="D513">
        <v>141102.94770594005</v>
      </c>
      <c r="E513">
        <v>40660.203636653569</v>
      </c>
      <c r="F513">
        <v>38814.937174845247</v>
      </c>
      <c r="G513">
        <v>10000</v>
      </c>
      <c r="H513">
        <v>321882.12197857862</v>
      </c>
      <c r="I513">
        <v>38.009669877705718</v>
      </c>
    </row>
    <row r="514" spans="1:9" x14ac:dyDescent="0.2">
      <c r="A514">
        <v>509</v>
      </c>
      <c r="B514">
        <v>1520063.8211827055</v>
      </c>
      <c r="C514">
        <v>123642.69200764774</v>
      </c>
      <c r="D514">
        <v>92999.035059159709</v>
      </c>
      <c r="E514">
        <v>164494.94854580404</v>
      </c>
      <c r="F514">
        <v>47388.111822401821</v>
      </c>
      <c r="G514">
        <v>10000</v>
      </c>
      <c r="H514">
        <v>418524.78743501328</v>
      </c>
      <c r="I514">
        <v>36.767160522016944</v>
      </c>
    </row>
    <row r="515" spans="1:9" x14ac:dyDescent="0.2">
      <c r="A515">
        <v>510</v>
      </c>
      <c r="B515">
        <v>1432860.8250950405</v>
      </c>
      <c r="C515">
        <v>100587.95026212763</v>
      </c>
      <c r="D515">
        <v>66466.350667383158</v>
      </c>
      <c r="E515">
        <v>188519.97990543922</v>
      </c>
      <c r="F515">
        <v>49051.383224222714</v>
      </c>
      <c r="G515">
        <v>10000</v>
      </c>
      <c r="H515">
        <v>394625.66405917273</v>
      </c>
      <c r="I515">
        <v>36.730684629431948</v>
      </c>
    </row>
    <row r="516" spans="1:9" x14ac:dyDescent="0.2">
      <c r="A516">
        <v>511</v>
      </c>
      <c r="B516">
        <v>1119732.8510897523</v>
      </c>
      <c r="C516">
        <v>117568.21281722991</v>
      </c>
      <c r="D516">
        <v>71383.840521425009</v>
      </c>
      <c r="E516">
        <v>87779.729492171551</v>
      </c>
      <c r="F516">
        <v>42077.058195611877</v>
      </c>
      <c r="G516">
        <v>10000</v>
      </c>
      <c r="H516">
        <v>308808.84102643834</v>
      </c>
      <c r="I516">
        <v>35.110717009013513</v>
      </c>
    </row>
    <row r="517" spans="1:9" x14ac:dyDescent="0.2">
      <c r="A517">
        <v>512</v>
      </c>
      <c r="B517">
        <v>1235997.6999767735</v>
      </c>
      <c r="C517">
        <v>150450.4948925724</v>
      </c>
      <c r="D517">
        <v>126405.2974571221</v>
      </c>
      <c r="E517">
        <v>35368.373778954381</v>
      </c>
      <c r="F517">
        <v>38448.579723158378</v>
      </c>
      <c r="G517">
        <v>10000</v>
      </c>
      <c r="H517">
        <v>340672.7458518073</v>
      </c>
      <c r="I517">
        <v>35.51891951726968</v>
      </c>
    </row>
    <row r="518" spans="1:9" x14ac:dyDescent="0.2">
      <c r="A518">
        <v>513</v>
      </c>
      <c r="B518">
        <v>1587847.7831131173</v>
      </c>
      <c r="C518">
        <v>103937.32884581735</v>
      </c>
      <c r="D518">
        <v>87868.321255981224</v>
      </c>
      <c r="E518">
        <v>205097.18419375023</v>
      </c>
      <c r="F518">
        <v>50199.035828798093</v>
      </c>
      <c r="G518">
        <v>10000</v>
      </c>
      <c r="H518">
        <v>437101.87012434693</v>
      </c>
      <c r="I518">
        <v>24.213094866307436</v>
      </c>
    </row>
    <row r="519" spans="1:9" x14ac:dyDescent="0.2">
      <c r="A519">
        <v>514</v>
      </c>
      <c r="B519">
        <v>1044019.2486503685</v>
      </c>
      <c r="C519">
        <v>135880.82004987661</v>
      </c>
      <c r="D519">
        <v>92765.636591162722</v>
      </c>
      <c r="E519">
        <v>31248.707765767398</v>
      </c>
      <c r="F519">
        <v>38163.372076091589</v>
      </c>
      <c r="G519">
        <v>10000</v>
      </c>
      <c r="H519">
        <v>288058.53648289834</v>
      </c>
      <c r="I519">
        <v>32.699460370328829</v>
      </c>
    </row>
    <row r="520" spans="1:9" x14ac:dyDescent="0.2">
      <c r="A520">
        <v>515</v>
      </c>
      <c r="B520">
        <v>1364121.4245562337</v>
      </c>
      <c r="C520">
        <v>148743.34535380045</v>
      </c>
      <c r="D520">
        <v>117251.08909238846</v>
      </c>
      <c r="E520">
        <v>78366.895967394274</v>
      </c>
      <c r="F520">
        <v>41425.400490050371</v>
      </c>
      <c r="G520">
        <v>10000</v>
      </c>
      <c r="H520">
        <v>375786.73090363358</v>
      </c>
      <c r="I520">
        <v>41.756078845567941</v>
      </c>
    </row>
    <row r="521" spans="1:9" x14ac:dyDescent="0.2">
      <c r="A521">
        <v>516</v>
      </c>
      <c r="B521">
        <v>921400.82664423122</v>
      </c>
      <c r="C521">
        <v>138234.68387642072</v>
      </c>
      <c r="D521">
        <v>47955.457723726591</v>
      </c>
      <c r="E521">
        <v>39526.743274650624</v>
      </c>
      <c r="F521">
        <v>38736.466842091198</v>
      </c>
      <c r="G521">
        <v>10000</v>
      </c>
      <c r="H521">
        <v>254453.35171688913</v>
      </c>
      <c r="I521">
        <v>40.892057103842291</v>
      </c>
    </row>
    <row r="522" spans="1:9" x14ac:dyDescent="0.2">
      <c r="A522">
        <v>517</v>
      </c>
      <c r="B522">
        <v>1091193.5286219306</v>
      </c>
      <c r="C522">
        <v>115479.69083403269</v>
      </c>
      <c r="D522">
        <v>69330.507811117233</v>
      </c>
      <c r="E522">
        <v>84338.264300767434</v>
      </c>
      <c r="F522">
        <v>41838.80291313005</v>
      </c>
      <c r="G522">
        <v>10000</v>
      </c>
      <c r="H522">
        <v>300987.26585904742</v>
      </c>
      <c r="I522">
        <v>25.545791657890543</v>
      </c>
    </row>
    <row r="523" spans="1:9" x14ac:dyDescent="0.2">
      <c r="A523">
        <v>518</v>
      </c>
      <c r="B523">
        <v>1156745.98478948</v>
      </c>
      <c r="C523">
        <v>107398.67099263977</v>
      </c>
      <c r="D523">
        <v>30472.894931594939</v>
      </c>
      <c r="E523">
        <v>145039.97986350927</v>
      </c>
      <c r="F523">
        <v>46041.229375166025</v>
      </c>
      <c r="G523">
        <v>10000</v>
      </c>
      <c r="H523">
        <v>318952.77516290999</v>
      </c>
      <c r="I523">
        <v>34.524469122331965</v>
      </c>
    </row>
    <row r="524" spans="1:9" x14ac:dyDescent="0.2">
      <c r="A524">
        <v>519</v>
      </c>
      <c r="B524">
        <v>834039.47985160258</v>
      </c>
      <c r="C524">
        <v>88862.95140224327</v>
      </c>
      <c r="D524">
        <v>42342.922449972895</v>
      </c>
      <c r="E524">
        <v>68558.592320151278</v>
      </c>
      <c r="F524">
        <v>40746.364083702785</v>
      </c>
      <c r="G524">
        <v>10000</v>
      </c>
      <c r="H524">
        <v>230510.83025607024</v>
      </c>
      <c r="I524">
        <v>38.92903887510252</v>
      </c>
    </row>
    <row r="525" spans="1:9" x14ac:dyDescent="0.2">
      <c r="A525">
        <v>520</v>
      </c>
      <c r="B525">
        <v>1130498.4800364787</v>
      </c>
      <c r="C525">
        <v>103716.01650885034</v>
      </c>
      <c r="D525">
        <v>86306.272461964705</v>
      </c>
      <c r="E525">
        <v>89538.214243057082</v>
      </c>
      <c r="F525">
        <v>42198.799447596262</v>
      </c>
      <c r="G525">
        <v>10000</v>
      </c>
      <c r="H525">
        <v>311759.30266146839</v>
      </c>
      <c r="I525">
        <v>44.164125547860202</v>
      </c>
    </row>
    <row r="526" spans="1:9" x14ac:dyDescent="0.2">
      <c r="A526">
        <v>521</v>
      </c>
      <c r="B526">
        <v>1358062.9628125546</v>
      </c>
      <c r="C526">
        <v>105207.86666435841</v>
      </c>
      <c r="D526">
        <v>87811.867042835875</v>
      </c>
      <c r="E526">
        <v>145063.72324617705</v>
      </c>
      <c r="F526">
        <v>46042.873147812257</v>
      </c>
      <c r="G526">
        <v>10000</v>
      </c>
      <c r="H526">
        <v>374126.33010118356</v>
      </c>
      <c r="I526">
        <v>42.172535691719297</v>
      </c>
    </row>
    <row r="527" spans="1:9" x14ac:dyDescent="0.2">
      <c r="A527">
        <v>522</v>
      </c>
      <c r="B527">
        <v>1513011.5911973412</v>
      </c>
      <c r="C527">
        <v>120666.97743755064</v>
      </c>
      <c r="D527">
        <v>149732.46888097274</v>
      </c>
      <c r="E527">
        <v>112410.33139759858</v>
      </c>
      <c r="F527">
        <v>43782.253712141435</v>
      </c>
      <c r="G527">
        <v>10000</v>
      </c>
      <c r="H527">
        <v>416592.03142826341</v>
      </c>
      <c r="I527">
        <v>37.555916958891039</v>
      </c>
    </row>
    <row r="528" spans="1:9" x14ac:dyDescent="0.2">
      <c r="A528">
        <v>523</v>
      </c>
      <c r="B528">
        <v>880252.83141126391</v>
      </c>
      <c r="C528">
        <v>98865.146225296165</v>
      </c>
      <c r="D528">
        <v>64807.780396704096</v>
      </c>
      <c r="E528">
        <v>50039.036970421039</v>
      </c>
      <c r="F528">
        <v>39464.241021029149</v>
      </c>
      <c r="G528">
        <v>10000</v>
      </c>
      <c r="H528">
        <v>243176.20461345045</v>
      </c>
      <c r="I528">
        <v>29.96918120204894</v>
      </c>
    </row>
    <row r="529" spans="1:9" x14ac:dyDescent="0.2">
      <c r="A529">
        <v>524</v>
      </c>
      <c r="B529">
        <v>994497.57795728231</v>
      </c>
      <c r="C529">
        <v>116202.43671006702</v>
      </c>
      <c r="D529">
        <v>60982.293320191035</v>
      </c>
      <c r="E529">
        <v>66685.084223103288</v>
      </c>
      <c r="F529">
        <v>40616.659676984069</v>
      </c>
      <c r="G529">
        <v>10000</v>
      </c>
      <c r="H529">
        <v>274486.47393034544</v>
      </c>
      <c r="I529">
        <v>33.270300320346621</v>
      </c>
    </row>
    <row r="530" spans="1:9" x14ac:dyDescent="0.2">
      <c r="A530">
        <v>525</v>
      </c>
      <c r="B530">
        <v>1248741.441951558</v>
      </c>
      <c r="C530">
        <v>105029.4858630033</v>
      </c>
      <c r="D530">
        <v>78494.472335605213</v>
      </c>
      <c r="E530">
        <v>125923.5900705739</v>
      </c>
      <c r="F530">
        <v>44717.787004885882</v>
      </c>
      <c r="G530">
        <v>10000</v>
      </c>
      <c r="H530">
        <v>344165.33527406835</v>
      </c>
      <c r="I530">
        <v>26.79207654357231</v>
      </c>
    </row>
    <row r="531" spans="1:9" x14ac:dyDescent="0.2">
      <c r="A531">
        <v>526</v>
      </c>
      <c r="B531">
        <v>1314669.8782528271</v>
      </c>
      <c r="C531">
        <v>136418.38673876674</v>
      </c>
      <c r="D531">
        <v>66716.486145438874</v>
      </c>
      <c r="E531">
        <v>124481.09220631733</v>
      </c>
      <c r="F531">
        <v>44617.921768129665</v>
      </c>
      <c r="G531">
        <v>10000</v>
      </c>
      <c r="H531">
        <v>362233.88685865264</v>
      </c>
      <c r="I531">
        <v>25.870149429632331</v>
      </c>
    </row>
    <row r="532" spans="1:9" x14ac:dyDescent="0.2">
      <c r="A532">
        <v>527</v>
      </c>
      <c r="B532">
        <v>883030.09232354024</v>
      </c>
      <c r="C532">
        <v>93854.863551809642</v>
      </c>
      <c r="D532">
        <v>69921.637632802245</v>
      </c>
      <c r="E532">
        <v>50654.030655122559</v>
      </c>
      <c r="F532">
        <v>39506.817506893101</v>
      </c>
      <c r="G532">
        <v>10000</v>
      </c>
      <c r="H532">
        <v>243937.34934662754</v>
      </c>
      <c r="I532">
        <v>24.551796151411846</v>
      </c>
    </row>
    <row r="533" spans="1:9" x14ac:dyDescent="0.2">
      <c r="A533">
        <v>528</v>
      </c>
      <c r="B533">
        <v>1416346.0772426459</v>
      </c>
      <c r="C533">
        <v>131451.82703632876</v>
      </c>
      <c r="D533">
        <v>50036.835601917504</v>
      </c>
      <c r="E533">
        <v>170787.18990826656</v>
      </c>
      <c r="F533">
        <v>47823.728532110763</v>
      </c>
      <c r="G533">
        <v>10000</v>
      </c>
      <c r="H533">
        <v>390099.5810786236</v>
      </c>
      <c r="I533">
        <v>30.730029610267543</v>
      </c>
    </row>
    <row r="534" spans="1:9" x14ac:dyDescent="0.2">
      <c r="A534">
        <v>529</v>
      </c>
      <c r="B534">
        <v>1016845.8122767648</v>
      </c>
      <c r="C534">
        <v>116617.81938878482</v>
      </c>
      <c r="D534">
        <v>64942.581468707431</v>
      </c>
      <c r="E534">
        <v>68320.985082424173</v>
      </c>
      <c r="F534">
        <v>40729.914351860134</v>
      </c>
      <c r="G534">
        <v>10000</v>
      </c>
      <c r="H534">
        <v>280611.30029177654</v>
      </c>
      <c r="I534">
        <v>45.002086976617058</v>
      </c>
    </row>
    <row r="535" spans="1:9" x14ac:dyDescent="0.2">
      <c r="A535">
        <v>530</v>
      </c>
      <c r="B535">
        <v>1148210.4822366517</v>
      </c>
      <c r="C535">
        <v>111420.3958824622</v>
      </c>
      <c r="D535">
        <v>99052.277095788784</v>
      </c>
      <c r="E535">
        <v>74951.86091457303</v>
      </c>
      <c r="F535">
        <v>41188.974986393514</v>
      </c>
      <c r="G535">
        <v>10000</v>
      </c>
      <c r="H535">
        <v>316613.50887921755</v>
      </c>
      <c r="I535">
        <v>32.727418301068859</v>
      </c>
    </row>
    <row r="536" spans="1:9" x14ac:dyDescent="0.2">
      <c r="A536">
        <v>531</v>
      </c>
      <c r="B536">
        <v>910764.83883117652</v>
      </c>
      <c r="C536">
        <v>93136.081181418864</v>
      </c>
      <c r="D536">
        <v>64563.605847745763</v>
      </c>
      <c r="E536">
        <v>63446.29696018737</v>
      </c>
      <c r="F536">
        <v>40392.435943397584</v>
      </c>
      <c r="G536">
        <v>10000</v>
      </c>
      <c r="H536">
        <v>251538.41993274959</v>
      </c>
      <c r="I536">
        <v>28.334574338811173</v>
      </c>
    </row>
    <row r="537" spans="1:9" x14ac:dyDescent="0.2">
      <c r="A537">
        <v>532</v>
      </c>
      <c r="B537">
        <v>862666.21246674261</v>
      </c>
      <c r="C537">
        <v>103518.6029329641</v>
      </c>
      <c r="D537">
        <v>73584.542639402644</v>
      </c>
      <c r="E537">
        <v>32970.633432425973</v>
      </c>
      <c r="F537">
        <v>38282.582314552565</v>
      </c>
      <c r="G537">
        <v>10000</v>
      </c>
      <c r="H537">
        <v>238356.36131934528</v>
      </c>
      <c r="I537">
        <v>34.070261051278749</v>
      </c>
    </row>
    <row r="538" spans="1:9" x14ac:dyDescent="0.2">
      <c r="A538">
        <v>533</v>
      </c>
      <c r="B538">
        <v>810422.78669798654</v>
      </c>
      <c r="C538">
        <v>92420.93104524973</v>
      </c>
      <c r="D538">
        <v>62389.787446149261</v>
      </c>
      <c r="E538">
        <v>40428.735206455742</v>
      </c>
      <c r="F538">
        <v>38798.912437370011</v>
      </c>
      <c r="G538">
        <v>10000</v>
      </c>
      <c r="H538">
        <v>224038.36613522476</v>
      </c>
      <c r="I538">
        <v>54.793843861966245</v>
      </c>
    </row>
    <row r="539" spans="1:9" x14ac:dyDescent="0.2">
      <c r="A539">
        <v>534</v>
      </c>
      <c r="B539">
        <v>1742348.3007856046</v>
      </c>
      <c r="C539">
        <v>120213.40929041633</v>
      </c>
      <c r="D539">
        <v>158310.31677200086</v>
      </c>
      <c r="E539">
        <v>163595.21238264651</v>
      </c>
      <c r="F539">
        <v>47325.822395721676</v>
      </c>
      <c r="G539">
        <v>10000</v>
      </c>
      <c r="H539">
        <v>479444.7608407854</v>
      </c>
      <c r="I539">
        <v>39.654935052030837</v>
      </c>
    </row>
    <row r="540" spans="1:9" x14ac:dyDescent="0.2">
      <c r="A540">
        <v>535</v>
      </c>
      <c r="B540">
        <v>1097638.3892535837</v>
      </c>
      <c r="C540">
        <v>142376.09939818303</v>
      </c>
      <c r="D540">
        <v>38670.726157206191</v>
      </c>
      <c r="E540">
        <v>89509.899581140242</v>
      </c>
      <c r="F540">
        <v>42196.839201771247</v>
      </c>
      <c r="G540">
        <v>10000</v>
      </c>
      <c r="H540">
        <v>302753.56433830073</v>
      </c>
      <c r="I540">
        <v>28.664846524176731</v>
      </c>
    </row>
    <row r="541" spans="1:9" x14ac:dyDescent="0.2">
      <c r="A541">
        <v>536</v>
      </c>
      <c r="B541">
        <v>1764511.9466330186</v>
      </c>
      <c r="C541">
        <v>122187.34251903808</v>
      </c>
      <c r="D541">
        <v>152333.05917667915</v>
      </c>
      <c r="E541">
        <v>173020.27021803914</v>
      </c>
      <c r="F541">
        <v>47978.3263997104</v>
      </c>
      <c r="G541">
        <v>10000</v>
      </c>
      <c r="H541">
        <v>485518.99831346679</v>
      </c>
      <c r="I541">
        <v>35.147802602527591</v>
      </c>
    </row>
    <row r="542" spans="1:9" x14ac:dyDescent="0.2">
      <c r="A542">
        <v>537</v>
      </c>
      <c r="B542">
        <v>1401298.0494972421</v>
      </c>
      <c r="C542">
        <v>128578.5480104528</v>
      </c>
      <c r="D542">
        <v>127835.79065858995</v>
      </c>
      <c r="E542">
        <v>96855.736168030766</v>
      </c>
      <c r="F542">
        <v>42705.397119325207</v>
      </c>
      <c r="G542">
        <v>10000</v>
      </c>
      <c r="H542">
        <v>385975.47195639869</v>
      </c>
      <c r="I542">
        <v>38.977980652416306</v>
      </c>
    </row>
    <row r="543" spans="1:9" x14ac:dyDescent="0.2">
      <c r="A543">
        <v>538</v>
      </c>
      <c r="B543">
        <v>1440259.7195613368</v>
      </c>
      <c r="C543">
        <v>98716.35436557878</v>
      </c>
      <c r="D543">
        <v>108905.47128064197</v>
      </c>
      <c r="E543">
        <v>152475.59933114483</v>
      </c>
      <c r="F543">
        <v>46556.003030617721</v>
      </c>
      <c r="G543">
        <v>10000</v>
      </c>
      <c r="H543">
        <v>396653.42800798331</v>
      </c>
      <c r="I543">
        <v>26.208075505749676</v>
      </c>
    </row>
    <row r="544" spans="1:9" x14ac:dyDescent="0.2">
      <c r="A544">
        <v>539</v>
      </c>
      <c r="B544">
        <v>1516202.9381216811</v>
      </c>
      <c r="C544">
        <v>100617.22127588258</v>
      </c>
      <c r="D544">
        <v>132831.65198064595</v>
      </c>
      <c r="E544">
        <v>147786.42099351092</v>
      </c>
      <c r="F544">
        <v>46231.367607243068</v>
      </c>
      <c r="G544">
        <v>10000</v>
      </c>
      <c r="H544">
        <v>417466.66185728251</v>
      </c>
      <c r="I544">
        <v>29.560577699730651</v>
      </c>
    </row>
    <row r="545" spans="1:9" x14ac:dyDescent="0.2">
      <c r="A545">
        <v>540</v>
      </c>
      <c r="B545">
        <v>1649488.6962543391</v>
      </c>
      <c r="C545">
        <v>124662.2751646664</v>
      </c>
      <c r="D545">
        <v>91507.164498390353</v>
      </c>
      <c r="E545">
        <v>198110.58216432875</v>
      </c>
      <c r="F545">
        <v>49715.347995991993</v>
      </c>
      <c r="G545">
        <v>10000</v>
      </c>
      <c r="H545">
        <v>453995.36982337752</v>
      </c>
      <c r="I545">
        <v>29.494067306824878</v>
      </c>
    </row>
    <row r="546" spans="1:9" x14ac:dyDescent="0.2">
      <c r="A546">
        <v>541</v>
      </c>
      <c r="B546">
        <v>940268.89369260392</v>
      </c>
      <c r="C546">
        <v>110293.41597342887</v>
      </c>
      <c r="D546">
        <v>61125.599642329071</v>
      </c>
      <c r="E546">
        <v>58177.690751379363</v>
      </c>
      <c r="F546">
        <v>40027.686282787799</v>
      </c>
      <c r="G546">
        <v>10000</v>
      </c>
      <c r="H546">
        <v>259624.39264992508</v>
      </c>
      <c r="I546">
        <v>34.908738611011422</v>
      </c>
    </row>
    <row r="547" spans="1:9" x14ac:dyDescent="0.2">
      <c r="A547">
        <v>542</v>
      </c>
      <c r="B547">
        <v>1352006.7474293073</v>
      </c>
      <c r="C547">
        <v>90279.366786273866</v>
      </c>
      <c r="D547">
        <v>98589.735904361805</v>
      </c>
      <c r="E547">
        <v>147393.29131538142</v>
      </c>
      <c r="F547">
        <v>46204.150937218714</v>
      </c>
      <c r="G547">
        <v>10000</v>
      </c>
      <c r="H547">
        <v>372466.54494323581</v>
      </c>
      <c r="I547">
        <v>36.152999508799013</v>
      </c>
    </row>
    <row r="548" spans="1:9" x14ac:dyDescent="0.2">
      <c r="A548">
        <v>543</v>
      </c>
      <c r="B548">
        <v>1475647.8864532565</v>
      </c>
      <c r="C548">
        <v>159195.0715695894</v>
      </c>
      <c r="D548">
        <v>165016.25815364186</v>
      </c>
      <c r="E548">
        <v>52505.68034252221</v>
      </c>
      <c r="F548">
        <v>39635.008639097694</v>
      </c>
      <c r="G548">
        <v>10000</v>
      </c>
      <c r="H548">
        <v>406352.01870485116</v>
      </c>
      <c r="I548">
        <v>30.3608799408427</v>
      </c>
    </row>
    <row r="549" spans="1:9" x14ac:dyDescent="0.2">
      <c r="A549">
        <v>544</v>
      </c>
      <c r="B549">
        <v>1336247.230250377</v>
      </c>
      <c r="C549">
        <v>123835.16046635808</v>
      </c>
      <c r="D549">
        <v>77650.616234933448</v>
      </c>
      <c r="E549">
        <v>131554.07622775846</v>
      </c>
      <c r="F549">
        <v>45107.589892690972</v>
      </c>
      <c r="G549">
        <v>10000</v>
      </c>
      <c r="H549">
        <v>368147.44282174099</v>
      </c>
      <c r="I549">
        <v>32.318039166482905</v>
      </c>
    </row>
    <row r="550" spans="1:9" x14ac:dyDescent="0.2">
      <c r="A550">
        <v>545</v>
      </c>
      <c r="B550">
        <v>1956443.087122218</v>
      </c>
      <c r="C550">
        <v>154639.05840587933</v>
      </c>
      <c r="D550">
        <v>153889.27488784149</v>
      </c>
      <c r="E550">
        <v>190409.69834832661</v>
      </c>
      <c r="F550">
        <v>49182.209885653378</v>
      </c>
      <c r="G550">
        <v>10000</v>
      </c>
      <c r="H550">
        <v>538120.2415277008</v>
      </c>
      <c r="I550">
        <v>39.079290743270022</v>
      </c>
    </row>
    <row r="551" spans="1:9" x14ac:dyDescent="0.2">
      <c r="A551">
        <v>546</v>
      </c>
      <c r="B551">
        <v>1515605.5349143241</v>
      </c>
      <c r="C551">
        <v>94578.785556434872</v>
      </c>
      <c r="D551">
        <v>84378.322132642701</v>
      </c>
      <c r="E551">
        <v>198596.81754803314</v>
      </c>
      <c r="F551">
        <v>49749.010445633066</v>
      </c>
      <c r="G551">
        <v>10000</v>
      </c>
      <c r="H551">
        <v>417302.93568274379</v>
      </c>
      <c r="I551">
        <v>51.634278897468334</v>
      </c>
    </row>
    <row r="552" spans="1:9" x14ac:dyDescent="0.2">
      <c r="A552">
        <v>547</v>
      </c>
      <c r="B552">
        <v>1180724.8996212126</v>
      </c>
      <c r="C552">
        <v>95040.888950280103</v>
      </c>
      <c r="D552">
        <v>57209.274758694635</v>
      </c>
      <c r="E552">
        <v>137738.59807314654</v>
      </c>
      <c r="F552">
        <v>45535.749097371678</v>
      </c>
      <c r="G552">
        <v>10000</v>
      </c>
      <c r="H552">
        <v>325524.51087949297</v>
      </c>
      <c r="I552">
        <v>37.437088670010972</v>
      </c>
    </row>
    <row r="553" spans="1:9" x14ac:dyDescent="0.2">
      <c r="A553">
        <v>548</v>
      </c>
      <c r="B553">
        <v>965551.38905139151</v>
      </c>
      <c r="C553">
        <v>103696.3660059106</v>
      </c>
      <c r="D553">
        <v>54834.878329230916</v>
      </c>
      <c r="E553">
        <v>76711.360831679238</v>
      </c>
      <c r="F553">
        <v>41310.786519116249</v>
      </c>
      <c r="G553">
        <v>10000</v>
      </c>
      <c r="H553">
        <v>266553.39168593701</v>
      </c>
      <c r="I553">
        <v>32.866554962000563</v>
      </c>
    </row>
    <row r="554" spans="1:9" x14ac:dyDescent="0.2">
      <c r="A554">
        <v>549</v>
      </c>
      <c r="B554">
        <v>1530689.0204348792</v>
      </c>
      <c r="C554">
        <v>106037.01165499592</v>
      </c>
      <c r="D554">
        <v>155440.62502491748</v>
      </c>
      <c r="E554">
        <v>125285.5133314026</v>
      </c>
      <c r="F554">
        <v>44673.612461404795</v>
      </c>
      <c r="G554">
        <v>10000</v>
      </c>
      <c r="H554">
        <v>421436.76247272082</v>
      </c>
      <c r="I554">
        <v>42.735186214716833</v>
      </c>
    </row>
    <row r="555" spans="1:9" x14ac:dyDescent="0.2">
      <c r="A555">
        <v>550</v>
      </c>
      <c r="B555">
        <v>1275050.2729407949</v>
      </c>
      <c r="C555">
        <v>123543.15881637724</v>
      </c>
      <c r="D555">
        <v>103904.01765695367</v>
      </c>
      <c r="E555">
        <v>91587.748294039673</v>
      </c>
      <c r="F555">
        <v>42340.690266510435</v>
      </c>
      <c r="G555">
        <v>10000</v>
      </c>
      <c r="H555">
        <v>351375.61503388098</v>
      </c>
      <c r="I555">
        <v>32.57156727852351</v>
      </c>
    </row>
    <row r="556" spans="1:9" x14ac:dyDescent="0.2">
      <c r="A556">
        <v>551</v>
      </c>
      <c r="B556">
        <v>1770121.274820931</v>
      </c>
      <c r="C556">
        <v>136285.45125609991</v>
      </c>
      <c r="D556">
        <v>161389.63131141392</v>
      </c>
      <c r="E556">
        <v>152802.5851067224</v>
      </c>
      <c r="F556">
        <v>46578.640507388474</v>
      </c>
      <c r="G556">
        <v>10000</v>
      </c>
      <c r="H556">
        <v>487056.30818162468</v>
      </c>
      <c r="I556">
        <v>35.767945505998938</v>
      </c>
    </row>
    <row r="557" spans="1:9" x14ac:dyDescent="0.2">
      <c r="A557">
        <v>552</v>
      </c>
      <c r="B557">
        <v>1533562.3292012131</v>
      </c>
      <c r="C557">
        <v>112224.33261413158</v>
      </c>
      <c r="D557">
        <v>95919.116724552965</v>
      </c>
      <c r="E557">
        <v>175902.88874223779</v>
      </c>
      <c r="F557">
        <v>48177.892297539533</v>
      </c>
      <c r="G557">
        <v>10000</v>
      </c>
      <c r="H557">
        <v>422224.23037846189</v>
      </c>
      <c r="I557">
        <v>39.73558749742341</v>
      </c>
    </row>
    <row r="558" spans="1:9" x14ac:dyDescent="0.2">
      <c r="A558">
        <v>553</v>
      </c>
      <c r="B558">
        <v>1253106.9763426434</v>
      </c>
      <c r="C558">
        <v>86344.95859678452</v>
      </c>
      <c r="D558">
        <v>65611.670320260877</v>
      </c>
      <c r="E558">
        <v>156565.95662952194</v>
      </c>
      <c r="F558">
        <v>46839.181612813052</v>
      </c>
      <c r="G558">
        <v>10000</v>
      </c>
      <c r="H558">
        <v>345361.76715938037</v>
      </c>
      <c r="I558">
        <v>41.359351584483399</v>
      </c>
    </row>
    <row r="559" spans="1:9" x14ac:dyDescent="0.2">
      <c r="A559">
        <v>554</v>
      </c>
      <c r="B559">
        <v>1710683.8319525155</v>
      </c>
      <c r="C559">
        <v>158707.05380681404</v>
      </c>
      <c r="D559">
        <v>91797.752117137949</v>
      </c>
      <c r="E559">
        <v>181683.78430652045</v>
      </c>
      <c r="F559">
        <v>48578.10814429757</v>
      </c>
      <c r="G559">
        <v>10000</v>
      </c>
      <c r="H559">
        <v>470766.69837477</v>
      </c>
      <c r="I559">
        <v>35.486311235574874</v>
      </c>
    </row>
    <row r="560" spans="1:9" x14ac:dyDescent="0.2">
      <c r="A560">
        <v>555</v>
      </c>
      <c r="B560">
        <v>1493405.1084793322</v>
      </c>
      <c r="C560">
        <v>119169.69277554222</v>
      </c>
      <c r="D560">
        <v>129834.74439154302</v>
      </c>
      <c r="E560">
        <v>127394.5576212209</v>
      </c>
      <c r="F560">
        <v>44819.623219930676</v>
      </c>
      <c r="G560">
        <v>10000</v>
      </c>
      <c r="H560">
        <v>411218.61800823681</v>
      </c>
      <c r="I560">
        <v>32.245171647203549</v>
      </c>
    </row>
    <row r="561" spans="1:9" x14ac:dyDescent="0.2">
      <c r="A561">
        <v>556</v>
      </c>
      <c r="B561">
        <v>1202190.4467422282</v>
      </c>
      <c r="C561">
        <v>117004.54245625451</v>
      </c>
      <c r="D561">
        <v>82533.529374577702</v>
      </c>
      <c r="E561">
        <v>99014.503199280894</v>
      </c>
      <c r="F561">
        <v>42854.850221488676</v>
      </c>
      <c r="G561">
        <v>10000</v>
      </c>
      <c r="H561">
        <v>331407.42525160179</v>
      </c>
      <c r="I561">
        <v>41.093621071332507</v>
      </c>
    </row>
    <row r="562" spans="1:9" x14ac:dyDescent="0.2">
      <c r="A562">
        <v>557</v>
      </c>
      <c r="B562">
        <v>1497397.016506609</v>
      </c>
      <c r="C562">
        <v>90636.152496298135</v>
      </c>
      <c r="D562">
        <v>121164.91442829989</v>
      </c>
      <c r="E562">
        <v>163212.27446087622</v>
      </c>
      <c r="F562">
        <v>47299.311308829892</v>
      </c>
      <c r="G562">
        <v>10000</v>
      </c>
      <c r="H562">
        <v>412312.65269430407</v>
      </c>
      <c r="I562">
        <v>27.13400127486144</v>
      </c>
    </row>
    <row r="563" spans="1:9" x14ac:dyDescent="0.2">
      <c r="A563">
        <v>558</v>
      </c>
      <c r="B563">
        <v>1033387.0990677071</v>
      </c>
      <c r="C563">
        <v>126332.96399228825</v>
      </c>
      <c r="D563">
        <v>51725.194437107413</v>
      </c>
      <c r="E563">
        <v>75836.29326811849</v>
      </c>
      <c r="F563">
        <v>41250.204918562049</v>
      </c>
      <c r="G563">
        <v>10000</v>
      </c>
      <c r="H563">
        <v>285144.65661607619</v>
      </c>
      <c r="I563">
        <v>35.084259274911233</v>
      </c>
    </row>
    <row r="564" spans="1:9" x14ac:dyDescent="0.2">
      <c r="A564">
        <v>559</v>
      </c>
      <c r="B564">
        <v>1171781.3930495277</v>
      </c>
      <c r="C564">
        <v>92710.131138846802</v>
      </c>
      <c r="D564">
        <v>141748.67993646979</v>
      </c>
      <c r="E564">
        <v>58560.430990586385</v>
      </c>
      <c r="F564">
        <v>40054.183683963674</v>
      </c>
      <c r="G564">
        <v>10000</v>
      </c>
      <c r="H564">
        <v>323073.42574986664</v>
      </c>
      <c r="I564">
        <v>44.663937051553781</v>
      </c>
    </row>
    <row r="565" spans="1:9" x14ac:dyDescent="0.2">
      <c r="A565">
        <v>560</v>
      </c>
      <c r="B565">
        <v>1362261.3524126662</v>
      </c>
      <c r="C565">
        <v>110215.20638410463</v>
      </c>
      <c r="D565">
        <v>153791.24139285926</v>
      </c>
      <c r="E565">
        <v>79749.394091447364</v>
      </c>
      <c r="F565">
        <v>41521.111898638665</v>
      </c>
      <c r="G565">
        <v>10000</v>
      </c>
      <c r="H565">
        <v>375276.95376704988</v>
      </c>
      <c r="I565">
        <v>37.857434162506607</v>
      </c>
    </row>
    <row r="566" spans="1:9" x14ac:dyDescent="0.2">
      <c r="A566">
        <v>561</v>
      </c>
      <c r="B566">
        <v>1020663.6456095127</v>
      </c>
      <c r="C566">
        <v>128309.22062447174</v>
      </c>
      <c r="D566">
        <v>55314.180920747967</v>
      </c>
      <c r="E566">
        <v>67370.139407936673</v>
      </c>
      <c r="F566">
        <v>40664.086574395616</v>
      </c>
      <c r="G566">
        <v>10000</v>
      </c>
      <c r="H566">
        <v>281657.62752755196</v>
      </c>
      <c r="I566">
        <v>35.478167042071597</v>
      </c>
    </row>
    <row r="567" spans="1:9" x14ac:dyDescent="0.2">
      <c r="A567">
        <v>562</v>
      </c>
      <c r="B567">
        <v>1172215.4007757655</v>
      </c>
      <c r="C567">
        <v>101349.71432571615</v>
      </c>
      <c r="D567">
        <v>154288.94976501679</v>
      </c>
      <c r="E567">
        <v>38863.179359868576</v>
      </c>
      <c r="F567">
        <v>38690.527801837059</v>
      </c>
      <c r="G567">
        <v>10000</v>
      </c>
      <c r="H567">
        <v>323192.37125243858</v>
      </c>
      <c r="I567">
        <v>30.117602534232425</v>
      </c>
    </row>
    <row r="568" spans="1:9" x14ac:dyDescent="0.2">
      <c r="A568">
        <v>563</v>
      </c>
      <c r="B568">
        <v>949994.77994126722</v>
      </c>
      <c r="C568">
        <v>85801.336922353541</v>
      </c>
      <c r="D568">
        <v>51145.267108302127</v>
      </c>
      <c r="E568">
        <v>92910.995462154591</v>
      </c>
      <c r="F568">
        <v>42432.299685841477</v>
      </c>
      <c r="G568">
        <v>10000</v>
      </c>
      <c r="H568">
        <v>262289.89917865174</v>
      </c>
      <c r="I568">
        <v>28.236651670349733</v>
      </c>
    </row>
    <row r="569" spans="1:9" x14ac:dyDescent="0.2">
      <c r="A569">
        <v>564</v>
      </c>
      <c r="B569">
        <v>1606913.4345742266</v>
      </c>
      <c r="C569">
        <v>124930.16430104202</v>
      </c>
      <c r="D569">
        <v>123756.45664157797</v>
      </c>
      <c r="E569">
        <v>156786.0236868184</v>
      </c>
      <c r="F569">
        <v>46854.417024472037</v>
      </c>
      <c r="G569">
        <v>10000</v>
      </c>
      <c r="H569">
        <v>442327.06165391044</v>
      </c>
      <c r="I569">
        <v>34.187646563486837</v>
      </c>
    </row>
    <row r="570" spans="1:9" x14ac:dyDescent="0.2">
      <c r="A570">
        <v>565</v>
      </c>
      <c r="B570">
        <v>1296451.6484334562</v>
      </c>
      <c r="C570">
        <v>113992.96849718578</v>
      </c>
      <c r="D570">
        <v>59693.894517650537</v>
      </c>
      <c r="E570">
        <v>147352.73605074789</v>
      </c>
      <c r="F570">
        <v>46201.343265051779</v>
      </c>
      <c r="G570">
        <v>10000</v>
      </c>
      <c r="H570">
        <v>357240.94233063603</v>
      </c>
      <c r="I570">
        <v>38.370238851182592</v>
      </c>
    </row>
    <row r="571" spans="1:9" x14ac:dyDescent="0.2">
      <c r="A571">
        <v>566</v>
      </c>
      <c r="B571">
        <v>984923.99833893985</v>
      </c>
      <c r="C571">
        <v>94905.094639210831</v>
      </c>
      <c r="D571">
        <v>55902.639251409222</v>
      </c>
      <c r="E571">
        <v>88900.336460138467</v>
      </c>
      <c r="F571">
        <v>42154.638678009585</v>
      </c>
      <c r="G571">
        <v>10000</v>
      </c>
      <c r="H571">
        <v>271862.70902876812</v>
      </c>
      <c r="I571">
        <v>34.471191800251759</v>
      </c>
    </row>
    <row r="572" spans="1:9" x14ac:dyDescent="0.2">
      <c r="A572">
        <v>567</v>
      </c>
      <c r="B572">
        <v>1282011.4477444112</v>
      </c>
      <c r="C572">
        <v>94094.174117444432</v>
      </c>
      <c r="D572">
        <v>88010.414159725042</v>
      </c>
      <c r="E572">
        <v>135778.75990473933</v>
      </c>
      <c r="F572">
        <v>45400.067993405035</v>
      </c>
      <c r="G572">
        <v>10000</v>
      </c>
      <c r="H572">
        <v>353283.41617531388</v>
      </c>
      <c r="I572">
        <v>31.465307592051861</v>
      </c>
    </row>
    <row r="573" spans="1:9" x14ac:dyDescent="0.2">
      <c r="A573">
        <v>568</v>
      </c>
      <c r="B573">
        <v>1313873.8163677538</v>
      </c>
      <c r="C573">
        <v>151258.85457965118</v>
      </c>
      <c r="D573">
        <v>58688.055773080101</v>
      </c>
      <c r="E573">
        <v>117906.07691655023</v>
      </c>
      <c r="F573">
        <v>44162.728401915017</v>
      </c>
      <c r="G573">
        <v>10000</v>
      </c>
      <c r="H573">
        <v>362015.71567119652</v>
      </c>
      <c r="I573">
        <v>40.260963216200359</v>
      </c>
    </row>
    <row r="574" spans="1:9" x14ac:dyDescent="0.2">
      <c r="A574">
        <v>569</v>
      </c>
      <c r="B574">
        <v>1037240.8365229946</v>
      </c>
      <c r="C574">
        <v>129242.4861303394</v>
      </c>
      <c r="D574">
        <v>71557.966028713578</v>
      </c>
      <c r="E574">
        <v>55554.304456308782</v>
      </c>
      <c r="F574">
        <v>39846.067231590605</v>
      </c>
      <c r="G574">
        <v>10000</v>
      </c>
      <c r="H574">
        <v>286200.82384695235</v>
      </c>
      <c r="I574">
        <v>40.496475222565778</v>
      </c>
    </row>
    <row r="575" spans="1:9" x14ac:dyDescent="0.2">
      <c r="A575">
        <v>570</v>
      </c>
      <c r="B575">
        <v>1718981.7179261269</v>
      </c>
      <c r="C575">
        <v>115934.98177981585</v>
      </c>
      <c r="D575">
        <v>137370.41787209187</v>
      </c>
      <c r="E575">
        <v>181191.42157664258</v>
      </c>
      <c r="F575">
        <v>48544.021493767563</v>
      </c>
      <c r="G575">
        <v>10000</v>
      </c>
      <c r="H575">
        <v>473040.84272231784</v>
      </c>
      <c r="I575">
        <v>33.357955213356149</v>
      </c>
    </row>
    <row r="576" spans="1:9" x14ac:dyDescent="0.2">
      <c r="A576">
        <v>571</v>
      </c>
      <c r="B576">
        <v>1446969.6098857</v>
      </c>
      <c r="C576">
        <v>143078.90985178083</v>
      </c>
      <c r="D576">
        <v>139030.33247654059</v>
      </c>
      <c r="E576">
        <v>84530.974621062516</v>
      </c>
      <c r="F576">
        <v>41852.144396842785</v>
      </c>
      <c r="G576">
        <v>10000</v>
      </c>
      <c r="H576">
        <v>398492.36134622677</v>
      </c>
      <c r="I576">
        <v>40.128039626252999</v>
      </c>
    </row>
    <row r="577" spans="1:9" x14ac:dyDescent="0.2">
      <c r="A577">
        <v>572</v>
      </c>
      <c r="B577">
        <v>1566980.645580905</v>
      </c>
      <c r="C577">
        <v>122013.35253304799</v>
      </c>
      <c r="D577">
        <v>155797.08175036235</v>
      </c>
      <c r="E577">
        <v>119312.4320086332</v>
      </c>
      <c r="F577">
        <v>44260.091446751525</v>
      </c>
      <c r="G577">
        <v>10000</v>
      </c>
      <c r="H577">
        <v>431382.95773879508</v>
      </c>
      <c r="I577">
        <v>30.708531450490234</v>
      </c>
    </row>
    <row r="578" spans="1:9" x14ac:dyDescent="0.2">
      <c r="A578">
        <v>573</v>
      </c>
      <c r="B578">
        <v>1293327.9435968092</v>
      </c>
      <c r="C578">
        <v>117904.79855554042</v>
      </c>
      <c r="D578">
        <v>108817.58114745773</v>
      </c>
      <c r="E578">
        <v>96950.511883783634</v>
      </c>
      <c r="F578">
        <v>42711.958515031169</v>
      </c>
      <c r="G578">
        <v>10000</v>
      </c>
      <c r="H578">
        <v>356384.85010181292</v>
      </c>
      <c r="I578">
        <v>48.6303677979637</v>
      </c>
    </row>
    <row r="579" spans="1:9" x14ac:dyDescent="0.2">
      <c r="A579">
        <v>574</v>
      </c>
      <c r="B579">
        <v>1281246.6618891028</v>
      </c>
      <c r="C579">
        <v>106785.82481707257</v>
      </c>
      <c r="D579">
        <v>63329.174843792476</v>
      </c>
      <c r="E579">
        <v>146796.01583628569</v>
      </c>
      <c r="F579">
        <v>46162.801096358242</v>
      </c>
      <c r="G579">
        <v>10000</v>
      </c>
      <c r="H579">
        <v>353073.81659350893</v>
      </c>
      <c r="I579">
        <v>34.154596429767935</v>
      </c>
    </row>
    <row r="580" spans="1:9" x14ac:dyDescent="0.2">
      <c r="A580">
        <v>575</v>
      </c>
      <c r="B580">
        <v>1149838.9934714562</v>
      </c>
      <c r="C580">
        <v>98157.055570726006</v>
      </c>
      <c r="D580">
        <v>125436.98142441064</v>
      </c>
      <c r="E580">
        <v>63097.498371534195</v>
      </c>
      <c r="F580">
        <v>40368.288348798516</v>
      </c>
      <c r="G580">
        <v>10000</v>
      </c>
      <c r="H580">
        <v>317059.82371546933</v>
      </c>
      <c r="I580">
        <v>53.161241922985006</v>
      </c>
    </row>
    <row r="581" spans="1:9" x14ac:dyDescent="0.2">
      <c r="A581">
        <v>576</v>
      </c>
      <c r="B581">
        <v>1400722.7441814265</v>
      </c>
      <c r="C581">
        <v>111230.60584137161</v>
      </c>
      <c r="D581">
        <v>117743.07124936125</v>
      </c>
      <c r="E581">
        <v>122372.20315115269</v>
      </c>
      <c r="F581">
        <v>44471.921756618263</v>
      </c>
      <c r="G581">
        <v>10000</v>
      </c>
      <c r="H581">
        <v>385817.8019985038</v>
      </c>
      <c r="I581">
        <v>30.091063705179074</v>
      </c>
    </row>
    <row r="582" spans="1:9" x14ac:dyDescent="0.2">
      <c r="A582">
        <v>577</v>
      </c>
      <c r="B582">
        <v>1014017.9579142772</v>
      </c>
      <c r="C582">
        <v>134715.52044416059</v>
      </c>
      <c r="D582">
        <v>77966.504698059827</v>
      </c>
      <c r="E582">
        <v>38489.600003016436</v>
      </c>
      <c r="F582">
        <v>38664.664615593443</v>
      </c>
      <c r="G582">
        <v>10000</v>
      </c>
      <c r="H582">
        <v>279836.28976083035</v>
      </c>
      <c r="I582">
        <v>36.133902725501912</v>
      </c>
    </row>
    <row r="583" spans="1:9" x14ac:dyDescent="0.2">
      <c r="A583">
        <v>578</v>
      </c>
      <c r="B583">
        <v>1557038.3384230637</v>
      </c>
      <c r="C583">
        <v>137238.21822584237</v>
      </c>
      <c r="D583">
        <v>81205.039370212893</v>
      </c>
      <c r="E583">
        <v>172287.2984298981</v>
      </c>
      <c r="F583">
        <v>47927.582198992939</v>
      </c>
      <c r="G583">
        <v>10000</v>
      </c>
      <c r="H583">
        <v>428658.13822494633</v>
      </c>
      <c r="I583">
        <v>49.628714596274122</v>
      </c>
    </row>
    <row r="584" spans="1:9" x14ac:dyDescent="0.2">
      <c r="A584">
        <v>579</v>
      </c>
      <c r="B584">
        <v>1014315.8561594335</v>
      </c>
      <c r="C584">
        <v>93042.170259096762</v>
      </c>
      <c r="D584">
        <v>67851.978384789807</v>
      </c>
      <c r="E584">
        <v>87000.66132609552</v>
      </c>
      <c r="F584">
        <v>42023.122707191229</v>
      </c>
      <c r="G584">
        <v>10000</v>
      </c>
      <c r="H584">
        <v>279917.93267717329</v>
      </c>
      <c r="I584">
        <v>31.260896680540274</v>
      </c>
    </row>
    <row r="585" spans="1:9" x14ac:dyDescent="0.2">
      <c r="A585">
        <v>580</v>
      </c>
      <c r="B585">
        <v>1012599.5300351486</v>
      </c>
      <c r="C585">
        <v>96434.468287514086</v>
      </c>
      <c r="D585">
        <v>90771.450467745046</v>
      </c>
      <c r="E585">
        <v>61952.605715361788</v>
      </c>
      <c r="F585">
        <v>40289.026549525042</v>
      </c>
      <c r="G585">
        <v>10000</v>
      </c>
      <c r="H585">
        <v>279447.55102014594</v>
      </c>
      <c r="I585">
        <v>42.695267054831447</v>
      </c>
    </row>
    <row r="586" spans="1:9" x14ac:dyDescent="0.2">
      <c r="A586">
        <v>581</v>
      </c>
      <c r="B586">
        <v>1531540.9417365738</v>
      </c>
      <c r="C586">
        <v>110391.70104548013</v>
      </c>
      <c r="D586">
        <v>100644.2038769207</v>
      </c>
      <c r="E586">
        <v>172679.59644993264</v>
      </c>
      <c r="F586">
        <v>47954.741292687642</v>
      </c>
      <c r="G586">
        <v>10000</v>
      </c>
      <c r="H586">
        <v>421670.24266502116</v>
      </c>
      <c r="I586">
        <v>27.944804850985921</v>
      </c>
    </row>
    <row r="587" spans="1:9" x14ac:dyDescent="0.2">
      <c r="A587">
        <v>582</v>
      </c>
      <c r="B587">
        <v>1112585.4447229872</v>
      </c>
      <c r="C587">
        <v>131785.43919163893</v>
      </c>
      <c r="D587">
        <v>107604.78691968712</v>
      </c>
      <c r="E587">
        <v>38775.328738549913</v>
      </c>
      <c r="F587">
        <v>38684.445835745762</v>
      </c>
      <c r="G587">
        <v>10000</v>
      </c>
      <c r="H587">
        <v>306850.00068562175</v>
      </c>
      <c r="I587">
        <v>45.413802195162972</v>
      </c>
    </row>
    <row r="588" spans="1:9" x14ac:dyDescent="0.2">
      <c r="A588">
        <v>583</v>
      </c>
      <c r="B588">
        <v>1776752.2195082314</v>
      </c>
      <c r="C588">
        <v>118954.70730533237</v>
      </c>
      <c r="D588">
        <v>151949.39446383904</v>
      </c>
      <c r="E588">
        <v>179539.82357132755</v>
      </c>
      <c r="F588">
        <v>48429.680093399598</v>
      </c>
      <c r="G588">
        <v>10000</v>
      </c>
      <c r="H588">
        <v>488873.60543389857</v>
      </c>
      <c r="I588">
        <v>34.604463873399425</v>
      </c>
    </row>
    <row r="589" spans="1:9" x14ac:dyDescent="0.2">
      <c r="A589">
        <v>584</v>
      </c>
      <c r="B589">
        <v>1392866.3566096369</v>
      </c>
      <c r="C589">
        <v>74201.249568681713</v>
      </c>
      <c r="D589">
        <v>71312.291662807023</v>
      </c>
      <c r="E589">
        <v>198414.71172068143</v>
      </c>
      <c r="F589">
        <v>49736.403119124101</v>
      </c>
      <c r="G589">
        <v>10000</v>
      </c>
      <c r="H589">
        <v>383664.65607129433</v>
      </c>
      <c r="I589">
        <v>28.549818947539109</v>
      </c>
    </row>
    <row r="590" spans="1:9" x14ac:dyDescent="0.2">
      <c r="A590">
        <v>585</v>
      </c>
      <c r="B590">
        <v>1315353.2135942173</v>
      </c>
      <c r="C590">
        <v>99141.366456438962</v>
      </c>
      <c r="D590">
        <v>95400.015298934813</v>
      </c>
      <c r="E590">
        <v>132693.32139297843</v>
      </c>
      <c r="F590">
        <v>45186.460711821586</v>
      </c>
      <c r="G590">
        <v>10000</v>
      </c>
      <c r="H590">
        <v>362421.16386017378</v>
      </c>
      <c r="I590">
        <v>36.982860553339336</v>
      </c>
    </row>
    <row r="591" spans="1:9" x14ac:dyDescent="0.2">
      <c r="A591">
        <v>586</v>
      </c>
      <c r="B591">
        <v>1124835.0131521509</v>
      </c>
      <c r="C591">
        <v>139706.40663746477</v>
      </c>
      <c r="D591">
        <v>78119.41363451301</v>
      </c>
      <c r="E591">
        <v>62083.263045411215</v>
      </c>
      <c r="F591">
        <v>40298.072056990008</v>
      </c>
      <c r="G591">
        <v>10000</v>
      </c>
      <c r="H591">
        <v>310207.15537437901</v>
      </c>
      <c r="I591">
        <v>35.924323483147269</v>
      </c>
    </row>
    <row r="592" spans="1:9" x14ac:dyDescent="0.2">
      <c r="A592">
        <v>587</v>
      </c>
      <c r="B592">
        <v>1333121.2373285135</v>
      </c>
      <c r="C592">
        <v>97487.329703482756</v>
      </c>
      <c r="D592">
        <v>55592.856852374563</v>
      </c>
      <c r="E592">
        <v>176024.24319750728</v>
      </c>
      <c r="F592">
        <v>48186.293759827422</v>
      </c>
      <c r="G592">
        <v>10000</v>
      </c>
      <c r="H592">
        <v>367290.72351319203</v>
      </c>
      <c r="I592">
        <v>34.480568545549332</v>
      </c>
    </row>
    <row r="593" spans="1:9" x14ac:dyDescent="0.2">
      <c r="A593">
        <v>588</v>
      </c>
      <c r="B593">
        <v>1477949.4428570238</v>
      </c>
      <c r="C593">
        <v>150199.95279821655</v>
      </c>
      <c r="D593">
        <v>72241.247500523677</v>
      </c>
      <c r="E593">
        <v>148276.30727592582</v>
      </c>
      <c r="F593">
        <v>46265.282811410245</v>
      </c>
      <c r="G593">
        <v>10000</v>
      </c>
      <c r="H593">
        <v>406982.79038607632</v>
      </c>
      <c r="I593">
        <v>32.914458434294218</v>
      </c>
    </row>
    <row r="594" spans="1:9" x14ac:dyDescent="0.2">
      <c r="A594">
        <v>589</v>
      </c>
      <c r="B594">
        <v>1363167.3671536501</v>
      </c>
      <c r="C594">
        <v>110928.99839357082</v>
      </c>
      <c r="D594">
        <v>75732.88196715618</v>
      </c>
      <c r="E594">
        <v>152318.26776871979</v>
      </c>
      <c r="F594">
        <v>46545.11084552676</v>
      </c>
      <c r="G594">
        <v>10000</v>
      </c>
      <c r="H594">
        <v>375525.25897497352</v>
      </c>
      <c r="I594">
        <v>33.953161057823813</v>
      </c>
    </row>
    <row r="595" spans="1:9" x14ac:dyDescent="0.2">
      <c r="A595">
        <v>590</v>
      </c>
      <c r="B595">
        <v>1294877.3255292787</v>
      </c>
      <c r="C595">
        <v>82458.471256142147</v>
      </c>
      <c r="D595">
        <v>120491.03900438912</v>
      </c>
      <c r="E595">
        <v>119581.26527510605</v>
      </c>
      <c r="F595">
        <v>44278.702980584269</v>
      </c>
      <c r="G595">
        <v>10000</v>
      </c>
      <c r="H595">
        <v>356809.47851622163</v>
      </c>
      <c r="I595">
        <v>26.155033095405521</v>
      </c>
    </row>
    <row r="596" spans="1:9" x14ac:dyDescent="0.2">
      <c r="A596">
        <v>591</v>
      </c>
      <c r="B596">
        <v>1378416.8237166232</v>
      </c>
      <c r="C596">
        <v>104438.17026075911</v>
      </c>
      <c r="D596">
        <v>56754.503697926695</v>
      </c>
      <c r="E596">
        <v>180047.0991711558</v>
      </c>
      <c r="F596">
        <v>48464.799173387706</v>
      </c>
      <c r="G596">
        <v>10000</v>
      </c>
      <c r="H596">
        <v>379704.5723032293</v>
      </c>
      <c r="I596">
        <v>31.930562818857503</v>
      </c>
    </row>
    <row r="597" spans="1:9" x14ac:dyDescent="0.2">
      <c r="A597">
        <v>592</v>
      </c>
      <c r="B597">
        <v>1170078.6588628253</v>
      </c>
      <c r="C597">
        <v>73696.583803653135</v>
      </c>
      <c r="D597">
        <v>85920.936124015614</v>
      </c>
      <c r="E597">
        <v>128119.44171066393</v>
      </c>
      <c r="F597">
        <v>44869.807503045966</v>
      </c>
      <c r="G597">
        <v>10000</v>
      </c>
      <c r="H597">
        <v>322606.76914137864</v>
      </c>
      <c r="I597">
        <v>27.159700164558267</v>
      </c>
    </row>
    <row r="598" spans="1:9" x14ac:dyDescent="0.2">
      <c r="A598">
        <v>593</v>
      </c>
      <c r="B598">
        <v>1508757.1621784936</v>
      </c>
      <c r="C598">
        <v>98793.123756061395</v>
      </c>
      <c r="D598">
        <v>88797.104901892395</v>
      </c>
      <c r="E598">
        <v>188767.31438702167</v>
      </c>
      <c r="F598">
        <v>49068.506380639963</v>
      </c>
      <c r="G598">
        <v>10000</v>
      </c>
      <c r="H598">
        <v>415426.04942561546</v>
      </c>
      <c r="I598">
        <v>24.917922392401792</v>
      </c>
    </row>
    <row r="599" spans="1:9" x14ac:dyDescent="0.2">
      <c r="A599">
        <v>594</v>
      </c>
      <c r="B599">
        <v>991020.40283800778</v>
      </c>
      <c r="C599">
        <v>103296.1386102089</v>
      </c>
      <c r="D599">
        <v>78783.332403316483</v>
      </c>
      <c r="E599">
        <v>61216.006320057182</v>
      </c>
      <c r="F599">
        <v>40238.031206773194</v>
      </c>
      <c r="G599">
        <v>10000</v>
      </c>
      <c r="H599">
        <v>273533.50854035578</v>
      </c>
      <c r="I599">
        <v>45.934432608546508</v>
      </c>
    </row>
    <row r="600" spans="1:9" x14ac:dyDescent="0.2">
      <c r="A600">
        <v>595</v>
      </c>
      <c r="B600">
        <v>1150431.0326826505</v>
      </c>
      <c r="C600">
        <v>85486.553861425622</v>
      </c>
      <c r="D600">
        <v>94087.765654638846</v>
      </c>
      <c r="E600">
        <v>104418.76862639557</v>
      </c>
      <c r="F600">
        <v>43228.991674135083</v>
      </c>
      <c r="G600">
        <v>10000</v>
      </c>
      <c r="H600">
        <v>317222.07981659513</v>
      </c>
      <c r="I600">
        <v>33.003179333883125</v>
      </c>
    </row>
    <row r="601" spans="1:9" x14ac:dyDescent="0.2">
      <c r="A601">
        <v>596</v>
      </c>
      <c r="B601">
        <v>1051307.6920403498</v>
      </c>
      <c r="C601">
        <v>83247.514351211241</v>
      </c>
      <c r="D601">
        <v>89157.663692787726</v>
      </c>
      <c r="E601">
        <v>85716.624007509774</v>
      </c>
      <c r="F601">
        <v>41934.227815904516</v>
      </c>
      <c r="G601">
        <v>10000</v>
      </c>
      <c r="H601">
        <v>290056.02986741328</v>
      </c>
      <c r="I601">
        <v>36.449384541505609</v>
      </c>
    </row>
    <row r="602" spans="1:9" x14ac:dyDescent="0.2">
      <c r="A602">
        <v>597</v>
      </c>
      <c r="B602">
        <v>1585555.6804128059</v>
      </c>
      <c r="C602">
        <v>91958.565315496046</v>
      </c>
      <c r="D602">
        <v>108584.39459527693</v>
      </c>
      <c r="E602">
        <v>196338.0922853979</v>
      </c>
      <c r="F602">
        <v>49592.637158219855</v>
      </c>
      <c r="G602">
        <v>10000</v>
      </c>
      <c r="H602">
        <v>436473.68935439078</v>
      </c>
      <c r="I602">
        <v>41.844791907532532</v>
      </c>
    </row>
    <row r="603" spans="1:9" x14ac:dyDescent="0.2">
      <c r="A603">
        <v>598</v>
      </c>
      <c r="B603">
        <v>987032.60357666039</v>
      </c>
      <c r="C603">
        <v>77555.518908068989</v>
      </c>
      <c r="D603">
        <v>61482.515054082956</v>
      </c>
      <c r="E603">
        <v>100448.44297787041</v>
      </c>
      <c r="F603">
        <v>42954.12297539103</v>
      </c>
      <c r="G603">
        <v>10000</v>
      </c>
      <c r="H603">
        <v>272440.59991541336</v>
      </c>
      <c r="I603">
        <v>30.144371484038416</v>
      </c>
    </row>
    <row r="604" spans="1:9" x14ac:dyDescent="0.2">
      <c r="A604">
        <v>599</v>
      </c>
      <c r="B604">
        <v>1529181.3917887262</v>
      </c>
      <c r="C604">
        <v>107813.31200283933</v>
      </c>
      <c r="D604">
        <v>101189.4427672052</v>
      </c>
      <c r="E604">
        <v>173976.30864771068</v>
      </c>
      <c r="F604">
        <v>48044.513675610739</v>
      </c>
      <c r="G604">
        <v>10000</v>
      </c>
      <c r="H604">
        <v>421023.57709336595</v>
      </c>
      <c r="I604">
        <v>30.19288591786205</v>
      </c>
    </row>
    <row r="605" spans="1:9" x14ac:dyDescent="0.2">
      <c r="A605">
        <v>600</v>
      </c>
      <c r="B605">
        <v>1488825.1603380982</v>
      </c>
      <c r="C605">
        <v>92761.701947987749</v>
      </c>
      <c r="D605">
        <v>87411.765401921235</v>
      </c>
      <c r="E605">
        <v>190594.92276183699</v>
      </c>
      <c r="F605">
        <v>49195.033114281025</v>
      </c>
      <c r="G605">
        <v>10000</v>
      </c>
      <c r="H605">
        <v>409963.42322602699</v>
      </c>
      <c r="I605">
        <v>35.463345814832252</v>
      </c>
    </row>
    <row r="606" spans="1:9" x14ac:dyDescent="0.2">
      <c r="A606">
        <v>601</v>
      </c>
      <c r="B606">
        <v>1330592.8641852324</v>
      </c>
      <c r="C606">
        <v>116366.6584086545</v>
      </c>
      <c r="D606">
        <v>145232.78659805184</v>
      </c>
      <c r="E606">
        <v>73883.343988959576</v>
      </c>
      <c r="F606">
        <v>41115.000737697199</v>
      </c>
      <c r="G606">
        <v>10000</v>
      </c>
      <c r="H606">
        <v>366597.78973336308</v>
      </c>
      <c r="I606">
        <v>45.052275615938711</v>
      </c>
    </row>
    <row r="607" spans="1:9" x14ac:dyDescent="0.2">
      <c r="A607">
        <v>602</v>
      </c>
      <c r="B607">
        <v>1105355.8201929685</v>
      </c>
      <c r="C607">
        <v>137842.49600268566</v>
      </c>
      <c r="D607">
        <v>100072.90660166285</v>
      </c>
      <c r="E607">
        <v>38301.577128461809</v>
      </c>
      <c r="F607">
        <v>38651.64764735505</v>
      </c>
      <c r="G607">
        <v>10000</v>
      </c>
      <c r="H607">
        <v>304868.62738016533</v>
      </c>
      <c r="I607">
        <v>31.456217666396839</v>
      </c>
    </row>
    <row r="608" spans="1:9" x14ac:dyDescent="0.2">
      <c r="A608">
        <v>603</v>
      </c>
      <c r="B608">
        <v>859776.77858605236</v>
      </c>
      <c r="C608">
        <v>107086.03826663971</v>
      </c>
      <c r="D608">
        <v>43848.232207846981</v>
      </c>
      <c r="E608">
        <v>56704.50700171991</v>
      </c>
      <c r="F608">
        <v>39925.696638580615</v>
      </c>
      <c r="G608">
        <v>10000</v>
      </c>
      <c r="H608">
        <v>237564.47411478721</v>
      </c>
      <c r="I608">
        <v>35.89046540274083</v>
      </c>
    </row>
    <row r="609" spans="1:9" x14ac:dyDescent="0.2">
      <c r="A609">
        <v>604</v>
      </c>
      <c r="B609">
        <v>1186924.0527640341</v>
      </c>
      <c r="C609">
        <v>101940.69768943469</v>
      </c>
      <c r="D609">
        <v>101766.59016548852</v>
      </c>
      <c r="E609">
        <v>91202.184742652636</v>
      </c>
      <c r="F609">
        <v>42313.997405260568</v>
      </c>
      <c r="G609">
        <v>10000</v>
      </c>
      <c r="H609">
        <v>327223.47000283643</v>
      </c>
      <c r="I609">
        <v>24.397287808362456</v>
      </c>
    </row>
    <row r="610" spans="1:9" x14ac:dyDescent="0.2">
      <c r="A610">
        <v>605</v>
      </c>
      <c r="B610">
        <v>1252499.3445104994</v>
      </c>
      <c r="C610">
        <v>106557.42522531064</v>
      </c>
      <c r="D610">
        <v>64448.289939099894</v>
      </c>
      <c r="E610">
        <v>138594.51747580335</v>
      </c>
      <c r="F610">
        <v>45595.005056017151</v>
      </c>
      <c r="G610">
        <v>10000</v>
      </c>
      <c r="H610">
        <v>345195.23769623105</v>
      </c>
      <c r="I610">
        <v>39.655297210568655</v>
      </c>
    </row>
    <row r="611" spans="1:9" x14ac:dyDescent="0.2">
      <c r="A611">
        <v>606</v>
      </c>
      <c r="B611">
        <v>1337947.8234115425</v>
      </c>
      <c r="C611">
        <v>107852.77022952741</v>
      </c>
      <c r="D611">
        <v>79460.766168267903</v>
      </c>
      <c r="E611">
        <v>145244.58211024548</v>
      </c>
      <c r="F611">
        <v>46055.394146093917</v>
      </c>
      <c r="G611">
        <v>10000</v>
      </c>
      <c r="H611">
        <v>368613.51265413471</v>
      </c>
      <c r="I611">
        <v>36.964855370191891</v>
      </c>
    </row>
    <row r="612" spans="1:9" x14ac:dyDescent="0.2">
      <c r="A612">
        <v>607</v>
      </c>
      <c r="B612">
        <v>1113579.33651317</v>
      </c>
      <c r="C612">
        <v>102116.16051159229</v>
      </c>
      <c r="D612">
        <v>85393.770084059128</v>
      </c>
      <c r="E612">
        <v>87551.220791842352</v>
      </c>
      <c r="F612">
        <v>42061.238362512166</v>
      </c>
      <c r="G612">
        <v>10000</v>
      </c>
      <c r="H612">
        <v>307122.38975000591</v>
      </c>
      <c r="I612">
        <v>29.558719787319284</v>
      </c>
    </row>
    <row r="613" spans="1:9" x14ac:dyDescent="0.2">
      <c r="A613">
        <v>608</v>
      </c>
      <c r="B613">
        <v>1165459.6301066927</v>
      </c>
      <c r="C613">
        <v>119687.07618939698</v>
      </c>
      <c r="D613">
        <v>50032.894104535742</v>
      </c>
      <c r="E613">
        <v>117487.16659282937</v>
      </c>
      <c r="F613">
        <v>44133.726917965112</v>
      </c>
      <c r="G613">
        <v>10000</v>
      </c>
      <c r="H613">
        <v>321340.86380472721</v>
      </c>
      <c r="I613">
        <v>33.180599503317247</v>
      </c>
    </row>
    <row r="614" spans="1:9" x14ac:dyDescent="0.2">
      <c r="A614">
        <v>609</v>
      </c>
      <c r="B614">
        <v>964418.56201271492</v>
      </c>
      <c r="C614">
        <v>91002.857214787946</v>
      </c>
      <c r="D614">
        <v>68382.463925979959</v>
      </c>
      <c r="E614">
        <v>75622.219994802406</v>
      </c>
      <c r="F614">
        <v>41235.384461178626</v>
      </c>
      <c r="G614">
        <v>10000</v>
      </c>
      <c r="H614">
        <v>266242.92559674894</v>
      </c>
      <c r="I614">
        <v>29.861218182274214</v>
      </c>
    </row>
    <row r="615" spans="1:9" x14ac:dyDescent="0.2">
      <c r="A615">
        <v>610</v>
      </c>
      <c r="B615">
        <v>1549826.8418596911</v>
      </c>
      <c r="C615">
        <v>141202.91094951457</v>
      </c>
      <c r="D615">
        <v>93772.475258590712</v>
      </c>
      <c r="E615">
        <v>154977.15898815816</v>
      </c>
      <c r="F615">
        <v>46729.18792994941</v>
      </c>
      <c r="G615">
        <v>10000</v>
      </c>
      <c r="H615">
        <v>426681.7331262129</v>
      </c>
      <c r="I615">
        <v>40.230620576299614</v>
      </c>
    </row>
    <row r="616" spans="1:9" x14ac:dyDescent="0.2">
      <c r="A616">
        <v>611</v>
      </c>
      <c r="B616">
        <v>1143494.5628022854</v>
      </c>
      <c r="C616">
        <v>110573.98409285898</v>
      </c>
      <c r="D616">
        <v>75743.964953604474</v>
      </c>
      <c r="E616">
        <v>96333.834847117032</v>
      </c>
      <c r="F616">
        <v>42669.265489415789</v>
      </c>
      <c r="G616">
        <v>10000</v>
      </c>
      <c r="H616">
        <v>315321.04938299628</v>
      </c>
      <c r="I616">
        <v>33.89025875061003</v>
      </c>
    </row>
    <row r="617" spans="1:9" x14ac:dyDescent="0.2">
      <c r="A617">
        <v>612</v>
      </c>
      <c r="B617">
        <v>1237526.5576117549</v>
      </c>
      <c r="C617">
        <v>107709.80644950557</v>
      </c>
      <c r="D617">
        <v>161720.19804142258</v>
      </c>
      <c r="E617">
        <v>42705.22897087723</v>
      </c>
      <c r="F617">
        <v>38956.515851829958</v>
      </c>
      <c r="G617">
        <v>10000</v>
      </c>
      <c r="H617">
        <v>341091.74931363534</v>
      </c>
      <c r="I617">
        <v>36.42004093930835</v>
      </c>
    </row>
    <row r="618" spans="1:9" x14ac:dyDescent="0.2">
      <c r="A618">
        <v>613</v>
      </c>
      <c r="B618">
        <v>1059088.4962940714</v>
      </c>
      <c r="C618">
        <v>139593.96362570205</v>
      </c>
      <c r="D618">
        <v>63320.431055372559</v>
      </c>
      <c r="E618">
        <v>59177.184510565647</v>
      </c>
      <c r="F618">
        <v>40096.882004577623</v>
      </c>
      <c r="G618">
        <v>10000</v>
      </c>
      <c r="H618">
        <v>292188.46119621786</v>
      </c>
      <c r="I618">
        <v>37.331446459497144</v>
      </c>
    </row>
    <row r="619" spans="1:9" x14ac:dyDescent="0.2">
      <c r="A619">
        <v>614</v>
      </c>
      <c r="B619">
        <v>1153392.5084832385</v>
      </c>
      <c r="C619">
        <v>156444.18583359144</v>
      </c>
      <c r="D619">
        <v>71528.64734575391</v>
      </c>
      <c r="E619">
        <v>59913.051248741518</v>
      </c>
      <c r="F619">
        <v>40147.826624912879</v>
      </c>
      <c r="G619">
        <v>10000</v>
      </c>
      <c r="H619">
        <v>318033.71105299972</v>
      </c>
      <c r="I619">
        <v>28.796238557741411</v>
      </c>
    </row>
    <row r="620" spans="1:9" x14ac:dyDescent="0.2">
      <c r="A620">
        <v>615</v>
      </c>
      <c r="B620">
        <v>1606731.8845287422</v>
      </c>
      <c r="C620">
        <v>116468.39715184474</v>
      </c>
      <c r="D620">
        <v>110768.63139778881</v>
      </c>
      <c r="E620">
        <v>176800.25900501723</v>
      </c>
      <c r="F620">
        <v>48240.017931116578</v>
      </c>
      <c r="G620">
        <v>10000</v>
      </c>
      <c r="H620">
        <v>442277.30548576737</v>
      </c>
      <c r="I620">
        <v>31.389344975344049</v>
      </c>
    </row>
    <row r="621" spans="1:9" x14ac:dyDescent="0.2">
      <c r="A621">
        <v>616</v>
      </c>
      <c r="B621">
        <v>1561124.4479067917</v>
      </c>
      <c r="C621">
        <v>153494.4404677696</v>
      </c>
      <c r="D621">
        <v>78873.977780966059</v>
      </c>
      <c r="E621">
        <v>160311.11032158899</v>
      </c>
      <c r="F621">
        <v>47098.461483802319</v>
      </c>
      <c r="G621">
        <v>10000</v>
      </c>
      <c r="H621">
        <v>429777.99005412695</v>
      </c>
      <c r="I621">
        <v>42.2680098052194</v>
      </c>
    </row>
    <row r="622" spans="1:9" x14ac:dyDescent="0.2">
      <c r="A622">
        <v>617</v>
      </c>
      <c r="B622">
        <v>995699.12101753661</v>
      </c>
      <c r="C622">
        <v>117550.3640453235</v>
      </c>
      <c r="D622">
        <v>79208.866583607771</v>
      </c>
      <c r="E622">
        <v>48685.974454231218</v>
      </c>
      <c r="F622">
        <v>39370.567462216008</v>
      </c>
      <c r="G622">
        <v>10000</v>
      </c>
      <c r="H622">
        <v>274815.77254537848</v>
      </c>
      <c r="I622">
        <v>43.150905936075418</v>
      </c>
    </row>
    <row r="623" spans="1:9" x14ac:dyDescent="0.2">
      <c r="A623">
        <v>618</v>
      </c>
      <c r="B623">
        <v>1175480.6821841476</v>
      </c>
      <c r="C623">
        <v>110492.72644351165</v>
      </c>
      <c r="D623">
        <v>62481.560427809331</v>
      </c>
      <c r="E623">
        <v>117012.13725264162</v>
      </c>
      <c r="F623">
        <v>44100.840271336732</v>
      </c>
      <c r="G623">
        <v>10000</v>
      </c>
      <c r="H623">
        <v>324087.26439529931</v>
      </c>
      <c r="I623">
        <v>36.080964786409481</v>
      </c>
    </row>
    <row r="624" spans="1:9" x14ac:dyDescent="0.2">
      <c r="A624">
        <v>619</v>
      </c>
      <c r="B624">
        <v>1186894.7009368169</v>
      </c>
      <c r="C624">
        <v>111670.76514443486</v>
      </c>
      <c r="D624">
        <v>29605.127115173174</v>
      </c>
      <c r="E624">
        <v>149583.73635801335</v>
      </c>
      <c r="F624">
        <v>46355.797132477848</v>
      </c>
      <c r="G624">
        <v>10000</v>
      </c>
      <c r="H624">
        <v>327215.42575009924</v>
      </c>
      <c r="I624">
        <v>35.178393895430474</v>
      </c>
    </row>
    <row r="625" spans="1:9" x14ac:dyDescent="0.2">
      <c r="A625">
        <v>620</v>
      </c>
      <c r="B625">
        <v>1797293.9215758857</v>
      </c>
      <c r="C625">
        <v>106180.64491855672</v>
      </c>
      <c r="D625">
        <v>159553.81488000145</v>
      </c>
      <c r="E625">
        <v>189639.94864712976</v>
      </c>
      <c r="F625">
        <v>49128.919521724369</v>
      </c>
      <c r="G625">
        <v>10000</v>
      </c>
      <c r="H625">
        <v>494503.3279674123</v>
      </c>
      <c r="I625">
        <v>39.08795566413594</v>
      </c>
    </row>
    <row r="626" spans="1:9" x14ac:dyDescent="0.2">
      <c r="A626">
        <v>621</v>
      </c>
      <c r="B626">
        <v>1597480.8424967788</v>
      </c>
      <c r="C626">
        <v>130279.61337045382</v>
      </c>
      <c r="D626">
        <v>95887.200235650133</v>
      </c>
      <c r="E626">
        <v>175429.97080377262</v>
      </c>
      <c r="F626">
        <v>48145.151824876564</v>
      </c>
      <c r="G626">
        <v>10000</v>
      </c>
      <c r="H626">
        <v>439741.93623475311</v>
      </c>
      <c r="I626">
        <v>30.674322348954821</v>
      </c>
    </row>
    <row r="627" spans="1:9" x14ac:dyDescent="0.2">
      <c r="A627">
        <v>622</v>
      </c>
      <c r="B627">
        <v>1582403.3554990496</v>
      </c>
      <c r="C627">
        <v>139754.0399230973</v>
      </c>
      <c r="D627">
        <v>91014.722799418334</v>
      </c>
      <c r="E627">
        <v>167261.35820490832</v>
      </c>
      <c r="F627">
        <v>47579.632491109034</v>
      </c>
      <c r="G627">
        <v>10000</v>
      </c>
      <c r="H627">
        <v>435609.75341853296</v>
      </c>
      <c r="I627">
        <v>43.429816264022989</v>
      </c>
    </row>
    <row r="628" spans="1:9" x14ac:dyDescent="0.2">
      <c r="A628">
        <v>623</v>
      </c>
      <c r="B628">
        <v>1244310.8317751212</v>
      </c>
      <c r="C628">
        <v>164160.47078586431</v>
      </c>
      <c r="D628">
        <v>76046.143805182452</v>
      </c>
      <c r="E628">
        <v>71775.388564153225</v>
      </c>
      <c r="F628">
        <v>40969.065362133682</v>
      </c>
      <c r="G628">
        <v>10000</v>
      </c>
      <c r="H628">
        <v>342951.06851733365</v>
      </c>
      <c r="I628">
        <v>25.819496719451159</v>
      </c>
    </row>
    <row r="629" spans="1:9" x14ac:dyDescent="0.2">
      <c r="A629">
        <v>624</v>
      </c>
      <c r="B629">
        <v>1512687.3998139221</v>
      </c>
      <c r="C629">
        <v>108317.20877002813</v>
      </c>
      <c r="D629">
        <v>64353.831334518531</v>
      </c>
      <c r="E629">
        <v>203727.9029906005</v>
      </c>
      <c r="F629">
        <v>50104.2394378108</v>
      </c>
      <c r="G629">
        <v>10000</v>
      </c>
      <c r="H629">
        <v>416503.18253295793</v>
      </c>
      <c r="I629">
        <v>33.06950313791652</v>
      </c>
    </row>
    <row r="630" spans="1:9" x14ac:dyDescent="0.2">
      <c r="A630">
        <v>625</v>
      </c>
      <c r="B630">
        <v>1263929.1435972787</v>
      </c>
      <c r="C630">
        <v>86703.034306726593</v>
      </c>
      <c r="D630">
        <v>172542.77660504219</v>
      </c>
      <c r="E630">
        <v>58997.472539926021</v>
      </c>
      <c r="F630">
        <v>40084.440406610258</v>
      </c>
      <c r="G630">
        <v>10000</v>
      </c>
      <c r="H630">
        <v>348327.72385830508</v>
      </c>
      <c r="I630">
        <v>36.902355280454557</v>
      </c>
    </row>
    <row r="631" spans="1:9" x14ac:dyDescent="0.2">
      <c r="A631">
        <v>626</v>
      </c>
      <c r="B631">
        <v>1441321.8873896915</v>
      </c>
      <c r="C631">
        <v>108189.97062611043</v>
      </c>
      <c r="D631">
        <v>71996.245914921325</v>
      </c>
      <c r="E631">
        <v>178407.0548317658</v>
      </c>
      <c r="F631">
        <v>48351.257642199169</v>
      </c>
      <c r="G631">
        <v>10000</v>
      </c>
      <c r="H631">
        <v>396944.52901499672</v>
      </c>
      <c r="I631">
        <v>40.991064710056577</v>
      </c>
    </row>
    <row r="632" spans="1:9" x14ac:dyDescent="0.2">
      <c r="A632">
        <v>627</v>
      </c>
      <c r="B632">
        <v>1145679.787529079</v>
      </c>
      <c r="C632">
        <v>119572.93650549691</v>
      </c>
      <c r="D632">
        <v>47618.034443479679</v>
      </c>
      <c r="E632">
        <v>114782.48795963962</v>
      </c>
      <c r="F632">
        <v>43946.479935667354</v>
      </c>
      <c r="G632">
        <v>10000</v>
      </c>
      <c r="H632">
        <v>315919.93884428358</v>
      </c>
      <c r="I632">
        <v>45.410362365795223</v>
      </c>
    </row>
    <row r="633" spans="1:9" x14ac:dyDescent="0.2">
      <c r="A633">
        <v>628</v>
      </c>
      <c r="B633">
        <v>1041182.7361761216</v>
      </c>
      <c r="C633">
        <v>142922.07397382794</v>
      </c>
      <c r="D633">
        <v>85437.348029665241</v>
      </c>
      <c r="E633">
        <v>30790.108203863983</v>
      </c>
      <c r="F633">
        <v>38131.622875652123</v>
      </c>
      <c r="G633">
        <v>10000</v>
      </c>
      <c r="H633">
        <v>287281.1530830093</v>
      </c>
      <c r="I633">
        <v>27.387652364445799</v>
      </c>
    </row>
    <row r="634" spans="1:9" x14ac:dyDescent="0.2">
      <c r="A634">
        <v>629</v>
      </c>
      <c r="B634">
        <v>1346532.244068908</v>
      </c>
      <c r="C634">
        <v>81955.546407992559</v>
      </c>
      <c r="D634">
        <v>78502.58972322008</v>
      </c>
      <c r="E634">
        <v>172561.485100822</v>
      </c>
      <c r="F634">
        <v>47946.564353133828</v>
      </c>
      <c r="G634">
        <v>10000</v>
      </c>
      <c r="H634">
        <v>370966.18558516848</v>
      </c>
      <c r="I634">
        <v>34.020652341866906</v>
      </c>
    </row>
    <row r="635" spans="1:9" x14ac:dyDescent="0.2">
      <c r="A635">
        <v>630</v>
      </c>
      <c r="B635">
        <v>1111565.9404893387</v>
      </c>
      <c r="C635">
        <v>117558.74794218084</v>
      </c>
      <c r="D635">
        <v>87434.039903647878</v>
      </c>
      <c r="E635">
        <v>70684.277449427216</v>
      </c>
      <c r="F635">
        <v>40893.526900344965</v>
      </c>
      <c r="G635">
        <v>10000</v>
      </c>
      <c r="H635">
        <v>306570.59219560085</v>
      </c>
      <c r="I635">
        <v>25.664891983556057</v>
      </c>
    </row>
    <row r="636" spans="1:9" x14ac:dyDescent="0.2">
      <c r="A636">
        <v>631</v>
      </c>
      <c r="B636">
        <v>1837245.4319195468</v>
      </c>
      <c r="C636">
        <v>138354.92247252839</v>
      </c>
      <c r="D636">
        <v>157102.52804853496</v>
      </c>
      <c r="E636">
        <v>172081.75960474077</v>
      </c>
      <c r="F636">
        <v>47913.35258802052</v>
      </c>
      <c r="G636">
        <v>10000</v>
      </c>
      <c r="H636">
        <v>505452.56271382462</v>
      </c>
      <c r="I636">
        <v>30.751065928086948</v>
      </c>
    </row>
    <row r="637" spans="1:9" x14ac:dyDescent="0.2">
      <c r="A637">
        <v>632</v>
      </c>
      <c r="B637">
        <v>1372825.9770171836</v>
      </c>
      <c r="C637">
        <v>142816.91843501161</v>
      </c>
      <c r="D637">
        <v>51462.518703188449</v>
      </c>
      <c r="E637">
        <v>147669.60971809097</v>
      </c>
      <c r="F637">
        <v>46223.280672790912</v>
      </c>
      <c r="G637">
        <v>10000</v>
      </c>
      <c r="H637">
        <v>378172.3275290819</v>
      </c>
      <c r="I637">
        <v>36.57494540351761</v>
      </c>
    </row>
    <row r="638" spans="1:9" x14ac:dyDescent="0.2">
      <c r="A638">
        <v>633</v>
      </c>
      <c r="B638">
        <v>1149373.6196895237</v>
      </c>
      <c r="C638">
        <v>111331.57921394802</v>
      </c>
      <c r="D638">
        <v>45129.225862690539</v>
      </c>
      <c r="E638">
        <v>125764.69058645258</v>
      </c>
      <c r="F638">
        <v>44706.786271369798</v>
      </c>
      <c r="G638">
        <v>10000</v>
      </c>
      <c r="H638">
        <v>316932.28193446092</v>
      </c>
      <c r="I638">
        <v>31.071377521489424</v>
      </c>
    </row>
    <row r="639" spans="1:9" x14ac:dyDescent="0.2">
      <c r="A639">
        <v>634</v>
      </c>
      <c r="B639">
        <v>1548856.6267374889</v>
      </c>
      <c r="C639">
        <v>114453.11043860037</v>
      </c>
      <c r="D639">
        <v>174699.21337081524</v>
      </c>
      <c r="E639">
        <v>104059.39704996203</v>
      </c>
      <c r="F639">
        <v>43204.112103458909</v>
      </c>
      <c r="G639">
        <v>10000</v>
      </c>
      <c r="H639">
        <v>426415.83296283655</v>
      </c>
      <c r="I639">
        <v>48.898397736956085</v>
      </c>
    </row>
    <row r="640" spans="1:9" x14ac:dyDescent="0.2">
      <c r="A640">
        <v>635</v>
      </c>
      <c r="B640">
        <v>1088908.0488986191</v>
      </c>
      <c r="C640">
        <v>127157.36348574758</v>
      </c>
      <c r="D640">
        <v>75555.680318053361</v>
      </c>
      <c r="E640">
        <v>67008.786560116161</v>
      </c>
      <c r="F640">
        <v>40639.069838777272</v>
      </c>
      <c r="G640">
        <v>10000</v>
      </c>
      <c r="H640">
        <v>300360.90020269435</v>
      </c>
      <c r="I640">
        <v>41.195036300528685</v>
      </c>
    </row>
    <row r="641" spans="1:9" x14ac:dyDescent="0.2">
      <c r="A641">
        <v>636</v>
      </c>
      <c r="B641">
        <v>1204526.0841048611</v>
      </c>
      <c r="C641">
        <v>122458.11060503975</v>
      </c>
      <c r="D641">
        <v>67299.148542389114</v>
      </c>
      <c r="E641">
        <v>108760.69176560825</v>
      </c>
      <c r="F641">
        <v>43529.586353003651</v>
      </c>
      <c r="G641">
        <v>10000</v>
      </c>
      <c r="H641">
        <v>332047.53726604074</v>
      </c>
      <c r="I641">
        <v>49.889700725823623</v>
      </c>
    </row>
    <row r="642" spans="1:9" x14ac:dyDescent="0.2">
      <c r="A642">
        <v>637</v>
      </c>
      <c r="B642">
        <v>1288695.863326787</v>
      </c>
      <c r="C642">
        <v>133951.02878709265</v>
      </c>
      <c r="D642">
        <v>146983.3423201839</v>
      </c>
      <c r="E642">
        <v>45061.363838416706</v>
      </c>
      <c r="F642">
        <v>39119.632881121157</v>
      </c>
      <c r="G642">
        <v>10000</v>
      </c>
      <c r="H642">
        <v>355115.36782681441</v>
      </c>
      <c r="I642">
        <v>37.052670047649627</v>
      </c>
    </row>
    <row r="643" spans="1:9" x14ac:dyDescent="0.2">
      <c r="A643">
        <v>638</v>
      </c>
      <c r="B643">
        <v>1478610.2190562314</v>
      </c>
      <c r="C643">
        <v>98146.114276638124</v>
      </c>
      <c r="D643">
        <v>128751.59541211919</v>
      </c>
      <c r="E643">
        <v>144277.71769175603</v>
      </c>
      <c r="F643">
        <v>45988.45737866003</v>
      </c>
      <c r="G643">
        <v>10000</v>
      </c>
      <c r="H643">
        <v>407163.88475917338</v>
      </c>
      <c r="I643">
        <v>28.740878348143617</v>
      </c>
    </row>
    <row r="644" spans="1:9" x14ac:dyDescent="0.2">
      <c r="A644">
        <v>639</v>
      </c>
      <c r="B644">
        <v>1470470.3128019175</v>
      </c>
      <c r="C644">
        <v>112802.09471488133</v>
      </c>
      <c r="D644">
        <v>123176.92211794949</v>
      </c>
      <c r="E644">
        <v>133698.004307467</v>
      </c>
      <c r="F644">
        <v>45256.01568282464</v>
      </c>
      <c r="G644">
        <v>10000</v>
      </c>
      <c r="H644">
        <v>404933.03682312247</v>
      </c>
      <c r="I644">
        <v>35.034942562233724</v>
      </c>
    </row>
    <row r="645" spans="1:9" x14ac:dyDescent="0.2">
      <c r="A645">
        <v>640</v>
      </c>
      <c r="B645">
        <v>1133428.9140456505</v>
      </c>
      <c r="C645">
        <v>108148.18477495608</v>
      </c>
      <c r="D645">
        <v>63893.195914475109</v>
      </c>
      <c r="E645">
        <v>107106.01405650516</v>
      </c>
      <c r="F645">
        <v>43415.03174237343</v>
      </c>
      <c r="G645">
        <v>10000</v>
      </c>
      <c r="H645">
        <v>312562.42648830975</v>
      </c>
      <c r="I645">
        <v>38.446142933484481</v>
      </c>
    </row>
    <row r="646" spans="1:9" x14ac:dyDescent="0.2">
      <c r="A646">
        <v>641</v>
      </c>
      <c r="B646">
        <v>1313915.0182440456</v>
      </c>
      <c r="C646">
        <v>138011.22155336066</v>
      </c>
      <c r="D646">
        <v>88629.740304123494</v>
      </c>
      <c r="E646">
        <v>102303.49600425432</v>
      </c>
      <c r="F646">
        <v>43082.549723371449</v>
      </c>
      <c r="G646">
        <v>10000</v>
      </c>
      <c r="H646">
        <v>362027.00758510997</v>
      </c>
      <c r="I646">
        <v>31.860765419486302</v>
      </c>
    </row>
    <row r="647" spans="1:9" x14ac:dyDescent="0.2">
      <c r="A647">
        <v>642</v>
      </c>
      <c r="B647">
        <v>1477748.5705838953</v>
      </c>
      <c r="C647">
        <v>92340.836919072972</v>
      </c>
      <c r="D647">
        <v>94939.54733668438</v>
      </c>
      <c r="E647">
        <v>181109.03653838643</v>
      </c>
      <c r="F647">
        <v>48538.317914195984</v>
      </c>
      <c r="G647">
        <v>10000</v>
      </c>
      <c r="H647">
        <v>406927.73870833981</v>
      </c>
      <c r="I647">
        <v>45.654223757872813</v>
      </c>
    </row>
    <row r="648" spans="1:9" x14ac:dyDescent="0.2">
      <c r="A648">
        <v>643</v>
      </c>
      <c r="B648">
        <v>1621928.5119067989</v>
      </c>
      <c r="C648">
        <v>109069.6287056701</v>
      </c>
      <c r="D648">
        <v>124484.72891190861</v>
      </c>
      <c r="E648">
        <v>174787.1348677559</v>
      </c>
      <c r="F648">
        <v>48100.647798536942</v>
      </c>
      <c r="G648">
        <v>10000</v>
      </c>
      <c r="H648">
        <v>446442.14028387156</v>
      </c>
      <c r="I648">
        <v>46.934266944802005</v>
      </c>
    </row>
    <row r="649" spans="1:9" x14ac:dyDescent="0.2">
      <c r="A649">
        <v>644</v>
      </c>
      <c r="B649">
        <v>1176618.7834186552</v>
      </c>
      <c r="C649">
        <v>119655.8320371853</v>
      </c>
      <c r="D649">
        <v>119058.88292204464</v>
      </c>
      <c r="E649">
        <v>55819.999484911605</v>
      </c>
      <c r="F649">
        <v>39864.461502801569</v>
      </c>
      <c r="G649">
        <v>10000</v>
      </c>
      <c r="H649">
        <v>324399.17594694311</v>
      </c>
      <c r="I649">
        <v>40.554755362709372</v>
      </c>
    </row>
    <row r="650" spans="1:9" x14ac:dyDescent="0.2">
      <c r="A650">
        <v>645</v>
      </c>
      <c r="B650">
        <v>1221005.662522669</v>
      </c>
      <c r="C650">
        <v>109856.28507437707</v>
      </c>
      <c r="D650">
        <v>144567.27604867774</v>
      </c>
      <c r="E650">
        <v>52505.42922523684</v>
      </c>
      <c r="F650">
        <v>39634.991254054854</v>
      </c>
      <c r="G650">
        <v>10000</v>
      </c>
      <c r="H650">
        <v>336563.98160234652</v>
      </c>
      <c r="I650">
        <v>39.338528755619151</v>
      </c>
    </row>
    <row r="651" spans="1:9" x14ac:dyDescent="0.2">
      <c r="A651">
        <v>646</v>
      </c>
      <c r="B651">
        <v>1389668.0909031266</v>
      </c>
      <c r="C651">
        <v>90087.250937982244</v>
      </c>
      <c r="D651">
        <v>66376.070408101878</v>
      </c>
      <c r="E651">
        <v>187354.13708438704</v>
      </c>
      <c r="F651">
        <v>48970.671028919096</v>
      </c>
      <c r="G651">
        <v>10000</v>
      </c>
      <c r="H651">
        <v>382788.12945939024</v>
      </c>
      <c r="I651">
        <v>36.116499350185222</v>
      </c>
    </row>
    <row r="652" spans="1:9" x14ac:dyDescent="0.2">
      <c r="A652">
        <v>647</v>
      </c>
      <c r="B652">
        <v>1201093.5420862059</v>
      </c>
      <c r="C652">
        <v>104470.69413722602</v>
      </c>
      <c r="D652">
        <v>145316.1559307412</v>
      </c>
      <c r="E652">
        <v>51738.086562706565</v>
      </c>
      <c r="F652">
        <v>39581.867531264303</v>
      </c>
      <c r="G652">
        <v>10000</v>
      </c>
      <c r="H652">
        <v>331106.80416193808</v>
      </c>
      <c r="I652">
        <v>29.316952971628783</v>
      </c>
    </row>
    <row r="653" spans="1:9" x14ac:dyDescent="0.2">
      <c r="A653">
        <v>648</v>
      </c>
      <c r="B653">
        <v>1250817.5168133855</v>
      </c>
      <c r="C653">
        <v>113083.70172546923</v>
      </c>
      <c r="D653">
        <v>119845.01259442598</v>
      </c>
      <c r="E653">
        <v>80249.838420671833</v>
      </c>
      <c r="F653">
        <v>41555.758044508053</v>
      </c>
      <c r="G653">
        <v>10000</v>
      </c>
      <c r="H653">
        <v>344734.31078507507</v>
      </c>
      <c r="I653">
        <v>27.8234569077228</v>
      </c>
    </row>
    <row r="654" spans="1:9" x14ac:dyDescent="0.2">
      <c r="A654">
        <v>649</v>
      </c>
      <c r="B654">
        <v>1626088.9690633751</v>
      </c>
      <c r="C654">
        <v>115130.65645322624</v>
      </c>
      <c r="D654">
        <v>149813.97770769949</v>
      </c>
      <c r="E654">
        <v>146495.72235791705</v>
      </c>
      <c r="F654">
        <v>46142.011547855793</v>
      </c>
      <c r="G654">
        <v>10000</v>
      </c>
      <c r="H654">
        <v>447582.3680666986</v>
      </c>
      <c r="I654">
        <v>33.299599284300427</v>
      </c>
    </row>
    <row r="655" spans="1:9" x14ac:dyDescent="0.2">
      <c r="A655">
        <v>650</v>
      </c>
      <c r="B655">
        <v>1688221.2451649008</v>
      </c>
      <c r="C655">
        <v>146418.02731765423</v>
      </c>
      <c r="D655">
        <v>77143.651388911137</v>
      </c>
      <c r="E655">
        <v>201124.82702836569</v>
      </c>
      <c r="F655">
        <v>49924.026486579169</v>
      </c>
      <c r="G655">
        <v>10000</v>
      </c>
      <c r="H655">
        <v>464610.53222151019</v>
      </c>
      <c r="I655">
        <v>43.219259441962592</v>
      </c>
    </row>
    <row r="656" spans="1:9" x14ac:dyDescent="0.2">
      <c r="A656">
        <v>651</v>
      </c>
      <c r="B656">
        <v>1336401.815829542</v>
      </c>
      <c r="C656">
        <v>81959.168607381464</v>
      </c>
      <c r="D656">
        <v>62654.096048292966</v>
      </c>
      <c r="E656">
        <v>184783.81847460364</v>
      </c>
      <c r="F656">
        <v>48792.72589439564</v>
      </c>
      <c r="G656">
        <v>10000</v>
      </c>
      <c r="H656">
        <v>368189.80902467365</v>
      </c>
      <c r="I656">
        <v>38.836361099591429</v>
      </c>
    </row>
    <row r="657" spans="1:9" x14ac:dyDescent="0.2">
      <c r="A657">
        <v>652</v>
      </c>
      <c r="B657">
        <v>937996.64225000702</v>
      </c>
      <c r="C657">
        <v>110916.12435886322</v>
      </c>
      <c r="D657">
        <v>61010.273524730117</v>
      </c>
      <c r="E657">
        <v>57120.741612709848</v>
      </c>
      <c r="F657">
        <v>39954.512880879913</v>
      </c>
      <c r="G657">
        <v>10000</v>
      </c>
      <c r="H657">
        <v>259001.65237718308</v>
      </c>
      <c r="I657">
        <v>28.085535504264449</v>
      </c>
    </row>
    <row r="658" spans="1:9" x14ac:dyDescent="0.2">
      <c r="A658">
        <v>653</v>
      </c>
      <c r="B658">
        <v>931089.50230201369</v>
      </c>
      <c r="C658">
        <v>91223.227591720264</v>
      </c>
      <c r="D658">
        <v>37532.707607415694</v>
      </c>
      <c r="E658">
        <v>95725.570140720287</v>
      </c>
      <c r="F658">
        <v>42627.15485589602</v>
      </c>
      <c r="G658">
        <v>10000</v>
      </c>
      <c r="H658">
        <v>257108.66019575228</v>
      </c>
      <c r="I658">
        <v>38.536855010420609</v>
      </c>
    </row>
    <row r="659" spans="1:9" x14ac:dyDescent="0.2">
      <c r="A659">
        <v>654</v>
      </c>
      <c r="B659">
        <v>1641738.6696389895</v>
      </c>
      <c r="C659">
        <v>153254.16300106805</v>
      </c>
      <c r="D659">
        <v>121707.26642050811</v>
      </c>
      <c r="E659">
        <v>141138.79662902554</v>
      </c>
      <c r="F659">
        <v>45771.147458932537</v>
      </c>
      <c r="G659">
        <v>10000</v>
      </c>
      <c r="H659">
        <v>451871.37350953423</v>
      </c>
      <c r="I659">
        <v>42.635719584978006</v>
      </c>
    </row>
    <row r="660" spans="1:9" x14ac:dyDescent="0.2">
      <c r="A660">
        <v>655</v>
      </c>
      <c r="B660">
        <v>930575.28664160427</v>
      </c>
      <c r="C660">
        <v>101606.59339526518</v>
      </c>
      <c r="D660">
        <v>68457.118222142322</v>
      </c>
      <c r="E660">
        <v>56960.595217963382</v>
      </c>
      <c r="F660">
        <v>39943.425822782083</v>
      </c>
      <c r="G660">
        <v>10000</v>
      </c>
      <c r="H660">
        <v>256967.73265815299</v>
      </c>
      <c r="I660">
        <v>31.507323342442589</v>
      </c>
    </row>
    <row r="661" spans="1:9" x14ac:dyDescent="0.2">
      <c r="A661">
        <v>656</v>
      </c>
      <c r="B661">
        <v>1055969.59192716</v>
      </c>
      <c r="C661">
        <v>120940.58457806443</v>
      </c>
      <c r="D661">
        <v>103585.65132474576</v>
      </c>
      <c r="E661">
        <v>38165.239787811464</v>
      </c>
      <c r="F661">
        <v>38642.20890838695</v>
      </c>
      <c r="G661">
        <v>10000</v>
      </c>
      <c r="H661">
        <v>291333.68459900859</v>
      </c>
      <c r="I661">
        <v>29.864519244985654</v>
      </c>
    </row>
    <row r="662" spans="1:9" x14ac:dyDescent="0.2">
      <c r="A662">
        <v>657</v>
      </c>
      <c r="B662">
        <v>1556008.0361618409</v>
      </c>
      <c r="C662">
        <v>87652.69067765669</v>
      </c>
      <c r="D662">
        <v>99914.781427890688</v>
      </c>
      <c r="E662">
        <v>200899.84732015611</v>
      </c>
      <c r="F662">
        <v>49908.450968318502</v>
      </c>
      <c r="G662">
        <v>10000</v>
      </c>
      <c r="H662">
        <v>428375.77039402199</v>
      </c>
      <c r="I662">
        <v>38.026951922899912</v>
      </c>
    </row>
    <row r="663" spans="1:9" x14ac:dyDescent="0.2">
      <c r="A663">
        <v>658</v>
      </c>
      <c r="B663">
        <v>914546.70655077579</v>
      </c>
      <c r="C663">
        <v>120533.14451566097</v>
      </c>
      <c r="D663">
        <v>53387.62021947193</v>
      </c>
      <c r="E663">
        <v>49244.86565595663</v>
      </c>
      <c r="F663">
        <v>39409.259930027765</v>
      </c>
      <c r="G663">
        <v>10000</v>
      </c>
      <c r="H663">
        <v>252574.8903211173</v>
      </c>
      <c r="I663">
        <v>32.233374154396536</v>
      </c>
    </row>
    <row r="664" spans="1:9" x14ac:dyDescent="0.2">
      <c r="A664">
        <v>659</v>
      </c>
      <c r="B664">
        <v>1202372.1260494778</v>
      </c>
      <c r="C664">
        <v>99924.806108332006</v>
      </c>
      <c r="D664">
        <v>130904.3459841748</v>
      </c>
      <c r="E664">
        <v>69796.031783491722</v>
      </c>
      <c r="F664">
        <v>40832.032969626351</v>
      </c>
      <c r="G664">
        <v>10000</v>
      </c>
      <c r="H664">
        <v>331457.21684562491</v>
      </c>
      <c r="I664">
        <v>32.252061822872122</v>
      </c>
    </row>
    <row r="665" spans="1:9" x14ac:dyDescent="0.2">
      <c r="A665">
        <v>660</v>
      </c>
      <c r="B665">
        <v>1090272.1232943004</v>
      </c>
      <c r="C665">
        <v>116815.74626392216</v>
      </c>
      <c r="D665">
        <v>93692.186984797445</v>
      </c>
      <c r="E665">
        <v>60068.23901704052</v>
      </c>
      <c r="F665">
        <v>40158.570393487425</v>
      </c>
      <c r="G665">
        <v>10000</v>
      </c>
      <c r="H665">
        <v>300734.74265924754</v>
      </c>
      <c r="I665">
        <v>26.128528848467326</v>
      </c>
    </row>
    <row r="666" spans="1:9" x14ac:dyDescent="0.2">
      <c r="A666">
        <v>661</v>
      </c>
      <c r="B666">
        <v>1447633.0074764064</v>
      </c>
      <c r="C666">
        <v>100559.61116721517</v>
      </c>
      <c r="D666">
        <v>90080.283762397085</v>
      </c>
      <c r="E666">
        <v>170247.88703691174</v>
      </c>
      <c r="F666">
        <v>47786.392179478506</v>
      </c>
      <c r="G666">
        <v>10000</v>
      </c>
      <c r="H666">
        <v>398674.17414600245</v>
      </c>
      <c r="I666">
        <v>33.696383765485464</v>
      </c>
    </row>
    <row r="667" spans="1:9" x14ac:dyDescent="0.2">
      <c r="A667">
        <v>662</v>
      </c>
      <c r="B667">
        <v>1031167.5862481247</v>
      </c>
      <c r="C667">
        <v>103188.81836430354</v>
      </c>
      <c r="D667">
        <v>92640.534605343462</v>
      </c>
      <c r="E667">
        <v>58646.850510368451</v>
      </c>
      <c r="F667">
        <v>40060.166573794733</v>
      </c>
      <c r="G667">
        <v>10000</v>
      </c>
      <c r="H667">
        <v>284536.37005381018</v>
      </c>
      <c r="I667">
        <v>40.011788692648949</v>
      </c>
    </row>
    <row r="668" spans="1:9" x14ac:dyDescent="0.2">
      <c r="A668">
        <v>663</v>
      </c>
      <c r="B668">
        <v>1513001.764146636</v>
      </c>
      <c r="C668">
        <v>158784.62869337338</v>
      </c>
      <c r="D668">
        <v>62087.873456799818</v>
      </c>
      <c r="E668">
        <v>158727.97615823895</v>
      </c>
      <c r="F668">
        <v>46988.859887878083</v>
      </c>
      <c r="G668">
        <v>10000</v>
      </c>
      <c r="H668">
        <v>416589.33819629019</v>
      </c>
      <c r="I668">
        <v>33.255923411323451</v>
      </c>
    </row>
    <row r="669" spans="1:9" x14ac:dyDescent="0.2">
      <c r="A669">
        <v>664</v>
      </c>
      <c r="B669">
        <v>1300239.4138099619</v>
      </c>
      <c r="C669">
        <v>127847.77975218737</v>
      </c>
      <c r="D669">
        <v>86749.467922682627</v>
      </c>
      <c r="E669">
        <v>110062.09768816065</v>
      </c>
      <c r="F669">
        <v>43619.683686103432</v>
      </c>
      <c r="G669">
        <v>10000</v>
      </c>
      <c r="H669">
        <v>358279.02904913411</v>
      </c>
      <c r="I669">
        <v>40.588172786808485</v>
      </c>
    </row>
    <row r="670" spans="1:9" x14ac:dyDescent="0.2">
      <c r="A670">
        <v>665</v>
      </c>
      <c r="B670">
        <v>1592478.2868114591</v>
      </c>
      <c r="C670">
        <v>95028.810889683955</v>
      </c>
      <c r="D670">
        <v>152115.08868886379</v>
      </c>
      <c r="E670">
        <v>154528.86831861857</v>
      </c>
      <c r="F670">
        <v>46698.152422058207</v>
      </c>
      <c r="G670">
        <v>10000</v>
      </c>
      <c r="H670">
        <v>438370.92031922453</v>
      </c>
      <c r="I670">
        <v>35.184680399913105</v>
      </c>
    </row>
    <row r="671" spans="1:9" x14ac:dyDescent="0.2">
      <c r="A671">
        <v>666</v>
      </c>
      <c r="B671">
        <v>932110.00650518027</v>
      </c>
      <c r="C671">
        <v>102078.58212378269</v>
      </c>
      <c r="D671">
        <v>95360.602943779566</v>
      </c>
      <c r="E671">
        <v>31751.010773268499</v>
      </c>
      <c r="F671">
        <v>38198.146899687817</v>
      </c>
      <c r="G671">
        <v>10000</v>
      </c>
      <c r="H671">
        <v>257388.34274051856</v>
      </c>
      <c r="I671">
        <v>27.547961197916948</v>
      </c>
    </row>
    <row r="672" spans="1:9" x14ac:dyDescent="0.2">
      <c r="A672">
        <v>667</v>
      </c>
      <c r="B672">
        <v>979674.13499777461</v>
      </c>
      <c r="C672">
        <v>92361.495332423336</v>
      </c>
      <c r="D672">
        <v>100786.13466366421</v>
      </c>
      <c r="E672">
        <v>47956.237970405811</v>
      </c>
      <c r="F672">
        <v>39320.047244105022</v>
      </c>
      <c r="G672">
        <v>10000</v>
      </c>
      <c r="H672">
        <v>270423.91521059838</v>
      </c>
      <c r="I672">
        <v>52.960468309599328</v>
      </c>
    </row>
    <row r="673" spans="1:9" x14ac:dyDescent="0.2">
      <c r="A673">
        <v>668</v>
      </c>
      <c r="B673">
        <v>1464041.9622096608</v>
      </c>
      <c r="C673">
        <v>113423.04790373203</v>
      </c>
      <c r="D673">
        <v>59006.769650596485</v>
      </c>
      <c r="E673">
        <v>191484.80522067571</v>
      </c>
      <c r="F673">
        <v>49256.640361431397</v>
      </c>
      <c r="G673">
        <v>10000</v>
      </c>
      <c r="H673">
        <v>403171.26313643565</v>
      </c>
      <c r="I673">
        <v>51.477885888086618</v>
      </c>
    </row>
    <row r="674" spans="1:9" x14ac:dyDescent="0.2">
      <c r="A674">
        <v>669</v>
      </c>
      <c r="B674">
        <v>1218964.0950035348</v>
      </c>
      <c r="C674">
        <v>84772.030161321192</v>
      </c>
      <c r="D674">
        <v>53249.298717038102</v>
      </c>
      <c r="E674">
        <v>160847.53577190492</v>
      </c>
      <c r="F674">
        <v>47135.598630362649</v>
      </c>
      <c r="G674">
        <v>10000</v>
      </c>
      <c r="H674">
        <v>336004.46328062686</v>
      </c>
      <c r="I674">
        <v>33.198453207791303</v>
      </c>
    </row>
    <row r="675" spans="1:9" x14ac:dyDescent="0.2">
      <c r="A675">
        <v>670</v>
      </c>
      <c r="B675">
        <v>1024005.2799055334</v>
      </c>
      <c r="C675">
        <v>102086.49498466891</v>
      </c>
      <c r="D675">
        <v>105559.55829377058</v>
      </c>
      <c r="E675">
        <v>45759.432209568105</v>
      </c>
      <c r="F675">
        <v>39167.960691431632</v>
      </c>
      <c r="G675">
        <v>10000</v>
      </c>
      <c r="H675">
        <v>282573.44617943926</v>
      </c>
      <c r="I675">
        <v>36.52087233190781</v>
      </c>
    </row>
    <row r="676" spans="1:9" x14ac:dyDescent="0.2">
      <c r="A676">
        <v>671</v>
      </c>
      <c r="B676">
        <v>1393936.9249918628</v>
      </c>
      <c r="C676">
        <v>142382.38883091838</v>
      </c>
      <c r="D676">
        <v>93569.318682148703</v>
      </c>
      <c r="E676">
        <v>114106.66000085717</v>
      </c>
      <c r="F676">
        <v>43899.691846213187</v>
      </c>
      <c r="G676">
        <v>10000</v>
      </c>
      <c r="H676">
        <v>383958.05936013744</v>
      </c>
      <c r="I676">
        <v>30.721811437332704</v>
      </c>
    </row>
    <row r="677" spans="1:9" x14ac:dyDescent="0.2">
      <c r="A677">
        <v>672</v>
      </c>
      <c r="B677">
        <v>1520246.5943495864</v>
      </c>
      <c r="C677">
        <v>109321.18634529438</v>
      </c>
      <c r="D677">
        <v>114233.16674138758</v>
      </c>
      <c r="E677">
        <v>158076.75068171925</v>
      </c>
      <c r="F677">
        <v>46943.775047195944</v>
      </c>
      <c r="G677">
        <v>10000</v>
      </c>
      <c r="H677">
        <v>418574.87881559716</v>
      </c>
      <c r="I677">
        <v>41.930484917494582</v>
      </c>
    </row>
    <row r="678" spans="1:9" x14ac:dyDescent="0.2">
      <c r="A678">
        <v>673</v>
      </c>
      <c r="B678">
        <v>1317052.9959766183</v>
      </c>
      <c r="C678">
        <v>105776.57978902182</v>
      </c>
      <c r="D678">
        <v>112035.15235055742</v>
      </c>
      <c r="E678">
        <v>111365.36917480665</v>
      </c>
      <c r="F678">
        <v>43709.910173640455</v>
      </c>
      <c r="G678">
        <v>10000</v>
      </c>
      <c r="H678">
        <v>362887.01148802636</v>
      </c>
      <c r="I678">
        <v>30.818434016129547</v>
      </c>
    </row>
    <row r="679" spans="1:9" x14ac:dyDescent="0.2">
      <c r="A679">
        <v>674</v>
      </c>
      <c r="B679">
        <v>1183178.64375812</v>
      </c>
      <c r="C679">
        <v>94273.187674425571</v>
      </c>
      <c r="D679">
        <v>70997.893545804633</v>
      </c>
      <c r="E679">
        <v>126189.7003575538</v>
      </c>
      <c r="F679">
        <v>44736.210024753724</v>
      </c>
      <c r="G679">
        <v>10000</v>
      </c>
      <c r="H679">
        <v>326196.99160253769</v>
      </c>
      <c r="I679">
        <v>46.683439399305612</v>
      </c>
    </row>
    <row r="680" spans="1:9" x14ac:dyDescent="0.2">
      <c r="A680">
        <v>675</v>
      </c>
      <c r="B680">
        <v>1014181.6398889455</v>
      </c>
      <c r="C680">
        <v>112908.71167625416</v>
      </c>
      <c r="D680">
        <v>65024.209559591487</v>
      </c>
      <c r="E680">
        <v>71030.71656729492</v>
      </c>
      <c r="F680">
        <v>40917.511146966572</v>
      </c>
      <c r="G680">
        <v>10000</v>
      </c>
      <c r="H680">
        <v>279881.14895010716</v>
      </c>
      <c r="I680">
        <v>28.75041717124855</v>
      </c>
    </row>
    <row r="681" spans="1:9" x14ac:dyDescent="0.2">
      <c r="A681">
        <v>676</v>
      </c>
      <c r="B681">
        <v>1664899.3953194316</v>
      </c>
      <c r="C681">
        <v>119924.06022720571</v>
      </c>
      <c r="D681">
        <v>142356.55858170282</v>
      </c>
      <c r="E681">
        <v>158935.05859810967</v>
      </c>
      <c r="F681">
        <v>47003.196364484516</v>
      </c>
      <c r="G681">
        <v>10000</v>
      </c>
      <c r="H681">
        <v>458218.87377150264</v>
      </c>
      <c r="I681">
        <v>31.678298257234054</v>
      </c>
    </row>
    <row r="682" spans="1:9" x14ac:dyDescent="0.2">
      <c r="A682">
        <v>677</v>
      </c>
      <c r="B682">
        <v>1414380.6951317983</v>
      </c>
      <c r="C682">
        <v>75944.746390349581</v>
      </c>
      <c r="D682">
        <v>156632.93438871668</v>
      </c>
      <c r="E682">
        <v>122502.33098060437</v>
      </c>
      <c r="F682">
        <v>44480.930606349531</v>
      </c>
      <c r="G682">
        <v>10000</v>
      </c>
      <c r="H682">
        <v>389560.94236602017</v>
      </c>
      <c r="I682">
        <v>30.177494362016411</v>
      </c>
    </row>
    <row r="683" spans="1:9" x14ac:dyDescent="0.2">
      <c r="A683">
        <v>678</v>
      </c>
      <c r="B683">
        <v>1266764.4106675028</v>
      </c>
      <c r="C683">
        <v>108062.124303399</v>
      </c>
      <c r="D683">
        <v>43629.692953977414</v>
      </c>
      <c r="E683">
        <v>160314.26855107248</v>
      </c>
      <c r="F683">
        <v>47098.680130458859</v>
      </c>
      <c r="G683">
        <v>10000</v>
      </c>
      <c r="H683">
        <v>349104.76593890775</v>
      </c>
      <c r="I683">
        <v>38.434891298118892</v>
      </c>
    </row>
    <row r="684" spans="1:9" x14ac:dyDescent="0.2">
      <c r="A684">
        <v>679</v>
      </c>
      <c r="B684">
        <v>970232.68867942877</v>
      </c>
      <c r="C684">
        <v>117615.03261898959</v>
      </c>
      <c r="D684">
        <v>92832.576310688295</v>
      </c>
      <c r="E684">
        <v>29356.388858546001</v>
      </c>
      <c r="F684">
        <v>38032.365382514719</v>
      </c>
      <c r="G684">
        <v>10000</v>
      </c>
      <c r="H684">
        <v>267836.36317073856</v>
      </c>
      <c r="I684">
        <v>37.051029588340413</v>
      </c>
    </row>
    <row r="685" spans="1:9" x14ac:dyDescent="0.2">
      <c r="A685">
        <v>680</v>
      </c>
      <c r="B685">
        <v>1116395.7486890578</v>
      </c>
      <c r="C685">
        <v>98471.024114796455</v>
      </c>
      <c r="D685">
        <v>98713.667406711451</v>
      </c>
      <c r="E685">
        <v>79224.780389797437</v>
      </c>
      <c r="F685">
        <v>41484.792488524436</v>
      </c>
      <c r="G685">
        <v>10000</v>
      </c>
      <c r="H685">
        <v>307894.26439982979</v>
      </c>
      <c r="I685">
        <v>42.333233141433396</v>
      </c>
    </row>
    <row r="686" spans="1:9" x14ac:dyDescent="0.2">
      <c r="A686">
        <v>681</v>
      </c>
      <c r="B686">
        <v>1506890.627941425</v>
      </c>
      <c r="C686">
        <v>148870.19728375308</v>
      </c>
      <c r="D686">
        <v>74607.725230843571</v>
      </c>
      <c r="E686">
        <v>154724.85782660503</v>
      </c>
      <c r="F686">
        <v>46711.720926457267</v>
      </c>
      <c r="G686">
        <v>10000</v>
      </c>
      <c r="H686">
        <v>414914.50126765895</v>
      </c>
      <c r="I686">
        <v>32.34287997349108</v>
      </c>
    </row>
    <row r="687" spans="1:9" x14ac:dyDescent="0.2">
      <c r="A687">
        <v>682</v>
      </c>
      <c r="B687">
        <v>1370965.4430629823</v>
      </c>
      <c r="C687">
        <v>78350.01722293823</v>
      </c>
      <c r="D687">
        <v>67141.914283732971</v>
      </c>
      <c r="E687">
        <v>192821.32375305431</v>
      </c>
      <c r="F687">
        <v>49349.168567519147</v>
      </c>
      <c r="G687">
        <v>10000</v>
      </c>
      <c r="H687">
        <v>377662.42382724467</v>
      </c>
      <c r="I687">
        <v>30.81482070248876</v>
      </c>
    </row>
    <row r="688" spans="1:9" x14ac:dyDescent="0.2">
      <c r="A688">
        <v>683</v>
      </c>
      <c r="B688">
        <v>1405971.5987193233</v>
      </c>
      <c r="C688">
        <v>112175.08954180399</v>
      </c>
      <c r="D688">
        <v>77997.598217359089</v>
      </c>
      <c r="E688">
        <v>160006.27414121447</v>
      </c>
      <c r="F688">
        <v>47077.357440545617</v>
      </c>
      <c r="G688">
        <v>10000</v>
      </c>
      <c r="H688">
        <v>387256.31934092316</v>
      </c>
      <c r="I688">
        <v>36.264669704435931</v>
      </c>
    </row>
    <row r="689" spans="1:9" x14ac:dyDescent="0.2">
      <c r="A689">
        <v>684</v>
      </c>
      <c r="B689">
        <v>1022532.8646038313</v>
      </c>
      <c r="C689">
        <v>134025.00622676511</v>
      </c>
      <c r="D689">
        <v>92508.617114200024</v>
      </c>
      <c r="E689">
        <v>27717.391783213585</v>
      </c>
      <c r="F689">
        <v>37918.896354222474</v>
      </c>
      <c r="G689">
        <v>10000</v>
      </c>
      <c r="H689">
        <v>282169.91147840122</v>
      </c>
      <c r="I689">
        <v>38.513387624024702</v>
      </c>
    </row>
    <row r="690" spans="1:9" x14ac:dyDescent="0.2">
      <c r="A690">
        <v>685</v>
      </c>
      <c r="B690">
        <v>1111454.7549976492</v>
      </c>
      <c r="C690">
        <v>100721.80058461103</v>
      </c>
      <c r="D690">
        <v>96977.990861118495</v>
      </c>
      <c r="E690">
        <v>77476.566605934233</v>
      </c>
      <c r="F690">
        <v>41363.762303487754</v>
      </c>
      <c r="G690">
        <v>10000</v>
      </c>
      <c r="H690">
        <v>306540.12035515148</v>
      </c>
      <c r="I690">
        <v>40.026229289534157</v>
      </c>
    </row>
    <row r="691" spans="1:9" x14ac:dyDescent="0.2">
      <c r="A691">
        <v>686</v>
      </c>
      <c r="B691">
        <v>1751190.1433828631</v>
      </c>
      <c r="C691">
        <v>168170.43020830216</v>
      </c>
      <c r="D691">
        <v>113813.79110764085</v>
      </c>
      <c r="E691">
        <v>162625.1014415221</v>
      </c>
      <c r="F691">
        <v>47258.660869028448</v>
      </c>
      <c r="G691">
        <v>10000</v>
      </c>
      <c r="H691">
        <v>481867.98362649349</v>
      </c>
      <c r="I691">
        <v>43.078359044838706</v>
      </c>
    </row>
    <row r="692" spans="1:9" x14ac:dyDescent="0.2">
      <c r="A692">
        <v>687</v>
      </c>
      <c r="B692">
        <v>1021838.1070884657</v>
      </c>
      <c r="C692">
        <v>94981.320779960763</v>
      </c>
      <c r="D692">
        <v>53676.650503103425</v>
      </c>
      <c r="E692">
        <v>100372.6565731224</v>
      </c>
      <c r="F692">
        <v>42948.87622429309</v>
      </c>
      <c r="G692">
        <v>10000</v>
      </c>
      <c r="H692">
        <v>281979.50408047967</v>
      </c>
      <c r="I692">
        <v>47.088566160296445</v>
      </c>
    </row>
    <row r="693" spans="1:9" x14ac:dyDescent="0.2">
      <c r="A693">
        <v>688</v>
      </c>
      <c r="B693">
        <v>1627863.4223382962</v>
      </c>
      <c r="C693">
        <v>108333.32316073815</v>
      </c>
      <c r="D693">
        <v>146332.17293818449</v>
      </c>
      <c r="E693">
        <v>156564.12904418563</v>
      </c>
      <c r="F693">
        <v>46839.05508767438</v>
      </c>
      <c r="G693">
        <v>10000</v>
      </c>
      <c r="H693">
        <v>448068.6802307826</v>
      </c>
      <c r="I693">
        <v>36.634583868910404</v>
      </c>
    </row>
    <row r="694" spans="1:9" x14ac:dyDescent="0.2">
      <c r="A694">
        <v>689</v>
      </c>
      <c r="B694">
        <v>1660312.8689113408</v>
      </c>
      <c r="C694">
        <v>89847.1218566717</v>
      </c>
      <c r="D694">
        <v>136070.0521002032</v>
      </c>
      <c r="E694">
        <v>191768.42649199977</v>
      </c>
      <c r="F694">
        <v>49276.275680215374</v>
      </c>
      <c r="G694">
        <v>10000</v>
      </c>
      <c r="H694">
        <v>456961.87612909003</v>
      </c>
      <c r="I694">
        <v>27.083991196114333</v>
      </c>
    </row>
    <row r="695" spans="1:9" x14ac:dyDescent="0.2">
      <c r="A695">
        <v>690</v>
      </c>
      <c r="B695">
        <v>1385979.4324422365</v>
      </c>
      <c r="C695">
        <v>111704.59483053755</v>
      </c>
      <c r="D695">
        <v>67077.903673353168</v>
      </c>
      <c r="E695">
        <v>165534.61692165022</v>
      </c>
      <c r="F695">
        <v>47460.088863806552</v>
      </c>
      <c r="G695">
        <v>10000</v>
      </c>
      <c r="H695">
        <v>381777.20428934752</v>
      </c>
      <c r="I695">
        <v>37.526827161298563</v>
      </c>
    </row>
    <row r="696" spans="1:9" x14ac:dyDescent="0.2">
      <c r="A696">
        <v>691</v>
      </c>
      <c r="B696">
        <v>1148590.9063803125</v>
      </c>
      <c r="C696">
        <v>112071.75652672717</v>
      </c>
      <c r="D696">
        <v>129673.6622733382</v>
      </c>
      <c r="E696">
        <v>45801.478696917307</v>
      </c>
      <c r="F696">
        <v>39170.871602094274</v>
      </c>
      <c r="G696">
        <v>10000</v>
      </c>
      <c r="H696">
        <v>316717.76909907692</v>
      </c>
      <c r="I696">
        <v>44.018227759588797</v>
      </c>
    </row>
    <row r="697" spans="1:9" x14ac:dyDescent="0.2">
      <c r="A697">
        <v>692</v>
      </c>
      <c r="B697">
        <v>1187498.2646191921</v>
      </c>
      <c r="C697">
        <v>108600.83936395161</v>
      </c>
      <c r="D697">
        <v>86933.074132936308</v>
      </c>
      <c r="E697">
        <v>98993.52864936307</v>
      </c>
      <c r="F697">
        <v>42853.39813726359</v>
      </c>
      <c r="G697">
        <v>10000</v>
      </c>
      <c r="H697">
        <v>327380.84028351458</v>
      </c>
      <c r="I697">
        <v>48.142852345449924</v>
      </c>
    </row>
    <row r="698" spans="1:9" x14ac:dyDescent="0.2">
      <c r="A698">
        <v>693</v>
      </c>
      <c r="B698">
        <v>1220241.1422357336</v>
      </c>
      <c r="C698">
        <v>116606.93725840843</v>
      </c>
      <c r="D698">
        <v>61539.552684577182</v>
      </c>
      <c r="E698">
        <v>123647.73691946869</v>
      </c>
      <c r="F698">
        <v>44560.227940578596</v>
      </c>
      <c r="G698">
        <v>10000</v>
      </c>
      <c r="H698">
        <v>336354.45480303292</v>
      </c>
      <c r="I698">
        <v>36.698635936389884</v>
      </c>
    </row>
    <row r="699" spans="1:9" x14ac:dyDescent="0.2">
      <c r="A699">
        <v>694</v>
      </c>
      <c r="B699">
        <v>891540.62584646</v>
      </c>
      <c r="C699">
        <v>96637.174249504969</v>
      </c>
      <c r="D699">
        <v>65504.483273389793</v>
      </c>
      <c r="E699">
        <v>54364.424117275361</v>
      </c>
      <c r="F699">
        <v>39763.690900426758</v>
      </c>
      <c r="G699">
        <v>10000</v>
      </c>
      <c r="H699">
        <v>246269.7725405969</v>
      </c>
      <c r="I699">
        <v>28.755973881449826</v>
      </c>
    </row>
    <row r="700" spans="1:9" x14ac:dyDescent="0.2">
      <c r="A700">
        <v>695</v>
      </c>
      <c r="B700">
        <v>1229584.7967319074</v>
      </c>
      <c r="C700">
        <v>97129.657510883742</v>
      </c>
      <c r="D700">
        <v>119603.5014021903</v>
      </c>
      <c r="E700">
        <v>89954.432258944304</v>
      </c>
      <c r="F700">
        <v>42227.614541003837</v>
      </c>
      <c r="G700">
        <v>10000</v>
      </c>
      <c r="H700">
        <v>338915.20571302221</v>
      </c>
      <c r="I700">
        <v>35.384695378363787</v>
      </c>
    </row>
    <row r="701" spans="1:9" x14ac:dyDescent="0.2">
      <c r="A701">
        <v>696</v>
      </c>
      <c r="B701">
        <v>1297276.4780618344</v>
      </c>
      <c r="C701">
        <v>107710.96288377479</v>
      </c>
      <c r="D701">
        <v>78224.909242451176</v>
      </c>
      <c r="E701">
        <v>136108.2469348078</v>
      </c>
      <c r="F701">
        <v>45422.878633948239</v>
      </c>
      <c r="G701">
        <v>10000</v>
      </c>
      <c r="H701">
        <v>357466.99769498198</v>
      </c>
      <c r="I701">
        <v>36.409988899307614</v>
      </c>
    </row>
    <row r="702" spans="1:9" x14ac:dyDescent="0.2">
      <c r="A702">
        <v>697</v>
      </c>
      <c r="B702">
        <v>1133251.0170272309</v>
      </c>
      <c r="C702">
        <v>107357.71096189546</v>
      </c>
      <c r="D702">
        <v>39169.626075917229</v>
      </c>
      <c r="E702">
        <v>130922.47106111878</v>
      </c>
      <c r="F702">
        <v>45063.863381154377</v>
      </c>
      <c r="G702">
        <v>10000</v>
      </c>
      <c r="H702">
        <v>312513.67148008582</v>
      </c>
      <c r="I702">
        <v>29.517024985599491</v>
      </c>
    </row>
    <row r="703" spans="1:9" x14ac:dyDescent="0.2">
      <c r="A703">
        <v>698</v>
      </c>
      <c r="B703">
        <v>694475.74493803468</v>
      </c>
      <c r="C703">
        <v>89134.334936773332</v>
      </c>
      <c r="D703">
        <v>25672.603078941054</v>
      </c>
      <c r="E703">
        <v>48123.02823775143</v>
      </c>
      <c r="F703">
        <v>39331.594262613558</v>
      </c>
      <c r="G703">
        <v>10000</v>
      </c>
      <c r="H703">
        <v>192261.56051607939</v>
      </c>
      <c r="I703">
        <v>39.490943245935469</v>
      </c>
    </row>
    <row r="704" spans="1:9" x14ac:dyDescent="0.2">
      <c r="A704">
        <v>699</v>
      </c>
      <c r="B704">
        <v>1106841.8290971452</v>
      </c>
      <c r="C704">
        <v>110545.36209285338</v>
      </c>
      <c r="D704">
        <v>60708.88965916061</v>
      </c>
      <c r="E704">
        <v>101027.4291972795</v>
      </c>
      <c r="F704">
        <v>42994.206636734729</v>
      </c>
      <c r="G704">
        <v>10000</v>
      </c>
      <c r="H704">
        <v>305275.8875860282</v>
      </c>
      <c r="I704">
        <v>27.640569602305938</v>
      </c>
    </row>
    <row r="705" spans="1:9" x14ac:dyDescent="0.2">
      <c r="A705">
        <v>700</v>
      </c>
      <c r="B705">
        <v>1047811.5206603783</v>
      </c>
      <c r="C705">
        <v>91373.381088371025</v>
      </c>
      <c r="D705">
        <v>54573.534752393192</v>
      </c>
      <c r="E705">
        <v>109565.62964125974</v>
      </c>
      <c r="F705">
        <v>43585.312821317981</v>
      </c>
      <c r="G705">
        <v>10000</v>
      </c>
      <c r="H705">
        <v>289097.85830334196</v>
      </c>
      <c r="I705">
        <v>43.036208854468214</v>
      </c>
    </row>
    <row r="706" spans="1:9" x14ac:dyDescent="0.2">
      <c r="A706">
        <v>701</v>
      </c>
      <c r="B706">
        <v>1343297.4794217076</v>
      </c>
      <c r="C706">
        <v>163996.13270907296</v>
      </c>
      <c r="D706">
        <v>96476.257778116415</v>
      </c>
      <c r="E706">
        <v>78193.84540665384</v>
      </c>
      <c r="F706">
        <v>41413.420066614497</v>
      </c>
      <c r="G706">
        <v>10000</v>
      </c>
      <c r="H706">
        <v>370079.65596045775</v>
      </c>
      <c r="I706">
        <v>33.46318947148535</v>
      </c>
    </row>
    <row r="707" spans="1:9" x14ac:dyDescent="0.2">
      <c r="A707">
        <v>702</v>
      </c>
      <c r="B707">
        <v>1024792.3939752239</v>
      </c>
      <c r="C707">
        <v>89075.417268389036</v>
      </c>
      <c r="D707">
        <v>87233.717961257396</v>
      </c>
      <c r="E707">
        <v>75269.092685325886</v>
      </c>
      <c r="F707">
        <v>41210.937185907176</v>
      </c>
      <c r="G707">
        <v>10000</v>
      </c>
      <c r="H707">
        <v>282789.1651008795</v>
      </c>
      <c r="I707">
        <v>29.423321833823628</v>
      </c>
    </row>
    <row r="708" spans="1:9" x14ac:dyDescent="0.2">
      <c r="A708">
        <v>703</v>
      </c>
      <c r="B708">
        <v>1148450.7877120511</v>
      </c>
      <c r="C708">
        <v>105431.28434788644</v>
      </c>
      <c r="D708">
        <v>66464.216559001652</v>
      </c>
      <c r="E708">
        <v>111092.82509813255</v>
      </c>
      <c r="F708">
        <v>43691.04173756302</v>
      </c>
      <c r="G708">
        <v>10000</v>
      </c>
      <c r="H708">
        <v>316679.36774258368</v>
      </c>
      <c r="I708">
        <v>43.452897300612221</v>
      </c>
    </row>
    <row r="709" spans="1:9" x14ac:dyDescent="0.2">
      <c r="A709">
        <v>704</v>
      </c>
      <c r="B709">
        <v>1516119.1546320464</v>
      </c>
      <c r="C709">
        <v>103665.63907140613</v>
      </c>
      <c r="D709">
        <v>69504.535196801793</v>
      </c>
      <c r="E709">
        <v>204140.70742022005</v>
      </c>
      <c r="F709">
        <v>50132.818206015239</v>
      </c>
      <c r="G709">
        <v>10000</v>
      </c>
      <c r="H709">
        <v>417443.69989444321</v>
      </c>
      <c r="I709">
        <v>30.299283269482714</v>
      </c>
    </row>
    <row r="710" spans="1:9" x14ac:dyDescent="0.2">
      <c r="A710">
        <v>705</v>
      </c>
      <c r="B710">
        <v>1478341.5588999975</v>
      </c>
      <c r="C710">
        <v>76299.613637150425</v>
      </c>
      <c r="D710">
        <v>95601.912288713735</v>
      </c>
      <c r="E710">
        <v>195644.13503431948</v>
      </c>
      <c r="F710">
        <v>49544.59396391442</v>
      </c>
      <c r="G710">
        <v>10000</v>
      </c>
      <c r="H710">
        <v>407090.25492409809</v>
      </c>
      <c r="I710">
        <v>28.164676977465625</v>
      </c>
    </row>
    <row r="711" spans="1:9" x14ac:dyDescent="0.2">
      <c r="A711">
        <v>706</v>
      </c>
      <c r="B711">
        <v>1191714.8936151522</v>
      </c>
      <c r="C711">
        <v>99192.445777792003</v>
      </c>
      <c r="D711">
        <v>138716.74644755729</v>
      </c>
      <c r="E711">
        <v>60442.770942592309</v>
      </c>
      <c r="F711">
        <v>40184.499526794847</v>
      </c>
      <c r="G711">
        <v>10000</v>
      </c>
      <c r="H711">
        <v>328536.46269473643</v>
      </c>
      <c r="I711">
        <v>46.722998986008591</v>
      </c>
    </row>
    <row r="712" spans="1:9" x14ac:dyDescent="0.2">
      <c r="A712">
        <v>707</v>
      </c>
      <c r="B712">
        <v>1038691.6132348172</v>
      </c>
      <c r="C712">
        <v>111487.97465031109</v>
      </c>
      <c r="D712">
        <v>78404.079180754008</v>
      </c>
      <c r="E712">
        <v>66128.263806686315</v>
      </c>
      <c r="F712">
        <v>40578.11057123213</v>
      </c>
      <c r="G712">
        <v>10000</v>
      </c>
      <c r="H712">
        <v>286598.4282089835</v>
      </c>
      <c r="I712">
        <v>31.715079901641868</v>
      </c>
    </row>
    <row r="713" spans="1:9" x14ac:dyDescent="0.2">
      <c r="A713">
        <v>708</v>
      </c>
      <c r="B713">
        <v>1516502.6573519656</v>
      </c>
      <c r="C713">
        <v>151011.20483063947</v>
      </c>
      <c r="D713">
        <v>47859.145508566879</v>
      </c>
      <c r="E713">
        <v>180202.87017915194</v>
      </c>
      <c r="F713">
        <v>48475.583320095138</v>
      </c>
      <c r="G713">
        <v>10000</v>
      </c>
      <c r="H713">
        <v>417548.80383845343</v>
      </c>
      <c r="I713">
        <v>32.509241813780463</v>
      </c>
    </row>
    <row r="714" spans="1:9" x14ac:dyDescent="0.2">
      <c r="A714">
        <v>709</v>
      </c>
      <c r="B714">
        <v>1136813.2052882437</v>
      </c>
      <c r="C714">
        <v>141947.087223562</v>
      </c>
      <c r="D714">
        <v>87469.845777223265</v>
      </c>
      <c r="E714">
        <v>54312.880348715662</v>
      </c>
      <c r="F714">
        <v>39760.122485680316</v>
      </c>
      <c r="G714">
        <v>10000</v>
      </c>
      <c r="H714">
        <v>313489.93583518127</v>
      </c>
      <c r="I714">
        <v>48.893734383009111</v>
      </c>
    </row>
    <row r="715" spans="1:9" x14ac:dyDescent="0.2">
      <c r="A715">
        <v>710</v>
      </c>
      <c r="B715">
        <v>753079.27814268996</v>
      </c>
      <c r="C715">
        <v>92547.911272920523</v>
      </c>
      <c r="D715">
        <v>59589.441387464009</v>
      </c>
      <c r="E715">
        <v>28230.831607362965</v>
      </c>
      <c r="F715">
        <v>37954.442188202047</v>
      </c>
      <c r="G715">
        <v>10000</v>
      </c>
      <c r="H715">
        <v>208322.62645594953</v>
      </c>
      <c r="I715">
        <v>35.724439805109093</v>
      </c>
    </row>
    <row r="716" spans="1:9" x14ac:dyDescent="0.2">
      <c r="A716">
        <v>711</v>
      </c>
      <c r="B716">
        <v>1801142.4406570657</v>
      </c>
      <c r="C716">
        <v>84483.967826847234</v>
      </c>
      <c r="D716">
        <v>167520.4060051424</v>
      </c>
      <c r="E716">
        <v>203467.4809807718</v>
      </c>
      <c r="F716">
        <v>50086.210221745743</v>
      </c>
      <c r="G716">
        <v>10000</v>
      </c>
      <c r="H716">
        <v>495558.06503450719</v>
      </c>
      <c r="I716">
        <v>34.636030813563025</v>
      </c>
    </row>
    <row r="717" spans="1:9" x14ac:dyDescent="0.2">
      <c r="A717">
        <v>712</v>
      </c>
      <c r="B717">
        <v>1415751.1188494572</v>
      </c>
      <c r="C717">
        <v>90863.22527291796</v>
      </c>
      <c r="D717">
        <v>72462.731949748006</v>
      </c>
      <c r="E717">
        <v>187621.39426560947</v>
      </c>
      <c r="F717">
        <v>48989.173449157577</v>
      </c>
      <c r="G717">
        <v>10000</v>
      </c>
      <c r="H717">
        <v>389936.52493743302</v>
      </c>
      <c r="I717">
        <v>36.703671532749041</v>
      </c>
    </row>
    <row r="718" spans="1:9" x14ac:dyDescent="0.2">
      <c r="A718">
        <v>713</v>
      </c>
      <c r="B718">
        <v>1213736.261734738</v>
      </c>
      <c r="C718">
        <v>85448.707313480263</v>
      </c>
      <c r="D718">
        <v>87133.099597672845</v>
      </c>
      <c r="E718">
        <v>127184.7987306328</v>
      </c>
      <c r="F718">
        <v>44805.101450582275</v>
      </c>
      <c r="G718">
        <v>10000</v>
      </c>
      <c r="H718">
        <v>334571.70709236816</v>
      </c>
      <c r="I718">
        <v>35.222080709663175</v>
      </c>
    </row>
    <row r="719" spans="1:9" x14ac:dyDescent="0.2">
      <c r="A719">
        <v>714</v>
      </c>
      <c r="B719">
        <v>1391481.3599648839</v>
      </c>
      <c r="C719">
        <v>99669.788463865072</v>
      </c>
      <c r="D719">
        <v>48490.272802004896</v>
      </c>
      <c r="E719">
        <v>195584.54951955401</v>
      </c>
      <c r="F719">
        <v>49540.468812892199</v>
      </c>
      <c r="G719">
        <v>10000</v>
      </c>
      <c r="H719">
        <v>383285.07959831622</v>
      </c>
      <c r="I719">
        <v>42.641672803993607</v>
      </c>
    </row>
    <row r="720" spans="1:9" x14ac:dyDescent="0.2">
      <c r="A720">
        <v>715</v>
      </c>
      <c r="B720">
        <v>833066.96476864512</v>
      </c>
      <c r="C720">
        <v>71951.816255199825</v>
      </c>
      <c r="D720">
        <v>72624.575859050718</v>
      </c>
      <c r="E720">
        <v>55804.517940497601</v>
      </c>
      <c r="F720">
        <v>39863.38970357291</v>
      </c>
      <c r="G720">
        <v>10000</v>
      </c>
      <c r="H720">
        <v>230244.29975832105</v>
      </c>
      <c r="I720">
        <v>25.983719928290512</v>
      </c>
    </row>
    <row r="721" spans="1:9" x14ac:dyDescent="0.2">
      <c r="A721">
        <v>716</v>
      </c>
      <c r="B721">
        <v>1588737.1376895057</v>
      </c>
      <c r="C721">
        <v>119832.35274851717</v>
      </c>
      <c r="D721">
        <v>141332.79101334114</v>
      </c>
      <c r="E721">
        <v>140456.55059301356</v>
      </c>
      <c r="F721">
        <v>45723.915041054788</v>
      </c>
      <c r="G721">
        <v>10000</v>
      </c>
      <c r="H721">
        <v>437345.60939592664</v>
      </c>
      <c r="I721">
        <v>39.59503206288025</v>
      </c>
    </row>
    <row r="722" spans="1:9" x14ac:dyDescent="0.2">
      <c r="A722">
        <v>717</v>
      </c>
      <c r="B722">
        <v>1123291.3107044927</v>
      </c>
      <c r="C722">
        <v>80030.123605885208</v>
      </c>
      <c r="D722">
        <v>102535.44349112705</v>
      </c>
      <c r="E722">
        <v>94664.799510948447</v>
      </c>
      <c r="F722">
        <v>42553.716889219511</v>
      </c>
      <c r="G722">
        <v>10000</v>
      </c>
      <c r="H722">
        <v>309784.0834971802</v>
      </c>
      <c r="I722">
        <v>37.946436725364677</v>
      </c>
    </row>
    <row r="723" spans="1:9" x14ac:dyDescent="0.2">
      <c r="A723">
        <v>718</v>
      </c>
      <c r="B723">
        <v>1574879.78570309</v>
      </c>
      <c r="C723">
        <v>106625.38038184243</v>
      </c>
      <c r="D723">
        <v>98510.441868434558</v>
      </c>
      <c r="E723">
        <v>189306.18547183412</v>
      </c>
      <c r="F723">
        <v>49105.812840357743</v>
      </c>
      <c r="G723">
        <v>10000</v>
      </c>
      <c r="H723">
        <v>433547.82056246884</v>
      </c>
      <c r="I723">
        <v>34.794832865889752</v>
      </c>
    </row>
    <row r="724" spans="1:9" x14ac:dyDescent="0.2">
      <c r="A724">
        <v>719</v>
      </c>
      <c r="B724">
        <v>1434132.6325677675</v>
      </c>
      <c r="C724">
        <v>117962.0102440263</v>
      </c>
      <c r="D724">
        <v>44661.241465311876</v>
      </c>
      <c r="E724">
        <v>192990.1138142276</v>
      </c>
      <c r="F724">
        <v>49360.854033292679</v>
      </c>
      <c r="G724">
        <v>10000</v>
      </c>
      <c r="H724">
        <v>394974.21955685847</v>
      </c>
      <c r="I724">
        <v>34.249842587431985</v>
      </c>
    </row>
    <row r="725" spans="1:9" x14ac:dyDescent="0.2">
      <c r="A725">
        <v>720</v>
      </c>
      <c r="B725">
        <v>1674794.921440515</v>
      </c>
      <c r="C725">
        <v>136328.4646540634</v>
      </c>
      <c r="D725">
        <v>125292.51064758934</v>
      </c>
      <c r="E725">
        <v>162088.39290367585</v>
      </c>
      <c r="F725">
        <v>47221.504124100633</v>
      </c>
      <c r="G725">
        <v>10000</v>
      </c>
      <c r="H725">
        <v>460930.8723294292</v>
      </c>
      <c r="I725">
        <v>27.210575607980253</v>
      </c>
    </row>
    <row r="726" spans="1:9" x14ac:dyDescent="0.2">
      <c r="A726">
        <v>721</v>
      </c>
      <c r="B726">
        <v>1148866.8332811368</v>
      </c>
      <c r="C726">
        <v>100838.87970891966</v>
      </c>
      <c r="D726">
        <v>117971.34306864253</v>
      </c>
      <c r="E726">
        <v>67322.387060485271</v>
      </c>
      <c r="F726">
        <v>40660.780642648977</v>
      </c>
      <c r="G726">
        <v>10000</v>
      </c>
      <c r="H726">
        <v>316793.39048069646</v>
      </c>
      <c r="I726">
        <v>35.811539676964337</v>
      </c>
    </row>
    <row r="727" spans="1:9" x14ac:dyDescent="0.2">
      <c r="A727">
        <v>722</v>
      </c>
      <c r="B727">
        <v>1128780.2383089552</v>
      </c>
      <c r="C727">
        <v>102092.11926283306</v>
      </c>
      <c r="D727">
        <v>57733.80743280473</v>
      </c>
      <c r="E727">
        <v>117339.00007657231</v>
      </c>
      <c r="F727">
        <v>44123.469236070392</v>
      </c>
      <c r="G727">
        <v>10000</v>
      </c>
      <c r="H727">
        <v>311288.39600828051</v>
      </c>
      <c r="I727">
        <v>45.692297096988653</v>
      </c>
    </row>
    <row r="728" spans="1:9" x14ac:dyDescent="0.2">
      <c r="A728">
        <v>723</v>
      </c>
      <c r="B728">
        <v>1609336.9594174298</v>
      </c>
      <c r="C728">
        <v>107357.36882995711</v>
      </c>
      <c r="D728">
        <v>123332.33209916658</v>
      </c>
      <c r="E728">
        <v>174238.86855460604</v>
      </c>
      <c r="F728">
        <v>48062.69089993427</v>
      </c>
      <c r="G728">
        <v>10000</v>
      </c>
      <c r="H728">
        <v>442991.26038366399</v>
      </c>
      <c r="I728">
        <v>30.429104000420939</v>
      </c>
    </row>
    <row r="729" spans="1:9" x14ac:dyDescent="0.2">
      <c r="A729">
        <v>724</v>
      </c>
      <c r="B729">
        <v>1275471.9917920227</v>
      </c>
      <c r="C729">
        <v>104265.23887596648</v>
      </c>
      <c r="D729">
        <v>144973.30312673983</v>
      </c>
      <c r="E729">
        <v>71315.428624853826</v>
      </c>
      <c r="F729">
        <v>40937.22198172065</v>
      </c>
      <c r="G729">
        <v>10000</v>
      </c>
      <c r="H729">
        <v>351491.19260928081</v>
      </c>
      <c r="I729">
        <v>33.733918647128881</v>
      </c>
    </row>
    <row r="730" spans="1:9" x14ac:dyDescent="0.2">
      <c r="A730">
        <v>725</v>
      </c>
      <c r="B730">
        <v>1183104.5964775963</v>
      </c>
      <c r="C730">
        <v>91289.37685780527</v>
      </c>
      <c r="D730">
        <v>89733.500882181979</v>
      </c>
      <c r="E730">
        <v>111438.82468054832</v>
      </c>
      <c r="F730">
        <v>43714.995554807196</v>
      </c>
      <c r="G730">
        <v>10000</v>
      </c>
      <c r="H730">
        <v>326176.69797534274</v>
      </c>
      <c r="I730">
        <v>28.545207588874391</v>
      </c>
    </row>
    <row r="731" spans="1:9" x14ac:dyDescent="0.2">
      <c r="A731">
        <v>726</v>
      </c>
      <c r="B731">
        <v>985297.37575064041</v>
      </c>
      <c r="C731">
        <v>121307.34472823597</v>
      </c>
      <c r="D731">
        <v>90527.200956556044</v>
      </c>
      <c r="E731">
        <v>31920.604323039479</v>
      </c>
      <c r="F731">
        <v>38209.887991595046</v>
      </c>
      <c r="G731">
        <v>10000</v>
      </c>
      <c r="H731">
        <v>271965.03799942654</v>
      </c>
      <c r="I731">
        <v>34.931077633486481</v>
      </c>
    </row>
    <row r="732" spans="1:9" x14ac:dyDescent="0.2">
      <c r="A732">
        <v>727</v>
      </c>
      <c r="B732">
        <v>1565438.829629712</v>
      </c>
      <c r="C732">
        <v>112674.58420623299</v>
      </c>
      <c r="D732">
        <v>84348.572528693359</v>
      </c>
      <c r="E732">
        <v>194473.68344565431</v>
      </c>
      <c r="F732">
        <v>49463.562700083756</v>
      </c>
      <c r="G732">
        <v>10000</v>
      </c>
      <c r="H732">
        <v>430960.40288066439</v>
      </c>
      <c r="I732">
        <v>43.751940558028053</v>
      </c>
    </row>
    <row r="733" spans="1:9" x14ac:dyDescent="0.2">
      <c r="A733">
        <v>728</v>
      </c>
      <c r="B733">
        <v>1779032.5647667055</v>
      </c>
      <c r="C733">
        <v>160350.35658409377</v>
      </c>
      <c r="D733">
        <v>142719.20670021806</v>
      </c>
      <c r="E733">
        <v>150041.51138861239</v>
      </c>
      <c r="F733">
        <v>46387.489249980856</v>
      </c>
      <c r="G733">
        <v>10000</v>
      </c>
      <c r="H733">
        <v>489498.56392290501</v>
      </c>
      <c r="I733">
        <v>31.384343061559946</v>
      </c>
    </row>
    <row r="734" spans="1:9" x14ac:dyDescent="0.2">
      <c r="A734">
        <v>729</v>
      </c>
      <c r="B734">
        <v>1767274.1397537321</v>
      </c>
      <c r="C734">
        <v>146264.57441773685</v>
      </c>
      <c r="D734">
        <v>127156.77963373638</v>
      </c>
      <c r="E734">
        <v>174756.15633839573</v>
      </c>
      <c r="F734">
        <v>48098.503131119702</v>
      </c>
      <c r="G734">
        <v>10000</v>
      </c>
      <c r="H734">
        <v>486276.01352098864</v>
      </c>
      <c r="I734">
        <v>25.045469854341142</v>
      </c>
    </row>
    <row r="735" spans="1:9" x14ac:dyDescent="0.2">
      <c r="A735">
        <v>730</v>
      </c>
      <c r="B735">
        <v>1330699.7408379819</v>
      </c>
      <c r="C735">
        <v>101041.89781566398</v>
      </c>
      <c r="D735">
        <v>111813.94832998543</v>
      </c>
      <c r="E735">
        <v>119498.27690268448</v>
      </c>
      <c r="F735">
        <v>44272.957631724312</v>
      </c>
      <c r="G735">
        <v>10000</v>
      </c>
      <c r="H735">
        <v>366627.08068005822</v>
      </c>
      <c r="I735">
        <v>51.581748463684605</v>
      </c>
    </row>
    <row r="736" spans="1:9" x14ac:dyDescent="0.2">
      <c r="A736">
        <v>731</v>
      </c>
      <c r="B736">
        <v>1088960.9593048652</v>
      </c>
      <c r="C736">
        <v>125890.77980602566</v>
      </c>
      <c r="D736">
        <v>79652.211963518232</v>
      </c>
      <c r="E736">
        <v>64375.634525174639</v>
      </c>
      <c r="F736">
        <v>40456.774697896704</v>
      </c>
      <c r="G736">
        <v>10000</v>
      </c>
      <c r="H736">
        <v>300375.40099261526</v>
      </c>
      <c r="I736">
        <v>24.735347599116352</v>
      </c>
    </row>
    <row r="737" spans="1:9" x14ac:dyDescent="0.2">
      <c r="A737">
        <v>732</v>
      </c>
      <c r="B737">
        <v>1048279.2419963338</v>
      </c>
      <c r="C737">
        <v>152388.39478988972</v>
      </c>
      <c r="D737">
        <v>75466.591023722081</v>
      </c>
      <c r="E737">
        <v>33080.845282928603</v>
      </c>
      <c r="F737">
        <v>38290.212365741216</v>
      </c>
      <c r="G737">
        <v>10000</v>
      </c>
      <c r="H737">
        <v>289226.04346228164</v>
      </c>
      <c r="I737">
        <v>40.583804283754922</v>
      </c>
    </row>
    <row r="738" spans="1:9" x14ac:dyDescent="0.2">
      <c r="A738">
        <v>733</v>
      </c>
      <c r="B738">
        <v>1228132.9359367194</v>
      </c>
      <c r="C738">
        <v>125007.58069444231</v>
      </c>
      <c r="D738">
        <v>155917.54552475421</v>
      </c>
      <c r="E738">
        <v>29546.641317922149</v>
      </c>
      <c r="F738">
        <v>38045.536706625382</v>
      </c>
      <c r="G738">
        <v>10000</v>
      </c>
      <c r="H738">
        <v>338517.30424374406</v>
      </c>
      <c r="I738">
        <v>34.583831128371465</v>
      </c>
    </row>
    <row r="739" spans="1:9" x14ac:dyDescent="0.2">
      <c r="A739">
        <v>734</v>
      </c>
      <c r="B739">
        <v>1442360.8739306848</v>
      </c>
      <c r="C739">
        <v>139745.13571419739</v>
      </c>
      <c r="D739">
        <v>78946.602037547535</v>
      </c>
      <c r="E739">
        <v>142661.00782391842</v>
      </c>
      <c r="F739">
        <v>45876.531310886661</v>
      </c>
      <c r="G739">
        <v>10000</v>
      </c>
      <c r="H739">
        <v>397229.27688655001</v>
      </c>
      <c r="I739">
        <v>36.605129962079602</v>
      </c>
    </row>
    <row r="740" spans="1:9" x14ac:dyDescent="0.2">
      <c r="A740">
        <v>735</v>
      </c>
      <c r="B740">
        <v>1416664.3643846163</v>
      </c>
      <c r="C740">
        <v>109411.53285894098</v>
      </c>
      <c r="D740">
        <v>56883.123647539018</v>
      </c>
      <c r="E740">
        <v>185078.99419608654</v>
      </c>
      <c r="F740">
        <v>48813.161136652139</v>
      </c>
      <c r="G740">
        <v>10000</v>
      </c>
      <c r="H740">
        <v>390186.81183921872</v>
      </c>
      <c r="I740">
        <v>32.472919755889038</v>
      </c>
    </row>
    <row r="741" spans="1:9" x14ac:dyDescent="0.2">
      <c r="A741">
        <v>736</v>
      </c>
      <c r="B741">
        <v>1659140.391531616</v>
      </c>
      <c r="C741">
        <v>101775.28622778517</v>
      </c>
      <c r="D741">
        <v>142607.36695871333</v>
      </c>
      <c r="E741">
        <v>174198.02676651932</v>
      </c>
      <c r="F741">
        <v>48059.863391528263</v>
      </c>
      <c r="G741">
        <v>10000</v>
      </c>
      <c r="H741">
        <v>456640.54334454611</v>
      </c>
      <c r="I741">
        <v>27.267213481424296</v>
      </c>
    </row>
    <row r="742" spans="1:9" x14ac:dyDescent="0.2">
      <c r="A742">
        <v>737</v>
      </c>
      <c r="B742">
        <v>1139243.5307194102</v>
      </c>
      <c r="C742">
        <v>83846.11081215521</v>
      </c>
      <c r="D742">
        <v>87668.00765562497</v>
      </c>
      <c r="E742">
        <v>109089.52795221555</v>
      </c>
      <c r="F742">
        <v>43552.351935153383</v>
      </c>
      <c r="G742">
        <v>10000</v>
      </c>
      <c r="H742">
        <v>314155.99835514906</v>
      </c>
      <c r="I742">
        <v>32.143216288354665</v>
      </c>
    </row>
    <row r="743" spans="1:9" x14ac:dyDescent="0.2">
      <c r="A743">
        <v>738</v>
      </c>
      <c r="B743">
        <v>1091300.8909212034</v>
      </c>
      <c r="C743">
        <v>94007.94255433025</v>
      </c>
      <c r="D743">
        <v>77398.867090469081</v>
      </c>
      <c r="E743">
        <v>96901.326860686982</v>
      </c>
      <c r="F743">
        <v>42708.553398047559</v>
      </c>
      <c r="G743">
        <v>10000</v>
      </c>
      <c r="H743">
        <v>301016.6899035339</v>
      </c>
      <c r="I743">
        <v>40.044808755645079</v>
      </c>
    </row>
    <row r="744" spans="1:9" x14ac:dyDescent="0.2">
      <c r="A744">
        <v>739</v>
      </c>
      <c r="B744">
        <v>1576893.3472963753</v>
      </c>
      <c r="C744">
        <v>125645.72936950902</v>
      </c>
      <c r="D744">
        <v>78774.913787680329</v>
      </c>
      <c r="E744">
        <v>190491.17009856913</v>
      </c>
      <c r="F744">
        <v>49187.850237593244</v>
      </c>
      <c r="G744">
        <v>10000</v>
      </c>
      <c r="H744">
        <v>434099.66349335172</v>
      </c>
      <c r="I744">
        <v>38.017497866847407</v>
      </c>
    </row>
    <row r="745" spans="1:9" x14ac:dyDescent="0.2">
      <c r="A745">
        <v>740</v>
      </c>
      <c r="B745">
        <v>1764890.0092147004</v>
      </c>
      <c r="C745">
        <v>108722.80711770001</v>
      </c>
      <c r="D745">
        <v>171232.99208382744</v>
      </c>
      <c r="E745">
        <v>168033.70917211854</v>
      </c>
      <c r="F745">
        <v>47633.102942685131</v>
      </c>
      <c r="G745">
        <v>10000</v>
      </c>
      <c r="H745">
        <v>485622.61131633108</v>
      </c>
      <c r="I745">
        <v>46.503406288233677</v>
      </c>
    </row>
    <row r="746" spans="1:9" x14ac:dyDescent="0.2">
      <c r="A746">
        <v>741</v>
      </c>
      <c r="B746">
        <v>1540263.9122479078</v>
      </c>
      <c r="C746">
        <v>125281.72742919368</v>
      </c>
      <c r="D746">
        <v>93694.598399737704</v>
      </c>
      <c r="E746">
        <v>167489.15792831811</v>
      </c>
      <c r="F746">
        <v>47595.403241191249</v>
      </c>
      <c r="G746">
        <v>10000</v>
      </c>
      <c r="H746">
        <v>424060.88699844072</v>
      </c>
      <c r="I746">
        <v>51.965799821152693</v>
      </c>
    </row>
    <row r="747" spans="1:9" x14ac:dyDescent="0.2">
      <c r="A747">
        <v>742</v>
      </c>
      <c r="B747">
        <v>1484659.9299147385</v>
      </c>
      <c r="C747">
        <v>125318.41138475672</v>
      </c>
      <c r="D747">
        <v>143794.45041560961</v>
      </c>
      <c r="E747">
        <v>106346.57058022212</v>
      </c>
      <c r="F747">
        <v>43362.454886323067</v>
      </c>
      <c r="G747">
        <v>10000</v>
      </c>
      <c r="H747">
        <v>408821.88726691151</v>
      </c>
      <c r="I747">
        <v>33.874022278230143</v>
      </c>
    </row>
    <row r="748" spans="1:9" x14ac:dyDescent="0.2">
      <c r="A748">
        <v>743</v>
      </c>
      <c r="B748">
        <v>800139.67298979242</v>
      </c>
      <c r="C748">
        <v>84622.117676837923</v>
      </c>
      <c r="D748">
        <v>52975.537933174091</v>
      </c>
      <c r="E748">
        <v>53891.536018336148</v>
      </c>
      <c r="F748">
        <v>39730.952493577111</v>
      </c>
      <c r="G748">
        <v>10000</v>
      </c>
      <c r="H748">
        <v>221220.14412192526</v>
      </c>
      <c r="I748">
        <v>36.478445943275119</v>
      </c>
    </row>
    <row r="749" spans="1:9" x14ac:dyDescent="0.2">
      <c r="A749">
        <v>744</v>
      </c>
      <c r="B749">
        <v>1285615.5123278797</v>
      </c>
      <c r="C749">
        <v>125581.07053523218</v>
      </c>
      <c r="D749">
        <v>64867.252936733137</v>
      </c>
      <c r="E749">
        <v>128899.05320655576</v>
      </c>
      <c r="F749">
        <v>44923.780606607703</v>
      </c>
      <c r="G749">
        <v>10000</v>
      </c>
      <c r="H749">
        <v>354271.15728512884</v>
      </c>
      <c r="I749">
        <v>30.24639189333692</v>
      </c>
    </row>
    <row r="750" spans="1:9" x14ac:dyDescent="0.2">
      <c r="A750">
        <v>745</v>
      </c>
      <c r="B750">
        <v>1310611.1568139985</v>
      </c>
      <c r="C750">
        <v>101465.52210018513</v>
      </c>
      <c r="D750">
        <v>102472.21597898335</v>
      </c>
      <c r="E750">
        <v>122689.88770043453</v>
      </c>
      <c r="F750">
        <v>44493.915302337773</v>
      </c>
      <c r="G750">
        <v>10000</v>
      </c>
      <c r="H750">
        <v>361121.54108194081</v>
      </c>
      <c r="I750">
        <v>32.407248690247307</v>
      </c>
    </row>
    <row r="751" spans="1:9" x14ac:dyDescent="0.2">
      <c r="A751">
        <v>746</v>
      </c>
      <c r="B751">
        <v>1237159.7018053727</v>
      </c>
      <c r="C751">
        <v>125601.93800524359</v>
      </c>
      <c r="D751">
        <v>93522.338054684966</v>
      </c>
      <c r="E751">
        <v>89659.720214919886</v>
      </c>
      <c r="F751">
        <v>42207.211399494452</v>
      </c>
      <c r="G751">
        <v>10000</v>
      </c>
      <c r="H751">
        <v>340991.20767434291</v>
      </c>
      <c r="I751">
        <v>51.351498826513613</v>
      </c>
    </row>
    <row r="752" spans="1:9" x14ac:dyDescent="0.2">
      <c r="A752">
        <v>747</v>
      </c>
      <c r="B752">
        <v>1391287.829204709</v>
      </c>
      <c r="C752">
        <v>98322.862568645665</v>
      </c>
      <c r="D752">
        <v>101267.30083383377</v>
      </c>
      <c r="E752">
        <v>147434.8485774546</v>
      </c>
      <c r="F752">
        <v>46207.027978439161</v>
      </c>
      <c r="G752">
        <v>10000</v>
      </c>
      <c r="H752">
        <v>383232.03995837324</v>
      </c>
      <c r="I752">
        <v>30.123265393553478</v>
      </c>
    </row>
    <row r="753" spans="1:9" x14ac:dyDescent="0.2">
      <c r="A753">
        <v>748</v>
      </c>
      <c r="B753">
        <v>1387998.4983963463</v>
      </c>
      <c r="C753">
        <v>114921.74833079136</v>
      </c>
      <c r="D753">
        <v>85941.961623255876</v>
      </c>
      <c r="E753">
        <v>145400.64715890752</v>
      </c>
      <c r="F753">
        <v>46066.198649462829</v>
      </c>
      <c r="G753">
        <v>10000</v>
      </c>
      <c r="H753">
        <v>382330.55576241756</v>
      </c>
      <c r="I753">
        <v>35.056292481436614</v>
      </c>
    </row>
    <row r="754" spans="1:9" x14ac:dyDescent="0.2">
      <c r="A754">
        <v>749</v>
      </c>
      <c r="B754">
        <v>1229213.7880206383</v>
      </c>
      <c r="C754">
        <v>134134.63573961944</v>
      </c>
      <c r="D754">
        <v>65021.865679413691</v>
      </c>
      <c r="E754">
        <v>106297.93657965897</v>
      </c>
      <c r="F754">
        <v>43359.087917053308</v>
      </c>
      <c r="G754">
        <v>10000</v>
      </c>
      <c r="H754">
        <v>338813.52591574541</v>
      </c>
      <c r="I754">
        <v>51.992426043475874</v>
      </c>
    </row>
    <row r="755" spans="1:9" x14ac:dyDescent="0.2">
      <c r="A755">
        <v>750</v>
      </c>
      <c r="B755">
        <v>1523472.8026173864</v>
      </c>
      <c r="C755">
        <v>102805.77513467237</v>
      </c>
      <c r="D755">
        <v>115143.51930871785</v>
      </c>
      <c r="E755">
        <v>164145.82713077596</v>
      </c>
      <c r="F755">
        <v>47363.941878284488</v>
      </c>
      <c r="G755">
        <v>10000</v>
      </c>
      <c r="H755">
        <v>419459.06345245067</v>
      </c>
      <c r="I755">
        <v>36.470889803340022</v>
      </c>
    </row>
    <row r="756" spans="1:9" x14ac:dyDescent="0.2">
      <c r="A756">
        <v>751</v>
      </c>
      <c r="B756">
        <v>860582.42354898993</v>
      </c>
      <c r="C756">
        <v>87205.490737779983</v>
      </c>
      <c r="D756">
        <v>41421.826079021484</v>
      </c>
      <c r="E756">
        <v>77773.626841367426</v>
      </c>
      <c r="F756">
        <v>41384.328012094666</v>
      </c>
      <c r="G756">
        <v>10000</v>
      </c>
      <c r="H756">
        <v>237785.27167026355</v>
      </c>
      <c r="I756">
        <v>27.516554602733816</v>
      </c>
    </row>
    <row r="757" spans="1:9" x14ac:dyDescent="0.2">
      <c r="A757">
        <v>752</v>
      </c>
      <c r="B757">
        <v>872400.35645788838</v>
      </c>
      <c r="C757">
        <v>111519.33845435703</v>
      </c>
      <c r="D757">
        <v>57695.435359717885</v>
      </c>
      <c r="E757">
        <v>42843.283690247103</v>
      </c>
      <c r="F757">
        <v>38966.073486247878</v>
      </c>
      <c r="G757">
        <v>10000</v>
      </c>
      <c r="H757">
        <v>241024.13099056992</v>
      </c>
      <c r="I757">
        <v>27.259287233555099</v>
      </c>
    </row>
    <row r="758" spans="1:9" x14ac:dyDescent="0.2">
      <c r="A758">
        <v>753</v>
      </c>
      <c r="B758">
        <v>1335763.0211076876</v>
      </c>
      <c r="C758">
        <v>100472.42650821201</v>
      </c>
      <c r="D758">
        <v>38167.209115776684</v>
      </c>
      <c r="E758">
        <v>190206.93118073247</v>
      </c>
      <c r="F758">
        <v>49168.172158666093</v>
      </c>
      <c r="G758">
        <v>10000</v>
      </c>
      <c r="H758">
        <v>368014.73896338721</v>
      </c>
      <c r="I758">
        <v>35.834627170886989</v>
      </c>
    </row>
    <row r="759" spans="1:9" x14ac:dyDescent="0.2">
      <c r="A759">
        <v>754</v>
      </c>
      <c r="B759">
        <v>1153433.5182788225</v>
      </c>
      <c r="C759">
        <v>120290.17602648227</v>
      </c>
      <c r="D759">
        <v>92069.238781579159</v>
      </c>
      <c r="E759">
        <v>74526.040411225069</v>
      </c>
      <c r="F759">
        <v>41159.495105392511</v>
      </c>
      <c r="G759">
        <v>10000</v>
      </c>
      <c r="H759">
        <v>318044.95032467903</v>
      </c>
      <c r="I759">
        <v>30.915800874954563</v>
      </c>
    </row>
    <row r="760" spans="1:9" x14ac:dyDescent="0.2">
      <c r="A760">
        <v>755</v>
      </c>
      <c r="B760">
        <v>907266.31250587129</v>
      </c>
      <c r="C760">
        <v>113824.62984844967</v>
      </c>
      <c r="D760">
        <v>50610.598528600523</v>
      </c>
      <c r="E760">
        <v>56250.134506773124</v>
      </c>
      <c r="F760">
        <v>39894.240081238138</v>
      </c>
      <c r="G760">
        <v>10000</v>
      </c>
      <c r="H760">
        <v>250579.60296506144</v>
      </c>
      <c r="I760">
        <v>33.209875037587587</v>
      </c>
    </row>
    <row r="761" spans="1:9" x14ac:dyDescent="0.2">
      <c r="A761">
        <v>756</v>
      </c>
      <c r="B761">
        <v>1608854.1031529547</v>
      </c>
      <c r="C761">
        <v>151734.0133720318</v>
      </c>
      <c r="D761">
        <v>171699.69434122596</v>
      </c>
      <c r="E761">
        <v>87376.1046488227</v>
      </c>
      <c r="F761">
        <v>42049.114937226186</v>
      </c>
      <c r="G761">
        <v>10000</v>
      </c>
      <c r="H761">
        <v>442858.92729930661</v>
      </c>
      <c r="I761">
        <v>26.105211627358514</v>
      </c>
    </row>
    <row r="762" spans="1:9" x14ac:dyDescent="0.2">
      <c r="A762">
        <v>757</v>
      </c>
      <c r="B762">
        <v>1314805.1277967456</v>
      </c>
      <c r="C762">
        <v>131130.57556920606</v>
      </c>
      <c r="D762">
        <v>67110.795423453266</v>
      </c>
      <c r="E762">
        <v>129092.41554513072</v>
      </c>
      <c r="F762">
        <v>44937.167230047511</v>
      </c>
      <c r="G762">
        <v>10000</v>
      </c>
      <c r="H762">
        <v>362270.95376783755</v>
      </c>
      <c r="I762">
        <v>35.048155100511011</v>
      </c>
    </row>
    <row r="763" spans="1:9" x14ac:dyDescent="0.2">
      <c r="A763">
        <v>758</v>
      </c>
      <c r="B763">
        <v>1538381.5365747188</v>
      </c>
      <c r="C763">
        <v>107512.16849084843</v>
      </c>
      <c r="D763">
        <v>142973.45486545342</v>
      </c>
      <c r="E763">
        <v>137537.5439643398</v>
      </c>
      <c r="F763">
        <v>45521.829966761979</v>
      </c>
      <c r="G763">
        <v>10000</v>
      </c>
      <c r="H763">
        <v>423544.99728740368</v>
      </c>
      <c r="I763">
        <v>42.217053072577734</v>
      </c>
    </row>
    <row r="764" spans="1:9" x14ac:dyDescent="0.2">
      <c r="A764">
        <v>759</v>
      </c>
      <c r="B764">
        <v>1191282.7167885178</v>
      </c>
      <c r="C764">
        <v>124657.59189867553</v>
      </c>
      <c r="D764">
        <v>65916.824873712685</v>
      </c>
      <c r="E764">
        <v>104601.93011678771</v>
      </c>
      <c r="F764">
        <v>43241.67208500838</v>
      </c>
      <c r="G764">
        <v>10000</v>
      </c>
      <c r="H764">
        <v>328418.01897418429</v>
      </c>
      <c r="I764">
        <v>33.280918621093889</v>
      </c>
    </row>
    <row r="765" spans="1:9" x14ac:dyDescent="0.2">
      <c r="A765">
        <v>760</v>
      </c>
      <c r="B765">
        <v>1565056.173478608</v>
      </c>
      <c r="C765">
        <v>97800.57212734739</v>
      </c>
      <c r="D765">
        <v>90181.996475564709</v>
      </c>
      <c r="E765">
        <v>202830.82809433094</v>
      </c>
      <c r="F765">
        <v>50042.134252684453</v>
      </c>
      <c r="G765">
        <v>10000</v>
      </c>
      <c r="H765">
        <v>430855.53094992752</v>
      </c>
      <c r="I765">
        <v>36.243490540709516</v>
      </c>
    </row>
    <row r="766" spans="1:9" x14ac:dyDescent="0.2">
      <c r="A766">
        <v>761</v>
      </c>
      <c r="B766">
        <v>1045539.4129679814</v>
      </c>
      <c r="C766">
        <v>124827.10219532145</v>
      </c>
      <c r="D766">
        <v>65770.910392274222</v>
      </c>
      <c r="E766">
        <v>67223.228986703907</v>
      </c>
      <c r="F766">
        <v>40653.915852925653</v>
      </c>
      <c r="G766">
        <v>10000</v>
      </c>
      <c r="H766">
        <v>288475.15742722526</v>
      </c>
      <c r="I766">
        <v>36.222349712029008</v>
      </c>
    </row>
    <row r="767" spans="1:9" x14ac:dyDescent="0.2">
      <c r="A767">
        <v>762</v>
      </c>
      <c r="B767">
        <v>1521209.1777618036</v>
      </c>
      <c r="C767">
        <v>132050.90854272377</v>
      </c>
      <c r="D767">
        <v>61968.157244235066</v>
      </c>
      <c r="E767">
        <v>185946.40871115122</v>
      </c>
      <c r="F767">
        <v>48873.212910772003</v>
      </c>
      <c r="G767">
        <v>10000</v>
      </c>
      <c r="H767">
        <v>418838.68740888208</v>
      </c>
      <c r="I767">
        <v>31.731049608215727</v>
      </c>
    </row>
    <row r="768" spans="1:9" x14ac:dyDescent="0.2">
      <c r="A768">
        <v>763</v>
      </c>
      <c r="B768">
        <v>1411192.6816409067</v>
      </c>
      <c r="C768">
        <v>102549.06162941152</v>
      </c>
      <c r="D768">
        <v>63091.441181877584</v>
      </c>
      <c r="E768">
        <v>184288.30180277579</v>
      </c>
      <c r="F768">
        <v>48758.420894038325</v>
      </c>
      <c r="G768">
        <v>10000</v>
      </c>
      <c r="H768">
        <v>388687.22550810321</v>
      </c>
      <c r="I768">
        <v>28.590477389223302</v>
      </c>
    </row>
    <row r="769" spans="1:9" x14ac:dyDescent="0.2">
      <c r="A769">
        <v>764</v>
      </c>
      <c r="B769">
        <v>1338624.8943619665</v>
      </c>
      <c r="C769">
        <v>164141.54084495347</v>
      </c>
      <c r="D769">
        <v>102459.11654248086</v>
      </c>
      <c r="E769">
        <v>71264.705078247134</v>
      </c>
      <c r="F769">
        <v>40933.710351570953</v>
      </c>
      <c r="G769">
        <v>10000</v>
      </c>
      <c r="H769">
        <v>368799.07281725243</v>
      </c>
      <c r="I769">
        <v>40.188192421058609</v>
      </c>
    </row>
    <row r="770" spans="1:9" x14ac:dyDescent="0.2">
      <c r="A770">
        <v>765</v>
      </c>
      <c r="B770">
        <v>951774.78548463376</v>
      </c>
      <c r="C770">
        <v>95373.555820329391</v>
      </c>
      <c r="D770">
        <v>55891.533149497416</v>
      </c>
      <c r="E770">
        <v>79975.854142625481</v>
      </c>
      <c r="F770">
        <v>41536.789902181765</v>
      </c>
      <c r="G770">
        <v>10000</v>
      </c>
      <c r="H770">
        <v>262777.73301463405</v>
      </c>
      <c r="I770">
        <v>47.925306648440213</v>
      </c>
    </row>
    <row r="771" spans="1:9" x14ac:dyDescent="0.2">
      <c r="A771">
        <v>766</v>
      </c>
      <c r="B771">
        <v>916809.67148764874</v>
      </c>
      <c r="C771">
        <v>88345.984436427636</v>
      </c>
      <c r="D771">
        <v>77660.441493571445</v>
      </c>
      <c r="E771">
        <v>57226.803919363942</v>
      </c>
      <c r="F771">
        <v>39961.855655955966</v>
      </c>
      <c r="G771">
        <v>10000</v>
      </c>
      <c r="H771">
        <v>253195.085505319</v>
      </c>
      <c r="I771">
        <v>39.122202037379104</v>
      </c>
    </row>
    <row r="772" spans="1:9" x14ac:dyDescent="0.2">
      <c r="A772">
        <v>767</v>
      </c>
      <c r="B772">
        <v>1396096.6681891414</v>
      </c>
      <c r="C772">
        <v>84879.794068423114</v>
      </c>
      <c r="D772">
        <v>94684.027685661145</v>
      </c>
      <c r="E772">
        <v>167397.11264496591</v>
      </c>
      <c r="F772">
        <v>47589.030875420714</v>
      </c>
      <c r="G772">
        <v>10000</v>
      </c>
      <c r="H772">
        <v>384549.96527447092</v>
      </c>
      <c r="I772">
        <v>38.766669277553909</v>
      </c>
    </row>
    <row r="773" spans="1:9" x14ac:dyDescent="0.2">
      <c r="A773">
        <v>768</v>
      </c>
      <c r="B773">
        <v>1377243.0609163204</v>
      </c>
      <c r="C773">
        <v>98826.063004188065</v>
      </c>
      <c r="D773">
        <v>114115.50495441661</v>
      </c>
      <c r="E773">
        <v>131347.99644305976</v>
      </c>
      <c r="F773">
        <v>45093.322830673365</v>
      </c>
      <c r="G773">
        <v>10000</v>
      </c>
      <c r="H773">
        <v>379382.88723233779</v>
      </c>
      <c r="I773">
        <v>35.14506672876243</v>
      </c>
    </row>
    <row r="774" spans="1:9" x14ac:dyDescent="0.2">
      <c r="A774">
        <v>769</v>
      </c>
      <c r="B774">
        <v>1223026.4861452153</v>
      </c>
      <c r="C774">
        <v>106452.56812207395</v>
      </c>
      <c r="D774">
        <v>131889.65107773463</v>
      </c>
      <c r="E774">
        <v>68063.506664724759</v>
      </c>
      <c r="F774">
        <v>40712.088922942479</v>
      </c>
      <c r="G774">
        <v>10000</v>
      </c>
      <c r="H774">
        <v>337117.8147874758</v>
      </c>
      <c r="I774">
        <v>25.6774352283499</v>
      </c>
    </row>
    <row r="775" spans="1:9" x14ac:dyDescent="0.2">
      <c r="A775">
        <v>770</v>
      </c>
      <c r="B775">
        <v>1653901.0500456523</v>
      </c>
      <c r="C775">
        <v>113072.29413045247</v>
      </c>
      <c r="D775">
        <v>114833.07882754627</v>
      </c>
      <c r="E775">
        <v>188265.4951703682</v>
      </c>
      <c r="F775">
        <v>49033.765050256261</v>
      </c>
      <c r="G775">
        <v>10000</v>
      </c>
      <c r="H775">
        <v>455204.63317862322</v>
      </c>
      <c r="I775">
        <v>24.768217402262032</v>
      </c>
    </row>
    <row r="776" spans="1:9" x14ac:dyDescent="0.2">
      <c r="A776">
        <v>771</v>
      </c>
      <c r="B776">
        <v>1428079.8214628117</v>
      </c>
      <c r="C776">
        <v>102400.60571580894</v>
      </c>
      <c r="D776">
        <v>73204.021907053466</v>
      </c>
      <c r="E776">
        <v>179297.8141669351</v>
      </c>
      <c r="F776">
        <v>48412.925596172427</v>
      </c>
      <c r="G776">
        <v>10000</v>
      </c>
      <c r="H776">
        <v>393315.36738596996</v>
      </c>
      <c r="I776">
        <v>38.397605567765424</v>
      </c>
    </row>
    <row r="777" spans="1:9" x14ac:dyDescent="0.2">
      <c r="A777">
        <v>772</v>
      </c>
      <c r="B777">
        <v>1416718.6360589229</v>
      </c>
      <c r="C777">
        <v>130013.86554078769</v>
      </c>
      <c r="D777">
        <v>136933.6222710312</v>
      </c>
      <c r="E777">
        <v>90957.163494865861</v>
      </c>
      <c r="F777">
        <v>42297.034395798408</v>
      </c>
      <c r="G777">
        <v>10000</v>
      </c>
      <c r="H777">
        <v>390201.68570248317</v>
      </c>
      <c r="I777">
        <v>28.31336868590974</v>
      </c>
    </row>
    <row r="778" spans="1:9" x14ac:dyDescent="0.2">
      <c r="A778">
        <v>773</v>
      </c>
      <c r="B778">
        <v>1364954.4994563195</v>
      </c>
      <c r="C778">
        <v>100648.55743862902</v>
      </c>
      <c r="D778">
        <v>74110.273304442788</v>
      </c>
      <c r="E778">
        <v>163908.69052123345</v>
      </c>
      <c r="F778">
        <v>47347.524728393088</v>
      </c>
      <c r="G778">
        <v>10000</v>
      </c>
      <c r="H778">
        <v>376015.04599269829</v>
      </c>
      <c r="I778">
        <v>35.420252965099422</v>
      </c>
    </row>
    <row r="779" spans="1:9" x14ac:dyDescent="0.2">
      <c r="A779">
        <v>774</v>
      </c>
      <c r="B779">
        <v>1511146.3467730752</v>
      </c>
      <c r="C779">
        <v>103999.60577935346</v>
      </c>
      <c r="D779">
        <v>74551.910284063939</v>
      </c>
      <c r="E779">
        <v>197833.17763027246</v>
      </c>
      <c r="F779">
        <v>49696.143066711171</v>
      </c>
      <c r="G779">
        <v>10000</v>
      </c>
      <c r="H779">
        <v>416080.83676040103</v>
      </c>
      <c r="I779">
        <v>41.82212621117278</v>
      </c>
    </row>
    <row r="780" spans="1:9" x14ac:dyDescent="0.2">
      <c r="A780">
        <v>775</v>
      </c>
      <c r="B780">
        <v>1824407.372451378</v>
      </c>
      <c r="C780">
        <v>106115.62239169719</v>
      </c>
      <c r="D780">
        <v>156520.99632312279</v>
      </c>
      <c r="E780">
        <v>199486.87577111169</v>
      </c>
      <c r="F780">
        <v>49810.629861076959</v>
      </c>
      <c r="G780">
        <v>10000</v>
      </c>
      <c r="H780">
        <v>501934.12434700865</v>
      </c>
      <c r="I780">
        <v>36.868856419692406</v>
      </c>
    </row>
    <row r="781" spans="1:9" x14ac:dyDescent="0.2">
      <c r="A781">
        <v>776</v>
      </c>
      <c r="B781">
        <v>1248870.7174957765</v>
      </c>
      <c r="C781">
        <v>107791.30327114943</v>
      </c>
      <c r="D781">
        <v>77805.52651779064</v>
      </c>
      <c r="E781">
        <v>124018.06883731815</v>
      </c>
      <c r="F781">
        <v>44585.866304122021</v>
      </c>
      <c r="G781">
        <v>10000</v>
      </c>
      <c r="H781">
        <v>344200.76493038028</v>
      </c>
      <c r="I781">
        <v>26.348952793006248</v>
      </c>
    </row>
    <row r="782" spans="1:9" x14ac:dyDescent="0.2">
      <c r="A782">
        <v>777</v>
      </c>
      <c r="B782">
        <v>1398453.6949645125</v>
      </c>
      <c r="C782">
        <v>113003.57064074832</v>
      </c>
      <c r="D782">
        <v>116518.9844161543</v>
      </c>
      <c r="E782">
        <v>121277.26587408691</v>
      </c>
      <c r="F782">
        <v>44396.118406667549</v>
      </c>
      <c r="G782">
        <v>10000</v>
      </c>
      <c r="H782">
        <v>385195.93933765712</v>
      </c>
      <c r="I782">
        <v>42.794706102787266</v>
      </c>
    </row>
    <row r="783" spans="1:9" x14ac:dyDescent="0.2">
      <c r="A783">
        <v>778</v>
      </c>
      <c r="B783">
        <v>1261869.8870571749</v>
      </c>
      <c r="C783">
        <v>113483.75147712445</v>
      </c>
      <c r="D783">
        <v>83983.828557901521</v>
      </c>
      <c r="E783">
        <v>116247.84954801704</v>
      </c>
      <c r="F783">
        <v>44047.928045631954</v>
      </c>
      <c r="G783">
        <v>10000</v>
      </c>
      <c r="H783">
        <v>347763.35762867494</v>
      </c>
      <c r="I783">
        <v>45.220827197086138</v>
      </c>
    </row>
    <row r="784" spans="1:9" x14ac:dyDescent="0.2">
      <c r="A784">
        <v>779</v>
      </c>
      <c r="B784">
        <v>1610138.7394699387</v>
      </c>
      <c r="C784">
        <v>140931.80283004569</v>
      </c>
      <c r="D784">
        <v>85106.091303749083</v>
      </c>
      <c r="E784">
        <v>178794.989891237</v>
      </c>
      <c r="F784">
        <v>48378.114684777953</v>
      </c>
      <c r="G784">
        <v>10000</v>
      </c>
      <c r="H784">
        <v>443210.99870980973</v>
      </c>
      <c r="I784">
        <v>35.331044232884992</v>
      </c>
    </row>
    <row r="785" spans="1:9" x14ac:dyDescent="0.2">
      <c r="A785">
        <v>780</v>
      </c>
      <c r="B785">
        <v>1198604.8314498893</v>
      </c>
      <c r="C785">
        <v>111942.70146282257</v>
      </c>
      <c r="D785">
        <v>97438.138630038186</v>
      </c>
      <c r="E785">
        <v>88889.978715455305</v>
      </c>
      <c r="F785">
        <v>42153.921603377676</v>
      </c>
      <c r="G785">
        <v>10000</v>
      </c>
      <c r="H785">
        <v>330424.7404116937</v>
      </c>
      <c r="I785">
        <v>32.63880020623877</v>
      </c>
    </row>
    <row r="786" spans="1:9" x14ac:dyDescent="0.2">
      <c r="A786">
        <v>781</v>
      </c>
      <c r="B786">
        <v>1339188.1647055545</v>
      </c>
      <c r="C786">
        <v>135360.65084437234</v>
      </c>
      <c r="D786">
        <v>123219.57052032524</v>
      </c>
      <c r="E786">
        <v>78910.208625366489</v>
      </c>
      <c r="F786">
        <v>41463.014443294604</v>
      </c>
      <c r="G786">
        <v>10000</v>
      </c>
      <c r="H786">
        <v>368953.44443335867</v>
      </c>
      <c r="I786">
        <v>51.545852071802912</v>
      </c>
    </row>
    <row r="787" spans="1:9" x14ac:dyDescent="0.2">
      <c r="A787">
        <v>782</v>
      </c>
      <c r="B787">
        <v>1562448.7534447499</v>
      </c>
      <c r="C787">
        <v>90332.867311449416</v>
      </c>
      <c r="D787">
        <v>105805.55163091159</v>
      </c>
      <c r="E787">
        <v>194534.72569028122</v>
      </c>
      <c r="F787">
        <v>49467.788701634854</v>
      </c>
      <c r="G787">
        <v>10000</v>
      </c>
      <c r="H787">
        <v>430140.93333427713</v>
      </c>
      <c r="I787">
        <v>36.372456959040221</v>
      </c>
    </row>
    <row r="788" spans="1:9" x14ac:dyDescent="0.2">
      <c r="A788">
        <v>783</v>
      </c>
      <c r="B788">
        <v>1276220.7561087087</v>
      </c>
      <c r="C788">
        <v>94496.205613480837</v>
      </c>
      <c r="D788">
        <v>92879.311973402786</v>
      </c>
      <c r="E788">
        <v>129364.85525120373</v>
      </c>
      <c r="F788">
        <v>44956.028440467948</v>
      </c>
      <c r="G788">
        <v>10000</v>
      </c>
      <c r="H788">
        <v>351696.40127855534</v>
      </c>
      <c r="I788">
        <v>31.321024746162124</v>
      </c>
    </row>
    <row r="789" spans="1:9" x14ac:dyDescent="0.2">
      <c r="A789">
        <v>784</v>
      </c>
      <c r="B789">
        <v>923395.84797711368</v>
      </c>
      <c r="C789">
        <v>94290.740766045637</v>
      </c>
      <c r="D789">
        <v>97041.231828597171</v>
      </c>
      <c r="E789">
        <v>35229.196480195526</v>
      </c>
      <c r="F789">
        <v>38438.944371705846</v>
      </c>
      <c r="G789">
        <v>10000</v>
      </c>
      <c r="H789">
        <v>255000.11344654416</v>
      </c>
      <c r="I789">
        <v>32.436244070080463</v>
      </c>
    </row>
    <row r="790" spans="1:9" x14ac:dyDescent="0.2">
      <c r="A790">
        <v>785</v>
      </c>
      <c r="B790">
        <v>1008871.225399705</v>
      </c>
      <c r="C790">
        <v>118466.9466941646</v>
      </c>
      <c r="D790">
        <v>70282.921821408119</v>
      </c>
      <c r="E790">
        <v>59552.992313218885</v>
      </c>
      <c r="F790">
        <v>40122.89946783823</v>
      </c>
      <c r="G790">
        <v>10000</v>
      </c>
      <c r="H790">
        <v>278425.76029662986</v>
      </c>
      <c r="I790">
        <v>46.54783964394705</v>
      </c>
    </row>
    <row r="791" spans="1:9" x14ac:dyDescent="0.2">
      <c r="A791">
        <v>786</v>
      </c>
      <c r="B791">
        <v>1503324.4792588432</v>
      </c>
      <c r="C791">
        <v>114816.73104100325</v>
      </c>
      <c r="D791">
        <v>77278.099887173099</v>
      </c>
      <c r="E791">
        <v>183161.88255587823</v>
      </c>
      <c r="F791">
        <v>48680.438023099261</v>
      </c>
      <c r="G791">
        <v>10000</v>
      </c>
      <c r="H791">
        <v>413937.15150715382</v>
      </c>
      <c r="I791">
        <v>28.657741104224005</v>
      </c>
    </row>
    <row r="792" spans="1:9" x14ac:dyDescent="0.2">
      <c r="A792">
        <v>787</v>
      </c>
      <c r="B792">
        <v>885050.00229261769</v>
      </c>
      <c r="C792">
        <v>127356.65772514963</v>
      </c>
      <c r="D792">
        <v>62406.07062779658</v>
      </c>
      <c r="E792">
        <v>26868.104254778445</v>
      </c>
      <c r="F792">
        <v>37860.099525330814</v>
      </c>
      <c r="G792">
        <v>10000</v>
      </c>
      <c r="H792">
        <v>244490.9321330555</v>
      </c>
      <c r="I792">
        <v>34.466611548391874</v>
      </c>
    </row>
    <row r="793" spans="1:9" x14ac:dyDescent="0.2">
      <c r="A793">
        <v>788</v>
      </c>
      <c r="B793">
        <v>1346507.7743811735</v>
      </c>
      <c r="C793">
        <v>145216.20160179024</v>
      </c>
      <c r="D793">
        <v>65896.192613567924</v>
      </c>
      <c r="E793">
        <v>125180.72710126352</v>
      </c>
      <c r="F793">
        <v>44666.358030087475</v>
      </c>
      <c r="G793">
        <v>10000</v>
      </c>
      <c r="H793">
        <v>370959.47934670915</v>
      </c>
      <c r="I793">
        <v>25.194394748810318</v>
      </c>
    </row>
    <row r="794" spans="1:9" x14ac:dyDescent="0.2">
      <c r="A794">
        <v>789</v>
      </c>
      <c r="B794">
        <v>1459200.0460850527</v>
      </c>
      <c r="C794">
        <v>162057.97192695676</v>
      </c>
      <c r="D794">
        <v>42244.861386863995</v>
      </c>
      <c r="E794">
        <v>160434.43961716132</v>
      </c>
      <c r="F794">
        <v>47106.999665803472</v>
      </c>
      <c r="G794">
        <v>10000</v>
      </c>
      <c r="H794">
        <v>401844.27259678551</v>
      </c>
      <c r="I794">
        <v>55.304851818005851</v>
      </c>
    </row>
    <row r="795" spans="1:9" x14ac:dyDescent="0.2">
      <c r="A795">
        <v>790</v>
      </c>
      <c r="B795">
        <v>824939.22377178352</v>
      </c>
      <c r="C795">
        <v>79404.937891982961</v>
      </c>
      <c r="D795">
        <v>82112.940447534755</v>
      </c>
      <c r="E795">
        <v>37876.676108048639</v>
      </c>
      <c r="F795">
        <v>38622.231422864905</v>
      </c>
      <c r="G795">
        <v>10000</v>
      </c>
      <c r="H795">
        <v>228016.78587043128</v>
      </c>
      <c r="I795">
        <v>31.677452752848929</v>
      </c>
    </row>
    <row r="796" spans="1:9" x14ac:dyDescent="0.2">
      <c r="A796">
        <v>791</v>
      </c>
      <c r="B796">
        <v>1422250.1372888859</v>
      </c>
      <c r="C796">
        <v>91914.607390005767</v>
      </c>
      <c r="D796">
        <v>150465.76896596735</v>
      </c>
      <c r="E796">
        <v>115351.42203782185</v>
      </c>
      <c r="F796">
        <v>43985.867679541516</v>
      </c>
      <c r="G796">
        <v>10000</v>
      </c>
      <c r="H796">
        <v>391717.6660733365</v>
      </c>
      <c r="I796">
        <v>27.269938720534668</v>
      </c>
    </row>
    <row r="797" spans="1:9" x14ac:dyDescent="0.2">
      <c r="A797">
        <v>792</v>
      </c>
      <c r="B797">
        <v>1290132.9874527068</v>
      </c>
      <c r="C797">
        <v>128737.23290889172</v>
      </c>
      <c r="D797">
        <v>80722.818572743869</v>
      </c>
      <c r="E797">
        <v>112276.21061033467</v>
      </c>
      <c r="F797">
        <v>43772.968426869324</v>
      </c>
      <c r="G797">
        <v>10000</v>
      </c>
      <c r="H797">
        <v>355509.23051883961</v>
      </c>
      <c r="I797">
        <v>33.919548481999897</v>
      </c>
    </row>
    <row r="798" spans="1:9" x14ac:dyDescent="0.2">
      <c r="A798">
        <v>793</v>
      </c>
      <c r="B798">
        <v>1381472.3618394956</v>
      </c>
      <c r="C798">
        <v>144157.77772508402</v>
      </c>
      <c r="D798">
        <v>101631.54964013425</v>
      </c>
      <c r="E798">
        <v>101711.11636099605</v>
      </c>
      <c r="F798">
        <v>43041.538824992036</v>
      </c>
      <c r="G798">
        <v>10000</v>
      </c>
      <c r="H798">
        <v>380541.98255120631</v>
      </c>
      <c r="I798">
        <v>27.532565036586135</v>
      </c>
    </row>
    <row r="799" spans="1:9" x14ac:dyDescent="0.2">
      <c r="A799">
        <v>794</v>
      </c>
      <c r="B799">
        <v>1355533.829378136</v>
      </c>
      <c r="C799">
        <v>140509.54918015169</v>
      </c>
      <c r="D799">
        <v>111638.41788397278</v>
      </c>
      <c r="E799">
        <v>89115.674213187056</v>
      </c>
      <c r="F799">
        <v>42169.546676297563</v>
      </c>
      <c r="G799">
        <v>10000</v>
      </c>
      <c r="H799">
        <v>373433.1879536091</v>
      </c>
      <c r="I799">
        <v>48.599996453511253</v>
      </c>
    </row>
    <row r="800" spans="1:9" x14ac:dyDescent="0.2">
      <c r="A800">
        <v>795</v>
      </c>
      <c r="B800">
        <v>1034265.7716500922</v>
      </c>
      <c r="C800">
        <v>99399.692233639376</v>
      </c>
      <c r="D800">
        <v>120654.65623585109</v>
      </c>
      <c r="E800">
        <v>36784.50060512004</v>
      </c>
      <c r="F800">
        <v>38546.619272662152</v>
      </c>
      <c r="G800">
        <v>10000</v>
      </c>
      <c r="H800">
        <v>285385.46834727266</v>
      </c>
      <c r="I800">
        <v>41.450548041248474</v>
      </c>
    </row>
    <row r="801" spans="1:9" x14ac:dyDescent="0.2">
      <c r="A801">
        <v>796</v>
      </c>
      <c r="B801">
        <v>1461140.8920699304</v>
      </c>
      <c r="C801">
        <v>98337.281130813033</v>
      </c>
      <c r="D801">
        <v>78141.916409964469</v>
      </c>
      <c r="E801">
        <v>186954.01879025059</v>
      </c>
      <c r="F801">
        <v>48942.970531632731</v>
      </c>
      <c r="G801">
        <v>10000</v>
      </c>
      <c r="H801">
        <v>402376.1868626608</v>
      </c>
      <c r="I801">
        <v>30.300924836755129</v>
      </c>
    </row>
    <row r="802" spans="1:9" x14ac:dyDescent="0.2">
      <c r="A802">
        <v>797</v>
      </c>
      <c r="B802">
        <v>1447276.0336806015</v>
      </c>
      <c r="C802">
        <v>126625.15366381097</v>
      </c>
      <c r="D802">
        <v>63746.756520725736</v>
      </c>
      <c r="E802">
        <v>170407.02144000374</v>
      </c>
      <c r="F802">
        <v>47797.409176615642</v>
      </c>
      <c r="G802">
        <v>10000</v>
      </c>
      <c r="H802">
        <v>398576.34080115613</v>
      </c>
      <c r="I802">
        <v>31.962147436226648</v>
      </c>
    </row>
    <row r="803" spans="1:9" x14ac:dyDescent="0.2">
      <c r="A803">
        <v>798</v>
      </c>
      <c r="B803">
        <v>1118383.8329885458</v>
      </c>
      <c r="C803">
        <v>76321.151624603313</v>
      </c>
      <c r="D803">
        <v>58446.144185413206</v>
      </c>
      <c r="E803">
        <v>138110.34379494612</v>
      </c>
      <c r="F803">
        <v>45561.485339650113</v>
      </c>
      <c r="G803">
        <v>10000</v>
      </c>
      <c r="H803">
        <v>308439.12494461279</v>
      </c>
      <c r="I803">
        <v>33.16948294837875</v>
      </c>
    </row>
    <row r="804" spans="1:9" x14ac:dyDescent="0.2">
      <c r="A804">
        <v>799</v>
      </c>
      <c r="B804">
        <v>1499423.8613018137</v>
      </c>
      <c r="C804">
        <v>88553.063160704667</v>
      </c>
      <c r="D804">
        <v>167699.86584361846</v>
      </c>
      <c r="E804">
        <v>122158.1073188889</v>
      </c>
      <c r="F804">
        <v>44457.09973746154</v>
      </c>
      <c r="G804">
        <v>10000</v>
      </c>
      <c r="H804">
        <v>412868.13606067357</v>
      </c>
      <c r="I804">
        <v>26.526018012032843</v>
      </c>
    </row>
    <row r="805" spans="1:9" x14ac:dyDescent="0.2">
      <c r="A805">
        <v>800</v>
      </c>
      <c r="B805">
        <v>1185629.1123963911</v>
      </c>
      <c r="C805">
        <v>149173.55267731371</v>
      </c>
      <c r="D805">
        <v>65732.915373280688</v>
      </c>
      <c r="E805">
        <v>80396.214788621553</v>
      </c>
      <c r="F805">
        <v>41565.891793058414</v>
      </c>
      <c r="G805">
        <v>10000</v>
      </c>
      <c r="H805">
        <v>326868.57463227439</v>
      </c>
      <c r="I805">
        <v>39.549094203140882</v>
      </c>
    </row>
    <row r="806" spans="1:9" x14ac:dyDescent="0.2">
      <c r="A806">
        <v>801</v>
      </c>
      <c r="B806">
        <v>975171.78987155692</v>
      </c>
      <c r="C806">
        <v>91536.572840560577</v>
      </c>
      <c r="D806">
        <v>87926.202194941128</v>
      </c>
      <c r="E806">
        <v>59600.991057846157</v>
      </c>
      <c r="F806">
        <v>40126.22245785089</v>
      </c>
      <c r="G806">
        <v>10000</v>
      </c>
      <c r="H806">
        <v>269189.98855119874</v>
      </c>
      <c r="I806">
        <v>35.444236681981877</v>
      </c>
    </row>
    <row r="807" spans="1:9" x14ac:dyDescent="0.2">
      <c r="A807">
        <v>802</v>
      </c>
      <c r="B807">
        <v>1408872.392373774</v>
      </c>
      <c r="C807">
        <v>103042.48378067132</v>
      </c>
      <c r="D807">
        <v>103264.85498691183</v>
      </c>
      <c r="E807">
        <v>145659.83841331862</v>
      </c>
      <c r="F807">
        <v>46084.1426593836</v>
      </c>
      <c r="G807">
        <v>10000</v>
      </c>
      <c r="H807">
        <v>388051.31984028534</v>
      </c>
      <c r="I807">
        <v>34.917687270321998</v>
      </c>
    </row>
    <row r="808" spans="1:9" x14ac:dyDescent="0.2">
      <c r="A808">
        <v>803</v>
      </c>
      <c r="B808">
        <v>1194434.784323693</v>
      </c>
      <c r="C808">
        <v>122705.48895199259</v>
      </c>
      <c r="D808">
        <v>80240.363610650791</v>
      </c>
      <c r="E808">
        <v>93839.454210255499</v>
      </c>
      <c r="F808">
        <v>42496.577599171527</v>
      </c>
      <c r="G808">
        <v>10000</v>
      </c>
      <c r="H808">
        <v>329281.88437207043</v>
      </c>
      <c r="I808">
        <v>34.437194236825896</v>
      </c>
    </row>
    <row r="809" spans="1:9" x14ac:dyDescent="0.2">
      <c r="A809">
        <v>804</v>
      </c>
      <c r="B809">
        <v>1149246.6210518875</v>
      </c>
      <c r="C809">
        <v>110769.8982344187</v>
      </c>
      <c r="D809">
        <v>96248.401833565236</v>
      </c>
      <c r="E809">
        <v>78448.150427418514</v>
      </c>
      <c r="F809">
        <v>41431.025798821276</v>
      </c>
      <c r="G809">
        <v>10000</v>
      </c>
      <c r="H809">
        <v>316897.47629422374</v>
      </c>
      <c r="I809">
        <v>29.881074235468741</v>
      </c>
    </row>
    <row r="810" spans="1:9" x14ac:dyDescent="0.2">
      <c r="A810">
        <v>805</v>
      </c>
      <c r="B810">
        <v>1280154.7234200928</v>
      </c>
      <c r="C810">
        <v>147973.41458986857</v>
      </c>
      <c r="D810">
        <v>73747.231813871331</v>
      </c>
      <c r="E810">
        <v>98251.858412462258</v>
      </c>
      <c r="F810">
        <v>42802.051736247384</v>
      </c>
      <c r="G810">
        <v>10000</v>
      </c>
      <c r="H810">
        <v>352774.55655244953</v>
      </c>
      <c r="I810">
        <v>39.87117561977783</v>
      </c>
    </row>
    <row r="811" spans="1:9" x14ac:dyDescent="0.2">
      <c r="A811">
        <v>806</v>
      </c>
      <c r="B811">
        <v>946080.36185538885</v>
      </c>
      <c r="C811">
        <v>96046.975868075868</v>
      </c>
      <c r="D811">
        <v>30121.701355614805</v>
      </c>
      <c r="E811">
        <v>101987.73505260228</v>
      </c>
      <c r="F811">
        <v>43060.689349795546</v>
      </c>
      <c r="G811">
        <v>10000</v>
      </c>
      <c r="H811">
        <v>261217.10162608849</v>
      </c>
      <c r="I811">
        <v>33.155435464854307</v>
      </c>
    </row>
    <row r="812" spans="1:9" x14ac:dyDescent="0.2">
      <c r="A812">
        <v>807</v>
      </c>
      <c r="B812">
        <v>1402587.6226366451</v>
      </c>
      <c r="C812">
        <v>162123.24350652788</v>
      </c>
      <c r="D812">
        <v>135777.67843845236</v>
      </c>
      <c r="E812">
        <v>58385.875359429294</v>
      </c>
      <c r="F812">
        <v>40042.099063345107</v>
      </c>
      <c r="G812">
        <v>10000</v>
      </c>
      <c r="H812">
        <v>386328.89636775467</v>
      </c>
      <c r="I812">
        <v>33.673593730353502</v>
      </c>
    </row>
    <row r="813" spans="1:9" x14ac:dyDescent="0.2">
      <c r="A813">
        <v>808</v>
      </c>
      <c r="B813">
        <v>1326194.343913299</v>
      </c>
      <c r="C813">
        <v>70756.847471814399</v>
      </c>
      <c r="D813">
        <v>103955.80898444324</v>
      </c>
      <c r="E813">
        <v>154016.94930415237</v>
      </c>
      <c r="F813">
        <v>46662.71187490286</v>
      </c>
      <c r="G813">
        <v>10000</v>
      </c>
      <c r="H813">
        <v>365392.31763531279</v>
      </c>
      <c r="I813">
        <v>30.040954548046713</v>
      </c>
    </row>
    <row r="814" spans="1:9" x14ac:dyDescent="0.2">
      <c r="A814">
        <v>809</v>
      </c>
      <c r="B814">
        <v>771159.17224857071</v>
      </c>
      <c r="C814">
        <v>107874.14591341003</v>
      </c>
      <c r="D814">
        <v>43170.297312917464</v>
      </c>
      <c r="E814">
        <v>33887.179536858079</v>
      </c>
      <c r="F814">
        <v>38346.035506397864</v>
      </c>
      <c r="G814">
        <v>10000</v>
      </c>
      <c r="H814">
        <v>213277.65826958342</v>
      </c>
      <c r="I814">
        <v>25.974672866508566</v>
      </c>
    </row>
    <row r="815" spans="1:9" x14ac:dyDescent="0.2">
      <c r="A815">
        <v>810</v>
      </c>
      <c r="B815">
        <v>1481971.910230608</v>
      </c>
      <c r="C815">
        <v>105276.46997049025</v>
      </c>
      <c r="D815">
        <v>100955.95247186757</v>
      </c>
      <c r="E815">
        <v>164466.62673714501</v>
      </c>
      <c r="F815">
        <v>47386.151081802345</v>
      </c>
      <c r="G815">
        <v>10000</v>
      </c>
      <c r="H815">
        <v>408085.20026130514</v>
      </c>
      <c r="I815">
        <v>36.800049917610835</v>
      </c>
    </row>
    <row r="816" spans="1:9" x14ac:dyDescent="0.2">
      <c r="A816">
        <v>811</v>
      </c>
      <c r="B816">
        <v>1336309.8452910413</v>
      </c>
      <c r="C816">
        <v>97253.908094788872</v>
      </c>
      <c r="D816">
        <v>44772.639989297364</v>
      </c>
      <c r="E816">
        <v>187179.4760954607</v>
      </c>
      <c r="F816">
        <v>48958.579114301123</v>
      </c>
      <c r="G816">
        <v>10000</v>
      </c>
      <c r="H816">
        <v>368164.60329384811</v>
      </c>
      <c r="I816">
        <v>34.269695169358926</v>
      </c>
    </row>
    <row r="817" spans="1:9" x14ac:dyDescent="0.2">
      <c r="A817">
        <v>812</v>
      </c>
      <c r="B817">
        <v>1565615.1170817197</v>
      </c>
      <c r="C817">
        <v>149775.12184975771</v>
      </c>
      <c r="D817">
        <v>97087.547835422607</v>
      </c>
      <c r="E817">
        <v>147906.3749677937</v>
      </c>
      <c r="F817">
        <v>46239.672113154949</v>
      </c>
      <c r="G817">
        <v>10000</v>
      </c>
      <c r="H817">
        <v>431008.71676612896</v>
      </c>
      <c r="I817">
        <v>24.900857187211329</v>
      </c>
    </row>
    <row r="818" spans="1:9" x14ac:dyDescent="0.2">
      <c r="A818">
        <v>813</v>
      </c>
      <c r="B818">
        <v>934007.36999911547</v>
      </c>
      <c r="C818">
        <v>130913.43132407742</v>
      </c>
      <c r="D818">
        <v>61972.83178161148</v>
      </c>
      <c r="E818">
        <v>36495.467655261629</v>
      </c>
      <c r="F818">
        <v>38526.609299210424</v>
      </c>
      <c r="G818">
        <v>10000</v>
      </c>
      <c r="H818">
        <v>257908.34006016096</v>
      </c>
      <c r="I818">
        <v>36.318345684614073</v>
      </c>
    </row>
    <row r="819" spans="1:9" x14ac:dyDescent="0.2">
      <c r="A819">
        <v>814</v>
      </c>
      <c r="B819">
        <v>1317925.1786009655</v>
      </c>
      <c r="C819">
        <v>98646.48573103633</v>
      </c>
      <c r="D819">
        <v>81293.221105134246</v>
      </c>
      <c r="E819">
        <v>147008.80506658231</v>
      </c>
      <c r="F819">
        <v>46177.532658455697</v>
      </c>
      <c r="G819">
        <v>10000</v>
      </c>
      <c r="H819">
        <v>363126.04456120863</v>
      </c>
      <c r="I819">
        <v>39.800661954092789</v>
      </c>
    </row>
    <row r="820" spans="1:9" x14ac:dyDescent="0.2">
      <c r="A820">
        <v>815</v>
      </c>
      <c r="B820">
        <v>1548749.5645509555</v>
      </c>
      <c r="C820">
        <v>93534.126888729981</v>
      </c>
      <c r="D820">
        <v>151326.61929643599</v>
      </c>
      <c r="E820">
        <v>145455.73271792446</v>
      </c>
      <c r="F820">
        <v>46070.012265087084</v>
      </c>
      <c r="G820">
        <v>10000</v>
      </c>
      <c r="H820">
        <v>426386.49116817757</v>
      </c>
      <c r="I820">
        <v>41.81674423272419</v>
      </c>
    </row>
    <row r="821" spans="1:9" x14ac:dyDescent="0.2">
      <c r="A821">
        <v>816</v>
      </c>
      <c r="B821">
        <v>1084682.4197282335</v>
      </c>
      <c r="C821">
        <v>94553.420688957733</v>
      </c>
      <c r="D821">
        <v>58934.813213886264</v>
      </c>
      <c r="E821">
        <v>111963.27370849687</v>
      </c>
      <c r="F821">
        <v>43751.303564434398</v>
      </c>
      <c r="G821">
        <v>10000</v>
      </c>
      <c r="H821">
        <v>299202.81117577525</v>
      </c>
      <c r="I821">
        <v>43.698935286527671</v>
      </c>
    </row>
    <row r="822" spans="1:9" x14ac:dyDescent="0.2">
      <c r="A822">
        <v>817</v>
      </c>
      <c r="B822">
        <v>1044134.2526343716</v>
      </c>
      <c r="C822">
        <v>99581.865018504512</v>
      </c>
      <c r="D822">
        <v>129573.4410964869</v>
      </c>
      <c r="E822">
        <v>30802.282971980352</v>
      </c>
      <c r="F822">
        <v>38132.465744214023</v>
      </c>
      <c r="G822">
        <v>10000</v>
      </c>
      <c r="H822">
        <v>288090.05483118579</v>
      </c>
      <c r="I822">
        <v>31.268331910606875</v>
      </c>
    </row>
    <row r="823" spans="1:9" x14ac:dyDescent="0.2">
      <c r="A823">
        <v>818</v>
      </c>
      <c r="B823">
        <v>1208925.4663778655</v>
      </c>
      <c r="C823">
        <v>86870.989102047242</v>
      </c>
      <c r="D823">
        <v>118043.87455551782</v>
      </c>
      <c r="E823">
        <v>95712.155779837718</v>
      </c>
      <c r="F823">
        <v>42626.226169373374</v>
      </c>
      <c r="G823">
        <v>10000</v>
      </c>
      <c r="H823">
        <v>333253.24560677615</v>
      </c>
      <c r="I823">
        <v>32.618381834399806</v>
      </c>
    </row>
    <row r="824" spans="1:9" x14ac:dyDescent="0.2">
      <c r="A824">
        <v>819</v>
      </c>
      <c r="B824">
        <v>1207538.3393339857</v>
      </c>
      <c r="C824">
        <v>88400.751107366828</v>
      </c>
      <c r="D824">
        <v>99150.159981815465</v>
      </c>
      <c r="E824">
        <v>111596.27801084661</v>
      </c>
      <c r="F824">
        <v>43725.896169981686</v>
      </c>
      <c r="G824">
        <v>10000</v>
      </c>
      <c r="H824">
        <v>332873.08527001063</v>
      </c>
      <c r="I824">
        <v>36.162053894523055</v>
      </c>
    </row>
    <row r="825" spans="1:9" x14ac:dyDescent="0.2">
      <c r="A825">
        <v>820</v>
      </c>
      <c r="B825">
        <v>1478316.5760135676</v>
      </c>
      <c r="C825">
        <v>79728.419656063474</v>
      </c>
      <c r="D825">
        <v>106242.17998266434</v>
      </c>
      <c r="E825">
        <v>182479.6049766271</v>
      </c>
      <c r="F825">
        <v>48633.203421458798</v>
      </c>
      <c r="G825">
        <v>10000</v>
      </c>
      <c r="H825">
        <v>407083.40803681366</v>
      </c>
      <c r="I825">
        <v>45.225582199772433</v>
      </c>
    </row>
    <row r="826" spans="1:9" x14ac:dyDescent="0.2">
      <c r="A826">
        <v>821</v>
      </c>
      <c r="B826">
        <v>1028584.2350354034</v>
      </c>
      <c r="C826">
        <v>73773.835138889597</v>
      </c>
      <c r="D826">
        <v>77453.71564167914</v>
      </c>
      <c r="E826">
        <v>99698.606793741565</v>
      </c>
      <c r="F826">
        <v>42902.211239566721</v>
      </c>
      <c r="G826">
        <v>10000</v>
      </c>
      <c r="H826">
        <v>283828.36881387705</v>
      </c>
      <c r="I826">
        <v>46.787037527882347</v>
      </c>
    </row>
    <row r="827" spans="1:9" x14ac:dyDescent="0.2">
      <c r="A827">
        <v>822</v>
      </c>
      <c r="B827">
        <v>1320374.1488720051</v>
      </c>
      <c r="C827">
        <v>116148.39650879183</v>
      </c>
      <c r="D827">
        <v>157664.04576214295</v>
      </c>
      <c r="E827">
        <v>59841.875593306569</v>
      </c>
      <c r="F827">
        <v>40142.899079536612</v>
      </c>
      <c r="G827">
        <v>10000</v>
      </c>
      <c r="H827">
        <v>363797.21694377798</v>
      </c>
      <c r="I827">
        <v>37.863012721118906</v>
      </c>
    </row>
    <row r="828" spans="1:9" x14ac:dyDescent="0.2">
      <c r="A828">
        <v>823</v>
      </c>
      <c r="B828">
        <v>1012571.8584153063</v>
      </c>
      <c r="C828">
        <v>97210.265041312217</v>
      </c>
      <c r="D828">
        <v>114287.66289328373</v>
      </c>
      <c r="E828">
        <v>39226.367705287375</v>
      </c>
      <c r="F828">
        <v>38715.671610366051</v>
      </c>
      <c r="G828">
        <v>10000</v>
      </c>
      <c r="H828">
        <v>279439.96725024941</v>
      </c>
      <c r="I828">
        <v>34.687955550541993</v>
      </c>
    </row>
    <row r="829" spans="1:9" x14ac:dyDescent="0.2">
      <c r="A829">
        <v>824</v>
      </c>
      <c r="B829">
        <v>1015525.0767401078</v>
      </c>
      <c r="C829">
        <v>92091.787768813592</v>
      </c>
      <c r="D829">
        <v>38515.698785114342</v>
      </c>
      <c r="E829">
        <v>115636.2615268457</v>
      </c>
      <c r="F829">
        <v>44005.587336473931</v>
      </c>
      <c r="G829">
        <v>10000</v>
      </c>
      <c r="H829">
        <v>280249.33541724755</v>
      </c>
      <c r="I829">
        <v>30.101260168946418</v>
      </c>
    </row>
    <row r="830" spans="1:9" x14ac:dyDescent="0.2">
      <c r="A830">
        <v>825</v>
      </c>
      <c r="B830">
        <v>1497558.6960752734</v>
      </c>
      <c r="C830">
        <v>92711.743091290715</v>
      </c>
      <c r="D830">
        <v>109238.73605982994</v>
      </c>
      <c r="E830">
        <v>172466.49577764329</v>
      </c>
      <c r="F830">
        <v>47939.988169221455</v>
      </c>
      <c r="G830">
        <v>10000</v>
      </c>
      <c r="H830">
        <v>412356.96309798537</v>
      </c>
      <c r="I830">
        <v>30.247522437865182</v>
      </c>
    </row>
    <row r="831" spans="1:9" x14ac:dyDescent="0.2">
      <c r="A831">
        <v>826</v>
      </c>
      <c r="B831">
        <v>1133837.6244557193</v>
      </c>
      <c r="C831">
        <v>137151.22901317885</v>
      </c>
      <c r="D831">
        <v>62105.459515196228</v>
      </c>
      <c r="E831">
        <v>81757.608289297423</v>
      </c>
      <c r="F831">
        <v>41660.142112335976</v>
      </c>
      <c r="G831">
        <v>10000</v>
      </c>
      <c r="H831">
        <v>312674.43893000844</v>
      </c>
      <c r="I831">
        <v>43.472293251374275</v>
      </c>
    </row>
    <row r="832" spans="1:9" x14ac:dyDescent="0.2">
      <c r="A832">
        <v>827</v>
      </c>
      <c r="B832">
        <v>1401907.0283720212</v>
      </c>
      <c r="C832">
        <v>106107.04687724327</v>
      </c>
      <c r="D832">
        <v>133899.01337691004</v>
      </c>
      <c r="E832">
        <v>112357.70031805507</v>
      </c>
      <c r="F832">
        <v>43778.610022019202</v>
      </c>
      <c r="G832">
        <v>10000</v>
      </c>
      <c r="H832">
        <v>386142.37059422757</v>
      </c>
      <c r="I832">
        <v>46.663604463728404</v>
      </c>
    </row>
    <row r="833" spans="1:9" x14ac:dyDescent="0.2">
      <c r="A833">
        <v>828</v>
      </c>
      <c r="B833">
        <v>1510766.4850072609</v>
      </c>
      <c r="C833">
        <v>98662.187652519133</v>
      </c>
      <c r="D833">
        <v>85286.124949919613</v>
      </c>
      <c r="E833">
        <v>192688.44855011086</v>
      </c>
      <c r="F833">
        <v>49339.969515007673</v>
      </c>
      <c r="G833">
        <v>10000</v>
      </c>
      <c r="H833">
        <v>415976.73066755728</v>
      </c>
      <c r="I833">
        <v>25.418840795712889</v>
      </c>
    </row>
    <row r="834" spans="1:9" x14ac:dyDescent="0.2">
      <c r="A834">
        <v>829</v>
      </c>
      <c r="B834">
        <v>1055048.8951272613</v>
      </c>
      <c r="C834">
        <v>115416.15765419111</v>
      </c>
      <c r="D834">
        <v>50511.024901422847</v>
      </c>
      <c r="E834">
        <v>92734.118656382037</v>
      </c>
      <c r="F834">
        <v>42420.054368518759</v>
      </c>
      <c r="G834">
        <v>10000</v>
      </c>
      <c r="H834">
        <v>291081.35558051476</v>
      </c>
      <c r="I834">
        <v>32.755488329867418</v>
      </c>
    </row>
    <row r="835" spans="1:9" x14ac:dyDescent="0.2">
      <c r="A835">
        <v>830</v>
      </c>
      <c r="B835">
        <v>1382268.6927084473</v>
      </c>
      <c r="C835">
        <v>130436.50088923435</v>
      </c>
      <c r="D835">
        <v>109755.67183450705</v>
      </c>
      <c r="E835">
        <v>107149.97924713611</v>
      </c>
      <c r="F835">
        <v>43418.075486340189</v>
      </c>
      <c r="G835">
        <v>10000</v>
      </c>
      <c r="H835">
        <v>380760.2274572177</v>
      </c>
      <c r="I835">
        <v>27.962477190529725</v>
      </c>
    </row>
    <row r="836" spans="1:9" x14ac:dyDescent="0.2">
      <c r="A836">
        <v>831</v>
      </c>
      <c r="B836">
        <v>1146628.3847655593</v>
      </c>
      <c r="C836">
        <v>159158.1838518696</v>
      </c>
      <c r="D836">
        <v>99662.646055694713</v>
      </c>
      <c r="E836">
        <v>29328.640119377495</v>
      </c>
      <c r="F836">
        <v>38030.444315956905</v>
      </c>
      <c r="G836">
        <v>10000</v>
      </c>
      <c r="H836">
        <v>316179.91434289876</v>
      </c>
      <c r="I836">
        <v>34.749671087915409</v>
      </c>
    </row>
    <row r="837" spans="1:9" x14ac:dyDescent="0.2">
      <c r="A837">
        <v>832</v>
      </c>
      <c r="B837">
        <v>1734923.1925988602</v>
      </c>
      <c r="C837">
        <v>127368.77906430936</v>
      </c>
      <c r="D837">
        <v>168631.94575072688</v>
      </c>
      <c r="E837">
        <v>145346.62893705678</v>
      </c>
      <c r="F837">
        <v>46062.458926411629</v>
      </c>
      <c r="G837">
        <v>10000</v>
      </c>
      <c r="H837">
        <v>477409.81267850468</v>
      </c>
      <c r="I837">
        <v>37.660073983841357</v>
      </c>
    </row>
    <row r="838" spans="1:9" x14ac:dyDescent="0.2">
      <c r="A838">
        <v>833</v>
      </c>
      <c r="B838">
        <v>1194784.7049288894</v>
      </c>
      <c r="C838">
        <v>98754.80549881488</v>
      </c>
      <c r="D838">
        <v>34184.161375023148</v>
      </c>
      <c r="E838">
        <v>159403.21091434592</v>
      </c>
      <c r="F838">
        <v>47035.606909454713</v>
      </c>
      <c r="G838">
        <v>10000</v>
      </c>
      <c r="H838">
        <v>329377.78469763871</v>
      </c>
      <c r="I838">
        <v>26.763724646607923</v>
      </c>
    </row>
    <row r="839" spans="1:9" x14ac:dyDescent="0.2">
      <c r="A839">
        <v>834</v>
      </c>
      <c r="B839">
        <v>1028784.2079702662</v>
      </c>
      <c r="C839">
        <v>117334.98902042299</v>
      </c>
      <c r="D839">
        <v>89530.305331129479</v>
      </c>
      <c r="E839">
        <v>47714.563715120392</v>
      </c>
      <c r="F839">
        <v>39303.315949508331</v>
      </c>
      <c r="G839">
        <v>10000</v>
      </c>
      <c r="H839">
        <v>283883.1740161812</v>
      </c>
      <c r="I839">
        <v>32.541634687836407</v>
      </c>
    </row>
    <row r="840" spans="1:9" x14ac:dyDescent="0.2">
      <c r="A840">
        <v>835</v>
      </c>
      <c r="B840">
        <v>1505298.0240524646</v>
      </c>
      <c r="C840">
        <v>122915.17854269716</v>
      </c>
      <c r="D840">
        <v>135225.04520960452</v>
      </c>
      <c r="E840">
        <v>121898.66519775073</v>
      </c>
      <c r="F840">
        <v>44439.138359844277</v>
      </c>
      <c r="G840">
        <v>10000</v>
      </c>
      <c r="H840">
        <v>414478.02730989672</v>
      </c>
      <c r="I840">
        <v>41.36968026955482</v>
      </c>
    </row>
    <row r="841" spans="1:9" x14ac:dyDescent="0.2">
      <c r="A841">
        <v>836</v>
      </c>
      <c r="B841">
        <v>1092783.8056883991</v>
      </c>
      <c r="C841">
        <v>79911.207307021585</v>
      </c>
      <c r="D841">
        <v>128947.69591294123</v>
      </c>
      <c r="E841">
        <v>62254.286741627431</v>
      </c>
      <c r="F841">
        <v>40309.912159035746</v>
      </c>
      <c r="G841">
        <v>10000</v>
      </c>
      <c r="H841">
        <v>301423.10212062596</v>
      </c>
      <c r="I841">
        <v>26.741991703489479</v>
      </c>
    </row>
    <row r="842" spans="1:9" x14ac:dyDescent="0.2">
      <c r="A842">
        <v>837</v>
      </c>
      <c r="B842">
        <v>955491.11842762993</v>
      </c>
      <c r="C842">
        <v>125789.45655031716</v>
      </c>
      <c r="D842">
        <v>51504.684266788972</v>
      </c>
      <c r="E842">
        <v>56584.699639194558</v>
      </c>
      <c r="F842">
        <v>39917.402282713469</v>
      </c>
      <c r="G842">
        <v>10000</v>
      </c>
      <c r="H842">
        <v>263796.24273901415</v>
      </c>
      <c r="I842">
        <v>34.09804014031252</v>
      </c>
    </row>
    <row r="843" spans="1:9" x14ac:dyDescent="0.2">
      <c r="A843">
        <v>838</v>
      </c>
      <c r="B843">
        <v>1488335.6867074154</v>
      </c>
      <c r="C843">
        <v>132566.43366476134</v>
      </c>
      <c r="D843">
        <v>66326.571174366894</v>
      </c>
      <c r="E843">
        <v>172961.98075154249</v>
      </c>
      <c r="F843">
        <v>47974.290975106785</v>
      </c>
      <c r="G843">
        <v>10000</v>
      </c>
      <c r="H843">
        <v>409829.27656577749</v>
      </c>
      <c r="I843">
        <v>31.356312453789407</v>
      </c>
    </row>
    <row r="844" spans="1:9" x14ac:dyDescent="0.2">
      <c r="A844">
        <v>839</v>
      </c>
      <c r="B844">
        <v>836573.69054286333</v>
      </c>
      <c r="C844">
        <v>125052.0432507779</v>
      </c>
      <c r="D844">
        <v>49591.55454553078</v>
      </c>
      <c r="E844">
        <v>28582.946708566022</v>
      </c>
      <c r="F844">
        <v>37978.819387516109</v>
      </c>
      <c r="G844">
        <v>10000</v>
      </c>
      <c r="H844">
        <v>231205.3638923908</v>
      </c>
      <c r="I844">
        <v>37.130220373728946</v>
      </c>
    </row>
    <row r="845" spans="1:9" x14ac:dyDescent="0.2">
      <c r="A845">
        <v>840</v>
      </c>
      <c r="B845">
        <v>1500946.9595632318</v>
      </c>
      <c r="C845">
        <v>132182.87322761328</v>
      </c>
      <c r="D845">
        <v>125757.20020804997</v>
      </c>
      <c r="E845">
        <v>120970.59996517308</v>
      </c>
      <c r="F845">
        <v>44374.887689896597</v>
      </c>
      <c r="G845">
        <v>10000</v>
      </c>
      <c r="H845">
        <v>413285.56109073292</v>
      </c>
      <c r="I845">
        <v>27.220248436276307</v>
      </c>
    </row>
    <row r="846" spans="1:9" x14ac:dyDescent="0.2">
      <c r="A846">
        <v>841</v>
      </c>
      <c r="B846">
        <v>1125584.2572880222</v>
      </c>
      <c r="C846">
        <v>137827.63999821682</v>
      </c>
      <c r="D846">
        <v>61943.438521700002</v>
      </c>
      <c r="E846">
        <v>79161.037504899781</v>
      </c>
      <c r="F846">
        <v>41480.379519569986</v>
      </c>
      <c r="G846">
        <v>10000</v>
      </c>
      <c r="H846">
        <v>310412.49554438662</v>
      </c>
      <c r="I846">
        <v>33.821874375498496</v>
      </c>
    </row>
    <row r="847" spans="1:9" x14ac:dyDescent="0.2">
      <c r="A847">
        <v>842</v>
      </c>
      <c r="B847">
        <v>1380676.3497758275</v>
      </c>
      <c r="C847">
        <v>102322.77374569308</v>
      </c>
      <c r="D847">
        <v>70835.935340062468</v>
      </c>
      <c r="E847">
        <v>169435.00051213277</v>
      </c>
      <c r="F847">
        <v>47730.115420070731</v>
      </c>
      <c r="G847">
        <v>10000</v>
      </c>
      <c r="H847">
        <v>380323.825017959</v>
      </c>
      <c r="I847">
        <v>28.122327648284447</v>
      </c>
    </row>
    <row r="848" spans="1:9" x14ac:dyDescent="0.2">
      <c r="A848">
        <v>843</v>
      </c>
      <c r="B848">
        <v>969839.29443648714</v>
      </c>
      <c r="C848">
        <v>111823.05917621436</v>
      </c>
      <c r="D848">
        <v>71698.161324047789</v>
      </c>
      <c r="E848">
        <v>54438.50803777908</v>
      </c>
      <c r="F848">
        <v>39768.819787230859</v>
      </c>
      <c r="G848">
        <v>10000</v>
      </c>
      <c r="H848">
        <v>267728.5483252721</v>
      </c>
      <c r="I848">
        <v>48.951423079939019</v>
      </c>
    </row>
    <row r="849" spans="1:9" x14ac:dyDescent="0.2">
      <c r="A849">
        <v>844</v>
      </c>
      <c r="B849">
        <v>1804805.5302678114</v>
      </c>
      <c r="C849">
        <v>88609.519113403745</v>
      </c>
      <c r="D849">
        <v>165784.76721651756</v>
      </c>
      <c r="E849">
        <v>202171.226845472</v>
      </c>
      <c r="F849">
        <v>49996.469550840367</v>
      </c>
      <c r="G849">
        <v>10000</v>
      </c>
      <c r="H849">
        <v>496561.98272623372</v>
      </c>
      <c r="I849">
        <v>32.384700163793767</v>
      </c>
    </row>
    <row r="850" spans="1:9" x14ac:dyDescent="0.2">
      <c r="A850">
        <v>845</v>
      </c>
      <c r="B850">
        <v>1110298.5935393926</v>
      </c>
      <c r="C850">
        <v>106641.05564678954</v>
      </c>
      <c r="D850">
        <v>103175.97260223204</v>
      </c>
      <c r="E850">
        <v>65847.554091847996</v>
      </c>
      <c r="F850">
        <v>40558.67682174332</v>
      </c>
      <c r="G850">
        <v>10000</v>
      </c>
      <c r="H850">
        <v>306223.2591626129</v>
      </c>
      <c r="I850">
        <v>36.420941957881539</v>
      </c>
    </row>
    <row r="851" spans="1:9" x14ac:dyDescent="0.2">
      <c r="A851">
        <v>846</v>
      </c>
      <c r="B851">
        <v>1062394.1461565641</v>
      </c>
      <c r="C851">
        <v>120512.00581115097</v>
      </c>
      <c r="D851">
        <v>64316.024186330964</v>
      </c>
      <c r="E851">
        <v>76939.787193393684</v>
      </c>
      <c r="F851">
        <v>41326.600651850327</v>
      </c>
      <c r="G851">
        <v>10000</v>
      </c>
      <c r="H851">
        <v>293094.41784272593</v>
      </c>
      <c r="I851">
        <v>45.609913195540969</v>
      </c>
    </row>
    <row r="852" spans="1:9" x14ac:dyDescent="0.2">
      <c r="A852">
        <v>847</v>
      </c>
      <c r="B852">
        <v>996807.41135706613</v>
      </c>
      <c r="C852">
        <v>126876.74908920434</v>
      </c>
      <c r="D852">
        <v>63894.84699464486</v>
      </c>
      <c r="E852">
        <v>54569.995202139107</v>
      </c>
      <c r="F852">
        <v>39777.922744763477</v>
      </c>
      <c r="G852">
        <v>10000</v>
      </c>
      <c r="H852">
        <v>275119.51403075177</v>
      </c>
      <c r="I852">
        <v>36.667614156142008</v>
      </c>
    </row>
    <row r="853" spans="1:9" x14ac:dyDescent="0.2">
      <c r="A853">
        <v>848</v>
      </c>
      <c r="B853">
        <v>1145037.3142678507</v>
      </c>
      <c r="C853">
        <v>107912.91986587824</v>
      </c>
      <c r="D853">
        <v>70219.790096960714</v>
      </c>
      <c r="E853">
        <v>104384.52940196641</v>
      </c>
      <c r="F853">
        <v>43226.621266289985</v>
      </c>
      <c r="G853">
        <v>10000</v>
      </c>
      <c r="H853">
        <v>315743.86063109536</v>
      </c>
      <c r="I853">
        <v>45.837094785320929</v>
      </c>
    </row>
    <row r="854" spans="1:9" x14ac:dyDescent="0.2">
      <c r="A854">
        <v>849</v>
      </c>
      <c r="B854">
        <v>1570547.855368339</v>
      </c>
      <c r="C854">
        <v>106928.64342168487</v>
      </c>
      <c r="D854">
        <v>80184.252454378147</v>
      </c>
      <c r="E854">
        <v>205051.80803079013</v>
      </c>
      <c r="F854">
        <v>50195.894402131627</v>
      </c>
      <c r="G854">
        <v>10000</v>
      </c>
      <c r="H854">
        <v>432360.59830898477</v>
      </c>
      <c r="I854">
        <v>38.531700957870612</v>
      </c>
    </row>
    <row r="855" spans="1:9" x14ac:dyDescent="0.2">
      <c r="A855">
        <v>850</v>
      </c>
      <c r="B855">
        <v>1088356.9116893883</v>
      </c>
      <c r="C855">
        <v>121909.11906316286</v>
      </c>
      <c r="D855">
        <v>53756.979510666359</v>
      </c>
      <c r="E855">
        <v>92163.22434123345</v>
      </c>
      <c r="F855">
        <v>42380.530915931544</v>
      </c>
      <c r="G855">
        <v>10000</v>
      </c>
      <c r="H855">
        <v>300209.85383099422</v>
      </c>
      <c r="I855">
        <v>41.801574262865927</v>
      </c>
    </row>
    <row r="856" spans="1:9" x14ac:dyDescent="0.2">
      <c r="A856">
        <v>851</v>
      </c>
      <c r="B856">
        <v>1840790.6913241679</v>
      </c>
      <c r="C856">
        <v>147759.94916486231</v>
      </c>
      <c r="D856">
        <v>120898.15086490747</v>
      </c>
      <c r="E856">
        <v>198054.61417524467</v>
      </c>
      <c r="F856">
        <v>49711.473289055401</v>
      </c>
      <c r="G856">
        <v>10000</v>
      </c>
      <c r="H856">
        <v>506424.1874940698</v>
      </c>
      <c r="I856">
        <v>31.021655939497801</v>
      </c>
    </row>
    <row r="857" spans="1:9" x14ac:dyDescent="0.2">
      <c r="A857">
        <v>852</v>
      </c>
      <c r="B857">
        <v>1006949.3315283908</v>
      </c>
      <c r="C857">
        <v>86399.659506794589</v>
      </c>
      <c r="D857">
        <v>88822.550049516954</v>
      </c>
      <c r="E857">
        <v>71712.143679317873</v>
      </c>
      <c r="F857">
        <v>40964.68687010662</v>
      </c>
      <c r="G857">
        <v>10000</v>
      </c>
      <c r="H857">
        <v>277899.04010573606</v>
      </c>
      <c r="I857">
        <v>39.544600197848538</v>
      </c>
    </row>
    <row r="858" spans="1:9" x14ac:dyDescent="0.2">
      <c r="A858">
        <v>853</v>
      </c>
      <c r="B858">
        <v>1079406.037302196</v>
      </c>
      <c r="C858">
        <v>118589.06670975096</v>
      </c>
      <c r="D858">
        <v>74852.944982965244</v>
      </c>
      <c r="E858">
        <v>73243.99934603463</v>
      </c>
      <c r="F858">
        <v>41070.738416263936</v>
      </c>
      <c r="G858">
        <v>10000</v>
      </c>
      <c r="H858">
        <v>297756.74945501483</v>
      </c>
      <c r="I858">
        <v>39.469159673111974</v>
      </c>
    </row>
    <row r="859" spans="1:9" x14ac:dyDescent="0.2">
      <c r="A859">
        <v>854</v>
      </c>
      <c r="B859">
        <v>1695552.9379960462</v>
      </c>
      <c r="C859">
        <v>100441.96235083119</v>
      </c>
      <c r="D859">
        <v>141639.1833687147</v>
      </c>
      <c r="E859">
        <v>185683.70708710636</v>
      </c>
      <c r="F859">
        <v>48855.025875261206</v>
      </c>
      <c r="G859">
        <v>10000</v>
      </c>
      <c r="H859">
        <v>466619.87868191348</v>
      </c>
      <c r="I859">
        <v>44.627496152998617</v>
      </c>
    </row>
    <row r="860" spans="1:9" x14ac:dyDescent="0.2">
      <c r="A860">
        <v>855</v>
      </c>
      <c r="B860">
        <v>1489407.6580185932</v>
      </c>
      <c r="C860">
        <v>133313.10326379712</v>
      </c>
      <c r="D860">
        <v>102407.28078897162</v>
      </c>
      <c r="E860">
        <v>138793.8736552381</v>
      </c>
      <c r="F860">
        <v>45608.806637670328</v>
      </c>
      <c r="G860">
        <v>10000</v>
      </c>
      <c r="H860">
        <v>410123.06434567721</v>
      </c>
      <c r="I860">
        <v>36.031071440867791</v>
      </c>
    </row>
    <row r="861" spans="1:9" x14ac:dyDescent="0.2">
      <c r="A861">
        <v>856</v>
      </c>
      <c r="B861">
        <v>866213.5821061274</v>
      </c>
      <c r="C861">
        <v>103335.62403341896</v>
      </c>
      <c r="D861">
        <v>69208.369979033785</v>
      </c>
      <c r="E861">
        <v>38143.842843167266</v>
      </c>
      <c r="F861">
        <v>38640.727581450046</v>
      </c>
      <c r="G861">
        <v>10000</v>
      </c>
      <c r="H861">
        <v>239328.56443707008</v>
      </c>
      <c r="I861">
        <v>26.327742974555083</v>
      </c>
    </row>
    <row r="862" spans="1:9" x14ac:dyDescent="0.2">
      <c r="A862">
        <v>857</v>
      </c>
      <c r="B862">
        <v>1551000.1617010226</v>
      </c>
      <c r="C862">
        <v>127251.62074951163</v>
      </c>
      <c r="D862">
        <v>138923.73405503648</v>
      </c>
      <c r="E862">
        <v>126098.07524604464</v>
      </c>
      <c r="F862">
        <v>44729.866747803091</v>
      </c>
      <c r="G862">
        <v>10000</v>
      </c>
      <c r="H862">
        <v>427003.29679839587</v>
      </c>
      <c r="I862">
        <v>41.534593953593856</v>
      </c>
    </row>
    <row r="863" spans="1:9" x14ac:dyDescent="0.2">
      <c r="A863">
        <v>858</v>
      </c>
      <c r="B863">
        <v>1141475.6117554449</v>
      </c>
      <c r="C863">
        <v>124319.00540327543</v>
      </c>
      <c r="D863">
        <v>104998.31064823175</v>
      </c>
      <c r="E863">
        <v>55601.106011035932</v>
      </c>
      <c r="F863">
        <v>39849.307339225561</v>
      </c>
      <c r="G863">
        <v>10000</v>
      </c>
      <c r="H863">
        <v>314767.72940176865</v>
      </c>
      <c r="I863">
        <v>30.787847749039805</v>
      </c>
    </row>
    <row r="864" spans="1:9" x14ac:dyDescent="0.2">
      <c r="A864">
        <v>859</v>
      </c>
      <c r="B864">
        <v>1041113.7227327932</v>
      </c>
      <c r="C864">
        <v>118003.85613805411</v>
      </c>
      <c r="D864">
        <v>106728.22777906721</v>
      </c>
      <c r="E864">
        <v>34164.89328491444</v>
      </c>
      <c r="F864">
        <v>38365.261842801774</v>
      </c>
      <c r="G864">
        <v>10000</v>
      </c>
      <c r="H864">
        <v>287262.23904483754</v>
      </c>
      <c r="I864">
        <v>31.873603809580729</v>
      </c>
    </row>
    <row r="865" spans="1:9" x14ac:dyDescent="0.2">
      <c r="A865">
        <v>860</v>
      </c>
      <c r="B865">
        <v>1077031.9341874814</v>
      </c>
      <c r="C865">
        <v>137662.24488278275</v>
      </c>
      <c r="D865">
        <v>53959.546833391396</v>
      </c>
      <c r="E865">
        <v>74337.83797519443</v>
      </c>
      <c r="F865">
        <v>41146.465705974995</v>
      </c>
      <c r="G865">
        <v>10000</v>
      </c>
      <c r="H865">
        <v>297106.09539734357</v>
      </c>
      <c r="I865">
        <v>40.724827554106312</v>
      </c>
    </row>
    <row r="866" spans="1:9" x14ac:dyDescent="0.2">
      <c r="A866">
        <v>861</v>
      </c>
      <c r="B866">
        <v>1082709.9016011511</v>
      </c>
      <c r="C866">
        <v>117614.72705879383</v>
      </c>
      <c r="D866">
        <v>105779.36009708338</v>
      </c>
      <c r="E866">
        <v>46078.106809452758</v>
      </c>
      <c r="F866">
        <v>39190.022779115956</v>
      </c>
      <c r="G866">
        <v>10000</v>
      </c>
      <c r="H866">
        <v>298662.2167444459</v>
      </c>
      <c r="I866">
        <v>25.407167723161933</v>
      </c>
    </row>
    <row r="867" spans="1:9" x14ac:dyDescent="0.2">
      <c r="A867">
        <v>862</v>
      </c>
      <c r="B867">
        <v>1376331.4668354001</v>
      </c>
      <c r="C867">
        <v>116060.27674608902</v>
      </c>
      <c r="D867">
        <v>53212.163680479149</v>
      </c>
      <c r="E867">
        <v>171955.96853140034</v>
      </c>
      <c r="F867">
        <v>47904.643975250787</v>
      </c>
      <c r="G867">
        <v>10000</v>
      </c>
      <c r="H867">
        <v>379133.05293321924</v>
      </c>
      <c r="I867">
        <v>45.324496300458961</v>
      </c>
    </row>
    <row r="868" spans="1:9" x14ac:dyDescent="0.2">
      <c r="A868">
        <v>863</v>
      </c>
      <c r="B868">
        <v>966988.1629920702</v>
      </c>
      <c r="C868">
        <v>138256.25322454178</v>
      </c>
      <c r="D868">
        <v>40762.672459428533</v>
      </c>
      <c r="E868">
        <v>57918.491034159219</v>
      </c>
      <c r="F868">
        <v>40009.741686980255</v>
      </c>
      <c r="G868">
        <v>10000</v>
      </c>
      <c r="H868">
        <v>266947.15840510977</v>
      </c>
      <c r="I868">
        <v>34.639777873671548</v>
      </c>
    </row>
    <row r="869" spans="1:9" x14ac:dyDescent="0.2">
      <c r="A869">
        <v>864</v>
      </c>
      <c r="B869">
        <v>1169420.2693008222</v>
      </c>
      <c r="C869">
        <v>109658.83766274738</v>
      </c>
      <c r="D869">
        <v>60663.351779628836</v>
      </c>
      <c r="E869">
        <v>117939.1231939733</v>
      </c>
      <c r="F869">
        <v>44165.01622112123</v>
      </c>
      <c r="G869">
        <v>10000</v>
      </c>
      <c r="H869">
        <v>322426.32885747071</v>
      </c>
      <c r="I869">
        <v>34.146534570454897</v>
      </c>
    </row>
    <row r="870" spans="1:9" x14ac:dyDescent="0.2">
      <c r="A870">
        <v>865</v>
      </c>
      <c r="B870">
        <v>1302298.3654014978</v>
      </c>
      <c r="C870">
        <v>95723.990081723285</v>
      </c>
      <c r="D870">
        <v>115536.43871455551</v>
      </c>
      <c r="E870">
        <v>113710.60991333565</v>
      </c>
      <c r="F870">
        <v>43872.272994000159</v>
      </c>
      <c r="G870">
        <v>10000</v>
      </c>
      <c r="H870">
        <v>358843.3117036146</v>
      </c>
      <c r="I870">
        <v>30.315207207221356</v>
      </c>
    </row>
    <row r="871" spans="1:9" x14ac:dyDescent="0.2">
      <c r="A871">
        <v>866</v>
      </c>
      <c r="B871">
        <v>1155874.79930949</v>
      </c>
      <c r="C871">
        <v>147705.4467931168</v>
      </c>
      <c r="D871">
        <v>62695.243260875963</v>
      </c>
      <c r="E871">
        <v>76983.685547532688</v>
      </c>
      <c r="F871">
        <v>41329.639768675341</v>
      </c>
      <c r="G871">
        <v>10000</v>
      </c>
      <c r="H871">
        <v>318714.01537020074</v>
      </c>
      <c r="I871">
        <v>23.557591564138043</v>
      </c>
    </row>
    <row r="872" spans="1:9" x14ac:dyDescent="0.2">
      <c r="A872">
        <v>867</v>
      </c>
      <c r="B872">
        <v>1283686.1491524298</v>
      </c>
      <c r="C872">
        <v>106724.3026939463</v>
      </c>
      <c r="D872">
        <v>72243.213374597064</v>
      </c>
      <c r="E872">
        <v>139141.96845652204</v>
      </c>
      <c r="F872">
        <v>45632.905508528449</v>
      </c>
      <c r="G872">
        <v>10000</v>
      </c>
      <c r="H872">
        <v>353742.39003359387</v>
      </c>
      <c r="I872">
        <v>44.923836238378954</v>
      </c>
    </row>
    <row r="873" spans="1:9" x14ac:dyDescent="0.2">
      <c r="A873">
        <v>868</v>
      </c>
      <c r="B873">
        <v>1773476.5658273469</v>
      </c>
      <c r="C873">
        <v>140905.98304188601</v>
      </c>
      <c r="D873">
        <v>172317.83113258757</v>
      </c>
      <c r="E873">
        <v>139120.62740808644</v>
      </c>
      <c r="F873">
        <v>45631.428051329065</v>
      </c>
      <c r="G873">
        <v>10000</v>
      </c>
      <c r="H873">
        <v>487975.86963388906</v>
      </c>
      <c r="I873">
        <v>35.724484744737779</v>
      </c>
    </row>
    <row r="874" spans="1:9" x14ac:dyDescent="0.2">
      <c r="A874">
        <v>869</v>
      </c>
      <c r="B874">
        <v>1777674.9476159317</v>
      </c>
      <c r="C874">
        <v>144802.99493332734</v>
      </c>
      <c r="D874">
        <v>125721.78366420313</v>
      </c>
      <c r="E874">
        <v>180131.09807898256</v>
      </c>
      <c r="F874">
        <v>48470.614482391094</v>
      </c>
      <c r="G874">
        <v>10000</v>
      </c>
      <c r="H874">
        <v>489126.4911589041</v>
      </c>
      <c r="I874">
        <v>32.482295260654524</v>
      </c>
    </row>
    <row r="875" spans="1:9" x14ac:dyDescent="0.2">
      <c r="A875">
        <v>870</v>
      </c>
      <c r="B875">
        <v>959686.07149462437</v>
      </c>
      <c r="C875">
        <v>112922.28373824031</v>
      </c>
      <c r="D875">
        <v>67245.221864926338</v>
      </c>
      <c r="E875">
        <v>54972.622062759692</v>
      </c>
      <c r="F875">
        <v>39805.796912037214</v>
      </c>
      <c r="G875">
        <v>10000</v>
      </c>
      <c r="H875">
        <v>264945.92457796354</v>
      </c>
      <c r="I875">
        <v>39.786971304254621</v>
      </c>
    </row>
    <row r="876" spans="1:9" x14ac:dyDescent="0.2">
      <c r="A876">
        <v>871</v>
      </c>
      <c r="B876">
        <v>929325.08290723874</v>
      </c>
      <c r="C876">
        <v>78839.586824738115</v>
      </c>
      <c r="D876">
        <v>76582.160237629869</v>
      </c>
      <c r="E876">
        <v>70334.069173574404</v>
      </c>
      <c r="F876">
        <v>40869.281712016695</v>
      </c>
      <c r="G876">
        <v>10000</v>
      </c>
      <c r="H876">
        <v>256625.09794795903</v>
      </c>
      <c r="I876">
        <v>25.94081221792694</v>
      </c>
    </row>
    <row r="877" spans="1:9" x14ac:dyDescent="0.2">
      <c r="A877">
        <v>872</v>
      </c>
      <c r="B877">
        <v>1389301.8418327905</v>
      </c>
      <c r="C877">
        <v>137526.68053611025</v>
      </c>
      <c r="D877">
        <v>86759.288709290588</v>
      </c>
      <c r="E877">
        <v>123829.00742176657</v>
      </c>
      <c r="F877">
        <v>44572.777436891527</v>
      </c>
      <c r="G877">
        <v>10000</v>
      </c>
      <c r="H877">
        <v>382687.7541040589</v>
      </c>
      <c r="I877">
        <v>33.603059589386248</v>
      </c>
    </row>
    <row r="878" spans="1:9" x14ac:dyDescent="0.2">
      <c r="A878">
        <v>873</v>
      </c>
      <c r="B878">
        <v>994153.33339926717</v>
      </c>
      <c r="C878">
        <v>86580.038356325182</v>
      </c>
      <c r="D878">
        <v>95083.586869562307</v>
      </c>
      <c r="E878">
        <v>62407.953356952137</v>
      </c>
      <c r="F878">
        <v>40320.55061701977</v>
      </c>
      <c r="G878">
        <v>10000</v>
      </c>
      <c r="H878">
        <v>274392.1291998594</v>
      </c>
      <c r="I878">
        <v>32.833802762800772</v>
      </c>
    </row>
    <row r="879" spans="1:9" x14ac:dyDescent="0.2">
      <c r="A879">
        <v>874</v>
      </c>
      <c r="B879">
        <v>1326675.0883769968</v>
      </c>
      <c r="C879">
        <v>115991.37721594982</v>
      </c>
      <c r="D879">
        <v>31306.115858823443</v>
      </c>
      <c r="E879">
        <v>179780.25362712232</v>
      </c>
      <c r="F879">
        <v>48446.325251108465</v>
      </c>
      <c r="G879">
        <v>10000</v>
      </c>
      <c r="H879">
        <v>365524.07195300405</v>
      </c>
      <c r="I879">
        <v>24.279046786970671</v>
      </c>
    </row>
    <row r="880" spans="1:9" x14ac:dyDescent="0.2">
      <c r="A880">
        <v>875</v>
      </c>
      <c r="B880">
        <v>1087014.6283109211</v>
      </c>
      <c r="C880">
        <v>158834.78492521914</v>
      </c>
      <c r="D880">
        <v>51562.171618140637</v>
      </c>
      <c r="E880">
        <v>59337.075559880897</v>
      </c>
      <c r="F880">
        <v>40107.951384914835</v>
      </c>
      <c r="G880">
        <v>10000</v>
      </c>
      <c r="H880">
        <v>299841.98348815553</v>
      </c>
      <c r="I880">
        <v>28.458937155219445</v>
      </c>
    </row>
    <row r="881" spans="1:9" x14ac:dyDescent="0.2">
      <c r="A881">
        <v>876</v>
      </c>
      <c r="B881">
        <v>1418510.5421830718</v>
      </c>
      <c r="C881">
        <v>124727.80908561232</v>
      </c>
      <c r="D881">
        <v>80050.092859551965</v>
      </c>
      <c r="E881">
        <v>149560.67829810077</v>
      </c>
      <c r="F881">
        <v>46354.200805253124</v>
      </c>
      <c r="G881">
        <v>10000</v>
      </c>
      <c r="H881">
        <v>390692.78104851814</v>
      </c>
      <c r="I881">
        <v>34.358323142664801</v>
      </c>
    </row>
    <row r="882" spans="1:9" x14ac:dyDescent="0.2">
      <c r="A882">
        <v>877</v>
      </c>
      <c r="B882">
        <v>1307864.504289957</v>
      </c>
      <c r="C882">
        <v>165228.65728215355</v>
      </c>
      <c r="D882">
        <v>90530.641030619852</v>
      </c>
      <c r="E882">
        <v>73519.663788096892</v>
      </c>
      <c r="F882">
        <v>41089.822877637474</v>
      </c>
      <c r="G882">
        <v>10000</v>
      </c>
      <c r="H882">
        <v>360368.78497850779</v>
      </c>
      <c r="I882">
        <v>37.427409378156753</v>
      </c>
    </row>
    <row r="883" spans="1:9" x14ac:dyDescent="0.2">
      <c r="A883">
        <v>878</v>
      </c>
      <c r="B883">
        <v>1123141.6669299747</v>
      </c>
      <c r="C883">
        <v>100488.51829360815</v>
      </c>
      <c r="D883">
        <v>78626.086075515181</v>
      </c>
      <c r="E883">
        <v>97853.962214998784</v>
      </c>
      <c r="F883">
        <v>42774.505076422996</v>
      </c>
      <c r="G883">
        <v>10000</v>
      </c>
      <c r="H883">
        <v>309743.07166054513</v>
      </c>
      <c r="I883">
        <v>50.685310345100504</v>
      </c>
    </row>
    <row r="884" spans="1:9" x14ac:dyDescent="0.2">
      <c r="A884">
        <v>879</v>
      </c>
      <c r="B884">
        <v>954058.50742387935</v>
      </c>
      <c r="C884">
        <v>107097.72309471542</v>
      </c>
      <c r="D884">
        <v>53595.82568735112</v>
      </c>
      <c r="E884">
        <v>71743.229200520174</v>
      </c>
      <c r="F884">
        <v>40966.838944651397</v>
      </c>
      <c r="G884">
        <v>10000</v>
      </c>
      <c r="H884">
        <v>263403.61692723812</v>
      </c>
      <c r="I884">
        <v>31.285474692302646</v>
      </c>
    </row>
    <row r="885" spans="1:9" x14ac:dyDescent="0.2">
      <c r="A885">
        <v>880</v>
      </c>
      <c r="B885">
        <v>1527813.9124193771</v>
      </c>
      <c r="C885">
        <v>163928.81089190478</v>
      </c>
      <c r="D885">
        <v>105282.72875777561</v>
      </c>
      <c r="E885">
        <v>117315.42471391705</v>
      </c>
      <c r="F885">
        <v>44121.837095578878</v>
      </c>
      <c r="G885">
        <v>10000</v>
      </c>
      <c r="H885">
        <v>420648.80145917635</v>
      </c>
      <c r="I885">
        <v>51.055491748148391</v>
      </c>
    </row>
    <row r="886" spans="1:9" x14ac:dyDescent="0.2">
      <c r="A886">
        <v>881</v>
      </c>
      <c r="B886">
        <v>1300642.5807520701</v>
      </c>
      <c r="C886">
        <v>139529.87228301121</v>
      </c>
      <c r="D886">
        <v>67524.18712621888</v>
      </c>
      <c r="E886">
        <v>117220.2170273888</v>
      </c>
      <c r="F886">
        <v>44115.245794203845</v>
      </c>
      <c r="G886">
        <v>10000</v>
      </c>
      <c r="H886">
        <v>358389.52223082271</v>
      </c>
      <c r="I886">
        <v>36.038360418933785</v>
      </c>
    </row>
    <row r="887" spans="1:9" x14ac:dyDescent="0.2">
      <c r="A887">
        <v>882</v>
      </c>
      <c r="B887">
        <v>1475408.9922732741</v>
      </c>
      <c r="C887">
        <v>80282.905455145141</v>
      </c>
      <c r="D887">
        <v>145688.61442528525</v>
      </c>
      <c r="E887">
        <v>144323.40630832067</v>
      </c>
      <c r="F887">
        <v>45991.620436729892</v>
      </c>
      <c r="G887">
        <v>10000</v>
      </c>
      <c r="H887">
        <v>406286.54662548099</v>
      </c>
      <c r="I887">
        <v>51.855964564148572</v>
      </c>
    </row>
    <row r="888" spans="1:9" x14ac:dyDescent="0.2">
      <c r="A888">
        <v>883</v>
      </c>
      <c r="B888">
        <v>1504107.7019402594</v>
      </c>
      <c r="C888">
        <v>146721.48150482032</v>
      </c>
      <c r="D888">
        <v>84078.03915948105</v>
      </c>
      <c r="E888">
        <v>147164.0059437915</v>
      </c>
      <c r="F888">
        <v>46188.277334570186</v>
      </c>
      <c r="G888">
        <v>10000</v>
      </c>
      <c r="H888">
        <v>414151.80394266301</v>
      </c>
      <c r="I888">
        <v>41.629231004082612</v>
      </c>
    </row>
    <row r="889" spans="1:9" x14ac:dyDescent="0.2">
      <c r="A889">
        <v>884</v>
      </c>
      <c r="B889">
        <v>1681945.7457718842</v>
      </c>
      <c r="C889">
        <v>105747.38804421881</v>
      </c>
      <c r="D889">
        <v>112037.37611918477</v>
      </c>
      <c r="E889">
        <v>204919.17325054636</v>
      </c>
      <c r="F889">
        <v>50186.711994268589</v>
      </c>
      <c r="G889">
        <v>10000</v>
      </c>
      <c r="H889">
        <v>462890.64940821857</v>
      </c>
      <c r="I889">
        <v>31.291832057258365</v>
      </c>
    </row>
    <row r="890" spans="1:9" x14ac:dyDescent="0.2">
      <c r="A890">
        <v>885</v>
      </c>
      <c r="B890">
        <v>1161770.2298766072</v>
      </c>
      <c r="C890">
        <v>114454.1318142989</v>
      </c>
      <c r="D890">
        <v>77367.96406567005</v>
      </c>
      <c r="E890">
        <v>95870.45417416998</v>
      </c>
      <c r="F890">
        <v>42637.185288981003</v>
      </c>
      <c r="G890">
        <v>10000</v>
      </c>
      <c r="H890">
        <v>320329.73534311994</v>
      </c>
      <c r="I890">
        <v>31.085002264375884</v>
      </c>
    </row>
    <row r="891" spans="1:9" x14ac:dyDescent="0.2">
      <c r="A891">
        <v>886</v>
      </c>
      <c r="B891">
        <v>1203274.9695323256</v>
      </c>
      <c r="C891">
        <v>83914.082462799241</v>
      </c>
      <c r="D891">
        <v>107987.18902357906</v>
      </c>
      <c r="E891">
        <v>106434.81717628603</v>
      </c>
      <c r="F891">
        <v>43368.564266050569</v>
      </c>
      <c r="G891">
        <v>10000</v>
      </c>
      <c r="H891">
        <v>331704.65292871493</v>
      </c>
      <c r="I891">
        <v>33.591975542800085</v>
      </c>
    </row>
    <row r="892" spans="1:9" x14ac:dyDescent="0.2">
      <c r="A892">
        <v>887</v>
      </c>
      <c r="B892">
        <v>1265033.9909945207</v>
      </c>
      <c r="C892">
        <v>165481.73273700944</v>
      </c>
      <c r="D892">
        <v>118757.04494929939</v>
      </c>
      <c r="E892">
        <v>35905.947695047595</v>
      </c>
      <c r="F892">
        <v>38485.796378887913</v>
      </c>
      <c r="G892">
        <v>10000</v>
      </c>
      <c r="H892">
        <v>348630.52176024433</v>
      </c>
      <c r="I892">
        <v>27.916423741326224</v>
      </c>
    </row>
    <row r="893" spans="1:9" x14ac:dyDescent="0.2">
      <c r="A893">
        <v>888</v>
      </c>
      <c r="B893">
        <v>1355304.4913837418</v>
      </c>
      <c r="C893">
        <v>99592.436029512057</v>
      </c>
      <c r="D893">
        <v>50210.149959837923</v>
      </c>
      <c r="E893">
        <v>184775.59248024991</v>
      </c>
      <c r="F893">
        <v>48792.156402478839</v>
      </c>
      <c r="G893">
        <v>10000</v>
      </c>
      <c r="H893">
        <v>373370.33487207873</v>
      </c>
      <c r="I893">
        <v>34.706519297319701</v>
      </c>
    </row>
    <row r="894" spans="1:9" x14ac:dyDescent="0.2">
      <c r="A894">
        <v>889</v>
      </c>
      <c r="B894">
        <v>1387415.3755256613</v>
      </c>
      <c r="C894">
        <v>134768.34019426414</v>
      </c>
      <c r="D894">
        <v>107597.68946717177</v>
      </c>
      <c r="E894">
        <v>106436.06311633192</v>
      </c>
      <c r="F894">
        <v>43368.650523438359</v>
      </c>
      <c r="G894">
        <v>10000</v>
      </c>
      <c r="H894">
        <v>382170.74330120621</v>
      </c>
      <c r="I894">
        <v>30.583227167319212</v>
      </c>
    </row>
    <row r="895" spans="1:9" x14ac:dyDescent="0.2">
      <c r="A895">
        <v>890</v>
      </c>
      <c r="B895">
        <v>811900.65909561131</v>
      </c>
      <c r="C895">
        <v>74870.990010166395</v>
      </c>
      <c r="D895">
        <v>57386.616151052192</v>
      </c>
      <c r="E895">
        <v>61900.379383284671</v>
      </c>
      <c r="F895">
        <v>40285.410880381241</v>
      </c>
      <c r="G895">
        <v>10000</v>
      </c>
      <c r="H895">
        <v>224443.3964248845</v>
      </c>
      <c r="I895">
        <v>37.066228195142571</v>
      </c>
    </row>
    <row r="896" spans="1:9" x14ac:dyDescent="0.2">
      <c r="A896">
        <v>891</v>
      </c>
      <c r="B896">
        <v>825551.84723613062</v>
      </c>
      <c r="C896">
        <v>102915.22135351904</v>
      </c>
      <c r="D896">
        <v>40903.595320534543</v>
      </c>
      <c r="E896">
        <v>54586.78178865822</v>
      </c>
      <c r="F896">
        <v>39779.084893060957</v>
      </c>
      <c r="G896">
        <v>10000</v>
      </c>
      <c r="H896">
        <v>228184.68335577275</v>
      </c>
      <c r="I896">
        <v>38.840510522456483</v>
      </c>
    </row>
    <row r="897" spans="1:9" x14ac:dyDescent="0.2">
      <c r="A897">
        <v>892</v>
      </c>
      <c r="B897">
        <v>965475.44177425746</v>
      </c>
      <c r="C897">
        <v>129186.48542963644</v>
      </c>
      <c r="D897">
        <v>58447.831470938982</v>
      </c>
      <c r="E897">
        <v>49473.19321652456</v>
      </c>
      <c r="F897">
        <v>39425.067222682468</v>
      </c>
      <c r="G897">
        <v>10000</v>
      </c>
      <c r="H897">
        <v>266532.57733978244</v>
      </c>
      <c r="I897">
        <v>34.93448774059965</v>
      </c>
    </row>
    <row r="898" spans="1:9" x14ac:dyDescent="0.2">
      <c r="A898">
        <v>893</v>
      </c>
      <c r="B898">
        <v>1382686.7329602051</v>
      </c>
      <c r="C898">
        <v>91214.040965663924</v>
      </c>
      <c r="D898">
        <v>64556.183323363606</v>
      </c>
      <c r="E898">
        <v>186212.90960272201</v>
      </c>
      <c r="F898">
        <v>48891.662972496139</v>
      </c>
      <c r="G898">
        <v>10000</v>
      </c>
      <c r="H898">
        <v>380874.79686424567</v>
      </c>
      <c r="I898">
        <v>53.762665368011312</v>
      </c>
    </row>
    <row r="899" spans="1:9" x14ac:dyDescent="0.2">
      <c r="A899">
        <v>894</v>
      </c>
      <c r="B899">
        <v>1313595.0839038249</v>
      </c>
      <c r="C899">
        <v>82377.159238427223</v>
      </c>
      <c r="D899">
        <v>142980.50313957402</v>
      </c>
      <c r="E899">
        <v>103421.69921822503</v>
      </c>
      <c r="F899">
        <v>43159.963792030961</v>
      </c>
      <c r="G899">
        <v>10000</v>
      </c>
      <c r="H899">
        <v>361939.32538825728</v>
      </c>
      <c r="I899">
        <v>36.047644654871</v>
      </c>
    </row>
    <row r="900" spans="1:9" x14ac:dyDescent="0.2">
      <c r="A900">
        <v>895</v>
      </c>
      <c r="B900">
        <v>1604504.0174509976</v>
      </c>
      <c r="C900">
        <v>99510.733493771753</v>
      </c>
      <c r="D900">
        <v>158380.92513647128</v>
      </c>
      <c r="E900">
        <v>147559.4186397024</v>
      </c>
      <c r="F900">
        <v>46215.652059671702</v>
      </c>
      <c r="G900">
        <v>10000</v>
      </c>
      <c r="H900">
        <v>441666.72932961711</v>
      </c>
      <c r="I900">
        <v>38.15773262154606</v>
      </c>
    </row>
    <row r="901" spans="1:9" x14ac:dyDescent="0.2">
      <c r="A901">
        <v>896</v>
      </c>
      <c r="B901">
        <v>1610307.1672340322</v>
      </c>
      <c r="C901">
        <v>106338.25716227682</v>
      </c>
      <c r="D901">
        <v>90049.365946746155</v>
      </c>
      <c r="E901">
        <v>206568.63026371846</v>
      </c>
      <c r="F901">
        <v>50300.905172103587</v>
      </c>
      <c r="G901">
        <v>10000</v>
      </c>
      <c r="H901">
        <v>443257.15854484501</v>
      </c>
      <c r="I901">
        <v>36.88682211615329</v>
      </c>
    </row>
    <row r="902" spans="1:9" x14ac:dyDescent="0.2">
      <c r="A902">
        <v>897</v>
      </c>
      <c r="B902">
        <v>920343.3051488396</v>
      </c>
      <c r="C902">
        <v>128657.06689939718</v>
      </c>
      <c r="D902">
        <v>57934.290262503142</v>
      </c>
      <c r="E902">
        <v>38880.443897341043</v>
      </c>
      <c r="F902">
        <v>38691.723039046687</v>
      </c>
      <c r="G902">
        <v>10000</v>
      </c>
      <c r="H902">
        <v>254163.52409828804</v>
      </c>
      <c r="I902">
        <v>32.878095384971687</v>
      </c>
    </row>
    <row r="903" spans="1:9" x14ac:dyDescent="0.2">
      <c r="A903">
        <v>898</v>
      </c>
      <c r="B903">
        <v>1453691.8371925289</v>
      </c>
      <c r="C903">
        <v>84307.982880469877</v>
      </c>
      <c r="D903">
        <v>75426.265048352085</v>
      </c>
      <c r="E903">
        <v>200705.43613488364</v>
      </c>
      <c r="F903">
        <v>49894.991732415023</v>
      </c>
      <c r="G903">
        <v>10000</v>
      </c>
      <c r="H903">
        <v>400334.67579612066</v>
      </c>
      <c r="I903">
        <v>34.429255141458654</v>
      </c>
    </row>
    <row r="904" spans="1:9" x14ac:dyDescent="0.2">
      <c r="A904">
        <v>899</v>
      </c>
      <c r="B904">
        <v>1403928.6926099288</v>
      </c>
      <c r="C904">
        <v>86628.622938098357</v>
      </c>
      <c r="D904">
        <v>104724.3549984109</v>
      </c>
      <c r="E904">
        <v>158378.77200852413</v>
      </c>
      <c r="F904">
        <v>46964.684215974747</v>
      </c>
      <c r="G904">
        <v>10000</v>
      </c>
      <c r="H904">
        <v>386696.4341610081</v>
      </c>
      <c r="I904">
        <v>37.801549942812031</v>
      </c>
    </row>
    <row r="905" spans="1:9" x14ac:dyDescent="0.2">
      <c r="A905">
        <v>900</v>
      </c>
      <c r="B905">
        <v>1432197.0119305206</v>
      </c>
      <c r="C905">
        <v>95348.288705955376</v>
      </c>
      <c r="D905">
        <v>64849.202851519418</v>
      </c>
      <c r="E905">
        <v>194762.67593598375</v>
      </c>
      <c r="F905">
        <v>49483.569872491178</v>
      </c>
      <c r="G905">
        <v>10000</v>
      </c>
      <c r="H905">
        <v>394443.73736594972</v>
      </c>
      <c r="I905">
        <v>40.94667402203477</v>
      </c>
    </row>
    <row r="906" spans="1:9" x14ac:dyDescent="0.2">
      <c r="A906">
        <v>901</v>
      </c>
      <c r="B906">
        <v>1137987.2991549575</v>
      </c>
      <c r="C906">
        <v>112854.12013880782</v>
      </c>
      <c r="D906">
        <v>143693.97101173952</v>
      </c>
      <c r="E906">
        <v>29239.357291507735</v>
      </c>
      <c r="F906">
        <v>38024.263197104381</v>
      </c>
      <c r="G906">
        <v>10000</v>
      </c>
      <c r="H906">
        <v>313811.71163915942</v>
      </c>
      <c r="I906">
        <v>35.793025546015009</v>
      </c>
    </row>
    <row r="907" spans="1:9" x14ac:dyDescent="0.2">
      <c r="A907">
        <v>902</v>
      </c>
      <c r="B907">
        <v>1733117.8417698257</v>
      </c>
      <c r="C907">
        <v>144700.64174006891</v>
      </c>
      <c r="D907">
        <v>107514.33551098887</v>
      </c>
      <c r="E907">
        <v>185834.58417201322</v>
      </c>
      <c r="F907">
        <v>48865.471211908611</v>
      </c>
      <c r="G907">
        <v>10000</v>
      </c>
      <c r="H907">
        <v>476915.03263497958</v>
      </c>
      <c r="I907">
        <v>34.179497933860418</v>
      </c>
    </row>
    <row r="908" spans="1:9" x14ac:dyDescent="0.2">
      <c r="A908">
        <v>903</v>
      </c>
      <c r="B908">
        <v>1450928.759777206</v>
      </c>
      <c r="C908">
        <v>120728.5214088114</v>
      </c>
      <c r="D908">
        <v>110839.73708738488</v>
      </c>
      <c r="E908">
        <v>132814.32205888169</v>
      </c>
      <c r="F908">
        <v>45194.837680999502</v>
      </c>
      <c r="G908">
        <v>10000</v>
      </c>
      <c r="H908">
        <v>399577.41823607747</v>
      </c>
      <c r="I908">
        <v>26.471934839721417</v>
      </c>
    </row>
    <row r="909" spans="1:9" x14ac:dyDescent="0.2">
      <c r="A909">
        <v>904</v>
      </c>
      <c r="B909">
        <v>973140.77238593937</v>
      </c>
      <c r="C909">
        <v>121975.96162619996</v>
      </c>
      <c r="D909">
        <v>90759.865705042466</v>
      </c>
      <c r="E909">
        <v>27961.722701479113</v>
      </c>
      <c r="F909">
        <v>37935.811571640865</v>
      </c>
      <c r="G909">
        <v>10000</v>
      </c>
      <c r="H909">
        <v>268633.36160436238</v>
      </c>
      <c r="I909">
        <v>37.828815833953726</v>
      </c>
    </row>
    <row r="910" spans="1:9" x14ac:dyDescent="0.2">
      <c r="A910">
        <v>905</v>
      </c>
      <c r="B910">
        <v>1874008.4496574637</v>
      </c>
      <c r="C910">
        <v>140375.60487417685</v>
      </c>
      <c r="D910">
        <v>148299.08400360544</v>
      </c>
      <c r="E910">
        <v>187848.37305171741</v>
      </c>
      <c r="F910">
        <v>49004.887365118899</v>
      </c>
      <c r="G910">
        <v>10000</v>
      </c>
      <c r="H910">
        <v>515527.94929461868</v>
      </c>
      <c r="I910">
        <v>28.523444726730549</v>
      </c>
    </row>
    <row r="911" spans="1:9" x14ac:dyDescent="0.2">
      <c r="A911">
        <v>906</v>
      </c>
      <c r="B911">
        <v>1388065.9258485946</v>
      </c>
      <c r="C911">
        <v>101010.39902651926</v>
      </c>
      <c r="D911">
        <v>33396.02383119044</v>
      </c>
      <c r="E911">
        <v>207572.22731339812</v>
      </c>
      <c r="F911">
        <v>50370.384967850638</v>
      </c>
      <c r="G911">
        <v>10000</v>
      </c>
      <c r="H911">
        <v>382349.03513895848</v>
      </c>
      <c r="I911">
        <v>38.158415137876005</v>
      </c>
    </row>
    <row r="912" spans="1:9" x14ac:dyDescent="0.2">
      <c r="A912">
        <v>907</v>
      </c>
      <c r="B912">
        <v>1451356.3742371092</v>
      </c>
      <c r="C912">
        <v>86028.419962321641</v>
      </c>
      <c r="D912">
        <v>100853.68375371603</v>
      </c>
      <c r="E912">
        <v>174716.73397373603</v>
      </c>
      <c r="F912">
        <v>48095.773890489414</v>
      </c>
      <c r="G912">
        <v>10000</v>
      </c>
      <c r="H912">
        <v>399694.61158026312</v>
      </c>
      <c r="I912">
        <v>30.893533542782247</v>
      </c>
    </row>
    <row r="913" spans="1:9" x14ac:dyDescent="0.2">
      <c r="A913">
        <v>908</v>
      </c>
      <c r="B913">
        <v>1700648.1180682215</v>
      </c>
      <c r="C913">
        <v>102525.53794701729</v>
      </c>
      <c r="D913">
        <v>117842.31518860736</v>
      </c>
      <c r="E913">
        <v>207297.08942795286</v>
      </c>
      <c r="F913">
        <v>50351.336960396729</v>
      </c>
      <c r="G913">
        <v>10000</v>
      </c>
      <c r="H913">
        <v>468016.27952397428</v>
      </c>
      <c r="I913">
        <v>42.998038432685021</v>
      </c>
    </row>
    <row r="914" spans="1:9" x14ac:dyDescent="0.2">
      <c r="A914">
        <v>909</v>
      </c>
      <c r="B914">
        <v>1129161.2117757881</v>
      </c>
      <c r="C914">
        <v>100469.92085649785</v>
      </c>
      <c r="D914">
        <v>71620.545159181012</v>
      </c>
      <c r="E914">
        <v>105966.21797854222</v>
      </c>
      <c r="F914">
        <v>43336.122783129838</v>
      </c>
      <c r="G914">
        <v>10000</v>
      </c>
      <c r="H914">
        <v>311392.80677735095</v>
      </c>
      <c r="I914">
        <v>45.781013146097727</v>
      </c>
    </row>
    <row r="915" spans="1:9" x14ac:dyDescent="0.2">
      <c r="A915">
        <v>910</v>
      </c>
      <c r="B915">
        <v>1394975.0425627811</v>
      </c>
      <c r="C915">
        <v>135693.90179397067</v>
      </c>
      <c r="D915">
        <v>122929.48155766226</v>
      </c>
      <c r="E915">
        <v>93169.02262277242</v>
      </c>
      <c r="F915">
        <v>42450.163104653475</v>
      </c>
      <c r="G915">
        <v>10000</v>
      </c>
      <c r="H915">
        <v>384242.56907905883</v>
      </c>
      <c r="I915">
        <v>43.451238093222088</v>
      </c>
    </row>
    <row r="916" spans="1:9" x14ac:dyDescent="0.2">
      <c r="A916">
        <v>911</v>
      </c>
      <c r="B916">
        <v>1308771.8837737902</v>
      </c>
      <c r="C916">
        <v>87370.792684795044</v>
      </c>
      <c r="D916">
        <v>43171.161536163054</v>
      </c>
      <c r="E916">
        <v>190861.98776148685</v>
      </c>
      <c r="F916">
        <v>49213.522229641392</v>
      </c>
      <c r="G916">
        <v>10000</v>
      </c>
      <c r="H916">
        <v>360617.46421208634</v>
      </c>
      <c r="I916">
        <v>33.642775079549935</v>
      </c>
    </row>
    <row r="917" spans="1:9" x14ac:dyDescent="0.2">
      <c r="A917">
        <v>912</v>
      </c>
      <c r="B917">
        <v>1505897.7623544319</v>
      </c>
      <c r="C917">
        <v>102657.11603677778</v>
      </c>
      <c r="D917">
        <v>68165.334943490263</v>
      </c>
      <c r="E917">
        <v>203716.49295515358</v>
      </c>
      <c r="F917">
        <v>50103.449512279862</v>
      </c>
      <c r="G917">
        <v>10000</v>
      </c>
      <c r="H917">
        <v>414642.39344770153</v>
      </c>
      <c r="I917">
        <v>37.781588433847105</v>
      </c>
    </row>
    <row r="918" spans="1:9" x14ac:dyDescent="0.2">
      <c r="A918">
        <v>913</v>
      </c>
      <c r="B918">
        <v>1431127.1083934093</v>
      </c>
      <c r="C918">
        <v>84366.679810428686</v>
      </c>
      <c r="D918">
        <v>98401.616532440792</v>
      </c>
      <c r="E918">
        <v>173379.05462365091</v>
      </c>
      <c r="F918">
        <v>48003.165320098909</v>
      </c>
      <c r="G918">
        <v>10000</v>
      </c>
      <c r="H918">
        <v>394150.5162866193</v>
      </c>
      <c r="I918">
        <v>48.565789447408555</v>
      </c>
    </row>
    <row r="919" spans="1:9" x14ac:dyDescent="0.2">
      <c r="A919">
        <v>914</v>
      </c>
      <c r="B919">
        <v>1903058.5948286429</v>
      </c>
      <c r="C919">
        <v>124813.50820312304</v>
      </c>
      <c r="D919">
        <v>165771.36037337841</v>
      </c>
      <c r="E919">
        <v>193507.9493528177</v>
      </c>
      <c r="F919">
        <v>49396.7041859643</v>
      </c>
      <c r="G919">
        <v>10000</v>
      </c>
      <c r="H919">
        <v>523489.52211528341</v>
      </c>
      <c r="I919">
        <v>42.574778059781451</v>
      </c>
    </row>
    <row r="920" spans="1:9" x14ac:dyDescent="0.2">
      <c r="A920">
        <v>915</v>
      </c>
      <c r="B920">
        <v>1197707.7342999165</v>
      </c>
      <c r="C920">
        <v>112125.36364308024</v>
      </c>
      <c r="D920">
        <v>118326.17871198285</v>
      </c>
      <c r="E920">
        <v>68953.62437463252</v>
      </c>
      <c r="F920">
        <v>40773.712456705325</v>
      </c>
      <c r="G920">
        <v>10000</v>
      </c>
      <c r="H920">
        <v>330178.87918640097</v>
      </c>
      <c r="I920">
        <v>29.285759861069035</v>
      </c>
    </row>
    <row r="921" spans="1:9" x14ac:dyDescent="0.2">
      <c r="A921">
        <v>916</v>
      </c>
      <c r="B921">
        <v>1646826.9193790876</v>
      </c>
      <c r="C921">
        <v>119298.08445288522</v>
      </c>
      <c r="D921">
        <v>90349.079929154017</v>
      </c>
      <c r="E921">
        <v>203528.29050909911</v>
      </c>
      <c r="F921">
        <v>50090.420112168402</v>
      </c>
      <c r="G921">
        <v>10000</v>
      </c>
      <c r="H921">
        <v>453265.87500330678</v>
      </c>
      <c r="I921">
        <v>31.983776692117097</v>
      </c>
    </row>
    <row r="922" spans="1:9" x14ac:dyDescent="0.2">
      <c r="A922">
        <v>917</v>
      </c>
      <c r="B922">
        <v>1109420.1584721263</v>
      </c>
      <c r="C922">
        <v>98401.584444288033</v>
      </c>
      <c r="D922">
        <v>108453.51038483203</v>
      </c>
      <c r="E922">
        <v>68392.548924714982</v>
      </c>
      <c r="F922">
        <v>40734.868771711037</v>
      </c>
      <c r="G922">
        <v>10000</v>
      </c>
      <c r="H922">
        <v>305982.51252554607</v>
      </c>
      <c r="I922">
        <v>34.367858568693791</v>
      </c>
    </row>
    <row r="923" spans="1:9" x14ac:dyDescent="0.2">
      <c r="A923">
        <v>918</v>
      </c>
      <c r="B923">
        <v>1408866.0955076283</v>
      </c>
      <c r="C923">
        <v>93295.333444348915</v>
      </c>
      <c r="D923">
        <v>57068.899028373577</v>
      </c>
      <c r="E923">
        <v>197979.11519250687</v>
      </c>
      <c r="F923">
        <v>49706.246436404319</v>
      </c>
      <c r="G923">
        <v>10000</v>
      </c>
      <c r="H923">
        <v>388049.59410163364</v>
      </c>
      <c r="I923">
        <v>43.591557132056913</v>
      </c>
    </row>
    <row r="924" spans="1:9" x14ac:dyDescent="0.2">
      <c r="A924">
        <v>919</v>
      </c>
      <c r="B924">
        <v>890722.56846218067</v>
      </c>
      <c r="C924">
        <v>91315.727857928083</v>
      </c>
      <c r="D924">
        <v>93824.009918340016</v>
      </c>
      <c r="E924">
        <v>32645.745358882479</v>
      </c>
      <c r="F924">
        <v>38260.090063307245</v>
      </c>
      <c r="G924">
        <v>10000</v>
      </c>
      <c r="H924">
        <v>246045.57319845783</v>
      </c>
      <c r="I924">
        <v>45.696570323850906</v>
      </c>
    </row>
    <row r="925" spans="1:9" x14ac:dyDescent="0.2">
      <c r="A925">
        <v>920</v>
      </c>
      <c r="B925">
        <v>1183737.3589079783</v>
      </c>
      <c r="C925">
        <v>113616.8154725442</v>
      </c>
      <c r="D925">
        <v>67390.053208789352</v>
      </c>
      <c r="E925">
        <v>111615.9855862148</v>
      </c>
      <c r="F925">
        <v>43727.260540584102</v>
      </c>
      <c r="G925">
        <v>10000</v>
      </c>
      <c r="H925">
        <v>326350.11480813246</v>
      </c>
      <c r="I925">
        <v>35.436182216584626</v>
      </c>
    </row>
    <row r="926" spans="1:9" x14ac:dyDescent="0.2">
      <c r="A926">
        <v>921</v>
      </c>
      <c r="B926">
        <v>1639248.670295591</v>
      </c>
      <c r="C926">
        <v>145506.73313711767</v>
      </c>
      <c r="D926">
        <v>92128.229274442463</v>
      </c>
      <c r="E926">
        <v>175410.21036609687</v>
      </c>
      <c r="F926">
        <v>48143.783794575938</v>
      </c>
      <c r="G926">
        <v>10000</v>
      </c>
      <c r="H926">
        <v>451188.95657223294</v>
      </c>
      <c r="I926">
        <v>34.760814738218443</v>
      </c>
    </row>
    <row r="927" spans="1:9" x14ac:dyDescent="0.2">
      <c r="A927">
        <v>922</v>
      </c>
      <c r="B927">
        <v>1593449.09807648</v>
      </c>
      <c r="C927">
        <v>123571.62718506066</v>
      </c>
      <c r="D927">
        <v>143713.73848688768</v>
      </c>
      <c r="E927">
        <v>135940.36233728149</v>
      </c>
      <c r="F927">
        <v>45411.255854119489</v>
      </c>
      <c r="G927">
        <v>10000</v>
      </c>
      <c r="H927">
        <v>438636.98386334936</v>
      </c>
      <c r="I927">
        <v>34.384466057310661</v>
      </c>
    </row>
    <row r="928" spans="1:9" x14ac:dyDescent="0.2">
      <c r="A928">
        <v>923</v>
      </c>
      <c r="B928">
        <v>1027290.7932115046</v>
      </c>
      <c r="C928">
        <v>102178.05906775694</v>
      </c>
      <c r="D928">
        <v>93849.463753962467</v>
      </c>
      <c r="E928">
        <v>57467.819936892112</v>
      </c>
      <c r="F928">
        <v>39978.541380246381</v>
      </c>
      <c r="G928">
        <v>10000</v>
      </c>
      <c r="H928">
        <v>283473.88413885789</v>
      </c>
      <c r="I928">
        <v>30.032022523008727</v>
      </c>
    </row>
    <row r="929" spans="1:9" x14ac:dyDescent="0.2">
      <c r="A929">
        <v>924</v>
      </c>
      <c r="B929">
        <v>1405159.0640658606</v>
      </c>
      <c r="C929">
        <v>117374.41997188954</v>
      </c>
      <c r="D929">
        <v>152571.5320066555</v>
      </c>
      <c r="E929">
        <v>85189.918040325356</v>
      </c>
      <c r="F929">
        <v>41897.76355663791</v>
      </c>
      <c r="G929">
        <v>10000</v>
      </c>
      <c r="H929">
        <v>387033.63357550831</v>
      </c>
      <c r="I929">
        <v>38.957912712276475</v>
      </c>
    </row>
    <row r="930" spans="1:9" x14ac:dyDescent="0.2">
      <c r="A930">
        <v>925</v>
      </c>
      <c r="B930">
        <v>1346874.9013444663</v>
      </c>
      <c r="C930">
        <v>100982.05478447693</v>
      </c>
      <c r="D930">
        <v>62316.372684493377</v>
      </c>
      <c r="E930">
        <v>169992.92674854316</v>
      </c>
      <c r="F930">
        <v>47768.741082591449</v>
      </c>
      <c r="G930">
        <v>10000</v>
      </c>
      <c r="H930">
        <v>371060.09530010493</v>
      </c>
      <c r="I930">
        <v>51.657169683545277</v>
      </c>
    </row>
    <row r="931" spans="1:9" x14ac:dyDescent="0.2">
      <c r="A931">
        <v>926</v>
      </c>
      <c r="B931">
        <v>1352662.2377203493</v>
      </c>
      <c r="C931">
        <v>121843.46568264964</v>
      </c>
      <c r="D931">
        <v>109487.01916891326</v>
      </c>
      <c r="E931">
        <v>107849.22124468646</v>
      </c>
      <c r="F931">
        <v>43466.484547709064</v>
      </c>
      <c r="G931">
        <v>10000</v>
      </c>
      <c r="H931">
        <v>372646.1906439584</v>
      </c>
      <c r="I931">
        <v>37.258215615149226</v>
      </c>
    </row>
    <row r="932" spans="1:9" x14ac:dyDescent="0.2">
      <c r="A932">
        <v>927</v>
      </c>
      <c r="B932">
        <v>1625967.3118448458</v>
      </c>
      <c r="C932">
        <v>124715.55174759596</v>
      </c>
      <c r="D932">
        <v>129651.32983795904</v>
      </c>
      <c r="E932">
        <v>156357.40154303308</v>
      </c>
      <c r="F932">
        <v>46824.743183748447</v>
      </c>
      <c r="G932">
        <v>10000</v>
      </c>
      <c r="H932">
        <v>447549.02631233656</v>
      </c>
      <c r="I932">
        <v>44.762862778512186</v>
      </c>
    </row>
    <row r="933" spans="1:9" x14ac:dyDescent="0.2">
      <c r="A933">
        <v>928</v>
      </c>
      <c r="B933">
        <v>1305426.1139416399</v>
      </c>
      <c r="C933">
        <v>107881.89512381151</v>
      </c>
      <c r="D933">
        <v>49184.114517141468</v>
      </c>
      <c r="E933">
        <v>165197.73617109086</v>
      </c>
      <c r="F933">
        <v>47436.766350306287</v>
      </c>
      <c r="G933">
        <v>10000</v>
      </c>
      <c r="H933">
        <v>359700.51216235012</v>
      </c>
      <c r="I933">
        <v>27.339632257242407</v>
      </c>
    </row>
    <row r="934" spans="1:9" x14ac:dyDescent="0.2">
      <c r="A934">
        <v>929</v>
      </c>
      <c r="B934">
        <v>1184806.2741665258</v>
      </c>
      <c r="C934">
        <v>112000.77162944566</v>
      </c>
      <c r="D934">
        <v>121000.12065676876</v>
      </c>
      <c r="E934">
        <v>63262.463723547437</v>
      </c>
      <c r="F934">
        <v>40379.709027014818</v>
      </c>
      <c r="G934">
        <v>10000</v>
      </c>
      <c r="H934">
        <v>326643.06503677671</v>
      </c>
      <c r="I934">
        <v>27.773598142019981</v>
      </c>
    </row>
    <row r="935" spans="1:9" x14ac:dyDescent="0.2">
      <c r="A935">
        <v>930</v>
      </c>
      <c r="B935">
        <v>1529603.5289486535</v>
      </c>
      <c r="C935">
        <v>137788.73485885374</v>
      </c>
      <c r="D935">
        <v>125706.02109692497</v>
      </c>
      <c r="E935">
        <v>123120.76788687441</v>
      </c>
      <c r="F935">
        <v>44523.745469091307</v>
      </c>
      <c r="G935">
        <v>10000</v>
      </c>
      <c r="H935">
        <v>421139.26931174443</v>
      </c>
      <c r="I935">
        <v>51.563863281308677</v>
      </c>
    </row>
    <row r="936" spans="1:9" x14ac:dyDescent="0.2">
      <c r="A936">
        <v>931</v>
      </c>
      <c r="B936">
        <v>1584672.0258846111</v>
      </c>
      <c r="C936">
        <v>120061.05007278529</v>
      </c>
      <c r="D936">
        <v>126198.40977105222</v>
      </c>
      <c r="E936">
        <v>153355.15693194381</v>
      </c>
      <c r="F936">
        <v>46616.895479903797</v>
      </c>
      <c r="G936">
        <v>10000</v>
      </c>
      <c r="H936">
        <v>436231.51225568511</v>
      </c>
      <c r="I936">
        <v>33.118522660432063</v>
      </c>
    </row>
    <row r="937" spans="1:9" x14ac:dyDescent="0.2">
      <c r="A937">
        <v>932</v>
      </c>
      <c r="B937">
        <v>1124025.0983725106</v>
      </c>
      <c r="C937">
        <v>105662.57911738069</v>
      </c>
      <c r="D937">
        <v>32103.203941719035</v>
      </c>
      <c r="E937">
        <v>136751.96109984542</v>
      </c>
      <c r="F937">
        <v>45467.443460758528</v>
      </c>
      <c r="G937">
        <v>10000</v>
      </c>
      <c r="H937">
        <v>309985.18761970371</v>
      </c>
      <c r="I937">
        <v>37.921698477523364</v>
      </c>
    </row>
    <row r="938" spans="1:9" x14ac:dyDescent="0.2">
      <c r="A938">
        <v>933</v>
      </c>
      <c r="B938">
        <v>992782.51415926265</v>
      </c>
      <c r="C938">
        <v>118298.14890149342</v>
      </c>
      <c r="D938">
        <v>79243.456283826687</v>
      </c>
      <c r="E938">
        <v>47206.678387453641</v>
      </c>
      <c r="F938">
        <v>39268.154657592946</v>
      </c>
      <c r="G938">
        <v>10000</v>
      </c>
      <c r="H938">
        <v>274016.43823036668</v>
      </c>
      <c r="I938">
        <v>38.318639820113702</v>
      </c>
    </row>
    <row r="939" spans="1:9" x14ac:dyDescent="0.2">
      <c r="A939">
        <v>934</v>
      </c>
      <c r="B939">
        <v>1002204.0963449379</v>
      </c>
      <c r="C939">
        <v>87854.462491783299</v>
      </c>
      <c r="D939">
        <v>74322.114303879614</v>
      </c>
      <c r="E939">
        <v>82696.805959308374</v>
      </c>
      <c r="F939">
        <v>41725.16348949058</v>
      </c>
      <c r="G939">
        <v>10000</v>
      </c>
      <c r="H939">
        <v>276598.5462444619</v>
      </c>
      <c r="I939">
        <v>44.589293355962567</v>
      </c>
    </row>
    <row r="940" spans="1:9" x14ac:dyDescent="0.2">
      <c r="A940">
        <v>935</v>
      </c>
      <c r="B940">
        <v>1522111.4806930283</v>
      </c>
      <c r="C940">
        <v>133722.89037668001</v>
      </c>
      <c r="D940">
        <v>101425.22602312065</v>
      </c>
      <c r="E940">
        <v>147711.66664100278</v>
      </c>
      <c r="F940">
        <v>46226.192305915582</v>
      </c>
      <c r="G940">
        <v>10000</v>
      </c>
      <c r="H940">
        <v>419085.97534671897</v>
      </c>
      <c r="I940">
        <v>29.234417896027999</v>
      </c>
    </row>
    <row r="941" spans="1:9" x14ac:dyDescent="0.2">
      <c r="A941">
        <v>936</v>
      </c>
      <c r="B941">
        <v>832402.49787493446</v>
      </c>
      <c r="C941">
        <v>128604.87689636495</v>
      </c>
      <c r="D941">
        <v>34915.669498884665</v>
      </c>
      <c r="E941">
        <v>37916.648747367166</v>
      </c>
      <c r="F941">
        <v>38624.998759433111</v>
      </c>
      <c r="G941">
        <v>10000</v>
      </c>
      <c r="H941">
        <v>230062.19390204988</v>
      </c>
      <c r="I941">
        <v>41.948821628147883</v>
      </c>
    </row>
    <row r="942" spans="1:9" x14ac:dyDescent="0.2">
      <c r="A942">
        <v>937</v>
      </c>
      <c r="B942">
        <v>1165852.8031950057</v>
      </c>
      <c r="C942">
        <v>136868.20449744235</v>
      </c>
      <c r="D942">
        <v>87334.705001986586</v>
      </c>
      <c r="E942">
        <v>66632.677052211788</v>
      </c>
      <c r="F942">
        <v>40613.031488230044</v>
      </c>
      <c r="G942">
        <v>10000</v>
      </c>
      <c r="H942">
        <v>321448.61803987075</v>
      </c>
      <c r="I942">
        <v>36.126667901240751</v>
      </c>
    </row>
    <row r="943" spans="1:9" x14ac:dyDescent="0.2">
      <c r="A943">
        <v>938</v>
      </c>
      <c r="B943">
        <v>1439737.1645804434</v>
      </c>
      <c r="C943">
        <v>102760.40802529796</v>
      </c>
      <c r="D943">
        <v>102784.36172256072</v>
      </c>
      <c r="E943">
        <v>154284.22934479118</v>
      </c>
      <c r="F943">
        <v>46681.215877716306</v>
      </c>
      <c r="G943">
        <v>10000</v>
      </c>
      <c r="H943">
        <v>396510.21497036621</v>
      </c>
      <c r="I943">
        <v>34.616039897202164</v>
      </c>
    </row>
    <row r="944" spans="1:9" x14ac:dyDescent="0.2">
      <c r="A944">
        <v>939</v>
      </c>
      <c r="B944">
        <v>1542164.6544875787</v>
      </c>
      <c r="C944">
        <v>113700.68487670166</v>
      </c>
      <c r="D944">
        <v>96137.925421333799</v>
      </c>
      <c r="E944">
        <v>176522.41727514277</v>
      </c>
      <c r="F944">
        <v>48220.782734432956</v>
      </c>
      <c r="G944">
        <v>10000</v>
      </c>
      <c r="H944">
        <v>424581.81030761119</v>
      </c>
      <c r="I944">
        <v>47.165078725755542</v>
      </c>
    </row>
    <row r="945" spans="1:9" x14ac:dyDescent="0.2">
      <c r="A945">
        <v>940</v>
      </c>
      <c r="B945">
        <v>1076531.2119266689</v>
      </c>
      <c r="C945">
        <v>130092.95931276711</v>
      </c>
      <c r="D945">
        <v>92709.189518457322</v>
      </c>
      <c r="E945">
        <v>45048.008771844259</v>
      </c>
      <c r="F945">
        <v>39118.708299589212</v>
      </c>
      <c r="G945">
        <v>10000</v>
      </c>
      <c r="H945">
        <v>296968.86590265791</v>
      </c>
      <c r="I945">
        <v>32.076479374037888</v>
      </c>
    </row>
    <row r="946" spans="1:9" x14ac:dyDescent="0.2">
      <c r="A946">
        <v>941</v>
      </c>
      <c r="B946">
        <v>1279452.0163589269</v>
      </c>
      <c r="C946">
        <v>101291.70122780971</v>
      </c>
      <c r="D946">
        <v>95170.940735622411</v>
      </c>
      <c r="E946">
        <v>121694.33602022774</v>
      </c>
      <c r="F946">
        <v>44424.992493708072</v>
      </c>
      <c r="G946">
        <v>10000</v>
      </c>
      <c r="H946">
        <v>352581.97047736798</v>
      </c>
      <c r="I946">
        <v>41.832118988818934</v>
      </c>
    </row>
    <row r="947" spans="1:9" x14ac:dyDescent="0.2">
      <c r="A947">
        <v>942</v>
      </c>
      <c r="B947">
        <v>1286625.5709324642</v>
      </c>
      <c r="C947">
        <v>82756.871832803197</v>
      </c>
      <c r="D947">
        <v>131841.22314728267</v>
      </c>
      <c r="E947">
        <v>106571.83217675837</v>
      </c>
      <c r="F947">
        <v>43378.049919929428</v>
      </c>
      <c r="G947">
        <v>10000</v>
      </c>
      <c r="H947">
        <v>354547.97707677365</v>
      </c>
      <c r="I947">
        <v>35.150180337900402</v>
      </c>
    </row>
    <row r="948" spans="1:9" x14ac:dyDescent="0.2">
      <c r="A948">
        <v>943</v>
      </c>
      <c r="B948">
        <v>1590970.016335252</v>
      </c>
      <c r="C948">
        <v>105207.55051319422</v>
      </c>
      <c r="D948">
        <v>161065.12226542822</v>
      </c>
      <c r="E948">
        <v>136252.05189719956</v>
      </c>
      <c r="F948">
        <v>45432.834362113819</v>
      </c>
      <c r="G948">
        <v>10000</v>
      </c>
      <c r="H948">
        <v>437957.5590379358</v>
      </c>
      <c r="I948">
        <v>41.313263792550138</v>
      </c>
    </row>
    <row r="949" spans="1:9" x14ac:dyDescent="0.2">
      <c r="A949">
        <v>944</v>
      </c>
      <c r="B949">
        <v>1241121.8482522252</v>
      </c>
      <c r="C949">
        <v>128487.95035876757</v>
      </c>
      <c r="D949">
        <v>130277.04689717006</v>
      </c>
      <c r="E949">
        <v>53601.233898958213</v>
      </c>
      <c r="F949">
        <v>39710.854654543262</v>
      </c>
      <c r="G949">
        <v>10000</v>
      </c>
      <c r="H949">
        <v>342077.08580943913</v>
      </c>
      <c r="I949">
        <v>34.264779037480153</v>
      </c>
    </row>
    <row r="950" spans="1:9" x14ac:dyDescent="0.2">
      <c r="A950">
        <v>945</v>
      </c>
      <c r="B950">
        <v>1138483.4264978326</v>
      </c>
      <c r="C950">
        <v>75169.091610898875</v>
      </c>
      <c r="D950">
        <v>56357.85857632276</v>
      </c>
      <c r="E950">
        <v>146292.77060713983</v>
      </c>
      <c r="F950">
        <v>46127.961042032759</v>
      </c>
      <c r="G950">
        <v>10000</v>
      </c>
      <c r="H950">
        <v>313947.68183639419</v>
      </c>
      <c r="I950">
        <v>47.875240768528251</v>
      </c>
    </row>
    <row r="951" spans="1:9" x14ac:dyDescent="0.2">
      <c r="A951">
        <v>946</v>
      </c>
      <c r="B951">
        <v>1057463.143095077</v>
      </c>
      <c r="C951">
        <v>82194.446900613111</v>
      </c>
      <c r="D951">
        <v>64761.121664870087</v>
      </c>
      <c r="E951">
        <v>111096.16998865749</v>
      </c>
      <c r="F951">
        <v>43691.27330690706</v>
      </c>
      <c r="G951">
        <v>10000</v>
      </c>
      <c r="H951">
        <v>291743.01186104777</v>
      </c>
      <c r="I951">
        <v>34.316874619687013</v>
      </c>
    </row>
    <row r="952" spans="1:9" x14ac:dyDescent="0.2">
      <c r="A952">
        <v>947</v>
      </c>
      <c r="B952">
        <v>915962.85750118422</v>
      </c>
      <c r="C952">
        <v>100269.71232116711</v>
      </c>
      <c r="D952">
        <v>90527.586261740449</v>
      </c>
      <c r="E952">
        <v>33824.042009912177</v>
      </c>
      <c r="F952">
        <v>38341.66444684007</v>
      </c>
      <c r="G952">
        <v>10000</v>
      </c>
      <c r="H952">
        <v>252963.00503965979</v>
      </c>
      <c r="I952">
        <v>35.85403676998726</v>
      </c>
    </row>
    <row r="953" spans="1:9" x14ac:dyDescent="0.2">
      <c r="A953">
        <v>948</v>
      </c>
      <c r="B953">
        <v>1091116.1558330324</v>
      </c>
      <c r="C953">
        <v>82611.051981375858</v>
      </c>
      <c r="D953">
        <v>127619.27558880027</v>
      </c>
      <c r="E953">
        <v>60544.210964969643</v>
      </c>
      <c r="F953">
        <v>40191.522297574818</v>
      </c>
      <c r="G953">
        <v>10000</v>
      </c>
      <c r="H953">
        <v>300966.0608327206</v>
      </c>
      <c r="I953">
        <v>39.254645422893063</v>
      </c>
    </row>
    <row r="954" spans="1:9" x14ac:dyDescent="0.2">
      <c r="A954">
        <v>949</v>
      </c>
      <c r="B954">
        <v>1119436.655651113</v>
      </c>
      <c r="C954">
        <v>135340.48372848216</v>
      </c>
      <c r="D954">
        <v>82198.792955723155</v>
      </c>
      <c r="E954">
        <v>60967.557217998656</v>
      </c>
      <c r="F954">
        <v>40220.830884322982</v>
      </c>
      <c r="G954">
        <v>10000</v>
      </c>
      <c r="H954">
        <v>308727.66478652693</v>
      </c>
      <c r="I954">
        <v>34.831854962417964</v>
      </c>
    </row>
    <row r="955" spans="1:9" x14ac:dyDescent="0.2">
      <c r="A955">
        <v>950</v>
      </c>
      <c r="B955">
        <v>956621.1779755248</v>
      </c>
      <c r="C955">
        <v>153710.06112630549</v>
      </c>
      <c r="D955">
        <v>30371.969372523927</v>
      </c>
      <c r="E955">
        <v>50525.968216513298</v>
      </c>
      <c r="F955">
        <v>39497.951645758614</v>
      </c>
      <c r="G955">
        <v>10000</v>
      </c>
      <c r="H955">
        <v>264105.95036110131</v>
      </c>
      <c r="I955">
        <v>49.572366723971463</v>
      </c>
    </row>
    <row r="956" spans="1:9" x14ac:dyDescent="0.2">
      <c r="A956">
        <v>951</v>
      </c>
      <c r="B956">
        <v>1338584.1538083104</v>
      </c>
      <c r="C956">
        <v>121226.18233970585</v>
      </c>
      <c r="D956">
        <v>76340.80947229352</v>
      </c>
      <c r="E956">
        <v>135818.12243144333</v>
      </c>
      <c r="F956">
        <v>45402.793091407613</v>
      </c>
      <c r="G956">
        <v>10000</v>
      </c>
      <c r="H956">
        <v>368787.90733485029</v>
      </c>
      <c r="I956">
        <v>38.718510029448865</v>
      </c>
    </row>
    <row r="957" spans="1:9" x14ac:dyDescent="0.2">
      <c r="A957">
        <v>952</v>
      </c>
      <c r="B957">
        <v>855706.6891987354</v>
      </c>
      <c r="C957">
        <v>77845.930468949402</v>
      </c>
      <c r="D957">
        <v>63520.32254921741</v>
      </c>
      <c r="E957">
        <v>64609.775338220956</v>
      </c>
      <c r="F957">
        <v>40472.984446492221</v>
      </c>
      <c r="G957">
        <v>10000</v>
      </c>
      <c r="H957">
        <v>236449.01280288</v>
      </c>
      <c r="I957">
        <v>30.295642496334381</v>
      </c>
    </row>
    <row r="958" spans="1:9" x14ac:dyDescent="0.2">
      <c r="A958">
        <v>953</v>
      </c>
      <c r="B958">
        <v>1288390.084852397</v>
      </c>
      <c r="C958">
        <v>135910.14751902362</v>
      </c>
      <c r="D958">
        <v>91844.378821992723</v>
      </c>
      <c r="E958">
        <v>94719.532774266598</v>
      </c>
      <c r="F958">
        <v>42557.506115141528</v>
      </c>
      <c r="G958">
        <v>10000</v>
      </c>
      <c r="H958">
        <v>355031.56523042452</v>
      </c>
      <c r="I958">
        <v>35.083499343412541</v>
      </c>
    </row>
    <row r="959" spans="1:9" x14ac:dyDescent="0.2">
      <c r="A959">
        <v>954</v>
      </c>
      <c r="B959">
        <v>1735675.3520421067</v>
      </c>
      <c r="C959">
        <v>118863.42650492211</v>
      </c>
      <c r="D959">
        <v>126087.42966632421</v>
      </c>
      <c r="E959">
        <v>193283.90241156315</v>
      </c>
      <c r="F959">
        <v>49381.193243877446</v>
      </c>
      <c r="G959">
        <v>10000</v>
      </c>
      <c r="H959">
        <v>477615.95182668691</v>
      </c>
      <c r="I959">
        <v>27.880907435451284</v>
      </c>
    </row>
    <row r="960" spans="1:9" x14ac:dyDescent="0.2">
      <c r="A960">
        <v>955</v>
      </c>
      <c r="B960">
        <v>1265706.7706113732</v>
      </c>
      <c r="C960">
        <v>85761.798571540377</v>
      </c>
      <c r="D960">
        <v>85189.334367178031</v>
      </c>
      <c r="E960">
        <v>142030.86673021899</v>
      </c>
      <c r="F960">
        <v>45832.906158245925</v>
      </c>
      <c r="G960">
        <v>10000</v>
      </c>
      <c r="H960">
        <v>348814.90582718333</v>
      </c>
      <c r="I960">
        <v>32.546226883171485</v>
      </c>
    </row>
    <row r="961" spans="1:9" x14ac:dyDescent="0.2">
      <c r="A961">
        <v>956</v>
      </c>
      <c r="B961">
        <v>1610620.9294871145</v>
      </c>
      <c r="C961">
        <v>100719.99405438274</v>
      </c>
      <c r="D961">
        <v>107125.7234453998</v>
      </c>
      <c r="E961">
        <v>195932.84979191393</v>
      </c>
      <c r="F961">
        <v>49564.581908670967</v>
      </c>
      <c r="G961">
        <v>10000</v>
      </c>
      <c r="H961">
        <v>443343.14920036739</v>
      </c>
      <c r="I961">
        <v>38.013756410954286</v>
      </c>
    </row>
    <row r="962" spans="1:9" x14ac:dyDescent="0.2">
      <c r="A962">
        <v>957</v>
      </c>
      <c r="B962">
        <v>1330916.8955089804</v>
      </c>
      <c r="C962">
        <v>91806.309032644465</v>
      </c>
      <c r="D962">
        <v>81980.159460337803</v>
      </c>
      <c r="E962">
        <v>156093.64327338693</v>
      </c>
      <c r="F962">
        <v>46806.482995849859</v>
      </c>
      <c r="G962">
        <v>10000</v>
      </c>
      <c r="H962">
        <v>366686.59476221906</v>
      </c>
      <c r="I962">
        <v>44.533558287967494</v>
      </c>
    </row>
    <row r="963" spans="1:9" x14ac:dyDescent="0.2">
      <c r="A963">
        <v>958</v>
      </c>
      <c r="B963">
        <v>1017353.9742293435</v>
      </c>
      <c r="C963">
        <v>105470.88981632849</v>
      </c>
      <c r="D963">
        <v>108715.02799415054</v>
      </c>
      <c r="E963">
        <v>37938.162731839104</v>
      </c>
      <c r="F963">
        <v>38626.488189127325</v>
      </c>
      <c r="G963">
        <v>10000</v>
      </c>
      <c r="H963">
        <v>280750.56873144547</v>
      </c>
      <c r="I963">
        <v>43.400085745900924</v>
      </c>
    </row>
    <row r="964" spans="1:9" x14ac:dyDescent="0.2">
      <c r="A964">
        <v>959</v>
      </c>
      <c r="B964">
        <v>1605458.1566695229</v>
      </c>
      <c r="C964">
        <v>104659.11686667631</v>
      </c>
      <c r="D964">
        <v>98395.7292574616</v>
      </c>
      <c r="E964">
        <v>199090.20922584948</v>
      </c>
      <c r="F964">
        <v>49783.168331020344</v>
      </c>
      <c r="G964">
        <v>10000</v>
      </c>
      <c r="H964">
        <v>441928.22368100774</v>
      </c>
      <c r="I964">
        <v>36.171964801849199</v>
      </c>
    </row>
    <row r="965" spans="1:9" x14ac:dyDescent="0.2">
      <c r="A965">
        <v>960</v>
      </c>
      <c r="B965">
        <v>1201120.8531175281</v>
      </c>
      <c r="C965">
        <v>96807.521515861226</v>
      </c>
      <c r="D965">
        <v>109264.30280191659</v>
      </c>
      <c r="E965">
        <v>92629.643328823266</v>
      </c>
      <c r="F965">
        <v>42412.821461226224</v>
      </c>
      <c r="G965">
        <v>10000</v>
      </c>
      <c r="H965">
        <v>331114.2891078273</v>
      </c>
      <c r="I965">
        <v>26.130685178246743</v>
      </c>
    </row>
    <row r="966" spans="1:9" x14ac:dyDescent="0.2">
      <c r="A966">
        <v>961</v>
      </c>
      <c r="B966">
        <v>998147.63096875185</v>
      </c>
      <c r="C966">
        <v>114392.2401599903</v>
      </c>
      <c r="D966">
        <v>56083.092209398004</v>
      </c>
      <c r="E966">
        <v>73895.634764349845</v>
      </c>
      <c r="F966">
        <v>41115.851637531909</v>
      </c>
      <c r="G966">
        <v>10000</v>
      </c>
      <c r="H966">
        <v>275486.81877127005</v>
      </c>
      <c r="I966">
        <v>37.333660197784006</v>
      </c>
    </row>
    <row r="967" spans="1:9" x14ac:dyDescent="0.2">
      <c r="A967">
        <v>962</v>
      </c>
      <c r="B967">
        <v>937252.50267831015</v>
      </c>
      <c r="C967">
        <v>125256.53165859892</v>
      </c>
      <c r="D967">
        <v>43077.050051805367</v>
      </c>
      <c r="E967">
        <v>60290.193028981434</v>
      </c>
      <c r="F967">
        <v>40173.936440467944</v>
      </c>
      <c r="G967">
        <v>10000</v>
      </c>
      <c r="H967">
        <v>258797.71117985365</v>
      </c>
      <c r="I967">
        <v>29.403143674769598</v>
      </c>
    </row>
    <row r="968" spans="1:9" x14ac:dyDescent="0.2">
      <c r="A968">
        <v>963</v>
      </c>
      <c r="B968">
        <v>1192393.603458002</v>
      </c>
      <c r="C968">
        <v>113976.92714101968</v>
      </c>
      <c r="D968">
        <v>86416.815058137683</v>
      </c>
      <c r="E968">
        <v>95703.128607355917</v>
      </c>
      <c r="F968">
        <v>42625.601211278488</v>
      </c>
      <c r="G968">
        <v>10000</v>
      </c>
      <c r="H968">
        <v>328722.47201779176</v>
      </c>
      <c r="I968">
        <v>28.130465477549123</v>
      </c>
    </row>
    <row r="969" spans="1:9" x14ac:dyDescent="0.2">
      <c r="A969">
        <v>964</v>
      </c>
      <c r="B969">
        <v>1119692.6688295321</v>
      </c>
      <c r="C969">
        <v>92507.744751265622</v>
      </c>
      <c r="D969">
        <v>63664.814606445303</v>
      </c>
      <c r="E969">
        <v>118426.51075693601</v>
      </c>
      <c r="F969">
        <v>44198.758437018652</v>
      </c>
      <c r="G969">
        <v>10000</v>
      </c>
      <c r="H969">
        <v>308797.82855166559</v>
      </c>
      <c r="I969">
        <v>24.322587144519765</v>
      </c>
    </row>
    <row r="970" spans="1:9" x14ac:dyDescent="0.2">
      <c r="A970">
        <v>965</v>
      </c>
      <c r="B970">
        <v>1157092.5256746588</v>
      </c>
      <c r="C970">
        <v>118485.28825104117</v>
      </c>
      <c r="D970">
        <v>83537.910814692412</v>
      </c>
      <c r="E970">
        <v>85130.87425616011</v>
      </c>
      <c r="F970">
        <v>41893.675910041857</v>
      </c>
      <c r="G970">
        <v>10000</v>
      </c>
      <c r="H970">
        <v>319047.74923193554</v>
      </c>
      <c r="I970">
        <v>29.948045877178089</v>
      </c>
    </row>
    <row r="971" spans="1:9" x14ac:dyDescent="0.2">
      <c r="A971">
        <v>966</v>
      </c>
      <c r="B971">
        <v>1351329.4136998362</v>
      </c>
      <c r="C971">
        <v>108719.79836621127</v>
      </c>
      <c r="D971">
        <v>60350.47577981279</v>
      </c>
      <c r="E971">
        <v>165736.56848983464</v>
      </c>
      <c r="F971">
        <v>47474.070126219325</v>
      </c>
      <c r="G971">
        <v>10000</v>
      </c>
      <c r="H971">
        <v>372280.91276207799</v>
      </c>
      <c r="I971">
        <v>41.749934175558309</v>
      </c>
    </row>
    <row r="972" spans="1:9" x14ac:dyDescent="0.2">
      <c r="A972">
        <v>967</v>
      </c>
      <c r="B972">
        <v>1441985.6731456292</v>
      </c>
      <c r="C972">
        <v>108838.41134177684</v>
      </c>
      <c r="D972">
        <v>88988.64495598471</v>
      </c>
      <c r="E972">
        <v>162078.56796288511</v>
      </c>
      <c r="F972">
        <v>47220.823935892047</v>
      </c>
      <c r="G972">
        <v>10000</v>
      </c>
      <c r="H972">
        <v>397126.44819653867</v>
      </c>
      <c r="I972">
        <v>33.264210699002213</v>
      </c>
    </row>
    <row r="973" spans="1:9" x14ac:dyDescent="0.2">
      <c r="A973">
        <v>968</v>
      </c>
      <c r="B973">
        <v>1200998.3161098065</v>
      </c>
      <c r="C973">
        <v>76141.505399656453</v>
      </c>
      <c r="D973">
        <v>88959.435383847594</v>
      </c>
      <c r="E973">
        <v>130916.32740134592</v>
      </c>
      <c r="F973">
        <v>45063.438050862409</v>
      </c>
      <c r="G973">
        <v>10000</v>
      </c>
      <c r="H973">
        <v>331080.70623571239</v>
      </c>
      <c r="I973">
        <v>40.866687917586148</v>
      </c>
    </row>
    <row r="974" spans="1:9" x14ac:dyDescent="0.2">
      <c r="A974">
        <v>969</v>
      </c>
      <c r="B974">
        <v>1833749.6672435664</v>
      </c>
      <c r="C974">
        <v>142238.46202144169</v>
      </c>
      <c r="D974">
        <v>131172.56290667501</v>
      </c>
      <c r="E974">
        <v>191804.69135931716</v>
      </c>
      <c r="F974">
        <v>49278.786324875808</v>
      </c>
      <c r="G974">
        <v>10000</v>
      </c>
      <c r="H974">
        <v>504494.50261230965</v>
      </c>
      <c r="I974">
        <v>28.042877475153773</v>
      </c>
    </row>
    <row r="975" spans="1:9" x14ac:dyDescent="0.2">
      <c r="A975">
        <v>970</v>
      </c>
      <c r="B975">
        <v>1310644.4338733712</v>
      </c>
      <c r="C975">
        <v>122035.56166867404</v>
      </c>
      <c r="D975">
        <v>97372.735366825014</v>
      </c>
      <c r="E975">
        <v>108229.54912130187</v>
      </c>
      <c r="F975">
        <v>43492.814939167052</v>
      </c>
      <c r="G975">
        <v>10000</v>
      </c>
      <c r="H975">
        <v>361130.66109596798</v>
      </c>
      <c r="I975">
        <v>29.240093947059663</v>
      </c>
    </row>
    <row r="976" spans="1:9" x14ac:dyDescent="0.2">
      <c r="A976">
        <v>971</v>
      </c>
      <c r="B976">
        <v>1150046.5944081249</v>
      </c>
      <c r="C976">
        <v>133635.75238388288</v>
      </c>
      <c r="D976">
        <v>59884.373204748736</v>
      </c>
      <c r="E976">
        <v>91277.389962478963</v>
      </c>
      <c r="F976">
        <v>42319.203920479311</v>
      </c>
      <c r="G976">
        <v>10000</v>
      </c>
      <c r="H976">
        <v>317116.71947158989</v>
      </c>
      <c r="I976">
        <v>35.274193904799155</v>
      </c>
    </row>
    <row r="977" spans="1:9" x14ac:dyDescent="0.2">
      <c r="A977">
        <v>972</v>
      </c>
      <c r="B977">
        <v>1306007.632644969</v>
      </c>
      <c r="C977">
        <v>105319.28813201364</v>
      </c>
      <c r="D977">
        <v>46556.627114224189</v>
      </c>
      <c r="E977">
        <v>170200.83500325202</v>
      </c>
      <c r="F977">
        <v>47783.134730994367</v>
      </c>
      <c r="G977">
        <v>10000</v>
      </c>
      <c r="H977">
        <v>359859.8849804842</v>
      </c>
      <c r="I977">
        <v>38.21952684595135</v>
      </c>
    </row>
    <row r="978" spans="1:9" x14ac:dyDescent="0.2">
      <c r="A978">
        <v>973</v>
      </c>
      <c r="B978">
        <v>868736.37672978232</v>
      </c>
      <c r="C978">
        <v>99854.627665985769</v>
      </c>
      <c r="D978">
        <v>76599.620971736047</v>
      </c>
      <c r="E978">
        <v>35133.407860891144</v>
      </c>
      <c r="F978">
        <v>38432.312851907845</v>
      </c>
      <c r="G978">
        <v>10000</v>
      </c>
      <c r="H978">
        <v>240019.96935052081</v>
      </c>
      <c r="I978">
        <v>37.363072096946411</v>
      </c>
    </row>
    <row r="979" spans="1:9" x14ac:dyDescent="0.2">
      <c r="A979">
        <v>974</v>
      </c>
      <c r="B979">
        <v>825543.4266675706</v>
      </c>
      <c r="C979">
        <v>95077.76763937666</v>
      </c>
      <c r="D979">
        <v>55179.286368693734</v>
      </c>
      <c r="E979">
        <v>48563.250399108263</v>
      </c>
      <c r="F979">
        <v>39362.07118147672</v>
      </c>
      <c r="G979">
        <v>10000</v>
      </c>
      <c r="H979">
        <v>228182.37558865538</v>
      </c>
      <c r="I979">
        <v>35.622702940042181</v>
      </c>
    </row>
    <row r="980" spans="1:9" x14ac:dyDescent="0.2">
      <c r="A980">
        <v>975</v>
      </c>
      <c r="B980">
        <v>1438745.1413315088</v>
      </c>
      <c r="C980">
        <v>127485.27872105133</v>
      </c>
      <c r="D980">
        <v>61403.765119374511</v>
      </c>
      <c r="E980">
        <v>169607.25353445354</v>
      </c>
      <c r="F980">
        <v>47742.040629308322</v>
      </c>
      <c r="G980">
        <v>10000</v>
      </c>
      <c r="H980">
        <v>396238.33800418768</v>
      </c>
      <c r="I980">
        <v>44.472551114547983</v>
      </c>
    </row>
    <row r="981" spans="1:9" x14ac:dyDescent="0.2">
      <c r="A981">
        <v>976</v>
      </c>
      <c r="B981">
        <v>1582231.5293561381</v>
      </c>
      <c r="C981">
        <v>141018.27316108978</v>
      </c>
      <c r="D981">
        <v>124650.41989663143</v>
      </c>
      <c r="E981">
        <v>134577.0934548263</v>
      </c>
      <c r="F981">
        <v>45316.875700718745</v>
      </c>
      <c r="G981">
        <v>10000</v>
      </c>
      <c r="H981">
        <v>435562.66221326625</v>
      </c>
      <c r="I981">
        <v>24.554065862342107</v>
      </c>
    </row>
    <row r="982" spans="1:9" x14ac:dyDescent="0.2">
      <c r="A982">
        <v>977</v>
      </c>
      <c r="B982">
        <v>1574010.1679646911</v>
      </c>
      <c r="C982">
        <v>114596.54012092882</v>
      </c>
      <c r="D982">
        <v>103544.71366099331</v>
      </c>
      <c r="E982">
        <v>176919.93355564302</v>
      </c>
      <c r="F982">
        <v>48248.303092313741</v>
      </c>
      <c r="G982">
        <v>10000</v>
      </c>
      <c r="H982">
        <v>433309.49042987888</v>
      </c>
      <c r="I982">
        <v>44.854936110140017</v>
      </c>
    </row>
    <row r="983" spans="1:9" x14ac:dyDescent="0.2">
      <c r="A983">
        <v>978</v>
      </c>
      <c r="B983">
        <v>1264647.7073001678</v>
      </c>
      <c r="C983">
        <v>155692.14286301637</v>
      </c>
      <c r="D983">
        <v>83797.218836263361</v>
      </c>
      <c r="E983">
        <v>77658.908014983172</v>
      </c>
      <c r="F983">
        <v>41376.385939498839</v>
      </c>
      <c r="G983">
        <v>10000</v>
      </c>
      <c r="H983">
        <v>348524.65565376176</v>
      </c>
      <c r="I983">
        <v>36.62334024417116</v>
      </c>
    </row>
    <row r="984" spans="1:9" x14ac:dyDescent="0.2">
      <c r="A984">
        <v>979</v>
      </c>
      <c r="B984">
        <v>975880.78839876736</v>
      </c>
      <c r="C984">
        <v>128064.14759935399</v>
      </c>
      <c r="D984">
        <v>64238.585161502524</v>
      </c>
      <c r="E984">
        <v>47774.126590891574</v>
      </c>
      <c r="F984">
        <v>39307.439533215569</v>
      </c>
      <c r="G984">
        <v>10000</v>
      </c>
      <c r="H984">
        <v>269384.29888496362</v>
      </c>
      <c r="I984">
        <v>38.563887362860513</v>
      </c>
    </row>
    <row r="985" spans="1:9" x14ac:dyDescent="0.2">
      <c r="A985">
        <v>980</v>
      </c>
      <c r="B985">
        <v>959511.77707230917</v>
      </c>
      <c r="C985">
        <v>108455.70458315013</v>
      </c>
      <c r="D985">
        <v>94873.601305153439</v>
      </c>
      <c r="E985">
        <v>33265.831889292727</v>
      </c>
      <c r="F985">
        <v>38303.019130797191</v>
      </c>
      <c r="G985">
        <v>10000</v>
      </c>
      <c r="H985">
        <v>264898.15690839349</v>
      </c>
      <c r="I985">
        <v>39.742734501801166</v>
      </c>
    </row>
    <row r="986" spans="1:9" x14ac:dyDescent="0.2">
      <c r="A986">
        <v>981</v>
      </c>
      <c r="B986">
        <v>1622056.7925969951</v>
      </c>
      <c r="C986">
        <v>144034.07724858308</v>
      </c>
      <c r="D986">
        <v>109692.43906853629</v>
      </c>
      <c r="E986">
        <v>155953.96781393792</v>
      </c>
      <c r="F986">
        <v>46796.813156349548</v>
      </c>
      <c r="G986">
        <v>10000</v>
      </c>
      <c r="H986">
        <v>446477.29728740681</v>
      </c>
      <c r="I986">
        <v>31.201124676910048</v>
      </c>
    </row>
    <row r="987" spans="1:9" x14ac:dyDescent="0.2">
      <c r="A987">
        <v>982</v>
      </c>
      <c r="B987">
        <v>896301.00713174394</v>
      </c>
      <c r="C987">
        <v>111931.4545652339</v>
      </c>
      <c r="D987">
        <v>58184.363260142847</v>
      </c>
      <c r="E987">
        <v>48126.747793766684</v>
      </c>
      <c r="F987">
        <v>39331.851770337693</v>
      </c>
      <c r="G987">
        <v>10000</v>
      </c>
      <c r="H987">
        <v>247574.41738948112</v>
      </c>
      <c r="I987">
        <v>33.202276071480028</v>
      </c>
    </row>
    <row r="988" spans="1:9" x14ac:dyDescent="0.2">
      <c r="A988">
        <v>983</v>
      </c>
      <c r="B988">
        <v>968122.6412125302</v>
      </c>
      <c r="C988">
        <v>112693.69699619511</v>
      </c>
      <c r="D988">
        <v>86159.208396176633</v>
      </c>
      <c r="E988">
        <v>39659.513035179887</v>
      </c>
      <c r="F988">
        <v>38745.658594743218</v>
      </c>
      <c r="G988">
        <v>10000</v>
      </c>
      <c r="H988">
        <v>267258.07702229486</v>
      </c>
      <c r="I988">
        <v>32.055755985976802</v>
      </c>
    </row>
    <row r="989" spans="1:9" x14ac:dyDescent="0.2">
      <c r="A989">
        <v>984</v>
      </c>
      <c r="B989">
        <v>1763951.3682915028</v>
      </c>
      <c r="C989">
        <v>162728.46192596949</v>
      </c>
      <c r="D989">
        <v>79464.248033523138</v>
      </c>
      <c r="E989">
        <v>203111.1157346683</v>
      </c>
      <c r="F989">
        <v>50061.538781630887</v>
      </c>
      <c r="G989">
        <v>10000</v>
      </c>
      <c r="H989">
        <v>485365.36447579175</v>
      </c>
      <c r="I989">
        <v>43.566072366718018</v>
      </c>
    </row>
    <row r="990" spans="1:9" x14ac:dyDescent="0.2">
      <c r="A990">
        <v>985</v>
      </c>
      <c r="B990">
        <v>1421967.556833575</v>
      </c>
      <c r="C990">
        <v>104697.12852525113</v>
      </c>
      <c r="D990">
        <v>124898.51489509086</v>
      </c>
      <c r="E990">
        <v>127235.93605100313</v>
      </c>
      <c r="F990">
        <v>44808.641726607908</v>
      </c>
      <c r="G990">
        <v>10000</v>
      </c>
      <c r="H990">
        <v>391640.22119795304</v>
      </c>
      <c r="I990">
        <v>30.653127167139424</v>
      </c>
    </row>
    <row r="991" spans="1:9" x14ac:dyDescent="0.2">
      <c r="A991">
        <v>986</v>
      </c>
      <c r="B991">
        <v>985886.81821225875</v>
      </c>
      <c r="C991">
        <v>110931.34027566807</v>
      </c>
      <c r="D991">
        <v>58501.259702552677</v>
      </c>
      <c r="E991">
        <v>71728.185024333128</v>
      </c>
      <c r="F991">
        <v>40965.797424761528</v>
      </c>
      <c r="G991">
        <v>10000</v>
      </c>
      <c r="H991">
        <v>272126.58242731541</v>
      </c>
      <c r="I991">
        <v>26.578633175804377</v>
      </c>
    </row>
    <row r="992" spans="1:9" x14ac:dyDescent="0.2">
      <c r="A992">
        <v>987</v>
      </c>
      <c r="B992">
        <v>1354734.4584280937</v>
      </c>
      <c r="C992">
        <v>150380.53917704048</v>
      </c>
      <c r="D992">
        <v>58468.651112287364</v>
      </c>
      <c r="E992">
        <v>129406.03989891462</v>
      </c>
      <c r="F992">
        <v>44958.879685309475</v>
      </c>
      <c r="G992">
        <v>10000</v>
      </c>
      <c r="H992">
        <v>373214.10987355193</v>
      </c>
      <c r="I992">
        <v>45.668625593836992</v>
      </c>
    </row>
    <row r="993" spans="1:9" x14ac:dyDescent="0.2">
      <c r="A993">
        <v>988</v>
      </c>
      <c r="B993">
        <v>1337297.8778614965</v>
      </c>
      <c r="C993">
        <v>119012.29035224709</v>
      </c>
      <c r="D993">
        <v>71462.155034933137</v>
      </c>
      <c r="E993">
        <v>142121.74354508941</v>
      </c>
      <c r="F993">
        <v>45839.197630044648</v>
      </c>
      <c r="G993">
        <v>10000</v>
      </c>
      <c r="H993">
        <v>368435.38656231429</v>
      </c>
      <c r="I993">
        <v>32.850053482720831</v>
      </c>
    </row>
    <row r="994" spans="1:9" x14ac:dyDescent="0.2">
      <c r="A994">
        <v>989</v>
      </c>
      <c r="B994">
        <v>1102398.9060902223</v>
      </c>
      <c r="C994">
        <v>101024.19340399695</v>
      </c>
      <c r="D994">
        <v>107071.40605137145</v>
      </c>
      <c r="E994">
        <v>65432.691327966306</v>
      </c>
      <c r="F994">
        <v>40529.955553474596</v>
      </c>
      <c r="G994">
        <v>10000</v>
      </c>
      <c r="H994">
        <v>304058.2463368093</v>
      </c>
      <c r="I994">
        <v>36.455341758441818</v>
      </c>
    </row>
    <row r="995" spans="1:9" x14ac:dyDescent="0.2">
      <c r="A995">
        <v>990</v>
      </c>
      <c r="B995">
        <v>1533487.6738665064</v>
      </c>
      <c r="C995">
        <v>132867.24586171503</v>
      </c>
      <c r="D995">
        <v>90262.15233144541</v>
      </c>
      <c r="E995">
        <v>161868.11761637437</v>
      </c>
      <c r="F995">
        <v>47206.254296518229</v>
      </c>
      <c r="G995">
        <v>10000</v>
      </c>
      <c r="H995">
        <v>422203.77010605304</v>
      </c>
      <c r="I995">
        <v>27.531713648149861</v>
      </c>
    </row>
    <row r="996" spans="1:9" x14ac:dyDescent="0.2">
      <c r="A996">
        <v>991</v>
      </c>
      <c r="B996">
        <v>1311154.4140827192</v>
      </c>
      <c r="C996">
        <v>133432.17106518065</v>
      </c>
      <c r="D996">
        <v>53940.191776596854</v>
      </c>
      <c r="E996">
        <v>138321.9313052003</v>
      </c>
      <c r="F996">
        <v>45576.133705744636</v>
      </c>
      <c r="G996">
        <v>10000</v>
      </c>
      <c r="H996">
        <v>361270.42785272247</v>
      </c>
      <c r="I996">
        <v>38.306966219960131</v>
      </c>
    </row>
    <row r="997" spans="1:9" x14ac:dyDescent="0.2">
      <c r="A997">
        <v>992</v>
      </c>
      <c r="B997">
        <v>1305210.2364184535</v>
      </c>
      <c r="C997">
        <v>145164.02622788149</v>
      </c>
      <c r="D997">
        <v>69711.961742410916</v>
      </c>
      <c r="E997">
        <v>111075.51666739563</v>
      </c>
      <c r="F997">
        <v>43689.843461588927</v>
      </c>
      <c r="G997">
        <v>10000</v>
      </c>
      <c r="H997">
        <v>359641.34809927701</v>
      </c>
      <c r="I997">
        <v>37.935882223292893</v>
      </c>
    </row>
    <row r="998" spans="1:9" x14ac:dyDescent="0.2">
      <c r="A998">
        <v>993</v>
      </c>
      <c r="B998">
        <v>1001538.7846421058</v>
      </c>
      <c r="C998">
        <v>106513.30871639813</v>
      </c>
      <c r="D998">
        <v>48114.863070465013</v>
      </c>
      <c r="E998">
        <v>89585.933950660386</v>
      </c>
      <c r="F998">
        <v>42202.103119661107</v>
      </c>
      <c r="G998">
        <v>10000</v>
      </c>
      <c r="H998">
        <v>276416.20885718463</v>
      </c>
      <c r="I998">
        <v>35.551202410589219</v>
      </c>
    </row>
    <row r="999" spans="1:9" x14ac:dyDescent="0.2">
      <c r="A999">
        <v>994</v>
      </c>
      <c r="B999">
        <v>1202169.6877861237</v>
      </c>
      <c r="C999">
        <v>105752.66326814854</v>
      </c>
      <c r="D999">
        <v>100576.82970495189</v>
      </c>
      <c r="E999">
        <v>92657.493466941771</v>
      </c>
      <c r="F999">
        <v>42414.749547711348</v>
      </c>
      <c r="G999">
        <v>10000</v>
      </c>
      <c r="H999">
        <v>331401.73598775355</v>
      </c>
      <c r="I999">
        <v>30.88298385800314</v>
      </c>
    </row>
    <row r="1000" spans="1:9" x14ac:dyDescent="0.2">
      <c r="A1000">
        <v>995</v>
      </c>
      <c r="B1000">
        <v>1094165.2233944386</v>
      </c>
      <c r="C1000">
        <v>118327.9070068889</v>
      </c>
      <c r="D1000">
        <v>92938.377690896625</v>
      </c>
      <c r="E1000">
        <v>60356.861117278633</v>
      </c>
      <c r="F1000">
        <v>40178.55192350391</v>
      </c>
      <c r="G1000">
        <v>10000</v>
      </c>
      <c r="H1000">
        <v>301801.69773856807</v>
      </c>
      <c r="I1000">
        <v>36.68060151619504</v>
      </c>
    </row>
    <row r="1001" spans="1:9" x14ac:dyDescent="0.2">
      <c r="A1001">
        <v>996</v>
      </c>
      <c r="B1001">
        <v>1562077.5912321426</v>
      </c>
      <c r="C1001">
        <v>102128.84682228093</v>
      </c>
      <c r="D1001">
        <v>92586.521310864802</v>
      </c>
      <c r="E1001">
        <v>195770.50096060618</v>
      </c>
      <c r="F1001">
        <v>49553.34237419581</v>
      </c>
      <c r="G1001">
        <v>10000</v>
      </c>
      <c r="H1001">
        <v>430039.21146794769</v>
      </c>
      <c r="I1001">
        <v>38.291822898175198</v>
      </c>
    </row>
    <row r="1002" spans="1:9" x14ac:dyDescent="0.2">
      <c r="A1002">
        <v>997</v>
      </c>
      <c r="B1002">
        <v>1289675.3746704333</v>
      </c>
      <c r="C1002">
        <v>89048.621289748335</v>
      </c>
      <c r="D1002">
        <v>74638.453261820498</v>
      </c>
      <c r="E1002">
        <v>154968.17521355936</v>
      </c>
      <c r="F1002">
        <v>46728.565976323334</v>
      </c>
      <c r="G1002">
        <v>10000</v>
      </c>
      <c r="H1002">
        <v>355383.81574145152</v>
      </c>
      <c r="I1002">
        <v>39.96983206664644</v>
      </c>
    </row>
    <row r="1003" spans="1:9" x14ac:dyDescent="0.2">
      <c r="A1003">
        <v>998</v>
      </c>
      <c r="B1003">
        <v>1092831.9719222791</v>
      </c>
      <c r="C1003">
        <v>112621.34144781473</v>
      </c>
      <c r="D1003">
        <v>89611.701345892288</v>
      </c>
      <c r="E1003">
        <v>68463.480495348849</v>
      </c>
      <c r="F1003">
        <v>40739.779418908765</v>
      </c>
      <c r="G1003">
        <v>10000</v>
      </c>
      <c r="H1003">
        <v>301436.30270796461</v>
      </c>
      <c r="I1003">
        <v>54.995504840215204</v>
      </c>
    </row>
    <row r="1004" spans="1:9" x14ac:dyDescent="0.2">
      <c r="A1004">
        <v>999</v>
      </c>
      <c r="B1004">
        <v>1023856.2129300734</v>
      </c>
      <c r="C1004">
        <v>153739.21687534155</v>
      </c>
      <c r="D1004">
        <v>61718.780002585438</v>
      </c>
      <c r="E1004">
        <v>38415.089357898651</v>
      </c>
      <c r="F1004">
        <v>38659.506186316059</v>
      </c>
      <c r="G1004">
        <v>10000</v>
      </c>
      <c r="H1004">
        <v>282532.59242214169</v>
      </c>
      <c r="I1004">
        <v>30.21851728769942</v>
      </c>
    </row>
    <row r="1005" spans="1:9" x14ac:dyDescent="0.2">
      <c r="A1005">
        <v>1000</v>
      </c>
      <c r="B1005">
        <v>1018665.1148118412</v>
      </c>
      <c r="C1005">
        <v>90963.200674530788</v>
      </c>
      <c r="D1005">
        <v>119895.9520813234</v>
      </c>
      <c r="E1005">
        <v>41385.594672963627</v>
      </c>
      <c r="F1005">
        <v>38865.156554282097</v>
      </c>
      <c r="G1005">
        <v>10000</v>
      </c>
      <c r="H1005">
        <v>281109.90398309991</v>
      </c>
      <c r="I1005">
        <v>29.173210743140594</v>
      </c>
    </row>
    <row r="1010" spans="1:2" ht="19" x14ac:dyDescent="0.25">
      <c r="A1010" s="4" t="s">
        <v>509</v>
      </c>
    </row>
    <row r="1011" spans="1:2" x14ac:dyDescent="0.2">
      <c r="A1011" t="s">
        <v>510</v>
      </c>
      <c r="B1011" s="16">
        <f>AVERAGE(B6:B1005)</f>
        <v>1281129.1984323896</v>
      </c>
    </row>
    <row r="1012" spans="1:2" x14ac:dyDescent="0.2">
      <c r="A1012" t="s">
        <v>511</v>
      </c>
      <c r="B1012" s="16">
        <f>PERCENTILE(B6:B1005,0.1)</f>
        <v>953073.60233752534</v>
      </c>
    </row>
    <row r="1013" spans="1:2" x14ac:dyDescent="0.2">
      <c r="A1013" t="s">
        <v>512</v>
      </c>
      <c r="B1013" s="16">
        <f>PERCENTILE(B6:B1005,0.5)</f>
        <v>1285008.2816969154</v>
      </c>
    </row>
    <row r="1014" spans="1:2" x14ac:dyDescent="0.2">
      <c r="A1014" t="s">
        <v>513</v>
      </c>
      <c r="B1014" s="16">
        <f>PERCENTILE(B6:B1005,0.9)</f>
        <v>1610664.2059139006</v>
      </c>
    </row>
    <row r="1015" spans="1:2" x14ac:dyDescent="0.2">
      <c r="A1015" t="s">
        <v>514</v>
      </c>
      <c r="B1015" s="16">
        <f>STDEV(B6:B1005)</f>
        <v>256230.34420712013</v>
      </c>
    </row>
    <row r="1016" spans="1:2" x14ac:dyDescent="0.2">
      <c r="A1016" t="s">
        <v>515</v>
      </c>
      <c r="B1016" s="26">
        <f>COUNTIF(B6:B1005,"&gt;0")/1000</f>
        <v>1</v>
      </c>
    </row>
    <row r="1018" spans="1:2" ht="19" x14ac:dyDescent="0.25">
      <c r="A1018" s="4" t="s">
        <v>516</v>
      </c>
    </row>
    <row r="1019" spans="1:2" x14ac:dyDescent="0.2">
      <c r="A1019" t="s">
        <v>517</v>
      </c>
      <c r="B1019" s="24">
        <f>IFERROR(AVERAGE(I6:I1005),"Run MC")</f>
        <v>36.119643963890567</v>
      </c>
    </row>
    <row r="1020" spans="1:2" x14ac:dyDescent="0.2">
      <c r="A1020" t="s">
        <v>518</v>
      </c>
      <c r="B1020" s="24">
        <f>IFERROR(PERCENTILE(I6:I1005,0.1),"Run MC")</f>
        <v>27.546421581783868</v>
      </c>
    </row>
    <row r="1021" spans="1:2" x14ac:dyDescent="0.2">
      <c r="A1021" t="s">
        <v>519</v>
      </c>
      <c r="B1021" s="24">
        <f>IFERROR(PERCENTILE(I6:I1005,0.5),"Run MC")</f>
        <v>35.482239138823232</v>
      </c>
    </row>
    <row r="1022" spans="1:2" x14ac:dyDescent="0.2">
      <c r="A1022" t="s">
        <v>520</v>
      </c>
      <c r="B1022" s="24">
        <f>IFERROR(PERCENTILE(I6:I1005,0.9),"Run MC")</f>
        <v>45.677259013874583</v>
      </c>
    </row>
    <row r="1023" spans="1:2" x14ac:dyDescent="0.2">
      <c r="A1023" t="s">
        <v>521</v>
      </c>
      <c r="B1023" s="26">
        <f>IFERROR(COUNTIF(I6:I1005,"&lt;="&amp;Season_Length)/1000,"Run MC")</f>
        <v>1</v>
      </c>
    </row>
  </sheetData>
  <mergeCells count="2">
    <mergeCell ref="L2:O2"/>
    <mergeCell ref="L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522</v>
      </c>
    </row>
    <row r="3" spans="1:4" x14ac:dyDescent="0.2">
      <c r="A3" s="36" t="s">
        <v>523</v>
      </c>
      <c r="B3" s="34"/>
      <c r="C3" s="34"/>
      <c r="D3" s="35"/>
    </row>
    <row r="4" spans="1:4" ht="300" customHeight="1" x14ac:dyDescent="0.2">
      <c r="A4" s="33" t="s">
        <v>524</v>
      </c>
      <c r="B4" s="34"/>
      <c r="C4" s="34"/>
      <c r="D4" s="35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525</v>
      </c>
    </row>
    <row r="3" spans="1:10" x14ac:dyDescent="0.2">
      <c r="A3" s="36" t="s">
        <v>526</v>
      </c>
      <c r="B3" s="34"/>
      <c r="C3" s="34"/>
      <c r="D3" s="34"/>
      <c r="E3" s="34"/>
      <c r="F3" s="34"/>
      <c r="G3" s="34"/>
      <c r="H3" s="34"/>
      <c r="I3" s="34"/>
      <c r="J3" s="35"/>
    </row>
    <row r="4" spans="1:10" ht="240" customHeight="1" x14ac:dyDescent="0.2">
      <c r="A4" s="33" t="s">
        <v>527</v>
      </c>
      <c r="B4" s="34"/>
      <c r="C4" s="34"/>
      <c r="D4" s="34"/>
      <c r="E4" s="34"/>
      <c r="F4" s="34"/>
      <c r="G4" s="34"/>
      <c r="H4" s="34"/>
      <c r="I4" s="34"/>
      <c r="J4" s="35"/>
    </row>
    <row r="6" spans="1:10" x14ac:dyDescent="0.2">
      <c r="A6" s="6" t="s">
        <v>525</v>
      </c>
    </row>
    <row r="7" spans="1:10" ht="13" customHeight="1" x14ac:dyDescent="0.2">
      <c r="A7" s="7" t="s">
        <v>46</v>
      </c>
      <c r="B7" s="31" t="s">
        <v>528</v>
      </c>
      <c r="C7" s="32"/>
      <c r="D7" s="32"/>
      <c r="E7" s="32"/>
      <c r="F7" s="32"/>
      <c r="G7" s="32"/>
      <c r="H7" s="32"/>
      <c r="I7" s="32"/>
      <c r="J7" s="32"/>
    </row>
    <row r="8" spans="1:10" ht="13" customHeight="1" x14ac:dyDescent="0.2">
      <c r="A8" s="7" t="s">
        <v>48</v>
      </c>
      <c r="B8" s="31" t="s">
        <v>529</v>
      </c>
      <c r="C8" s="32"/>
      <c r="D8" s="32"/>
      <c r="E8" s="32"/>
      <c r="F8" s="32"/>
      <c r="G8" s="32"/>
      <c r="H8" s="32"/>
      <c r="I8" s="32"/>
      <c r="J8" s="32"/>
    </row>
    <row r="9" spans="1:10" ht="26" customHeight="1" x14ac:dyDescent="0.2">
      <c r="A9" s="7" t="s">
        <v>50</v>
      </c>
      <c r="B9" s="31" t="s">
        <v>530</v>
      </c>
      <c r="C9" s="32"/>
      <c r="D9" s="32"/>
      <c r="E9" s="32"/>
      <c r="F9" s="32"/>
      <c r="G9" s="32"/>
      <c r="H9" s="32"/>
      <c r="I9" s="32"/>
      <c r="J9" s="32"/>
    </row>
    <row r="10" spans="1:10" ht="13" customHeight="1" x14ac:dyDescent="0.2">
      <c r="A10" s="7" t="s">
        <v>52</v>
      </c>
      <c r="B10" s="31" t="s">
        <v>531</v>
      </c>
      <c r="C10" s="32"/>
      <c r="D10" s="32"/>
      <c r="E10" s="32"/>
      <c r="F10" s="32"/>
      <c r="G10" s="32"/>
      <c r="H10" s="32"/>
      <c r="I10" s="32"/>
      <c r="J10" s="32"/>
    </row>
    <row r="11" spans="1:10" ht="13" customHeight="1" x14ac:dyDescent="0.2">
      <c r="A11" s="7" t="s">
        <v>54</v>
      </c>
      <c r="B11" s="31" t="s">
        <v>532</v>
      </c>
      <c r="C11" s="32"/>
      <c r="D11" s="32"/>
      <c r="E11" s="32"/>
      <c r="F11" s="32"/>
      <c r="G11" s="32"/>
      <c r="H11" s="32"/>
      <c r="I11" s="32"/>
      <c r="J11" s="32"/>
    </row>
    <row r="12" spans="1:10" x14ac:dyDescent="0.2">
      <c r="A12" s="9" t="s">
        <v>250</v>
      </c>
      <c r="B12" s="9" t="s">
        <v>533</v>
      </c>
      <c r="C12" s="9" t="s">
        <v>534</v>
      </c>
      <c r="D12" s="9" t="s">
        <v>535</v>
      </c>
      <c r="E12" s="9" t="s">
        <v>536</v>
      </c>
      <c r="F12" s="9" t="s">
        <v>537</v>
      </c>
      <c r="G12" s="9" t="s">
        <v>538</v>
      </c>
      <c r="H12" s="9" t="s">
        <v>539</v>
      </c>
      <c r="I12" s="9" t="s">
        <v>430</v>
      </c>
      <c r="J12" s="9" t="s">
        <v>540</v>
      </c>
    </row>
    <row r="13" spans="1:10" x14ac:dyDescent="0.2">
      <c r="A13">
        <f>Base_Year+0</f>
        <v>2026</v>
      </c>
      <c r="B13" s="16">
        <f ca="1">S1_Value*INDEX(Timeline_LearningMult,2)</f>
        <v>70828.492974412686</v>
      </c>
      <c r="C13" s="16">
        <f ca="1">S2_Value*INDEX(Timeline_LearningMult,2)</f>
        <v>30794.303512946324</v>
      </c>
      <c r="D13" s="16">
        <f ca="1">S3_Value*INDEX(Timeline_LearningMult,2)</f>
        <v>60008.679221906343</v>
      </c>
      <c r="E13" s="16">
        <f ca="1">S4_Value*INDEX(Timeline_LearningMult,2)</f>
        <v>22154.447023055054</v>
      </c>
      <c r="F13" s="16">
        <f ca="1">SUM(B13:E13)</f>
        <v>183785.92273232041</v>
      </c>
      <c r="G13" s="16">
        <f>Testing_Cost</f>
        <v>10000</v>
      </c>
      <c r="H13" s="16">
        <f ca="1">F13-G13</f>
        <v>173785.92273232041</v>
      </c>
      <c r="I13">
        <f>INDEX(Timeline_DiscountFactor,2)</f>
        <v>0.95419847328244267</v>
      </c>
      <c r="J13" s="16">
        <f ca="1">H13*I13</f>
        <v>165826.26214916067</v>
      </c>
    </row>
    <row r="14" spans="1:10" x14ac:dyDescent="0.2">
      <c r="A14">
        <f>Base_Year+1</f>
        <v>2027</v>
      </c>
      <c r="B14" s="16">
        <f ca="1">S1_Value*INDEX(Timeline_LearningMult,3)</f>
        <v>106242.73946161903</v>
      </c>
      <c r="C14" s="16">
        <f ca="1">S2_Value*INDEX(Timeline_LearningMult,3)</f>
        <v>46191.455269419486</v>
      </c>
      <c r="D14" s="16">
        <f ca="1">S3_Value*INDEX(Timeline_LearningMult,3)</f>
        <v>90013.01883285951</v>
      </c>
      <c r="E14" s="16">
        <f ca="1">S4_Value*INDEX(Timeline_LearningMult,3)</f>
        <v>33231.670534582583</v>
      </c>
      <c r="F14" s="16">
        <f ca="1">SUM(B14:E14)</f>
        <v>275678.88409848063</v>
      </c>
      <c r="G14" s="16">
        <f>Testing_Cost</f>
        <v>10000</v>
      </c>
      <c r="H14" s="16">
        <f ca="1">F14-G14</f>
        <v>265678.88409848063</v>
      </c>
      <c r="I14">
        <f>INDEX(Timeline_DiscountFactor,3)</f>
        <v>0.91049472641454443</v>
      </c>
      <c r="J14" s="16">
        <f ca="1">H14*I14</f>
        <v>241899.22289136759</v>
      </c>
    </row>
    <row r="15" spans="1:10" x14ac:dyDescent="0.2">
      <c r="A15">
        <f>Base_Year+2</f>
        <v>2028</v>
      </c>
      <c r="B15" s="16">
        <f ca="1">S1_Value*INDEX(Timeline_LearningMult,4)</f>
        <v>141656.98594882537</v>
      </c>
      <c r="C15" s="16">
        <f ca="1">S2_Value*INDEX(Timeline_LearningMult,4)</f>
        <v>61588.607025892648</v>
      </c>
      <c r="D15" s="16">
        <f ca="1">S3_Value*INDEX(Timeline_LearningMult,4)</f>
        <v>120017.35844381269</v>
      </c>
      <c r="E15" s="16">
        <f ca="1">S4_Value*INDEX(Timeline_LearningMult,4)</f>
        <v>44308.894046110108</v>
      </c>
      <c r="F15" s="16">
        <f ca="1">SUM(B15:E15)</f>
        <v>367571.84546464082</v>
      </c>
      <c r="G15" s="16">
        <f>Testing_Cost</f>
        <v>10000</v>
      </c>
      <c r="H15" s="16">
        <f ca="1">F15-G15</f>
        <v>357571.84546464082</v>
      </c>
      <c r="I15">
        <f>INDEX(Timeline_DiscountFactor,4)</f>
        <v>0.86879267787647374</v>
      </c>
      <c r="J15" s="16">
        <f ca="1">H15*I15</f>
        <v>310655.80115445796</v>
      </c>
    </row>
    <row r="16" spans="1:10" x14ac:dyDescent="0.2">
      <c r="A16">
        <f>Base_Year+3</f>
        <v>2029</v>
      </c>
      <c r="B16" s="16">
        <f ca="1">S1_Value*INDEX(Timeline_LearningMult,5)</f>
        <v>141656.98594882537</v>
      </c>
      <c r="C16" s="16">
        <f ca="1">S2_Value*INDEX(Timeline_LearningMult,5)</f>
        <v>61588.607025892648</v>
      </c>
      <c r="D16" s="16">
        <f ca="1">S3_Value*INDEX(Timeline_LearningMult,5)</f>
        <v>120017.35844381269</v>
      </c>
      <c r="E16" s="16">
        <f ca="1">S4_Value*INDEX(Timeline_LearningMult,5)</f>
        <v>44308.894046110108</v>
      </c>
      <c r="F16" s="16">
        <f ca="1">SUM(B16:E16)</f>
        <v>367571.84546464082</v>
      </c>
      <c r="G16" s="16">
        <f>Testing_Cost</f>
        <v>10000</v>
      </c>
      <c r="H16" s="16">
        <f ca="1">F16-G16</f>
        <v>357571.84546464082</v>
      </c>
      <c r="I16">
        <f>INDEX(Timeline_DiscountFactor,5)</f>
        <v>0.82900064682869612</v>
      </c>
      <c r="J16" s="16">
        <f ca="1">H16*I16</f>
        <v>296427.2911779178</v>
      </c>
    </row>
    <row r="17" spans="1:10" x14ac:dyDescent="0.2">
      <c r="A17">
        <f>Base_Year+4</f>
        <v>2030</v>
      </c>
      <c r="B17" s="16">
        <f ca="1">S1_Value*INDEX(Timeline_LearningMult,6)</f>
        <v>141656.98594882537</v>
      </c>
      <c r="C17" s="16">
        <f ca="1">S2_Value*INDEX(Timeline_LearningMult,6)</f>
        <v>61588.607025892648</v>
      </c>
      <c r="D17" s="16">
        <f ca="1">S3_Value*INDEX(Timeline_LearningMult,6)</f>
        <v>120017.35844381269</v>
      </c>
      <c r="E17" s="16">
        <f ca="1">S4_Value*INDEX(Timeline_LearningMult,6)</f>
        <v>44308.894046110108</v>
      </c>
      <c r="F17" s="16">
        <f ca="1">SUM(B17:E17)</f>
        <v>367571.84546464082</v>
      </c>
      <c r="G17" s="16">
        <f>Testing_Cost</f>
        <v>10000</v>
      </c>
      <c r="H17" s="16">
        <f ca="1">F17-G17</f>
        <v>357571.84546464082</v>
      </c>
      <c r="I17">
        <f>INDEX(Timeline_DiscountFactor,6)</f>
        <v>0.79103115155409931</v>
      </c>
      <c r="J17" s="16">
        <f ca="1">H17*I17</f>
        <v>282850.46868121927</v>
      </c>
    </row>
    <row r="20" spans="1:10" ht="19" x14ac:dyDescent="0.25">
      <c r="A20" s="4" t="s">
        <v>541</v>
      </c>
    </row>
    <row r="21" spans="1:10" x14ac:dyDescent="0.2">
      <c r="A21" t="s">
        <v>542</v>
      </c>
      <c r="B21" s="16">
        <f ca="1">SUM(J13:J17)</f>
        <v>1297659.0460541232</v>
      </c>
    </row>
    <row r="22" spans="1:10" x14ac:dyDescent="0.2">
      <c r="A22" t="s">
        <v>543</v>
      </c>
      <c r="B22" s="16">
        <f ca="1">SUM(F13:F17)</f>
        <v>1562180.3432247234</v>
      </c>
    </row>
    <row r="23" spans="1:10" x14ac:dyDescent="0.2">
      <c r="A23" t="s">
        <v>544</v>
      </c>
      <c r="B23" s="16">
        <f ca="1">SUM(H13:H17)</f>
        <v>1512180.3432247234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545</v>
      </c>
    </row>
    <row r="3" spans="1:4" x14ac:dyDescent="0.2">
      <c r="A3" s="36" t="s">
        <v>546</v>
      </c>
      <c r="B3" s="34"/>
      <c r="C3" s="34"/>
      <c r="D3" s="35"/>
    </row>
    <row r="4" spans="1:4" ht="240" customHeight="1" x14ac:dyDescent="0.2">
      <c r="A4" s="33" t="s">
        <v>547</v>
      </c>
      <c r="B4" s="34"/>
      <c r="C4" s="34"/>
      <c r="D4" s="35"/>
    </row>
    <row r="6" spans="1:4" x14ac:dyDescent="0.2">
      <c r="A6" s="6" t="s">
        <v>548</v>
      </c>
    </row>
    <row r="7" spans="1:4" ht="13" customHeight="1" x14ac:dyDescent="0.2">
      <c r="A7" s="7" t="s">
        <v>46</v>
      </c>
      <c r="B7" s="31" t="s">
        <v>549</v>
      </c>
      <c r="C7" s="32"/>
      <c r="D7" s="32"/>
    </row>
    <row r="8" spans="1:4" ht="26" customHeight="1" x14ac:dyDescent="0.2">
      <c r="A8" s="7" t="s">
        <v>48</v>
      </c>
      <c r="B8" s="31" t="s">
        <v>550</v>
      </c>
      <c r="C8" s="32"/>
      <c r="D8" s="32"/>
    </row>
    <row r="9" spans="1:4" ht="39" customHeight="1" x14ac:dyDescent="0.2">
      <c r="A9" s="7" t="s">
        <v>50</v>
      </c>
      <c r="B9" s="31" t="s">
        <v>551</v>
      </c>
      <c r="C9" s="32"/>
      <c r="D9" s="32"/>
    </row>
    <row r="10" spans="1:4" ht="13" customHeight="1" x14ac:dyDescent="0.2">
      <c r="A10" s="7" t="s">
        <v>52</v>
      </c>
      <c r="B10" s="31" t="s">
        <v>552</v>
      </c>
      <c r="C10" s="32"/>
      <c r="D10" s="32"/>
    </row>
    <row r="11" spans="1:4" ht="13" customHeight="1" x14ac:dyDescent="0.2">
      <c r="A11" s="7" t="s">
        <v>54</v>
      </c>
      <c r="B11" s="31" t="s">
        <v>553</v>
      </c>
      <c r="C11" s="32"/>
      <c r="D11" s="32"/>
    </row>
    <row r="12" spans="1:4" x14ac:dyDescent="0.2">
      <c r="A12" s="9" t="s">
        <v>250</v>
      </c>
      <c r="B12" s="9" t="s">
        <v>554</v>
      </c>
      <c r="C12" s="9" t="s">
        <v>555</v>
      </c>
      <c r="D12" s="9" t="s">
        <v>556</v>
      </c>
    </row>
    <row r="13" spans="1:4" x14ac:dyDescent="0.2">
      <c r="A13">
        <f>Base_Year+0</f>
        <v>2026</v>
      </c>
      <c r="B13" s="16">
        <f ca="1">INDEX(tbl_Annual[Net_Annual],1)</f>
        <v>173785.92273232041</v>
      </c>
      <c r="C13" s="16">
        <f ca="1">B13</f>
        <v>173785.92273232041</v>
      </c>
      <c r="D13" s="16">
        <f ca="1">INDEX(tbl_Annual[Discounted],1)</f>
        <v>165826.26214916067</v>
      </c>
    </row>
    <row r="14" spans="1:4" x14ac:dyDescent="0.2">
      <c r="A14">
        <f>Base_Year+1</f>
        <v>2027</v>
      </c>
      <c r="B14" s="16">
        <f ca="1">INDEX(tbl_Annual[Net_Annual],2)</f>
        <v>265678.88409848063</v>
      </c>
      <c r="C14" s="16">
        <f ca="1">C13+B14</f>
        <v>439464.80683080107</v>
      </c>
      <c r="D14" s="16">
        <f ca="1">D13+INDEX(tbl_Annual[Discounted],2)</f>
        <v>407725.48504052823</v>
      </c>
    </row>
    <row r="15" spans="1:4" x14ac:dyDescent="0.2">
      <c r="A15">
        <f>Base_Year+2</f>
        <v>2028</v>
      </c>
      <c r="B15" s="16">
        <f ca="1">INDEX(tbl_Annual[Net_Annual],3)</f>
        <v>357571.84546464082</v>
      </c>
      <c r="C15" s="16">
        <f ca="1">C14+B15</f>
        <v>797036.65229544183</v>
      </c>
      <c r="D15" s="16">
        <f ca="1">D14+INDEX(tbl_Annual[Discounted],3)</f>
        <v>718381.2861949862</v>
      </c>
    </row>
    <row r="16" spans="1:4" x14ac:dyDescent="0.2">
      <c r="A16">
        <f>Base_Year+3</f>
        <v>2029</v>
      </c>
      <c r="B16" s="16">
        <f ca="1">INDEX(tbl_Annual[Net_Annual],4)</f>
        <v>357571.84546464082</v>
      </c>
      <c r="C16" s="16">
        <f ca="1">C15+B16</f>
        <v>1154608.4977600826</v>
      </c>
      <c r="D16" s="16">
        <f ca="1">D15+INDEX(tbl_Annual[Discounted],4)</f>
        <v>1014808.5773729039</v>
      </c>
    </row>
    <row r="17" spans="1:4" x14ac:dyDescent="0.2">
      <c r="A17">
        <f>Base_Year+4</f>
        <v>2030</v>
      </c>
      <c r="B17" s="16">
        <f ca="1">INDEX(tbl_Annual[Net_Annual],5)</f>
        <v>357571.84546464082</v>
      </c>
      <c r="C17" s="16">
        <f ca="1">C16+B17</f>
        <v>1512180.3432247234</v>
      </c>
      <c r="D17" s="16">
        <f ca="1">D16+INDEX(tbl_Annual[Discounted],5)</f>
        <v>1297659.0460541232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557</v>
      </c>
    </row>
    <row r="3" spans="1:4" x14ac:dyDescent="0.2">
      <c r="A3" s="36" t="s">
        <v>558</v>
      </c>
      <c r="B3" s="34"/>
      <c r="C3" s="34"/>
      <c r="D3" s="35"/>
    </row>
    <row r="4" spans="1:4" ht="315" customHeight="1" x14ac:dyDescent="0.2">
      <c r="A4" s="33" t="s">
        <v>559</v>
      </c>
      <c r="B4" s="34"/>
      <c r="C4" s="34"/>
      <c r="D4" s="35"/>
    </row>
    <row r="6" spans="1:4" x14ac:dyDescent="0.2">
      <c r="A6" s="6" t="s">
        <v>557</v>
      </c>
    </row>
    <row r="7" spans="1:4" ht="26" customHeight="1" x14ac:dyDescent="0.2">
      <c r="A7" s="7" t="s">
        <v>46</v>
      </c>
      <c r="B7" s="31" t="s">
        <v>560</v>
      </c>
      <c r="C7" s="32"/>
      <c r="D7" s="32"/>
    </row>
    <row r="8" spans="1:4" ht="26" customHeight="1" x14ac:dyDescent="0.2">
      <c r="A8" s="7" t="s">
        <v>48</v>
      </c>
      <c r="B8" s="31" t="s">
        <v>561</v>
      </c>
      <c r="C8" s="32"/>
      <c r="D8" s="32"/>
    </row>
    <row r="9" spans="1:4" ht="39" customHeight="1" x14ac:dyDescent="0.2">
      <c r="A9" s="7" t="s">
        <v>50</v>
      </c>
      <c r="B9" s="31" t="s">
        <v>562</v>
      </c>
      <c r="C9" s="32"/>
      <c r="D9" s="32"/>
    </row>
    <row r="10" spans="1:4" ht="13" customHeight="1" x14ac:dyDescent="0.2">
      <c r="A10" s="7" t="s">
        <v>52</v>
      </c>
      <c r="B10" s="31" t="s">
        <v>563</v>
      </c>
      <c r="C10" s="32"/>
      <c r="D10" s="32"/>
    </row>
    <row r="11" spans="1:4" ht="13" customHeight="1" x14ac:dyDescent="0.2">
      <c r="A11" s="7" t="s">
        <v>54</v>
      </c>
      <c r="B11" s="31" t="s">
        <v>564</v>
      </c>
      <c r="C11" s="32"/>
      <c r="D11" s="32"/>
    </row>
    <row r="12" spans="1:4" x14ac:dyDescent="0.2">
      <c r="A12" s="9" t="s">
        <v>434</v>
      </c>
      <c r="B12" s="9" t="s">
        <v>57</v>
      </c>
      <c r="C12" s="9" t="s">
        <v>182</v>
      </c>
      <c r="D12" s="9" t="s">
        <v>435</v>
      </c>
    </row>
    <row r="13" spans="1:4" x14ac:dyDescent="0.2">
      <c r="A13" t="s">
        <v>565</v>
      </c>
      <c r="B13">
        <f>Annual_Throughput</f>
        <v>50000</v>
      </c>
      <c r="C13" t="s">
        <v>228</v>
      </c>
      <c r="D13" t="s">
        <v>566</v>
      </c>
    </row>
    <row r="14" spans="1:4" x14ac:dyDescent="0.2">
      <c r="A14" t="s">
        <v>567</v>
      </c>
      <c r="B14" s="28">
        <f ca="1">Gross_Value</f>
        <v>367571.84546464082</v>
      </c>
      <c r="C14" t="s">
        <v>242</v>
      </c>
      <c r="D14" t="s">
        <v>568</v>
      </c>
    </row>
    <row r="15" spans="1:4" x14ac:dyDescent="0.2">
      <c r="A15" t="s">
        <v>569</v>
      </c>
      <c r="B15" s="28">
        <f>Testing_Cost</f>
        <v>10000</v>
      </c>
      <c r="C15" t="s">
        <v>242</v>
      </c>
      <c r="D15" t="s">
        <v>570</v>
      </c>
    </row>
    <row r="16" spans="1:4" x14ac:dyDescent="0.2">
      <c r="A16" t="s">
        <v>571</v>
      </c>
      <c r="B16" s="28">
        <f ca="1">Gross_Value-Testing_Cost</f>
        <v>357571.84546464082</v>
      </c>
      <c r="C16" t="s">
        <v>242</v>
      </c>
      <c r="D16" t="s">
        <v>572</v>
      </c>
    </row>
    <row r="17" spans="1:4" x14ac:dyDescent="0.2">
      <c r="A17" t="s">
        <v>573</v>
      </c>
      <c r="B17" s="28">
        <f ca="1">Gross_Value/Annual_Throughput</f>
        <v>7.3514369092928167</v>
      </c>
      <c r="C17" t="s">
        <v>231</v>
      </c>
      <c r="D17" t="s">
        <v>574</v>
      </c>
    </row>
    <row r="18" spans="1:4" x14ac:dyDescent="0.2">
      <c r="A18" t="s">
        <v>575</v>
      </c>
      <c r="B18" s="28">
        <f ca="1">(Gross_Value-Testing_Cost)/Annual_Throughput</f>
        <v>7.1514369092928165</v>
      </c>
      <c r="C18" t="s">
        <v>231</v>
      </c>
      <c r="D18" t="s">
        <v>576</v>
      </c>
    </row>
    <row r="19" spans="1:4" x14ac:dyDescent="0.2">
      <c r="A19" t="s">
        <v>577</v>
      </c>
      <c r="B19" s="28">
        <f>Testing_Cost/Annual_Throughput</f>
        <v>0.2</v>
      </c>
      <c r="C19" t="s">
        <v>231</v>
      </c>
      <c r="D19" t="s">
        <v>578</v>
      </c>
    </row>
    <row r="20" spans="1:4" x14ac:dyDescent="0.2">
      <c r="A20" t="s">
        <v>579</v>
      </c>
      <c r="B20" s="28">
        <f ca="1">NPV_Total/(Annual_Throughput*5)</f>
        <v>5.1906361842164932</v>
      </c>
      <c r="C20" t="s">
        <v>231</v>
      </c>
      <c r="D20" t="s">
        <v>580</v>
      </c>
    </row>
    <row r="23" spans="1:4" ht="19" x14ac:dyDescent="0.25">
      <c r="A23" s="4" t="s">
        <v>581</v>
      </c>
    </row>
    <row r="24" spans="1:4" x14ac:dyDescent="0.2">
      <c r="A24" t="s">
        <v>582</v>
      </c>
      <c r="B24" s="16">
        <f>INDEX(TestOpt_Cost,MATCH(Testing_Option,TestOpt_Option,0))</f>
        <v>10</v>
      </c>
    </row>
    <row r="25" spans="1:4" x14ac:dyDescent="0.2">
      <c r="A25" t="s">
        <v>583</v>
      </c>
      <c r="B25">
        <f>Testing_Cost/INDEX(TestOpt_Cost,MATCH(Testing_Option,TestOpt_Option,0))</f>
        <v>1000</v>
      </c>
    </row>
    <row r="26" spans="1:4" x14ac:dyDescent="0.2">
      <c r="A26" t="s">
        <v>584</v>
      </c>
      <c r="B26" s="28">
        <f ca="1">(Gross_Value-Testing_Cost)/(Testing_Cost/INDEX(TestOpt_Cost,MATCH(Testing_Option,TestOpt_Option,0)))</f>
        <v>357.57184546464083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585</v>
      </c>
    </row>
    <row r="3" spans="1:7" x14ac:dyDescent="0.2">
      <c r="A3" s="36" t="s">
        <v>586</v>
      </c>
      <c r="B3" s="34"/>
      <c r="C3" s="34"/>
      <c r="D3" s="34"/>
      <c r="E3" s="34"/>
      <c r="F3" s="34"/>
      <c r="G3" s="35"/>
    </row>
    <row r="4" spans="1:7" ht="360" customHeight="1" x14ac:dyDescent="0.2">
      <c r="A4" s="33" t="s">
        <v>587</v>
      </c>
      <c r="B4" s="34"/>
      <c r="C4" s="34"/>
      <c r="D4" s="34"/>
      <c r="E4" s="34"/>
      <c r="F4" s="34"/>
      <c r="G4" s="35"/>
    </row>
    <row r="6" spans="1:7" x14ac:dyDescent="0.2">
      <c r="A6" s="6" t="s">
        <v>585</v>
      </c>
    </row>
    <row r="7" spans="1:7" ht="13" customHeight="1" x14ac:dyDescent="0.2">
      <c r="A7" s="7" t="s">
        <v>46</v>
      </c>
      <c r="B7" s="31" t="s">
        <v>588</v>
      </c>
      <c r="C7" s="32"/>
      <c r="D7" s="32"/>
      <c r="E7" s="32"/>
      <c r="F7" s="32"/>
      <c r="G7" s="32"/>
    </row>
    <row r="8" spans="1:7" ht="13" customHeight="1" x14ac:dyDescent="0.2">
      <c r="A8" s="7" t="s">
        <v>48</v>
      </c>
      <c r="B8" s="31" t="s">
        <v>589</v>
      </c>
      <c r="C8" s="32"/>
      <c r="D8" s="32"/>
      <c r="E8" s="32"/>
      <c r="F8" s="32"/>
      <c r="G8" s="32"/>
    </row>
    <row r="9" spans="1:7" ht="26" customHeight="1" x14ac:dyDescent="0.2">
      <c r="A9" s="7" t="s">
        <v>50</v>
      </c>
      <c r="B9" s="31" t="s">
        <v>590</v>
      </c>
      <c r="C9" s="32"/>
      <c r="D9" s="32"/>
      <c r="E9" s="32"/>
      <c r="F9" s="32"/>
      <c r="G9" s="32"/>
    </row>
    <row r="10" spans="1:7" ht="13" customHeight="1" x14ac:dyDescent="0.2">
      <c r="A10" s="7" t="s">
        <v>52</v>
      </c>
      <c r="B10" s="31" t="s">
        <v>591</v>
      </c>
      <c r="C10" s="32"/>
      <c r="D10" s="32"/>
      <c r="E10" s="32"/>
      <c r="F10" s="32"/>
      <c r="G10" s="32"/>
    </row>
    <row r="11" spans="1:7" ht="13" customHeight="1" x14ac:dyDescent="0.2">
      <c r="A11" s="7" t="s">
        <v>54</v>
      </c>
      <c r="B11" s="31" t="s">
        <v>592</v>
      </c>
      <c r="C11" s="32"/>
      <c r="D11" s="32"/>
      <c r="E11" s="32"/>
      <c r="F11" s="32"/>
      <c r="G11" s="32"/>
    </row>
    <row r="12" spans="1:7" x14ac:dyDescent="0.2">
      <c r="A12" s="9" t="s">
        <v>56</v>
      </c>
      <c r="B12" s="9" t="s">
        <v>411</v>
      </c>
      <c r="C12" s="9" t="s">
        <v>65</v>
      </c>
      <c r="D12" s="9" t="s">
        <v>412</v>
      </c>
      <c r="E12" s="9" t="s">
        <v>593</v>
      </c>
      <c r="F12" s="9" t="s">
        <v>594</v>
      </c>
      <c r="G12" s="9" t="s">
        <v>595</v>
      </c>
    </row>
    <row r="13" spans="1:7" x14ac:dyDescent="0.2">
      <c r="A13" t="s">
        <v>596</v>
      </c>
      <c r="B13">
        <v>3</v>
      </c>
      <c r="C13">
        <v>5</v>
      </c>
      <c r="D13">
        <v>10</v>
      </c>
      <c r="E13" s="16">
        <f ca="1">NPV_Total*(B13/C13)</f>
        <v>778595.42763247387</v>
      </c>
      <c r="F13" s="16">
        <f ca="1">NPV_Total*(D13/C13)</f>
        <v>2595318.0921082464</v>
      </c>
      <c r="G13" s="16">
        <f ca="1">ABS(F13-E13)</f>
        <v>1816722.6644757725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6">
        <f ca="1">NPV_Total*((1+C14)/(1+B14))^2.5</f>
        <v>1322758.1831582149</v>
      </c>
      <c r="F14" s="16">
        <f ca="1">NPV_Total*((1+C14)/(1+D14))^2.5</f>
        <v>1261244.083672184</v>
      </c>
      <c r="G14" s="16">
        <f ca="1">ABS(F14-E14)</f>
        <v>61514.099486030871</v>
      </c>
    </row>
    <row r="15" spans="1:7" x14ac:dyDescent="0.2">
      <c r="A15" t="s">
        <v>597</v>
      </c>
      <c r="B15">
        <v>80</v>
      </c>
      <c r="C15">
        <v>100</v>
      </c>
      <c r="D15">
        <v>120</v>
      </c>
      <c r="E15" s="16">
        <f ca="1">NPV_Total*(B15/C15)</f>
        <v>1038127.2368432987</v>
      </c>
      <c r="F15" s="16">
        <f ca="1">NPV_Total*(D15/C15)</f>
        <v>1557190.8552649477</v>
      </c>
      <c r="G15" s="16">
        <f ca="1">ABS(F15-E15)</f>
        <v>519063.61842164909</v>
      </c>
    </row>
    <row r="16" spans="1:7" x14ac:dyDescent="0.2">
      <c r="A16" t="s">
        <v>598</v>
      </c>
      <c r="B16">
        <v>0.5</v>
      </c>
      <c r="C16">
        <v>1</v>
      </c>
      <c r="D16">
        <v>2</v>
      </c>
      <c r="E16" s="16">
        <f ca="1">NPV_Total*(B16/C16)</f>
        <v>648829.5230270616</v>
      </c>
      <c r="F16" s="16">
        <f ca="1">NPV_Total*(D16/C16)</f>
        <v>2595318.0921082464</v>
      </c>
      <c r="G16" s="16">
        <f ca="1">ABS(F16-E16)</f>
        <v>1946488.5690811849</v>
      </c>
    </row>
    <row r="19" spans="1:1" ht="19" x14ac:dyDescent="0.25">
      <c r="A19" s="4" t="s">
        <v>599</v>
      </c>
    </row>
    <row r="20" spans="1:1" x14ac:dyDescent="0.2">
      <c r="A20" t="s">
        <v>600</v>
      </c>
    </row>
    <row r="21" spans="1:1" x14ac:dyDescent="0.2">
      <c r="A21" t="s">
        <v>601</v>
      </c>
    </row>
    <row r="22" spans="1:1" x14ac:dyDescent="0.2">
      <c r="A22" t="s">
        <v>602</v>
      </c>
    </row>
    <row r="24" spans="1:1" ht="19" x14ac:dyDescent="0.25">
      <c r="A24" s="4" t="s">
        <v>603</v>
      </c>
    </row>
    <row r="25" spans="1:1" x14ac:dyDescent="0.2">
      <c r="A25" t="s">
        <v>604</v>
      </c>
    </row>
    <row r="26" spans="1:1" x14ac:dyDescent="0.2">
      <c r="A26" t="s">
        <v>605</v>
      </c>
    </row>
    <row r="27" spans="1:1" x14ac:dyDescent="0.2">
      <c r="A27" t="s">
        <v>606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109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2" ht="21" x14ac:dyDescent="0.25">
      <c r="A1" s="5" t="s">
        <v>607</v>
      </c>
    </row>
    <row r="3" spans="1:2" x14ac:dyDescent="0.2">
      <c r="A3" s="36" t="s">
        <v>608</v>
      </c>
      <c r="B3" s="35"/>
    </row>
    <row r="4" spans="1:2" ht="270" customHeight="1" x14ac:dyDescent="0.2">
      <c r="A4" s="33" t="s">
        <v>609</v>
      </c>
      <c r="B4" s="35"/>
    </row>
    <row r="6" spans="1:2" x14ac:dyDescent="0.2">
      <c r="A6" s="6" t="s">
        <v>610</v>
      </c>
    </row>
    <row r="7" spans="1:2" ht="65" customHeight="1" x14ac:dyDescent="0.2">
      <c r="A7" s="7" t="s">
        <v>46</v>
      </c>
      <c r="B7" s="8" t="s">
        <v>611</v>
      </c>
    </row>
    <row r="8" spans="1:2" ht="52" customHeight="1" x14ac:dyDescent="0.2">
      <c r="A8" s="7" t="s">
        <v>48</v>
      </c>
      <c r="B8" s="8" t="s">
        <v>612</v>
      </c>
    </row>
    <row r="9" spans="1:2" ht="156" customHeight="1" x14ac:dyDescent="0.2">
      <c r="A9" s="7" t="s">
        <v>50</v>
      </c>
      <c r="B9" s="8" t="s">
        <v>613</v>
      </c>
    </row>
    <row r="10" spans="1:2" ht="39" customHeight="1" x14ac:dyDescent="0.2">
      <c r="A10" s="7" t="s">
        <v>52</v>
      </c>
      <c r="B10" s="8" t="s">
        <v>614</v>
      </c>
    </row>
    <row r="11" spans="1:2" ht="39" customHeight="1" x14ac:dyDescent="0.2">
      <c r="A11" s="7" t="s">
        <v>54</v>
      </c>
      <c r="B11" s="8" t="s">
        <v>615</v>
      </c>
    </row>
    <row r="12" spans="1:2" x14ac:dyDescent="0.2">
      <c r="A12" s="9" t="s">
        <v>434</v>
      </c>
      <c r="B12" s="9" t="s">
        <v>57</v>
      </c>
    </row>
    <row r="13" spans="1:2" x14ac:dyDescent="0.2">
      <c r="A13" t="s">
        <v>616</v>
      </c>
      <c r="B13" t="str">
        <f>Testing_Option</f>
        <v>Daily_Biosensor</v>
      </c>
    </row>
    <row r="14" spans="1:2" x14ac:dyDescent="0.2">
      <c r="A14" t="s">
        <v>617</v>
      </c>
      <c r="B14" s="16">
        <f ca="1">NPV_Total</f>
        <v>1297659.0460541232</v>
      </c>
    </row>
    <row r="15" spans="1:2" x14ac:dyDescent="0.2">
      <c r="A15" t="s">
        <v>618</v>
      </c>
      <c r="B15" s="16">
        <f>MC_P10</f>
        <v>953073.60233752534</v>
      </c>
    </row>
    <row r="16" spans="1:2" x14ac:dyDescent="0.2">
      <c r="A16" t="s">
        <v>619</v>
      </c>
      <c r="B16" s="16">
        <f>MC_P50</f>
        <v>1285008.2816969154</v>
      </c>
    </row>
    <row r="17" spans="1:3" x14ac:dyDescent="0.2">
      <c r="A17" t="s">
        <v>620</v>
      </c>
      <c r="B17" s="16">
        <f>MC_P90</f>
        <v>1610664.2059139006</v>
      </c>
    </row>
    <row r="18" spans="1:3" x14ac:dyDescent="0.2">
      <c r="A18" t="s">
        <v>621</v>
      </c>
      <c r="B18" s="26">
        <f>MC_Prob_Positive</f>
        <v>1</v>
      </c>
    </row>
    <row r="19" spans="1:3" x14ac:dyDescent="0.2">
      <c r="A19" t="s">
        <v>622</v>
      </c>
      <c r="B19" s="16">
        <f>Testing_Cost</f>
        <v>10000</v>
      </c>
    </row>
    <row r="20" spans="1:3" x14ac:dyDescent="0.2">
      <c r="A20" t="s">
        <v>623</v>
      </c>
      <c r="B20" s="16">
        <f ca="1">Year1_Gross_Value</f>
        <v>183785.92273232041</v>
      </c>
    </row>
    <row r="21" spans="1:3" x14ac:dyDescent="0.2">
      <c r="A21" t="s">
        <v>624</v>
      </c>
      <c r="B21" s="16">
        <f ca="1">Year1_Net_Value</f>
        <v>173785.92273232041</v>
      </c>
    </row>
    <row r="23" spans="1:3" x14ac:dyDescent="0.2">
      <c r="A23" s="6" t="s">
        <v>625</v>
      </c>
    </row>
    <row r="24" spans="1:3" ht="26" customHeight="1" x14ac:dyDescent="0.2">
      <c r="A24" s="7" t="s">
        <v>46</v>
      </c>
      <c r="B24" s="31" t="s">
        <v>626</v>
      </c>
      <c r="C24" s="32"/>
    </row>
    <row r="25" spans="1:3" ht="26" customHeight="1" x14ac:dyDescent="0.2">
      <c r="A25" s="7" t="s">
        <v>48</v>
      </c>
      <c r="B25" s="31" t="s">
        <v>627</v>
      </c>
      <c r="C25" s="32"/>
    </row>
    <row r="26" spans="1:3" ht="91" customHeight="1" x14ac:dyDescent="0.2">
      <c r="A26" s="7" t="s">
        <v>50</v>
      </c>
      <c r="B26" s="31" t="s">
        <v>628</v>
      </c>
      <c r="C26" s="32"/>
    </row>
    <row r="27" spans="1:3" ht="26" customHeight="1" x14ac:dyDescent="0.2">
      <c r="A27" s="7" t="s">
        <v>52</v>
      </c>
      <c r="B27" s="31" t="s">
        <v>629</v>
      </c>
      <c r="C27" s="32"/>
    </row>
    <row r="28" spans="1:3" ht="26" customHeight="1" x14ac:dyDescent="0.2">
      <c r="A28" s="7" t="s">
        <v>54</v>
      </c>
      <c r="B28" s="31" t="s">
        <v>630</v>
      </c>
      <c r="C28" s="32"/>
    </row>
    <row r="29" spans="1:3" x14ac:dyDescent="0.2">
      <c r="A29" s="9" t="s">
        <v>93</v>
      </c>
      <c r="B29" s="9" t="s">
        <v>475</v>
      </c>
      <c r="C29" s="9" t="s">
        <v>631</v>
      </c>
    </row>
    <row r="30" spans="1:3" x14ac:dyDescent="0.2">
      <c r="A30" t="s">
        <v>97</v>
      </c>
      <c r="B30" s="16">
        <f ca="1">S1_Value</f>
        <v>141656.98594882537</v>
      </c>
      <c r="C30" t="str">
        <f>INDEX(Gate_S1,MATCH(Testing_Option,TestOpt_Option,0))</f>
        <v>ENABLED</v>
      </c>
    </row>
    <row r="31" spans="1:3" x14ac:dyDescent="0.2">
      <c r="A31" t="s">
        <v>101</v>
      </c>
      <c r="B31" s="16">
        <f ca="1">S2_Value</f>
        <v>61588.607025892648</v>
      </c>
      <c r="C31" t="str">
        <f>INDEX(Gate_S2,MATCH(Testing_Option,TestOpt_Option,0))</f>
        <v>ENABLED</v>
      </c>
    </row>
    <row r="32" spans="1:3" x14ac:dyDescent="0.2">
      <c r="A32" t="s">
        <v>102</v>
      </c>
      <c r="B32" s="16">
        <f ca="1">S3_Value</f>
        <v>120017.35844381269</v>
      </c>
      <c r="C32" t="str">
        <f>INDEX(Gate_S3,MATCH(Testing_Option,TestOpt_Option,0))</f>
        <v>ENABLED</v>
      </c>
    </row>
    <row r="33" spans="1:3" x14ac:dyDescent="0.2">
      <c r="A33" t="s">
        <v>104</v>
      </c>
      <c r="B33" s="16">
        <f ca="1">S4_Value</f>
        <v>44308.894046110108</v>
      </c>
      <c r="C33" t="str">
        <f>INDEX(Gate_S4,MATCH(Testing_Option,TestOpt_Option,0))</f>
        <v>ENABLED</v>
      </c>
    </row>
    <row r="35" spans="1:3" x14ac:dyDescent="0.2">
      <c r="A35" s="6" t="s">
        <v>432</v>
      </c>
    </row>
    <row r="36" spans="1:3" ht="26" customHeight="1" x14ac:dyDescent="0.2">
      <c r="A36" s="7" t="s">
        <v>46</v>
      </c>
      <c r="B36" s="31" t="s">
        <v>632</v>
      </c>
      <c r="C36" s="32"/>
    </row>
    <row r="37" spans="1:3" ht="39" customHeight="1" x14ac:dyDescent="0.2">
      <c r="A37" s="7" t="s">
        <v>48</v>
      </c>
      <c r="B37" s="31" t="s">
        <v>633</v>
      </c>
      <c r="C37" s="32"/>
    </row>
    <row r="38" spans="1:3" ht="91" customHeight="1" x14ac:dyDescent="0.2">
      <c r="A38" s="7" t="s">
        <v>50</v>
      </c>
      <c r="B38" s="31" t="s">
        <v>634</v>
      </c>
      <c r="C38" s="32"/>
    </row>
    <row r="39" spans="1:3" ht="26" customHeight="1" x14ac:dyDescent="0.2">
      <c r="A39" s="7" t="s">
        <v>52</v>
      </c>
      <c r="B39" s="31" t="s">
        <v>635</v>
      </c>
      <c r="C39" s="32"/>
    </row>
    <row r="40" spans="1:3" ht="26" customHeight="1" x14ac:dyDescent="0.2">
      <c r="A40" s="7" t="s">
        <v>54</v>
      </c>
      <c r="B40" s="31" t="s">
        <v>636</v>
      </c>
      <c r="C40" s="32"/>
    </row>
    <row r="41" spans="1:3" x14ac:dyDescent="0.2">
      <c r="A41" s="9" t="s">
        <v>434</v>
      </c>
      <c r="B41" s="9" t="s">
        <v>57</v>
      </c>
      <c r="C41" s="9" t="s">
        <v>631</v>
      </c>
    </row>
    <row r="42" spans="1:3" x14ac:dyDescent="0.2">
      <c r="A42" t="s">
        <v>637</v>
      </c>
      <c r="B42" s="29">
        <f>Initial_NAFC</f>
        <v>63.1</v>
      </c>
      <c r="C42" t="str">
        <f>IF(Initial_NAFC&gt;Target_NAFC,"Above Target","At/Below Target")</f>
        <v>Above Target</v>
      </c>
    </row>
    <row r="43" spans="1:3" x14ac:dyDescent="0.2">
      <c r="A43" t="s">
        <v>638</v>
      </c>
      <c r="B43" s="29">
        <f>Target_NAFC</f>
        <v>50</v>
      </c>
      <c r="C43" t="s">
        <v>639</v>
      </c>
    </row>
    <row r="44" spans="1:3" x14ac:dyDescent="0.2">
      <c r="A44" t="s">
        <v>640</v>
      </c>
      <c r="B44" s="30">
        <f ca="1">Days_to_Compliance</f>
        <v>31.051613900317989</v>
      </c>
      <c r="C44" t="str">
        <f ca="1">Compliance_Status</f>
        <v>ACHIEVABLE</v>
      </c>
    </row>
    <row r="45" spans="1:3" x14ac:dyDescent="0.2">
      <c r="A45" t="s">
        <v>641</v>
      </c>
      <c r="B45" s="25">
        <f ca="1">Circulation_Cycles</f>
        <v>3</v>
      </c>
      <c r="C45" t="str">
        <f ca="1">IF(Circulation_Cycles&lt;=3,"Standard","Extended")</f>
        <v>Standard</v>
      </c>
    </row>
    <row r="46" spans="1:3" x14ac:dyDescent="0.2">
      <c r="A46" t="s">
        <v>642</v>
      </c>
      <c r="B46" s="26">
        <f>Treatment_Efficiency</f>
        <v>0.2076069730586371</v>
      </c>
      <c r="C46" t="str">
        <f>IF(Treatment_Efficiency&gt;0.2,"Good","Low")</f>
        <v>Good</v>
      </c>
    </row>
    <row r="47" spans="1:3" x14ac:dyDescent="0.2">
      <c r="A47" t="s">
        <v>643</v>
      </c>
      <c r="B47" s="30">
        <f>MC_Expected_Days</f>
        <v>36.119643963890567</v>
      </c>
      <c r="C47" t="str">
        <f>IF(MC_Expected_Days&lt;=Season_Length,"Achievable","Risk")</f>
        <v>Achievable</v>
      </c>
    </row>
    <row r="48" spans="1:3" x14ac:dyDescent="0.2">
      <c r="A48" t="s">
        <v>644</v>
      </c>
      <c r="B48" s="30">
        <f>MC_P90_Days</f>
        <v>45.677259013874583</v>
      </c>
      <c r="C48" t="str">
        <f>IF(MC_P90_Days&lt;=Season_Length,"Low Risk","High Risk")</f>
        <v>Low Risk</v>
      </c>
    </row>
    <row r="49" spans="1:4" x14ac:dyDescent="0.2">
      <c r="A49" t="s">
        <v>645</v>
      </c>
      <c r="B49" s="26">
        <f>MC_Prob_Achievable</f>
        <v>1</v>
      </c>
      <c r="C49" t="str">
        <f>IF(MC_Prob_Achievable&gt;=0.9,"High Confidence","Review Required")</f>
        <v>High Confidence</v>
      </c>
    </row>
    <row r="51" spans="1:4" x14ac:dyDescent="0.2">
      <c r="A51" s="6" t="s">
        <v>646</v>
      </c>
    </row>
    <row r="52" spans="1:4" ht="26" customHeight="1" x14ac:dyDescent="0.2">
      <c r="A52" s="7" t="s">
        <v>46</v>
      </c>
      <c r="B52" s="31" t="s">
        <v>647</v>
      </c>
      <c r="C52" s="32"/>
      <c r="D52" s="32"/>
    </row>
    <row r="53" spans="1:4" ht="26" customHeight="1" x14ac:dyDescent="0.2">
      <c r="A53" s="7" t="s">
        <v>48</v>
      </c>
      <c r="B53" s="31" t="s">
        <v>648</v>
      </c>
      <c r="C53" s="32"/>
      <c r="D53" s="32"/>
    </row>
    <row r="54" spans="1:4" ht="52" customHeight="1" x14ac:dyDescent="0.2">
      <c r="A54" s="7" t="s">
        <v>50</v>
      </c>
      <c r="B54" s="31" t="s">
        <v>649</v>
      </c>
      <c r="C54" s="32"/>
      <c r="D54" s="32"/>
    </row>
    <row r="55" spans="1:4" ht="13" customHeight="1" x14ac:dyDescent="0.2">
      <c r="A55" s="7" t="s">
        <v>52</v>
      </c>
      <c r="B55" s="31" t="s">
        <v>650</v>
      </c>
      <c r="C55" s="32"/>
      <c r="D55" s="32"/>
    </row>
    <row r="56" spans="1:4" ht="13" customHeight="1" x14ac:dyDescent="0.2">
      <c r="A56" s="7" t="s">
        <v>54</v>
      </c>
      <c r="B56" s="31" t="s">
        <v>651</v>
      </c>
      <c r="C56" s="32"/>
      <c r="D56" s="32"/>
    </row>
    <row r="57" spans="1:4" x14ac:dyDescent="0.2">
      <c r="A57" s="9" t="s">
        <v>434</v>
      </c>
      <c r="B57" s="9" t="s">
        <v>267</v>
      </c>
      <c r="C57" s="9" t="s">
        <v>268</v>
      </c>
      <c r="D57" s="9" t="s">
        <v>61</v>
      </c>
    </row>
    <row r="58" spans="1:4" x14ac:dyDescent="0.2">
      <c r="A58" t="s">
        <v>652</v>
      </c>
      <c r="B58" t="s">
        <v>99</v>
      </c>
      <c r="C58" t="s">
        <v>99</v>
      </c>
      <c r="D58" t="s">
        <v>100</v>
      </c>
    </row>
    <row r="59" spans="1:4" x14ac:dyDescent="0.2">
      <c r="A59" t="s">
        <v>653</v>
      </c>
      <c r="B59" t="s">
        <v>99</v>
      </c>
      <c r="C59" t="s">
        <v>99</v>
      </c>
      <c r="D59" t="s">
        <v>100</v>
      </c>
    </row>
    <row r="60" spans="1:4" x14ac:dyDescent="0.2">
      <c r="A60" t="s">
        <v>654</v>
      </c>
      <c r="B60" t="s">
        <v>99</v>
      </c>
      <c r="C60" t="s">
        <v>100</v>
      </c>
      <c r="D60" t="s">
        <v>100</v>
      </c>
    </row>
    <row r="61" spans="1:4" x14ac:dyDescent="0.2">
      <c r="A61" t="s">
        <v>655</v>
      </c>
      <c r="B61" t="s">
        <v>99</v>
      </c>
      <c r="C61" t="s">
        <v>99</v>
      </c>
      <c r="D61" t="s">
        <v>100</v>
      </c>
    </row>
    <row r="62" spans="1:4" x14ac:dyDescent="0.2">
      <c r="A62" t="s">
        <v>656</v>
      </c>
      <c r="B62" t="s">
        <v>657</v>
      </c>
      <c r="C62" t="s">
        <v>658</v>
      </c>
      <c r="D62" t="s">
        <v>659</v>
      </c>
    </row>
    <row r="63" spans="1:4" x14ac:dyDescent="0.2">
      <c r="A63" t="s">
        <v>660</v>
      </c>
      <c r="B63" t="s">
        <v>661</v>
      </c>
      <c r="C63" t="s">
        <v>662</v>
      </c>
      <c r="D63" t="s">
        <v>663</v>
      </c>
    </row>
    <row r="65" spans="1:2" ht="19" x14ac:dyDescent="0.25">
      <c r="A65" s="4" t="s">
        <v>664</v>
      </c>
    </row>
    <row r="66" spans="1:2" x14ac:dyDescent="0.2">
      <c r="A66" t="s">
        <v>665</v>
      </c>
      <c r="B66" t="str">
        <f ca="1">IF(COUNTIF('17_Checks'!D:D,"FAIL")=0,"HEALTHY","REVIEW REQUIRED")</f>
        <v>HEALTHY</v>
      </c>
    </row>
    <row r="67" spans="1:2" x14ac:dyDescent="0.2">
      <c r="A67" t="s">
        <v>666</v>
      </c>
      <c r="B67">
        <f ca="1">COUNTIF('17_Checks'!D:D,"FAIL")</f>
        <v>0</v>
      </c>
    </row>
    <row r="69" spans="1:2" x14ac:dyDescent="0.2">
      <c r="A69" s="18" t="s">
        <v>358</v>
      </c>
    </row>
    <row r="70" spans="1:2" x14ac:dyDescent="0.2">
      <c r="A70" s="19" t="s">
        <v>359</v>
      </c>
    </row>
    <row r="71" spans="1:2" x14ac:dyDescent="0.2">
      <c r="A71" s="20" t="s">
        <v>667</v>
      </c>
    </row>
    <row r="72" spans="1:2" x14ac:dyDescent="0.2">
      <c r="A72" t="s">
        <v>668</v>
      </c>
    </row>
    <row r="73" spans="1:2" x14ac:dyDescent="0.2">
      <c r="A73" t="s">
        <v>362</v>
      </c>
    </row>
    <row r="74" spans="1:2" x14ac:dyDescent="0.2">
      <c r="A74" t="s">
        <v>669</v>
      </c>
    </row>
    <row r="75" spans="1:2" x14ac:dyDescent="0.2">
      <c r="A75" t="s">
        <v>670</v>
      </c>
    </row>
    <row r="76" spans="1:2" x14ac:dyDescent="0.2">
      <c r="A76" t="s">
        <v>671</v>
      </c>
    </row>
    <row r="77" spans="1:2" x14ac:dyDescent="0.2">
      <c r="A77" t="s">
        <v>672</v>
      </c>
    </row>
    <row r="78" spans="1:2" x14ac:dyDescent="0.2">
      <c r="A78" t="s">
        <v>673</v>
      </c>
    </row>
    <row r="79" spans="1:2" x14ac:dyDescent="0.2">
      <c r="A79" t="s">
        <v>674</v>
      </c>
    </row>
    <row r="81" spans="1:1" x14ac:dyDescent="0.2">
      <c r="A81" s="20" t="s">
        <v>675</v>
      </c>
    </row>
    <row r="82" spans="1:1" x14ac:dyDescent="0.2">
      <c r="A82" t="s">
        <v>676</v>
      </c>
    </row>
    <row r="83" spans="1:1" x14ac:dyDescent="0.2">
      <c r="A83" t="s">
        <v>362</v>
      </c>
    </row>
    <row r="84" spans="1:1" x14ac:dyDescent="0.2">
      <c r="A84" t="s">
        <v>677</v>
      </c>
    </row>
    <row r="85" spans="1:1" x14ac:dyDescent="0.2">
      <c r="A85" t="s">
        <v>678</v>
      </c>
    </row>
    <row r="86" spans="1:1" x14ac:dyDescent="0.2">
      <c r="A86" t="s">
        <v>679</v>
      </c>
    </row>
    <row r="87" spans="1:1" x14ac:dyDescent="0.2">
      <c r="A87" t="s">
        <v>680</v>
      </c>
    </row>
    <row r="88" spans="1:1" x14ac:dyDescent="0.2">
      <c r="A88" t="s">
        <v>681</v>
      </c>
    </row>
    <row r="89" spans="1:1" x14ac:dyDescent="0.2">
      <c r="A89" t="s">
        <v>682</v>
      </c>
    </row>
    <row r="91" spans="1:1" x14ac:dyDescent="0.2">
      <c r="A91" s="20" t="s">
        <v>683</v>
      </c>
    </row>
    <row r="92" spans="1:1" x14ac:dyDescent="0.2">
      <c r="A92" t="s">
        <v>684</v>
      </c>
    </row>
    <row r="93" spans="1:1" x14ac:dyDescent="0.2">
      <c r="A93" t="s">
        <v>362</v>
      </c>
    </row>
    <row r="94" spans="1:1" x14ac:dyDescent="0.2">
      <c r="A94" t="s">
        <v>685</v>
      </c>
    </row>
    <row r="95" spans="1:1" x14ac:dyDescent="0.2">
      <c r="A95" t="s">
        <v>686</v>
      </c>
    </row>
    <row r="96" spans="1:1" x14ac:dyDescent="0.2">
      <c r="A96" t="s">
        <v>687</v>
      </c>
    </row>
    <row r="97" spans="1:1" x14ac:dyDescent="0.2">
      <c r="A97" t="s">
        <v>688</v>
      </c>
    </row>
    <row r="98" spans="1:1" x14ac:dyDescent="0.2">
      <c r="A98" t="s">
        <v>689</v>
      </c>
    </row>
    <row r="99" spans="1:1" x14ac:dyDescent="0.2">
      <c r="A99" t="s">
        <v>690</v>
      </c>
    </row>
    <row r="101" spans="1:1" x14ac:dyDescent="0.2">
      <c r="A101" s="20" t="s">
        <v>691</v>
      </c>
    </row>
    <row r="102" spans="1:1" x14ac:dyDescent="0.2">
      <c r="A102" t="s">
        <v>692</v>
      </c>
    </row>
    <row r="103" spans="1:1" x14ac:dyDescent="0.2">
      <c r="A103" t="s">
        <v>362</v>
      </c>
    </row>
    <row r="104" spans="1:1" x14ac:dyDescent="0.2">
      <c r="A104" t="s">
        <v>693</v>
      </c>
    </row>
    <row r="105" spans="1:1" x14ac:dyDescent="0.2">
      <c r="A105" t="s">
        <v>694</v>
      </c>
    </row>
    <row r="106" spans="1:1" x14ac:dyDescent="0.2">
      <c r="A106" t="s">
        <v>695</v>
      </c>
    </row>
    <row r="107" spans="1:1" x14ac:dyDescent="0.2">
      <c r="A107" t="s">
        <v>696</v>
      </c>
    </row>
    <row r="108" spans="1:1" x14ac:dyDescent="0.2">
      <c r="A108" t="s">
        <v>697</v>
      </c>
    </row>
    <row r="109" spans="1:1" x14ac:dyDescent="0.2">
      <c r="A109" t="s">
        <v>698</v>
      </c>
    </row>
  </sheetData>
  <mergeCells count="17">
    <mergeCell ref="A3:B3"/>
    <mergeCell ref="B54:D54"/>
    <mergeCell ref="B56:D56"/>
    <mergeCell ref="B36:C36"/>
    <mergeCell ref="B52:D52"/>
    <mergeCell ref="B53:D53"/>
    <mergeCell ref="B26:C26"/>
    <mergeCell ref="B27:C27"/>
    <mergeCell ref="B55:D55"/>
    <mergeCell ref="A4:B4"/>
    <mergeCell ref="B39:C39"/>
    <mergeCell ref="B24:C24"/>
    <mergeCell ref="B38:C38"/>
    <mergeCell ref="B40:C40"/>
    <mergeCell ref="B25:C25"/>
    <mergeCell ref="B37:C37"/>
    <mergeCell ref="B28:C28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zoomScale="120" zoomScaleNormal="120" workbookViewId="0">
      <selection activeCell="B32" sqref="B32"/>
    </sheetView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699</v>
      </c>
    </row>
    <row r="3" spans="1:4" x14ac:dyDescent="0.2">
      <c r="A3" s="36" t="s">
        <v>700</v>
      </c>
      <c r="B3" s="34"/>
      <c r="C3" s="34"/>
      <c r="D3" s="35"/>
    </row>
    <row r="4" spans="1:4" ht="330" customHeight="1" x14ac:dyDescent="0.2">
      <c r="A4" s="33" t="s">
        <v>701</v>
      </c>
      <c r="B4" s="34"/>
      <c r="C4" s="34"/>
      <c r="D4" s="35"/>
    </row>
    <row r="6" spans="1:4" x14ac:dyDescent="0.2">
      <c r="A6" s="6" t="s">
        <v>699</v>
      </c>
    </row>
    <row r="7" spans="1:4" ht="26" customHeight="1" x14ac:dyDescent="0.2">
      <c r="A7" s="7" t="s">
        <v>46</v>
      </c>
      <c r="B7" s="31" t="s">
        <v>702</v>
      </c>
      <c r="C7" s="32"/>
      <c r="D7" s="32"/>
    </row>
    <row r="8" spans="1:4" ht="26" customHeight="1" x14ac:dyDescent="0.2">
      <c r="A8" s="7" t="s">
        <v>48</v>
      </c>
      <c r="B8" s="31" t="s">
        <v>703</v>
      </c>
      <c r="C8" s="32"/>
      <c r="D8" s="32"/>
    </row>
    <row r="9" spans="1:4" ht="65" customHeight="1" x14ac:dyDescent="0.2">
      <c r="A9" s="7" t="s">
        <v>50</v>
      </c>
      <c r="B9" s="31" t="s">
        <v>704</v>
      </c>
      <c r="C9" s="32"/>
      <c r="D9" s="32"/>
    </row>
    <row r="10" spans="1:4" ht="26" customHeight="1" x14ac:dyDescent="0.2">
      <c r="A10" s="7" t="s">
        <v>52</v>
      </c>
      <c r="B10" s="31" t="s">
        <v>705</v>
      </c>
      <c r="C10" s="32"/>
      <c r="D10" s="32"/>
    </row>
    <row r="11" spans="1:4" ht="13" customHeight="1" x14ac:dyDescent="0.2">
      <c r="A11" s="7" t="s">
        <v>54</v>
      </c>
      <c r="B11" s="31" t="s">
        <v>706</v>
      </c>
      <c r="C11" s="32"/>
      <c r="D11" s="32"/>
    </row>
    <row r="12" spans="1:4" x14ac:dyDescent="0.2">
      <c r="A12" s="9" t="s">
        <v>707</v>
      </c>
      <c r="B12" s="9" t="s">
        <v>708</v>
      </c>
      <c r="C12" s="9" t="s">
        <v>59</v>
      </c>
      <c r="D12" s="9" t="s">
        <v>631</v>
      </c>
    </row>
    <row r="13" spans="1:4" x14ac:dyDescent="0.2">
      <c r="A13" t="s">
        <v>709</v>
      </c>
      <c r="B13" t="s">
        <v>710</v>
      </c>
      <c r="C13" t="s">
        <v>711</v>
      </c>
      <c r="D13" t="str">
        <f>IF(AND(Discount_Rate&gt;=0,Discount_Rate&lt;=0.15),"PASS","FAIL")</f>
        <v>PASS</v>
      </c>
    </row>
    <row r="14" spans="1:4" x14ac:dyDescent="0.2">
      <c r="A14" t="s">
        <v>712</v>
      </c>
      <c r="B14" t="s">
        <v>710</v>
      </c>
      <c r="C14" t="s">
        <v>713</v>
      </c>
      <c r="D14" t="str">
        <f>IF(AND(Season_Length&gt;=60,Season_Length&lt;=150),"PASS","FAIL")</f>
        <v>PASS</v>
      </c>
    </row>
    <row r="15" spans="1:4" x14ac:dyDescent="0.2">
      <c r="A15" t="s">
        <v>714</v>
      </c>
      <c r="B15" t="s">
        <v>710</v>
      </c>
      <c r="C15" t="s">
        <v>715</v>
      </c>
      <c r="D15" t="str">
        <f>IF(AND(Projection_Years&gt;=1,Projection_Years&lt;=10),"PASS","FAIL")</f>
        <v>PASS</v>
      </c>
    </row>
    <row r="16" spans="1:4" x14ac:dyDescent="0.2">
      <c r="A16" t="s">
        <v>716</v>
      </c>
      <c r="B16" t="s">
        <v>710</v>
      </c>
      <c r="C16" t="s">
        <v>717</v>
      </c>
      <c r="D16" t="str">
        <f>IF(Value_Per_M3&gt;0,"PASS","FAIL")</f>
        <v>PASS</v>
      </c>
    </row>
    <row r="17" spans="1:4" x14ac:dyDescent="0.2">
      <c r="A17" t="s">
        <v>718</v>
      </c>
      <c r="B17" t="s">
        <v>719</v>
      </c>
      <c r="C17" t="s">
        <v>720</v>
      </c>
      <c r="D17" t="str">
        <f>IF(COUNTIF(List_TestingOptions,Testing_Option)=1,"PASS","FAIL")</f>
        <v>PASS</v>
      </c>
    </row>
    <row r="18" spans="1:4" x14ac:dyDescent="0.2">
      <c r="A18" t="s">
        <v>721</v>
      </c>
      <c r="B18" t="s">
        <v>719</v>
      </c>
      <c r="C18" t="s">
        <v>722</v>
      </c>
      <c r="D18" t="str">
        <f>IF(COUNTIF(List_Scenarios,Scenario_Select)=1,"PASS","FAIL")</f>
        <v>PASS</v>
      </c>
    </row>
    <row r="19" spans="1:4" x14ac:dyDescent="0.2">
      <c r="A19" t="s">
        <v>723</v>
      </c>
      <c r="B19" t="s">
        <v>724</v>
      </c>
      <c r="C19" t="s">
        <v>725</v>
      </c>
      <c r="D19" t="str">
        <f ca="1">IF(AND(NPV_Total&gt;-1000000,NPV_Total&lt;10000000),"PASS","FAIL")</f>
        <v>PASS</v>
      </c>
    </row>
    <row r="20" spans="1:4" x14ac:dyDescent="0.2">
      <c r="A20" t="s">
        <v>726</v>
      </c>
      <c r="B20" t="s">
        <v>724</v>
      </c>
      <c r="C20" t="s">
        <v>727</v>
      </c>
      <c r="D20" t="str">
        <f>IF(Testing_Cost&gt;0,"PASS","FAIL")</f>
        <v>PASS</v>
      </c>
    </row>
    <row r="21" spans="1:4" x14ac:dyDescent="0.2">
      <c r="A21" t="s">
        <v>728</v>
      </c>
      <c r="B21" t="s">
        <v>724</v>
      </c>
      <c r="C21" t="s">
        <v>729</v>
      </c>
      <c r="D21" t="str">
        <f ca="1">IF(Gross_Value&gt;=0,"PASS","FAIL")</f>
        <v>PASS</v>
      </c>
    </row>
    <row r="22" spans="1:4" x14ac:dyDescent="0.2">
      <c r="A22" t="s">
        <v>730</v>
      </c>
      <c r="B22" t="s">
        <v>731</v>
      </c>
      <c r="C22" t="s">
        <v>732</v>
      </c>
      <c r="D22" t="str">
        <f>IF(ISERROR(Testing_Option),"FAIL","PASS")</f>
        <v>PASS</v>
      </c>
    </row>
    <row r="23" spans="1:4" x14ac:dyDescent="0.2">
      <c r="A23" t="s">
        <v>733</v>
      </c>
      <c r="B23" t="s">
        <v>710</v>
      </c>
      <c r="C23" t="s">
        <v>734</v>
      </c>
      <c r="D23" t="str">
        <f>IF(AND(Initial_NAFC&gt;=40,Initial_NAFC&lt;=100),"PASS","FAIL")</f>
        <v>PASS</v>
      </c>
    </row>
    <row r="24" spans="1:4" x14ac:dyDescent="0.2">
      <c r="A24" t="s">
        <v>735</v>
      </c>
      <c r="B24" t="s">
        <v>719</v>
      </c>
      <c r="C24" t="s">
        <v>736</v>
      </c>
      <c r="D24" t="str">
        <f>IF(Target_NAFC&lt;Initial_NAFC,"PASS","FAIL")</f>
        <v>PASS</v>
      </c>
    </row>
    <row r="25" spans="1:4" x14ac:dyDescent="0.2">
      <c r="A25" t="s">
        <v>737</v>
      </c>
      <c r="B25" t="s">
        <v>724</v>
      </c>
      <c r="C25" t="s">
        <v>738</v>
      </c>
      <c r="D25" t="str">
        <f ca="1">IF(Days_to_Compliance&lt;=Season_Length,"PASS","FAIL")</f>
        <v>PASS</v>
      </c>
    </row>
    <row r="26" spans="1:4" x14ac:dyDescent="0.2">
      <c r="A26" t="s">
        <v>739</v>
      </c>
      <c r="B26" t="s">
        <v>710</v>
      </c>
      <c r="C26" t="s">
        <v>740</v>
      </c>
      <c r="D26" t="str">
        <f ca="1">IF(AND(Eff_Rapid_Rate&gt;0,Eff_Slow_Rate&gt;0),"PASS","FAIL")</f>
        <v>PASS</v>
      </c>
    </row>
    <row r="29" spans="1:4" ht="19" x14ac:dyDescent="0.25">
      <c r="A29" s="4" t="s">
        <v>741</v>
      </c>
    </row>
    <row r="30" spans="1:4" x14ac:dyDescent="0.2">
      <c r="A30" t="s">
        <v>742</v>
      </c>
      <c r="B30">
        <f>COUNTA(tbl_Checks[Check_ID])</f>
        <v>14</v>
      </c>
    </row>
    <row r="31" spans="1:4" x14ac:dyDescent="0.2">
      <c r="A31" t="s">
        <v>743</v>
      </c>
      <c r="B31">
        <f ca="1">COUNTIF(tbl_Checks[Status],"PASS")</f>
        <v>14</v>
      </c>
    </row>
    <row r="32" spans="1:4" x14ac:dyDescent="0.2">
      <c r="A32" t="s">
        <v>744</v>
      </c>
      <c r="B32">
        <f ca="1">COUNTIF(tbl_Checks[Status],"FAIL")</f>
        <v>0</v>
      </c>
    </row>
    <row r="33" spans="1:2" x14ac:dyDescent="0.2">
      <c r="A33" t="s">
        <v>745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2026-01-30T19:18:23Z</dcterms:created>
  <dcterms:modified xsi:type="dcterms:W3CDTF">2026-01-30T19:20:43Z</dcterms:modified>
</cp:coreProperties>
</file>