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greg/Luminous Dropbox/Obsidian/utils/financial_modeling/"/>
    </mc:Choice>
  </mc:AlternateContent>
  <xr:revisionPtr revIDLastSave="0" documentId="13_ncr:1_{42F8E3F7-3C85-EB41-AD21-F73EFD9811A0}" xr6:coauthVersionLast="47" xr6:coauthVersionMax="47" xr10:uidLastSave="{00000000-0000-0000-0000-000000000000}"/>
  <bookViews>
    <workbookView xWindow="0" yWindow="680" windowWidth="30240" windowHeight="18960" firstSheet="11" activeTab="14" xr2:uid="{00000000-000D-0000-FFFF-FFFF00000000}"/>
  </bookViews>
  <sheets>
    <sheet name="0_Cover" sheetId="1" r:id="rId1"/>
    <sheet name="1_TOC" sheetId="2" r:id="rId2"/>
    <sheet name="3_Instructions" sheetId="3" r:id="rId3"/>
    <sheet name="2_InputMap" sheetId="4" r:id="rId4"/>
    <sheet name="4_Assumptions" sheetId="5" r:id="rId5"/>
    <sheet name="5_EnvironmentalDrivers" sheetId="6" r:id="rId6"/>
    <sheet name="6_Scenarios" sheetId="7" r:id="rId7"/>
    <sheet name="7_ServiceModels" sheetId="8" r:id="rId8"/>
    <sheet name="8_Calc_Timeline" sheetId="9" r:id="rId9"/>
    <sheet name="9_Calc_Kinetics" sheetId="10" r:id="rId10"/>
    <sheet name="10_Calc_Stochastic" sheetId="11" r:id="rId11"/>
    <sheet name="11_Calc_Compliance" sheetId="12" r:id="rId12"/>
    <sheet name="12_Calc_Value" sheetId="13" r:id="rId13"/>
    <sheet name="13_Calc_Costs" sheetId="14" r:id="rId14"/>
    <sheet name="14_Calc_Sim" sheetId="15" r:id="rId15"/>
    <sheet name="15_PL_Monthly" sheetId="16" r:id="rId16"/>
    <sheet name="16_PL_Annual" sheetId="17" r:id="rId17"/>
    <sheet name="17_CashFlow" sheetId="18" r:id="rId18"/>
    <sheet name="18_UnitEconomics" sheetId="19" r:id="rId19"/>
    <sheet name="19_Sensitivity" sheetId="20" r:id="rId20"/>
    <sheet name="20_Dashboard" sheetId="21" r:id="rId21"/>
    <sheet name="21_Checks" sheetId="22" r:id="rId22"/>
  </sheets>
  <definedNames>
    <definedName name="Annual_Throughput">'4_Assumptions'!$B$39</definedName>
    <definedName name="AnnualThroughput_M3">'4_Assumptions'!$B$39</definedName>
    <definedName name="Base_Year">'1_TOC'!$B$14</definedName>
    <definedName name="Beta_Efficiency_Gain_Alpha">'7_ServiceModels'!$B$23</definedName>
    <definedName name="Beta_Efficiency_Gain_Beta">'7_ServiceModels'!$C$23</definedName>
    <definedName name="Beta_Efficiency_Gain_Max">'7_ServiceModels'!$E$23</definedName>
    <definedName name="Beta_Efficiency_Gain_Min">'7_ServiceModels'!$D$23</definedName>
    <definedName name="Bioavail_Modifier">'9_Calc_Kinetics'!$C$12</definedName>
    <definedName name="Circulation_Cycles">'8_Calc_Timeline'!$C$28</definedName>
    <definedName name="Compliance_Adjusted_Value">'12_Calc_Value'!$E$21</definedName>
    <definedName name="Compliance_Status">'8_Calc_Timeline'!$C$30</definedName>
    <definedName name="Day_80_Survival">'4_Assumptions'!$B$125</definedName>
    <definedName name="Day_LC50">'4_Assumptions'!$B$124</definedName>
    <definedName name="Day_Nontoxic">'4_Assumptions'!$B$126</definedName>
    <definedName name="Days_to_Compliance">'8_Calc_Timeline'!$C$27</definedName>
    <definedName name="Discount_Rate">'1_TOC'!$B$12</definedName>
    <definedName name="DO_Modifier">'9_Calc_Kinetics'!$C$10</definedName>
    <definedName name="DowntimeCostPerDay">'4_Assumptions'!$B$52</definedName>
    <definedName name="Eff_Rapid_Rate">'8_Calc_Timeline'!$C$24</definedName>
    <definedName name="Eff_Slow_Rate">'8_Calc_Timeline'!$C$25</definedName>
    <definedName name="Effective_Rate">'9_Calc_Kinetics'!$C$16</definedName>
    <definedName name="Env_Bioavail_Index_Aug">'5_EnvironmentalDrivers'!$F$12</definedName>
    <definedName name="Env_Bioavail_Index_Jul">'5_EnvironmentalDrivers'!$E$12</definedName>
    <definedName name="Env_Bioavail_Index_Jun">'5_EnvironmentalDrivers'!$D$12</definedName>
    <definedName name="Env_Bioavail_Index_May">'5_EnvironmentalDrivers'!$C$12</definedName>
    <definedName name="Env_Bioavail_Index_Sep">'5_EnvironmentalDrivers'!$G$12</definedName>
    <definedName name="Env_DO_Typical_Aug">'5_EnvironmentalDrivers'!$F$10</definedName>
    <definedName name="Env_DO_Typical_Jul">'5_EnvironmentalDrivers'!$E$10</definedName>
    <definedName name="Env_DO_Typical_Jun">'5_EnvironmentalDrivers'!$D$10</definedName>
    <definedName name="Env_DO_Typical_May">'5_EnvironmentalDrivers'!$C$10</definedName>
    <definedName name="Env_DO_Typical_Sep">'5_EnvironmentalDrivers'!$G$10</definedName>
    <definedName name="Env_Nutrient_Index_Aug">'5_EnvironmentalDrivers'!$F$11</definedName>
    <definedName name="Env_Nutrient_Index_Jul">'5_EnvironmentalDrivers'!$E$11</definedName>
    <definedName name="Env_Nutrient_Index_Jun">'5_EnvironmentalDrivers'!$D$11</definedName>
    <definedName name="Env_Nutrient_Index_May">'5_EnvironmentalDrivers'!$C$11</definedName>
    <definedName name="Env_Nutrient_Index_Sep">'5_EnvironmentalDrivers'!$G$11</definedName>
    <definedName name="Env_Temp_Water_Aug">'5_EnvironmentalDrivers'!$F$8</definedName>
    <definedName name="Env_Temp_Water_Jul">'5_EnvironmentalDrivers'!$E$8</definedName>
    <definedName name="Env_Temp_Water_Jun">'5_EnvironmentalDrivers'!$D$8</definedName>
    <definedName name="Env_Temp_Water_May">'5_EnvironmentalDrivers'!$C$8</definedName>
    <definedName name="Env_Temp_Water_Sep">'5_EnvironmentalDrivers'!$G$8</definedName>
    <definedName name="Env_UV_Relative_Aug">'5_EnvironmentalDrivers'!$F$9</definedName>
    <definedName name="Env_UV_Relative_Jul">'5_EnvironmentalDrivers'!$E$9</definedName>
    <definedName name="Env_UV_Relative_Jun">'5_EnvironmentalDrivers'!$D$9</definedName>
    <definedName name="Env_UV_Relative_May">'5_EnvironmentalDrivers'!$C$9</definedName>
    <definedName name="Env_UV_Relative_Sep">'5_EnvironmentalDrivers'!$G$9</definedName>
    <definedName name="Gate_Chloride">'11_Calc_Compliance'!$D$9</definedName>
    <definedName name="Gate_DO">'11_Calc_Compliance'!$D$11</definedName>
    <definedName name="Gate_Foam">'11_Calc_Compliance'!$D$20</definedName>
    <definedName name="Gate_NAFC">'11_Calc_Compliance'!$D$16</definedName>
    <definedName name="Gate_Odor">'11_Calc_Compliance'!$D$19</definedName>
    <definedName name="Gate_Oil_Sheen">'11_Calc_Compliance'!$D$18</definedName>
    <definedName name="Gate_pH_High">'11_Calc_Compliance'!$D$13</definedName>
    <definedName name="Gate_pH_Low">'11_Calc_Compliance'!$D$12</definedName>
    <definedName name="Gate_S1">'4_Assumptions'!$B$87:$B$89</definedName>
    <definedName name="Gate_S2">'4_Assumptions'!$C$87:$C$89</definedName>
    <definedName name="Gate_S3">'4_Assumptions'!$D$87:$D$89</definedName>
    <definedName name="Gate_S4">'4_Assumptions'!$E$87:$E$89</definedName>
    <definedName name="Gate_SAR">'11_Calc_Compliance'!$D$10</definedName>
    <definedName name="Gate_Sulfate">'11_Calc_Compliance'!$D$14</definedName>
    <definedName name="Gate_Temperature">'11_Calc_Compliance'!$D$15</definedName>
    <definedName name="Gate_Toxicity">'11_Calc_Compliance'!$D$8</definedName>
    <definedName name="Gate_Turbidity">'11_Calc_Compliance'!$D$17</definedName>
    <definedName name="Gross_Value">'12_Calc_Value'!$E$18</definedName>
    <definedName name="Initial_NAFC">'4_Assumptions'!$B$108</definedName>
    <definedName name="Ionic_Chloride_Max">'5_EnvironmentalDrivers'!$E$17</definedName>
    <definedName name="Ionic_Chloride_Min">'5_EnvironmentalDrivers'!$C$17</definedName>
    <definedName name="Ionic_Chloride_Mode">'5_EnvironmentalDrivers'!$D$17</definedName>
    <definedName name="Ionic_Chloride_Threshold">'5_EnvironmentalDrivers'!$F$17</definedName>
    <definedName name="Ionic_DO_Compliance_Max">'5_EnvironmentalDrivers'!$E$20</definedName>
    <definedName name="Ionic_DO_Compliance_Min">'5_EnvironmentalDrivers'!$C$20</definedName>
    <definedName name="Ionic_DO_Compliance_Mode">'5_EnvironmentalDrivers'!$D$20</definedName>
    <definedName name="Ionic_DO_Compliance_Threshold">'5_EnvironmentalDrivers'!$F$20</definedName>
    <definedName name="Ionic_SAR_Max">'5_EnvironmentalDrivers'!$E$18</definedName>
    <definedName name="Ionic_SAR_Min">'5_EnvironmentalDrivers'!$C$18</definedName>
    <definedName name="Ionic_SAR_Mode">'5_EnvironmentalDrivers'!$D$18</definedName>
    <definedName name="Ionic_SAR_Threshold">'5_EnvironmentalDrivers'!$F$18</definedName>
    <definedName name="Ionic_Sulfate_Max">'5_EnvironmentalDrivers'!$E$19</definedName>
    <definedName name="Ionic_Sulfate_Min">'5_EnvironmentalDrivers'!$C$19</definedName>
    <definedName name="Ionic_Sulfate_Mode">'5_EnvironmentalDrivers'!$D$19</definedName>
    <definedName name="Ionic_Sulfate_Threshold">'5_EnvironmentalDrivers'!$F$19</definedName>
    <definedName name="LaborPerDay">'4_Assumptions'!$B$50</definedName>
    <definedName name="LearningCurve_Mult">'4_Assumptions'!$B$62:$B$66</definedName>
    <definedName name="List_Scenarios">'4_Assumptions'!$B$94:$B$96</definedName>
    <definedName name="List_TestingOptions">'4_Assumptions'!$A$94:$A$96</definedName>
    <definedName name="Master_Gate_Status">'11_Calc_Compliance'!$C$24</definedName>
    <definedName name="MC_Anchor">'4_Assumptions'!$B$99</definedName>
    <definedName name="MC_Expected_Days">'14_Calc_Sim'!$B$1024</definedName>
    <definedName name="MC_Expected_NPV">'14_Calc_Sim'!$B$1016</definedName>
    <definedName name="MC_P10">'14_Calc_Sim'!$B$1017</definedName>
    <definedName name="MC_P10_Days">'14_Calc_Sim'!$B$1025</definedName>
    <definedName name="MC_P50">'14_Calc_Sim'!$B$1018</definedName>
    <definedName name="MC_P50_Days">'14_Calc_Sim'!$B$1026</definedName>
    <definedName name="MC_P90">'14_Calc_Sim'!$B$1019</definedName>
    <definedName name="MC_P90_Days">'14_Calc_Sim'!$B$1027</definedName>
    <definedName name="MC_Prob_Achievable">'14_Calc_Sim'!$B$1028</definedName>
    <definedName name="MC_Prob_Positive">'14_Calc_Sim'!$B$1021</definedName>
    <definedName name="MC_StdDev">'14_Calc_Sim'!$B$1020</definedName>
    <definedName name="NAFC_After_Rapid">'8_Calc_Timeline'!$C$26</definedName>
    <definedName name="NPV_Total">'16_PL_Annual'!$B$21</definedName>
    <definedName name="Nutrient_Modifier">'9_Calc_Kinetics'!$C$11</definedName>
    <definedName name="Projection_Years">'1_TOC'!$B$13</definedName>
    <definedName name="Q10_Factor">'9_Calc_Kinetics'!$C$8</definedName>
    <definedName name="Rapid_Phase_Duration">'4_Assumptions'!$B$112</definedName>
    <definedName name="Rapid_Phase_Rate">'4_Assumptions'!$B$110</definedName>
    <definedName name="Recirculation_Cycle">'4_Assumptions'!$B$113</definedName>
    <definedName name="RegulatoryPenalty">'4_Assumptions'!$B$51</definedName>
    <definedName name="S1_Value">'12_Calc_Value'!$E$13</definedName>
    <definedName name="S2_Value">'12_Calc_Value'!$E$14</definedName>
    <definedName name="S3_Value">'12_Calc_Value'!$E$15</definedName>
    <definedName name="S4_Value">'12_Calc_Value'!$E$16</definedName>
    <definedName name="Scenario_BaseValues">'6_Scenarios'!$C$10:$C$13</definedName>
    <definedName name="Scenario_Select">'1_TOC'!$B$11</definedName>
    <definedName name="Season_End_Day">'4_Assumptions'!$B$13</definedName>
    <definedName name="Season_End_Month">'4_Assumptions'!$B$12</definedName>
    <definedName name="Season_Length">'4_Assumptions'!$B$14</definedName>
    <definedName name="Season_Start_Day">'4_Assumptions'!$B$11</definedName>
    <definedName name="Season_Start_Month">'4_Assumptions'!$B$10</definedName>
    <definedName name="Slow_Phase_Rate">'4_Assumptions'!$B$111</definedName>
    <definedName name="Stoch_Efficiency">'10_Calc_Stochastic'!$C$17</definedName>
    <definedName name="Stoch_ExtValue">'10_Calc_Stochastic'!$C$15</definedName>
    <definedName name="Stoch_Interventions">'10_Calc_Stochastic'!$C$16</definedName>
    <definedName name="Stoch_SeasonExt">'10_Calc_Stochastic'!$C$14</definedName>
    <definedName name="Stoch_TreatmentRate">'10_Calc_Stochastic'!$C$18</definedName>
    <definedName name="System_Capacity">'4_Assumptions'!$B$114</definedName>
    <definedName name="Target_NAFC">'4_Assumptions'!$B$109</definedName>
    <definedName name="Testing_Cost">'13_Calc_Costs'!$C$19</definedName>
    <definedName name="Testing_Option">'1_TOC'!$B$10</definedName>
    <definedName name="TestOpt_Cost">'4_Assumptions'!$E$76:$E$78</definedName>
    <definedName name="TestOpt_Interval">'4_Assumptions'!$C$76:$C$78</definedName>
    <definedName name="TestOpt_Latency">'4_Assumptions'!$F$76:$F$78</definedName>
    <definedName name="TestOpt_Method">'4_Assumptions'!$B$76:$B$78</definedName>
    <definedName name="TestOpt_Option">'4_Assumptions'!$A$76:$A$78</definedName>
    <definedName name="TestOpt_Points">'4_Assumptions'!$D$76:$D$78</definedName>
    <definedName name="Timeline_DiscountFactor">'8_Calc_Timeline'!$D$13:$D$18</definedName>
    <definedName name="Timeline_LearningMult">'8_Calc_Timeline'!$E$13:$E$18</definedName>
    <definedName name="Treatment_Cells">'4_Assumptions'!$B$38</definedName>
    <definedName name="Treatment_Days">'4_Assumptions'!$B$14</definedName>
    <definedName name="Treatment_Efficiency">'8_Calc_Timeline'!$C$29</definedName>
    <definedName name="TreatmentCells">'4_Assumptions'!$B$38</definedName>
    <definedName name="Tri_Extension_Value_Per_Day_Max">'7_ServiceModels'!$D$11</definedName>
    <definedName name="Tri_Extension_Value_Per_Day_Min">'7_ServiceModels'!$B$11</definedName>
    <definedName name="Tri_Extension_Value_Per_Day_Mode">'7_ServiceModels'!$C$11</definedName>
    <definedName name="Tri_Interventions_Avoided_Max">'7_ServiceModels'!$D$12</definedName>
    <definedName name="Tri_Interventions_Avoided_Min">'7_ServiceModels'!$B$12</definedName>
    <definedName name="Tri_Interventions_Avoided_Mode">'7_ServiceModels'!$C$12</definedName>
    <definedName name="Tri_Season_Extension_Days_Max">'7_ServiceModels'!$D$10</definedName>
    <definedName name="Tri_Season_Extension_Days_Min">'7_ServiceModels'!$B$10</definedName>
    <definedName name="Tri_Season_Extension_Days_Mode">'7_ServiceModels'!$C$10</definedName>
    <definedName name="Tri_Treatment_Rate_Factor_Max">'7_ServiceModels'!$D$13</definedName>
    <definedName name="Tri_Treatment_Rate_Factor_Min">'7_ServiceModels'!$B$13</definedName>
    <definedName name="Tri_Treatment_Rate_Factor_Mode">'7_ServiceModels'!$C$13</definedName>
    <definedName name="UV_Modifier">'9_Calc_Kinetics'!$C$9</definedName>
    <definedName name="Value_Per_M3">'4_Assumptions'!$B$40</definedName>
    <definedName name="ValuePer_M3">'4_Assumptions'!$B$40</definedName>
    <definedName name="Wetland_Area">'4_Assumptions'!$B$37</definedName>
    <definedName name="WetlandArea_Ha">'4_Assumptions'!$B$37</definedName>
    <definedName name="Year1_Gross_Value">'16_PL_Annual'!$F$13</definedName>
    <definedName name="Year1_Net_Value">'16_PL_Annual'!$H$13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2" i="22" l="1"/>
  <c r="D24" i="22"/>
  <c r="D23" i="22"/>
  <c r="D22" i="22"/>
  <c r="D18" i="22"/>
  <c r="D17" i="22"/>
  <c r="D16" i="22"/>
  <c r="D15" i="22"/>
  <c r="D14" i="22"/>
  <c r="D13" i="22"/>
  <c r="B44" i="21"/>
  <c r="C43" i="21"/>
  <c r="B43" i="21"/>
  <c r="C34" i="21"/>
  <c r="C33" i="21"/>
  <c r="C32" i="21"/>
  <c r="C31" i="21"/>
  <c r="B13" i="21"/>
  <c r="B25" i="19"/>
  <c r="B13" i="19"/>
  <c r="A17" i="18"/>
  <c r="A16" i="18"/>
  <c r="A15" i="18"/>
  <c r="A14" i="18"/>
  <c r="A13" i="18"/>
  <c r="A17" i="17"/>
  <c r="A16" i="17"/>
  <c r="A15" i="17"/>
  <c r="A14" i="17"/>
  <c r="A13" i="17"/>
  <c r="B1028" i="15"/>
  <c r="B1027" i="15"/>
  <c r="B1026" i="15"/>
  <c r="B1025" i="15"/>
  <c r="B1024" i="15"/>
  <c r="B1021" i="15"/>
  <c r="B18" i="21" s="1"/>
  <c r="B1020" i="15"/>
  <c r="B1019" i="15"/>
  <c r="B17" i="21" s="1"/>
  <c r="B1018" i="15"/>
  <c r="B16" i="21" s="1"/>
  <c r="B1017" i="15"/>
  <c r="B15" i="21" s="1"/>
  <c r="B1016" i="15"/>
  <c r="C16" i="14"/>
  <c r="C15" i="14"/>
  <c r="C14" i="14"/>
  <c r="C17" i="14" s="1"/>
  <c r="C18" i="14" s="1"/>
  <c r="C19" i="14" s="1"/>
  <c r="C13" i="14"/>
  <c r="C16" i="13"/>
  <c r="B16" i="13"/>
  <c r="B15" i="13"/>
  <c r="B14" i="13"/>
  <c r="B13" i="13"/>
  <c r="B24" i="12"/>
  <c r="D20" i="12"/>
  <c r="E20" i="12" s="1"/>
  <c r="D19" i="12"/>
  <c r="E19" i="12" s="1"/>
  <c r="E18" i="12"/>
  <c r="D18" i="12"/>
  <c r="D17" i="12"/>
  <c r="E17" i="12" s="1"/>
  <c r="D15" i="12"/>
  <c r="E15" i="12" s="1"/>
  <c r="D14" i="12"/>
  <c r="E14" i="12" s="1"/>
  <c r="D13" i="12"/>
  <c r="E13" i="12" s="1"/>
  <c r="D12" i="12"/>
  <c r="E12" i="12" s="1"/>
  <c r="D11" i="12"/>
  <c r="E11" i="12" s="1"/>
  <c r="D10" i="12"/>
  <c r="E10" i="12" s="1"/>
  <c r="D9" i="12"/>
  <c r="E9" i="12" s="1"/>
  <c r="B18" i="11"/>
  <c r="C18" i="11" s="1"/>
  <c r="B17" i="11"/>
  <c r="C17" i="11" s="1"/>
  <c r="B16" i="11"/>
  <c r="C16" i="11" s="1"/>
  <c r="D14" i="13" s="1"/>
  <c r="B15" i="11"/>
  <c r="C15" i="11" s="1"/>
  <c r="B14" i="11"/>
  <c r="C14" i="11" s="1"/>
  <c r="D13" i="13" s="1"/>
  <c r="B16" i="10"/>
  <c r="C12" i="10"/>
  <c r="B12" i="10"/>
  <c r="C11" i="10"/>
  <c r="B11" i="10"/>
  <c r="C10" i="10"/>
  <c r="B10" i="10"/>
  <c r="C9" i="10"/>
  <c r="B9" i="10"/>
  <c r="C8" i="10"/>
  <c r="B8" i="10"/>
  <c r="C29" i="9"/>
  <c r="E18" i="9"/>
  <c r="D18" i="9"/>
  <c r="I17" i="17" s="1"/>
  <c r="C18" i="9"/>
  <c r="B18" i="9"/>
  <c r="E17" i="9"/>
  <c r="D17" i="9"/>
  <c r="I16" i="17" s="1"/>
  <c r="C17" i="9"/>
  <c r="B17" i="9"/>
  <c r="E16" i="9"/>
  <c r="D16" i="9"/>
  <c r="I15" i="17" s="1"/>
  <c r="C16" i="9"/>
  <c r="B16" i="9"/>
  <c r="E15" i="9"/>
  <c r="D15" i="9"/>
  <c r="I14" i="17" s="1"/>
  <c r="C15" i="9"/>
  <c r="B15" i="9"/>
  <c r="E14" i="9"/>
  <c r="D14" i="9"/>
  <c r="I13" i="17" s="1"/>
  <c r="C14" i="9"/>
  <c r="B14" i="9"/>
  <c r="C13" i="9"/>
  <c r="B13" i="9"/>
  <c r="E89" i="5"/>
  <c r="D89" i="5"/>
  <c r="C15" i="13" s="1"/>
  <c r="C89" i="5"/>
  <c r="C14" i="13" s="1"/>
  <c r="B89" i="5"/>
  <c r="C13" i="13" s="1"/>
  <c r="E88" i="5"/>
  <c r="D88" i="5"/>
  <c r="C88" i="5"/>
  <c r="B88" i="5"/>
  <c r="E87" i="5"/>
  <c r="D87" i="5"/>
  <c r="C87" i="5"/>
  <c r="B87" i="5"/>
  <c r="B28" i="4"/>
  <c r="B27" i="4"/>
  <c r="B26" i="4"/>
  <c r="B25" i="4"/>
  <c r="B24" i="4"/>
  <c r="B23" i="4"/>
  <c r="B22" i="4"/>
  <c r="B21" i="4"/>
  <c r="B20" i="4"/>
  <c r="B19" i="4"/>
  <c r="B18" i="4"/>
  <c r="B17" i="4"/>
  <c r="B16" i="4"/>
  <c r="B15" i="4"/>
  <c r="B14" i="4"/>
  <c r="B13" i="4"/>
  <c r="B11" i="4"/>
  <c r="B10" i="4"/>
  <c r="B9" i="4"/>
  <c r="B8" i="4"/>
  <c r="B7" i="4"/>
  <c r="B6" i="4"/>
  <c r="B5" i="4"/>
  <c r="B5" i="1"/>
  <c r="E14" i="13" l="1"/>
  <c r="B50" i="21"/>
  <c r="C50" i="21"/>
  <c r="E13" i="13"/>
  <c r="C49" i="21"/>
  <c r="B49" i="21"/>
  <c r="C48" i="21"/>
  <c r="B48" i="21"/>
  <c r="G10" i="15"/>
  <c r="G13" i="17"/>
  <c r="G14" i="17"/>
  <c r="G15" i="17"/>
  <c r="G16" i="17"/>
  <c r="G17" i="17"/>
  <c r="B16" i="19"/>
  <c r="B20" i="19"/>
  <c r="B26" i="19"/>
  <c r="B20" i="21"/>
  <c r="D20" i="22"/>
  <c r="C25" i="9"/>
  <c r="B30" i="4" s="1"/>
  <c r="C24" i="9"/>
  <c r="D8" i="12"/>
  <c r="D15" i="13"/>
  <c r="E15" i="13" s="1"/>
  <c r="D16" i="13"/>
  <c r="E16" i="13" s="1"/>
  <c r="B47" i="21"/>
  <c r="C47" i="21"/>
  <c r="E10" i="15"/>
  <c r="D10" i="15"/>
  <c r="C13" i="17"/>
  <c r="C14" i="17"/>
  <c r="C15" i="17"/>
  <c r="C16" i="17"/>
  <c r="C17" i="17"/>
  <c r="B32" i="21"/>
  <c r="C16" i="10"/>
  <c r="B15" i="17" l="1"/>
  <c r="B13" i="17"/>
  <c r="D13" i="17"/>
  <c r="D14" i="17"/>
  <c r="D15" i="17"/>
  <c r="D16" i="17"/>
  <c r="D17" i="17"/>
  <c r="C10" i="15"/>
  <c r="B14" i="17"/>
  <c r="B16" i="17"/>
  <c r="B17" i="17"/>
  <c r="B31" i="21"/>
  <c r="B29" i="4"/>
  <c r="D26" i="22"/>
  <c r="C26" i="9"/>
  <c r="E8" i="12"/>
  <c r="B34" i="21"/>
  <c r="E17" i="17"/>
  <c r="E16" i="17"/>
  <c r="E15" i="17"/>
  <c r="F15" i="17" s="1"/>
  <c r="H15" i="17" s="1"/>
  <c r="E14" i="17"/>
  <c r="E13" i="17"/>
  <c r="F10" i="15"/>
  <c r="C17" i="10"/>
  <c r="B17" i="10"/>
  <c r="B33" i="21"/>
  <c r="E18" i="13"/>
  <c r="F13" i="17" l="1"/>
  <c r="F16" i="17"/>
  <c r="H16" i="17" s="1"/>
  <c r="J16" i="17" s="1"/>
  <c r="F17" i="17"/>
  <c r="H17" i="17" s="1"/>
  <c r="F14" i="17"/>
  <c r="B31" i="4"/>
  <c r="C27" i="9"/>
  <c r="B21" i="21"/>
  <c r="H13" i="17"/>
  <c r="B15" i="18"/>
  <c r="J15" i="17"/>
  <c r="B16" i="18"/>
  <c r="D21" i="22"/>
  <c r="B18" i="19"/>
  <c r="B14" i="19"/>
  <c r="B17" i="18" l="1"/>
  <c r="J17" i="17"/>
  <c r="H14" i="17"/>
  <c r="B22" i="17"/>
  <c r="C30" i="9"/>
  <c r="C45" i="21" s="1"/>
  <c r="D16" i="12"/>
  <c r="B32" i="4"/>
  <c r="I10" i="15"/>
  <c r="B45" i="21"/>
  <c r="D25" i="22"/>
  <c r="C28" i="9"/>
  <c r="J13" i="17"/>
  <c r="B13" i="18"/>
  <c r="C13" i="18" s="1"/>
  <c r="B22" i="21"/>
  <c r="J14" i="17" l="1"/>
  <c r="B21" i="17" s="1"/>
  <c r="B23" i="17"/>
  <c r="B14" i="18"/>
  <c r="C14" i="18" s="1"/>
  <c r="C15" i="18" s="1"/>
  <c r="C16" i="18" s="1"/>
  <c r="C17" i="18" s="1"/>
  <c r="C24" i="12"/>
  <c r="C26" i="12"/>
  <c r="C25" i="12"/>
  <c r="E16" i="12"/>
  <c r="B46" i="21"/>
  <c r="C46" i="21"/>
  <c r="D13" i="18"/>
  <c r="D14" i="18" l="1"/>
  <c r="D15" i="18" s="1"/>
  <c r="D16" i="18" s="1"/>
  <c r="D17" i="18" s="1"/>
  <c r="E21" i="13"/>
  <c r="B20" i="13"/>
  <c r="C20" i="13" s="1"/>
  <c r="D27" i="22"/>
  <c r="B19" i="21"/>
  <c r="D24" i="12"/>
  <c r="B21" i="19"/>
  <c r="E13" i="20"/>
  <c r="F13" i="20"/>
  <c r="E14" i="20"/>
  <c r="F14" i="20"/>
  <c r="G14" i="20" s="1"/>
  <c r="E15" i="20"/>
  <c r="F15" i="20"/>
  <c r="G15" i="20" s="1"/>
  <c r="E16" i="20"/>
  <c r="F16" i="20"/>
  <c r="G16" i="20" s="1"/>
  <c r="B14" i="21"/>
  <c r="D19" i="22"/>
  <c r="B10" i="15"/>
  <c r="B27" i="19" l="1"/>
  <c r="B19" i="19"/>
  <c r="B17" i="19"/>
  <c r="B15" i="19"/>
  <c r="H10" i="15"/>
  <c r="D28" i="22"/>
  <c r="B33" i="22"/>
  <c r="B35" i="22"/>
  <c r="B34" i="22"/>
  <c r="B9" i="1"/>
  <c r="B10" i="1"/>
  <c r="B67" i="21"/>
  <c r="B68" i="21"/>
  <c r="G13" i="20"/>
</calcChain>
</file>

<file path=xl/sharedStrings.xml><?xml version="1.0" encoding="utf-8"?>
<sst xmlns="http://schemas.openxmlformats.org/spreadsheetml/2006/main" count="1279" uniqueCount="841">
  <si>
    <t>Luminous Wetland Monte Carlo Financial Model</t>
  </si>
  <si>
    <t>FAST Standard Compliant (18-Sheet Architecture)</t>
  </si>
  <si>
    <t>Version:</t>
  </si>
  <si>
    <t>3.0</t>
  </si>
  <si>
    <t>Date:</t>
  </si>
  <si>
    <t>Author:</t>
  </si>
  <si>
    <t>Luminous BioSolutions</t>
  </si>
  <si>
    <t>Model Status</t>
  </si>
  <si>
    <t>Health:</t>
  </si>
  <si>
    <t>Errors:</t>
  </si>
  <si>
    <t>Sheet Navigation</t>
  </si>
  <si>
    <t>1_TOC</t>
  </si>
  <si>
    <t>Table of Contents / Control panel</t>
  </si>
  <si>
    <t>3_Instructions</t>
  </si>
  <si>
    <t>Methodology and documentation</t>
  </si>
  <si>
    <t>4_Assumptions</t>
  </si>
  <si>
    <t>ALL inputs (timing, site, test options, validation)</t>
  </si>
  <si>
    <t>6_Scenarios</t>
  </si>
  <si>
    <t>Value scenario definitions</t>
  </si>
  <si>
    <t>7_ServiceModels</t>
  </si>
  <si>
    <t>Monte Carlo distributions</t>
  </si>
  <si>
    <t>8_Calc_Timeline</t>
  </si>
  <si>
    <t>Projection timeline</t>
  </si>
  <si>
    <t>10_Calc_Stochastic</t>
  </si>
  <si>
    <t>Random variable generation</t>
  </si>
  <si>
    <t>12_Calc_Value</t>
  </si>
  <si>
    <t>Gated value calculations</t>
  </si>
  <si>
    <t>13_Calc_Costs</t>
  </si>
  <si>
    <t>Cost calculations</t>
  </si>
  <si>
    <t>14_Calc_Sim</t>
  </si>
  <si>
    <t>1000-iteration Monte Carlo</t>
  </si>
  <si>
    <t>15_PL_Monthly</t>
  </si>
  <si>
    <t>Monthly P&amp;L (placeholder)</t>
  </si>
  <si>
    <t>16_PL_Annual</t>
  </si>
  <si>
    <t>Annual projections</t>
  </si>
  <si>
    <t>17_CashFlow</t>
  </si>
  <si>
    <t>Cumulative projections</t>
  </si>
  <si>
    <t>18_UnitEconomics</t>
  </si>
  <si>
    <t>Unit economics view</t>
  </si>
  <si>
    <t>19_Sensitivity</t>
  </si>
  <si>
    <t>Tornado analysis</t>
  </si>
  <si>
    <t>20_Dashboard</t>
  </si>
  <si>
    <t>Executive dashboard</t>
  </si>
  <si>
    <t>21_Checks</t>
  </si>
  <si>
    <t>Validation checks</t>
  </si>
  <si>
    <t>Control Panel</t>
  </si>
  <si>
    <t>Description:</t>
  </si>
  <si>
    <t>User-editable model parameters that drive all calculations. Change these values to explore different scenarios.</t>
  </si>
  <si>
    <t>Purpose:</t>
  </si>
  <si>
    <t>Provide a single location for users to modify key model inputs</t>
  </si>
  <si>
    <t>Assumptions:</t>
  </si>
  <si>
    <t>- Testing_Option selects between HRMS and biosensor approaches
- Scenario_Select chooses conservative, base, or optimistic parameters
- Discount_Rate applies to all NPV calculations
- Projection_Years determines the financial projection horizon</t>
  </si>
  <si>
    <t>Data Source:</t>
  </si>
  <si>
    <t>User input - default values from Financial Model Framework v2.1</t>
  </si>
  <si>
    <t>Related Tables:</t>
  </si>
  <si>
    <t>tbl_ModelScenarios, tbl_TestOptions</t>
  </si>
  <si>
    <t>Parameter</t>
  </si>
  <si>
    <t>Value</t>
  </si>
  <si>
    <t>Validation</t>
  </si>
  <si>
    <t>Description</t>
  </si>
  <si>
    <t>Testing_Option</t>
  </si>
  <si>
    <t>Daily_Biosensor</t>
  </si>
  <si>
    <t>Dropdown</t>
  </si>
  <si>
    <t>Selected testing method</t>
  </si>
  <si>
    <t>Scenario_Select</t>
  </si>
  <si>
    <t>Base</t>
  </si>
  <si>
    <t>Model scenario</t>
  </si>
  <si>
    <t>Discount_Rate</t>
  </si>
  <si>
    <t>0%-15%</t>
  </si>
  <si>
    <t>NPV discount rate</t>
  </si>
  <si>
    <t>Projection_Years</t>
  </si>
  <si>
    <t>1-10</t>
  </si>
  <si>
    <t>Projection horizon</t>
  </si>
  <si>
    <t>Base_Year</t>
  </si>
  <si>
    <t>2024-2030</t>
  </si>
  <si>
    <t>Model start year</t>
  </si>
  <si>
    <t>Model Instructions &amp; Documentation</t>
  </si>
  <si>
    <t>1. Model Purpose</t>
  </si>
  <si>
    <t xml:space="preserve">  - Quantify value of high-frequency biosensor monitoring vs HRMS for OSPW wetland treatment</t>
  </si>
  <si>
    <t xml:space="preserve">  - Monte Carlo simulation for uncertainty quantification (1000 iterations)</t>
  </si>
  <si>
    <t xml:space="preserve">  - FAST Standard compliance for transparency and auditability</t>
  </si>
  <si>
    <t xml:space="preserve">  - All calculations performed in Excel - Python only generates structure/formulas</t>
  </si>
  <si>
    <t>2. How to Use This Model</t>
  </si>
  <si>
    <t>1. Edit yellow-highlighted cells in 1_TOC and 4_Assumptions</t>
  </si>
  <si>
    <t>2. Go to 14_Calc_Sim and set up the Data Table:</t>
  </si>
  <si>
    <t xml:space="preserve">   - Select range shown in instructions (formula row through 1000 iterations)</t>
  </si>
  <si>
    <t xml:space="preserve">   - Data &gt; What-If Analysis &gt; Data Table</t>
  </si>
  <si>
    <t xml:space="preserve">   - Column Input Cell: $K$1 (blank cell on same sheet)</t>
  </si>
  <si>
    <t>3. Press Ctrl+Alt+F9 to run Monte Carlo simulation</t>
  </si>
  <si>
    <t>4. View results in 20_Dashboard</t>
  </si>
  <si>
    <t>5. Check 21_Checks for any validation errors</t>
  </si>
  <si>
    <t>3. Latency Gating Logic</t>
  </si>
  <si>
    <t>HRMS lab testing has 42-day turnaround, blocking time-sensitive decisions:</t>
  </si>
  <si>
    <t>Scenario</t>
  </si>
  <si>
    <t>Required_Response</t>
  </si>
  <si>
    <t>HRMS_42d</t>
  </si>
  <si>
    <t>Biosensor_1d</t>
  </si>
  <si>
    <t>S1: Season Extension</t>
  </si>
  <si>
    <t>7 days</t>
  </si>
  <si>
    <t>BLOCKED</t>
  </si>
  <si>
    <t>ENABLED</t>
  </si>
  <si>
    <t>S2: Intervention Avoidance</t>
  </si>
  <si>
    <t>S3: Spatial Routing</t>
  </si>
  <si>
    <t>14 days</t>
  </si>
  <si>
    <t>S4: Early Detection</t>
  </si>
  <si>
    <t>3 days</t>
  </si>
  <si>
    <t>4. Glossary</t>
  </si>
  <si>
    <t>HRMS</t>
  </si>
  <si>
    <t>High-Resolution Mass Spectrometry</t>
  </si>
  <si>
    <t>OSPW</t>
  </si>
  <si>
    <t>Oil Sands Process-affected Water</t>
  </si>
  <si>
    <t>ARO</t>
  </si>
  <si>
    <t>Asset Retirement Obligation</t>
  </si>
  <si>
    <t>NPV</t>
  </si>
  <si>
    <t>Net Present Value</t>
  </si>
  <si>
    <t>HLR</t>
  </si>
  <si>
    <t>Hydraulic Loading Rate</t>
  </si>
  <si>
    <t>FAST</t>
  </si>
  <si>
    <t>Flexible, Appropriate, Structured, Transparent</t>
  </si>
  <si>
    <t>NAFC</t>
  </si>
  <si>
    <t>Naphthenic Acid Fraction Compounds</t>
  </si>
  <si>
    <t>5. Data Sources</t>
  </si>
  <si>
    <t xml:space="preserve">  - Zhang (2026) Long-Dated Environmental Liabilities in Oil Sands</t>
  </si>
  <si>
    <t xml:space="preserve">  - Kadlec &amp; Wallace (2009) Treatment Wetlands, 2nd Ed.</t>
  </si>
  <si>
    <t xml:space="preserve">  - FAST Standard Organisation (fast-standard.org)</t>
  </si>
  <si>
    <t xml:space="preserve">  - Luminous BioSolutions Financial Model Framework</t>
  </si>
  <si>
    <t xml:space="preserve">  - Kearl Wetland Pilot Data (GROW Presentation, Dec 2025)</t>
  </si>
  <si>
    <t>6. Value Per Cubic Meter Derivation</t>
  </si>
  <si>
    <t>The $5/m3 operational value is derived from:</t>
  </si>
  <si>
    <t xml:space="preserve">  - Conservative annual value: $250,000/year (Financial Model Framework)</t>
  </si>
  <si>
    <t xml:space="preserve">  - Annual throughput: 50,000 m3/year (4_Assumptions default)</t>
  </si>
  <si>
    <t xml:space="preserve">  - Calculation: $250,000 / 50,000 m3 = $5/m3</t>
  </si>
  <si>
    <t xml:space="preserve">  - This is the OPERATIONAL benefit only - excludes avoided treatment and ARO impacts</t>
  </si>
  <si>
    <t>Value Sensitivity Analysis (19_Sensitivity):</t>
  </si>
  <si>
    <t xml:space="preserve">  - Operational: $3-8/m3 (base $5) - Direct wetland treatment value</t>
  </si>
  <si>
    <t xml:space="preserve">  - Avoided Treatment: $10-30/m3 (base $20) - Alternative treatment costs</t>
  </si>
  <si>
    <t xml:space="preserve">  - ARO Liability: $21-93/m3 (base $50) - Zhang (2026) liability analysis</t>
  </si>
  <si>
    <t>7. Treatment Kinetics (Kearl 2022 Field Data)</t>
  </si>
  <si>
    <t>Source: Vander Meulen &amp; Headley (2024) GROW Presentation</t>
  </si>
  <si>
    <t>Project: Genome Canada LSARP - GROW (Genomics Research for Optimization of Constructed Treatment Wetlands)</t>
  </si>
  <si>
    <t>Two-Phase Kinetics Model:</t>
  </si>
  <si>
    <t xml:space="preserve">  - Rapid Phase (Days 0-15): -0.532 mg/L/day (R^2=0.43)</t>
  </si>
  <si>
    <t xml:space="preserve">  - Slow Phase (Days 30-69): -0.248 mg/L/day (R^2=0.50)</t>
  </si>
  <si>
    <t xml:space="preserve">  - The slowdown reflects preferential removal of labile compounds</t>
  </si>
  <si>
    <t>Toxicity Endpoints (Fathead Minnow Embryo):</t>
  </si>
  <si>
    <t xml:space="preserve">  - Day 14: ~50% survival (1 recirculation cycle = LC50)</t>
  </si>
  <si>
    <t xml:space="preserve">  - Day 28: 80-90% survival (2 cycles)</t>
  </si>
  <si>
    <t xml:space="preserve">  - Day 42: &gt;90% survival (3 cycles = non-toxic, equivalent to controls)</t>
  </si>
  <si>
    <t>The Concentration Paradox:</t>
  </si>
  <si>
    <t xml:space="preserve">  - Water at Day 42 was non-toxic despite ~50 mg/L NAFC concentration</t>
  </si>
  <si>
    <t xml:space="preserve">  - Literature LC50 values for fathead minnow: 18-34 mg/L</t>
  </si>
  <si>
    <t xml:space="preserve">  - Explanation: Wetlands preferentially remove high-carbon, lipophilic (most toxic) compounds</t>
  </si>
  <si>
    <t xml:space="preserve">  - Remaining NAFCs are oxidized (O3, O4 classes) and less bioavailable</t>
  </si>
  <si>
    <t xml:space="preserve">  - Implication: Total NAFC concentration alone may be inadequate for assessing safety</t>
  </si>
  <si>
    <t>Adjusting Parameters:</t>
  </si>
  <si>
    <t xml:space="preserve">  - All kinetics parameters are in 4_Assumptions Section H (yellow cells)</t>
  </si>
  <si>
    <t xml:space="preserve">  - Treatment_Rate_Factor in 7_ServiceModels captures seasonal/vegetation variability</t>
  </si>
  <si>
    <t xml:space="preserve">  - Modify Initial_NAFC to match your source water concentration</t>
  </si>
  <si>
    <t xml:space="preserve">  - Adjust Target_NAFC for different regulatory thresholds</t>
  </si>
  <si>
    <t>8. Change Log</t>
  </si>
  <si>
    <t>Version</t>
  </si>
  <si>
    <t>Date</t>
  </si>
  <si>
    <t>Changes</t>
  </si>
  <si>
    <t>3.2</t>
  </si>
  <si>
    <t>2026-01-29</t>
  </si>
  <si>
    <t>Value/m3 derivation documentation (Section 6)</t>
  </si>
  <si>
    <t>3.1</t>
  </si>
  <si>
    <t>Kearl treatment kinetics integration, Days_to_Compliance MC</t>
  </si>
  <si>
    <t>FAST 18-sheet refactor with LOCATIONS registry</t>
  </si>
  <si>
    <t>2.0</t>
  </si>
  <si>
    <t>2026-01-28</t>
  </si>
  <si>
    <t>Excel-native Monte Carlo via Data Tables</t>
  </si>
  <si>
    <t>1.0</t>
  </si>
  <si>
    <t>2025-12-01</t>
  </si>
  <si>
    <t>Initial Python-based model</t>
  </si>
  <si>
    <t>Input Traceability Map</t>
  </si>
  <si>
    <t>Shows which calculation sheets directly reference each input</t>
  </si>
  <si>
    <t>Input Name</t>
  </si>
  <si>
    <t>Source Sheet</t>
  </si>
  <si>
    <t>Referenced By</t>
  </si>
  <si>
    <t>Initial_NAFC</t>
  </si>
  <si>
    <t>Target_NAFC</t>
  </si>
  <si>
    <t>Rapid_Phase_Rate</t>
  </si>
  <si>
    <t>Slow_Phase_Rate</t>
  </si>
  <si>
    <t>Rapid_Phase_Duration</t>
  </si>
  <si>
    <t>Recirculation_Cycle</t>
  </si>
  <si>
    <t>Season_Length</t>
  </si>
  <si>
    <t>8_Calc_Timeline, 13_Calc_Costs, 14_Calc_Sim</t>
  </si>
  <si>
    <t>LearningCurve_Mult</t>
  </si>
  <si>
    <t>(range - see source sheet)</t>
  </si>
  <si>
    <t>Tri_Season_Extension_Days_Min</t>
  </si>
  <si>
    <t>Tri_Season_Extension_Days_Mode</t>
  </si>
  <si>
    <t>Tri_Season_Extension_Days_Max</t>
  </si>
  <si>
    <t>Tri_Extension_Value_Per_Day_Min</t>
  </si>
  <si>
    <t>Tri_Extension_Value_Per_Day_Mode</t>
  </si>
  <si>
    <t>Tri_Extension_Value_Per_Day_Max</t>
  </si>
  <si>
    <t>Tri_Interventions_Avoided_Min</t>
  </si>
  <si>
    <t>Tri_Interventions_Avoided_Mode</t>
  </si>
  <si>
    <t>Tri_Interventions_Avoided_Max</t>
  </si>
  <si>
    <t>Tri_Treatment_Rate_Factor_Min</t>
  </si>
  <si>
    <t>Tri_Treatment_Rate_Factor_Mode</t>
  </si>
  <si>
    <t>Tri_Treatment_Rate_Factor_Max</t>
  </si>
  <si>
    <t>Beta_Efficiency_Gain_Alpha</t>
  </si>
  <si>
    <t>Beta_Efficiency_Gain_Beta</t>
  </si>
  <si>
    <t>Beta_Efficiency_Gain_Min</t>
  </si>
  <si>
    <t>Beta_Efficiency_Gain_Max</t>
  </si>
  <si>
    <t>Eff_Rapid_Rate</t>
  </si>
  <si>
    <t>Eff_Slow_Rate</t>
  </si>
  <si>
    <t>NAFC_After_Rapid</t>
  </si>
  <si>
    <t>Days_to_Compliance</t>
  </si>
  <si>
    <t>8_Calc_Timeline, 14_Calc_Sim</t>
  </si>
  <si>
    <t>Timeline_LearningMult</t>
  </si>
  <si>
    <t>Timeline_DiscountFactor</t>
  </si>
  <si>
    <t>Summary</t>
  </si>
  <si>
    <t>Total inputs tracked: 30</t>
  </si>
  <si>
    <t>Registry entries: 28</t>
  </si>
  <si>
    <t>Note:</t>
  </si>
  <si>
    <t>'Referenced By' shows direct formula references only,</t>
  </si>
  <si>
    <t>not downstream dependencies. The verify_traceability()</t>
  </si>
  <si>
    <t>function validates this registry against actual formulas.</t>
  </si>
  <si>
    <t>Model Assumptions (Single Source of Truth)</t>
  </si>
  <si>
    <t>A. Timing Parameters</t>
  </si>
  <si>
    <t>Treatment season timing that determines the operational window for wetland treatment.</t>
  </si>
  <si>
    <t>Define the active treatment period for financial projections</t>
  </si>
  <si>
    <t>- Treatment season aligned with Alberta weather patterns (May-September)
- Season length directly impacts annual value capture potential</t>
  </si>
  <si>
    <t>Standard Alberta treatment wetland operational calendar</t>
  </si>
  <si>
    <t>tbl_Seasonality, tbl_Timeline</t>
  </si>
  <si>
    <t>Unit</t>
  </si>
  <si>
    <t>Notes</t>
  </si>
  <si>
    <t>Season_Start_Month</t>
  </si>
  <si>
    <t>month</t>
  </si>
  <si>
    <t>May</t>
  </si>
  <si>
    <t>Season_Start_Day</t>
  </si>
  <si>
    <t>day</t>
  </si>
  <si>
    <t>Mid-May</t>
  </si>
  <si>
    <t>Season_End_Month</t>
  </si>
  <si>
    <t>September</t>
  </si>
  <si>
    <t>Season_End_Day</t>
  </si>
  <si>
    <t>Mid-September</t>
  </si>
  <si>
    <t>Treatment_Days</t>
  </si>
  <si>
    <t>days</t>
  </si>
  <si>
    <t>Active season length</t>
  </si>
  <si>
    <t>Seasonality Index</t>
  </si>
  <si>
    <t>Monthly activity multipliers reflecting natural treatment capacity variation across the season.</t>
  </si>
  <si>
    <t>Weight value calculations by month based on treatment capacity patterns</t>
  </si>
  <si>
    <t>- Peak activity in June-July matches optimal treatment temperatures
- Ramp-up in May and decline in September reflect shoulder seasons</t>
  </si>
  <si>
    <t>Kearl pilot operational data patterns</t>
  </si>
  <si>
    <t>tbl_Timing, tbl_Timeline</t>
  </si>
  <si>
    <t>Month</t>
  </si>
  <si>
    <t>Month_Num</t>
  </si>
  <si>
    <t>Multiplier</t>
  </si>
  <si>
    <t>Activity</t>
  </si>
  <si>
    <t>Ramp-up</t>
  </si>
  <si>
    <t>June</t>
  </si>
  <si>
    <t>Peak</t>
  </si>
  <si>
    <t>July</t>
  </si>
  <si>
    <t>August</t>
  </si>
  <si>
    <t>Slight decline</t>
  </si>
  <si>
    <t>Decline</t>
  </si>
  <si>
    <t>B. Site Configuration</t>
  </si>
  <si>
    <t>Physical wetland parameters that define treatment capacity and value per unit.</t>
  </si>
  <si>
    <t>Establish the operational scale for all calculations</t>
  </si>
  <si>
    <t>- Standard 1.0 ha design based on Kearl pilot scaling
- HLR of 0.05 m3/m2/day is conservative for constructed wetlands</t>
  </si>
  <si>
    <t>Kearl pilot scaling (0.76 ha) extrapolated to standard design</t>
  </si>
  <si>
    <t>tbl_TreatmentKinetics</t>
  </si>
  <si>
    <t>Source</t>
  </si>
  <si>
    <t>WetlandAreaHa</t>
  </si>
  <si>
    <t>ha</t>
  </si>
  <si>
    <t>Standard design (Kearl pilot = 0.76 ha)</t>
  </si>
  <si>
    <t>TreatmentCells</t>
  </si>
  <si>
    <t>count</t>
  </si>
  <si>
    <t>Multi-cell design</t>
  </si>
  <si>
    <t>AnnualThroughputM3</t>
  </si>
  <si>
    <t>m3/yr</t>
  </si>
  <si>
    <t>HLR = 0.05 m3/m2/day</t>
  </si>
  <si>
    <t>ValuePerM3</t>
  </si>
  <si>
    <t>$/m3</t>
  </si>
  <si>
    <t>$250K/yr / 50K m3/yr (Section 6)</t>
  </si>
  <si>
    <t>C. Cost Parameters</t>
  </si>
  <si>
    <t>Operational cost assumptions for labor, penalties, and downtime.</t>
  </si>
  <si>
    <t>Enable cost-benefit calculations for testing options</t>
  </si>
  <si>
    <t>- Labor costs include all direct operational expenses
- Regulatory penalty reflects typical EPEA violation costs</t>
  </si>
  <si>
    <t>Industry estimates from Financial Model Framework v2.1</t>
  </si>
  <si>
    <t>tbl_CostCalc</t>
  </si>
  <si>
    <t>LaborPerDay</t>
  </si>
  <si>
    <t>$/day</t>
  </si>
  <si>
    <t>RegulatoryPenalty</t>
  </si>
  <si>
    <t>$</t>
  </si>
  <si>
    <t>DowntimeCostPerDay</t>
  </si>
  <si>
    <t>D. Learning Curve</t>
  </si>
  <si>
    <t>Year-over-year efficiency multipliers reflecting operational maturity progression.</t>
  </si>
  <si>
    <t>Discount early-year value to account for pilot learning and optimization</t>
  </si>
  <si>
    <t>- Year 1 at 50% reflects pilot learning phase
- Full maturity (100%) achieved by Year 3</t>
  </si>
  <si>
    <t>Standard industrial learning curve for new process technology</t>
  </si>
  <si>
    <t>tbl_Timeline, tbl_GatedValues</t>
  </si>
  <si>
    <t>Year</t>
  </si>
  <si>
    <t>Pilot learning</t>
  </si>
  <si>
    <t>Initial optimization</t>
  </si>
  <si>
    <t>Full maturity</t>
  </si>
  <si>
    <t>Steady state</t>
  </si>
  <si>
    <t>E. Test Options</t>
  </si>
  <si>
    <t>Testing method specifications including frequency, cost, and result latency.</t>
  </si>
  <si>
    <t>Compare HRMS lab testing vs real-time biosensor monitoring approaches</t>
  </si>
  <si>
    <t>- HRMS costs include lab fees and sample logistics
- Biosensor costs assume deployed hardware and consumables
- Latency includes sample processing and reporting time</t>
  </si>
  <si>
    <t>HRMS: Commercial lab quotes; Biosensor: Luminous device specifications</t>
  </si>
  <si>
    <t>tbl_LatencyGating, tbl_CostCalc</t>
  </si>
  <si>
    <t>Option</t>
  </si>
  <si>
    <t>Method</t>
  </si>
  <si>
    <t>Interval</t>
  </si>
  <si>
    <t>Points</t>
  </si>
  <si>
    <t>Cost_Per_Test</t>
  </si>
  <si>
    <t>Latency_Days</t>
  </si>
  <si>
    <t>Monthly_HRMS</t>
  </si>
  <si>
    <t>Weekly_HRMS</t>
  </si>
  <si>
    <t>Biosensor</t>
  </si>
  <si>
    <t>Latency Gating (Calculated)</t>
  </si>
  <si>
    <t>Calculated gate status showing which testing options can capture each value scenario.</t>
  </si>
  <si>
    <t>Determine ENABLED/BLOCKED status based on latency vs required response time</t>
  </si>
  <si>
    <t>- ENABLED if testing latency &lt;= scenario required response days
- BLOCKED if testing latency &gt; scenario required response days
- Gates determine whether value can be captured</t>
  </si>
  <si>
    <t>Calculated from tbl_TestOptions latency vs tbl_ValueScenarios requirements</t>
  </si>
  <si>
    <t>tbl_TestOptions, tbl_ValueScenarios, tbl_GatedValues</t>
  </si>
  <si>
    <t>S1_Gate</t>
  </si>
  <si>
    <t>S2_Gate</t>
  </si>
  <si>
    <t>S3_Gate</t>
  </si>
  <si>
    <t>S4_Gate</t>
  </si>
  <si>
    <t>F. VALIDATION LISTS</t>
  </si>
  <si>
    <t>Testing_Options</t>
  </si>
  <si>
    <t>Scenarios</t>
  </si>
  <si>
    <t>Conservative</t>
  </si>
  <si>
    <t>Optimistic</t>
  </si>
  <si>
    <t>G. MC ANCHOR</t>
  </si>
  <si>
    <t>MC_Anchor --&gt;</t>
  </si>
  <si>
    <t>H. Treatment Kinetics</t>
  </si>
  <si>
    <t>NAFC removal rate parameters from Kearl 2022 pilot field data.</t>
  </si>
  <si>
    <t>Model treatment progression and time-to-compliance calculations</t>
  </si>
  <si>
    <t>- Biphasic removal: rapid initial phase (Days 0-15) then slower steady state
- Rates calibrated from Vander Meulen &amp; Headley (2024) GROW presentation</t>
  </si>
  <si>
    <t>Kearl 2022 pilot data - Vander Meulen &amp; Headley GROW presentation</t>
  </si>
  <si>
    <t>tbl_ToxicityMilestones, tbl_Stochastic</t>
  </si>
  <si>
    <t>mg/L</t>
  </si>
  <si>
    <t>Kearl 2022 Day 0 concentration</t>
  </si>
  <si>
    <t>Regulatory threshold for non-toxicity</t>
  </si>
  <si>
    <t>mg/L/day</t>
  </si>
  <si>
    <t>Kearl Days 0-15 (R^2=0.43)</t>
  </si>
  <si>
    <t>Kearl Days 30-69 (R^2=0.50)</t>
  </si>
  <si>
    <t>Duration of rapid removal phase</t>
  </si>
  <si>
    <t>Standard wetland recirculation</t>
  </si>
  <si>
    <t>System_Capacity</t>
  </si>
  <si>
    <t>m3</t>
  </si>
  <si>
    <t>Kearl 4-bay system volume</t>
  </si>
  <si>
    <t>I. Toxicity Milestones</t>
  </si>
  <si>
    <t>Fathead minnow embryo survival endpoints marking treatment progress toward non-toxicity.</t>
  </si>
  <si>
    <t>Define compliance milestones for treatment effectiveness tracking</t>
  </si>
  <si>
    <t>- LC50 at Day 14 marks start of toxicity reduction
- Non-toxic threshold (&gt;90% survival) typically achieved by Day 42</t>
  </si>
  <si>
    <t>Parrott Lab (Burlington) fathead minnow embryo bioassays</t>
  </si>
  <si>
    <t>Milestone</t>
  </si>
  <si>
    <t>Days</t>
  </si>
  <si>
    <t>Survival</t>
  </si>
  <si>
    <t>Day_LC50</t>
  </si>
  <si>
    <t>50%</t>
  </si>
  <si>
    <t>1 recirculation cycle - LC50 threshold</t>
  </si>
  <si>
    <t>Day_80_Survival</t>
  </si>
  <si>
    <t>80-90%</t>
  </si>
  <si>
    <t>2 recirculation cycles</t>
  </si>
  <si>
    <t>Day_Nontoxic</t>
  </si>
  <si>
    <t>&gt;90%</t>
  </si>
  <si>
    <t>3 cycles - equivalent to negative control</t>
  </si>
  <si>
    <t>Environmental Driver Profiles</t>
  </si>
  <si>
    <t>Environmental Drivers</t>
  </si>
  <si>
    <t>Monthly profiles for key environmental variables affecting treatment kinetics.
Temperature drives Q10 rate modifier (rates double per 10C above 20C).
UV intensity affects photodegradation rates.
Dissolved oxygen controls aerobic biodegradation.
Nutrient availability influences microbial activity.
Bioavailability accounts for sorption and binding effects.</t>
  </si>
  <si>
    <t>Variable</t>
  </si>
  <si>
    <t>Jun</t>
  </si>
  <si>
    <t>Jul</t>
  </si>
  <si>
    <t>Aug</t>
  </si>
  <si>
    <t>Sep</t>
  </si>
  <si>
    <t>Temp_Water</t>
  </si>
  <si>
    <t>C</t>
  </si>
  <si>
    <t>Water temperature - Q10 driver</t>
  </si>
  <si>
    <t>UV_Relative</t>
  </si>
  <si>
    <t>0-1</t>
  </si>
  <si>
    <t>Relative UV intensity</t>
  </si>
  <si>
    <t>DO_Typical</t>
  </si>
  <si>
    <t>Dissolved oxygen</t>
  </si>
  <si>
    <t>Nutrient_Index</t>
  </si>
  <si>
    <t>Nutrient availability</t>
  </si>
  <si>
    <t>Bioavail_Index</t>
  </si>
  <si>
    <t>Bioavailability factor</t>
  </si>
  <si>
    <t>Ionic Parameters (Compliance Gates)</t>
  </si>
  <si>
    <t>Min</t>
  </si>
  <si>
    <t>Mode</t>
  </si>
  <si>
    <t>Max</t>
  </si>
  <si>
    <t>Threshold</t>
  </si>
  <si>
    <t>Direction</t>
  </si>
  <si>
    <t>Chloride</t>
  </si>
  <si>
    <t>below</t>
  </si>
  <si>
    <t>Aquatic life threshold</t>
  </si>
  <si>
    <t>SAR</t>
  </si>
  <si>
    <t>ratio</t>
  </si>
  <si>
    <t>Land application limit</t>
  </si>
  <si>
    <t>Sulfate</t>
  </si>
  <si>
    <t>Process water indicator</t>
  </si>
  <si>
    <t>DO_Compliance</t>
  </si>
  <si>
    <t>above</t>
  </si>
  <si>
    <t>Minimum for discharge</t>
  </si>
  <si>
    <t>Current Site Profile:</t>
  </si>
  <si>
    <t>Kearl</t>
  </si>
  <si>
    <t>(from config/sites/kearl.yaml)</t>
  </si>
  <si>
    <t>Value Scenario Definitions</t>
  </si>
  <si>
    <t>Four value streams enabled by biosensor monitoring that HRMS testing cannot capture due to latency constraints.</t>
  </si>
  <si>
    <t>Quantify the annual financial benefit of each operational improvement enabled by real-time monitoring</t>
  </si>
  <si>
    <t>- Values are additive (a single biosensor deployment captures all four simultaneously)
- Base values calibrated from $250K/year total operational value allocation
- Required response days based on operational decision-making windows
- HRMS 42-day latency blocks all scenarios; biosensor 1-day latency enables all</t>
  </si>
  <si>
    <t>Financial Model Framework v2.1 - operational value allocation</t>
  </si>
  <si>
    <t>tbl_ModelScenarios, tbl_GatedValues, tbl_LatencyGating</t>
  </si>
  <si>
    <t>ID</t>
  </si>
  <si>
    <t>Name</t>
  </si>
  <si>
    <t>Base_Value</t>
  </si>
  <si>
    <t>Required_Response_Days</t>
  </si>
  <si>
    <t>S1</t>
  </si>
  <si>
    <t>Season Extension</t>
  </si>
  <si>
    <t>Temperature-based vs calendar shutdown</t>
  </si>
  <si>
    <t>S2</t>
  </si>
  <si>
    <t>Intervention Avoidance</t>
  </si>
  <si>
    <t>Prevented false-positive interventions</t>
  </si>
  <si>
    <t>S3</t>
  </si>
  <si>
    <t>Spatial Routing</t>
  </si>
  <si>
    <t>Route to high-performing cells</t>
  </si>
  <si>
    <t>S4</t>
  </si>
  <si>
    <t>Early Detection</t>
  </si>
  <si>
    <t>Reduced bio-assay costs</t>
  </si>
  <si>
    <t>Model Scenarios</t>
  </si>
  <si>
    <t>Parameter adjustments for conservative, base, and optimistic financial projections.</t>
  </si>
  <si>
    <t>Enable sensitivity analysis by adjusting discount rate, growth rate, and risk factors</t>
  </si>
  <si>
    <t>- Base scenario uses unadjusted parameters from model inputs
- Conservative adds higher discount (+0.4%), lower growth (-2%), higher risk (+10%)
- Optimistic uses lower discount (-0.3%), higher growth (+1%), lower risk (-10%)</t>
  </si>
  <si>
    <t>Standard financial modeling practice - scenario analysis parameters</t>
  </si>
  <si>
    <t>tbl_ValueScenarios, tbl_Sensitivity</t>
  </si>
  <si>
    <t>Discount_Adj</t>
  </si>
  <si>
    <t>Growth_Adj</t>
  </si>
  <si>
    <t>Risk_Adj</t>
  </si>
  <si>
    <t>Monte Carlo Distribution Parameters</t>
  </si>
  <si>
    <t>Triangular Distributions</t>
  </si>
  <si>
    <t>Monte Carlo input parameters using triangular probability distributions for key uncertain variables.</t>
  </si>
  <si>
    <t>Define the uncertainty ranges for stochastic variables that drive value scenario calculations</t>
  </si>
  <si>
    <t>- Triangular distribution selected for interpretability with stakeholders
- Min/Max represent 10th/90th percentile expert estimates, not absolute bounds
- Mode represents the most likely value (base case assumption)
- Variables are assumed independent (no correlation modeled)</t>
  </si>
  <si>
    <t>Expert judgment calibrated against Financial Model Framework v2.1</t>
  </si>
  <si>
    <t>tbl_Stochastic, tbl_GatedValues, tbl_ValueScenarios</t>
  </si>
  <si>
    <t>Units</t>
  </si>
  <si>
    <t>Season_Extension_Days</t>
  </si>
  <si>
    <t>Extension_Value_Per_Day</t>
  </si>
  <si>
    <t>Interventions_Avoided</t>
  </si>
  <si>
    <t>events</t>
  </si>
  <si>
    <t>Treatment_Rate_Factor</t>
  </si>
  <si>
    <t>multiplier</t>
  </si>
  <si>
    <t>Beta Distributions</t>
  </si>
  <si>
    <t>Monte Carlo input parameters using beta distributions for bounded percentage variables.</t>
  </si>
  <si>
    <t>Model uncertainty in efficiency and probability parameters that must stay within 0-100% bounds</t>
  </si>
  <si>
    <t>- Beta distribution ensures values stay within specified bounds
- Alpha/Beta parameters shape the distribution skewness
- Used for variables that represent percentages or bounded factors</t>
  </si>
  <si>
    <t>Expert judgment for efficiency and probability estimates</t>
  </si>
  <si>
    <t>tbl_Triangular, tbl_Stochastic</t>
  </si>
  <si>
    <t>Alpha</t>
  </si>
  <si>
    <t>Beta</t>
  </si>
  <si>
    <t>Efficiency_Gain</t>
  </si>
  <si>
    <t>%</t>
  </si>
  <si>
    <t>Value Per M3 Sensitivity Frames</t>
  </si>
  <si>
    <t>Alternative value framing approaches for sensitivity analysis and stakeholder communication.</t>
  </si>
  <si>
    <t>Provide multiple perspectives on value per cubic meter of treated water</t>
  </si>
  <si>
    <t>- Operational frame: Direct operational cost savings
- Avoided Treatment frame: Value of alternatives not needed
- ARO Liability frame: Asset retirement obligation cost reduction (Zhang 2026)
- Values are illustrative ranges for framing discussions</t>
  </si>
  <si>
    <t>Zhang (2026) analysis for ARO frame; operational estimates for others</t>
  </si>
  <si>
    <t>tbl_ValueScenarios, tbl_KPIs</t>
  </si>
  <si>
    <t>Frame</t>
  </si>
  <si>
    <t>Low</t>
  </si>
  <si>
    <t>High</t>
  </si>
  <si>
    <t>Context</t>
  </si>
  <si>
    <t>Operational</t>
  </si>
  <si>
    <t>Direct operational benefit</t>
  </si>
  <si>
    <t>Avoided Treatment</t>
  </si>
  <si>
    <t>Alternative treatment costs</t>
  </si>
  <si>
    <t>ARO Liability</t>
  </si>
  <si>
    <t>Zhang (2026) analysis</t>
  </si>
  <si>
    <t>Projection Timeline</t>
  </si>
  <si>
    <t>Understanding the Timeline</t>
  </si>
  <si>
    <t>This sheet generates the projection timeline used throughout the model.
Key outputs:
- Year numbers (1-5) based on Projection_Years setting
- Calendar years starting from Base_Year
- Month indices for seasonal calculations
The timeline drives all time-dependent calculations in sheets 8-15.
Changing Projection_Years or Base_Year in 1_TOC updates this timeline.</t>
  </si>
  <si>
    <t>Year-by-year projection timeline with seasonal month breakdown and learning curve factors.</t>
  </si>
  <si>
    <t>Generate the time dimension for all financial calculations</t>
  </si>
  <si>
    <t>- Projection starts at Base_Year and extends for Projection_Years
- Each year contains 12 months with season flags
- Learning curve multiplier applied from tbl_LearningCurve</t>
  </si>
  <si>
    <t>Generated from 1_TOC control parameters</t>
  </si>
  <si>
    <t>tbl_LearningCurve, tbl_Seasonality, tbl_Annual</t>
  </si>
  <si>
    <t>Year_Index</t>
  </si>
  <si>
    <t>Calendar_Year</t>
  </si>
  <si>
    <t>Discount_Factor</t>
  </si>
  <si>
    <t>Learning_Mult</t>
  </si>
  <si>
    <t>Treatment Kinetics (Kearl 2022)</t>
  </si>
  <si>
    <t>Source: Vander Meulen &amp; Headley (2024) GROW</t>
  </si>
  <si>
    <t>Metric</t>
  </si>
  <si>
    <t>Formula</t>
  </si>
  <si>
    <t>'=Rapid_Phase_Rate * Stoch_TreatmentRate</t>
  </si>
  <si>
    <t>'=Slow_Phase_Rate * Stoch_TreatmentRate</t>
  </si>
  <si>
    <t>'=MAX(0, Initial - Rate * Duration)</t>
  </si>
  <si>
    <t>Two-phase calculation</t>
  </si>
  <si>
    <t>Circulation_Cycles</t>
  </si>
  <si>
    <t>'=CEILING(Days / Cycle, 1)</t>
  </si>
  <si>
    <t>cycles</t>
  </si>
  <si>
    <t>Treatment_Efficiency</t>
  </si>
  <si>
    <t>'=(Initial - Target) / Initial</t>
  </si>
  <si>
    <t>Compliance_Status</t>
  </si>
  <si>
    <t>Achievable within season?</t>
  </si>
  <si>
    <t>status</t>
  </si>
  <si>
    <t>Treatment Kinetics Modifiers</t>
  </si>
  <si>
    <t>Kinetics Cascade</t>
  </si>
  <si>
    <t>Environmental rate modifiers cascade to produce Effective_Rate.
Q10: Temperature coefficient (rate doubles per 10C above reference).
UV: Photodegradation modifier (reduced by turbidity).
DO: Aerobic biodegradation modifier (full above 6.5 mg/L).
Nutrient/Bioavail: Substrate availability modifiers.</t>
  </si>
  <si>
    <t>Modifier</t>
  </si>
  <si>
    <t>Q10_Factor</t>
  </si>
  <si>
    <t>T=20C gives 1.0, T=30C gives 2.0</t>
  </si>
  <si>
    <t>UV_Modifier</t>
  </si>
  <si>
    <t>UV intensity adjusted for turbidity</t>
  </si>
  <si>
    <t>DO_Modifier</t>
  </si>
  <si>
    <t>Full rate above 6.5 mg/L</t>
  </si>
  <si>
    <t>Nutrient_Modifier</t>
  </si>
  <si>
    <t>Nutrient availability factor</t>
  </si>
  <si>
    <t>Bioavail_Modifier</t>
  </si>
  <si>
    <t>Adjusted for clay sorption</t>
  </si>
  <si>
    <t>Combined Rate Calculation</t>
  </si>
  <si>
    <t>Effective_Rate</t>
  </si>
  <si>
    <t>Combined effective treatment rate</t>
  </si>
  <si>
    <t>Rate_vs_Baseline</t>
  </si>
  <si>
    <t>Effective vs baseline rate</t>
  </si>
  <si>
    <t>Stochastic Variables</t>
  </si>
  <si>
    <t>(Press F9 to recalculate random draws)</t>
  </si>
  <si>
    <t>Monte Carlo Random Variables</t>
  </si>
  <si>
    <t>This sheet generates random variables for Monte Carlo simulation.
Each variable uses a triangular distribution defined in 5_ServiceModels:
- Min: Worst-case value
- Mode: Most likely value
- Max: Best-case value
The RAND() functions recalculate when you press F9 or Ctrl+Alt+F9.
Sheet 10_Calc_Sim captures 1000 iterations via Excel Data Tables.
Important: These values change on every recalculation. The simulation
statistics (P10, P50, P90) in the Dashboard are calculated from the
1000 captured iterations, not from individual cell values.</t>
  </si>
  <si>
    <t>Random variable generation using triangular distributions for Monte Carlo simulation.</t>
  </si>
  <si>
    <t>Generate stochastic multipliers that vary across simulation iterations</t>
  </si>
  <si>
    <t>- Uses triangular distribution parameters from 5_ServiceModels
- RAND() functions recalculate on spreadsheet refresh
- Values captured by Data Table in 10_Calc_Sim for 1000 iterations</t>
  </si>
  <si>
    <t>Distribution parameters from tbl_Triangular and tbl_Beta</t>
  </si>
  <si>
    <t>tbl_Triangular, tbl_Beta, tbl_GatedValues</t>
  </si>
  <si>
    <t>Random_U</t>
  </si>
  <si>
    <t>Realized_Value</t>
  </si>
  <si>
    <t>Season_Extension</t>
  </si>
  <si>
    <t>Extension_Value</t>
  </si>
  <si>
    <t>Compliance Gate Matrix</t>
  </si>
  <si>
    <t>Compliance Gates</t>
  </si>
  <si>
    <t>13-variable compliance gates for water release qualification.
Each gate returns 1 (PASS) or 0 (FAIL) as numeric value.
Master_Gate_Status = MIN(all gates) - 0 if ANY gate fails.
Numeric gates enable: value gating, fractional compliance (future).
Gate thresholds defined in 5_EnvironmentalDrivers.</t>
  </si>
  <si>
    <t>Gate</t>
  </si>
  <si>
    <t>Status</t>
  </si>
  <si>
    <t>Toxicity</t>
  </si>
  <si>
    <t>Baseline +/- 5%</t>
  </si>
  <si>
    <t>within</t>
  </si>
  <si>
    <t>Toxicity baseline</t>
  </si>
  <si>
    <t>&lt; 230 mg/L</t>
  </si>
  <si>
    <t>Aquatic life protection</t>
  </si>
  <si>
    <t>&lt; 4.0</t>
  </si>
  <si>
    <t>Land application</t>
  </si>
  <si>
    <t>DO</t>
  </si>
  <si>
    <t>&gt; 6.5 mg/L</t>
  </si>
  <si>
    <t>Minimum oxygen</t>
  </si>
  <si>
    <t>pH_Low</t>
  </si>
  <si>
    <t>&gt; 6.5</t>
  </si>
  <si>
    <t>pH lower limit</t>
  </si>
  <si>
    <t>pH_High</t>
  </si>
  <si>
    <t>&lt; 8.5</t>
  </si>
  <si>
    <t>pH upper limit</t>
  </si>
  <si>
    <t>&lt; 500 mg/L</t>
  </si>
  <si>
    <t>Temperature</t>
  </si>
  <si>
    <t>&lt; 25 C</t>
  </si>
  <si>
    <t>Thermal discharge</t>
  </si>
  <si>
    <t>&lt; Target</t>
  </si>
  <si>
    <t>Treatment complete</t>
  </si>
  <si>
    <t>Turbidity</t>
  </si>
  <si>
    <t>&lt; 100 NTU</t>
  </si>
  <si>
    <t>Sediment control</t>
  </si>
  <si>
    <t>Oil_Sheen</t>
  </si>
  <si>
    <t>None visible</t>
  </si>
  <si>
    <t>absent</t>
  </si>
  <si>
    <t>Visual inspection</t>
  </si>
  <si>
    <t>Odor</t>
  </si>
  <si>
    <t>None detected</t>
  </si>
  <si>
    <t>Sensory inspection</t>
  </si>
  <si>
    <t>Foam</t>
  </si>
  <si>
    <t>None persistent</t>
  </si>
  <si>
    <t>Surface condition</t>
  </si>
  <si>
    <t>Master Gate Status</t>
  </si>
  <si>
    <t>Master_Gate_Status</t>
  </si>
  <si>
    <t>Gates Passing</t>
  </si>
  <si>
    <t>of 13</t>
  </si>
  <si>
    <t>Gates Failing</t>
  </si>
  <si>
    <t>Gated Value Calculations</t>
  </si>
  <si>
    <t>Understanding Gated Value Calculations</t>
  </si>
  <si>
    <t>This sheet calculates value that HRMS testing CANNOT capture due to its
42-day latency. Each scenario requires a response faster than HRMS allows.
The "Gating" Logic:
- HRMS has 42-day turnaround from sample to results
- All four scenarios require decisions within 3-14 days
- Therefore, HRMS is always BLOCKED; Biosensor (1-day) is ENABLED
Value Calculation:
- Gated_Value = Base_Value x Stoch_Mult (if ENABLED)
- Gated_Value = $0 (if BLOCKED)
Since the selected Testing_Option is Biosensor (1-day latency), all
scenarios are ENABLED and contribute value. If HRMS were selected,
all would be BLOCKED and total value would be $0.</t>
  </si>
  <si>
    <t>Scenario values after applying latency gating logic and stochastic multipliers.</t>
  </si>
  <si>
    <t>Calculate the actual value captured based on testing option's ability to meet response time requirements</t>
  </si>
  <si>
    <t>- Gate status determined by comparing testing latency to required response time
- ENABLED scenarios: Gated_Value = Base_Value x Stoch_Mult
- BLOCKED scenarios: Gated_Value = $0 (value cannot be captured)
- Stochastic multipliers vary each Monte Carlo iteration</t>
  </si>
  <si>
    <t>Calculated from tbl_ValueScenarios, tbl_LatencyGating, and tbl_Stochastic</t>
  </si>
  <si>
    <t>tbl_ValueScenarios, tbl_LatencyGating, tbl_Stochastic, tbl_ScenarioBreakdown</t>
  </si>
  <si>
    <t>Gate_Status</t>
  </si>
  <si>
    <t>Stoch_Mult</t>
  </si>
  <si>
    <t>Gated_Value</t>
  </si>
  <si>
    <t>S1_Season_Extension</t>
  </si>
  <si>
    <t>S2_Intervention_Avoidance</t>
  </si>
  <si>
    <t>S3_Spatial_Routing</t>
  </si>
  <si>
    <t>S4_Early_Detection</t>
  </si>
  <si>
    <t>Total_Gross_Value</t>
  </si>
  <si>
    <t>Compliance Gate</t>
  </si>
  <si>
    <t>Compliance_Adjusted_Value</t>
  </si>
  <si>
    <t>Note: Compliance_Adjusted_Value = Gross_Value × Master_Gate_Status</t>
  </si>
  <si>
    <t>If ANY compliance gate fails (13 gates), value becomes $0</t>
  </si>
  <si>
    <t>Cost Calculations</t>
  </si>
  <si>
    <t>Understanding Cost Calculations</t>
  </si>
  <si>
    <t>This sheet calculates the annual cost of the selected testing approach.
Cost Components:
- Testing frequency: How often samples are taken (daily vs weekly vs monthly)
- Sample points: Number of locations monitored per test event
- Cost per test: Lab analysis cost for HRMS or sensor cost for Biosensor
- Season length: Number of active treatment days per year
Formula: Annual_Cost = (Season_Days / Test_Interval) x Sample_Points x Cost_Per_Test
The testing option parameters come from 3_Assumptions (Test Options table).
Biosensor has higher frequency but much lower cost per test, resulting
in comparable or lower total annual costs with far better data resolution.</t>
  </si>
  <si>
    <t>Cost Calculation</t>
  </si>
  <si>
    <t>Annual testing cost breakdown for the selected monitoring approach.</t>
  </si>
  <si>
    <t>Calculate total cost of testing to include in ROI and NPV calculations</t>
  </si>
  <si>
    <t>- Cost = (Season_Days / Test_Interval) x Sample_Points x Cost_Per_Test
- Parameters looked up from tbl_TestOptions based on selected option</t>
  </si>
  <si>
    <t>Calculated from tbl_TestOptions parameters</t>
  </si>
  <si>
    <t>tbl_TestOptions, tbl_CostParams, tbl_Annual</t>
  </si>
  <si>
    <t>Component</t>
  </si>
  <si>
    <t>Selected_Option</t>
  </si>
  <si>
    <t>Interval_Days</t>
  </si>
  <si>
    <t>INDEX/MATCH</t>
  </si>
  <si>
    <t>Monitoring_Points</t>
  </si>
  <si>
    <t>Events_Per_Season</t>
  </si>
  <si>
    <t>Season_Length / Interval</t>
  </si>
  <si>
    <t>Total_Tests</t>
  </si>
  <si>
    <t>Events * Points</t>
  </si>
  <si>
    <t>Season_Testing_Cost</t>
  </si>
  <si>
    <t>Total_Tests * Cost_Per_Test</t>
  </si>
  <si>
    <t>Monte Carlo Simulation (1000 iterations)</t>
  </si>
  <si>
    <t>Running the Monte Carlo Simulation</t>
  </si>
  <si>
    <t>This sheet captures 1000 iterations using Excel's Data Table feature.
SETUP INSTRUCTIONS:
1. Select the data range A5:I1005 (headers + 1000 rows)
2. Go to Data &gt; What-If Analysis &gt; Data Table
3. Leave "Row input cell" blank
4. For "Column input cell" enter: $K$1 (any blank cell on this sheet)
5. Click OK
HOW IT WORKS:
- Excel recalculates the model 1000 times
- Each row captures one iteration's outputs (NPV, scenario values, costs)
- The Data Table forces RAND() functions to regenerate each iteration
- Results are stored as values, not formulas
RECALCULATING:
- Press Ctrl+Alt+F9 to force full recalculation
- This regenerates all 1000 iterations (may take several seconds)
- Standard F9 only recalculates changed cells
OUTPUT STATISTICS:
- Expected NPV: Mean of 1000 iterations
- P10/P50/P90: Percentile values for confidence intervals
- Prob(NPV&gt;0): Percentage of iterations with positive NPV</t>
  </si>
  <si>
    <t>Select A8:I1008 &gt; Data &gt; What-If Analysis &gt; Data Table</t>
  </si>
  <si>
    <t>Column Input Cell: $K$1 (blank cell on this sheet)</t>
  </si>
  <si>
    <t>Iteration</t>
  </si>
  <si>
    <t>Cost</t>
  </si>
  <si>
    <t>Net</t>
  </si>
  <si>
    <t>Monte Carlo Statistics</t>
  </si>
  <si>
    <t>Expected NPV</t>
  </si>
  <si>
    <t>P10 NPV</t>
  </si>
  <si>
    <t>P50 NPV (Median)</t>
  </si>
  <si>
    <t>P90 NPV</t>
  </si>
  <si>
    <t>StdDev</t>
  </si>
  <si>
    <t>Prob(NPV&gt;0)</t>
  </si>
  <si>
    <t>Treatment Kinetics Statistics</t>
  </si>
  <si>
    <t>Expected Days to Compliance</t>
  </si>
  <si>
    <t>P10 Days (optimistic)</t>
  </si>
  <si>
    <t>P50 Days (median)</t>
  </si>
  <si>
    <t>P90 Days (conservative)</t>
  </si>
  <si>
    <t>Prob(Achievable in Season)</t>
  </si>
  <si>
    <t>Monthly P&amp;L (Placeholder)</t>
  </si>
  <si>
    <t>Monthly P&amp;L View</t>
  </si>
  <si>
    <t>This sheet is a placeholder for future monthly P&amp;L projections.
CURRENT STATUS: Not implemented in this version.
FUTURE USE CASES:
- Monthly cash flow timing for working capital analysis
- Seasonal revenue recognition patterns
- Monthly cost accruals
- Intra-year variance analysis
The model currently uses annual projections (12_PL_Annual) as the
primary financial view. Monthly detail would add complexity without
significant benefit for the current valuation use case.
If monthly detail is needed, the structure should mirror 12_PL_Annual
with columns for each month and rows for:
- Gross Value by scenario
- Testing costs
- Operating expenses
- Net monthly benefit</t>
  </si>
  <si>
    <t>Annual Projections</t>
  </si>
  <si>
    <t>Annual Financial Projections</t>
  </si>
  <si>
    <t>This sheet projects annual value capture over the planning horizon.
KEY CALCULATIONS:
- Gross Value: Sum of gated scenario values from 8_Calc_Value
- Learning Curve: Year 1 at 50%, Year 2 at 75%, Year 3+ at 100%
- Adjusted Value: Gross Value x Learning Curve Multiplier
- Net Value: Adjusted Value - Testing Costs
- NPV: Discounted sum using rate from 1_TOC
LEARNING CURVE RATIONALE:
Year 1 (50%): Pilot learning, process establishment
Year 2 (75%): Initial optimization, expanded coverage
Year 3+ (100%): Full operational maturity, steady state
The learning curve can be adjusted in 3_Assumptions Section D.
Conservative default reflects typical technology adoption patterns.</t>
  </si>
  <si>
    <t>Year-by-year financial projections with learning curve adjustments and NPV calculations.</t>
  </si>
  <si>
    <t>Project multi-year value capture for ROI and NPV analysis</t>
  </si>
  <si>
    <t>- Learning curve applied: Year 1 (50%), Year 2 (75%), Year 3+ (100%)
- Discount rate from 1_TOC applied to all future cash flows
- Testing costs deducted annually based on selected approach</t>
  </si>
  <si>
    <t>Calculated from tbl_GatedValues, tbl_LearningCurve, tbl_CostCalc</t>
  </si>
  <si>
    <t>tbl_GatedValues, tbl_LearningCurve, tbl_CostCalc, tbl_CashFlow</t>
  </si>
  <si>
    <t>S1_Value</t>
  </si>
  <si>
    <t>S2_Value</t>
  </si>
  <si>
    <t>S3_Value</t>
  </si>
  <si>
    <t>S4_Value</t>
  </si>
  <si>
    <t>Gross_Value</t>
  </si>
  <si>
    <t>Costs</t>
  </si>
  <si>
    <t>Net_Annual</t>
  </si>
  <si>
    <t>Discounted</t>
  </si>
  <si>
    <t>Aggregate KPIs</t>
  </si>
  <si>
    <t>NPV_Total</t>
  </si>
  <si>
    <t>Total_Gross_5Yr</t>
  </si>
  <si>
    <t>Total_Net_5Yr</t>
  </si>
  <si>
    <t>Cumulative Cash Flow</t>
  </si>
  <si>
    <t>Cumulative Cash Flow Analysis</t>
  </si>
  <si>
    <t>This sheet tracks cumulative value capture over the projection horizon.
KEY METRICS:
- Cumulative Net: Running total of annual net benefits
- Cumulative NPV: Running total of discounted net benefits
- Payback Point: Year when cumulative value turns positive
USE CASES:
- Determine when investment breaks even
- Assess cash flow timing for capital planning
- Compare cumulative value vs upfront investment
Note: This model assumes no upfront capital investment for the
biosensor system (included in testing costs). For scenarios with
capital expenditure, add an initial investment row and adjust
payback calculations accordingly.</t>
  </si>
  <si>
    <t>Cash Flow Summary</t>
  </si>
  <si>
    <t>Cumulative cash flow and NPV tracking for payback analysis.</t>
  </si>
  <si>
    <t>Track when cumulative value exceeds investment for breakeven analysis</t>
  </si>
  <si>
    <t>- No upfront capital investment assumed (costs included in testing)
- Annual net values from tbl_Annual
- Cumulative NPV used for total project value</t>
  </si>
  <si>
    <t>Calculated from tbl_Annual</t>
  </si>
  <si>
    <t>tbl_Annual, tbl_KPIs</t>
  </si>
  <si>
    <t>Annual_Net</t>
  </si>
  <si>
    <t>Cumulative_Net</t>
  </si>
  <si>
    <t>Cumulative_NPV</t>
  </si>
  <si>
    <t>Unit Economics</t>
  </si>
  <si>
    <t>Per-Cubic-Meter Economics</t>
  </si>
  <si>
    <t>This sheet expresses all values on a per-m3 basis for comparability.
WHY UNIT ECONOMICS MATTER:
- Allows comparison across different site sizes
- Enables scaling estimates to new deployments
- Provides intuitive metrics for operator discussions
- Connects to industry benchmarks (treatment costs, ARO liabilities)
KEY METRICS:
- Value per m3: Total value divided by annual throughput
- Cost per m3: Testing cost divided by throughput
- Net per m3: Value minus cost per unit volume
- NPV per m3: 5-year NPV divided by total 5-year throughput
BENCHMARKS (from 2_Instructions):
- Operational value: $3-8/m3 (this model's output)
- Avoided treatment: $10-30/m3 (alternative treatment costs)
- ARO liability: $21-93/m3 (Zhang 2026 analysis)
The biosensor's value per m3 can be compared against these benchmarks
to understand its contribution relative to the total value stack.</t>
  </si>
  <si>
    <t>Per-cubic-meter economics for cross-site comparability and scaling estimates.</t>
  </si>
  <si>
    <t>Express all values on per-m3 basis for benchmarking and scaling</t>
  </si>
  <si>
    <t>- Annual throughput from tbl_SiteConfig used as denominator
- NPV values divided by 5-year total throughput
- Benchmarks from industry data and Zhang (2026) analysis</t>
  </si>
  <si>
    <t>Calculated from model outputs and 3_Assumptions throughput</t>
  </si>
  <si>
    <t>tbl_SiteConfig, tbl_Annual, tbl_KPIs</t>
  </si>
  <si>
    <t>Annual Throughput</t>
  </si>
  <si>
    <t>From 4_Assumptions</t>
  </si>
  <si>
    <t>Gross Value per Season</t>
  </si>
  <si>
    <t>Sum of S1-S4 (pre-compliance)</t>
  </si>
  <si>
    <t>Compliance-Adjusted Value</t>
  </si>
  <si>
    <t>Gross × Master_Gate_Status</t>
  </si>
  <si>
    <t>Testing Cost per Season</t>
  </si>
  <si>
    <t>Based on option selected</t>
  </si>
  <si>
    <t>Net Value per Season</t>
  </si>
  <si>
    <t>Adjusted - Testing</t>
  </si>
  <si>
    <t>Value per m3 (Gross)</t>
  </si>
  <si>
    <t>Gross / Throughput</t>
  </si>
  <si>
    <t>Value per m3 (Net)</t>
  </si>
  <si>
    <t>Net / Throughput</t>
  </si>
  <si>
    <t>Cost per m3</t>
  </si>
  <si>
    <t>Testing / Throughput</t>
  </si>
  <si>
    <t>5-Year NPV per m3</t>
  </si>
  <si>
    <t>NPV / (5yr throughput)</t>
  </si>
  <si>
    <t>Breakeven Analysis</t>
  </si>
  <si>
    <t>Testing cost per test:</t>
  </si>
  <si>
    <t>Tests per season:</t>
  </si>
  <si>
    <t>Value per test (net):</t>
  </si>
  <si>
    <t>Sensitivity Analysis</t>
  </si>
  <si>
    <t>Tornado Sensitivity Analysis</t>
  </si>
  <si>
    <t>This sheet shows how NPV changes when individual parameters vary.
METHODOLOGY:
- Each parameter is varied from Low to High while others stay at Base
- NPV is calculated at each extreme
- "Swing" = |NPV_at_High - NPV_at_Low| measures parameter influence
- Parameters are sorted by Swing (largest impact first)
INTERPRETATION:
- Parameters at top of tornado have most influence on outcomes
- Focus validation efforts on high-sensitivity parameters
- Parameters with low swing are less critical to model accuracy
KEY PARAMETERS TESTED:
- Value_Per_M3: Direct impact on operational value
- Annual_Throughput: Volume scaling factor
- Treatment_Rate_Factor: Kinetics uncertainty
- Discount_Rate: Time value of money
- Season_Length: Active treatment period
LIMITATIONS:
- One-at-a-time analysis ignores parameter correlations
- Monte Carlo simulation (10_Calc_Sim) captures joint uncertainty
- Use tornado for directional insight, MC for quantified risk</t>
  </si>
  <si>
    <t>Tornado chart data showing NPV impact when each parameter varies from low to high.</t>
  </si>
  <si>
    <t>Identify which parameters most influence outcomes for validation focus</t>
  </si>
  <si>
    <t>- One-at-a-time analysis: each parameter varied while others at base
- Swing = |NPV_at_High - NPV_at_Low| measures parameter influence
- Parameters sorted by swing (largest impact first)</t>
  </si>
  <si>
    <t>Calculated by evaluating NPV at parameter bounds</t>
  </si>
  <si>
    <t>tbl_Triangular, tbl_SiteConfig, tbl_KPIs</t>
  </si>
  <si>
    <t>NPV_at_Low</t>
  </si>
  <si>
    <t>NPV_at_High</t>
  </si>
  <si>
    <t>Swing</t>
  </si>
  <si>
    <t>Value_Per_M3</t>
  </si>
  <si>
    <t>Wetland_Area</t>
  </si>
  <si>
    <t>Methodology</t>
  </si>
  <si>
    <t>Proportional parameters: NPV scales linearly with parameter ratio (Low/Base, High/Base)</t>
  </si>
  <si>
    <t>Discount Rate: Uses time-value adjustment formula NPV * ((1+Base)/(1+Rate))^2.5</t>
  </si>
  <si>
    <t>Note: These are first-order approximations. For precise sensitivity, use Monte Carlo.</t>
  </si>
  <si>
    <t>Tornado Chart</t>
  </si>
  <si>
    <t>1. Select Parameter and Swing columns (A4:A8, G4:G8)</t>
  </si>
  <si>
    <t>2. Insert -&gt; Chart -&gt; Bar Chart (horizontal)</t>
  </si>
  <si>
    <t>3. Sort data by Swing descending for tornado effect</t>
  </si>
  <si>
    <t>Executive Dashboard</t>
  </si>
  <si>
    <t>Key Results Summary</t>
  </si>
  <si>
    <t>This dashboard presents the key outputs from the Monte Carlo simulation.
PRIMARY METRICS:
- Expected NPV: Mean of 1000 simulation iterations
- P10/P50/P90: Confidence interval bounds
- Probability NPV &gt; 0: Likelihood of positive outcome
INTERPRETATION GUIDE:
- P10 = "Pessimistic but plausible" (10% of outcomes are worse)
- P50 = Median outcome (equally likely to be higher or lower)
- P90 = "Optimistic but plausible" (10% of outcomes are better)
A narrow P10-P90 range indicates low uncertainty.
P10 &gt; 0 means even pessimistic scenarios show positive value.
REFRESH DATA:
Press Ctrl+Alt+F9 to regenerate all 1000 Monte Carlo iterations.
Dashboard values update automatically.</t>
  </si>
  <si>
    <t>Key Performance Indicators</t>
  </si>
  <si>
    <t>Primary Monte Carlo simulation outputs and financial metrics for executive decision-making.</t>
  </si>
  <si>
    <t>Provide at-a-glance summary of biosensor investment value and risk profile</t>
  </si>
  <si>
    <t>- NPV calculated over 5-year horizon with 7% discount rate
- P10/P50/P90 derived from 1000 Monte Carlo iterations
- All metrics assume Daily Biosensor as selected testing option
- Values refresh when Monte Carlo simulation is recalculated</t>
  </si>
  <si>
    <t>Calculated from 10_Calc_Sim Monte Carlo simulation results</t>
  </si>
  <si>
    <t>tbl_ScenarioBreakdown, tbl_Annual, tbl_CashFlow</t>
  </si>
  <si>
    <t>Selected Testing Option</t>
  </si>
  <si>
    <t>Expected NPV (5-Year)</t>
  </si>
  <si>
    <t>Monte Carlo P10</t>
  </si>
  <si>
    <t>Monte Carlo P50</t>
  </si>
  <si>
    <t>Monte Carlo P90</t>
  </si>
  <si>
    <t>Probability NPV &gt; 0</t>
  </si>
  <si>
    <t>Compliance Gate Status</t>
  </si>
  <si>
    <t>Annual Testing Cost</t>
  </si>
  <si>
    <t>Year 1 Gross Value</t>
  </si>
  <si>
    <t>Year 1 Net Value</t>
  </si>
  <si>
    <t>Scenario Value Breakdown</t>
  </si>
  <si>
    <t>Individual scenario contributions to total gated value with gate status.</t>
  </si>
  <si>
    <t>Show which value scenarios are captured by the selected testing option</t>
  </si>
  <si>
    <t>- Gate status determined by testing latency vs required response time
- ENABLED means testing latency allows capturing this value
- BLOCKED means testing latency prevents capturing this value
- Values are stochastic and vary with each Monte Carlo iteration</t>
  </si>
  <si>
    <t>Calculated from 8_Calc_Value gating logic and stochastic multipliers</t>
  </si>
  <si>
    <t>tbl_KPIs, tbl_ValueScenarios, tbl_GatedValues</t>
  </si>
  <si>
    <t>NAFC degradation parameters and Monte Carlo treatment time estimates.</t>
  </si>
  <si>
    <t>Validate that biosensor-enabled treatment achieves regulatory compliance within season</t>
  </si>
  <si>
    <t>- Based on Kearl (2022) first-order kinetics model for NAFC degradation
- Initial/target NAFC concentrations from site characterization data
- Treatment rate factor varies stochastically (0.7-1.3 multiplier)
- Season length constraint of 120 days for Alberta operations</t>
  </si>
  <si>
    <t>Kearl (2022) wetland treatment kinetics research</t>
  </si>
  <si>
    <t>tbl_KPIs, tbl_Triangular, tbl_TreatmentKinetics</t>
  </si>
  <si>
    <t>Initial NAFC Concentration</t>
  </si>
  <si>
    <t>Target NAFC Concentration</t>
  </si>
  <si>
    <t>"-"</t>
  </si>
  <si>
    <t>Days to Regulatory Compliance</t>
  </si>
  <si>
    <t>Circulation Cycles Required</t>
  </si>
  <si>
    <t>Treatment Efficiency</t>
  </si>
  <si>
    <t>MC Expected Days</t>
  </si>
  <si>
    <t>MC P90 Days (conservative)</t>
  </si>
  <si>
    <t>MC Prob(Achievable)</t>
  </si>
  <si>
    <t>Testing Option Comparison</t>
  </si>
  <si>
    <t>Side-by-side comparison of gate status and value across all testing options.</t>
  </si>
  <si>
    <t>Demonstrate the value differential between HRMS and biosensor testing approaches</t>
  </si>
  <si>
    <t>- Monthly HRMS: 42-day turnaround, $60K/season
- Weekly HRMS: 42-day turnaround, $28.6K/season
- Daily Biosensor: 1-day turnaround, $10K/season
- Gate status determined by latency vs required response time</t>
  </si>
  <si>
    <t>Testing cost quotes and operational latency measurements</t>
  </si>
  <si>
    <t>tbl_KPIs, tbl_TestOptions, tbl_LatencyGating</t>
  </si>
  <si>
    <t>S1 Gate</t>
  </si>
  <si>
    <t>S2 Gate</t>
  </si>
  <si>
    <t>S3 Gate</t>
  </si>
  <si>
    <t>S4 Gate</t>
  </si>
  <si>
    <t>Testing Cost/Season</t>
  </si>
  <si>
    <t>$60,000</t>
  </si>
  <si>
    <t>$28,571</t>
  </si>
  <si>
    <t>$10,000</t>
  </si>
  <si>
    <t>Potential 5-Year NPV</t>
  </si>
  <si>
    <t>-$29k</t>
  </si>
  <si>
    <t>$180k</t>
  </si>
  <si>
    <t>$1.1M+</t>
  </si>
  <si>
    <t>Model Health</t>
  </si>
  <si>
    <t>Check Status:</t>
  </si>
  <si>
    <t>Errors Found:</t>
  </si>
  <si>
    <t>Model Validation Checks</t>
  </si>
  <si>
    <t>Model Integrity Checks</t>
  </si>
  <si>
    <t>This sheet validates model inputs and calculations.
CHECK CATEGORIES:
- Range: Input values within acceptable bounds
- Consistency: Related inputs are logically consistent
- Sanity: Output values are reasonable
- Integrity: Calculations produce expected results
INTERPRETING RESULTS:
- PASS: Check passed, no action needed
- FAIL: Issue detected, review the referenced input/output
WHAT TO DO IF CHECKS FAIL:
1. Note which check(s) failed
2. Review the description to understand the issue
3. Navigate to the relevant input (usually 1_TOC or 3_Assumptions)
4. Adjust values to bring them within valid ranges
5. Return here to confirm PASS status
AUTOMATED MONITORING:
The 0_Cover sheet shows overall model health status.
Any FAIL here will trigger the "Review 17_Checks" warning.</t>
  </si>
  <si>
    <t>Automated validation rules that verify model inputs and outputs are within acceptable ranges.</t>
  </si>
  <si>
    <t>Ensure model integrity by detecting invalid inputs, inconsistent parameters, and unreasonable outputs</t>
  </si>
  <si>
    <t>- Range checks based on reasonable operational bounds
- Sanity checks based on expected order-of-magnitude for outputs
- Consistency checks ensure related parameters are logically coherent
- PASS/FAIL status updates automatically when inputs change</t>
  </si>
  <si>
    <t>Validation rules based on domain expertise and operational constraints</t>
  </si>
  <si>
    <t>tbl_Control, tbl_KPIs, tbl_ValueScenarios</t>
  </si>
  <si>
    <t>Check_ID</t>
  </si>
  <si>
    <t>Category</t>
  </si>
  <si>
    <t>CHK001</t>
  </si>
  <si>
    <t>Range</t>
  </si>
  <si>
    <t>Discount rate between 0-15%</t>
  </si>
  <si>
    <t>CHK002</t>
  </si>
  <si>
    <t>Season length between 60-150 days</t>
  </si>
  <si>
    <t>CHK003</t>
  </si>
  <si>
    <t>Projection years between 1-10</t>
  </si>
  <si>
    <t>CHK004</t>
  </si>
  <si>
    <t>Value per M3 positive</t>
  </si>
  <si>
    <t>CHK005</t>
  </si>
  <si>
    <t>Logic</t>
  </si>
  <si>
    <t>Testing option valid</t>
  </si>
  <si>
    <t>CHK006</t>
  </si>
  <si>
    <t>Scenario selection valid</t>
  </si>
  <si>
    <t>CHK007</t>
  </si>
  <si>
    <t>Sanity</t>
  </si>
  <si>
    <t>NPV within reasonable bounds</t>
  </si>
  <si>
    <t>CHK008</t>
  </si>
  <si>
    <t>Testing cost positive</t>
  </si>
  <si>
    <t>CHK009</t>
  </si>
  <si>
    <t>Gross value non-negative</t>
  </si>
  <si>
    <t>CHK010</t>
  </si>
  <si>
    <t>Integrity</t>
  </si>
  <si>
    <t>All named ranges defined</t>
  </si>
  <si>
    <t>CHK011</t>
  </si>
  <si>
    <t>Initial NAFC in range (40-100 mg/L)</t>
  </si>
  <si>
    <t>CHK012</t>
  </si>
  <si>
    <t>Target NAFC &lt; Initial NAFC</t>
  </si>
  <si>
    <t>CHK013</t>
  </si>
  <si>
    <t>Days to compliance &lt;= season length</t>
  </si>
  <si>
    <t>CHK014</t>
  </si>
  <si>
    <t>Treatment rates positive</t>
  </si>
  <si>
    <t>CHK015</t>
  </si>
  <si>
    <t>Compliance</t>
  </si>
  <si>
    <t>Master compliance gate status</t>
  </si>
  <si>
    <t>CHK016</t>
  </si>
  <si>
    <t>Compliance adjusted value non-negative</t>
  </si>
  <si>
    <t>Total Checks:</t>
  </si>
  <si>
    <t>Passed:</t>
  </si>
  <si>
    <t>Failed:</t>
  </si>
  <si>
    <t>Model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</si>
</sst>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yyyy\-mm\-dd"/>
    <numFmt numFmtId="165" formatCode="0.0%"/>
    <numFmt numFmtId="166" formatCode="\$#,##0.00"/>
    <numFmt numFmtId="167" formatCode="\$#,##0"/>
    <numFmt numFmtId="168" formatCode="0.000"/>
    <numFmt numFmtId="169" formatCode="0.0"/>
    <numFmt numFmtId="170" formatCode="0.0\ &quot;mg/L&quot;"/>
    <numFmt numFmtId="171" formatCode="0.0\ &quot;days&quot;"/>
  </numFmts>
  <fonts count="14" x14ac:knownFonts="1">
    <font>
      <sz val="11"/>
      <color theme="1"/>
      <name val="Calibri"/>
      <family val="2"/>
      <scheme val="minor"/>
    </font>
    <font>
      <b/>
      <sz val="20"/>
      <name val="Calibri"/>
      <family val="2"/>
    </font>
    <font>
      <i/>
      <sz val="12"/>
      <name val="Calibri"/>
      <family val="2"/>
    </font>
    <font>
      <b/>
      <sz val="14"/>
      <name val="Calibri"/>
      <family val="2"/>
    </font>
    <font>
      <b/>
      <sz val="16"/>
      <name val="Calibri"/>
      <family val="2"/>
    </font>
    <font>
      <b/>
      <sz val="11"/>
      <name val="Calibri"/>
      <family val="2"/>
    </font>
    <font>
      <b/>
      <sz val="10"/>
      <color rgb="FF666666"/>
      <name val="Calibri"/>
      <family val="2"/>
    </font>
    <font>
      <sz val="10"/>
      <color rgb="FF666666"/>
      <name val="Calibri"/>
      <family val="2"/>
    </font>
    <font>
      <b/>
      <sz val="11"/>
      <color rgb="FFFFFFFF"/>
      <name val="Calibri"/>
      <family val="2"/>
    </font>
    <font>
      <b/>
      <sz val="11"/>
      <name val="Calibri"/>
      <family val="2"/>
    </font>
    <font>
      <i/>
      <sz val="11"/>
      <name val="Calibri"/>
      <family val="2"/>
    </font>
    <font>
      <b/>
      <sz val="11"/>
      <color rgb="FF1F4E79"/>
      <name val="Calibri"/>
      <family val="2"/>
    </font>
    <font>
      <i/>
      <sz val="9"/>
      <name val="Calibri"/>
      <family val="2"/>
    </font>
    <font>
      <i/>
      <sz val="9"/>
      <color rgb="FF666666"/>
      <name val="Calibri"/>
      <family val="2"/>
    </font>
  </fonts>
  <fills count="6">
    <fill>
      <patternFill patternType="none"/>
    </fill>
    <fill>
      <patternFill patternType="gray125"/>
    </fill>
    <fill>
      <patternFill patternType="solid">
        <fgColor rgb="FFF2F2F2"/>
        <bgColor rgb="FFF2F2F2"/>
      </patternFill>
    </fill>
    <fill>
      <patternFill patternType="solid">
        <fgColor rgb="FF4472C4"/>
        <bgColor rgb="FF4472C4"/>
      </patternFill>
    </fill>
    <fill>
      <patternFill patternType="solid">
        <fgColor rgb="FFFFFF99"/>
        <bgColor rgb="FFFFFF99"/>
      </patternFill>
    </fill>
    <fill>
      <patternFill patternType="solid">
        <fgColor rgb="FFDEEAF6"/>
        <bgColor rgb="FFDEEAF6"/>
      </patternFill>
    </fill>
  </fills>
  <borders count="4">
    <border>
      <left/>
      <right/>
      <top/>
      <bottom/>
      <diagonal/>
    </border>
    <border>
      <left style="medium">
        <color rgb="FF4472C4"/>
      </left>
      <right style="medium">
        <color rgb="FF4472C4"/>
      </right>
      <top style="medium">
        <color rgb="FF4472C4"/>
      </top>
      <bottom style="medium">
        <color rgb="FF4472C4"/>
      </bottom>
      <diagonal/>
    </border>
    <border>
      <left/>
      <right/>
      <top style="medium">
        <color rgb="FF4472C4"/>
      </top>
      <bottom style="medium">
        <color rgb="FF4472C4"/>
      </bottom>
      <diagonal/>
    </border>
    <border>
      <left/>
      <right style="medium">
        <color rgb="FF4472C4"/>
      </right>
      <top style="medium">
        <color rgb="FF4472C4"/>
      </top>
      <bottom style="medium">
        <color rgb="FF4472C4"/>
      </bottom>
      <diagonal/>
    </border>
  </borders>
  <cellStyleXfs count="1">
    <xf numFmtId="0" fontId="0" fillId="0" borderId="0"/>
  </cellStyleXfs>
  <cellXfs count="37">
    <xf numFmtId="0" fontId="0" fillId="0" borderId="0" xfId="0"/>
    <xf numFmtId="0" fontId="1" fillId="0" borderId="0" xfId="0" applyFont="1"/>
    <xf numFmtId="0" fontId="2" fillId="0" borderId="0" xfId="0" applyFont="1"/>
    <xf numFmtId="164" fontId="0" fillId="0" borderId="0" xfId="0" applyNumberFormat="1"/>
    <xf numFmtId="0" fontId="3" fillId="0" borderId="0" xfId="0" applyFont="1"/>
    <xf numFmtId="0" fontId="4" fillId="0" borderId="0" xfId="0" applyFont="1"/>
    <xf numFmtId="0" fontId="5" fillId="0" borderId="0" xfId="0" applyFont="1"/>
    <xf numFmtId="0" fontId="6" fillId="2" borderId="0" xfId="0" applyFont="1" applyFill="1" applyAlignment="1">
      <alignment vertical="top"/>
    </xf>
    <xf numFmtId="0" fontId="8" fillId="3" borderId="0" xfId="0" applyFont="1" applyFill="1"/>
    <xf numFmtId="0" fontId="0" fillId="4" borderId="0" xfId="0" applyFill="1"/>
    <xf numFmtId="165" fontId="0" fillId="4" borderId="0" xfId="0" applyNumberFormat="1" applyFill="1"/>
    <xf numFmtId="0" fontId="9" fillId="0" borderId="0" xfId="0" applyFont="1"/>
    <xf numFmtId="0" fontId="10" fillId="0" borderId="0" xfId="0" applyFont="1"/>
    <xf numFmtId="166" fontId="0" fillId="4" borderId="0" xfId="0" applyNumberFormat="1" applyFill="1"/>
    <xf numFmtId="167" fontId="0" fillId="4" borderId="0" xfId="0" applyNumberFormat="1" applyFill="1"/>
    <xf numFmtId="167" fontId="0" fillId="0" borderId="0" xfId="0" applyNumberFormat="1"/>
    <xf numFmtId="168" fontId="0" fillId="4" borderId="0" xfId="0" applyNumberFormat="1" applyFill="1"/>
    <xf numFmtId="169" fontId="0" fillId="4" borderId="0" xfId="0" applyNumberFormat="1" applyFill="1"/>
    <xf numFmtId="2" fontId="0" fillId="4" borderId="0" xfId="0" applyNumberFormat="1" applyFill="1"/>
    <xf numFmtId="1" fontId="0" fillId="4" borderId="0" xfId="0" applyNumberFormat="1" applyFill="1"/>
    <xf numFmtId="0" fontId="12" fillId="0" borderId="0" xfId="0" applyFont="1"/>
    <xf numFmtId="168" fontId="0" fillId="0" borderId="0" xfId="0" applyNumberFormat="1"/>
    <xf numFmtId="2" fontId="0" fillId="0" borderId="0" xfId="0" applyNumberFormat="1"/>
    <xf numFmtId="169" fontId="0" fillId="0" borderId="0" xfId="0" applyNumberFormat="1"/>
    <xf numFmtId="1" fontId="0" fillId="0" borderId="0" xfId="0" applyNumberFormat="1"/>
    <xf numFmtId="165" fontId="0" fillId="0" borderId="0" xfId="0" applyNumberFormat="1"/>
    <xf numFmtId="0" fontId="13" fillId="0" borderId="0" xfId="0" applyFont="1"/>
    <xf numFmtId="167" fontId="9" fillId="0" borderId="0" xfId="0" applyNumberFormat="1" applyFont="1"/>
    <xf numFmtId="166" fontId="0" fillId="0" borderId="0" xfId="0" applyNumberFormat="1"/>
    <xf numFmtId="170" fontId="0" fillId="0" borderId="0" xfId="0" applyNumberFormat="1"/>
    <xf numFmtId="171" fontId="0" fillId="0" borderId="0" xfId="0" applyNumberFormat="1"/>
    <xf numFmtId="0" fontId="7" fillId="2" borderId="0" xfId="0" applyFont="1" applyFill="1" applyAlignment="1">
      <alignment vertical="top" wrapText="1"/>
    </xf>
    <xf numFmtId="0" fontId="0" fillId="0" borderId="0" xfId="0"/>
    <xf numFmtId="0" fontId="0" fillId="5" borderId="1" xfId="0" applyFill="1" applyBorder="1" applyAlignment="1">
      <alignment horizontal="left" vertical="top" wrapText="1"/>
    </xf>
    <xf numFmtId="0" fontId="0" fillId="0" borderId="2" xfId="0" applyBorder="1"/>
    <xf numFmtId="0" fontId="0" fillId="0" borderId="3" xfId="0" applyBorder="1"/>
    <xf numFmtId="0" fontId="11" fillId="5" borderId="1" xfId="0" applyFont="1" applyFill="1" applyBorder="1" applyAlignment="1">
      <alignment horizontal="left"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Control" displayName="tbl_Control" ref="A9:D14">
  <autoFilter ref="A9:D14" xr:uid="{00000000-0009-0000-0100-000001000000}"/>
  <tableColumns count="4">
    <tableColumn id="1" xr3:uid="{00000000-0010-0000-0000-000001000000}" name="Parameter"/>
    <tableColumn id="2" xr3:uid="{00000000-0010-0000-0000-000002000000}" name="Value"/>
    <tableColumn id="3" xr3:uid="{00000000-0010-0000-0000-000003000000}" name="Validation"/>
    <tableColumn id="4" xr3:uid="{00000000-0010-0000-0000-000004000000}" name="Descriptio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InputMap" displayName="tbl_InputMap" ref="A4:D34">
  <autoFilter ref="A4:D34" xr:uid="{00000000-0009-0000-0100-000002000000}"/>
  <tableColumns count="4">
    <tableColumn id="1" xr3:uid="{00000000-0010-0000-0100-000001000000}" name="Input Name"/>
    <tableColumn id="2" xr3:uid="{00000000-0010-0000-0100-000002000000}" name="Value"/>
    <tableColumn id="3" xr3:uid="{00000000-0010-0000-0100-000003000000}" name="Source Sheet"/>
    <tableColumn id="4" xr3:uid="{00000000-0010-0000-0100-000004000000}" name="Referenced By"/>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Timing" displayName="tbl_Timing" ref="A9:E14">
  <autoFilter ref="A9:E14" xr:uid="{00000000-0009-0000-0100-000003000000}"/>
  <tableColumns count="5">
    <tableColumn id="1" xr3:uid="{00000000-0010-0000-0200-000001000000}" name="Parameter"/>
    <tableColumn id="2" xr3:uid="{00000000-0010-0000-0200-000002000000}" name="Value"/>
    <tableColumn id="3" xr3:uid="{00000000-0010-0000-0200-000003000000}" name="Unit"/>
    <tableColumn id="4" xr3:uid="{00000000-0010-0000-0200-000004000000}" name="Notes"/>
    <tableColumn id="5" xr3:uid="{00000000-0010-0000-0200-000005000000}" name="Referenced By"/>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Seasonality" displayName="tbl_Seasonality" ref="A22:D27">
  <autoFilter ref="A22:D27" xr:uid="{00000000-0009-0000-0100-000004000000}"/>
  <tableColumns count="4">
    <tableColumn id="1" xr3:uid="{00000000-0010-0000-0300-000001000000}" name="Month"/>
    <tableColumn id="2" xr3:uid="{00000000-0010-0000-0300-000002000000}" name="Month_Num"/>
    <tableColumn id="3" xr3:uid="{00000000-0010-0000-0300-000003000000}" name="Multiplier"/>
    <tableColumn id="4" xr3:uid="{00000000-0010-0000-0300-000004000000}" name="Activity"/>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iteConfig" displayName="tbl_SiteConfig" ref="A36:E40">
  <autoFilter ref="A36:E40" xr:uid="{00000000-0009-0000-0100-000005000000}"/>
  <tableColumns count="5">
    <tableColumn id="1" xr3:uid="{00000000-0010-0000-0400-000001000000}" name="Parameter"/>
    <tableColumn id="2" xr3:uid="{00000000-0010-0000-0400-000002000000}" name="Value"/>
    <tableColumn id="3" xr3:uid="{00000000-0010-0000-0400-000003000000}" name="Unit"/>
    <tableColumn id="4" xr3:uid="{00000000-0010-0000-0400-000004000000}" name="Source"/>
    <tableColumn id="5" xr3:uid="{00000000-0010-0000-0400-000005000000}" name="Referenced By"/>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CostParams" displayName="tbl_CostParams" ref="A49:D52">
  <autoFilter ref="A49:D52" xr:uid="{00000000-0009-0000-0100-000006000000}"/>
  <tableColumns count="4">
    <tableColumn id="1" xr3:uid="{00000000-0010-0000-0500-000001000000}" name="Parameter"/>
    <tableColumn id="2" xr3:uid="{00000000-0010-0000-0500-000002000000}" name="Value"/>
    <tableColumn id="3" xr3:uid="{00000000-0010-0000-0500-000003000000}" name="Unit"/>
    <tableColumn id="4" xr3:uid="{00000000-0010-0000-0500-000004000000}" name="Referenced By"/>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LearningCurve" displayName="tbl_LearningCurve" ref="A61:D66">
  <autoFilter ref="A61:D66" xr:uid="{00000000-0009-0000-0100-000007000000}"/>
  <tableColumns count="4">
    <tableColumn id="1" xr3:uid="{00000000-0010-0000-0600-000001000000}" name="Year"/>
    <tableColumn id="2" xr3:uid="{00000000-0010-0000-0600-000002000000}" name="Multiplier"/>
    <tableColumn id="3" xr3:uid="{00000000-0010-0000-0600-000003000000}" name="Notes"/>
    <tableColumn id="4" xr3:uid="{00000000-0010-0000-0600-000004000000}" name="Referenced By"/>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TestOptions" displayName="tbl_TestOptions" ref="A75:G78">
  <autoFilter ref="A75:G78" xr:uid="{00000000-0009-0000-0100-000008000000}"/>
  <tableColumns count="7">
    <tableColumn id="1" xr3:uid="{00000000-0010-0000-0700-000001000000}" name="Option"/>
    <tableColumn id="2" xr3:uid="{00000000-0010-0000-0700-000002000000}" name="Method"/>
    <tableColumn id="3" xr3:uid="{00000000-0010-0000-0700-000003000000}" name="Interval"/>
    <tableColumn id="4" xr3:uid="{00000000-0010-0000-0700-000004000000}" name="Points"/>
    <tableColumn id="5" xr3:uid="{00000000-0010-0000-0700-000005000000}" name="Cost_Per_Test"/>
    <tableColumn id="6" xr3:uid="{00000000-0010-0000-0700-000006000000}" name="Latency_Days"/>
    <tableColumn id="7" xr3:uid="{00000000-0010-0000-0700-000007000000}" name="Referenced By"/>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LatencyGating" displayName="tbl_LatencyGating" ref="A86:E89">
  <autoFilter ref="A86:E89" xr:uid="{00000000-0009-0000-0100-000009000000}"/>
  <tableColumns count="5">
    <tableColumn id="1" xr3:uid="{00000000-0010-0000-0800-000001000000}" name="Option"/>
    <tableColumn id="2" xr3:uid="{00000000-0010-0000-0800-000002000000}" name="S1_Gate"/>
    <tableColumn id="3" xr3:uid="{00000000-0010-0000-0800-000003000000}" name="S2_Gate"/>
    <tableColumn id="4" xr3:uid="{00000000-0010-0000-0800-000004000000}" name="S3_Gate"/>
    <tableColumn id="5" xr3:uid="{00000000-0010-0000-0800-000005000000}" name="S4_Gate"/>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TreatmentKinetics" displayName="tbl_TreatmentKinetics" ref="A107:E114">
  <autoFilter ref="A107:E114" xr:uid="{00000000-0009-0000-0100-00000A000000}"/>
  <tableColumns count="5">
    <tableColumn id="1" xr3:uid="{00000000-0010-0000-0900-000001000000}" name="Parameter"/>
    <tableColumn id="2" xr3:uid="{00000000-0010-0000-0900-000002000000}" name="Value"/>
    <tableColumn id="3" xr3:uid="{00000000-0010-0000-0900-000003000000}" name="Unit"/>
    <tableColumn id="4" xr3:uid="{00000000-0010-0000-0900-000004000000}" name="Notes"/>
    <tableColumn id="5" xr3:uid="{00000000-0010-0000-0900-000005000000}" name="Referenced By"/>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ToxicityMilestones" displayName="tbl_ToxicityMilestones" ref="A123:D126">
  <autoFilter ref="A123:D126" xr:uid="{00000000-0009-0000-0100-00000B000000}"/>
  <tableColumns count="4">
    <tableColumn id="1" xr3:uid="{00000000-0010-0000-0A00-000001000000}" name="Milestone"/>
    <tableColumn id="2" xr3:uid="{00000000-0010-0000-0A00-000002000000}" name="Days"/>
    <tableColumn id="3" xr3:uid="{00000000-0010-0000-0A00-000003000000}" name="Survival"/>
    <tableColumn id="4" xr3:uid="{00000000-0010-0000-0A00-000004000000}" name="Notes"/>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bl_Env_Profiles" displayName="tbl_Env_Profiles" ref="A7:H12">
  <autoFilter ref="A7:H12" xr:uid="{00000000-0009-0000-0100-00000C000000}"/>
  <tableColumns count="8">
    <tableColumn id="1" xr3:uid="{00000000-0010-0000-0B00-000001000000}" name="Variable"/>
    <tableColumn id="2" xr3:uid="{00000000-0010-0000-0B00-000002000000}" name="Unit"/>
    <tableColumn id="3" xr3:uid="{00000000-0010-0000-0B00-000003000000}" name="May"/>
    <tableColumn id="4" xr3:uid="{00000000-0010-0000-0B00-000004000000}" name="Jun"/>
    <tableColumn id="5" xr3:uid="{00000000-0010-0000-0B00-000005000000}" name="Jul"/>
    <tableColumn id="6" xr3:uid="{00000000-0010-0000-0B00-000006000000}" name="Aug"/>
    <tableColumn id="7" xr3:uid="{00000000-0010-0000-0B00-000007000000}" name="Sep"/>
    <tableColumn id="8" xr3:uid="{00000000-0010-0000-0B00-000008000000}" name="Notes"/>
  </tableColumns>
  <tableStyleInfo name="TableStyleMedium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bl_Ionic_Params" displayName="tbl_Ionic_Params" ref="A16:H20">
  <autoFilter ref="A16:H20" xr:uid="{00000000-0009-0000-0100-00000D000000}"/>
  <tableColumns count="8">
    <tableColumn id="1" xr3:uid="{00000000-0010-0000-0C00-000001000000}" name="Parameter"/>
    <tableColumn id="2" xr3:uid="{00000000-0010-0000-0C00-000002000000}" name="Unit"/>
    <tableColumn id="3" xr3:uid="{00000000-0010-0000-0C00-000003000000}" name="Min"/>
    <tableColumn id="4" xr3:uid="{00000000-0010-0000-0C00-000004000000}" name="Mode"/>
    <tableColumn id="5" xr3:uid="{00000000-0010-0000-0C00-000005000000}" name="Max"/>
    <tableColumn id="6" xr3:uid="{00000000-0010-0000-0C00-000006000000}" name="Threshold"/>
    <tableColumn id="7" xr3:uid="{00000000-0010-0000-0C00-000007000000}" name="Direction"/>
    <tableColumn id="8" xr3:uid="{00000000-0010-0000-0C00-000008000000}" name="Notes"/>
  </tableColumns>
  <tableStyleInfo name="TableStyleMedium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bl_ValueScenarios" displayName="tbl_ValueScenarios" ref="A9:E13">
  <autoFilter ref="A9:E13" xr:uid="{00000000-0009-0000-0100-00000E000000}"/>
  <tableColumns count="5">
    <tableColumn id="1" xr3:uid="{00000000-0010-0000-0D00-000001000000}" name="ID"/>
    <tableColumn id="2" xr3:uid="{00000000-0010-0000-0D00-000002000000}" name="Name"/>
    <tableColumn id="3" xr3:uid="{00000000-0010-0000-0D00-000003000000}" name="Base_Value"/>
    <tableColumn id="4" xr3:uid="{00000000-0010-0000-0D00-000004000000}" name="Required_Response_Days"/>
    <tableColumn id="5" xr3:uid="{00000000-0010-0000-0D00-000005000000}" name="Description"/>
  </tableColumns>
  <tableStyleInfo name="TableStyleMedium9"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bl_ModelScenarios" displayName="tbl_ModelScenarios" ref="A22:D25">
  <autoFilter ref="A22:D25" xr:uid="{00000000-0009-0000-0100-00000F000000}"/>
  <tableColumns count="4">
    <tableColumn id="1" xr3:uid="{00000000-0010-0000-0E00-000001000000}" name="Scenario"/>
    <tableColumn id="2" xr3:uid="{00000000-0010-0000-0E00-000002000000}" name="Discount_Adj"/>
    <tableColumn id="3" xr3:uid="{00000000-0010-0000-0E00-000003000000}" name="Growth_Adj"/>
    <tableColumn id="4" xr3:uid="{00000000-0010-0000-0E00-000004000000}" name="Risk_Adj"/>
  </tableColumns>
  <tableStyleInfo name="TableStyleMedium9"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bl_Triangular" displayName="tbl_Triangular" ref="A9:F13">
  <autoFilter ref="A9:F13" xr:uid="{00000000-0009-0000-0100-000010000000}"/>
  <tableColumns count="6">
    <tableColumn id="1" xr3:uid="{00000000-0010-0000-0F00-000001000000}" name="Variable"/>
    <tableColumn id="2" xr3:uid="{00000000-0010-0000-0F00-000002000000}" name="Min"/>
    <tableColumn id="3" xr3:uid="{00000000-0010-0000-0F00-000003000000}" name="Mode"/>
    <tableColumn id="4" xr3:uid="{00000000-0010-0000-0F00-000004000000}" name="Max"/>
    <tableColumn id="5" xr3:uid="{00000000-0010-0000-0F00-000005000000}" name="Units"/>
    <tableColumn id="6" xr3:uid="{00000000-0010-0000-0F00-000006000000}" name="Referenced By"/>
  </tableColumns>
  <tableStyleInfo name="TableStyleMedium9"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bl_Beta" displayName="tbl_Beta" ref="A22:G23">
  <autoFilter ref="A22:G23" xr:uid="{00000000-0009-0000-0100-000011000000}"/>
  <tableColumns count="7">
    <tableColumn id="1" xr3:uid="{00000000-0010-0000-1000-000001000000}" name="Variable"/>
    <tableColumn id="2" xr3:uid="{00000000-0010-0000-1000-000002000000}" name="Alpha"/>
    <tableColumn id="3" xr3:uid="{00000000-0010-0000-1000-000003000000}" name="Beta"/>
    <tableColumn id="4" xr3:uid="{00000000-0010-0000-1000-000004000000}" name="Min"/>
    <tableColumn id="5" xr3:uid="{00000000-0010-0000-1000-000005000000}" name="Max"/>
    <tableColumn id="6" xr3:uid="{00000000-0010-0000-1000-000006000000}" name="Units"/>
    <tableColumn id="7" xr3:uid="{00000000-0010-0000-1000-000007000000}" name="Referenced By"/>
  </tableColumns>
  <tableStyleInfo name="TableStyleMedium9"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bl_ValueSensitivity" displayName="tbl_ValueSensitivity" ref="A32:E35">
  <autoFilter ref="A32:E35" xr:uid="{00000000-0009-0000-0100-000012000000}"/>
  <tableColumns count="5">
    <tableColumn id="1" xr3:uid="{00000000-0010-0000-1100-000001000000}" name="Frame"/>
    <tableColumn id="2" xr3:uid="{00000000-0010-0000-1100-000002000000}" name="Low"/>
    <tableColumn id="3" xr3:uid="{00000000-0010-0000-1100-000003000000}" name="Base"/>
    <tableColumn id="4" xr3:uid="{00000000-0010-0000-1100-000004000000}" name="High"/>
    <tableColumn id="5" xr3:uid="{00000000-0010-0000-1100-000005000000}" name="Context"/>
  </tableColumns>
  <tableStyleInfo name="TableStyleMedium9"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bl_Timeline" displayName="tbl_Timeline" ref="A12:E18">
  <autoFilter ref="A12:E18" xr:uid="{00000000-0009-0000-0100-000013000000}"/>
  <tableColumns count="5">
    <tableColumn id="1" xr3:uid="{00000000-0010-0000-1200-000001000000}" name="Year_Index"/>
    <tableColumn id="2" xr3:uid="{00000000-0010-0000-1200-000002000000}" name="Calendar_Year"/>
    <tableColumn id="3" xr3:uid="{00000000-0010-0000-1200-000003000000}" name="Treatment_Days"/>
    <tableColumn id="4" xr3:uid="{00000000-0010-0000-1200-000004000000}" name="Discount_Factor"/>
    <tableColumn id="5" xr3:uid="{00000000-0010-0000-1200-000005000000}" name="Learning_Mult"/>
  </tableColumns>
  <tableStyleInfo name="TableStyleMedium9"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bl_Rate_Modifiers" displayName="tbl_Rate_Modifiers" ref="A7:E12">
  <autoFilter ref="A7:E12" xr:uid="{00000000-0009-0000-0100-000014000000}"/>
  <tableColumns count="5">
    <tableColumn id="1" xr3:uid="{00000000-0010-0000-1300-000001000000}" name="Modifier"/>
    <tableColumn id="2" xr3:uid="{00000000-0010-0000-1300-000002000000}" name="Formula"/>
    <tableColumn id="3" xr3:uid="{00000000-0010-0000-1300-000003000000}" name="Value"/>
    <tableColumn id="4" xr3:uid="{00000000-0010-0000-1300-000004000000}" name="Unit"/>
    <tableColumn id="5" xr3:uid="{00000000-0010-0000-1300-000005000000}" name="Notes"/>
  </tableColumns>
  <tableStyleInfo name="TableStyleMedium9"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bl_Stochastic" displayName="tbl_Stochastic" ref="A13:C18">
  <autoFilter ref="A13:C18" xr:uid="{00000000-0009-0000-0100-000015000000}"/>
  <tableColumns count="3">
    <tableColumn id="1" xr3:uid="{00000000-0010-0000-1400-000001000000}" name="Variable"/>
    <tableColumn id="2" xr3:uid="{00000000-0010-0000-1400-000002000000}" name="Random_U"/>
    <tableColumn id="3" xr3:uid="{00000000-0010-0000-1400-000003000000}" name="Realized_Value"/>
  </tableColumns>
  <tableStyleInfo name="TableStyleMedium9"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bl_Compliance_Gates" displayName="tbl_Compliance_Gates" ref="A7:F20">
  <autoFilter ref="A7:F20" xr:uid="{00000000-0009-0000-0100-000016000000}"/>
  <tableColumns count="6">
    <tableColumn id="1" xr3:uid="{00000000-0010-0000-1500-000001000000}" name="Gate"/>
    <tableColumn id="2" xr3:uid="{00000000-0010-0000-1500-000002000000}" name="Threshold"/>
    <tableColumn id="3" xr3:uid="{00000000-0010-0000-1500-000003000000}" name="Direction"/>
    <tableColumn id="4" xr3:uid="{00000000-0010-0000-1500-000004000000}" name="Value"/>
    <tableColumn id="5" xr3:uid="{00000000-0010-0000-1500-000005000000}" name="Status"/>
    <tableColumn id="6" xr3:uid="{00000000-0010-0000-1500-000006000000}" name="Notes"/>
  </tableColumns>
  <tableStyleInfo name="TableStyleMedium9"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bl_GatedValues" displayName="tbl_GatedValues" ref="A12:E16">
  <autoFilter ref="A12:E16" xr:uid="{00000000-0009-0000-0100-000017000000}"/>
  <tableColumns count="5">
    <tableColumn id="1" xr3:uid="{00000000-0010-0000-1600-000001000000}" name="Scenario"/>
    <tableColumn id="2" xr3:uid="{00000000-0010-0000-1600-000002000000}" name="Base_Value"/>
    <tableColumn id="3" xr3:uid="{00000000-0010-0000-1600-000003000000}" name="Gate_Status"/>
    <tableColumn id="4" xr3:uid="{00000000-0010-0000-1600-000004000000}" name="Stoch_Mult"/>
    <tableColumn id="5" xr3:uid="{00000000-0010-0000-1600-000005000000}" name="Gated_Value"/>
  </tableColumns>
  <tableStyleInfo name="TableStyleMedium9"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bl_CostCalc" displayName="tbl_CostCalc" ref="A12:C19">
  <autoFilter ref="A12:C19" xr:uid="{00000000-0009-0000-0100-000018000000}"/>
  <tableColumns count="3">
    <tableColumn id="1" xr3:uid="{00000000-0010-0000-1700-000001000000}" name="Component"/>
    <tableColumn id="2" xr3:uid="{00000000-0010-0000-1700-000002000000}" name="Formula"/>
    <tableColumn id="3" xr3:uid="{00000000-0010-0000-1700-000003000000}" name="Value"/>
  </tableColumns>
  <tableStyleInfo name="TableStyleMedium9"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bl_Annual" displayName="tbl_Annual" ref="A12:J17">
  <autoFilter ref="A12:J17" xr:uid="{00000000-0009-0000-0100-000019000000}"/>
  <tableColumns count="10">
    <tableColumn id="1" xr3:uid="{00000000-0010-0000-1800-000001000000}" name="Year"/>
    <tableColumn id="2" xr3:uid="{00000000-0010-0000-1800-000002000000}" name="S1_Value"/>
    <tableColumn id="3" xr3:uid="{00000000-0010-0000-1800-000003000000}" name="S2_Value"/>
    <tableColumn id="4" xr3:uid="{00000000-0010-0000-1800-000004000000}" name="S3_Value"/>
    <tableColumn id="5" xr3:uid="{00000000-0010-0000-1800-000005000000}" name="S4_Value"/>
    <tableColumn id="6" xr3:uid="{00000000-0010-0000-1800-000006000000}" name="Gross_Value"/>
    <tableColumn id="7" xr3:uid="{00000000-0010-0000-1800-000007000000}" name="Costs"/>
    <tableColumn id="8" xr3:uid="{00000000-0010-0000-1800-000008000000}" name="Net_Annual"/>
    <tableColumn id="9" xr3:uid="{00000000-0010-0000-1800-000009000000}" name="Discount_Factor"/>
    <tableColumn id="10" xr3:uid="{00000000-0010-0000-1800-00000A000000}" name="Discounted"/>
  </tableColumns>
  <tableStyleInfo name="TableStyleMedium9"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tbl_CashFlow" displayName="tbl_CashFlow" ref="A12:D17">
  <autoFilter ref="A12:D17" xr:uid="{00000000-0009-0000-0100-00001A000000}"/>
  <tableColumns count="4">
    <tableColumn id="1" xr3:uid="{00000000-0010-0000-1900-000001000000}" name="Year"/>
    <tableColumn id="2" xr3:uid="{00000000-0010-0000-1900-000002000000}" name="Annual_Net"/>
    <tableColumn id="3" xr3:uid="{00000000-0010-0000-1900-000003000000}" name="Cumulative_Net"/>
    <tableColumn id="4" xr3:uid="{00000000-0010-0000-1900-000004000000}" name="Cumulative_NPV"/>
  </tableColumns>
  <tableStyleInfo name="TableStyleMedium9"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tbl_UnitEconomics" displayName="tbl_UnitEconomics" ref="A12:D21">
  <autoFilter ref="A12:D21" xr:uid="{00000000-0009-0000-0100-00001B000000}"/>
  <tableColumns count="4">
    <tableColumn id="1" xr3:uid="{00000000-0010-0000-1A00-000001000000}" name="Metric"/>
    <tableColumn id="2" xr3:uid="{00000000-0010-0000-1A00-000002000000}" name="Value"/>
    <tableColumn id="3" xr3:uid="{00000000-0010-0000-1A00-000003000000}" name="Unit"/>
    <tableColumn id="4" xr3:uid="{00000000-0010-0000-1A00-000004000000}" name="Formula"/>
  </tableColumns>
  <tableStyleInfo name="TableStyleMedium9"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tbl_Sensitivity" displayName="tbl_Sensitivity" ref="A12:G16">
  <autoFilter ref="A12:G16" xr:uid="{00000000-0009-0000-0100-00001C000000}"/>
  <tableColumns count="7">
    <tableColumn id="1" xr3:uid="{00000000-0010-0000-1B00-000001000000}" name="Parameter"/>
    <tableColumn id="2" xr3:uid="{00000000-0010-0000-1B00-000002000000}" name="Low"/>
    <tableColumn id="3" xr3:uid="{00000000-0010-0000-1B00-000003000000}" name="Base"/>
    <tableColumn id="4" xr3:uid="{00000000-0010-0000-1B00-000004000000}" name="High"/>
    <tableColumn id="5" xr3:uid="{00000000-0010-0000-1B00-000005000000}" name="NPV_at_Low"/>
    <tableColumn id="6" xr3:uid="{00000000-0010-0000-1B00-000006000000}" name="NPV_at_High"/>
    <tableColumn id="7" xr3:uid="{00000000-0010-0000-1B00-000007000000}" name="Swing"/>
  </tableColumns>
  <tableStyleInfo name="TableStyleMedium9"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0000000-000C-0000-FFFF-FFFF1C000000}" name="tbl_KPIs" displayName="tbl_KPIs" ref="A12:B22">
  <autoFilter ref="A12:B22" xr:uid="{00000000-0009-0000-0100-00001D000000}"/>
  <tableColumns count="2">
    <tableColumn id="1" xr3:uid="{00000000-0010-0000-1C00-000001000000}" name="Metric"/>
    <tableColumn id="2" xr3:uid="{00000000-0010-0000-1C00-000002000000}" name="Value"/>
  </tableColumns>
  <tableStyleInfo name="TableStyleMedium9"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00000000-000C-0000-FFFF-FFFF1D000000}" name="tbl_ScenarioBreakdown" displayName="tbl_ScenarioBreakdown" ref="A30:C34">
  <autoFilter ref="A30:C34" xr:uid="{00000000-0009-0000-0100-00001E000000}"/>
  <tableColumns count="3">
    <tableColumn id="1" xr3:uid="{00000000-0010-0000-1D00-000001000000}" name="Scenario"/>
    <tableColumn id="2" xr3:uid="{00000000-0010-0000-1D00-000002000000}" name="Gated_Value"/>
    <tableColumn id="3" xr3:uid="{00000000-0010-0000-1D00-000003000000}" name="Status"/>
  </tableColumns>
  <tableStyleInfo name="TableStyleMedium9"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0000000-000C-0000-FFFF-FFFF1E000000}" name="tbl_TreatmentKPIs" displayName="tbl_TreatmentKPIs" ref="A42:C50">
  <autoFilter ref="A42:C50" xr:uid="{00000000-0009-0000-0100-00001F000000}"/>
  <tableColumns count="3">
    <tableColumn id="1" xr3:uid="{00000000-0010-0000-1E00-000001000000}" name="Metric"/>
    <tableColumn id="2" xr3:uid="{00000000-0010-0000-1E00-000002000000}" name="Value"/>
    <tableColumn id="3" xr3:uid="{00000000-0010-0000-1E00-000003000000}" name="Status"/>
  </tableColumns>
  <tableStyleInfo name="TableStyleMedium9"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00000000-000C-0000-FFFF-FFFF1F000000}" name="tbl_OptionComparison" displayName="tbl_OptionComparison" ref="A58:D64">
  <autoFilter ref="A58:D64" xr:uid="{00000000-0009-0000-0100-000020000000}"/>
  <tableColumns count="4">
    <tableColumn id="1" xr3:uid="{00000000-0010-0000-1F00-000001000000}" name="Metric"/>
    <tableColumn id="2" xr3:uid="{00000000-0010-0000-1F00-000002000000}" name="Monthly_HRMS"/>
    <tableColumn id="3" xr3:uid="{00000000-0010-0000-1F00-000003000000}" name="Weekly_HRMS"/>
    <tableColumn id="4" xr3:uid="{00000000-0010-0000-1F00-000004000000}" name="Daily_Biosensor"/>
  </tableColumns>
  <tableStyleInfo name="TableStyleMedium9"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00000000-000C-0000-FFFF-FFFF20000000}" name="tbl_Checks" displayName="tbl_Checks" ref="A12:D28">
  <autoFilter ref="A12:D28" xr:uid="{00000000-0009-0000-0100-000021000000}"/>
  <tableColumns count="4">
    <tableColumn id="1" xr3:uid="{00000000-0010-0000-2000-000001000000}" name="Check_ID"/>
    <tableColumn id="2" xr3:uid="{00000000-0010-0000-2000-000002000000}" name="Category"/>
    <tableColumn id="3" xr3:uid="{00000000-0010-0000-2000-000003000000}" name="Description"/>
    <tableColumn id="4" xr3:uid="{00000000-0010-0000-2000-000004000000}" name="Statu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table" Target="../tables/table3.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21.xml.rels><?xml version="1.0" encoding="UTF-8" standalone="yes"?>
<Relationships xmlns="http://schemas.openxmlformats.org/package/2006/relationships"><Relationship Id="rId3" Type="http://schemas.openxmlformats.org/officeDocument/2006/relationships/table" Target="../tables/table31.xml"/><Relationship Id="rId2" Type="http://schemas.openxmlformats.org/officeDocument/2006/relationships/table" Target="../tables/table30.xml"/><Relationship Id="rId1" Type="http://schemas.openxmlformats.org/officeDocument/2006/relationships/table" Target="../tables/table29.xml"/><Relationship Id="rId4" Type="http://schemas.openxmlformats.org/officeDocument/2006/relationships/table" Target="../tables/table3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FF"/>
  </sheetPr>
  <dimension ref="A1:B29"/>
  <sheetViews>
    <sheetView topLeftCell="A7" zoomScale="120" zoomScaleNormal="120" workbookViewId="0">
      <selection activeCell="B44" sqref="B44"/>
    </sheetView>
  </sheetViews>
  <sheetFormatPr baseColWidth="10" defaultColWidth="8.83203125" defaultRowHeight="15" x14ac:dyDescent="0.2"/>
  <cols>
    <col min="1" max="1" width="20" customWidth="1"/>
    <col min="2" max="2" width="45" customWidth="1"/>
  </cols>
  <sheetData>
    <row r="1" spans="1:2" ht="26" x14ac:dyDescent="0.3">
      <c r="A1" s="1" t="s">
        <v>0</v>
      </c>
    </row>
    <row r="2" spans="1:2" ht="16" x14ac:dyDescent="0.2">
      <c r="A2" s="2" t="s">
        <v>1</v>
      </c>
    </row>
    <row r="4" spans="1:2" x14ac:dyDescent="0.2">
      <c r="A4" t="s">
        <v>2</v>
      </c>
      <c r="B4" t="s">
        <v>3</v>
      </c>
    </row>
    <row r="5" spans="1:2" x14ac:dyDescent="0.2">
      <c r="A5" t="s">
        <v>4</v>
      </c>
      <c r="B5" s="3">
        <f ca="1">TODAY()</f>
        <v>46053</v>
      </c>
    </row>
    <row r="6" spans="1:2" x14ac:dyDescent="0.2">
      <c r="A6" t="s">
        <v>5</v>
      </c>
      <c r="B6" t="s">
        <v>6</v>
      </c>
    </row>
    <row r="8" spans="1:2" ht="19" x14ac:dyDescent="0.25">
      <c r="A8" s="4" t="s">
        <v>7</v>
      </c>
    </row>
    <row r="9" spans="1:2" x14ac:dyDescent="0.2">
      <c r="A9" t="s">
        <v>8</v>
      </c>
      <c r="B9" t="str">
        <f ca="1">IF(COUNTIF('21_Checks'!D:D,"FAIL")=0, "All Checks Pass", "Review 21_Checks")</f>
        <v>Review 21_Checks</v>
      </c>
    </row>
    <row r="10" spans="1:2" x14ac:dyDescent="0.2">
      <c r="A10" t="s">
        <v>9</v>
      </c>
      <c r="B10">
        <f ca="1">COUNTIF('21_Checks'!D:D,"FAIL")</f>
        <v>1</v>
      </c>
    </row>
    <row r="12" spans="1:2" ht="19" x14ac:dyDescent="0.25">
      <c r="A12" s="4" t="s">
        <v>10</v>
      </c>
    </row>
    <row r="13" spans="1:2" x14ac:dyDescent="0.2">
      <c r="A13" t="s">
        <v>11</v>
      </c>
      <c r="B13" t="s">
        <v>12</v>
      </c>
    </row>
    <row r="14" spans="1:2" x14ac:dyDescent="0.2">
      <c r="A14" t="s">
        <v>13</v>
      </c>
      <c r="B14" t="s">
        <v>14</v>
      </c>
    </row>
    <row r="15" spans="1:2" x14ac:dyDescent="0.2">
      <c r="A15" t="s">
        <v>15</v>
      </c>
      <c r="B15" t="s">
        <v>16</v>
      </c>
    </row>
    <row r="16" spans="1:2" x14ac:dyDescent="0.2">
      <c r="A16" t="s">
        <v>17</v>
      </c>
      <c r="B16" t="s">
        <v>18</v>
      </c>
    </row>
    <row r="17" spans="1:2" x14ac:dyDescent="0.2">
      <c r="A17" t="s">
        <v>19</v>
      </c>
      <c r="B17" t="s">
        <v>20</v>
      </c>
    </row>
    <row r="18" spans="1:2" x14ac:dyDescent="0.2">
      <c r="A18" t="s">
        <v>21</v>
      </c>
      <c r="B18" t="s">
        <v>22</v>
      </c>
    </row>
    <row r="19" spans="1:2" x14ac:dyDescent="0.2">
      <c r="A19" t="s">
        <v>23</v>
      </c>
      <c r="B19" t="s">
        <v>24</v>
      </c>
    </row>
    <row r="20" spans="1:2" x14ac:dyDescent="0.2">
      <c r="A20" t="s">
        <v>25</v>
      </c>
      <c r="B20" t="s">
        <v>26</v>
      </c>
    </row>
    <row r="21" spans="1:2" x14ac:dyDescent="0.2">
      <c r="A21" t="s">
        <v>27</v>
      </c>
      <c r="B21" t="s">
        <v>28</v>
      </c>
    </row>
    <row r="22" spans="1:2" x14ac:dyDescent="0.2">
      <c r="A22" t="s">
        <v>29</v>
      </c>
      <c r="B22" t="s">
        <v>30</v>
      </c>
    </row>
    <row r="23" spans="1:2" x14ac:dyDescent="0.2">
      <c r="A23" t="s">
        <v>31</v>
      </c>
      <c r="B23" t="s">
        <v>32</v>
      </c>
    </row>
    <row r="24" spans="1:2" x14ac:dyDescent="0.2">
      <c r="A24" t="s">
        <v>33</v>
      </c>
      <c r="B24" t="s">
        <v>34</v>
      </c>
    </row>
    <row r="25" spans="1:2" x14ac:dyDescent="0.2">
      <c r="A25" t="s">
        <v>35</v>
      </c>
      <c r="B25" t="s">
        <v>36</v>
      </c>
    </row>
    <row r="26" spans="1:2" x14ac:dyDescent="0.2">
      <c r="A26" t="s">
        <v>37</v>
      </c>
      <c r="B26" t="s">
        <v>38</v>
      </c>
    </row>
    <row r="27" spans="1:2" x14ac:dyDescent="0.2">
      <c r="A27" t="s">
        <v>39</v>
      </c>
      <c r="B27" t="s">
        <v>40</v>
      </c>
    </row>
    <row r="28" spans="1:2" x14ac:dyDescent="0.2">
      <c r="A28" t="s">
        <v>41</v>
      </c>
      <c r="B28" t="s">
        <v>42</v>
      </c>
    </row>
    <row r="29" spans="1:2" x14ac:dyDescent="0.2">
      <c r="A29" t="s">
        <v>43</v>
      </c>
      <c r="B29" t="s">
        <v>44</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D14"/>
  <sheetViews>
    <sheetView zoomScale="120" zoomScaleNormal="120" workbookViewId="0">
      <selection activeCell="B44" sqref="B44"/>
    </sheetView>
  </sheetViews>
  <sheetFormatPr baseColWidth="10" defaultColWidth="8.83203125" defaultRowHeight="15" x14ac:dyDescent="0.2"/>
  <cols>
    <col min="1" max="1" width="20" customWidth="1"/>
    <col min="2" max="2" width="18" customWidth="1"/>
    <col min="3" max="3" width="12" customWidth="1"/>
    <col min="4" max="4" width="35" customWidth="1"/>
  </cols>
  <sheetData>
    <row r="1" spans="1:4" ht="21" x14ac:dyDescent="0.25">
      <c r="A1" s="5" t="s">
        <v>45</v>
      </c>
    </row>
    <row r="3" spans="1:4" x14ac:dyDescent="0.2">
      <c r="A3" s="6" t="s">
        <v>45</v>
      </c>
    </row>
    <row r="4" spans="1:4" ht="31.25" customHeight="1" x14ac:dyDescent="0.2">
      <c r="A4" s="7" t="s">
        <v>46</v>
      </c>
      <c r="B4" s="31" t="s">
        <v>47</v>
      </c>
      <c r="C4" s="32"/>
      <c r="D4" s="32"/>
    </row>
    <row r="5" spans="1:4" ht="15.5" customHeight="1" x14ac:dyDescent="0.2">
      <c r="A5" s="7" t="s">
        <v>48</v>
      </c>
      <c r="B5" s="31" t="s">
        <v>49</v>
      </c>
      <c r="C5" s="32"/>
      <c r="D5" s="32"/>
    </row>
    <row r="6" spans="1:4" ht="78" customHeight="1" x14ac:dyDescent="0.2">
      <c r="A6" s="7" t="s">
        <v>50</v>
      </c>
      <c r="B6" s="31" t="s">
        <v>51</v>
      </c>
      <c r="C6" s="32"/>
      <c r="D6" s="32"/>
    </row>
    <row r="7" spans="1:4" ht="15.5" customHeight="1" x14ac:dyDescent="0.2">
      <c r="A7" s="7" t="s">
        <v>52</v>
      </c>
      <c r="B7" s="31" t="s">
        <v>53</v>
      </c>
      <c r="C7" s="32"/>
      <c r="D7" s="32"/>
    </row>
    <row r="8" spans="1:4" ht="15.5" customHeight="1" x14ac:dyDescent="0.2">
      <c r="A8" s="7" t="s">
        <v>54</v>
      </c>
      <c r="B8" s="31" t="s">
        <v>55</v>
      </c>
      <c r="C8" s="32"/>
      <c r="D8" s="32"/>
    </row>
    <row r="9" spans="1:4" x14ac:dyDescent="0.2">
      <c r="A9" s="8" t="s">
        <v>56</v>
      </c>
      <c r="B9" s="8" t="s">
        <v>57</v>
      </c>
      <c r="C9" s="8" t="s">
        <v>58</v>
      </c>
      <c r="D9" s="8" t="s">
        <v>59</v>
      </c>
    </row>
    <row r="10" spans="1:4" x14ac:dyDescent="0.2">
      <c r="A10" t="s">
        <v>60</v>
      </c>
      <c r="B10" s="9" t="s">
        <v>61</v>
      </c>
      <c r="C10" t="s">
        <v>62</v>
      </c>
      <c r="D10" t="s">
        <v>63</v>
      </c>
    </row>
    <row r="11" spans="1:4" x14ac:dyDescent="0.2">
      <c r="A11" t="s">
        <v>64</v>
      </c>
      <c r="B11" s="9" t="s">
        <v>65</v>
      </c>
      <c r="C11" t="s">
        <v>62</v>
      </c>
      <c r="D11" t="s">
        <v>66</v>
      </c>
    </row>
    <row r="12" spans="1:4" x14ac:dyDescent="0.2">
      <c r="A12" t="s">
        <v>67</v>
      </c>
      <c r="B12" s="10">
        <v>4.8000000000000001E-2</v>
      </c>
      <c r="C12" t="s">
        <v>68</v>
      </c>
      <c r="D12" t="s">
        <v>69</v>
      </c>
    </row>
    <row r="13" spans="1:4" x14ac:dyDescent="0.2">
      <c r="A13" t="s">
        <v>70</v>
      </c>
      <c r="B13" s="9">
        <v>5</v>
      </c>
      <c r="C13" t="s">
        <v>71</v>
      </c>
      <c r="D13" t="s">
        <v>72</v>
      </c>
    </row>
    <row r="14" spans="1:4" x14ac:dyDescent="0.2">
      <c r="A14" t="s">
        <v>73</v>
      </c>
      <c r="B14" s="9">
        <v>2026</v>
      </c>
      <c r="C14" t="s">
        <v>74</v>
      </c>
      <c r="D14" t="s">
        <v>75</v>
      </c>
    </row>
  </sheetData>
  <mergeCells count="5">
    <mergeCell ref="B5:D5"/>
    <mergeCell ref="B8:D8"/>
    <mergeCell ref="B4:D4"/>
    <mergeCell ref="B7:D7"/>
    <mergeCell ref="B6:D6"/>
  </mergeCells>
  <dataValidations count="2">
    <dataValidation type="list" errorTitle="Invalid Input" error="Select from dropdown" sqref="B5" xr:uid="{00000000-0002-0000-0100-000000000000}">
      <formula1>List_TestingOptions</formula1>
    </dataValidation>
    <dataValidation type="list" sqref="B6" xr:uid="{00000000-0002-0000-0100-000001000000}">
      <formula1>List_Scenarios</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808080"/>
  </sheetPr>
  <dimension ref="A1:D88"/>
  <sheetViews>
    <sheetView zoomScale="120" zoomScaleNormal="120" workbookViewId="0">
      <selection activeCell="B44" sqref="B44"/>
    </sheetView>
  </sheetViews>
  <sheetFormatPr baseColWidth="10" defaultColWidth="8.83203125" defaultRowHeight="15" x14ac:dyDescent="0.2"/>
  <cols>
    <col min="1" max="1" width="35" customWidth="1"/>
    <col min="2" max="2" width="30" customWidth="1"/>
    <col min="3" max="3" width="50" customWidth="1"/>
    <col min="4" max="4" width="15" customWidth="1"/>
  </cols>
  <sheetData>
    <row r="1" spans="1:1" ht="21" x14ac:dyDescent="0.25">
      <c r="A1" s="5" t="s">
        <v>76</v>
      </c>
    </row>
    <row r="3" spans="1:1" ht="19" x14ac:dyDescent="0.25">
      <c r="A3" s="4" t="s">
        <v>77</v>
      </c>
    </row>
    <row r="4" spans="1:1" x14ac:dyDescent="0.2">
      <c r="A4" t="s">
        <v>78</v>
      </c>
    </row>
    <row r="5" spans="1:1" x14ac:dyDescent="0.2">
      <c r="A5" t="s">
        <v>79</v>
      </c>
    </row>
    <row r="6" spans="1:1" x14ac:dyDescent="0.2">
      <c r="A6" t="s">
        <v>80</v>
      </c>
    </row>
    <row r="7" spans="1:1" x14ac:dyDescent="0.2">
      <c r="A7" t="s">
        <v>81</v>
      </c>
    </row>
    <row r="9" spans="1:1" ht="19" x14ac:dyDescent="0.25">
      <c r="A9" s="4" t="s">
        <v>82</v>
      </c>
    </row>
    <row r="10" spans="1:1" x14ac:dyDescent="0.2">
      <c r="A10" t="s">
        <v>83</v>
      </c>
    </row>
    <row r="11" spans="1:1" x14ac:dyDescent="0.2">
      <c r="A11" t="s">
        <v>84</v>
      </c>
    </row>
    <row r="12" spans="1:1" x14ac:dyDescent="0.2">
      <c r="A12" t="s">
        <v>85</v>
      </c>
    </row>
    <row r="13" spans="1:1" x14ac:dyDescent="0.2">
      <c r="A13" t="s">
        <v>86</v>
      </c>
    </row>
    <row r="14" spans="1:1" x14ac:dyDescent="0.2">
      <c r="A14" t="s">
        <v>87</v>
      </c>
    </row>
    <row r="15" spans="1:1" x14ac:dyDescent="0.2">
      <c r="A15" t="s">
        <v>88</v>
      </c>
    </row>
    <row r="16" spans="1:1" x14ac:dyDescent="0.2">
      <c r="A16" t="s">
        <v>89</v>
      </c>
    </row>
    <row r="17" spans="1:4" x14ac:dyDescent="0.2">
      <c r="A17" t="s">
        <v>90</v>
      </c>
    </row>
    <row r="19" spans="1:4" ht="19" x14ac:dyDescent="0.25">
      <c r="A19" s="4" t="s">
        <v>91</v>
      </c>
    </row>
    <row r="20" spans="1:4" x14ac:dyDescent="0.2">
      <c r="A20" t="s">
        <v>92</v>
      </c>
    </row>
    <row r="21" spans="1:4" x14ac:dyDescent="0.2">
      <c r="A21" s="8" t="s">
        <v>93</v>
      </c>
      <c r="B21" s="8" t="s">
        <v>94</v>
      </c>
      <c r="C21" s="8" t="s">
        <v>95</v>
      </c>
      <c r="D21" s="8" t="s">
        <v>96</v>
      </c>
    </row>
    <row r="22" spans="1:4" x14ac:dyDescent="0.2">
      <c r="A22" t="s">
        <v>97</v>
      </c>
      <c r="B22" t="s">
        <v>98</v>
      </c>
      <c r="C22" t="s">
        <v>99</v>
      </c>
      <c r="D22" t="s">
        <v>100</v>
      </c>
    </row>
    <row r="23" spans="1:4" x14ac:dyDescent="0.2">
      <c r="A23" t="s">
        <v>101</v>
      </c>
      <c r="B23" t="s">
        <v>98</v>
      </c>
      <c r="C23" t="s">
        <v>99</v>
      </c>
      <c r="D23" t="s">
        <v>100</v>
      </c>
    </row>
    <row r="24" spans="1:4" x14ac:dyDescent="0.2">
      <c r="A24" t="s">
        <v>102</v>
      </c>
      <c r="B24" t="s">
        <v>103</v>
      </c>
      <c r="C24" t="s">
        <v>99</v>
      </c>
      <c r="D24" t="s">
        <v>100</v>
      </c>
    </row>
    <row r="25" spans="1:4" x14ac:dyDescent="0.2">
      <c r="A25" t="s">
        <v>104</v>
      </c>
      <c r="B25" t="s">
        <v>105</v>
      </c>
      <c r="C25" t="s">
        <v>99</v>
      </c>
      <c r="D25" t="s">
        <v>100</v>
      </c>
    </row>
    <row r="27" spans="1:4" ht="19" x14ac:dyDescent="0.25">
      <c r="A27" s="4" t="s">
        <v>106</v>
      </c>
    </row>
    <row r="28" spans="1:4" x14ac:dyDescent="0.2">
      <c r="A28" s="11" t="s">
        <v>107</v>
      </c>
      <c r="B28" t="s">
        <v>108</v>
      </c>
    </row>
    <row r="29" spans="1:4" x14ac:dyDescent="0.2">
      <c r="A29" s="11" t="s">
        <v>109</v>
      </c>
      <c r="B29" t="s">
        <v>110</v>
      </c>
    </row>
    <row r="30" spans="1:4" x14ac:dyDescent="0.2">
      <c r="A30" s="11" t="s">
        <v>111</v>
      </c>
      <c r="B30" t="s">
        <v>112</v>
      </c>
    </row>
    <row r="31" spans="1:4" x14ac:dyDescent="0.2">
      <c r="A31" s="11" t="s">
        <v>113</v>
      </c>
      <c r="B31" t="s">
        <v>114</v>
      </c>
    </row>
    <row r="32" spans="1:4" x14ac:dyDescent="0.2">
      <c r="A32" s="11" t="s">
        <v>115</v>
      </c>
      <c r="B32" t="s">
        <v>116</v>
      </c>
    </row>
    <row r="33" spans="1:2" x14ac:dyDescent="0.2">
      <c r="A33" s="11" t="s">
        <v>117</v>
      </c>
      <c r="B33" t="s">
        <v>118</v>
      </c>
    </row>
    <row r="34" spans="1:2" x14ac:dyDescent="0.2">
      <c r="A34" s="11" t="s">
        <v>119</v>
      </c>
      <c r="B34" t="s">
        <v>120</v>
      </c>
    </row>
    <row r="36" spans="1:2" ht="19" x14ac:dyDescent="0.25">
      <c r="A36" s="4" t="s">
        <v>121</v>
      </c>
    </row>
    <row r="37" spans="1:2" x14ac:dyDescent="0.2">
      <c r="A37" t="s">
        <v>122</v>
      </c>
    </row>
    <row r="38" spans="1:2" x14ac:dyDescent="0.2">
      <c r="A38" t="s">
        <v>123</v>
      </c>
    </row>
    <row r="39" spans="1:2" x14ac:dyDescent="0.2">
      <c r="A39" t="s">
        <v>124</v>
      </c>
    </row>
    <row r="40" spans="1:2" x14ac:dyDescent="0.2">
      <c r="A40" t="s">
        <v>125</v>
      </c>
    </row>
    <row r="41" spans="1:2" x14ac:dyDescent="0.2">
      <c r="A41" t="s">
        <v>126</v>
      </c>
    </row>
    <row r="43" spans="1:2" ht="19" x14ac:dyDescent="0.25">
      <c r="A43" s="4" t="s">
        <v>127</v>
      </c>
    </row>
    <row r="44" spans="1:2" x14ac:dyDescent="0.2">
      <c r="A44" s="12" t="s">
        <v>128</v>
      </c>
    </row>
    <row r="45" spans="1:2" x14ac:dyDescent="0.2">
      <c r="A45" t="s">
        <v>129</v>
      </c>
    </row>
    <row r="46" spans="1:2" x14ac:dyDescent="0.2">
      <c r="A46" t="s">
        <v>130</v>
      </c>
    </row>
    <row r="47" spans="1:2" x14ac:dyDescent="0.2">
      <c r="A47" t="s">
        <v>131</v>
      </c>
    </row>
    <row r="48" spans="1:2" x14ac:dyDescent="0.2">
      <c r="A48" t="s">
        <v>132</v>
      </c>
    </row>
    <row r="50" spans="1:1" x14ac:dyDescent="0.2">
      <c r="A50" s="11" t="s">
        <v>133</v>
      </c>
    </row>
    <row r="51" spans="1:1" x14ac:dyDescent="0.2">
      <c r="A51" t="s">
        <v>134</v>
      </c>
    </row>
    <row r="52" spans="1:1" x14ac:dyDescent="0.2">
      <c r="A52" t="s">
        <v>135</v>
      </c>
    </row>
    <row r="53" spans="1:1" x14ac:dyDescent="0.2">
      <c r="A53" t="s">
        <v>136</v>
      </c>
    </row>
    <row r="55" spans="1:1" ht="19" x14ac:dyDescent="0.25">
      <c r="A55" s="4" t="s">
        <v>137</v>
      </c>
    </row>
    <row r="56" spans="1:1" x14ac:dyDescent="0.2">
      <c r="A56" s="12" t="s">
        <v>138</v>
      </c>
    </row>
    <row r="57" spans="1:1" x14ac:dyDescent="0.2">
      <c r="A57" t="s">
        <v>139</v>
      </c>
    </row>
    <row r="59" spans="1:1" x14ac:dyDescent="0.2">
      <c r="A59" s="11" t="s">
        <v>140</v>
      </c>
    </row>
    <row r="60" spans="1:1" x14ac:dyDescent="0.2">
      <c r="A60" t="s">
        <v>141</v>
      </c>
    </row>
    <row r="61" spans="1:1" x14ac:dyDescent="0.2">
      <c r="A61" t="s">
        <v>142</v>
      </c>
    </row>
    <row r="62" spans="1:1" x14ac:dyDescent="0.2">
      <c r="A62" t="s">
        <v>143</v>
      </c>
    </row>
    <row r="64" spans="1:1" x14ac:dyDescent="0.2">
      <c r="A64" s="11" t="s">
        <v>144</v>
      </c>
    </row>
    <row r="65" spans="1:1" x14ac:dyDescent="0.2">
      <c r="A65" t="s">
        <v>145</v>
      </c>
    </row>
    <row r="66" spans="1:1" x14ac:dyDescent="0.2">
      <c r="A66" t="s">
        <v>146</v>
      </c>
    </row>
    <row r="67" spans="1:1" x14ac:dyDescent="0.2">
      <c r="A67" t="s">
        <v>147</v>
      </c>
    </row>
    <row r="69" spans="1:1" x14ac:dyDescent="0.2">
      <c r="A69" s="11" t="s">
        <v>148</v>
      </c>
    </row>
    <row r="70" spans="1:1" x14ac:dyDescent="0.2">
      <c r="A70" t="s">
        <v>149</v>
      </c>
    </row>
    <row r="71" spans="1:1" x14ac:dyDescent="0.2">
      <c r="A71" t="s">
        <v>150</v>
      </c>
    </row>
    <row r="72" spans="1:1" x14ac:dyDescent="0.2">
      <c r="A72" t="s">
        <v>151</v>
      </c>
    </row>
    <row r="73" spans="1:1" x14ac:dyDescent="0.2">
      <c r="A73" t="s">
        <v>152</v>
      </c>
    </row>
    <row r="74" spans="1:1" x14ac:dyDescent="0.2">
      <c r="A74" t="s">
        <v>153</v>
      </c>
    </row>
    <row r="76" spans="1:1" x14ac:dyDescent="0.2">
      <c r="A76" s="11" t="s">
        <v>154</v>
      </c>
    </row>
    <row r="77" spans="1:1" x14ac:dyDescent="0.2">
      <c r="A77" t="s">
        <v>155</v>
      </c>
    </row>
    <row r="78" spans="1:1" x14ac:dyDescent="0.2">
      <c r="A78" t="s">
        <v>156</v>
      </c>
    </row>
    <row r="79" spans="1:1" x14ac:dyDescent="0.2">
      <c r="A79" t="s">
        <v>157</v>
      </c>
    </row>
    <row r="80" spans="1:1" x14ac:dyDescent="0.2">
      <c r="A80" t="s">
        <v>158</v>
      </c>
    </row>
    <row r="82" spans="1:3" ht="19" x14ac:dyDescent="0.25">
      <c r="A82" s="4" t="s">
        <v>159</v>
      </c>
    </row>
    <row r="83" spans="1:3" x14ac:dyDescent="0.2">
      <c r="A83" s="8" t="s">
        <v>160</v>
      </c>
      <c r="B83" s="8" t="s">
        <v>161</v>
      </c>
      <c r="C83" s="8" t="s">
        <v>162</v>
      </c>
    </row>
    <row r="84" spans="1:3" x14ac:dyDescent="0.2">
      <c r="A84" t="s">
        <v>163</v>
      </c>
      <c r="B84" t="s">
        <v>164</v>
      </c>
      <c r="C84" t="s">
        <v>165</v>
      </c>
    </row>
    <row r="85" spans="1:3" x14ac:dyDescent="0.2">
      <c r="A85" t="s">
        <v>166</v>
      </c>
      <c r="B85" t="s">
        <v>164</v>
      </c>
      <c r="C85" t="s">
        <v>167</v>
      </c>
    </row>
    <row r="86" spans="1:3" x14ac:dyDescent="0.2">
      <c r="A86" t="s">
        <v>3</v>
      </c>
      <c r="B86" t="s">
        <v>164</v>
      </c>
      <c r="C86" t="s">
        <v>168</v>
      </c>
    </row>
    <row r="87" spans="1:3" x14ac:dyDescent="0.2">
      <c r="A87" t="s">
        <v>169</v>
      </c>
      <c r="B87" t="s">
        <v>170</v>
      </c>
      <c r="C87" t="s">
        <v>171</v>
      </c>
    </row>
    <row r="88" spans="1:3" x14ac:dyDescent="0.2">
      <c r="A88" t="s">
        <v>172</v>
      </c>
      <c r="B88" t="s">
        <v>173</v>
      </c>
      <c r="C88" t="s">
        <v>174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08080"/>
  </sheetPr>
  <dimension ref="A1:D44"/>
  <sheetViews>
    <sheetView zoomScale="120" zoomScaleNormal="120" workbookViewId="0">
      <selection activeCell="B44" sqref="B44"/>
    </sheetView>
  </sheetViews>
  <sheetFormatPr baseColWidth="10" defaultColWidth="8.83203125" defaultRowHeight="15" x14ac:dyDescent="0.2"/>
  <cols>
    <col min="1" max="1" width="32" customWidth="1"/>
    <col min="2" max="3" width="18" customWidth="1"/>
    <col min="4" max="4" width="28" customWidth="1"/>
  </cols>
  <sheetData>
    <row r="1" spans="1:4" ht="21" x14ac:dyDescent="0.25">
      <c r="A1" s="5" t="s">
        <v>175</v>
      </c>
    </row>
    <row r="2" spans="1:4" x14ac:dyDescent="0.2">
      <c r="A2" s="12" t="s">
        <v>176</v>
      </c>
    </row>
    <row r="4" spans="1:4" x14ac:dyDescent="0.2">
      <c r="A4" s="8" t="s">
        <v>177</v>
      </c>
      <c r="B4" s="8" t="s">
        <v>57</v>
      </c>
      <c r="C4" s="8" t="s">
        <v>178</v>
      </c>
      <c r="D4" s="8" t="s">
        <v>179</v>
      </c>
    </row>
    <row r="5" spans="1:4" x14ac:dyDescent="0.2">
      <c r="A5" t="s">
        <v>180</v>
      </c>
      <c r="B5">
        <f>Initial_NAFC</f>
        <v>63.1</v>
      </c>
      <c r="C5" t="s">
        <v>15</v>
      </c>
      <c r="D5" t="s">
        <v>21</v>
      </c>
    </row>
    <row r="6" spans="1:4" x14ac:dyDescent="0.2">
      <c r="A6" t="s">
        <v>181</v>
      </c>
      <c r="B6">
        <f>Target_NAFC</f>
        <v>50</v>
      </c>
      <c r="C6" t="s">
        <v>15</v>
      </c>
      <c r="D6" t="s">
        <v>21</v>
      </c>
    </row>
    <row r="7" spans="1:4" x14ac:dyDescent="0.2">
      <c r="A7" t="s">
        <v>182</v>
      </c>
      <c r="B7">
        <f>Rapid_Phase_Rate</f>
        <v>0.53200000000000003</v>
      </c>
      <c r="C7" t="s">
        <v>15</v>
      </c>
      <c r="D7" t="s">
        <v>21</v>
      </c>
    </row>
    <row r="8" spans="1:4" x14ac:dyDescent="0.2">
      <c r="A8" t="s">
        <v>183</v>
      </c>
      <c r="B8">
        <f>Slow_Phase_Rate</f>
        <v>0.248</v>
      </c>
      <c r="C8" t="s">
        <v>15</v>
      </c>
      <c r="D8" t="s">
        <v>21</v>
      </c>
    </row>
    <row r="9" spans="1:4" x14ac:dyDescent="0.2">
      <c r="A9" t="s">
        <v>184</v>
      </c>
      <c r="B9">
        <f>Rapid_Phase_Duration</f>
        <v>15</v>
      </c>
      <c r="C9" t="s">
        <v>15</v>
      </c>
      <c r="D9" t="s">
        <v>21</v>
      </c>
    </row>
    <row r="10" spans="1:4" x14ac:dyDescent="0.2">
      <c r="A10" t="s">
        <v>185</v>
      </c>
      <c r="B10">
        <f>Recirculation_Cycle</f>
        <v>14</v>
      </c>
      <c r="C10" t="s">
        <v>15</v>
      </c>
      <c r="D10" t="s">
        <v>21</v>
      </c>
    </row>
    <row r="11" spans="1:4" x14ac:dyDescent="0.2">
      <c r="A11" t="s">
        <v>186</v>
      </c>
      <c r="B11">
        <f>Season_Length</f>
        <v>100</v>
      </c>
      <c r="C11" t="s">
        <v>15</v>
      </c>
      <c r="D11" t="s">
        <v>187</v>
      </c>
    </row>
    <row r="12" spans="1:4" x14ac:dyDescent="0.2">
      <c r="A12" t="s">
        <v>188</v>
      </c>
      <c r="B12" t="s">
        <v>189</v>
      </c>
      <c r="C12" t="s">
        <v>15</v>
      </c>
      <c r="D12" t="s">
        <v>21</v>
      </c>
    </row>
    <row r="13" spans="1:4" x14ac:dyDescent="0.2">
      <c r="A13" t="s">
        <v>190</v>
      </c>
      <c r="B13">
        <f>Tri_Season_Extension_Days_Min</f>
        <v>14</v>
      </c>
      <c r="C13" t="s">
        <v>19</v>
      </c>
      <c r="D13" t="s">
        <v>23</v>
      </c>
    </row>
    <row r="14" spans="1:4" x14ac:dyDescent="0.2">
      <c r="A14" t="s">
        <v>191</v>
      </c>
      <c r="B14">
        <f>Tri_Season_Extension_Days_Mode</f>
        <v>21</v>
      </c>
      <c r="C14" t="s">
        <v>19</v>
      </c>
      <c r="D14" t="s">
        <v>23</v>
      </c>
    </row>
    <row r="15" spans="1:4" x14ac:dyDescent="0.2">
      <c r="A15" t="s">
        <v>192</v>
      </c>
      <c r="B15">
        <f>Tri_Season_Extension_Days_Max</f>
        <v>35</v>
      </c>
      <c r="C15" t="s">
        <v>19</v>
      </c>
      <c r="D15" t="s">
        <v>23</v>
      </c>
    </row>
    <row r="16" spans="1:4" x14ac:dyDescent="0.2">
      <c r="A16" t="s">
        <v>193</v>
      </c>
      <c r="B16">
        <f>Tri_Extension_Value_Per_Day_Min</f>
        <v>3000</v>
      </c>
      <c r="C16" t="s">
        <v>19</v>
      </c>
      <c r="D16" t="s">
        <v>23</v>
      </c>
    </row>
    <row r="17" spans="1:4" x14ac:dyDescent="0.2">
      <c r="A17" t="s">
        <v>194</v>
      </c>
      <c r="B17">
        <f>Tri_Extension_Value_Per_Day_Mode</f>
        <v>7500</v>
      </c>
      <c r="C17" t="s">
        <v>19</v>
      </c>
      <c r="D17" t="s">
        <v>23</v>
      </c>
    </row>
    <row r="18" spans="1:4" x14ac:dyDescent="0.2">
      <c r="A18" t="s">
        <v>195</v>
      </c>
      <c r="B18">
        <f>Tri_Extension_Value_Per_Day_Max</f>
        <v>15000</v>
      </c>
      <c r="C18" t="s">
        <v>19</v>
      </c>
      <c r="D18" t="s">
        <v>23</v>
      </c>
    </row>
    <row r="19" spans="1:4" x14ac:dyDescent="0.2">
      <c r="A19" t="s">
        <v>196</v>
      </c>
      <c r="B19">
        <f>Tri_Interventions_Avoided_Min</f>
        <v>1</v>
      </c>
      <c r="C19" t="s">
        <v>19</v>
      </c>
      <c r="D19" t="s">
        <v>23</v>
      </c>
    </row>
    <row r="20" spans="1:4" x14ac:dyDescent="0.2">
      <c r="A20" t="s">
        <v>197</v>
      </c>
      <c r="B20">
        <f>Tri_Interventions_Avoided_Mode</f>
        <v>3</v>
      </c>
      <c r="C20" t="s">
        <v>19</v>
      </c>
      <c r="D20" t="s">
        <v>23</v>
      </c>
    </row>
    <row r="21" spans="1:4" x14ac:dyDescent="0.2">
      <c r="A21" t="s">
        <v>198</v>
      </c>
      <c r="B21">
        <f>Tri_Interventions_Avoided_Max</f>
        <v>8</v>
      </c>
      <c r="C21" t="s">
        <v>19</v>
      </c>
      <c r="D21" t="s">
        <v>23</v>
      </c>
    </row>
    <row r="22" spans="1:4" x14ac:dyDescent="0.2">
      <c r="A22" t="s">
        <v>199</v>
      </c>
      <c r="B22">
        <f>Tri_Treatment_Rate_Factor_Min</f>
        <v>0.7</v>
      </c>
      <c r="C22" t="s">
        <v>19</v>
      </c>
      <c r="D22" t="s">
        <v>23</v>
      </c>
    </row>
    <row r="23" spans="1:4" x14ac:dyDescent="0.2">
      <c r="A23" t="s">
        <v>200</v>
      </c>
      <c r="B23">
        <f>Tri_Treatment_Rate_Factor_Mode</f>
        <v>1</v>
      </c>
      <c r="C23" t="s">
        <v>19</v>
      </c>
      <c r="D23" t="s">
        <v>23</v>
      </c>
    </row>
    <row r="24" spans="1:4" x14ac:dyDescent="0.2">
      <c r="A24" t="s">
        <v>201</v>
      </c>
      <c r="B24">
        <f>Tri_Treatment_Rate_Factor_Max</f>
        <v>1.3</v>
      </c>
      <c r="C24" t="s">
        <v>19</v>
      </c>
      <c r="D24" t="s">
        <v>23</v>
      </c>
    </row>
    <row r="25" spans="1:4" x14ac:dyDescent="0.2">
      <c r="A25" t="s">
        <v>202</v>
      </c>
      <c r="B25">
        <f>Beta_Efficiency_Gain_Alpha</f>
        <v>2</v>
      </c>
      <c r="C25" t="s">
        <v>19</v>
      </c>
    </row>
    <row r="26" spans="1:4" x14ac:dyDescent="0.2">
      <c r="A26" t="s">
        <v>203</v>
      </c>
      <c r="B26">
        <f>Beta_Efficiency_Gain_Beta</f>
        <v>5</v>
      </c>
      <c r="C26" t="s">
        <v>19</v>
      </c>
    </row>
    <row r="27" spans="1:4" x14ac:dyDescent="0.2">
      <c r="A27" t="s">
        <v>204</v>
      </c>
      <c r="B27">
        <f>Beta_Efficiency_Gain_Min</f>
        <v>0.05</v>
      </c>
      <c r="C27" t="s">
        <v>19</v>
      </c>
      <c r="D27" t="s">
        <v>23</v>
      </c>
    </row>
    <row r="28" spans="1:4" x14ac:dyDescent="0.2">
      <c r="A28" t="s">
        <v>205</v>
      </c>
      <c r="B28">
        <f>Beta_Efficiency_Gain_Max</f>
        <v>0.4</v>
      </c>
      <c r="C28" t="s">
        <v>19</v>
      </c>
      <c r="D28" t="s">
        <v>23</v>
      </c>
    </row>
    <row r="29" spans="1:4" x14ac:dyDescent="0.2">
      <c r="A29" t="s">
        <v>206</v>
      </c>
      <c r="B29">
        <f ca="1">Eff_Rapid_Rate</f>
        <v>0.52244003903477521</v>
      </c>
      <c r="C29" t="s">
        <v>21</v>
      </c>
      <c r="D29" t="s">
        <v>21</v>
      </c>
    </row>
    <row r="30" spans="1:4" x14ac:dyDescent="0.2">
      <c r="A30" t="s">
        <v>207</v>
      </c>
      <c r="B30">
        <f ca="1">Eff_Slow_Rate</f>
        <v>0.24354347684327865</v>
      </c>
      <c r="C30" t="s">
        <v>21</v>
      </c>
      <c r="D30" t="s">
        <v>21</v>
      </c>
    </row>
    <row r="31" spans="1:4" x14ac:dyDescent="0.2">
      <c r="A31" t="s">
        <v>208</v>
      </c>
      <c r="B31">
        <f ca="1">NAFC_After_Rapid</f>
        <v>55.263399414478371</v>
      </c>
      <c r="C31" t="s">
        <v>21</v>
      </c>
      <c r="D31" t="s">
        <v>21</v>
      </c>
    </row>
    <row r="32" spans="1:4" x14ac:dyDescent="0.2">
      <c r="A32" t="s">
        <v>209</v>
      </c>
      <c r="B32">
        <f ca="1">Days_to_Compliance</f>
        <v>36.611744575139625</v>
      </c>
      <c r="C32" t="s">
        <v>21</v>
      </c>
      <c r="D32" t="s">
        <v>210</v>
      </c>
    </row>
    <row r="33" spans="1:4" x14ac:dyDescent="0.2">
      <c r="A33" t="s">
        <v>211</v>
      </c>
      <c r="B33" t="s">
        <v>189</v>
      </c>
      <c r="C33" t="s">
        <v>21</v>
      </c>
      <c r="D33" t="s">
        <v>33</v>
      </c>
    </row>
    <row r="34" spans="1:4" x14ac:dyDescent="0.2">
      <c r="A34" t="s">
        <v>212</v>
      </c>
      <c r="B34" t="s">
        <v>189</v>
      </c>
      <c r="C34" t="s">
        <v>21</v>
      </c>
      <c r="D34" t="s">
        <v>33</v>
      </c>
    </row>
    <row r="37" spans="1:4" ht="19" x14ac:dyDescent="0.25">
      <c r="A37" s="4" t="s">
        <v>213</v>
      </c>
    </row>
    <row r="38" spans="1:4" x14ac:dyDescent="0.2">
      <c r="A38" t="s">
        <v>214</v>
      </c>
    </row>
    <row r="39" spans="1:4" x14ac:dyDescent="0.2">
      <c r="A39" t="s">
        <v>215</v>
      </c>
    </row>
    <row r="41" spans="1:4" x14ac:dyDescent="0.2">
      <c r="A41" s="11" t="s">
        <v>216</v>
      </c>
    </row>
    <row r="42" spans="1:4" x14ac:dyDescent="0.2">
      <c r="A42" t="s">
        <v>217</v>
      </c>
    </row>
    <row r="43" spans="1:4" x14ac:dyDescent="0.2">
      <c r="A43" t="s">
        <v>218</v>
      </c>
    </row>
    <row r="44" spans="1:4" x14ac:dyDescent="0.2">
      <c r="A44" t="s">
        <v>219</v>
      </c>
    </row>
  </sheetData>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G126"/>
  <sheetViews>
    <sheetView topLeftCell="A27" zoomScale="120" zoomScaleNormal="120" workbookViewId="0">
      <selection activeCell="H41" sqref="H41"/>
    </sheetView>
  </sheetViews>
  <sheetFormatPr baseColWidth="10" defaultColWidth="8.83203125" defaultRowHeight="15" x14ac:dyDescent="0.2"/>
  <cols>
    <col min="1" max="1" width="24" customWidth="1"/>
    <col min="2" max="2" width="14" customWidth="1"/>
    <col min="3" max="3" width="12" customWidth="1"/>
    <col min="4" max="4" width="42" customWidth="1"/>
    <col min="5" max="5" width="30" customWidth="1"/>
    <col min="6" max="6" width="16" customWidth="1"/>
    <col min="7" max="7" width="14" customWidth="1"/>
  </cols>
  <sheetData>
    <row r="1" spans="1:5" ht="21" x14ac:dyDescent="0.25">
      <c r="A1" s="5" t="s">
        <v>220</v>
      </c>
    </row>
    <row r="3" spans="1:5" x14ac:dyDescent="0.2">
      <c r="A3" s="6" t="s">
        <v>221</v>
      </c>
    </row>
    <row r="4" spans="1:5" ht="15.5" customHeight="1" x14ac:dyDescent="0.2">
      <c r="A4" s="7" t="s">
        <v>46</v>
      </c>
      <c r="B4" s="31" t="s">
        <v>222</v>
      </c>
      <c r="C4" s="32"/>
      <c r="D4" s="32"/>
      <c r="E4" s="32"/>
    </row>
    <row r="5" spans="1:5" ht="15.5" customHeight="1" x14ac:dyDescent="0.2">
      <c r="A5" s="7" t="s">
        <v>48</v>
      </c>
      <c r="B5" s="31" t="s">
        <v>223</v>
      </c>
      <c r="C5" s="32"/>
      <c r="D5" s="32"/>
      <c r="E5" s="32"/>
    </row>
    <row r="6" spans="1:5" ht="31.25" customHeight="1" x14ac:dyDescent="0.2">
      <c r="A6" s="7" t="s">
        <v>50</v>
      </c>
      <c r="B6" s="31" t="s">
        <v>224</v>
      </c>
      <c r="C6" s="32"/>
      <c r="D6" s="32"/>
      <c r="E6" s="32"/>
    </row>
    <row r="7" spans="1:5" ht="15.5" customHeight="1" x14ac:dyDescent="0.2">
      <c r="A7" s="7" t="s">
        <v>52</v>
      </c>
      <c r="B7" s="31" t="s">
        <v>225</v>
      </c>
      <c r="C7" s="32"/>
      <c r="D7" s="32"/>
      <c r="E7" s="32"/>
    </row>
    <row r="8" spans="1:5" ht="15.5" customHeight="1" x14ac:dyDescent="0.2">
      <c r="A8" s="7" t="s">
        <v>54</v>
      </c>
      <c r="B8" s="31" t="s">
        <v>226</v>
      </c>
      <c r="C8" s="32"/>
      <c r="D8" s="32"/>
      <c r="E8" s="32"/>
    </row>
    <row r="9" spans="1:5" x14ac:dyDescent="0.2">
      <c r="A9" s="8" t="s">
        <v>56</v>
      </c>
      <c r="B9" s="8" t="s">
        <v>57</v>
      </c>
      <c r="C9" s="8" t="s">
        <v>227</v>
      </c>
      <c r="D9" s="8" t="s">
        <v>228</v>
      </c>
      <c r="E9" s="8" t="s">
        <v>179</v>
      </c>
    </row>
    <row r="10" spans="1:5" x14ac:dyDescent="0.2">
      <c r="A10" t="s">
        <v>229</v>
      </c>
      <c r="B10" s="9">
        <v>5</v>
      </c>
      <c r="C10" t="s">
        <v>230</v>
      </c>
      <c r="D10" t="s">
        <v>231</v>
      </c>
    </row>
    <row r="11" spans="1:5" x14ac:dyDescent="0.2">
      <c r="A11" t="s">
        <v>232</v>
      </c>
      <c r="B11" s="9">
        <v>15</v>
      </c>
      <c r="C11" t="s">
        <v>233</v>
      </c>
      <c r="D11" t="s">
        <v>234</v>
      </c>
    </row>
    <row r="12" spans="1:5" x14ac:dyDescent="0.2">
      <c r="A12" t="s">
        <v>235</v>
      </c>
      <c r="B12" s="9">
        <v>9</v>
      </c>
      <c r="C12" t="s">
        <v>230</v>
      </c>
      <c r="D12" t="s">
        <v>236</v>
      </c>
    </row>
    <row r="13" spans="1:5" x14ac:dyDescent="0.2">
      <c r="A13" t="s">
        <v>237</v>
      </c>
      <c r="B13" s="9">
        <v>15</v>
      </c>
      <c r="C13" t="s">
        <v>233</v>
      </c>
      <c r="D13" t="s">
        <v>238</v>
      </c>
    </row>
    <row r="14" spans="1:5" x14ac:dyDescent="0.2">
      <c r="A14" t="s">
        <v>239</v>
      </c>
      <c r="B14" s="9">
        <v>100</v>
      </c>
      <c r="C14" t="s">
        <v>240</v>
      </c>
      <c r="D14" t="s">
        <v>241</v>
      </c>
      <c r="E14" t="s">
        <v>187</v>
      </c>
    </row>
    <row r="16" spans="1:5" x14ac:dyDescent="0.2">
      <c r="A16" s="6" t="s">
        <v>242</v>
      </c>
    </row>
    <row r="17" spans="1:5" ht="31.25" customHeight="1" x14ac:dyDescent="0.2">
      <c r="A17" s="7" t="s">
        <v>46</v>
      </c>
      <c r="B17" s="31" t="s">
        <v>243</v>
      </c>
      <c r="C17" s="32"/>
      <c r="D17" s="32"/>
    </row>
    <row r="18" spans="1:5" ht="31.25" customHeight="1" x14ac:dyDescent="0.2">
      <c r="A18" s="7" t="s">
        <v>48</v>
      </c>
      <c r="B18" s="31" t="s">
        <v>244</v>
      </c>
      <c r="C18" s="32"/>
      <c r="D18" s="32"/>
    </row>
    <row r="19" spans="1:5" ht="31.25" customHeight="1" x14ac:dyDescent="0.2">
      <c r="A19" s="7" t="s">
        <v>50</v>
      </c>
      <c r="B19" s="31" t="s">
        <v>245</v>
      </c>
      <c r="C19" s="32"/>
      <c r="D19" s="32"/>
    </row>
    <row r="20" spans="1:5" ht="15.5" customHeight="1" x14ac:dyDescent="0.2">
      <c r="A20" s="7" t="s">
        <v>52</v>
      </c>
      <c r="B20" s="31" t="s">
        <v>246</v>
      </c>
      <c r="C20" s="32"/>
      <c r="D20" s="32"/>
    </row>
    <row r="21" spans="1:5" ht="15.5" customHeight="1" x14ac:dyDescent="0.2">
      <c r="A21" s="7" t="s">
        <v>54</v>
      </c>
      <c r="B21" s="31" t="s">
        <v>247</v>
      </c>
      <c r="C21" s="32"/>
      <c r="D21" s="32"/>
    </row>
    <row r="22" spans="1:5" x14ac:dyDescent="0.2">
      <c r="A22" s="8" t="s">
        <v>248</v>
      </c>
      <c r="B22" s="8" t="s">
        <v>249</v>
      </c>
      <c r="C22" s="8" t="s">
        <v>250</v>
      </c>
      <c r="D22" s="8" t="s">
        <v>251</v>
      </c>
    </row>
    <row r="23" spans="1:5" x14ac:dyDescent="0.2">
      <c r="A23" t="s">
        <v>231</v>
      </c>
      <c r="B23">
        <v>5</v>
      </c>
      <c r="C23" s="9">
        <v>0.85</v>
      </c>
      <c r="D23" t="s">
        <v>252</v>
      </c>
    </row>
    <row r="24" spans="1:5" x14ac:dyDescent="0.2">
      <c r="A24" t="s">
        <v>253</v>
      </c>
      <c r="B24">
        <v>6</v>
      </c>
      <c r="C24" s="9">
        <v>1</v>
      </c>
      <c r="D24" t="s">
        <v>254</v>
      </c>
    </row>
    <row r="25" spans="1:5" x14ac:dyDescent="0.2">
      <c r="A25" t="s">
        <v>255</v>
      </c>
      <c r="B25">
        <v>7</v>
      </c>
      <c r="C25" s="9">
        <v>1</v>
      </c>
      <c r="D25" t="s">
        <v>254</v>
      </c>
    </row>
    <row r="26" spans="1:5" x14ac:dyDescent="0.2">
      <c r="A26" t="s">
        <v>256</v>
      </c>
      <c r="B26">
        <v>8</v>
      </c>
      <c r="C26" s="9">
        <v>0.95</v>
      </c>
      <c r="D26" t="s">
        <v>257</v>
      </c>
    </row>
    <row r="27" spans="1:5" x14ac:dyDescent="0.2">
      <c r="A27" t="s">
        <v>236</v>
      </c>
      <c r="B27">
        <v>9</v>
      </c>
      <c r="C27" s="9">
        <v>0.75</v>
      </c>
      <c r="D27" t="s">
        <v>258</v>
      </c>
    </row>
    <row r="30" spans="1:5" x14ac:dyDescent="0.2">
      <c r="A30" s="6" t="s">
        <v>259</v>
      </c>
    </row>
    <row r="31" spans="1:5" ht="15.5" customHeight="1" x14ac:dyDescent="0.2">
      <c r="A31" s="7" t="s">
        <v>46</v>
      </c>
      <c r="B31" s="31" t="s">
        <v>260</v>
      </c>
      <c r="C31" s="32"/>
      <c r="D31" s="32"/>
      <c r="E31" s="32"/>
    </row>
    <row r="32" spans="1:5" ht="15.5" customHeight="1" x14ac:dyDescent="0.2">
      <c r="A32" s="7" t="s">
        <v>48</v>
      </c>
      <c r="B32" s="31" t="s">
        <v>261</v>
      </c>
      <c r="C32" s="32"/>
      <c r="D32" s="32"/>
      <c r="E32" s="32"/>
    </row>
    <row r="33" spans="1:5" ht="31.25" customHeight="1" x14ac:dyDescent="0.2">
      <c r="A33" s="7" t="s">
        <v>50</v>
      </c>
      <c r="B33" s="31" t="s">
        <v>262</v>
      </c>
      <c r="C33" s="32"/>
      <c r="D33" s="32"/>
      <c r="E33" s="32"/>
    </row>
    <row r="34" spans="1:5" ht="15.5" customHeight="1" x14ac:dyDescent="0.2">
      <c r="A34" s="7" t="s">
        <v>52</v>
      </c>
      <c r="B34" s="31" t="s">
        <v>263</v>
      </c>
      <c r="C34" s="32"/>
      <c r="D34" s="32"/>
      <c r="E34" s="32"/>
    </row>
    <row r="35" spans="1:5" ht="15.5" customHeight="1" x14ac:dyDescent="0.2">
      <c r="A35" s="7" t="s">
        <v>54</v>
      </c>
      <c r="B35" s="31" t="s">
        <v>264</v>
      </c>
      <c r="C35" s="32"/>
      <c r="D35" s="32"/>
      <c r="E35" s="32"/>
    </row>
    <row r="36" spans="1:5" x14ac:dyDescent="0.2">
      <c r="A36" s="8" t="s">
        <v>56</v>
      </c>
      <c r="B36" s="8" t="s">
        <v>57</v>
      </c>
      <c r="C36" s="8" t="s">
        <v>227</v>
      </c>
      <c r="D36" s="8" t="s">
        <v>265</v>
      </c>
      <c r="E36" s="8" t="s">
        <v>179</v>
      </c>
    </row>
    <row r="37" spans="1:5" x14ac:dyDescent="0.2">
      <c r="A37" t="s">
        <v>266</v>
      </c>
      <c r="B37" s="9">
        <v>1</v>
      </c>
      <c r="C37" t="s">
        <v>267</v>
      </c>
      <c r="D37" t="s">
        <v>268</v>
      </c>
    </row>
    <row r="38" spans="1:5" x14ac:dyDescent="0.2">
      <c r="A38" t="s">
        <v>269</v>
      </c>
      <c r="B38" s="9">
        <v>5</v>
      </c>
      <c r="C38" t="s">
        <v>270</v>
      </c>
      <c r="D38" t="s">
        <v>271</v>
      </c>
    </row>
    <row r="39" spans="1:5" x14ac:dyDescent="0.2">
      <c r="A39" t="s">
        <v>272</v>
      </c>
      <c r="B39" s="9">
        <v>50000</v>
      </c>
      <c r="C39" t="s">
        <v>273</v>
      </c>
      <c r="D39" t="s">
        <v>274</v>
      </c>
    </row>
    <row r="40" spans="1:5" x14ac:dyDescent="0.2">
      <c r="A40" t="s">
        <v>275</v>
      </c>
      <c r="B40" s="13">
        <v>5</v>
      </c>
      <c r="C40" t="s">
        <v>276</v>
      </c>
      <c r="D40" t="s">
        <v>277</v>
      </c>
    </row>
    <row r="43" spans="1:5" x14ac:dyDescent="0.2">
      <c r="A43" s="6" t="s">
        <v>278</v>
      </c>
    </row>
    <row r="44" spans="1:5" ht="15.5" customHeight="1" x14ac:dyDescent="0.2">
      <c r="A44" s="7" t="s">
        <v>46</v>
      </c>
      <c r="B44" s="31" t="s">
        <v>279</v>
      </c>
      <c r="C44" s="32"/>
      <c r="D44" s="32"/>
    </row>
    <row r="45" spans="1:5" ht="15.5" customHeight="1" x14ac:dyDescent="0.2">
      <c r="A45" s="7" t="s">
        <v>48</v>
      </c>
      <c r="B45" s="31" t="s">
        <v>280</v>
      </c>
      <c r="C45" s="32"/>
      <c r="D45" s="32"/>
    </row>
    <row r="46" spans="1:5" ht="31.25" customHeight="1" x14ac:dyDescent="0.2">
      <c r="A46" s="7" t="s">
        <v>50</v>
      </c>
      <c r="B46" s="31" t="s">
        <v>281</v>
      </c>
      <c r="C46" s="32"/>
      <c r="D46" s="32"/>
    </row>
    <row r="47" spans="1:5" ht="15.5" customHeight="1" x14ac:dyDescent="0.2">
      <c r="A47" s="7" t="s">
        <v>52</v>
      </c>
      <c r="B47" s="31" t="s">
        <v>282</v>
      </c>
      <c r="C47" s="32"/>
      <c r="D47" s="32"/>
    </row>
    <row r="48" spans="1:5" ht="15.5" customHeight="1" x14ac:dyDescent="0.2">
      <c r="A48" s="7" t="s">
        <v>54</v>
      </c>
      <c r="B48" s="31" t="s">
        <v>283</v>
      </c>
      <c r="C48" s="32"/>
      <c r="D48" s="32"/>
    </row>
    <row r="49" spans="1:4" x14ac:dyDescent="0.2">
      <c r="A49" s="8" t="s">
        <v>56</v>
      </c>
      <c r="B49" s="8" t="s">
        <v>57</v>
      </c>
      <c r="C49" s="8" t="s">
        <v>227</v>
      </c>
      <c r="D49" s="8" t="s">
        <v>179</v>
      </c>
    </row>
    <row r="50" spans="1:4" x14ac:dyDescent="0.2">
      <c r="A50" t="s">
        <v>284</v>
      </c>
      <c r="B50" s="14">
        <v>1500</v>
      </c>
      <c r="C50" t="s">
        <v>285</v>
      </c>
    </row>
    <row r="51" spans="1:4" x14ac:dyDescent="0.2">
      <c r="A51" t="s">
        <v>286</v>
      </c>
      <c r="B51" s="14">
        <v>50000</v>
      </c>
      <c r="C51" t="s">
        <v>287</v>
      </c>
    </row>
    <row r="52" spans="1:4" x14ac:dyDescent="0.2">
      <c r="A52" t="s">
        <v>288</v>
      </c>
      <c r="B52" s="14">
        <v>15000</v>
      </c>
      <c r="C52" t="s">
        <v>285</v>
      </c>
    </row>
    <row r="55" spans="1:4" x14ac:dyDescent="0.2">
      <c r="A55" s="6" t="s">
        <v>289</v>
      </c>
    </row>
    <row r="56" spans="1:4" ht="31.25" customHeight="1" x14ac:dyDescent="0.2">
      <c r="A56" s="7" t="s">
        <v>46</v>
      </c>
      <c r="B56" s="31" t="s">
        <v>290</v>
      </c>
      <c r="C56" s="32"/>
      <c r="D56" s="32"/>
    </row>
    <row r="57" spans="1:4" ht="31.25" customHeight="1" x14ac:dyDescent="0.2">
      <c r="A57" s="7" t="s">
        <v>48</v>
      </c>
      <c r="B57" s="31" t="s">
        <v>291</v>
      </c>
      <c r="C57" s="32"/>
      <c r="D57" s="32"/>
    </row>
    <row r="58" spans="1:4" ht="31.25" customHeight="1" x14ac:dyDescent="0.2">
      <c r="A58" s="7" t="s">
        <v>50</v>
      </c>
      <c r="B58" s="31" t="s">
        <v>292</v>
      </c>
      <c r="C58" s="32"/>
      <c r="D58" s="32"/>
    </row>
    <row r="59" spans="1:4" ht="15.5" customHeight="1" x14ac:dyDescent="0.2">
      <c r="A59" s="7" t="s">
        <v>52</v>
      </c>
      <c r="B59" s="31" t="s">
        <v>293</v>
      </c>
      <c r="C59" s="32"/>
      <c r="D59" s="32"/>
    </row>
    <row r="60" spans="1:4" ht="15.5" customHeight="1" x14ac:dyDescent="0.2">
      <c r="A60" s="7" t="s">
        <v>54</v>
      </c>
      <c r="B60" s="31" t="s">
        <v>294</v>
      </c>
      <c r="C60" s="32"/>
      <c r="D60" s="32"/>
    </row>
    <row r="61" spans="1:4" x14ac:dyDescent="0.2">
      <c r="A61" s="8" t="s">
        <v>295</v>
      </c>
      <c r="B61" s="8" t="s">
        <v>250</v>
      </c>
      <c r="C61" s="8" t="s">
        <v>228</v>
      </c>
      <c r="D61" s="8" t="s">
        <v>179</v>
      </c>
    </row>
    <row r="62" spans="1:4" x14ac:dyDescent="0.2">
      <c r="A62">
        <v>1</v>
      </c>
      <c r="B62" s="9">
        <v>0.5</v>
      </c>
      <c r="C62" t="s">
        <v>296</v>
      </c>
      <c r="D62" t="s">
        <v>21</v>
      </c>
    </row>
    <row r="63" spans="1:4" x14ac:dyDescent="0.2">
      <c r="A63">
        <v>2</v>
      </c>
      <c r="B63" s="9">
        <v>0.75</v>
      </c>
      <c r="C63" t="s">
        <v>297</v>
      </c>
      <c r="D63" t="s">
        <v>21</v>
      </c>
    </row>
    <row r="64" spans="1:4" x14ac:dyDescent="0.2">
      <c r="A64">
        <v>3</v>
      </c>
      <c r="B64" s="9">
        <v>1</v>
      </c>
      <c r="C64" t="s">
        <v>298</v>
      </c>
      <c r="D64" t="s">
        <v>21</v>
      </c>
    </row>
    <row r="65" spans="1:7" x14ac:dyDescent="0.2">
      <c r="A65">
        <v>4</v>
      </c>
      <c r="B65" s="9">
        <v>1</v>
      </c>
      <c r="C65" t="s">
        <v>299</v>
      </c>
      <c r="D65" t="s">
        <v>21</v>
      </c>
    </row>
    <row r="66" spans="1:7" x14ac:dyDescent="0.2">
      <c r="A66">
        <v>5</v>
      </c>
      <c r="B66" s="9">
        <v>1</v>
      </c>
      <c r="C66" t="s">
        <v>299</v>
      </c>
      <c r="D66" t="s">
        <v>21</v>
      </c>
    </row>
    <row r="69" spans="1:7" x14ac:dyDescent="0.2">
      <c r="A69" s="6" t="s">
        <v>300</v>
      </c>
    </row>
    <row r="70" spans="1:7" ht="15.5" customHeight="1" x14ac:dyDescent="0.2">
      <c r="A70" s="7" t="s">
        <v>46</v>
      </c>
      <c r="B70" s="31" t="s">
        <v>301</v>
      </c>
      <c r="C70" s="32"/>
      <c r="D70" s="32"/>
      <c r="E70" s="32"/>
      <c r="F70" s="32"/>
      <c r="G70" s="32"/>
    </row>
    <row r="71" spans="1:7" ht="15.5" customHeight="1" x14ac:dyDescent="0.2">
      <c r="A71" s="7" t="s">
        <v>48</v>
      </c>
      <c r="B71" s="31" t="s">
        <v>302</v>
      </c>
      <c r="C71" s="32"/>
      <c r="D71" s="32"/>
      <c r="E71" s="32"/>
      <c r="F71" s="32"/>
      <c r="G71" s="32"/>
    </row>
    <row r="72" spans="1:7" ht="46.75" customHeight="1" x14ac:dyDescent="0.2">
      <c r="A72" s="7" t="s">
        <v>50</v>
      </c>
      <c r="B72" s="31" t="s">
        <v>303</v>
      </c>
      <c r="C72" s="32"/>
      <c r="D72" s="32"/>
      <c r="E72" s="32"/>
      <c r="F72" s="32"/>
      <c r="G72" s="32"/>
    </row>
    <row r="73" spans="1:7" ht="15.5" customHeight="1" x14ac:dyDescent="0.2">
      <c r="A73" s="7" t="s">
        <v>52</v>
      </c>
      <c r="B73" s="31" t="s">
        <v>304</v>
      </c>
      <c r="C73" s="32"/>
      <c r="D73" s="32"/>
      <c r="E73" s="32"/>
      <c r="F73" s="32"/>
      <c r="G73" s="32"/>
    </row>
    <row r="74" spans="1:7" ht="15.5" customHeight="1" x14ac:dyDescent="0.2">
      <c r="A74" s="7" t="s">
        <v>54</v>
      </c>
      <c r="B74" s="31" t="s">
        <v>305</v>
      </c>
      <c r="C74" s="32"/>
      <c r="D74" s="32"/>
      <c r="E74" s="32"/>
      <c r="F74" s="32"/>
      <c r="G74" s="32"/>
    </row>
    <row r="75" spans="1:7" x14ac:dyDescent="0.2">
      <c r="A75" s="8" t="s">
        <v>306</v>
      </c>
      <c r="B75" s="8" t="s">
        <v>307</v>
      </c>
      <c r="C75" s="8" t="s">
        <v>308</v>
      </c>
      <c r="D75" s="8" t="s">
        <v>309</v>
      </c>
      <c r="E75" s="8" t="s">
        <v>310</v>
      </c>
      <c r="F75" s="8" t="s">
        <v>311</v>
      </c>
      <c r="G75" s="8" t="s">
        <v>179</v>
      </c>
    </row>
    <row r="76" spans="1:7" x14ac:dyDescent="0.2">
      <c r="A76" t="s">
        <v>312</v>
      </c>
      <c r="B76" t="s">
        <v>107</v>
      </c>
      <c r="C76">
        <v>30</v>
      </c>
      <c r="D76">
        <v>2</v>
      </c>
      <c r="E76" s="15">
        <v>1000</v>
      </c>
      <c r="F76">
        <v>42</v>
      </c>
    </row>
    <row r="77" spans="1:7" x14ac:dyDescent="0.2">
      <c r="A77" t="s">
        <v>313</v>
      </c>
      <c r="B77" t="s">
        <v>107</v>
      </c>
      <c r="C77">
        <v>7</v>
      </c>
      <c r="D77">
        <v>2</v>
      </c>
      <c r="E77" s="15">
        <v>1000</v>
      </c>
      <c r="F77">
        <v>42</v>
      </c>
    </row>
    <row r="78" spans="1:7" x14ac:dyDescent="0.2">
      <c r="A78" t="s">
        <v>61</v>
      </c>
      <c r="B78" t="s">
        <v>314</v>
      </c>
      <c r="C78">
        <v>1</v>
      </c>
      <c r="D78">
        <v>10</v>
      </c>
      <c r="E78" s="15">
        <v>10</v>
      </c>
      <c r="F78">
        <v>1</v>
      </c>
    </row>
    <row r="80" spans="1:7" x14ac:dyDescent="0.2">
      <c r="A80" s="6" t="s">
        <v>315</v>
      </c>
    </row>
    <row r="81" spans="1:5" ht="15.5" customHeight="1" x14ac:dyDescent="0.2">
      <c r="A81" s="7" t="s">
        <v>46</v>
      </c>
      <c r="B81" s="31" t="s">
        <v>316</v>
      </c>
      <c r="C81" s="32"/>
      <c r="D81" s="32"/>
      <c r="E81" s="32"/>
    </row>
    <row r="82" spans="1:5" ht="15.5" customHeight="1" x14ac:dyDescent="0.2">
      <c r="A82" s="7" t="s">
        <v>48</v>
      </c>
      <c r="B82" s="31" t="s">
        <v>317</v>
      </c>
      <c r="C82" s="32"/>
      <c r="D82" s="32"/>
      <c r="E82" s="32"/>
    </row>
    <row r="83" spans="1:5" ht="46.75" customHeight="1" x14ac:dyDescent="0.2">
      <c r="A83" s="7" t="s">
        <v>50</v>
      </c>
      <c r="B83" s="31" t="s">
        <v>318</v>
      </c>
      <c r="C83" s="32"/>
      <c r="D83" s="32"/>
      <c r="E83" s="32"/>
    </row>
    <row r="84" spans="1:5" ht="15.5" customHeight="1" x14ac:dyDescent="0.2">
      <c r="A84" s="7" t="s">
        <v>52</v>
      </c>
      <c r="B84" s="31" t="s">
        <v>319</v>
      </c>
      <c r="C84" s="32"/>
      <c r="D84" s="32"/>
      <c r="E84" s="32"/>
    </row>
    <row r="85" spans="1:5" ht="15.5" customHeight="1" x14ac:dyDescent="0.2">
      <c r="A85" s="7" t="s">
        <v>54</v>
      </c>
      <c r="B85" s="31" t="s">
        <v>320</v>
      </c>
      <c r="C85" s="32"/>
      <c r="D85" s="32"/>
      <c r="E85" s="32"/>
    </row>
    <row r="86" spans="1:5" x14ac:dyDescent="0.2">
      <c r="A86" s="8" t="s">
        <v>306</v>
      </c>
      <c r="B86" s="8" t="s">
        <v>321</v>
      </c>
      <c r="C86" s="8" t="s">
        <v>322</v>
      </c>
      <c r="D86" s="8" t="s">
        <v>323</v>
      </c>
      <c r="E86" s="8" t="s">
        <v>324</v>
      </c>
    </row>
    <row r="87" spans="1:5" x14ac:dyDescent="0.2">
      <c r="A87" t="s">
        <v>312</v>
      </c>
      <c r="B87" t="str">
        <f>IF(INDEX(TestOpt_Latency,1)&lt;=7,"ENABLED","BLOCKED")</f>
        <v>BLOCKED</v>
      </c>
      <c r="C87" t="str">
        <f>IF(INDEX(TestOpt_Latency,1)&lt;=7,"ENABLED","BLOCKED")</f>
        <v>BLOCKED</v>
      </c>
      <c r="D87" t="str">
        <f>IF(INDEX(TestOpt_Latency,1)&lt;=14,"ENABLED","BLOCKED")</f>
        <v>BLOCKED</v>
      </c>
      <c r="E87" t="str">
        <f>IF(INDEX(TestOpt_Latency,1)&lt;=3,"ENABLED","BLOCKED")</f>
        <v>BLOCKED</v>
      </c>
    </row>
    <row r="88" spans="1:5" x14ac:dyDescent="0.2">
      <c r="A88" t="s">
        <v>313</v>
      </c>
      <c r="B88" t="str">
        <f>IF(INDEX(TestOpt_Latency,2)&lt;=7,"ENABLED","BLOCKED")</f>
        <v>BLOCKED</v>
      </c>
      <c r="C88" t="str">
        <f>IF(INDEX(TestOpt_Latency,2)&lt;=7,"ENABLED","BLOCKED")</f>
        <v>BLOCKED</v>
      </c>
      <c r="D88" t="str">
        <f>IF(INDEX(TestOpt_Latency,2)&lt;=14,"ENABLED","BLOCKED")</f>
        <v>BLOCKED</v>
      </c>
      <c r="E88" t="str">
        <f>IF(INDEX(TestOpt_Latency,2)&lt;=3,"ENABLED","BLOCKED")</f>
        <v>BLOCKED</v>
      </c>
    </row>
    <row r="89" spans="1:5" x14ac:dyDescent="0.2">
      <c r="A89" t="s">
        <v>61</v>
      </c>
      <c r="B89" t="str">
        <f>IF(INDEX(TestOpt_Latency,3)&lt;=7,"ENABLED","BLOCKED")</f>
        <v>ENABLED</v>
      </c>
      <c r="C89" t="str">
        <f>IF(INDEX(TestOpt_Latency,3)&lt;=7,"ENABLED","BLOCKED")</f>
        <v>ENABLED</v>
      </c>
      <c r="D89" t="str">
        <f>IF(INDEX(TestOpt_Latency,3)&lt;=14,"ENABLED","BLOCKED")</f>
        <v>ENABLED</v>
      </c>
      <c r="E89" t="str">
        <f>IF(INDEX(TestOpt_Latency,3)&lt;=3,"ENABLED","BLOCKED")</f>
        <v>ENABLED</v>
      </c>
    </row>
    <row r="92" spans="1:5" ht="19" x14ac:dyDescent="0.25">
      <c r="A92" s="4" t="s">
        <v>325</v>
      </c>
    </row>
    <row r="93" spans="1:5" x14ac:dyDescent="0.2">
      <c r="A93" t="s">
        <v>326</v>
      </c>
      <c r="B93" t="s">
        <v>327</v>
      </c>
    </row>
    <row r="94" spans="1:5" x14ac:dyDescent="0.2">
      <c r="A94" t="s">
        <v>312</v>
      </c>
      <c r="B94" t="s">
        <v>65</v>
      </c>
    </row>
    <row r="95" spans="1:5" x14ac:dyDescent="0.2">
      <c r="A95" t="s">
        <v>313</v>
      </c>
      <c r="B95" t="s">
        <v>328</v>
      </c>
    </row>
    <row r="96" spans="1:5" x14ac:dyDescent="0.2">
      <c r="A96" t="s">
        <v>61</v>
      </c>
      <c r="B96" t="s">
        <v>329</v>
      </c>
    </row>
    <row r="98" spans="1:5" ht="19" x14ac:dyDescent="0.25">
      <c r="A98" s="4" t="s">
        <v>330</v>
      </c>
    </row>
    <row r="99" spans="1:5" x14ac:dyDescent="0.2">
      <c r="A99" t="s">
        <v>331</v>
      </c>
    </row>
    <row r="101" spans="1:5" x14ac:dyDescent="0.2">
      <c r="A101" s="6" t="s">
        <v>332</v>
      </c>
    </row>
    <row r="102" spans="1:5" ht="15.5" customHeight="1" x14ac:dyDescent="0.2">
      <c r="A102" s="7" t="s">
        <v>46</v>
      </c>
      <c r="B102" s="31" t="s">
        <v>333</v>
      </c>
      <c r="C102" s="32"/>
      <c r="D102" s="32"/>
      <c r="E102" s="32"/>
    </row>
    <row r="103" spans="1:5" ht="15.5" customHeight="1" x14ac:dyDescent="0.2">
      <c r="A103" s="7" t="s">
        <v>48</v>
      </c>
      <c r="B103" s="31" t="s">
        <v>334</v>
      </c>
      <c r="C103" s="32"/>
      <c r="D103" s="32"/>
      <c r="E103" s="32"/>
    </row>
    <row r="104" spans="1:5" ht="31.25" customHeight="1" x14ac:dyDescent="0.2">
      <c r="A104" s="7" t="s">
        <v>50</v>
      </c>
      <c r="B104" s="31" t="s">
        <v>335</v>
      </c>
      <c r="C104" s="32"/>
      <c r="D104" s="32"/>
      <c r="E104" s="32"/>
    </row>
    <row r="105" spans="1:5" ht="15.5" customHeight="1" x14ac:dyDescent="0.2">
      <c r="A105" s="7" t="s">
        <v>52</v>
      </c>
      <c r="B105" s="31" t="s">
        <v>336</v>
      </c>
      <c r="C105" s="32"/>
      <c r="D105" s="32"/>
      <c r="E105" s="32"/>
    </row>
    <row r="106" spans="1:5" ht="15.5" customHeight="1" x14ac:dyDescent="0.2">
      <c r="A106" s="7" t="s">
        <v>54</v>
      </c>
      <c r="B106" s="31" t="s">
        <v>337</v>
      </c>
      <c r="C106" s="32"/>
      <c r="D106" s="32"/>
      <c r="E106" s="32"/>
    </row>
    <row r="107" spans="1:5" x14ac:dyDescent="0.2">
      <c r="A107" s="8" t="s">
        <v>56</v>
      </c>
      <c r="B107" s="8" t="s">
        <v>57</v>
      </c>
      <c r="C107" s="8" t="s">
        <v>227</v>
      </c>
      <c r="D107" s="8" t="s">
        <v>228</v>
      </c>
      <c r="E107" s="8" t="s">
        <v>179</v>
      </c>
    </row>
    <row r="108" spans="1:5" x14ac:dyDescent="0.2">
      <c r="A108" t="s">
        <v>180</v>
      </c>
      <c r="B108" s="16">
        <v>63.1</v>
      </c>
      <c r="C108" t="s">
        <v>338</v>
      </c>
      <c r="D108" t="s">
        <v>339</v>
      </c>
      <c r="E108" t="s">
        <v>21</v>
      </c>
    </row>
    <row r="109" spans="1:5" x14ac:dyDescent="0.2">
      <c r="A109" t="s">
        <v>181</v>
      </c>
      <c r="B109" s="16">
        <v>50</v>
      </c>
      <c r="C109" t="s">
        <v>338</v>
      </c>
      <c r="D109" t="s">
        <v>340</v>
      </c>
      <c r="E109" t="s">
        <v>21</v>
      </c>
    </row>
    <row r="110" spans="1:5" x14ac:dyDescent="0.2">
      <c r="A110" t="s">
        <v>182</v>
      </c>
      <c r="B110" s="16">
        <v>0.53200000000000003</v>
      </c>
      <c r="C110" t="s">
        <v>341</v>
      </c>
      <c r="D110" t="s">
        <v>342</v>
      </c>
      <c r="E110" t="s">
        <v>21</v>
      </c>
    </row>
    <row r="111" spans="1:5" x14ac:dyDescent="0.2">
      <c r="A111" t="s">
        <v>183</v>
      </c>
      <c r="B111" s="16">
        <v>0.248</v>
      </c>
      <c r="C111" t="s">
        <v>341</v>
      </c>
      <c r="D111" t="s">
        <v>343</v>
      </c>
      <c r="E111" t="s">
        <v>21</v>
      </c>
    </row>
    <row r="112" spans="1:5" x14ac:dyDescent="0.2">
      <c r="A112" t="s">
        <v>184</v>
      </c>
      <c r="B112" s="9">
        <v>15</v>
      </c>
      <c r="C112" t="s">
        <v>240</v>
      </c>
      <c r="D112" t="s">
        <v>344</v>
      </c>
      <c r="E112" t="s">
        <v>21</v>
      </c>
    </row>
    <row r="113" spans="1:5" x14ac:dyDescent="0.2">
      <c r="A113" t="s">
        <v>185</v>
      </c>
      <c r="B113" s="9">
        <v>14</v>
      </c>
      <c r="C113" t="s">
        <v>240</v>
      </c>
      <c r="D113" t="s">
        <v>345</v>
      </c>
      <c r="E113" t="s">
        <v>21</v>
      </c>
    </row>
    <row r="114" spans="1:5" x14ac:dyDescent="0.2">
      <c r="A114" t="s">
        <v>346</v>
      </c>
      <c r="B114" s="9">
        <v>8772</v>
      </c>
      <c r="C114" t="s">
        <v>347</v>
      </c>
      <c r="D114" t="s">
        <v>348</v>
      </c>
    </row>
    <row r="117" spans="1:5" x14ac:dyDescent="0.2">
      <c r="A117" s="6" t="s">
        <v>349</v>
      </c>
    </row>
    <row r="118" spans="1:5" ht="31.25" customHeight="1" x14ac:dyDescent="0.2">
      <c r="A118" s="7" t="s">
        <v>46</v>
      </c>
      <c r="B118" s="31" t="s">
        <v>350</v>
      </c>
      <c r="C118" s="32"/>
      <c r="D118" s="32"/>
    </row>
    <row r="119" spans="1:5" ht="15.5" customHeight="1" x14ac:dyDescent="0.2">
      <c r="A119" s="7" t="s">
        <v>48</v>
      </c>
      <c r="B119" s="31" t="s">
        <v>351</v>
      </c>
      <c r="C119" s="32"/>
      <c r="D119" s="32"/>
    </row>
    <row r="120" spans="1:5" ht="31.25" customHeight="1" x14ac:dyDescent="0.2">
      <c r="A120" s="7" t="s">
        <v>50</v>
      </c>
      <c r="B120" s="31" t="s">
        <v>352</v>
      </c>
      <c r="C120" s="32"/>
      <c r="D120" s="32"/>
    </row>
    <row r="121" spans="1:5" ht="15.5" customHeight="1" x14ac:dyDescent="0.2">
      <c r="A121" s="7" t="s">
        <v>52</v>
      </c>
      <c r="B121" s="31" t="s">
        <v>353</v>
      </c>
      <c r="C121" s="32"/>
      <c r="D121" s="32"/>
    </row>
    <row r="122" spans="1:5" ht="15.5" customHeight="1" x14ac:dyDescent="0.2">
      <c r="A122" s="7" t="s">
        <v>54</v>
      </c>
      <c r="B122" s="31" t="s">
        <v>264</v>
      </c>
      <c r="C122" s="32"/>
      <c r="D122" s="32"/>
    </row>
    <row r="123" spans="1:5" x14ac:dyDescent="0.2">
      <c r="A123" s="8" t="s">
        <v>354</v>
      </c>
      <c r="B123" s="8" t="s">
        <v>355</v>
      </c>
      <c r="C123" s="8" t="s">
        <v>356</v>
      </c>
      <c r="D123" s="8" t="s">
        <v>228</v>
      </c>
    </row>
    <row r="124" spans="1:5" x14ac:dyDescent="0.2">
      <c r="A124" t="s">
        <v>357</v>
      </c>
      <c r="B124" s="9">
        <v>14</v>
      </c>
      <c r="C124" t="s">
        <v>358</v>
      </c>
      <c r="D124" t="s">
        <v>359</v>
      </c>
    </row>
    <row r="125" spans="1:5" x14ac:dyDescent="0.2">
      <c r="A125" t="s">
        <v>360</v>
      </c>
      <c r="B125" s="9">
        <v>28</v>
      </c>
      <c r="C125" t="s">
        <v>361</v>
      </c>
      <c r="D125" t="s">
        <v>362</v>
      </c>
    </row>
    <row r="126" spans="1:5" x14ac:dyDescent="0.2">
      <c r="A126" t="s">
        <v>363</v>
      </c>
      <c r="B126" s="9">
        <v>42</v>
      </c>
      <c r="C126" t="s">
        <v>364</v>
      </c>
      <c r="D126" t="s">
        <v>365</v>
      </c>
    </row>
  </sheetData>
  <mergeCells count="45">
    <mergeCell ref="B121:D121"/>
    <mergeCell ref="B59:D59"/>
    <mergeCell ref="B8:E8"/>
    <mergeCell ref="B46:D46"/>
    <mergeCell ref="B122:D122"/>
    <mergeCell ref="B82:E82"/>
    <mergeCell ref="B71:G71"/>
    <mergeCell ref="B18:D18"/>
    <mergeCell ref="B56:D56"/>
    <mergeCell ref="B58:D58"/>
    <mergeCell ref="B21:D21"/>
    <mergeCell ref="B103:E103"/>
    <mergeCell ref="B34:E34"/>
    <mergeCell ref="B70:G70"/>
    <mergeCell ref="B48:D48"/>
    <mergeCell ref="B84:E84"/>
    <mergeCell ref="B4:E4"/>
    <mergeCell ref="B106:E106"/>
    <mergeCell ref="B118:D118"/>
    <mergeCell ref="B7:E7"/>
    <mergeCell ref="B74:G74"/>
    <mergeCell ref="B81:E81"/>
    <mergeCell ref="B20:D20"/>
    <mergeCell ref="B31:E31"/>
    <mergeCell ref="B102:E102"/>
    <mergeCell ref="B105:E105"/>
    <mergeCell ref="B45:D45"/>
    <mergeCell ref="B47:D47"/>
    <mergeCell ref="B72:G72"/>
    <mergeCell ref="B5:E5"/>
    <mergeCell ref="B73:G73"/>
    <mergeCell ref="B85:E85"/>
    <mergeCell ref="B32:E32"/>
    <mergeCell ref="B19:D19"/>
    <mergeCell ref="B35:E35"/>
    <mergeCell ref="B120:D120"/>
    <mergeCell ref="B60:D60"/>
    <mergeCell ref="B83:E83"/>
    <mergeCell ref="B57:D57"/>
    <mergeCell ref="B6:E6"/>
    <mergeCell ref="B17:D17"/>
    <mergeCell ref="B119:D119"/>
    <mergeCell ref="B33:E33"/>
    <mergeCell ref="B104:E104"/>
    <mergeCell ref="B44:D44"/>
  </mergeCells>
  <pageMargins left="0.75" right="0.75" top="1" bottom="1" header="0.5" footer="0.5"/>
  <tableParts count="9">
    <tablePart r:id="rId1"/>
    <tablePart r:id="rId2"/>
    <tablePart r:id="rId3"/>
    <tablePart r:id="rId4"/>
    <tablePart r:id="rId5"/>
    <tablePart r:id="rId6"/>
    <tablePart r:id="rId7"/>
    <tablePart r:id="rId8"/>
    <tablePart r:id="rId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H23"/>
  <sheetViews>
    <sheetView zoomScale="120" zoomScaleNormal="120" workbookViewId="0">
      <selection activeCell="B44" sqref="B44"/>
    </sheetView>
  </sheetViews>
  <sheetFormatPr baseColWidth="10" defaultColWidth="8.83203125" defaultRowHeight="15" x14ac:dyDescent="0.2"/>
  <cols>
    <col min="1" max="1" width="22" customWidth="1"/>
    <col min="2" max="7" width="10" customWidth="1"/>
    <col min="8" max="8" width="30" customWidth="1"/>
  </cols>
  <sheetData>
    <row r="1" spans="1:8" ht="21" x14ac:dyDescent="0.25">
      <c r="A1" s="5" t="s">
        <v>366</v>
      </c>
    </row>
    <row r="3" spans="1:8" x14ac:dyDescent="0.2">
      <c r="A3" s="36" t="s">
        <v>367</v>
      </c>
      <c r="B3" s="34"/>
      <c r="C3" s="34"/>
      <c r="D3" s="34"/>
      <c r="E3" s="34"/>
      <c r="F3" s="34"/>
      <c r="G3" s="34"/>
      <c r="H3" s="35"/>
    </row>
    <row r="4" spans="1:8" ht="93.5" customHeight="1" x14ac:dyDescent="0.2">
      <c r="A4" s="33" t="s">
        <v>368</v>
      </c>
      <c r="B4" s="34"/>
      <c r="C4" s="34"/>
      <c r="D4" s="34"/>
      <c r="E4" s="34"/>
      <c r="F4" s="34"/>
      <c r="G4" s="34"/>
      <c r="H4" s="35"/>
    </row>
    <row r="7" spans="1:8" x14ac:dyDescent="0.2">
      <c r="A7" s="8" t="s">
        <v>369</v>
      </c>
      <c r="B7" s="8" t="s">
        <v>227</v>
      </c>
      <c r="C7" s="8" t="s">
        <v>231</v>
      </c>
      <c r="D7" s="8" t="s">
        <v>370</v>
      </c>
      <c r="E7" s="8" t="s">
        <v>371</v>
      </c>
      <c r="F7" s="8" t="s">
        <v>372</v>
      </c>
      <c r="G7" s="8" t="s">
        <v>373</v>
      </c>
      <c r="H7" s="8" t="s">
        <v>228</v>
      </c>
    </row>
    <row r="8" spans="1:8" x14ac:dyDescent="0.2">
      <c r="A8" t="s">
        <v>374</v>
      </c>
      <c r="B8" t="s">
        <v>375</v>
      </c>
      <c r="C8" s="17">
        <v>10</v>
      </c>
      <c r="D8" s="17">
        <v>16</v>
      </c>
      <c r="E8" s="17">
        <v>20</v>
      </c>
      <c r="F8" s="17">
        <v>18</v>
      </c>
      <c r="G8" s="17">
        <v>12</v>
      </c>
      <c r="H8" t="s">
        <v>376</v>
      </c>
    </row>
    <row r="9" spans="1:8" x14ac:dyDescent="0.2">
      <c r="A9" t="s">
        <v>377</v>
      </c>
      <c r="B9" t="s">
        <v>378</v>
      </c>
      <c r="C9" s="18">
        <v>0.75</v>
      </c>
      <c r="D9" s="18">
        <v>1</v>
      </c>
      <c r="E9" s="18">
        <v>1</v>
      </c>
      <c r="F9" s="18">
        <v>0.85</v>
      </c>
      <c r="G9" s="18">
        <v>0.55000000000000004</v>
      </c>
      <c r="H9" t="s">
        <v>379</v>
      </c>
    </row>
    <row r="10" spans="1:8" x14ac:dyDescent="0.2">
      <c r="A10" t="s">
        <v>380</v>
      </c>
      <c r="B10" t="s">
        <v>338</v>
      </c>
      <c r="C10" s="18">
        <v>8.5</v>
      </c>
      <c r="D10" s="18">
        <v>7.5</v>
      </c>
      <c r="E10" s="18">
        <v>6.5</v>
      </c>
      <c r="F10" s="18">
        <v>7</v>
      </c>
      <c r="G10" s="18">
        <v>8</v>
      </c>
      <c r="H10" t="s">
        <v>381</v>
      </c>
    </row>
    <row r="11" spans="1:8" x14ac:dyDescent="0.2">
      <c r="A11" t="s">
        <v>382</v>
      </c>
      <c r="B11" t="s">
        <v>378</v>
      </c>
      <c r="C11" s="18">
        <v>1</v>
      </c>
      <c r="D11" s="18">
        <v>0.7</v>
      </c>
      <c r="E11" s="18">
        <v>0.4</v>
      </c>
      <c r="F11" s="18">
        <v>0.3</v>
      </c>
      <c r="G11" s="18">
        <v>0.2</v>
      </c>
      <c r="H11" t="s">
        <v>383</v>
      </c>
    </row>
    <row r="12" spans="1:8" x14ac:dyDescent="0.2">
      <c r="A12" t="s">
        <v>384</v>
      </c>
      <c r="B12" t="s">
        <v>378</v>
      </c>
      <c r="C12" s="18">
        <v>0.7</v>
      </c>
      <c r="D12" s="18">
        <v>0.9</v>
      </c>
      <c r="E12" s="18">
        <v>1</v>
      </c>
      <c r="F12" s="18">
        <v>0.95</v>
      </c>
      <c r="G12" s="18">
        <v>0.8</v>
      </c>
      <c r="H12" t="s">
        <v>385</v>
      </c>
    </row>
    <row r="15" spans="1:8" x14ac:dyDescent="0.2">
      <c r="A15" s="11" t="s">
        <v>386</v>
      </c>
    </row>
    <row r="16" spans="1:8" x14ac:dyDescent="0.2">
      <c r="A16" s="8" t="s">
        <v>56</v>
      </c>
      <c r="B16" s="8" t="s">
        <v>227</v>
      </c>
      <c r="C16" s="8" t="s">
        <v>387</v>
      </c>
      <c r="D16" s="8" t="s">
        <v>388</v>
      </c>
      <c r="E16" s="8" t="s">
        <v>389</v>
      </c>
      <c r="F16" s="8" t="s">
        <v>390</v>
      </c>
      <c r="G16" s="8" t="s">
        <v>391</v>
      </c>
      <c r="H16" s="8" t="s">
        <v>228</v>
      </c>
    </row>
    <row r="17" spans="1:8" x14ac:dyDescent="0.2">
      <c r="A17" t="s">
        <v>392</v>
      </c>
      <c r="B17" t="s">
        <v>338</v>
      </c>
      <c r="C17" s="19">
        <v>50</v>
      </c>
      <c r="D17" s="19">
        <v>150</v>
      </c>
      <c r="E17" s="19">
        <v>300</v>
      </c>
      <c r="F17">
        <v>230</v>
      </c>
      <c r="G17" t="s">
        <v>393</v>
      </c>
      <c r="H17" t="s">
        <v>394</v>
      </c>
    </row>
    <row r="18" spans="1:8" x14ac:dyDescent="0.2">
      <c r="A18" t="s">
        <v>395</v>
      </c>
      <c r="B18" t="s">
        <v>396</v>
      </c>
      <c r="C18" s="17">
        <v>1</v>
      </c>
      <c r="D18" s="17">
        <v>2.5</v>
      </c>
      <c r="E18" s="17">
        <v>6</v>
      </c>
      <c r="F18">
        <v>4</v>
      </c>
      <c r="G18" t="s">
        <v>393</v>
      </c>
      <c r="H18" t="s">
        <v>397</v>
      </c>
    </row>
    <row r="19" spans="1:8" x14ac:dyDescent="0.2">
      <c r="A19" t="s">
        <v>398</v>
      </c>
      <c r="B19" t="s">
        <v>338</v>
      </c>
      <c r="C19" s="19">
        <v>100</v>
      </c>
      <c r="D19" s="19">
        <v>300</v>
      </c>
      <c r="E19" s="19">
        <v>600</v>
      </c>
      <c r="F19">
        <v>500</v>
      </c>
      <c r="G19" t="s">
        <v>393</v>
      </c>
      <c r="H19" t="s">
        <v>399</v>
      </c>
    </row>
    <row r="20" spans="1:8" x14ac:dyDescent="0.2">
      <c r="A20" t="s">
        <v>400</v>
      </c>
      <c r="B20" t="s">
        <v>338</v>
      </c>
      <c r="C20" s="17">
        <v>5</v>
      </c>
      <c r="D20" s="17">
        <v>7</v>
      </c>
      <c r="E20" s="17">
        <v>9</v>
      </c>
      <c r="F20">
        <v>6.5</v>
      </c>
      <c r="G20" t="s">
        <v>401</v>
      </c>
      <c r="H20" t="s">
        <v>402</v>
      </c>
    </row>
    <row r="23" spans="1:8" x14ac:dyDescent="0.2">
      <c r="A23" s="11" t="s">
        <v>403</v>
      </c>
      <c r="B23" t="s">
        <v>404</v>
      </c>
      <c r="C23" t="s">
        <v>405</v>
      </c>
    </row>
  </sheetData>
  <mergeCells count="2">
    <mergeCell ref="A4:H4"/>
    <mergeCell ref="A3:H3"/>
  </mergeCells>
  <pageMargins left="0.75" right="0.75" top="1" bottom="1" header="0.5" footer="0.5"/>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E25"/>
  <sheetViews>
    <sheetView topLeftCell="A9" zoomScale="120" zoomScaleNormal="120" workbookViewId="0">
      <selection activeCell="I17" sqref="I17"/>
    </sheetView>
  </sheetViews>
  <sheetFormatPr baseColWidth="10" defaultColWidth="8.83203125" defaultRowHeight="15" x14ac:dyDescent="0.2"/>
  <cols>
    <col min="1" max="1" width="12" customWidth="1"/>
    <col min="2" max="2" width="22" customWidth="1"/>
    <col min="3" max="3" width="14" customWidth="1"/>
    <col min="4" max="4" width="24" customWidth="1"/>
    <col min="5" max="5" width="40" customWidth="1"/>
  </cols>
  <sheetData>
    <row r="1" spans="1:5" ht="21" x14ac:dyDescent="0.25">
      <c r="A1" s="5" t="s">
        <v>406</v>
      </c>
    </row>
    <row r="3" spans="1:5" x14ac:dyDescent="0.2">
      <c r="A3" s="6" t="s">
        <v>406</v>
      </c>
    </row>
    <row r="4" spans="1:5" ht="31.25" customHeight="1" x14ac:dyDescent="0.2">
      <c r="A4" s="7" t="s">
        <v>46</v>
      </c>
      <c r="B4" s="31" t="s">
        <v>407</v>
      </c>
      <c r="C4" s="32"/>
      <c r="D4" s="32"/>
      <c r="E4" s="32"/>
    </row>
    <row r="5" spans="1:5" ht="31.25" customHeight="1" x14ac:dyDescent="0.2">
      <c r="A5" s="7" t="s">
        <v>48</v>
      </c>
      <c r="B5" s="31" t="s">
        <v>408</v>
      </c>
      <c r="C5" s="32"/>
      <c r="D5" s="32"/>
      <c r="E5" s="32"/>
    </row>
    <row r="6" spans="1:5" ht="62.5" customHeight="1" x14ac:dyDescent="0.2">
      <c r="A6" s="7" t="s">
        <v>50</v>
      </c>
      <c r="B6" s="31" t="s">
        <v>409</v>
      </c>
      <c r="C6" s="32"/>
      <c r="D6" s="32"/>
      <c r="E6" s="32"/>
    </row>
    <row r="7" spans="1:5" ht="15.5" customHeight="1" x14ac:dyDescent="0.2">
      <c r="A7" s="7" t="s">
        <v>52</v>
      </c>
      <c r="B7" s="31" t="s">
        <v>410</v>
      </c>
      <c r="C7" s="32"/>
      <c r="D7" s="32"/>
      <c r="E7" s="32"/>
    </row>
    <row r="8" spans="1:5" ht="15.5" customHeight="1" x14ac:dyDescent="0.2">
      <c r="A8" s="7" t="s">
        <v>54</v>
      </c>
      <c r="B8" s="31" t="s">
        <v>411</v>
      </c>
      <c r="C8" s="32"/>
      <c r="D8" s="32"/>
      <c r="E8" s="32"/>
    </row>
    <row r="9" spans="1:5" x14ac:dyDescent="0.2">
      <c r="A9" s="8" t="s">
        <v>412</v>
      </c>
      <c r="B9" s="8" t="s">
        <v>413</v>
      </c>
      <c r="C9" s="8" t="s">
        <v>414</v>
      </c>
      <c r="D9" s="8" t="s">
        <v>415</v>
      </c>
      <c r="E9" s="8" t="s">
        <v>59</v>
      </c>
    </row>
    <row r="10" spans="1:5" x14ac:dyDescent="0.2">
      <c r="A10" t="s">
        <v>416</v>
      </c>
      <c r="B10" t="s">
        <v>417</v>
      </c>
      <c r="C10" s="14">
        <v>104000</v>
      </c>
      <c r="D10">
        <v>7</v>
      </c>
      <c r="E10" t="s">
        <v>418</v>
      </c>
    </row>
    <row r="11" spans="1:5" x14ac:dyDescent="0.2">
      <c r="A11" t="s">
        <v>419</v>
      </c>
      <c r="B11" t="s">
        <v>420</v>
      </c>
      <c r="C11" s="14">
        <v>67500</v>
      </c>
      <c r="D11">
        <v>7</v>
      </c>
      <c r="E11" t="s">
        <v>421</v>
      </c>
    </row>
    <row r="12" spans="1:5" x14ac:dyDescent="0.2">
      <c r="A12" t="s">
        <v>422</v>
      </c>
      <c r="B12" t="s">
        <v>423</v>
      </c>
      <c r="C12" s="14">
        <v>78000</v>
      </c>
      <c r="D12">
        <v>14</v>
      </c>
      <c r="E12" t="s">
        <v>424</v>
      </c>
    </row>
    <row r="13" spans="1:5" x14ac:dyDescent="0.2">
      <c r="A13" t="s">
        <v>425</v>
      </c>
      <c r="B13" t="s">
        <v>426</v>
      </c>
      <c r="C13" s="14">
        <v>36000</v>
      </c>
      <c r="D13">
        <v>3</v>
      </c>
      <c r="E13" t="s">
        <v>427</v>
      </c>
    </row>
    <row r="16" spans="1:5" x14ac:dyDescent="0.2">
      <c r="A16" s="6" t="s">
        <v>428</v>
      </c>
    </row>
    <row r="17" spans="1:4" ht="31.25" customHeight="1" x14ac:dyDescent="0.2">
      <c r="A17" s="7" t="s">
        <v>46</v>
      </c>
      <c r="B17" s="31" t="s">
        <v>429</v>
      </c>
      <c r="C17" s="32"/>
      <c r="D17" s="32"/>
    </row>
    <row r="18" spans="1:4" ht="31.25" customHeight="1" x14ac:dyDescent="0.2">
      <c r="A18" s="7" t="s">
        <v>48</v>
      </c>
      <c r="B18" s="31" t="s">
        <v>430</v>
      </c>
      <c r="C18" s="32"/>
      <c r="D18" s="32"/>
    </row>
    <row r="19" spans="1:4" ht="78" customHeight="1" x14ac:dyDescent="0.2">
      <c r="A19" s="7" t="s">
        <v>50</v>
      </c>
      <c r="B19" s="31" t="s">
        <v>431</v>
      </c>
      <c r="C19" s="32"/>
      <c r="D19" s="32"/>
    </row>
    <row r="20" spans="1:4" ht="31.25" customHeight="1" x14ac:dyDescent="0.2">
      <c r="A20" s="7" t="s">
        <v>52</v>
      </c>
      <c r="B20" s="31" t="s">
        <v>432</v>
      </c>
      <c r="C20" s="32"/>
      <c r="D20" s="32"/>
    </row>
    <row r="21" spans="1:4" ht="15.5" customHeight="1" x14ac:dyDescent="0.2">
      <c r="A21" s="7" t="s">
        <v>54</v>
      </c>
      <c r="B21" s="31" t="s">
        <v>433</v>
      </c>
      <c r="C21" s="32"/>
      <c r="D21" s="32"/>
    </row>
    <row r="22" spans="1:4" x14ac:dyDescent="0.2">
      <c r="A22" s="8" t="s">
        <v>93</v>
      </c>
      <c r="B22" s="8" t="s">
        <v>434</v>
      </c>
      <c r="C22" s="8" t="s">
        <v>435</v>
      </c>
      <c r="D22" s="8" t="s">
        <v>436</v>
      </c>
    </row>
    <row r="23" spans="1:4" x14ac:dyDescent="0.2">
      <c r="A23" t="s">
        <v>65</v>
      </c>
      <c r="B23" s="10">
        <v>0</v>
      </c>
      <c r="C23" s="10">
        <v>0</v>
      </c>
      <c r="D23" s="10">
        <v>0</v>
      </c>
    </row>
    <row r="24" spans="1:4" x14ac:dyDescent="0.2">
      <c r="A24" t="s">
        <v>328</v>
      </c>
      <c r="B24" s="10">
        <v>4.0000000000000001E-3</v>
      </c>
      <c r="C24" s="10">
        <v>-0.02</v>
      </c>
      <c r="D24" s="10">
        <v>0.1</v>
      </c>
    </row>
    <row r="25" spans="1:4" x14ac:dyDescent="0.2">
      <c r="A25" t="s">
        <v>329</v>
      </c>
      <c r="B25" s="10">
        <v>-3.0000000000000001E-3</v>
      </c>
      <c r="C25" s="10">
        <v>0.01</v>
      </c>
      <c r="D25" s="10">
        <v>-0.1</v>
      </c>
    </row>
  </sheetData>
  <mergeCells count="10">
    <mergeCell ref="B21:D21"/>
    <mergeCell ref="B5:E5"/>
    <mergeCell ref="B20:D20"/>
    <mergeCell ref="B19:D19"/>
    <mergeCell ref="B8:E8"/>
    <mergeCell ref="B4:E4"/>
    <mergeCell ref="B6:E6"/>
    <mergeCell ref="B17:D17"/>
    <mergeCell ref="B18:D18"/>
    <mergeCell ref="B7:E7"/>
  </mergeCells>
  <pageMargins left="0.75" right="0.75" top="1" bottom="1" header="0.5" footer="0.5"/>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G35"/>
  <sheetViews>
    <sheetView topLeftCell="A20" zoomScale="120" zoomScaleNormal="120" workbookViewId="0">
      <selection activeCell="K27" sqref="K27"/>
    </sheetView>
  </sheetViews>
  <sheetFormatPr baseColWidth="10" defaultColWidth="8.83203125" defaultRowHeight="15" x14ac:dyDescent="0.2"/>
  <cols>
    <col min="1" max="1" width="28" customWidth="1"/>
    <col min="2" max="5" width="12" customWidth="1"/>
    <col min="6" max="6" width="30" customWidth="1"/>
    <col min="7" max="7" width="35" customWidth="1"/>
  </cols>
  <sheetData>
    <row r="1" spans="1:6" ht="21" x14ac:dyDescent="0.25">
      <c r="A1" s="5" t="s">
        <v>437</v>
      </c>
    </row>
    <row r="3" spans="1:6" x14ac:dyDescent="0.2">
      <c r="A3" s="6" t="s">
        <v>438</v>
      </c>
    </row>
    <row r="4" spans="1:6" ht="31.25" customHeight="1" x14ac:dyDescent="0.2">
      <c r="A4" s="7" t="s">
        <v>46</v>
      </c>
      <c r="B4" s="31" t="s">
        <v>439</v>
      </c>
      <c r="C4" s="32"/>
      <c r="D4" s="32"/>
      <c r="E4" s="32"/>
      <c r="F4" s="32"/>
    </row>
    <row r="5" spans="1:6" ht="31.25" customHeight="1" x14ac:dyDescent="0.2">
      <c r="A5" s="7" t="s">
        <v>48</v>
      </c>
      <c r="B5" s="31" t="s">
        <v>440</v>
      </c>
      <c r="C5" s="32"/>
      <c r="D5" s="32"/>
      <c r="E5" s="32"/>
      <c r="F5" s="32"/>
    </row>
    <row r="6" spans="1:6" ht="62.5" customHeight="1" x14ac:dyDescent="0.2">
      <c r="A6" s="7" t="s">
        <v>50</v>
      </c>
      <c r="B6" s="31" t="s">
        <v>441</v>
      </c>
      <c r="C6" s="32"/>
      <c r="D6" s="32"/>
      <c r="E6" s="32"/>
      <c r="F6" s="32"/>
    </row>
    <row r="7" spans="1:6" ht="15.5" customHeight="1" x14ac:dyDescent="0.2">
      <c r="A7" s="7" t="s">
        <v>52</v>
      </c>
      <c r="B7" s="31" t="s">
        <v>442</v>
      </c>
      <c r="C7" s="32"/>
      <c r="D7" s="32"/>
      <c r="E7" s="32"/>
      <c r="F7" s="32"/>
    </row>
    <row r="8" spans="1:6" ht="15.5" customHeight="1" x14ac:dyDescent="0.2">
      <c r="A8" s="7" t="s">
        <v>54</v>
      </c>
      <c r="B8" s="31" t="s">
        <v>443</v>
      </c>
      <c r="C8" s="32"/>
      <c r="D8" s="32"/>
      <c r="E8" s="32"/>
      <c r="F8" s="32"/>
    </row>
    <row r="9" spans="1:6" x14ac:dyDescent="0.2">
      <c r="A9" s="8" t="s">
        <v>369</v>
      </c>
      <c r="B9" s="8" t="s">
        <v>387</v>
      </c>
      <c r="C9" s="8" t="s">
        <v>388</v>
      </c>
      <c r="D9" s="8" t="s">
        <v>389</v>
      </c>
      <c r="E9" s="8" t="s">
        <v>444</v>
      </c>
      <c r="F9" s="8" t="s">
        <v>179</v>
      </c>
    </row>
    <row r="10" spans="1:6" x14ac:dyDescent="0.2">
      <c r="A10" t="s">
        <v>445</v>
      </c>
      <c r="B10" s="9">
        <v>14</v>
      </c>
      <c r="C10" s="9">
        <v>21</v>
      </c>
      <c r="D10" s="9">
        <v>35</v>
      </c>
      <c r="E10" t="s">
        <v>240</v>
      </c>
      <c r="F10" t="s">
        <v>23</v>
      </c>
    </row>
    <row r="11" spans="1:6" x14ac:dyDescent="0.2">
      <c r="A11" t="s">
        <v>446</v>
      </c>
      <c r="B11" s="14">
        <v>3000</v>
      </c>
      <c r="C11" s="14">
        <v>7500</v>
      </c>
      <c r="D11" s="14">
        <v>15000</v>
      </c>
      <c r="E11" t="s">
        <v>285</v>
      </c>
      <c r="F11" t="s">
        <v>23</v>
      </c>
    </row>
    <row r="12" spans="1:6" x14ac:dyDescent="0.2">
      <c r="A12" t="s">
        <v>447</v>
      </c>
      <c r="B12" s="9">
        <v>1</v>
      </c>
      <c r="C12" s="9">
        <v>3</v>
      </c>
      <c r="D12" s="9">
        <v>8</v>
      </c>
      <c r="E12" t="s">
        <v>448</v>
      </c>
      <c r="F12" t="s">
        <v>23</v>
      </c>
    </row>
    <row r="13" spans="1:6" x14ac:dyDescent="0.2">
      <c r="A13" t="s">
        <v>449</v>
      </c>
      <c r="B13" s="9">
        <v>0.7</v>
      </c>
      <c r="C13" s="9">
        <v>1</v>
      </c>
      <c r="D13" s="9">
        <v>1.3</v>
      </c>
      <c r="E13" t="s">
        <v>450</v>
      </c>
      <c r="F13" t="s">
        <v>23</v>
      </c>
    </row>
    <row r="16" spans="1:6" x14ac:dyDescent="0.2">
      <c r="A16" s="6" t="s">
        <v>451</v>
      </c>
    </row>
    <row r="17" spans="1:7" ht="15.5" customHeight="1" x14ac:dyDescent="0.2">
      <c r="A17" s="7" t="s">
        <v>46</v>
      </c>
      <c r="B17" s="31" t="s">
        <v>452</v>
      </c>
      <c r="C17" s="32"/>
      <c r="D17" s="32"/>
      <c r="E17" s="32"/>
      <c r="F17" s="32"/>
      <c r="G17" s="32"/>
    </row>
    <row r="18" spans="1:7" ht="15.5" customHeight="1" x14ac:dyDescent="0.2">
      <c r="A18" s="7" t="s">
        <v>48</v>
      </c>
      <c r="B18" s="31" t="s">
        <v>453</v>
      </c>
      <c r="C18" s="32"/>
      <c r="D18" s="32"/>
      <c r="E18" s="32"/>
      <c r="F18" s="32"/>
      <c r="G18" s="32"/>
    </row>
    <row r="19" spans="1:7" ht="46.75" customHeight="1" x14ac:dyDescent="0.2">
      <c r="A19" s="7" t="s">
        <v>50</v>
      </c>
      <c r="B19" s="31" t="s">
        <v>454</v>
      </c>
      <c r="C19" s="32"/>
      <c r="D19" s="32"/>
      <c r="E19" s="32"/>
      <c r="F19" s="32"/>
      <c r="G19" s="32"/>
    </row>
    <row r="20" spans="1:7" ht="15.5" customHeight="1" x14ac:dyDescent="0.2">
      <c r="A20" s="7" t="s">
        <v>52</v>
      </c>
      <c r="B20" s="31" t="s">
        <v>455</v>
      </c>
      <c r="C20" s="32"/>
      <c r="D20" s="32"/>
      <c r="E20" s="32"/>
      <c r="F20" s="32"/>
      <c r="G20" s="32"/>
    </row>
    <row r="21" spans="1:7" ht="15.5" customHeight="1" x14ac:dyDescent="0.2">
      <c r="A21" s="7" t="s">
        <v>54</v>
      </c>
      <c r="B21" s="31" t="s">
        <v>456</v>
      </c>
      <c r="C21" s="32"/>
      <c r="D21" s="32"/>
      <c r="E21" s="32"/>
      <c r="F21" s="32"/>
      <c r="G21" s="32"/>
    </row>
    <row r="22" spans="1:7" x14ac:dyDescent="0.2">
      <c r="A22" s="8" t="s">
        <v>369</v>
      </c>
      <c r="B22" s="8" t="s">
        <v>457</v>
      </c>
      <c r="C22" s="8" t="s">
        <v>458</v>
      </c>
      <c r="D22" s="8" t="s">
        <v>387</v>
      </c>
      <c r="E22" s="8" t="s">
        <v>389</v>
      </c>
      <c r="F22" s="8" t="s">
        <v>444</v>
      </c>
      <c r="G22" s="8" t="s">
        <v>179</v>
      </c>
    </row>
    <row r="23" spans="1:7" x14ac:dyDescent="0.2">
      <c r="A23" t="s">
        <v>459</v>
      </c>
      <c r="B23" s="9">
        <v>2</v>
      </c>
      <c r="C23" s="9">
        <v>5</v>
      </c>
      <c r="D23" s="9">
        <v>0.05</v>
      </c>
      <c r="E23" s="9">
        <v>0.4</v>
      </c>
      <c r="F23" t="s">
        <v>460</v>
      </c>
    </row>
    <row r="26" spans="1:7" x14ac:dyDescent="0.2">
      <c r="A26" s="6" t="s">
        <v>461</v>
      </c>
    </row>
    <row r="27" spans="1:7" ht="31.25" customHeight="1" x14ac:dyDescent="0.2">
      <c r="A27" s="7" t="s">
        <v>46</v>
      </c>
      <c r="B27" s="31" t="s">
        <v>462</v>
      </c>
      <c r="C27" s="32"/>
      <c r="D27" s="32"/>
      <c r="E27" s="32"/>
    </row>
    <row r="28" spans="1:7" ht="31.25" customHeight="1" x14ac:dyDescent="0.2">
      <c r="A28" s="7" t="s">
        <v>48</v>
      </c>
      <c r="B28" s="31" t="s">
        <v>463</v>
      </c>
      <c r="C28" s="32"/>
      <c r="D28" s="32"/>
      <c r="E28" s="32"/>
    </row>
    <row r="29" spans="1:7" ht="124.75" customHeight="1" x14ac:dyDescent="0.2">
      <c r="A29" s="7" t="s">
        <v>50</v>
      </c>
      <c r="B29" s="31" t="s">
        <v>464</v>
      </c>
      <c r="C29" s="32"/>
      <c r="D29" s="32"/>
      <c r="E29" s="32"/>
    </row>
    <row r="30" spans="1:7" ht="31.25" customHeight="1" x14ac:dyDescent="0.2">
      <c r="A30" s="7" t="s">
        <v>52</v>
      </c>
      <c r="B30" s="31" t="s">
        <v>465</v>
      </c>
      <c r="C30" s="32"/>
      <c r="D30" s="32"/>
      <c r="E30" s="32"/>
    </row>
    <row r="31" spans="1:7" ht="15.5" customHeight="1" x14ac:dyDescent="0.2">
      <c r="A31" s="7" t="s">
        <v>54</v>
      </c>
      <c r="B31" s="31" t="s">
        <v>466</v>
      </c>
      <c r="C31" s="32"/>
      <c r="D31" s="32"/>
      <c r="E31" s="32"/>
    </row>
    <row r="32" spans="1:7" x14ac:dyDescent="0.2">
      <c r="A32" s="8" t="s">
        <v>467</v>
      </c>
      <c r="B32" s="8" t="s">
        <v>468</v>
      </c>
      <c r="C32" s="8" t="s">
        <v>65</v>
      </c>
      <c r="D32" s="8" t="s">
        <v>469</v>
      </c>
      <c r="E32" s="8" t="s">
        <v>470</v>
      </c>
    </row>
    <row r="33" spans="1:5" x14ac:dyDescent="0.2">
      <c r="A33" t="s">
        <v>471</v>
      </c>
      <c r="B33" s="14">
        <v>3</v>
      </c>
      <c r="C33" s="14">
        <v>5</v>
      </c>
      <c r="D33" s="14">
        <v>8</v>
      </c>
      <c r="E33" t="s">
        <v>472</v>
      </c>
    </row>
    <row r="34" spans="1:5" x14ac:dyDescent="0.2">
      <c r="A34" t="s">
        <v>473</v>
      </c>
      <c r="B34" s="14">
        <v>10</v>
      </c>
      <c r="C34" s="14">
        <v>20</v>
      </c>
      <c r="D34" s="14">
        <v>30</v>
      </c>
      <c r="E34" t="s">
        <v>474</v>
      </c>
    </row>
    <row r="35" spans="1:5" x14ac:dyDescent="0.2">
      <c r="A35" t="s">
        <v>475</v>
      </c>
      <c r="B35" s="14">
        <v>21</v>
      </c>
      <c r="C35" s="14">
        <v>50</v>
      </c>
      <c r="D35" s="14">
        <v>93</v>
      </c>
      <c r="E35" t="s">
        <v>476</v>
      </c>
    </row>
  </sheetData>
  <mergeCells count="15">
    <mergeCell ref="B31:E31"/>
    <mergeCell ref="B6:F6"/>
    <mergeCell ref="B17:G17"/>
    <mergeCell ref="B30:E30"/>
    <mergeCell ref="B5:F5"/>
    <mergeCell ref="B29:E29"/>
    <mergeCell ref="B18:G18"/>
    <mergeCell ref="B8:F8"/>
    <mergeCell ref="B21:G21"/>
    <mergeCell ref="B28:E28"/>
    <mergeCell ref="B4:F4"/>
    <mergeCell ref="B19:G19"/>
    <mergeCell ref="B20:G20"/>
    <mergeCell ref="B27:E27"/>
    <mergeCell ref="B7:F7"/>
  </mergeCells>
  <pageMargins left="0.75" right="0.75" top="1" bottom="1" header="0.5" footer="0.5"/>
  <tableParts count="3">
    <tablePart r:id="rId1"/>
    <tablePart r:id="rId2"/>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72C4"/>
  </sheetPr>
  <dimension ref="A1:E30"/>
  <sheetViews>
    <sheetView topLeftCell="A4" zoomScale="120" zoomScaleNormal="120" workbookViewId="0">
      <selection activeCell="B44" sqref="B44"/>
    </sheetView>
  </sheetViews>
  <sheetFormatPr baseColWidth="10" defaultColWidth="8.83203125" defaultRowHeight="15" x14ac:dyDescent="0.2"/>
  <cols>
    <col min="1" max="1" width="20" customWidth="1"/>
    <col min="2" max="2" width="36" customWidth="1"/>
    <col min="3" max="3" width="16" customWidth="1"/>
    <col min="4" max="4" width="12" customWidth="1"/>
    <col min="5" max="5" width="14" customWidth="1"/>
  </cols>
  <sheetData>
    <row r="1" spans="1:5" ht="21" x14ac:dyDescent="0.25">
      <c r="A1" s="5" t="s">
        <v>477</v>
      </c>
    </row>
    <row r="3" spans="1:5" x14ac:dyDescent="0.2">
      <c r="A3" s="36" t="s">
        <v>478</v>
      </c>
      <c r="B3" s="34"/>
      <c r="C3" s="34"/>
      <c r="D3" s="34"/>
      <c r="E3" s="35"/>
    </row>
    <row r="4" spans="1:5" ht="140.5" customHeight="1" x14ac:dyDescent="0.2">
      <c r="A4" s="33" t="s">
        <v>479</v>
      </c>
      <c r="B4" s="34"/>
      <c r="C4" s="34"/>
      <c r="D4" s="34"/>
      <c r="E4" s="35"/>
    </row>
    <row r="6" spans="1:5" x14ac:dyDescent="0.2">
      <c r="A6" s="6" t="s">
        <v>477</v>
      </c>
    </row>
    <row r="7" spans="1:5" ht="31.25" customHeight="1" x14ac:dyDescent="0.2">
      <c r="A7" s="7" t="s">
        <v>46</v>
      </c>
      <c r="B7" s="31" t="s">
        <v>480</v>
      </c>
      <c r="C7" s="32"/>
      <c r="D7" s="32"/>
      <c r="E7" s="32"/>
    </row>
    <row r="8" spans="1:5" ht="15.5" customHeight="1" x14ac:dyDescent="0.2">
      <c r="A8" s="7" t="s">
        <v>48</v>
      </c>
      <c r="B8" s="31" t="s">
        <v>481</v>
      </c>
      <c r="C8" s="32"/>
      <c r="D8" s="32"/>
      <c r="E8" s="32"/>
    </row>
    <row r="9" spans="1:5" ht="46.75" customHeight="1" x14ac:dyDescent="0.2">
      <c r="A9" s="7" t="s">
        <v>50</v>
      </c>
      <c r="B9" s="31" t="s">
        <v>482</v>
      </c>
      <c r="C9" s="32"/>
      <c r="D9" s="32"/>
      <c r="E9" s="32"/>
    </row>
    <row r="10" spans="1:5" ht="15.5" customHeight="1" x14ac:dyDescent="0.2">
      <c r="A10" s="7" t="s">
        <v>52</v>
      </c>
      <c r="B10" s="31" t="s">
        <v>483</v>
      </c>
      <c r="C10" s="32"/>
      <c r="D10" s="32"/>
      <c r="E10" s="32"/>
    </row>
    <row r="11" spans="1:5" ht="15.5" customHeight="1" x14ac:dyDescent="0.2">
      <c r="A11" s="7" t="s">
        <v>54</v>
      </c>
      <c r="B11" s="31" t="s">
        <v>484</v>
      </c>
      <c r="C11" s="32"/>
      <c r="D11" s="32"/>
      <c r="E11" s="32"/>
    </row>
    <row r="12" spans="1:5" x14ac:dyDescent="0.2">
      <c r="A12" s="8" t="s">
        <v>485</v>
      </c>
      <c r="B12" s="8" t="s">
        <v>486</v>
      </c>
      <c r="C12" s="8" t="s">
        <v>239</v>
      </c>
      <c r="D12" s="8" t="s">
        <v>487</v>
      </c>
      <c r="E12" s="8" t="s">
        <v>488</v>
      </c>
    </row>
    <row r="13" spans="1:5" x14ac:dyDescent="0.2">
      <c r="A13">
        <v>0</v>
      </c>
      <c r="B13">
        <f>Base_Year+0</f>
        <v>2026</v>
      </c>
      <c r="C13">
        <f t="shared" ref="C13:C18" si="0">Season_Length</f>
        <v>100</v>
      </c>
      <c r="D13">
        <v>1</v>
      </c>
      <c r="E13">
        <v>1</v>
      </c>
    </row>
    <row r="14" spans="1:5" x14ac:dyDescent="0.2">
      <c r="A14">
        <v>1</v>
      </c>
      <c r="B14">
        <f>Base_Year+1</f>
        <v>2027</v>
      </c>
      <c r="C14">
        <f t="shared" si="0"/>
        <v>100</v>
      </c>
      <c r="D14">
        <f>1/(1+Discount_Rate)^1</f>
        <v>0.95419847328244267</v>
      </c>
      <c r="E14">
        <f>INDEX(LearningCurve_Mult,1)</f>
        <v>0.5</v>
      </c>
    </row>
    <row r="15" spans="1:5" x14ac:dyDescent="0.2">
      <c r="A15">
        <v>2</v>
      </c>
      <c r="B15">
        <f>Base_Year+2</f>
        <v>2028</v>
      </c>
      <c r="C15">
        <f t="shared" si="0"/>
        <v>100</v>
      </c>
      <c r="D15">
        <f>1/(1+Discount_Rate)^2</f>
        <v>0.91049472641454443</v>
      </c>
      <c r="E15">
        <f>INDEX(LearningCurve_Mult,2)</f>
        <v>0.75</v>
      </c>
    </row>
    <row r="16" spans="1:5" x14ac:dyDescent="0.2">
      <c r="A16">
        <v>3</v>
      </c>
      <c r="B16">
        <f>Base_Year+3</f>
        <v>2029</v>
      </c>
      <c r="C16">
        <f t="shared" si="0"/>
        <v>100</v>
      </c>
      <c r="D16">
        <f>1/(1+Discount_Rate)^3</f>
        <v>0.86879267787647374</v>
      </c>
      <c r="E16">
        <f>INDEX(LearningCurve_Mult,3)</f>
        <v>1</v>
      </c>
    </row>
    <row r="17" spans="1:5" x14ac:dyDescent="0.2">
      <c r="A17">
        <v>4</v>
      </c>
      <c r="B17">
        <f>Base_Year+4</f>
        <v>2030</v>
      </c>
      <c r="C17">
        <f t="shared" si="0"/>
        <v>100</v>
      </c>
      <c r="D17">
        <f>1/(1+Discount_Rate)^4</f>
        <v>0.82900064682869612</v>
      </c>
      <c r="E17">
        <f>INDEX(LearningCurve_Mult,4)</f>
        <v>1</v>
      </c>
    </row>
    <row r="18" spans="1:5" x14ac:dyDescent="0.2">
      <c r="A18">
        <v>5</v>
      </c>
      <c r="B18">
        <f>Base_Year+5</f>
        <v>2031</v>
      </c>
      <c r="C18">
        <f t="shared" si="0"/>
        <v>100</v>
      </c>
      <c r="D18">
        <f>1/(1+Discount_Rate)^5</f>
        <v>0.79103115155409931</v>
      </c>
      <c r="E18">
        <f>INDEX(LearningCurve_Mult,5)</f>
        <v>1</v>
      </c>
    </row>
    <row r="21" spans="1:5" ht="19" x14ac:dyDescent="0.25">
      <c r="A21" s="4" t="s">
        <v>489</v>
      </c>
    </row>
    <row r="22" spans="1:5" x14ac:dyDescent="0.2">
      <c r="A22" s="20" t="s">
        <v>490</v>
      </c>
    </row>
    <row r="23" spans="1:5" x14ac:dyDescent="0.2">
      <c r="A23" s="8" t="s">
        <v>491</v>
      </c>
      <c r="B23" s="8" t="s">
        <v>492</v>
      </c>
      <c r="C23" s="8" t="s">
        <v>57</v>
      </c>
      <c r="D23" s="8" t="s">
        <v>227</v>
      </c>
    </row>
    <row r="24" spans="1:5" x14ac:dyDescent="0.2">
      <c r="A24" t="s">
        <v>206</v>
      </c>
      <c r="B24" t="s">
        <v>493</v>
      </c>
      <c r="C24" s="21">
        <f ca="1">Rapid_Phase_Rate*Stoch_TreatmentRate</f>
        <v>0.52244003903477521</v>
      </c>
      <c r="D24" t="s">
        <v>341</v>
      </c>
    </row>
    <row r="25" spans="1:5" x14ac:dyDescent="0.2">
      <c r="A25" t="s">
        <v>207</v>
      </c>
      <c r="B25" t="s">
        <v>494</v>
      </c>
      <c r="C25" s="21">
        <f ca="1">Slow_Phase_Rate*Stoch_TreatmentRate</f>
        <v>0.24354347684327865</v>
      </c>
      <c r="D25" t="s">
        <v>341</v>
      </c>
    </row>
    <row r="26" spans="1:5" x14ac:dyDescent="0.2">
      <c r="A26" t="s">
        <v>208</v>
      </c>
      <c r="B26" t="s">
        <v>495</v>
      </c>
      <c r="C26" s="22">
        <f ca="1">MAX(0,Initial_NAFC-Eff_Rapid_Rate*Rapid_Phase_Duration)</f>
        <v>55.263399414478371</v>
      </c>
      <c r="D26" t="s">
        <v>338</v>
      </c>
    </row>
    <row r="27" spans="1:5" x14ac:dyDescent="0.2">
      <c r="A27" t="s">
        <v>209</v>
      </c>
      <c r="B27" t="s">
        <v>496</v>
      </c>
      <c r="C27" s="23">
        <f ca="1">IF(Initial_NAFC&lt;=Target_NAFC,0,IF(NAFC_After_Rapid&lt;=Target_NAFC,(Initial_NAFC-Target_NAFC)/Eff_Rapid_Rate,Rapid_Phase_Duration+(NAFC_After_Rapid-Target_NAFC)/Eff_Slow_Rate))</f>
        <v>36.611744575139625</v>
      </c>
      <c r="D27" t="s">
        <v>240</v>
      </c>
    </row>
    <row r="28" spans="1:5" x14ac:dyDescent="0.2">
      <c r="A28" t="s">
        <v>497</v>
      </c>
      <c r="B28" t="s">
        <v>498</v>
      </c>
      <c r="C28" s="24">
        <f ca="1">CEILING(Days_to_Compliance/Recirculation_Cycle,1)</f>
        <v>3</v>
      </c>
      <c r="D28" t="s">
        <v>499</v>
      </c>
    </row>
    <row r="29" spans="1:5" x14ac:dyDescent="0.2">
      <c r="A29" t="s">
        <v>500</v>
      </c>
      <c r="B29" t="s">
        <v>501</v>
      </c>
      <c r="C29" s="25">
        <f>(Initial_NAFC-Target_NAFC)/Initial_NAFC</f>
        <v>0.2076069730586371</v>
      </c>
      <c r="D29" t="s">
        <v>460</v>
      </c>
    </row>
    <row r="30" spans="1:5" x14ac:dyDescent="0.2">
      <c r="A30" t="s">
        <v>502</v>
      </c>
      <c r="B30" t="s">
        <v>503</v>
      </c>
      <c r="C30" t="str">
        <f ca="1">IF(Days_to_Compliance&lt;=Season_Length,"ACHIEVABLE","EXCEEDS SEASON")</f>
        <v>ACHIEVABLE</v>
      </c>
      <c r="D30" t="s">
        <v>504</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72C4"/>
  </sheetPr>
  <dimension ref="A1:E17"/>
  <sheetViews>
    <sheetView zoomScale="120" zoomScaleNormal="120" workbookViewId="0">
      <selection activeCell="H17" sqref="H17"/>
    </sheetView>
  </sheetViews>
  <sheetFormatPr baseColWidth="10" defaultColWidth="8.83203125" defaultRowHeight="15" x14ac:dyDescent="0.2"/>
  <cols>
    <col min="1" max="1" width="24" customWidth="1"/>
    <col min="2" max="2" width="55" customWidth="1"/>
    <col min="3" max="3" width="14" customWidth="1"/>
    <col min="4" max="4" width="12" customWidth="1"/>
    <col min="5" max="5" width="35" customWidth="1"/>
  </cols>
  <sheetData>
    <row r="1" spans="1:5" ht="21" x14ac:dyDescent="0.25">
      <c r="A1" s="5" t="s">
        <v>505</v>
      </c>
    </row>
    <row r="3" spans="1:5" x14ac:dyDescent="0.2">
      <c r="A3" s="36" t="s">
        <v>506</v>
      </c>
      <c r="B3" s="34"/>
      <c r="C3" s="34"/>
      <c r="D3" s="34"/>
      <c r="E3" s="35"/>
    </row>
    <row r="4" spans="1:5" ht="78" customHeight="1" x14ac:dyDescent="0.2">
      <c r="A4" s="33" t="s">
        <v>507</v>
      </c>
      <c r="B4" s="34"/>
      <c r="C4" s="34"/>
      <c r="D4" s="34"/>
      <c r="E4" s="35"/>
    </row>
    <row r="7" spans="1:5" x14ac:dyDescent="0.2">
      <c r="A7" s="8" t="s">
        <v>508</v>
      </c>
      <c r="B7" s="8" t="s">
        <v>492</v>
      </c>
      <c r="C7" s="8" t="s">
        <v>57</v>
      </c>
      <c r="D7" s="8" t="s">
        <v>227</v>
      </c>
      <c r="E7" s="8" t="s">
        <v>228</v>
      </c>
    </row>
    <row r="8" spans="1:5" x14ac:dyDescent="0.2">
      <c r="A8" t="s">
        <v>509</v>
      </c>
      <c r="B8" t="e">
        <f>2^((Stoch_Temp-20)/10)</f>
        <v>#NAME?</v>
      </c>
      <c r="C8" s="21">
        <f>2^((Env_Temp_Water_Jul-20)/10)</f>
        <v>1</v>
      </c>
      <c r="D8" t="s">
        <v>450</v>
      </c>
      <c r="E8" t="s">
        <v>510</v>
      </c>
    </row>
    <row r="9" spans="1:5" x14ac:dyDescent="0.2">
      <c r="A9" t="s">
        <v>511</v>
      </c>
      <c r="B9" t="e">
        <f>UV_Relative*(1-MIN(1,Turbidity/100))</f>
        <v>#NAME?</v>
      </c>
      <c r="C9" s="21">
        <f>Env_UV_Relative_Jul*(1-MIN(1,Ionic_Chloride_Mode/1000))</f>
        <v>0.85</v>
      </c>
      <c r="D9" t="s">
        <v>450</v>
      </c>
      <c r="E9" t="s">
        <v>512</v>
      </c>
    </row>
    <row r="10" spans="1:5" x14ac:dyDescent="0.2">
      <c r="A10" t="s">
        <v>513</v>
      </c>
      <c r="B10" t="e">
        <f>IF(DO&gt;=6.5,1,DO/6.5)</f>
        <v>#NAME?</v>
      </c>
      <c r="C10" s="21">
        <f>IF(Env_DO_Typical_Jul&gt;=6.5,1,Env_DO_Typical_Jul/6.5)</f>
        <v>1</v>
      </c>
      <c r="D10" t="s">
        <v>450</v>
      </c>
      <c r="E10" t="s">
        <v>514</v>
      </c>
    </row>
    <row r="11" spans="1:5" x14ac:dyDescent="0.2">
      <c r="A11" t="s">
        <v>515</v>
      </c>
      <c r="B11" t="e">
        <f>Nutrient_Index</f>
        <v>#NAME?</v>
      </c>
      <c r="C11" s="21">
        <f>Env_Nutrient_Index_Jul</f>
        <v>0.4</v>
      </c>
      <c r="D11" t="s">
        <v>450</v>
      </c>
      <c r="E11" t="s">
        <v>516</v>
      </c>
    </row>
    <row r="12" spans="1:5" x14ac:dyDescent="0.2">
      <c r="A12" t="s">
        <v>517</v>
      </c>
      <c r="B12" t="e">
        <f>Bioavail*(1-Clay*0.5)</f>
        <v>#NAME?</v>
      </c>
      <c r="C12" s="21">
        <f>Env_Bioavail_Index_Jul*(1-0.15*0.5)</f>
        <v>0.92500000000000004</v>
      </c>
      <c r="D12" t="s">
        <v>450</v>
      </c>
      <c r="E12" t="s">
        <v>518</v>
      </c>
    </row>
    <row r="15" spans="1:5" x14ac:dyDescent="0.2">
      <c r="A15" s="11" t="s">
        <v>519</v>
      </c>
    </row>
    <row r="16" spans="1:5" x14ac:dyDescent="0.2">
      <c r="A16" t="s">
        <v>520</v>
      </c>
      <c r="B16" t="e">
        <f>Base_Rate * Q10 * UV * DO * Nutrient * Bioavail * Stoch_Treatment</f>
        <v>#NAME?</v>
      </c>
      <c r="C16" s="21">
        <f ca="1">Rapid_Phase_Rate*Q10_Factor*UV_Modifier*DO_Modifier*Nutrient_Modifier*Bioavail_Modifier*Stoch_TreatmentRate</f>
        <v>0.16430739227643681</v>
      </c>
      <c r="D16" t="s">
        <v>341</v>
      </c>
      <c r="E16" t="s">
        <v>521</v>
      </c>
    </row>
    <row r="17" spans="1:5" x14ac:dyDescent="0.2">
      <c r="A17" t="s">
        <v>522</v>
      </c>
      <c r="B17">
        <f ca="1">Effective_Rate / Rapid_Phase_Rate</f>
        <v>0.30884848172262558</v>
      </c>
      <c r="C17" s="25">
        <f ca="1">Effective_Rate/Rapid_Phase_Rate</f>
        <v>0.30884848172262558</v>
      </c>
      <c r="D17" t="s">
        <v>460</v>
      </c>
      <c r="E17" t="s">
        <v>523</v>
      </c>
    </row>
  </sheetData>
  <mergeCells count="2">
    <mergeCell ref="A4:E4"/>
    <mergeCell ref="A3:E3"/>
  </mergeCells>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72C4"/>
  </sheetPr>
  <dimension ref="A1:C18"/>
  <sheetViews>
    <sheetView zoomScale="120" zoomScaleNormal="120" workbookViewId="0">
      <selection activeCell="B44" sqref="B44"/>
    </sheetView>
  </sheetViews>
  <sheetFormatPr baseColWidth="10" defaultColWidth="8.83203125" defaultRowHeight="15" x14ac:dyDescent="0.2"/>
  <cols>
    <col min="1" max="1" width="22" customWidth="1"/>
    <col min="2" max="2" width="12" customWidth="1"/>
    <col min="3" max="3" width="70" customWidth="1"/>
  </cols>
  <sheetData>
    <row r="1" spans="1:3" ht="21" x14ac:dyDescent="0.25">
      <c r="A1" s="5" t="s">
        <v>524</v>
      </c>
    </row>
    <row r="2" spans="1:3" x14ac:dyDescent="0.2">
      <c r="A2" s="12" t="s">
        <v>525</v>
      </c>
    </row>
    <row r="4" spans="1:3" x14ac:dyDescent="0.2">
      <c r="A4" s="36" t="s">
        <v>526</v>
      </c>
      <c r="B4" s="34"/>
      <c r="C4" s="35"/>
    </row>
    <row r="5" spans="1:3" ht="202.75" customHeight="1" x14ac:dyDescent="0.2">
      <c r="A5" s="33" t="s">
        <v>527</v>
      </c>
      <c r="B5" s="34"/>
      <c r="C5" s="35"/>
    </row>
    <row r="7" spans="1:3" x14ac:dyDescent="0.2">
      <c r="A7" s="6" t="s">
        <v>524</v>
      </c>
    </row>
    <row r="8" spans="1:3" ht="31.25" customHeight="1" x14ac:dyDescent="0.2">
      <c r="A8" s="7" t="s">
        <v>46</v>
      </c>
      <c r="B8" s="31" t="s">
        <v>528</v>
      </c>
      <c r="C8" s="32"/>
    </row>
    <row r="9" spans="1:3" ht="15.5" customHeight="1" x14ac:dyDescent="0.2">
      <c r="A9" s="7" t="s">
        <v>48</v>
      </c>
      <c r="B9" s="31" t="s">
        <v>529</v>
      </c>
      <c r="C9" s="32"/>
    </row>
    <row r="10" spans="1:3" ht="46.75" customHeight="1" x14ac:dyDescent="0.2">
      <c r="A10" s="7" t="s">
        <v>50</v>
      </c>
      <c r="B10" s="31" t="s">
        <v>530</v>
      </c>
      <c r="C10" s="32"/>
    </row>
    <row r="11" spans="1:3" ht="15.5" customHeight="1" x14ac:dyDescent="0.2">
      <c r="A11" s="7" t="s">
        <v>52</v>
      </c>
      <c r="B11" s="31" t="s">
        <v>531</v>
      </c>
      <c r="C11" s="32"/>
    </row>
    <row r="12" spans="1:3" ht="15.5" customHeight="1" x14ac:dyDescent="0.2">
      <c r="A12" s="7" t="s">
        <v>54</v>
      </c>
      <c r="B12" s="31" t="s">
        <v>532</v>
      </c>
      <c r="C12" s="32"/>
    </row>
    <row r="13" spans="1:3" x14ac:dyDescent="0.2">
      <c r="A13" s="8" t="s">
        <v>369</v>
      </c>
      <c r="B13" s="8" t="s">
        <v>533</v>
      </c>
      <c r="C13" s="8" t="s">
        <v>534</v>
      </c>
    </row>
    <row r="14" spans="1:3" x14ac:dyDescent="0.2">
      <c r="A14" t="s">
        <v>535</v>
      </c>
      <c r="B14">
        <f ca="1">RAND()</f>
        <v>0.31322796853169343</v>
      </c>
      <c r="C14">
        <f ca="1">IF(B14&lt;(Tri_Season_Extension_Days_Mode-Tri_Season_Extension_Days_Min)/(Tri_Season_Extension_Days_Max-Tri_Season_Extension_Days_Min),Tri_Season_Extension_Days_Min+SQRT(B14*(Tri_Season_Extension_Days_Max-Tri_Season_Extension_Days_Min)*(Tri_Season_Extension_Days_Mode-Tri_Season_Extension_Days_Min)),Tri_Season_Extension_Days_Max-SQRT((1-B14)*(Tri_Season_Extension_Days_Max-Tri_Season_Extension_Days_Min)*(Tri_Season_Extension_Days_Max-Tri_Season_Extension_Days_Mode)))</f>
        <v>20.785610611740033</v>
      </c>
    </row>
    <row r="15" spans="1:3" x14ac:dyDescent="0.2">
      <c r="A15" t="s">
        <v>536</v>
      </c>
      <c r="B15">
        <f ca="1">RAND()</f>
        <v>0.7692029126303398</v>
      </c>
      <c r="C15">
        <f ca="1">IF(B15&lt;(Tri_Extension_Value_Per_Day_Mode-Tri_Extension_Value_Per_Day_Min)/(Tri_Extension_Value_Per_Day_Max-Tri_Extension_Value_Per_Day_Min),Tri_Extension_Value_Per_Day_Min+SQRT(B15*(Tri_Extension_Value_Per_Day_Max-Tri_Extension_Value_Per_Day_Min)*(Tri_Extension_Value_Per_Day_Mode-Tri_Extension_Value_Per_Day_Min)),Tri_Extension_Value_Per_Day_Max-SQRT((1-B15)*(Tri_Extension_Value_Per_Day_Max-Tri_Extension_Value_Per_Day_Min)*(Tri_Extension_Value_Per_Day_Max-Tri_Extension_Value_Per_Day_Mode)))</f>
        <v>10442.397794533905</v>
      </c>
    </row>
    <row r="16" spans="1:3" x14ac:dyDescent="0.2">
      <c r="A16" t="s">
        <v>447</v>
      </c>
      <c r="B16">
        <f ca="1">RAND()</f>
        <v>0.3329877749690171</v>
      </c>
      <c r="C16">
        <f ca="1">IF(B16&lt;(Tri_Interventions_Avoided_Mode-Tri_Interventions_Avoided_Min)/(Tri_Interventions_Avoided_Max-Tri_Interventions_Avoided_Min),Tri_Interventions_Avoided_Min+SQRT(B16*(Tri_Interventions_Avoided_Max-Tri_Interventions_Avoided_Min)*(Tri_Interventions_Avoided_Mode-Tri_Interventions_Avoided_Min)),Tri_Interventions_Avoided_Max-SQRT((1-B16)*(Tri_Interventions_Avoided_Max-Tri_Interventions_Avoided_Min)*(Tri_Interventions_Avoided_Max-Tri_Interventions_Avoided_Mode)))</f>
        <v>3.1682893426774408</v>
      </c>
    </row>
    <row r="17" spans="1:3" x14ac:dyDescent="0.2">
      <c r="A17" t="s">
        <v>459</v>
      </c>
      <c r="B17">
        <f ca="1">RAND()</f>
        <v>0.52872195557380075</v>
      </c>
      <c r="C17">
        <f ca="1">Beta_Efficiency_Gain_Min+(Beta_Efficiency_Gain_Max-Beta_Efficiency_Gain_Min)*B17</f>
        <v>0.23505268445083027</v>
      </c>
    </row>
    <row r="18" spans="1:3" x14ac:dyDescent="0.2">
      <c r="A18" t="s">
        <v>449</v>
      </c>
      <c r="B18">
        <f ca="1">RAND()</f>
        <v>0.44189447054267983</v>
      </c>
      <c r="C18">
        <f ca="1">IF(B18&lt;(Tri_Treatment_Rate_Factor_Mode-Tri_Treatment_Rate_Factor_Min)/(Tri_Treatment_Rate_Factor_Max-Tri_Treatment_Rate_Factor_Min),Tri_Treatment_Rate_Factor_Min+SQRT(B18*(Tri_Treatment_Rate_Factor_Max-Tri_Treatment_Rate_Factor_Min)*(Tri_Treatment_Rate_Factor_Mode-Tri_Treatment_Rate_Factor_Min)),Tri_Treatment_Rate_Factor_Max-SQRT((1-B18)*(Tri_Treatment_Rate_Factor_Max-Tri_Treatment_Rate_Factor_Min)*(Tri_Treatment_Rate_Factor_Max-Tri_Treatment_Rate_Factor_Mode)))</f>
        <v>0.98203014856160742</v>
      </c>
    </row>
  </sheetData>
  <mergeCells count="7">
    <mergeCell ref="B12:C12"/>
    <mergeCell ref="A5:C5"/>
    <mergeCell ref="B11:C11"/>
    <mergeCell ref="B10:C10"/>
    <mergeCell ref="B9:C9"/>
    <mergeCell ref="A4:C4"/>
    <mergeCell ref="B8:C8"/>
  </mergeCells>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72C4"/>
  </sheetPr>
  <dimension ref="A1:F26"/>
  <sheetViews>
    <sheetView zoomScale="120" zoomScaleNormal="120" workbookViewId="0">
      <selection activeCell="H26" sqref="H26"/>
    </sheetView>
  </sheetViews>
  <sheetFormatPr baseColWidth="10" defaultColWidth="8.83203125" defaultRowHeight="15" x14ac:dyDescent="0.2"/>
  <cols>
    <col min="1" max="1" width="20" customWidth="1"/>
    <col min="2" max="2" width="14" customWidth="1"/>
    <col min="3" max="5" width="10" customWidth="1"/>
    <col min="6" max="6" width="35" customWidth="1"/>
  </cols>
  <sheetData>
    <row r="1" spans="1:6" ht="21" x14ac:dyDescent="0.25">
      <c r="A1" s="5" t="s">
        <v>537</v>
      </c>
    </row>
    <row r="3" spans="1:6" x14ac:dyDescent="0.2">
      <c r="A3" s="36" t="s">
        <v>538</v>
      </c>
      <c r="B3" s="34"/>
      <c r="C3" s="34"/>
      <c r="D3" s="34"/>
      <c r="E3" s="34"/>
      <c r="F3" s="35"/>
    </row>
    <row r="4" spans="1:6" ht="78" customHeight="1" x14ac:dyDescent="0.2">
      <c r="A4" s="33" t="s">
        <v>539</v>
      </c>
      <c r="B4" s="34"/>
      <c r="C4" s="34"/>
      <c r="D4" s="34"/>
      <c r="E4" s="34"/>
      <c r="F4" s="35"/>
    </row>
    <row r="7" spans="1:6" x14ac:dyDescent="0.2">
      <c r="A7" s="8" t="s">
        <v>540</v>
      </c>
      <c r="B7" s="8" t="s">
        <v>390</v>
      </c>
      <c r="C7" s="8" t="s">
        <v>391</v>
      </c>
      <c r="D7" s="8" t="s">
        <v>57</v>
      </c>
      <c r="E7" s="8" t="s">
        <v>541</v>
      </c>
      <c r="F7" s="8" t="s">
        <v>228</v>
      </c>
    </row>
    <row r="8" spans="1:6" x14ac:dyDescent="0.2">
      <c r="A8" t="s">
        <v>542</v>
      </c>
      <c r="B8" t="s">
        <v>543</v>
      </c>
      <c r="C8" t="s">
        <v>544</v>
      </c>
      <c r="D8" s="24">
        <f ca="1">IF(ABS(Stoch_Efficiency-0.2)&lt;0.05,1,0)</f>
        <v>1</v>
      </c>
      <c r="E8" t="str">
        <f t="shared" ref="E8:E20" ca="1" si="0">IF(D8=1,"PASS","FAIL")</f>
        <v>PASS</v>
      </c>
      <c r="F8" t="s">
        <v>545</v>
      </c>
    </row>
    <row r="9" spans="1:6" x14ac:dyDescent="0.2">
      <c r="A9" t="s">
        <v>392</v>
      </c>
      <c r="B9" t="s">
        <v>546</v>
      </c>
      <c r="C9" t="s">
        <v>393</v>
      </c>
      <c r="D9" s="24">
        <f>IF(Ionic_Chloride_Mode&lt;230,1,0)</f>
        <v>1</v>
      </c>
      <c r="E9" t="str">
        <f t="shared" si="0"/>
        <v>PASS</v>
      </c>
      <c r="F9" t="s">
        <v>547</v>
      </c>
    </row>
    <row r="10" spans="1:6" x14ac:dyDescent="0.2">
      <c r="A10" t="s">
        <v>395</v>
      </c>
      <c r="B10" t="s">
        <v>548</v>
      </c>
      <c r="C10" t="s">
        <v>393</v>
      </c>
      <c r="D10" s="24">
        <f>IF(Ionic_SAR_Mode&lt;4,1,0)</f>
        <v>1</v>
      </c>
      <c r="E10" t="str">
        <f t="shared" si="0"/>
        <v>PASS</v>
      </c>
      <c r="F10" t="s">
        <v>549</v>
      </c>
    </row>
    <row r="11" spans="1:6" x14ac:dyDescent="0.2">
      <c r="A11" t="s">
        <v>550</v>
      </c>
      <c r="B11" t="s">
        <v>551</v>
      </c>
      <c r="C11" t="s">
        <v>401</v>
      </c>
      <c r="D11" s="24">
        <f>IF(Env_DO_Typical_Jul&gt;6.5,1,0)</f>
        <v>0</v>
      </c>
      <c r="E11" t="str">
        <f t="shared" si="0"/>
        <v>FAIL</v>
      </c>
      <c r="F11" t="s">
        <v>552</v>
      </c>
    </row>
    <row r="12" spans="1:6" x14ac:dyDescent="0.2">
      <c r="A12" t="s">
        <v>553</v>
      </c>
      <c r="B12" t="s">
        <v>554</v>
      </c>
      <c r="C12" t="s">
        <v>401</v>
      </c>
      <c r="D12" s="24">
        <f>IF(7.5&gt;6.5,1,0)</f>
        <v>1</v>
      </c>
      <c r="E12" t="str">
        <f t="shared" si="0"/>
        <v>PASS</v>
      </c>
      <c r="F12" t="s">
        <v>555</v>
      </c>
    </row>
    <row r="13" spans="1:6" x14ac:dyDescent="0.2">
      <c r="A13" t="s">
        <v>556</v>
      </c>
      <c r="B13" t="s">
        <v>557</v>
      </c>
      <c r="C13" t="s">
        <v>393</v>
      </c>
      <c r="D13" s="24">
        <f>IF(7.5&lt;8.5,1,0)</f>
        <v>1</v>
      </c>
      <c r="E13" t="str">
        <f t="shared" si="0"/>
        <v>PASS</v>
      </c>
      <c r="F13" t="s">
        <v>558</v>
      </c>
    </row>
    <row r="14" spans="1:6" x14ac:dyDescent="0.2">
      <c r="A14" t="s">
        <v>398</v>
      </c>
      <c r="B14" t="s">
        <v>559</v>
      </c>
      <c r="C14" t="s">
        <v>393</v>
      </c>
      <c r="D14" s="24">
        <f>IF(Ionic_Sulfate_Mode&lt;500,1,0)</f>
        <v>1</v>
      </c>
      <c r="E14" t="str">
        <f t="shared" si="0"/>
        <v>PASS</v>
      </c>
      <c r="F14" t="s">
        <v>399</v>
      </c>
    </row>
    <row r="15" spans="1:6" x14ac:dyDescent="0.2">
      <c r="A15" t="s">
        <v>560</v>
      </c>
      <c r="B15" t="s">
        <v>561</v>
      </c>
      <c r="C15" t="s">
        <v>393</v>
      </c>
      <c r="D15" s="24">
        <f>IF(Env_Temp_Water_Jul&lt;25,1,0)</f>
        <v>1</v>
      </c>
      <c r="E15" t="str">
        <f t="shared" si="0"/>
        <v>PASS</v>
      </c>
      <c r="F15" t="s">
        <v>562</v>
      </c>
    </row>
    <row r="16" spans="1:6" x14ac:dyDescent="0.2">
      <c r="A16" t="s">
        <v>119</v>
      </c>
      <c r="B16" t="s">
        <v>563</v>
      </c>
      <c r="C16" t="s">
        <v>393</v>
      </c>
      <c r="D16" s="24">
        <f ca="1">IF(Days_to_Compliance&lt;Season_Length,1,0)</f>
        <v>1</v>
      </c>
      <c r="E16" t="str">
        <f t="shared" ca="1" si="0"/>
        <v>PASS</v>
      </c>
      <c r="F16" t="s">
        <v>564</v>
      </c>
    </row>
    <row r="17" spans="1:6" x14ac:dyDescent="0.2">
      <c r="A17" t="s">
        <v>565</v>
      </c>
      <c r="B17" t="s">
        <v>566</v>
      </c>
      <c r="C17" t="s">
        <v>393</v>
      </c>
      <c r="D17" s="24">
        <f>1</f>
        <v>1</v>
      </c>
      <c r="E17" t="str">
        <f t="shared" si="0"/>
        <v>PASS</v>
      </c>
      <c r="F17" t="s">
        <v>567</v>
      </c>
    </row>
    <row r="18" spans="1:6" x14ac:dyDescent="0.2">
      <c r="A18" t="s">
        <v>568</v>
      </c>
      <c r="B18" t="s">
        <v>569</v>
      </c>
      <c r="C18" t="s">
        <v>570</v>
      </c>
      <c r="D18" s="24">
        <f>1</f>
        <v>1</v>
      </c>
      <c r="E18" t="str">
        <f t="shared" si="0"/>
        <v>PASS</v>
      </c>
      <c r="F18" t="s">
        <v>571</v>
      </c>
    </row>
    <row r="19" spans="1:6" x14ac:dyDescent="0.2">
      <c r="A19" t="s">
        <v>572</v>
      </c>
      <c r="B19" t="s">
        <v>573</v>
      </c>
      <c r="C19" t="s">
        <v>570</v>
      </c>
      <c r="D19" s="24">
        <f>1</f>
        <v>1</v>
      </c>
      <c r="E19" t="str">
        <f t="shared" si="0"/>
        <v>PASS</v>
      </c>
      <c r="F19" t="s">
        <v>574</v>
      </c>
    </row>
    <row r="20" spans="1:6" x14ac:dyDescent="0.2">
      <c r="A20" t="s">
        <v>575</v>
      </c>
      <c r="B20" t="s">
        <v>576</v>
      </c>
      <c r="C20" t="s">
        <v>570</v>
      </c>
      <c r="D20" s="24">
        <f>1</f>
        <v>1</v>
      </c>
      <c r="E20" t="str">
        <f t="shared" si="0"/>
        <v>PASS</v>
      </c>
      <c r="F20" t="s">
        <v>577</v>
      </c>
    </row>
    <row r="23" spans="1:6" x14ac:dyDescent="0.2">
      <c r="A23" s="11" t="s">
        <v>578</v>
      </c>
    </row>
    <row r="24" spans="1:6" x14ac:dyDescent="0.2">
      <c r="A24" t="s">
        <v>579</v>
      </c>
      <c r="B24" t="e">
        <f>MIN(all gates)</f>
        <v>#NAME?</v>
      </c>
      <c r="C24" s="24">
        <f ca="1">MIN(D8:D20)</f>
        <v>0</v>
      </c>
      <c r="D24" t="str">
        <f ca="1">IF(C24=1,"ALL PASS","BLOCKED")</f>
        <v>BLOCKED</v>
      </c>
    </row>
    <row r="25" spans="1:6" x14ac:dyDescent="0.2">
      <c r="A25" t="s">
        <v>580</v>
      </c>
      <c r="C25">
        <f ca="1">COUNTIF(D8:D20,1)</f>
        <v>12</v>
      </c>
      <c r="D25" t="s">
        <v>581</v>
      </c>
    </row>
    <row r="26" spans="1:6" x14ac:dyDescent="0.2">
      <c r="A26" t="s">
        <v>582</v>
      </c>
      <c r="C26">
        <f ca="1">COUNTIF(D8:D20,0)</f>
        <v>1</v>
      </c>
    </row>
  </sheetData>
  <mergeCells count="2">
    <mergeCell ref="A3:F3"/>
    <mergeCell ref="A4:F4"/>
  </mergeCells>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72C4"/>
  </sheetPr>
  <dimension ref="A1:E24"/>
  <sheetViews>
    <sheetView topLeftCell="A4" zoomScale="120" zoomScaleNormal="120" workbookViewId="0">
      <selection activeCell="B44" sqref="B44"/>
    </sheetView>
  </sheetViews>
  <sheetFormatPr baseColWidth="10" defaultColWidth="8.83203125" defaultRowHeight="15" x14ac:dyDescent="0.2"/>
  <cols>
    <col min="1" max="1" width="28" customWidth="1"/>
    <col min="2" max="5" width="14" customWidth="1"/>
  </cols>
  <sheetData>
    <row r="1" spans="1:5" ht="21" x14ac:dyDescent="0.25">
      <c r="A1" s="5" t="s">
        <v>583</v>
      </c>
    </row>
    <row r="3" spans="1:5" x14ac:dyDescent="0.2">
      <c r="A3" s="36" t="s">
        <v>584</v>
      </c>
      <c r="B3" s="34"/>
      <c r="C3" s="34"/>
      <c r="D3" s="34"/>
      <c r="E3" s="35"/>
    </row>
    <row r="4" spans="1:5" ht="234" customHeight="1" x14ac:dyDescent="0.2">
      <c r="A4" s="33" t="s">
        <v>585</v>
      </c>
      <c r="B4" s="34"/>
      <c r="C4" s="34"/>
      <c r="D4" s="34"/>
      <c r="E4" s="35"/>
    </row>
    <row r="6" spans="1:5" x14ac:dyDescent="0.2">
      <c r="A6" s="6" t="s">
        <v>583</v>
      </c>
    </row>
    <row r="7" spans="1:5" ht="31.25" customHeight="1" x14ac:dyDescent="0.2">
      <c r="A7" s="7" t="s">
        <v>46</v>
      </c>
      <c r="B7" s="31" t="s">
        <v>586</v>
      </c>
      <c r="C7" s="32"/>
      <c r="D7" s="32"/>
      <c r="E7" s="32"/>
    </row>
    <row r="8" spans="1:5" ht="31.25" customHeight="1" x14ac:dyDescent="0.2">
      <c r="A8" s="7" t="s">
        <v>48</v>
      </c>
      <c r="B8" s="31" t="s">
        <v>587</v>
      </c>
      <c r="C8" s="32"/>
      <c r="D8" s="32"/>
      <c r="E8" s="32"/>
    </row>
    <row r="9" spans="1:5" ht="109.25" customHeight="1" x14ac:dyDescent="0.2">
      <c r="A9" s="7" t="s">
        <v>50</v>
      </c>
      <c r="B9" s="31" t="s">
        <v>588</v>
      </c>
      <c r="C9" s="32"/>
      <c r="D9" s="32"/>
      <c r="E9" s="32"/>
    </row>
    <row r="10" spans="1:5" ht="31.25" customHeight="1" x14ac:dyDescent="0.2">
      <c r="A10" s="7" t="s">
        <v>52</v>
      </c>
      <c r="B10" s="31" t="s">
        <v>589</v>
      </c>
      <c r="C10" s="32"/>
      <c r="D10" s="32"/>
      <c r="E10" s="32"/>
    </row>
    <row r="11" spans="1:5" ht="31.25" customHeight="1" x14ac:dyDescent="0.2">
      <c r="A11" s="7" t="s">
        <v>54</v>
      </c>
      <c r="B11" s="31" t="s">
        <v>590</v>
      </c>
      <c r="C11" s="32"/>
      <c r="D11" s="32"/>
      <c r="E11" s="32"/>
    </row>
    <row r="12" spans="1:5" x14ac:dyDescent="0.2">
      <c r="A12" s="8" t="s">
        <v>93</v>
      </c>
      <c r="B12" s="8" t="s">
        <v>414</v>
      </c>
      <c r="C12" s="8" t="s">
        <v>591</v>
      </c>
      <c r="D12" s="8" t="s">
        <v>592</v>
      </c>
      <c r="E12" s="8" t="s">
        <v>593</v>
      </c>
    </row>
    <row r="13" spans="1:5" x14ac:dyDescent="0.2">
      <c r="A13" t="s">
        <v>594</v>
      </c>
      <c r="B13">
        <f>INDEX(Scenario_BaseValues,1)</f>
        <v>104000</v>
      </c>
      <c r="C13" t="str">
        <f>INDEX(Gate_S1,MATCH(Testing_Option,TestOpt_Option,0))</f>
        <v>ENABLED</v>
      </c>
      <c r="D13">
        <f ca="1">Stoch_SeasonExt/21</f>
        <v>0.98979098151143019</v>
      </c>
      <c r="E13">
        <f ca="1">IF(C13="ENABLED",B13*D13,0)</f>
        <v>102938.26207718875</v>
      </c>
    </row>
    <row r="14" spans="1:5" x14ac:dyDescent="0.2">
      <c r="A14" t="s">
        <v>595</v>
      </c>
      <c r="B14">
        <f>INDEX(Scenario_BaseValues,2)</f>
        <v>67500</v>
      </c>
      <c r="C14" t="str">
        <f>INDEX(Gate_S2,MATCH(Testing_Option,TestOpt_Option,0))</f>
        <v>ENABLED</v>
      </c>
      <c r="D14">
        <f ca="1">Stoch_Interventions/3</f>
        <v>1.056096447559147</v>
      </c>
      <c r="E14">
        <f ca="1">IF(C14="ENABLED",B14*D14,0)</f>
        <v>71286.510210242428</v>
      </c>
    </row>
    <row r="15" spans="1:5" x14ac:dyDescent="0.2">
      <c r="A15" t="s">
        <v>596</v>
      </c>
      <c r="B15">
        <f>INDEX(Scenario_BaseValues,3)</f>
        <v>78000</v>
      </c>
      <c r="C15" t="str">
        <f>INDEX(Gate_S3,MATCH(Testing_Option,TestOpt_Option,0))</f>
        <v>ENABLED</v>
      </c>
      <c r="D15">
        <f ca="1">Stoch_Efficiency/0.15</f>
        <v>1.5670178963388686</v>
      </c>
      <c r="E15">
        <f ca="1">IF(C15="ENABLED",B15*D15,0)</f>
        <v>122227.39591443175</v>
      </c>
    </row>
    <row r="16" spans="1:5" x14ac:dyDescent="0.2">
      <c r="A16" t="s">
        <v>597</v>
      </c>
      <c r="B16">
        <f>INDEX(Scenario_BaseValues,4)</f>
        <v>36000</v>
      </c>
      <c r="C16" t="str">
        <f>INDEX(Gate_S4,MATCH(Testing_Option,TestOpt_Option,0))</f>
        <v>ENABLED</v>
      </c>
      <c r="D16">
        <f ca="1">1+Stoch_Efficiency</f>
        <v>1.2350526844508303</v>
      </c>
      <c r="E16">
        <f ca="1">IF(C16="ENABLED",B16*D16,0)</f>
        <v>44461.89664022989</v>
      </c>
    </row>
    <row r="18" spans="1:5" x14ac:dyDescent="0.2">
      <c r="A18" s="11" t="s">
        <v>598</v>
      </c>
      <c r="E18" s="15">
        <f ca="1">SUM(E13:E16)</f>
        <v>340914.06484209286</v>
      </c>
    </row>
    <row r="20" spans="1:5" x14ac:dyDescent="0.2">
      <c r="A20" s="11" t="s">
        <v>599</v>
      </c>
      <c r="B20" s="24">
        <f ca="1">Master_Gate_Status</f>
        <v>0</v>
      </c>
      <c r="C20" t="str">
        <f ca="1">IF(B20=1,"PASS","FAIL")</f>
        <v>FAIL</v>
      </c>
    </row>
    <row r="21" spans="1:5" x14ac:dyDescent="0.2">
      <c r="A21" s="11" t="s">
        <v>600</v>
      </c>
      <c r="E21" s="15">
        <f ca="1">Gross_Value*Master_Gate_Status</f>
        <v>0</v>
      </c>
    </row>
    <row r="23" spans="1:5" x14ac:dyDescent="0.2">
      <c r="A23" s="26" t="s">
        <v>601</v>
      </c>
    </row>
    <row r="24" spans="1:5" x14ac:dyDescent="0.2">
      <c r="A24" s="26" t="s">
        <v>602</v>
      </c>
    </row>
  </sheetData>
  <mergeCells count="7">
    <mergeCell ref="A3:E3"/>
    <mergeCell ref="B9:E9"/>
    <mergeCell ref="A4:E4"/>
    <mergeCell ref="B8:E8"/>
    <mergeCell ref="B7:E7"/>
    <mergeCell ref="B11:E11"/>
    <mergeCell ref="B10:E10"/>
  </mergeCells>
  <pageMargins left="0.75" right="0.75" top="1" bottom="1" header="0.5" footer="0.5"/>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4472C4"/>
  </sheetPr>
  <dimension ref="A1:C19"/>
  <sheetViews>
    <sheetView topLeftCell="A4" zoomScale="120" zoomScaleNormal="120" workbookViewId="0">
      <selection activeCell="E23" sqref="E23"/>
    </sheetView>
  </sheetViews>
  <sheetFormatPr baseColWidth="10" defaultColWidth="8.83203125" defaultRowHeight="15" x14ac:dyDescent="0.2"/>
  <cols>
    <col min="1" max="1" width="22" customWidth="1"/>
    <col min="2" max="2" width="25" customWidth="1"/>
    <col min="3" max="3" width="18" customWidth="1"/>
  </cols>
  <sheetData>
    <row r="1" spans="1:3" ht="21" x14ac:dyDescent="0.25">
      <c r="A1" s="5" t="s">
        <v>603</v>
      </c>
    </row>
    <row r="3" spans="1:3" x14ac:dyDescent="0.2">
      <c r="A3" s="36" t="s">
        <v>604</v>
      </c>
      <c r="B3" s="34"/>
      <c r="C3" s="35"/>
    </row>
    <row r="4" spans="1:3" ht="312" customHeight="1" x14ac:dyDescent="0.2">
      <c r="A4" s="33" t="s">
        <v>605</v>
      </c>
      <c r="B4" s="34"/>
      <c r="C4" s="35"/>
    </row>
    <row r="6" spans="1:3" x14ac:dyDescent="0.2">
      <c r="A6" s="6" t="s">
        <v>606</v>
      </c>
    </row>
    <row r="7" spans="1:3" ht="31.25" customHeight="1" x14ac:dyDescent="0.2">
      <c r="A7" s="7" t="s">
        <v>46</v>
      </c>
      <c r="B7" s="31" t="s">
        <v>607</v>
      </c>
      <c r="C7" s="32"/>
    </row>
    <row r="8" spans="1:3" ht="31.25" customHeight="1" x14ac:dyDescent="0.2">
      <c r="A8" s="7" t="s">
        <v>48</v>
      </c>
      <c r="B8" s="31" t="s">
        <v>608</v>
      </c>
      <c r="C8" s="32"/>
    </row>
    <row r="9" spans="1:3" ht="62.5" customHeight="1" x14ac:dyDescent="0.2">
      <c r="A9" s="7" t="s">
        <v>50</v>
      </c>
      <c r="B9" s="31" t="s">
        <v>609</v>
      </c>
      <c r="C9" s="32"/>
    </row>
    <row r="10" spans="1:3" ht="15.5" customHeight="1" x14ac:dyDescent="0.2">
      <c r="A10" s="7" t="s">
        <v>52</v>
      </c>
      <c r="B10" s="31" t="s">
        <v>610</v>
      </c>
      <c r="C10" s="32"/>
    </row>
    <row r="11" spans="1:3" ht="15.5" customHeight="1" x14ac:dyDescent="0.2">
      <c r="A11" s="7" t="s">
        <v>54</v>
      </c>
      <c r="B11" s="31" t="s">
        <v>611</v>
      </c>
      <c r="C11" s="32"/>
    </row>
    <row r="12" spans="1:3" x14ac:dyDescent="0.2">
      <c r="A12" s="8" t="s">
        <v>612</v>
      </c>
      <c r="B12" s="8" t="s">
        <v>492</v>
      </c>
      <c r="C12" s="8" t="s">
        <v>57</v>
      </c>
    </row>
    <row r="13" spans="1:3" x14ac:dyDescent="0.2">
      <c r="A13" t="s">
        <v>613</v>
      </c>
      <c r="B13" t="s">
        <v>60</v>
      </c>
      <c r="C13" t="str">
        <f>Testing_Option</f>
        <v>Daily_Biosensor</v>
      </c>
    </row>
    <row r="14" spans="1:3" x14ac:dyDescent="0.2">
      <c r="A14" t="s">
        <v>614</v>
      </c>
      <c r="B14" t="s">
        <v>615</v>
      </c>
      <c r="C14">
        <f>INDEX(TestOpt_Interval,MATCH(Testing_Option,TestOpt_Option,0))</f>
        <v>1</v>
      </c>
    </row>
    <row r="15" spans="1:3" x14ac:dyDescent="0.2">
      <c r="A15" t="s">
        <v>616</v>
      </c>
      <c r="B15" t="s">
        <v>615</v>
      </c>
      <c r="C15">
        <f>INDEX(TestOpt_Points,MATCH(Testing_Option,TestOpt_Option,0))</f>
        <v>10</v>
      </c>
    </row>
    <row r="16" spans="1:3" x14ac:dyDescent="0.2">
      <c r="A16" t="s">
        <v>310</v>
      </c>
      <c r="B16" t="s">
        <v>615</v>
      </c>
      <c r="C16" s="15">
        <f>INDEX(TestOpt_Cost,MATCH(Testing_Option,TestOpt_Option,0))</f>
        <v>10</v>
      </c>
    </row>
    <row r="17" spans="1:3" x14ac:dyDescent="0.2">
      <c r="A17" t="s">
        <v>617</v>
      </c>
      <c r="B17" t="s">
        <v>618</v>
      </c>
      <c r="C17">
        <f>Season_Length/C14</f>
        <v>100</v>
      </c>
    </row>
    <row r="18" spans="1:3" x14ac:dyDescent="0.2">
      <c r="A18" t="s">
        <v>619</v>
      </c>
      <c r="B18" t="s">
        <v>620</v>
      </c>
      <c r="C18">
        <f>C17*C15</f>
        <v>1000</v>
      </c>
    </row>
    <row r="19" spans="1:3" x14ac:dyDescent="0.2">
      <c r="A19" t="s">
        <v>621</v>
      </c>
      <c r="B19" t="s">
        <v>622</v>
      </c>
      <c r="C19" s="27">
        <f>C18*C16</f>
        <v>10000</v>
      </c>
    </row>
  </sheetData>
  <mergeCells count="7">
    <mergeCell ref="B7:C7"/>
    <mergeCell ref="B11:C11"/>
    <mergeCell ref="B10:C10"/>
    <mergeCell ref="A3:C3"/>
    <mergeCell ref="B9:C9"/>
    <mergeCell ref="A4:C4"/>
    <mergeCell ref="B8:C8"/>
  </mergeCell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4472C4"/>
  </sheetPr>
  <dimension ref="A1:I1028"/>
  <sheetViews>
    <sheetView tabSelected="1" topLeftCell="A5" zoomScale="120" zoomScaleNormal="120" workbookViewId="0">
      <selection activeCell="L22" sqref="L22"/>
    </sheetView>
  </sheetViews>
  <sheetFormatPr baseColWidth="10" defaultColWidth="8.83203125" defaultRowHeight="15" x14ac:dyDescent="0.2"/>
  <cols>
    <col min="1" max="1" width="26" customWidth="1"/>
    <col min="2" max="8" width="14" customWidth="1"/>
    <col min="9" max="9" width="18" customWidth="1"/>
    <col min="11" max="11" width="8" customWidth="1"/>
  </cols>
  <sheetData>
    <row r="1" spans="1:9" ht="21" x14ac:dyDescent="0.25">
      <c r="A1" s="5" t="s">
        <v>623</v>
      </c>
    </row>
    <row r="3" spans="1:9" x14ac:dyDescent="0.2">
      <c r="A3" s="36" t="s">
        <v>624</v>
      </c>
      <c r="B3" s="34"/>
      <c r="C3" s="34"/>
      <c r="D3" s="34"/>
      <c r="E3" s="35"/>
    </row>
    <row r="4" spans="1:9" ht="374.5" customHeight="1" x14ac:dyDescent="0.2">
      <c r="A4" s="33" t="s">
        <v>625</v>
      </c>
      <c r="B4" s="34"/>
      <c r="C4" s="34"/>
      <c r="D4" s="34"/>
      <c r="E4" s="35"/>
    </row>
    <row r="7" spans="1:9" x14ac:dyDescent="0.2">
      <c r="A7" s="12" t="s">
        <v>626</v>
      </c>
    </row>
    <row r="8" spans="1:9" x14ac:dyDescent="0.2">
      <c r="A8" s="12" t="s">
        <v>627</v>
      </c>
    </row>
    <row r="9" spans="1:9" x14ac:dyDescent="0.2">
      <c r="A9" s="11" t="s">
        <v>628</v>
      </c>
      <c r="B9" s="11" t="s">
        <v>113</v>
      </c>
      <c r="C9" s="11" t="s">
        <v>416</v>
      </c>
      <c r="D9" s="11" t="s">
        <v>419</v>
      </c>
      <c r="E9" s="11" t="s">
        <v>422</v>
      </c>
      <c r="F9" s="11" t="s">
        <v>425</v>
      </c>
      <c r="G9" s="11" t="s">
        <v>629</v>
      </c>
      <c r="H9" s="11" t="s">
        <v>630</v>
      </c>
      <c r="I9" s="11" t="s">
        <v>209</v>
      </c>
    </row>
    <row r="10" spans="1:9" x14ac:dyDescent="0.2">
      <c r="B10" s="15">
        <f ca="1">NPV_Total</f>
        <v>1200390.2758663497</v>
      </c>
      <c r="C10" s="15">
        <f ca="1">S1_Value</f>
        <v>102938.26207718875</v>
      </c>
      <c r="D10" s="15">
        <f ca="1">S2_Value</f>
        <v>71286.510210242428</v>
      </c>
      <c r="E10" s="15">
        <f ca="1">S3_Value</f>
        <v>122227.39591443175</v>
      </c>
      <c r="F10" s="15">
        <f ca="1">S4_Value</f>
        <v>44461.89664022989</v>
      </c>
      <c r="G10" s="15">
        <f>Testing_Cost</f>
        <v>10000</v>
      </c>
      <c r="H10" s="15">
        <f ca="1">Compliance_Adjusted_Value-Testing_Cost</f>
        <v>-10000</v>
      </c>
      <c r="I10" s="23">
        <f ca="1">Days_to_Compliance</f>
        <v>36.611744575139625</v>
      </c>
    </row>
    <row r="11" spans="1:9" x14ac:dyDescent="0.2">
      <c r="A11">
        <v>1</v>
      </c>
      <c r="B11">
        <f t="dataTable" ref="B11:I1010" dt2D="0" dtr="0" r1="M26" ca="1"/>
        <v>1244781.7462006991</v>
      </c>
      <c r="C11">
        <v>90607.484696882588</v>
      </c>
      <c r="D11">
        <v>96760.486881441364</v>
      </c>
      <c r="E11">
        <v>121313.52832214671</v>
      </c>
      <c r="F11">
        <v>44398.628883840931</v>
      </c>
      <c r="G11">
        <v>10000</v>
      </c>
      <c r="H11">
        <v>-10000</v>
      </c>
      <c r="I11">
        <v>32.578189136437331</v>
      </c>
    </row>
    <row r="12" spans="1:9" x14ac:dyDescent="0.2">
      <c r="A12">
        <v>2</v>
      </c>
      <c r="B12">
        <v>1440367.8126531262</v>
      </c>
      <c r="C12">
        <v>136993.77508133833</v>
      </c>
      <c r="D12">
        <v>92942.201793337168</v>
      </c>
      <c r="E12">
        <v>131633.95546717505</v>
      </c>
      <c r="F12">
        <v>45113.119993881352</v>
      </c>
      <c r="G12">
        <v>10000</v>
      </c>
      <c r="H12">
        <v>-10000</v>
      </c>
      <c r="I12">
        <v>53.075314711690915</v>
      </c>
    </row>
    <row r="13" spans="1:9" x14ac:dyDescent="0.2">
      <c r="A13">
        <v>3</v>
      </c>
      <c r="B13">
        <v>1205409.1834063637</v>
      </c>
      <c r="C13">
        <v>95200.785818198914</v>
      </c>
      <c r="D13">
        <v>95877.086895332584</v>
      </c>
      <c r="E13">
        <v>107751.93980524229</v>
      </c>
      <c r="F13">
        <v>43459.749678824468</v>
      </c>
      <c r="G13">
        <v>10000</v>
      </c>
      <c r="H13">
        <v>-10000</v>
      </c>
      <c r="I13">
        <v>27.776280033970643</v>
      </c>
    </row>
    <row r="14" spans="1:9" x14ac:dyDescent="0.2">
      <c r="A14">
        <v>4</v>
      </c>
      <c r="B14">
        <v>1697740.4306167408</v>
      </c>
      <c r="C14">
        <v>162741.42121729394</v>
      </c>
      <c r="D14">
        <v>146192.62376989686</v>
      </c>
      <c r="E14">
        <v>123720.10655586595</v>
      </c>
      <c r="F14">
        <v>44565.238146175339</v>
      </c>
      <c r="G14">
        <v>10000</v>
      </c>
      <c r="H14">
        <v>-10000</v>
      </c>
      <c r="I14">
        <v>32.914093723783338</v>
      </c>
    </row>
    <row r="15" spans="1:9" x14ac:dyDescent="0.2">
      <c r="A15">
        <v>5</v>
      </c>
      <c r="B15">
        <v>1436098.8013442343</v>
      </c>
      <c r="C15">
        <v>83289.506200797448</v>
      </c>
      <c r="D15">
        <v>93608.235177248454</v>
      </c>
      <c r="E15">
        <v>180143.83613932645</v>
      </c>
      <c r="F15">
        <v>48471.496348107212</v>
      </c>
      <c r="G15">
        <v>10000</v>
      </c>
      <c r="H15">
        <v>-10000</v>
      </c>
      <c r="I15">
        <v>29.676255410935656</v>
      </c>
    </row>
    <row r="16" spans="1:9" x14ac:dyDescent="0.2">
      <c r="A16">
        <v>6</v>
      </c>
      <c r="B16">
        <v>1244968.1529115022</v>
      </c>
      <c r="C16">
        <v>143993.76345906378</v>
      </c>
      <c r="D16">
        <v>86283.949757234135</v>
      </c>
      <c r="E16">
        <v>81229.894675955555</v>
      </c>
      <c r="F16">
        <v>41623.608092950766</v>
      </c>
      <c r="G16">
        <v>10000</v>
      </c>
      <c r="H16">
        <v>-10000</v>
      </c>
      <c r="I16">
        <v>30.919371747561001</v>
      </c>
    </row>
    <row r="17" spans="1:9" x14ac:dyDescent="0.2">
      <c r="A17">
        <v>7</v>
      </c>
      <c r="B17">
        <v>1456201.8731585802</v>
      </c>
      <c r="C17">
        <v>101761.78746157025</v>
      </c>
      <c r="D17">
        <v>130566.34267234315</v>
      </c>
      <c r="E17">
        <v>133455.24465319133</v>
      </c>
      <c r="F17">
        <v>45239.20924522094</v>
      </c>
      <c r="G17">
        <v>10000</v>
      </c>
      <c r="H17">
        <v>-10000</v>
      </c>
      <c r="I17">
        <v>40.262918568645588</v>
      </c>
    </row>
    <row r="18" spans="1:9" x14ac:dyDescent="0.2">
      <c r="A18">
        <v>8</v>
      </c>
      <c r="B18">
        <v>1008664.930170943</v>
      </c>
      <c r="C18">
        <v>101927.86807619553</v>
      </c>
      <c r="D18">
        <v>109479.18022290508</v>
      </c>
      <c r="E18">
        <v>38309.946988556592</v>
      </c>
      <c r="F18">
        <v>38652.227099207761</v>
      </c>
      <c r="G18">
        <v>10000</v>
      </c>
      <c r="H18">
        <v>-10000</v>
      </c>
      <c r="I18">
        <v>38.695718842187432</v>
      </c>
    </row>
    <row r="19" spans="1:9" x14ac:dyDescent="0.2">
      <c r="A19">
        <v>9</v>
      </c>
      <c r="B19">
        <v>1447081.4871592624</v>
      </c>
      <c r="C19">
        <v>117261.99961346936</v>
      </c>
      <c r="D19">
        <v>83181.511000740051</v>
      </c>
      <c r="E19">
        <v>160937.67324723466</v>
      </c>
      <c r="F19">
        <v>47141.838917116242</v>
      </c>
      <c r="G19">
        <v>10000</v>
      </c>
      <c r="H19">
        <v>-10000</v>
      </c>
      <c r="I19">
        <v>33.14885667214628</v>
      </c>
    </row>
    <row r="20" spans="1:9" x14ac:dyDescent="0.2">
      <c r="A20">
        <v>10</v>
      </c>
      <c r="B20">
        <v>995770.12755006715</v>
      </c>
      <c r="C20">
        <v>92078.609565593113</v>
      </c>
      <c r="D20">
        <v>110054.4064708814</v>
      </c>
      <c r="E20">
        <v>43678.332239614101</v>
      </c>
      <c r="F20">
        <v>39023.884539665589</v>
      </c>
      <c r="G20">
        <v>10000</v>
      </c>
      <c r="H20">
        <v>-10000</v>
      </c>
      <c r="I20">
        <v>26.650007234154941</v>
      </c>
    </row>
    <row r="21" spans="1:9" x14ac:dyDescent="0.2">
      <c r="A21">
        <v>11</v>
      </c>
      <c r="B21">
        <v>1208750.3501390354</v>
      </c>
      <c r="C21">
        <v>140682.64560048535</v>
      </c>
      <c r="D21">
        <v>62951.743406373862</v>
      </c>
      <c r="E21">
        <v>96864.836554673107</v>
      </c>
      <c r="F21">
        <v>42706.027146092747</v>
      </c>
      <c r="G21">
        <v>10000</v>
      </c>
      <c r="H21">
        <v>-10000</v>
      </c>
      <c r="I21">
        <v>32.602689106541341</v>
      </c>
    </row>
    <row r="22" spans="1:9" x14ac:dyDescent="0.2">
      <c r="A22">
        <v>12</v>
      </c>
      <c r="B22">
        <v>1702668.42274688</v>
      </c>
      <c r="C22">
        <v>154181.20515589591</v>
      </c>
      <c r="D22">
        <v>68062.385515997885</v>
      </c>
      <c r="E22">
        <v>206060.64299136068</v>
      </c>
      <c r="F22">
        <v>50265.736822478815</v>
      </c>
      <c r="G22">
        <v>10000</v>
      </c>
      <c r="H22">
        <v>-10000</v>
      </c>
      <c r="I22">
        <v>30.115443439777398</v>
      </c>
    </row>
    <row r="23" spans="1:9" x14ac:dyDescent="0.2">
      <c r="A23">
        <v>13</v>
      </c>
      <c r="B23">
        <v>1120028.1690890095</v>
      </c>
      <c r="C23">
        <v>168865.01866216917</v>
      </c>
      <c r="D23">
        <v>74485.899976860863</v>
      </c>
      <c r="E23">
        <v>36978.788201174168</v>
      </c>
      <c r="F23">
        <v>38560.069952388978</v>
      </c>
      <c r="G23">
        <v>10000</v>
      </c>
      <c r="H23">
        <v>-10000</v>
      </c>
      <c r="I23">
        <v>33.68603825617042</v>
      </c>
    </row>
    <row r="24" spans="1:9" x14ac:dyDescent="0.2">
      <c r="A24">
        <v>14</v>
      </c>
      <c r="B24">
        <v>764196.6677622326</v>
      </c>
      <c r="C24">
        <v>75905.825241054088</v>
      </c>
      <c r="D24">
        <v>63174.704150200625</v>
      </c>
      <c r="E24">
        <v>43291.836198493802</v>
      </c>
      <c r="F24">
        <v>38997.12712143419</v>
      </c>
      <c r="G24">
        <v>10000</v>
      </c>
      <c r="H24">
        <v>-10000</v>
      </c>
      <c r="I24">
        <v>33.025676113373798</v>
      </c>
    </row>
    <row r="25" spans="1:9" x14ac:dyDescent="0.2">
      <c r="A25">
        <v>15</v>
      </c>
      <c r="B25">
        <v>1433574.5051010149</v>
      </c>
      <c r="C25">
        <v>121880.09234420428</v>
      </c>
      <c r="D25">
        <v>97692.272783121007</v>
      </c>
      <c r="E25">
        <v>139585.29494392022</v>
      </c>
      <c r="F25">
        <v>45663.597342271401</v>
      </c>
      <c r="G25">
        <v>10000</v>
      </c>
      <c r="H25">
        <v>-10000</v>
      </c>
      <c r="I25">
        <v>34.064426487120357</v>
      </c>
    </row>
    <row r="26" spans="1:9" x14ac:dyDescent="0.2">
      <c r="A26">
        <v>16</v>
      </c>
      <c r="B26">
        <v>944768.17690160219</v>
      </c>
      <c r="C26">
        <v>121780.46251926775</v>
      </c>
      <c r="D26">
        <v>66838.806973516141</v>
      </c>
      <c r="E26">
        <v>43244.369680160591</v>
      </c>
      <c r="F26">
        <v>38993.840977857275</v>
      </c>
      <c r="G26">
        <v>10000</v>
      </c>
      <c r="H26">
        <v>-10000</v>
      </c>
      <c r="I26">
        <v>37.173422152127294</v>
      </c>
    </row>
    <row r="27" spans="1:9" x14ac:dyDescent="0.2">
      <c r="A27">
        <v>17</v>
      </c>
      <c r="B27">
        <v>1469900.6098461337</v>
      </c>
      <c r="C27">
        <v>112452.30295003112</v>
      </c>
      <c r="D27">
        <v>80150.187834410885</v>
      </c>
      <c r="E27">
        <v>174119.95318361223</v>
      </c>
      <c r="F27">
        <v>48054.458297327001</v>
      </c>
      <c r="G27">
        <v>10000</v>
      </c>
      <c r="H27">
        <v>-10000</v>
      </c>
      <c r="I27">
        <v>37.209152619639198</v>
      </c>
    </row>
    <row r="28" spans="1:9" x14ac:dyDescent="0.2">
      <c r="A28">
        <v>18</v>
      </c>
      <c r="B28">
        <v>1622076.0589779199</v>
      </c>
      <c r="C28">
        <v>143215.26368992281</v>
      </c>
      <c r="D28">
        <v>60267.793603293278</v>
      </c>
      <c r="E28">
        <v>202949.19155232876</v>
      </c>
      <c r="F28">
        <v>50050.328645930451</v>
      </c>
      <c r="G28">
        <v>10000</v>
      </c>
      <c r="H28">
        <v>-10000</v>
      </c>
      <c r="I28">
        <v>28.985298272767217</v>
      </c>
    </row>
    <row r="29" spans="1:9" x14ac:dyDescent="0.2">
      <c r="A29">
        <v>19</v>
      </c>
      <c r="B29">
        <v>939926.46485989704</v>
      </c>
      <c r="C29">
        <v>107787.77423272756</v>
      </c>
      <c r="D29">
        <v>62775.844867873791</v>
      </c>
      <c r="E29">
        <v>58889.931204882065</v>
      </c>
      <c r="F29">
        <v>40076.995237261064</v>
      </c>
      <c r="G29">
        <v>10000</v>
      </c>
      <c r="H29">
        <v>-10000</v>
      </c>
      <c r="I29">
        <v>31.972133738637218</v>
      </c>
    </row>
    <row r="30" spans="1:9" x14ac:dyDescent="0.2">
      <c r="A30">
        <v>20</v>
      </c>
      <c r="B30">
        <v>1040832.2757098116</v>
      </c>
      <c r="C30">
        <v>111511.25231568188</v>
      </c>
      <c r="D30">
        <v>80606.329413549698</v>
      </c>
      <c r="E30">
        <v>64595.52517543835</v>
      </c>
      <c r="F30">
        <v>40471.997896761117</v>
      </c>
      <c r="G30">
        <v>10000</v>
      </c>
      <c r="H30">
        <v>-10000</v>
      </c>
      <c r="I30">
        <v>36.103916759716832</v>
      </c>
    </row>
    <row r="31" spans="1:9" x14ac:dyDescent="0.2">
      <c r="A31">
        <v>21</v>
      </c>
      <c r="B31">
        <v>1321664.4855021001</v>
      </c>
      <c r="C31">
        <v>133159.60301308724</v>
      </c>
      <c r="D31">
        <v>61601.809841717652</v>
      </c>
      <c r="E31">
        <v>134105.22954564088</v>
      </c>
      <c r="F31">
        <v>45284.208199313594</v>
      </c>
      <c r="G31">
        <v>10000</v>
      </c>
      <c r="H31">
        <v>-10000</v>
      </c>
      <c r="I31">
        <v>47.938394772751309</v>
      </c>
    </row>
    <row r="32" spans="1:9" x14ac:dyDescent="0.2">
      <c r="A32">
        <v>22</v>
      </c>
      <c r="B32">
        <v>1492035.8015004816</v>
      </c>
      <c r="C32">
        <v>160180.33072386935</v>
      </c>
      <c r="D32">
        <v>55114.907007314527</v>
      </c>
      <c r="E32">
        <v>158570.16898654727</v>
      </c>
      <c r="F32">
        <v>46977.934775991736</v>
      </c>
      <c r="G32">
        <v>10000</v>
      </c>
      <c r="H32">
        <v>-10000</v>
      </c>
      <c r="I32">
        <v>44.842595154034754</v>
      </c>
    </row>
    <row r="33" spans="1:9" x14ac:dyDescent="0.2">
      <c r="A33">
        <v>23</v>
      </c>
      <c r="B33">
        <v>1790790.8057677113</v>
      </c>
      <c r="C33">
        <v>133364.71737931104</v>
      </c>
      <c r="D33">
        <v>113240.6552957776</v>
      </c>
      <c r="E33">
        <v>205863.59610395355</v>
      </c>
      <c r="F33">
        <v>50252.095114889089</v>
      </c>
      <c r="G33">
        <v>10000</v>
      </c>
      <c r="H33">
        <v>-10000</v>
      </c>
      <c r="I33">
        <v>37.702213881681672</v>
      </c>
    </row>
    <row r="34" spans="1:9" x14ac:dyDescent="0.2">
      <c r="A34">
        <v>24</v>
      </c>
      <c r="B34">
        <v>1247054.7324766573</v>
      </c>
      <c r="C34">
        <v>118686.75301171857</v>
      </c>
      <c r="D34">
        <v>80538.387708530034</v>
      </c>
      <c r="E34">
        <v>110806.69686745861</v>
      </c>
      <c r="F34">
        <v>43671.232860054828</v>
      </c>
      <c r="G34">
        <v>10000</v>
      </c>
      <c r="H34">
        <v>-10000</v>
      </c>
      <c r="I34">
        <v>28.388077031181275</v>
      </c>
    </row>
    <row r="35" spans="1:9" x14ac:dyDescent="0.2">
      <c r="A35">
        <v>25</v>
      </c>
      <c r="B35">
        <v>1232660.0280232141</v>
      </c>
      <c r="C35">
        <v>103205.98147512479</v>
      </c>
      <c r="D35">
        <v>72728.408558364536</v>
      </c>
      <c r="E35">
        <v>128899.79138688621</v>
      </c>
      <c r="F35">
        <v>44923.831711399813</v>
      </c>
      <c r="G35">
        <v>10000</v>
      </c>
      <c r="H35">
        <v>-10000</v>
      </c>
      <c r="I35">
        <v>40.294628383397558</v>
      </c>
    </row>
    <row r="36" spans="1:9" x14ac:dyDescent="0.2">
      <c r="A36">
        <v>26</v>
      </c>
      <c r="B36">
        <v>1455862.6454709838</v>
      </c>
      <c r="C36">
        <v>117761.99157257674</v>
      </c>
      <c r="D36">
        <v>39530.845329623466</v>
      </c>
      <c r="E36">
        <v>203545.18743906749</v>
      </c>
      <c r="F36">
        <v>50091.589899627746</v>
      </c>
      <c r="G36">
        <v>10000</v>
      </c>
      <c r="H36">
        <v>-10000</v>
      </c>
      <c r="I36">
        <v>33.158379639969937</v>
      </c>
    </row>
    <row r="37" spans="1:9" x14ac:dyDescent="0.2">
      <c r="A37">
        <v>27</v>
      </c>
      <c r="B37">
        <v>1677037.7441395801</v>
      </c>
      <c r="C37">
        <v>122285.46461733487</v>
      </c>
      <c r="D37">
        <v>147545.99821134837</v>
      </c>
      <c r="E37">
        <v>154984.39552019816</v>
      </c>
      <c r="F37">
        <v>46729.688920629102</v>
      </c>
      <c r="G37">
        <v>10000</v>
      </c>
      <c r="H37">
        <v>-10000</v>
      </c>
      <c r="I37">
        <v>36.149478715505936</v>
      </c>
    </row>
    <row r="38" spans="1:9" x14ac:dyDescent="0.2">
      <c r="A38">
        <v>28</v>
      </c>
      <c r="B38">
        <v>1697815.5936211196</v>
      </c>
      <c r="C38">
        <v>150699.30949496807</v>
      </c>
      <c r="D38">
        <v>99704.435609910564</v>
      </c>
      <c r="E38">
        <v>178479.94042256966</v>
      </c>
      <c r="F38">
        <v>48356.303567716357</v>
      </c>
      <c r="G38">
        <v>10000</v>
      </c>
      <c r="H38">
        <v>-10000</v>
      </c>
      <c r="I38">
        <v>32.57169422554589</v>
      </c>
    </row>
    <row r="39" spans="1:9" x14ac:dyDescent="0.2">
      <c r="A39">
        <v>29</v>
      </c>
      <c r="B39">
        <v>1241803.0489682609</v>
      </c>
      <c r="C39">
        <v>126981.10223219539</v>
      </c>
      <c r="D39">
        <v>104686.76081502627</v>
      </c>
      <c r="E39">
        <v>79118.481413098925</v>
      </c>
      <c r="F39">
        <v>41477.433328599152</v>
      </c>
      <c r="G39">
        <v>10000</v>
      </c>
      <c r="H39">
        <v>-10000</v>
      </c>
      <c r="I39">
        <v>28.523141347757772</v>
      </c>
    </row>
    <row r="40" spans="1:9" x14ac:dyDescent="0.2">
      <c r="A40">
        <v>30</v>
      </c>
      <c r="B40">
        <v>1282943.6758994674</v>
      </c>
      <c r="C40">
        <v>153930.3648849554</v>
      </c>
      <c r="D40">
        <v>58934.612190760388</v>
      </c>
      <c r="E40">
        <v>107248.99781880084</v>
      </c>
      <c r="F40">
        <v>43424.93061822468</v>
      </c>
      <c r="G40">
        <v>10000</v>
      </c>
      <c r="H40">
        <v>-10000</v>
      </c>
      <c r="I40">
        <v>35.744767763896633</v>
      </c>
    </row>
    <row r="41" spans="1:9" x14ac:dyDescent="0.2">
      <c r="A41">
        <v>31</v>
      </c>
      <c r="B41">
        <v>1122004.0684769566</v>
      </c>
      <c r="C41">
        <v>120569.0599699848</v>
      </c>
      <c r="D41">
        <v>59502.773318526699</v>
      </c>
      <c r="E41">
        <v>96667.12517878857</v>
      </c>
      <c r="F41">
        <v>42692.339435454596</v>
      </c>
      <c r="G41">
        <v>10000</v>
      </c>
      <c r="H41">
        <v>-10000</v>
      </c>
      <c r="I41">
        <v>51.086921777097899</v>
      </c>
    </row>
    <row r="42" spans="1:9" x14ac:dyDescent="0.2">
      <c r="A42">
        <v>32</v>
      </c>
      <c r="B42">
        <v>1125355.2696538528</v>
      </c>
      <c r="C42">
        <v>88302.432738542528</v>
      </c>
      <c r="D42">
        <v>61514.305573366706</v>
      </c>
      <c r="E42">
        <v>125822.23037646245</v>
      </c>
      <c r="F42">
        <v>44710.769795293549</v>
      </c>
      <c r="G42">
        <v>10000</v>
      </c>
      <c r="H42">
        <v>-10000</v>
      </c>
      <c r="I42">
        <v>41.765917336576017</v>
      </c>
    </row>
    <row r="43" spans="1:9" x14ac:dyDescent="0.2">
      <c r="A43">
        <v>33</v>
      </c>
      <c r="B43">
        <v>910971.53884818987</v>
      </c>
      <c r="C43">
        <v>125163.2527731913</v>
      </c>
      <c r="D43">
        <v>61729.117015548967</v>
      </c>
      <c r="E43">
        <v>36196.768840781304</v>
      </c>
      <c r="F43">
        <v>38505.930150515625</v>
      </c>
      <c r="G43">
        <v>10000</v>
      </c>
      <c r="H43">
        <v>-10000</v>
      </c>
      <c r="I43">
        <v>28.78640751105652</v>
      </c>
    </row>
    <row r="44" spans="1:9" x14ac:dyDescent="0.2">
      <c r="A44">
        <v>34</v>
      </c>
      <c r="B44">
        <v>1522984.1526365022</v>
      </c>
      <c r="C44">
        <v>136384.83222314421</v>
      </c>
      <c r="D44">
        <v>160794.84423102674</v>
      </c>
      <c r="E44">
        <v>89920.220065511312</v>
      </c>
      <c r="F44">
        <v>42225.246004535395</v>
      </c>
      <c r="G44">
        <v>10000</v>
      </c>
      <c r="H44">
        <v>-10000</v>
      </c>
      <c r="I44">
        <v>26.781700429747627</v>
      </c>
    </row>
    <row r="45" spans="1:9" x14ac:dyDescent="0.2">
      <c r="A45">
        <v>35</v>
      </c>
      <c r="B45">
        <v>1537155.9649321218</v>
      </c>
      <c r="C45">
        <v>138988.27025242301</v>
      </c>
      <c r="D45">
        <v>137319.50434899208</v>
      </c>
      <c r="E45">
        <v>113073.1944893302</v>
      </c>
      <c r="F45">
        <v>43828.144233876708</v>
      </c>
      <c r="G45">
        <v>10000</v>
      </c>
      <c r="H45">
        <v>-10000</v>
      </c>
      <c r="I45">
        <v>35.762464696576743</v>
      </c>
    </row>
    <row r="46" spans="1:9" x14ac:dyDescent="0.2">
      <c r="A46">
        <v>36</v>
      </c>
      <c r="B46">
        <v>1623985.1418621084</v>
      </c>
      <c r="C46">
        <v>141748.52484529433</v>
      </c>
      <c r="D46">
        <v>83669.493868432895</v>
      </c>
      <c r="E46">
        <v>182923.81175161642</v>
      </c>
      <c r="F46">
        <v>48663.956198188826</v>
      </c>
      <c r="G46">
        <v>10000</v>
      </c>
      <c r="H46">
        <v>-10000</v>
      </c>
      <c r="I46">
        <v>47.686423758579309</v>
      </c>
    </row>
    <row r="47" spans="1:9" x14ac:dyDescent="0.2">
      <c r="A47">
        <v>37</v>
      </c>
      <c r="B47">
        <v>1435998.7262233347</v>
      </c>
      <c r="C47">
        <v>101945.49197016149</v>
      </c>
      <c r="D47">
        <v>55466.042357221275</v>
      </c>
      <c r="E47">
        <v>198342.69527510108</v>
      </c>
      <c r="F47">
        <v>49731.417365199304</v>
      </c>
      <c r="G47">
        <v>10000</v>
      </c>
      <c r="H47">
        <v>-10000</v>
      </c>
      <c r="I47">
        <v>25.445762391787614</v>
      </c>
    </row>
    <row r="48" spans="1:9" x14ac:dyDescent="0.2">
      <c r="A48">
        <v>38</v>
      </c>
      <c r="B48">
        <v>912717.12137713155</v>
      </c>
      <c r="C48">
        <v>95737.596842700368</v>
      </c>
      <c r="D48">
        <v>80719.570116803923</v>
      </c>
      <c r="E48">
        <v>46403.735289239688</v>
      </c>
      <c r="F48">
        <v>39212.566289255054</v>
      </c>
      <c r="G48">
        <v>10000</v>
      </c>
      <c r="H48">
        <v>-10000</v>
      </c>
      <c r="I48">
        <v>35.608842898404532</v>
      </c>
    </row>
    <row r="49" spans="1:9" x14ac:dyDescent="0.2">
      <c r="A49">
        <v>39</v>
      </c>
      <c r="B49">
        <v>1051535.1101466815</v>
      </c>
      <c r="C49">
        <v>125657.29606998224</v>
      </c>
      <c r="D49">
        <v>40925.765902587271</v>
      </c>
      <c r="E49">
        <v>91220.059890411387</v>
      </c>
      <c r="F49">
        <v>42315.234915490015</v>
      </c>
      <c r="G49">
        <v>10000</v>
      </c>
      <c r="H49">
        <v>-10000</v>
      </c>
      <c r="I49">
        <v>40.251371749355755</v>
      </c>
    </row>
    <row r="50" spans="1:9" x14ac:dyDescent="0.2">
      <c r="A50">
        <v>40</v>
      </c>
      <c r="B50">
        <v>1319880.3760968116</v>
      </c>
      <c r="C50">
        <v>119719.55911317134</v>
      </c>
      <c r="D50">
        <v>84470.3713343524</v>
      </c>
      <c r="E50">
        <v>124829.89214307672</v>
      </c>
      <c r="F50">
        <v>44642.069456059158</v>
      </c>
      <c r="G50">
        <v>10000</v>
      </c>
      <c r="H50">
        <v>-10000</v>
      </c>
      <c r="I50">
        <v>28.931487742021865</v>
      </c>
    </row>
    <row r="51" spans="1:9" x14ac:dyDescent="0.2">
      <c r="A51">
        <v>41</v>
      </c>
      <c r="B51">
        <v>1166218.1349407712</v>
      </c>
      <c r="C51">
        <v>140326.2469079404</v>
      </c>
      <c r="D51">
        <v>37543.490457484862</v>
      </c>
      <c r="E51">
        <v>110059.50072838165</v>
      </c>
      <c r="F51">
        <v>43619.503896580274</v>
      </c>
      <c r="G51">
        <v>10000</v>
      </c>
      <c r="H51">
        <v>-10000</v>
      </c>
      <c r="I51">
        <v>25.349171564090277</v>
      </c>
    </row>
    <row r="52" spans="1:9" x14ac:dyDescent="0.2">
      <c r="A52">
        <v>42</v>
      </c>
      <c r="B52">
        <v>1655546.1885043604</v>
      </c>
      <c r="C52">
        <v>109119.24847867942</v>
      </c>
      <c r="D52">
        <v>108240.43174904387</v>
      </c>
      <c r="E52">
        <v>198550.05187364586</v>
      </c>
      <c r="F52">
        <v>49745.772822021638</v>
      </c>
      <c r="G52">
        <v>10000</v>
      </c>
      <c r="H52">
        <v>-10000</v>
      </c>
      <c r="I52">
        <v>42.015170050663727</v>
      </c>
    </row>
    <row r="53" spans="1:9" x14ac:dyDescent="0.2">
      <c r="A53">
        <v>43</v>
      </c>
      <c r="B53">
        <v>1654004.6180536486</v>
      </c>
      <c r="C53">
        <v>130299.48456035802</v>
      </c>
      <c r="D53">
        <v>91832.907035390876</v>
      </c>
      <c r="E53">
        <v>193691.23271782309</v>
      </c>
      <c r="F53">
        <v>49409.39303431083</v>
      </c>
      <c r="G53">
        <v>10000</v>
      </c>
      <c r="H53">
        <v>-10000</v>
      </c>
      <c r="I53">
        <v>47.949697538132327</v>
      </c>
    </row>
    <row r="54" spans="1:9" x14ac:dyDescent="0.2">
      <c r="A54">
        <v>44</v>
      </c>
      <c r="B54">
        <v>1502019.8465253187</v>
      </c>
      <c r="C54">
        <v>105107.30250305761</v>
      </c>
      <c r="D54">
        <v>98185.371628758163</v>
      </c>
      <c r="E54">
        <v>172354.67869814805</v>
      </c>
      <c r="F54">
        <v>47932.24698679486</v>
      </c>
      <c r="G54">
        <v>10000</v>
      </c>
      <c r="H54">
        <v>-10000</v>
      </c>
      <c r="I54">
        <v>37.185975460684695</v>
      </c>
    </row>
    <row r="55" spans="1:9" x14ac:dyDescent="0.2">
      <c r="A55">
        <v>45</v>
      </c>
      <c r="B55">
        <v>1367404.2119000512</v>
      </c>
      <c r="C55">
        <v>102440.79990000166</v>
      </c>
      <c r="D55">
        <v>61035.349726496213</v>
      </c>
      <c r="E55">
        <v>175088.74373826865</v>
      </c>
      <c r="F55">
        <v>48121.528412649364</v>
      </c>
      <c r="G55">
        <v>10000</v>
      </c>
      <c r="H55">
        <v>-10000</v>
      </c>
      <c r="I55">
        <v>39.740881458438409</v>
      </c>
    </row>
    <row r="56" spans="1:9" x14ac:dyDescent="0.2">
      <c r="A56">
        <v>46</v>
      </c>
      <c r="B56">
        <v>1072466.010305119</v>
      </c>
      <c r="C56">
        <v>102636.35380505462</v>
      </c>
      <c r="D56">
        <v>108392.40591000946</v>
      </c>
      <c r="E56">
        <v>55017.107742084707</v>
      </c>
      <c r="F56">
        <v>39808.876689836638</v>
      </c>
      <c r="G56">
        <v>10000</v>
      </c>
      <c r="H56">
        <v>-10000</v>
      </c>
      <c r="I56">
        <v>32.62133701409337</v>
      </c>
    </row>
    <row r="57" spans="1:9" x14ac:dyDescent="0.2">
      <c r="A57">
        <v>47</v>
      </c>
      <c r="B57">
        <v>842674.84975520615</v>
      </c>
      <c r="C57">
        <v>95893.826409462243</v>
      </c>
      <c r="D57">
        <v>82109.221317578471</v>
      </c>
      <c r="E57">
        <v>27004.8520855485</v>
      </c>
      <c r="F57">
        <v>37869.56668284566</v>
      </c>
      <c r="G57">
        <v>10000</v>
      </c>
      <c r="H57">
        <v>-10000</v>
      </c>
      <c r="I57">
        <v>34.527607195865258</v>
      </c>
    </row>
    <row r="58" spans="1:9" x14ac:dyDescent="0.2">
      <c r="A58">
        <v>48</v>
      </c>
      <c r="B58">
        <v>1504844.5928307991</v>
      </c>
      <c r="C58">
        <v>166247.14861570956</v>
      </c>
      <c r="D58">
        <v>78287.719067068174</v>
      </c>
      <c r="E58">
        <v>134506.87634499875</v>
      </c>
      <c r="F58">
        <v>45312.014516192219</v>
      </c>
      <c r="G58">
        <v>10000</v>
      </c>
      <c r="H58">
        <v>-10000</v>
      </c>
      <c r="I58">
        <v>27.762560614453051</v>
      </c>
    </row>
    <row r="59" spans="1:9" x14ac:dyDescent="0.2">
      <c r="A59">
        <v>49</v>
      </c>
      <c r="B59">
        <v>1682053.7240534707</v>
      </c>
      <c r="C59">
        <v>161838.16043245263</v>
      </c>
      <c r="D59">
        <v>140387.14079710972</v>
      </c>
      <c r="E59">
        <v>125973.68586583738</v>
      </c>
      <c r="F59">
        <v>44721.255175327198</v>
      </c>
      <c r="G59">
        <v>10000</v>
      </c>
      <c r="H59">
        <v>-10000</v>
      </c>
      <c r="I59">
        <v>36.768509452324054</v>
      </c>
    </row>
    <row r="60" spans="1:9" x14ac:dyDescent="0.2">
      <c r="A60">
        <v>50</v>
      </c>
      <c r="B60">
        <v>1266347.8582227479</v>
      </c>
      <c r="C60">
        <v>116141.21002349659</v>
      </c>
      <c r="D60">
        <v>116404.27883295467</v>
      </c>
      <c r="E60">
        <v>84588.956875507094</v>
      </c>
      <c r="F60">
        <v>41856.158552919725</v>
      </c>
      <c r="G60">
        <v>10000</v>
      </c>
      <c r="H60">
        <v>-10000</v>
      </c>
      <c r="I60">
        <v>30.391276732688581</v>
      </c>
    </row>
    <row r="61" spans="1:9" x14ac:dyDescent="0.2">
      <c r="A61">
        <v>51</v>
      </c>
      <c r="B61">
        <v>1856777.1165599048</v>
      </c>
      <c r="C61">
        <v>148675.84269778457</v>
      </c>
      <c r="D61">
        <v>161478.01203771806</v>
      </c>
      <c r="E61">
        <v>163343.24360214078</v>
      </c>
      <c r="F61">
        <v>47308.378403225135</v>
      </c>
      <c r="G61">
        <v>10000</v>
      </c>
      <c r="H61">
        <v>-10000</v>
      </c>
      <c r="I61">
        <v>29.446255462669306</v>
      </c>
    </row>
    <row r="62" spans="1:9" x14ac:dyDescent="0.2">
      <c r="A62">
        <v>52</v>
      </c>
      <c r="B62">
        <v>1333781.6484031696</v>
      </c>
      <c r="C62">
        <v>93059.724364615002</v>
      </c>
      <c r="D62">
        <v>119108.07991898312</v>
      </c>
      <c r="E62">
        <v>120931.71769509513</v>
      </c>
      <c r="F62">
        <v>44372.19584042966</v>
      </c>
      <c r="G62">
        <v>10000</v>
      </c>
      <c r="H62">
        <v>-10000</v>
      </c>
      <c r="I62">
        <v>32.826574662716205</v>
      </c>
    </row>
    <row r="63" spans="1:9" x14ac:dyDescent="0.2">
      <c r="A63">
        <v>53</v>
      </c>
      <c r="B63">
        <v>1287247.6020000596</v>
      </c>
      <c r="C63">
        <v>149145.87098980686</v>
      </c>
      <c r="D63">
        <v>109134.9193661969</v>
      </c>
      <c r="E63">
        <v>65876.950523682666</v>
      </c>
      <c r="F63">
        <v>40560.711959331871</v>
      </c>
      <c r="G63">
        <v>10000</v>
      </c>
      <c r="H63">
        <v>-10000</v>
      </c>
      <c r="I63">
        <v>28.96152162632524</v>
      </c>
    </row>
    <row r="64" spans="1:9" x14ac:dyDescent="0.2">
      <c r="A64">
        <v>54</v>
      </c>
      <c r="B64">
        <v>1512158.5587285515</v>
      </c>
      <c r="C64">
        <v>96229.50836512995</v>
      </c>
      <c r="D64">
        <v>111011.17981345311</v>
      </c>
      <c r="E64">
        <v>171261.02596095449</v>
      </c>
      <c r="F64">
        <v>47856.532566527618</v>
      </c>
      <c r="G64">
        <v>10000</v>
      </c>
      <c r="H64">
        <v>-10000</v>
      </c>
      <c r="I64">
        <v>31.688696510151587</v>
      </c>
    </row>
    <row r="65" spans="1:9" x14ac:dyDescent="0.2">
      <c r="A65">
        <v>55</v>
      </c>
      <c r="B65">
        <v>1169251.7037898547</v>
      </c>
      <c r="C65">
        <v>103768.71588462805</v>
      </c>
      <c r="D65">
        <v>93907.193324473337</v>
      </c>
      <c r="E65">
        <v>92313.30120906372</v>
      </c>
      <c r="F65">
        <v>42390.920852935174</v>
      </c>
      <c r="G65">
        <v>10000</v>
      </c>
      <c r="H65">
        <v>-10000</v>
      </c>
      <c r="I65">
        <v>27.219806567343969</v>
      </c>
    </row>
    <row r="66" spans="1:9" x14ac:dyDescent="0.2">
      <c r="A66">
        <v>56</v>
      </c>
      <c r="B66">
        <v>1036355.9355357768</v>
      </c>
      <c r="C66">
        <v>134375.88444591683</v>
      </c>
      <c r="D66">
        <v>72273.717806020388</v>
      </c>
      <c r="E66">
        <v>49857.060254857883</v>
      </c>
      <c r="F66">
        <v>39451.642633028627</v>
      </c>
      <c r="G66">
        <v>10000</v>
      </c>
      <c r="H66">
        <v>-10000</v>
      </c>
      <c r="I66">
        <v>26.712066257952628</v>
      </c>
    </row>
    <row r="67" spans="1:9" x14ac:dyDescent="0.2">
      <c r="A67">
        <v>57</v>
      </c>
      <c r="B67">
        <v>1040542.0021468025</v>
      </c>
      <c r="C67">
        <v>143692.17561654796</v>
      </c>
      <c r="D67">
        <v>69909.355710154457</v>
      </c>
      <c r="E67">
        <v>44428.220333185578</v>
      </c>
      <c r="F67">
        <v>39075.799869220536</v>
      </c>
      <c r="G67">
        <v>10000</v>
      </c>
      <c r="H67">
        <v>-10000</v>
      </c>
      <c r="I67">
        <v>32.975248811627445</v>
      </c>
    </row>
    <row r="68" spans="1:9" x14ac:dyDescent="0.2">
      <c r="A68">
        <v>58</v>
      </c>
      <c r="B68">
        <v>1539290.9429442964</v>
      </c>
      <c r="C68">
        <v>105706.0470722888</v>
      </c>
      <c r="D68">
        <v>145188.56217769699</v>
      </c>
      <c r="E68">
        <v>137388.13639946852</v>
      </c>
      <c r="F68">
        <v>45511.486366117053</v>
      </c>
      <c r="G68">
        <v>10000</v>
      </c>
      <c r="H68">
        <v>-10000</v>
      </c>
      <c r="I68">
        <v>31.614173750456022</v>
      </c>
    </row>
    <row r="69" spans="1:9" x14ac:dyDescent="0.2">
      <c r="A69">
        <v>59</v>
      </c>
      <c r="B69">
        <v>1374711.1054566698</v>
      </c>
      <c r="C69">
        <v>108616.3169949693</v>
      </c>
      <c r="D69">
        <v>162533.2138269589</v>
      </c>
      <c r="E69">
        <v>76259.908708496398</v>
      </c>
      <c r="F69">
        <v>41279.532141357449</v>
      </c>
      <c r="G69">
        <v>10000</v>
      </c>
      <c r="H69">
        <v>-10000</v>
      </c>
      <c r="I69">
        <v>40.060452586019309</v>
      </c>
    </row>
    <row r="70" spans="1:9" x14ac:dyDescent="0.2">
      <c r="A70">
        <v>60</v>
      </c>
      <c r="B70">
        <v>1098831.776895673</v>
      </c>
      <c r="C70">
        <v>119871.43743200802</v>
      </c>
      <c r="D70">
        <v>59934.042667832029</v>
      </c>
      <c r="E70">
        <v>90976.756892525184</v>
      </c>
      <c r="F70">
        <v>42298.390861790205</v>
      </c>
      <c r="G70">
        <v>10000</v>
      </c>
      <c r="H70">
        <v>-10000</v>
      </c>
      <c r="I70">
        <v>32.009718382438422</v>
      </c>
    </row>
    <row r="71" spans="1:9" x14ac:dyDescent="0.2">
      <c r="A71">
        <v>61</v>
      </c>
      <c r="B71">
        <v>1154226.9127513035</v>
      </c>
      <c r="C71">
        <v>135033.98375670507</v>
      </c>
      <c r="D71">
        <v>118105.15535374734</v>
      </c>
      <c r="E71">
        <v>36590.09120217029</v>
      </c>
      <c r="F71">
        <v>38533.160160150255</v>
      </c>
      <c r="G71">
        <v>10000</v>
      </c>
      <c r="H71">
        <v>-10000</v>
      </c>
      <c r="I71">
        <v>46.980906499828166</v>
      </c>
    </row>
    <row r="72" spans="1:9" x14ac:dyDescent="0.2">
      <c r="A72">
        <v>62</v>
      </c>
      <c r="B72">
        <v>1517193.5681443317</v>
      </c>
      <c r="C72">
        <v>114029.89204302152</v>
      </c>
      <c r="D72">
        <v>112731.93661178129</v>
      </c>
      <c r="E72">
        <v>154294.40779695549</v>
      </c>
      <c r="F72">
        <v>46681.920539789222</v>
      </c>
      <c r="G72">
        <v>10000</v>
      </c>
      <c r="H72">
        <v>-10000</v>
      </c>
      <c r="I72">
        <v>33.996494313908215</v>
      </c>
    </row>
    <row r="73" spans="1:9" x14ac:dyDescent="0.2">
      <c r="A73">
        <v>63</v>
      </c>
      <c r="B73">
        <v>1091458.0590273794</v>
      </c>
      <c r="C73">
        <v>104671.33678731804</v>
      </c>
      <c r="D73">
        <v>111894.43819789749</v>
      </c>
      <c r="E73">
        <v>54706.608320568273</v>
      </c>
      <c r="F73">
        <v>39787.380576039344</v>
      </c>
      <c r="G73">
        <v>10000</v>
      </c>
      <c r="H73">
        <v>-10000</v>
      </c>
      <c r="I73">
        <v>51.918817662799363</v>
      </c>
    </row>
    <row r="74" spans="1:9" x14ac:dyDescent="0.2">
      <c r="A74">
        <v>64</v>
      </c>
      <c r="B74">
        <v>1042315.1997815559</v>
      </c>
      <c r="C74">
        <v>123229.91085429322</v>
      </c>
      <c r="D74">
        <v>69799.553837153275</v>
      </c>
      <c r="E74">
        <v>64122.785136865576</v>
      </c>
      <c r="F74">
        <v>40439.269740244541</v>
      </c>
      <c r="G74">
        <v>10000</v>
      </c>
      <c r="H74">
        <v>-10000</v>
      </c>
      <c r="I74">
        <v>43.574605944328908</v>
      </c>
    </row>
    <row r="75" spans="1:9" x14ac:dyDescent="0.2">
      <c r="A75">
        <v>65</v>
      </c>
      <c r="B75">
        <v>1266941.2617809561</v>
      </c>
      <c r="C75">
        <v>109450.55478271632</v>
      </c>
      <c r="D75">
        <v>126089.05447318166</v>
      </c>
      <c r="E75">
        <v>81940.800403928108</v>
      </c>
      <c r="F75">
        <v>41672.824643348868</v>
      </c>
      <c r="G75">
        <v>10000</v>
      </c>
      <c r="H75">
        <v>-10000</v>
      </c>
      <c r="I75">
        <v>44.111409420026064</v>
      </c>
    </row>
    <row r="76" spans="1:9" x14ac:dyDescent="0.2">
      <c r="A76">
        <v>66</v>
      </c>
      <c r="B76">
        <v>1446792.7917159153</v>
      </c>
      <c r="C76">
        <v>86290.922552058793</v>
      </c>
      <c r="D76">
        <v>119051.66161113507</v>
      </c>
      <c r="E76">
        <v>156281.80805872829</v>
      </c>
      <c r="F76">
        <v>46819.509788681185</v>
      </c>
      <c r="G76">
        <v>10000</v>
      </c>
      <c r="H76">
        <v>-10000</v>
      </c>
      <c r="I76">
        <v>38.011306940756455</v>
      </c>
    </row>
    <row r="77" spans="1:9" x14ac:dyDescent="0.2">
      <c r="A77">
        <v>67</v>
      </c>
      <c r="B77">
        <v>1516533.9132537525</v>
      </c>
      <c r="C77">
        <v>136447.67800692486</v>
      </c>
      <c r="D77">
        <v>162630.57583525381</v>
      </c>
      <c r="E77">
        <v>86491.259648393359</v>
      </c>
      <c r="F77">
        <v>41987.85643719646</v>
      </c>
      <c r="G77">
        <v>10000</v>
      </c>
      <c r="H77">
        <v>-10000</v>
      </c>
      <c r="I77">
        <v>30.956264123134417</v>
      </c>
    </row>
    <row r="78" spans="1:9" x14ac:dyDescent="0.2">
      <c r="A78">
        <v>68</v>
      </c>
      <c r="B78">
        <v>1352200.6348248271</v>
      </c>
      <c r="C78">
        <v>105534.47919094434</v>
      </c>
      <c r="D78">
        <v>46561.487823432617</v>
      </c>
      <c r="E78">
        <v>181835.12942604793</v>
      </c>
      <c r="F78">
        <v>48588.585883341781</v>
      </c>
      <c r="G78">
        <v>10000</v>
      </c>
      <c r="H78">
        <v>-10000</v>
      </c>
      <c r="I78">
        <v>39.437873108542433</v>
      </c>
    </row>
    <row r="79" spans="1:9" x14ac:dyDescent="0.2">
      <c r="A79">
        <v>69</v>
      </c>
      <c r="B79">
        <v>1453310.1816862142</v>
      </c>
      <c r="C79">
        <v>104253.97834469416</v>
      </c>
      <c r="D79">
        <v>80456.929060070557</v>
      </c>
      <c r="E79">
        <v>177248.14525939611</v>
      </c>
      <c r="F79">
        <v>48271.025441035119</v>
      </c>
      <c r="G79">
        <v>10000</v>
      </c>
      <c r="H79">
        <v>-10000</v>
      </c>
      <c r="I79">
        <v>35.489905432830717</v>
      </c>
    </row>
    <row r="80" spans="1:9" x14ac:dyDescent="0.2">
      <c r="A80">
        <v>70</v>
      </c>
      <c r="B80">
        <v>1061384.590662322</v>
      </c>
      <c r="C80">
        <v>139888.89899925524</v>
      </c>
      <c r="D80">
        <v>89884.208352299785</v>
      </c>
      <c r="E80">
        <v>34646.055509753671</v>
      </c>
      <c r="F80">
        <v>38398.573073752174</v>
      </c>
      <c r="G80">
        <v>10000</v>
      </c>
      <c r="H80">
        <v>-10000</v>
      </c>
      <c r="I80">
        <v>46.380829103440064</v>
      </c>
    </row>
    <row r="81" spans="1:9" x14ac:dyDescent="0.2">
      <c r="A81">
        <v>71</v>
      </c>
      <c r="B81">
        <v>1217655.2316324245</v>
      </c>
      <c r="C81">
        <v>123035.07071417199</v>
      </c>
      <c r="D81">
        <v>81343.410276174414</v>
      </c>
      <c r="E81">
        <v>98451.404661660112</v>
      </c>
      <c r="F81">
        <v>42815.86647657647</v>
      </c>
      <c r="G81">
        <v>10000</v>
      </c>
      <c r="H81">
        <v>-10000</v>
      </c>
      <c r="I81">
        <v>31.000089761297012</v>
      </c>
    </row>
    <row r="82" spans="1:9" x14ac:dyDescent="0.2">
      <c r="A82">
        <v>72</v>
      </c>
      <c r="B82">
        <v>1016275.9208899868</v>
      </c>
      <c r="C82">
        <v>110164.74660265904</v>
      </c>
      <c r="D82">
        <v>75285.844711403552</v>
      </c>
      <c r="E82">
        <v>64536.604036969482</v>
      </c>
      <c r="F82">
        <v>40467.918741020963</v>
      </c>
      <c r="G82">
        <v>10000</v>
      </c>
      <c r="H82">
        <v>-10000</v>
      </c>
      <c r="I82">
        <v>34.871562694001533</v>
      </c>
    </row>
    <row r="83" spans="1:9" x14ac:dyDescent="0.2">
      <c r="A83">
        <v>73</v>
      </c>
      <c r="B83">
        <v>1055590.5422936049</v>
      </c>
      <c r="C83">
        <v>77924.565467518492</v>
      </c>
      <c r="D83">
        <v>55092.99236839926</v>
      </c>
      <c r="E83">
        <v>123651.73828737439</v>
      </c>
      <c r="F83">
        <v>44560.504958356694</v>
      </c>
      <c r="G83">
        <v>10000</v>
      </c>
      <c r="H83">
        <v>-10000</v>
      </c>
      <c r="I83">
        <v>32.386682764490907</v>
      </c>
    </row>
    <row r="84" spans="1:9" x14ac:dyDescent="0.2">
      <c r="A84">
        <v>74</v>
      </c>
      <c r="B84">
        <v>1495439.1229899446</v>
      </c>
      <c r="C84">
        <v>106651.52785690669</v>
      </c>
      <c r="D84">
        <v>89670.49274270382</v>
      </c>
      <c r="E84">
        <v>177187.237013128</v>
      </c>
      <c r="F84">
        <v>48266.808716293475</v>
      </c>
      <c r="G84">
        <v>10000</v>
      </c>
      <c r="H84">
        <v>-10000</v>
      </c>
      <c r="I84">
        <v>36.200987788412085</v>
      </c>
    </row>
    <row r="85" spans="1:9" x14ac:dyDescent="0.2">
      <c r="A85">
        <v>75</v>
      </c>
      <c r="B85">
        <v>1607844.9653397026</v>
      </c>
      <c r="C85">
        <v>129968.80877326506</v>
      </c>
      <c r="D85">
        <v>142535.85833076196</v>
      </c>
      <c r="E85">
        <v>134748.92128498515</v>
      </c>
      <c r="F85">
        <v>45328.771473575893</v>
      </c>
      <c r="G85">
        <v>10000</v>
      </c>
      <c r="H85">
        <v>-10000</v>
      </c>
      <c r="I85">
        <v>26.839692296334064</v>
      </c>
    </row>
    <row r="86" spans="1:9" x14ac:dyDescent="0.2">
      <c r="A86">
        <v>76</v>
      </c>
      <c r="B86">
        <v>880692.24735342304</v>
      </c>
      <c r="C86">
        <v>74407.126170622316</v>
      </c>
      <c r="D86">
        <v>87238.211039240734</v>
      </c>
      <c r="E86">
        <v>52047.973833200936</v>
      </c>
      <c r="F86">
        <v>39603.321265375445</v>
      </c>
      <c r="G86">
        <v>10000</v>
      </c>
      <c r="H86">
        <v>-10000</v>
      </c>
      <c r="I86">
        <v>31.929674990654455</v>
      </c>
    </row>
    <row r="87" spans="1:9" x14ac:dyDescent="0.2">
      <c r="A87">
        <v>77</v>
      </c>
      <c r="B87">
        <v>1185204.7020912212</v>
      </c>
      <c r="C87">
        <v>111207.82876630657</v>
      </c>
      <c r="D87">
        <v>52339.962266061855</v>
      </c>
      <c r="E87">
        <v>128320.72583826345</v>
      </c>
      <c r="F87">
        <v>44883.74255803362</v>
      </c>
      <c r="G87">
        <v>10000</v>
      </c>
      <c r="H87">
        <v>-10000</v>
      </c>
      <c r="I87">
        <v>31.37663078175478</v>
      </c>
    </row>
    <row r="88" spans="1:9" x14ac:dyDescent="0.2">
      <c r="A88">
        <v>78</v>
      </c>
      <c r="B88">
        <v>1099058.9486398841</v>
      </c>
      <c r="C88">
        <v>95602.821380325127</v>
      </c>
      <c r="D88">
        <v>128934.81247093496</v>
      </c>
      <c r="E88">
        <v>49199.157851613425</v>
      </c>
      <c r="F88">
        <v>39406.095543573239</v>
      </c>
      <c r="G88">
        <v>10000</v>
      </c>
      <c r="H88">
        <v>-10000</v>
      </c>
      <c r="I88">
        <v>44.955825554421239</v>
      </c>
    </row>
    <row r="89" spans="1:9" x14ac:dyDescent="0.2">
      <c r="A89">
        <v>79</v>
      </c>
      <c r="B89">
        <v>1248985.0610289914</v>
      </c>
      <c r="C89">
        <v>93960.521338265011</v>
      </c>
      <c r="D89">
        <v>124811.38423488609</v>
      </c>
      <c r="E89">
        <v>93020.327849226465</v>
      </c>
      <c r="F89">
        <v>42439.868851100291</v>
      </c>
      <c r="G89">
        <v>10000</v>
      </c>
      <c r="H89">
        <v>-10000</v>
      </c>
      <c r="I89">
        <v>24.74016756472551</v>
      </c>
    </row>
    <row r="90" spans="1:9" x14ac:dyDescent="0.2">
      <c r="A90">
        <v>80</v>
      </c>
      <c r="B90">
        <v>1440341.4340799195</v>
      </c>
      <c r="C90">
        <v>126707.09665224112</v>
      </c>
      <c r="D90">
        <v>130277.16152813226</v>
      </c>
      <c r="E90">
        <v>106330.24042473341</v>
      </c>
      <c r="F90">
        <v>43361.324337096929</v>
      </c>
      <c r="G90">
        <v>10000</v>
      </c>
      <c r="H90">
        <v>-10000</v>
      </c>
      <c r="I90">
        <v>37.453818244897207</v>
      </c>
    </row>
    <row r="91" spans="1:9" x14ac:dyDescent="0.2">
      <c r="A91">
        <v>81</v>
      </c>
      <c r="B91">
        <v>1073230.3092433484</v>
      </c>
      <c r="C91">
        <v>105566.49609696172</v>
      </c>
      <c r="D91">
        <v>52118.974514656038</v>
      </c>
      <c r="E91">
        <v>105102.41839749609</v>
      </c>
      <c r="F91">
        <v>43276.321273672809</v>
      </c>
      <c r="G91">
        <v>10000</v>
      </c>
      <c r="H91">
        <v>-10000</v>
      </c>
      <c r="I91">
        <v>31.707419945964773</v>
      </c>
    </row>
    <row r="92" spans="1:9" x14ac:dyDescent="0.2">
      <c r="A92">
        <v>82</v>
      </c>
      <c r="B92">
        <v>1880252.8733839951</v>
      </c>
      <c r="C92">
        <v>154016.86641912264</v>
      </c>
      <c r="D92">
        <v>116609.51362073832</v>
      </c>
      <c r="E92">
        <v>206328.64459493055</v>
      </c>
      <c r="F92">
        <v>50284.290779649033</v>
      </c>
      <c r="G92">
        <v>10000</v>
      </c>
      <c r="H92">
        <v>-10000</v>
      </c>
      <c r="I92">
        <v>31.501926083878104</v>
      </c>
    </row>
    <row r="93" spans="1:9" x14ac:dyDescent="0.2">
      <c r="A93">
        <v>83</v>
      </c>
      <c r="B93">
        <v>1086538.4274333713</v>
      </c>
      <c r="C93">
        <v>90471.493384362358</v>
      </c>
      <c r="D93">
        <v>76179.837548009091</v>
      </c>
      <c r="E93">
        <v>100128.19173209558</v>
      </c>
      <c r="F93">
        <v>42931.951735298928</v>
      </c>
      <c r="G93">
        <v>10000</v>
      </c>
      <c r="H93">
        <v>-10000</v>
      </c>
      <c r="I93">
        <v>27.974566988552137</v>
      </c>
    </row>
    <row r="94" spans="1:9" x14ac:dyDescent="0.2">
      <c r="A94">
        <v>84</v>
      </c>
      <c r="B94">
        <v>1222059.7704307581</v>
      </c>
      <c r="C94">
        <v>87372.888883016945</v>
      </c>
      <c r="D94">
        <v>113418.47087899751</v>
      </c>
      <c r="E94">
        <v>102935.22884662042</v>
      </c>
      <c r="F94">
        <v>43126.285073996791</v>
      </c>
      <c r="G94">
        <v>10000</v>
      </c>
      <c r="H94">
        <v>-10000</v>
      </c>
      <c r="I94">
        <v>27.880766347912513</v>
      </c>
    </row>
    <row r="95" spans="1:9" x14ac:dyDescent="0.2">
      <c r="A95">
        <v>85</v>
      </c>
      <c r="B95">
        <v>1345393.7273171018</v>
      </c>
      <c r="C95">
        <v>113751.36093446778</v>
      </c>
      <c r="D95">
        <v>39393.961565347236</v>
      </c>
      <c r="E95">
        <v>179108.98485789655</v>
      </c>
      <c r="F95">
        <v>48399.852797854379</v>
      </c>
      <c r="G95">
        <v>10000</v>
      </c>
      <c r="H95">
        <v>-10000</v>
      </c>
      <c r="I95">
        <v>36.217110102052189</v>
      </c>
    </row>
    <row r="96" spans="1:9" x14ac:dyDescent="0.2">
      <c r="A96">
        <v>86</v>
      </c>
      <c r="B96">
        <v>1096388.539234729</v>
      </c>
      <c r="C96">
        <v>108670.95351757796</v>
      </c>
      <c r="D96">
        <v>65894.508539669958</v>
      </c>
      <c r="E96">
        <v>95251.247384601753</v>
      </c>
      <c r="F96">
        <v>42594.317126626273</v>
      </c>
      <c r="G96">
        <v>10000</v>
      </c>
      <c r="H96">
        <v>-10000</v>
      </c>
      <c r="I96">
        <v>46.267081571027347</v>
      </c>
    </row>
    <row r="97" spans="1:9" x14ac:dyDescent="0.2">
      <c r="A97">
        <v>87</v>
      </c>
      <c r="B97">
        <v>872568.94836769509</v>
      </c>
      <c r="C97">
        <v>90402.182635687437</v>
      </c>
      <c r="D97">
        <v>60571.758841209681</v>
      </c>
      <c r="E97">
        <v>59946.26808308508</v>
      </c>
      <c r="F97">
        <v>40150.126251905895</v>
      </c>
      <c r="G97">
        <v>10000</v>
      </c>
      <c r="H97">
        <v>-10000</v>
      </c>
      <c r="I97">
        <v>49.456391865746617</v>
      </c>
    </row>
    <row r="98" spans="1:9" x14ac:dyDescent="0.2">
      <c r="A98">
        <v>88</v>
      </c>
      <c r="B98">
        <v>1445796.9510361839</v>
      </c>
      <c r="C98">
        <v>82266.786508963953</v>
      </c>
      <c r="D98">
        <v>130041.76698406984</v>
      </c>
      <c r="E98">
        <v>149511.6208164159</v>
      </c>
      <c r="F98">
        <v>46350.804518059565</v>
      </c>
      <c r="G98">
        <v>10000</v>
      </c>
      <c r="H98">
        <v>-10000</v>
      </c>
      <c r="I98">
        <v>51.063131426920755</v>
      </c>
    </row>
    <row r="99" spans="1:9" x14ac:dyDescent="0.2">
      <c r="A99">
        <v>89</v>
      </c>
      <c r="B99">
        <v>1477168.5487286428</v>
      </c>
      <c r="C99">
        <v>95002.645138972541</v>
      </c>
      <c r="D99">
        <v>79605.078700742873</v>
      </c>
      <c r="E99">
        <v>192812.49493935783</v>
      </c>
      <c r="F99">
        <v>49348.557341955544</v>
      </c>
      <c r="G99">
        <v>10000</v>
      </c>
      <c r="H99">
        <v>-10000</v>
      </c>
      <c r="I99">
        <v>37.416490295157985</v>
      </c>
    </row>
    <row r="100" spans="1:9" x14ac:dyDescent="0.2">
      <c r="A100">
        <v>90</v>
      </c>
      <c r="B100">
        <v>1132286.1071713893</v>
      </c>
      <c r="C100">
        <v>103920.82898277169</v>
      </c>
      <c r="D100">
        <v>90893.106554514176</v>
      </c>
      <c r="E100">
        <v>85515.019197348549</v>
      </c>
      <c r="F100">
        <v>41920.270559816439</v>
      </c>
      <c r="G100">
        <v>10000</v>
      </c>
      <c r="H100">
        <v>-10000</v>
      </c>
      <c r="I100">
        <v>35.154827371839261</v>
      </c>
    </row>
    <row r="101" spans="1:9" x14ac:dyDescent="0.2">
      <c r="A101">
        <v>91</v>
      </c>
      <c r="B101">
        <v>924876.25996476458</v>
      </c>
      <c r="C101">
        <v>119459.3986852321</v>
      </c>
      <c r="D101">
        <v>63980.270064672484</v>
      </c>
      <c r="E101">
        <v>42989.944095306942</v>
      </c>
      <c r="F101">
        <v>38976.226898905865</v>
      </c>
      <c r="G101">
        <v>10000</v>
      </c>
      <c r="H101">
        <v>-10000</v>
      </c>
      <c r="I101">
        <v>25.789820804254596</v>
      </c>
    </row>
    <row r="102" spans="1:9" x14ac:dyDescent="0.2">
      <c r="A102">
        <v>92</v>
      </c>
      <c r="B102">
        <v>1480060.6895881519</v>
      </c>
      <c r="C102">
        <v>100215.8656785708</v>
      </c>
      <c r="D102">
        <v>87947.229972855988</v>
      </c>
      <c r="E102">
        <v>180876.11685202469</v>
      </c>
      <c r="F102">
        <v>48522.192705140165</v>
      </c>
      <c r="G102">
        <v>10000</v>
      </c>
      <c r="H102">
        <v>-10000</v>
      </c>
      <c r="I102">
        <v>39.040721965346009</v>
      </c>
    </row>
    <row r="103" spans="1:9" x14ac:dyDescent="0.2">
      <c r="A103">
        <v>93</v>
      </c>
      <c r="B103">
        <v>1525997.5980113945</v>
      </c>
      <c r="C103">
        <v>105189.06280982262</v>
      </c>
      <c r="D103">
        <v>111934.58050963793</v>
      </c>
      <c r="E103">
        <v>165565.16935172252</v>
      </c>
      <c r="F103">
        <v>47462.204032042333</v>
      </c>
      <c r="G103">
        <v>10000</v>
      </c>
      <c r="H103">
        <v>-10000</v>
      </c>
      <c r="I103">
        <v>40.880336709858142</v>
      </c>
    </row>
    <row r="104" spans="1:9" x14ac:dyDescent="0.2">
      <c r="A104">
        <v>94</v>
      </c>
      <c r="B104">
        <v>1094059.4651446471</v>
      </c>
      <c r="C104">
        <v>109337.61591015459</v>
      </c>
      <c r="D104">
        <v>85741.123734251611</v>
      </c>
      <c r="E104">
        <v>75469.183998979788</v>
      </c>
      <c r="F104">
        <v>41224.789661467832</v>
      </c>
      <c r="G104">
        <v>10000</v>
      </c>
      <c r="H104">
        <v>-10000</v>
      </c>
      <c r="I104">
        <v>36.074564653734377</v>
      </c>
    </row>
    <row r="105" spans="1:9" x14ac:dyDescent="0.2">
      <c r="A105">
        <v>95</v>
      </c>
      <c r="B105">
        <v>1097625.4278167367</v>
      </c>
      <c r="C105">
        <v>146912.8916371348</v>
      </c>
      <c r="D105">
        <v>45534.152748540218</v>
      </c>
      <c r="E105">
        <v>78844.502166470236</v>
      </c>
      <c r="F105">
        <v>41458.46553460179</v>
      </c>
      <c r="G105">
        <v>10000</v>
      </c>
      <c r="H105">
        <v>-10000</v>
      </c>
      <c r="I105">
        <v>45.38450045987711</v>
      </c>
    </row>
    <row r="106" spans="1:9" x14ac:dyDescent="0.2">
      <c r="A106">
        <v>96</v>
      </c>
      <c r="B106">
        <v>1442185.6643325444</v>
      </c>
      <c r="C106">
        <v>102517.52278321408</v>
      </c>
      <c r="D106">
        <v>100753.82634752143</v>
      </c>
      <c r="E106">
        <v>157038.04464130776</v>
      </c>
      <c r="F106">
        <v>46871.864629013617</v>
      </c>
      <c r="G106">
        <v>10000</v>
      </c>
      <c r="H106">
        <v>-10000</v>
      </c>
      <c r="I106">
        <v>29.137104094789237</v>
      </c>
    </row>
    <row r="107" spans="1:9" x14ac:dyDescent="0.2">
      <c r="A107">
        <v>97</v>
      </c>
      <c r="B107">
        <v>1714940.9754288769</v>
      </c>
      <c r="C107">
        <v>89311.148909731099</v>
      </c>
      <c r="D107">
        <v>152392.11221928516</v>
      </c>
      <c r="E107">
        <v>191006.62743550583</v>
      </c>
      <c r="F107">
        <v>49223.535745535017</v>
      </c>
      <c r="G107">
        <v>10000</v>
      </c>
      <c r="H107">
        <v>-10000</v>
      </c>
      <c r="I107">
        <v>43.668661105605636</v>
      </c>
    </row>
    <row r="108" spans="1:9" x14ac:dyDescent="0.2">
      <c r="A108">
        <v>98</v>
      </c>
      <c r="B108">
        <v>1021622.0128834576</v>
      </c>
      <c r="C108">
        <v>103836.94506983316</v>
      </c>
      <c r="D108">
        <v>88007.072508386686</v>
      </c>
      <c r="E108">
        <v>59927.440266980935</v>
      </c>
      <c r="F108">
        <v>40148.82278771406</v>
      </c>
      <c r="G108">
        <v>10000</v>
      </c>
      <c r="H108">
        <v>-10000</v>
      </c>
      <c r="I108">
        <v>30.082969876859806</v>
      </c>
    </row>
    <row r="109" spans="1:9" x14ac:dyDescent="0.2">
      <c r="A109">
        <v>99</v>
      </c>
      <c r="B109">
        <v>1452813.6509245343</v>
      </c>
      <c r="C109">
        <v>105822.45653995784</v>
      </c>
      <c r="D109">
        <v>88939.79513663039</v>
      </c>
      <c r="E109">
        <v>167720.33767619749</v>
      </c>
      <c r="F109">
        <v>47611.407992967521</v>
      </c>
      <c r="G109">
        <v>10000</v>
      </c>
      <c r="H109">
        <v>-10000</v>
      </c>
      <c r="I109">
        <v>28.404167746289087</v>
      </c>
    </row>
    <row r="110" spans="1:9" x14ac:dyDescent="0.2">
      <c r="A110">
        <v>100</v>
      </c>
      <c r="B110">
        <v>1346528.2296401439</v>
      </c>
      <c r="C110">
        <v>112008.48606258671</v>
      </c>
      <c r="D110">
        <v>143012.51545529743</v>
      </c>
      <c r="E110">
        <v>84120.366200463206</v>
      </c>
      <c r="F110">
        <v>41823.717660032067</v>
      </c>
      <c r="G110">
        <v>10000</v>
      </c>
      <c r="H110">
        <v>-10000</v>
      </c>
      <c r="I110">
        <v>40.251218067878952</v>
      </c>
    </row>
    <row r="111" spans="1:9" x14ac:dyDescent="0.2">
      <c r="A111">
        <v>101</v>
      </c>
      <c r="B111">
        <v>992707.70392048825</v>
      </c>
      <c r="C111">
        <v>76268.802447344424</v>
      </c>
      <c r="D111">
        <v>45327.326568472476</v>
      </c>
      <c r="E111">
        <v>118215.64635629328</v>
      </c>
      <c r="F111">
        <v>44184.160132358767</v>
      </c>
      <c r="G111">
        <v>10000</v>
      </c>
      <c r="H111">
        <v>-10000</v>
      </c>
      <c r="I111">
        <v>40.01287286536661</v>
      </c>
    </row>
    <row r="112" spans="1:9" x14ac:dyDescent="0.2">
      <c r="A112">
        <v>102</v>
      </c>
      <c r="B112">
        <v>1118791.212693519</v>
      </c>
      <c r="C112">
        <v>73373.159386353407</v>
      </c>
      <c r="D112">
        <v>132641.1707169872</v>
      </c>
      <c r="E112">
        <v>71580.845583849368</v>
      </c>
      <c r="F112">
        <v>40955.597001958806</v>
      </c>
      <c r="G112">
        <v>10000</v>
      </c>
      <c r="H112">
        <v>-10000</v>
      </c>
      <c r="I112">
        <v>32.200939504054176</v>
      </c>
    </row>
    <row r="113" spans="1:9" x14ac:dyDescent="0.2">
      <c r="A113">
        <v>103</v>
      </c>
      <c r="B113">
        <v>1546759.846218775</v>
      </c>
      <c r="C113">
        <v>101939.08972362525</v>
      </c>
      <c r="D113">
        <v>120807.34998216959</v>
      </c>
      <c r="E113">
        <v>165628.17699021322</v>
      </c>
      <c r="F113">
        <v>47466.566099322452</v>
      </c>
      <c r="G113">
        <v>10000</v>
      </c>
      <c r="H113">
        <v>-10000</v>
      </c>
      <c r="I113">
        <v>37.671193787110781</v>
      </c>
    </row>
    <row r="114" spans="1:9" x14ac:dyDescent="0.2">
      <c r="A114">
        <v>104</v>
      </c>
      <c r="B114">
        <v>875073.89770497847</v>
      </c>
      <c r="C114">
        <v>102196.02034297484</v>
      </c>
      <c r="D114">
        <v>67738.410791217975</v>
      </c>
      <c r="E114">
        <v>42855.499650109159</v>
      </c>
      <c r="F114">
        <v>38966.919206546023</v>
      </c>
      <c r="G114">
        <v>10000</v>
      </c>
      <c r="H114">
        <v>-10000</v>
      </c>
      <c r="I114">
        <v>28.424245080803139</v>
      </c>
    </row>
    <row r="115" spans="1:9" x14ac:dyDescent="0.2">
      <c r="A115">
        <v>105</v>
      </c>
      <c r="B115">
        <v>1292080.0577959088</v>
      </c>
      <c r="C115">
        <v>97425.575468558251</v>
      </c>
      <c r="D115">
        <v>72645.3890764096</v>
      </c>
      <c r="E115">
        <v>149613.99420049263</v>
      </c>
      <c r="F115">
        <v>46357.89190618795</v>
      </c>
      <c r="G115">
        <v>10000</v>
      </c>
      <c r="H115">
        <v>-10000</v>
      </c>
      <c r="I115">
        <v>45.660492122561735</v>
      </c>
    </row>
    <row r="116" spans="1:9" x14ac:dyDescent="0.2">
      <c r="A116">
        <v>106</v>
      </c>
      <c r="B116">
        <v>1106993.8975669311</v>
      </c>
      <c r="C116">
        <v>73937.048696866827</v>
      </c>
      <c r="D116">
        <v>45210.884922402322</v>
      </c>
      <c r="E116">
        <v>149798.93483436128</v>
      </c>
      <c r="F116">
        <v>46370.695488532707</v>
      </c>
      <c r="G116">
        <v>10000</v>
      </c>
      <c r="H116">
        <v>-10000</v>
      </c>
      <c r="I116">
        <v>41.847698391899897</v>
      </c>
    </row>
    <row r="117" spans="1:9" x14ac:dyDescent="0.2">
      <c r="A117">
        <v>107</v>
      </c>
      <c r="B117">
        <v>847945.091832245</v>
      </c>
      <c r="C117">
        <v>120695.624548173</v>
      </c>
      <c r="D117">
        <v>52923.853684983173</v>
      </c>
      <c r="E117">
        <v>32455.451281978585</v>
      </c>
      <c r="F117">
        <v>38246.915857983127</v>
      </c>
      <c r="G117">
        <v>10000</v>
      </c>
      <c r="H117">
        <v>-10000</v>
      </c>
      <c r="I117">
        <v>28.387160353981699</v>
      </c>
    </row>
    <row r="118" spans="1:9" x14ac:dyDescent="0.2">
      <c r="A118">
        <v>108</v>
      </c>
      <c r="B118">
        <v>1127925.1418434514</v>
      </c>
      <c r="C118">
        <v>117277.55728783444</v>
      </c>
      <c r="D118">
        <v>116374.23077522889</v>
      </c>
      <c r="E118">
        <v>48074.053830926139</v>
      </c>
      <c r="F118">
        <v>39328.203726756423</v>
      </c>
      <c r="G118">
        <v>10000</v>
      </c>
      <c r="H118">
        <v>-10000</v>
      </c>
      <c r="I118">
        <v>55.655759015885927</v>
      </c>
    </row>
    <row r="119" spans="1:9" x14ac:dyDescent="0.2">
      <c r="A119">
        <v>109</v>
      </c>
      <c r="B119">
        <v>1452187.8746903772</v>
      </c>
      <c r="C119">
        <v>116751.77411373741</v>
      </c>
      <c r="D119">
        <v>120507.573782769</v>
      </c>
      <c r="E119">
        <v>127814.45428601504</v>
      </c>
      <c r="F119">
        <v>44848.692989031813</v>
      </c>
      <c r="G119">
        <v>10000</v>
      </c>
      <c r="H119">
        <v>-10000</v>
      </c>
      <c r="I119">
        <v>38.954207742014482</v>
      </c>
    </row>
    <row r="120" spans="1:9" x14ac:dyDescent="0.2">
      <c r="A120">
        <v>110</v>
      </c>
      <c r="B120">
        <v>1472507.1906965275</v>
      </c>
      <c r="C120">
        <v>131688.456878428</v>
      </c>
      <c r="D120">
        <v>103054.99880671914</v>
      </c>
      <c r="E120">
        <v>135375.65357457721</v>
      </c>
      <c r="F120">
        <v>45372.160632086117</v>
      </c>
      <c r="G120">
        <v>10000</v>
      </c>
      <c r="H120">
        <v>-10000</v>
      </c>
      <c r="I120">
        <v>31.907417876979885</v>
      </c>
    </row>
    <row r="121" spans="1:9" x14ac:dyDescent="0.2">
      <c r="A121">
        <v>111</v>
      </c>
      <c r="B121">
        <v>1073544.1498893786</v>
      </c>
      <c r="C121">
        <v>80066.317140846615</v>
      </c>
      <c r="D121">
        <v>102008.51718937169</v>
      </c>
      <c r="E121">
        <v>82372.665122673701</v>
      </c>
      <c r="F121">
        <v>41702.72297003126</v>
      </c>
      <c r="G121">
        <v>10000</v>
      </c>
      <c r="H121">
        <v>-10000</v>
      </c>
      <c r="I121">
        <v>33.386723487241468</v>
      </c>
    </row>
    <row r="122" spans="1:9" x14ac:dyDescent="0.2">
      <c r="A122">
        <v>112</v>
      </c>
      <c r="B122">
        <v>1330535.2427191101</v>
      </c>
      <c r="C122">
        <v>148911.37747730291</v>
      </c>
      <c r="D122">
        <v>159812.493822355</v>
      </c>
      <c r="E122">
        <v>29795.370122983968</v>
      </c>
      <c r="F122">
        <v>38062.756393129661</v>
      </c>
      <c r="G122">
        <v>10000</v>
      </c>
      <c r="H122">
        <v>-10000</v>
      </c>
      <c r="I122">
        <v>42.182116036471555</v>
      </c>
    </row>
    <row r="123" spans="1:9" x14ac:dyDescent="0.2">
      <c r="A123">
        <v>113</v>
      </c>
      <c r="B123">
        <v>932679.34567610291</v>
      </c>
      <c r="C123">
        <v>81049.234271774141</v>
      </c>
      <c r="D123">
        <v>102912.11035855651</v>
      </c>
      <c r="E123">
        <v>44502.11716424417</v>
      </c>
      <c r="F123">
        <v>39080.915803678443</v>
      </c>
      <c r="G123">
        <v>10000</v>
      </c>
      <c r="H123">
        <v>-10000</v>
      </c>
      <c r="I123">
        <v>41.809796921732449</v>
      </c>
    </row>
    <row r="124" spans="1:9" x14ac:dyDescent="0.2">
      <c r="A124">
        <v>114</v>
      </c>
      <c r="B124">
        <v>1126622.410408095</v>
      </c>
      <c r="C124">
        <v>105376.44688729612</v>
      </c>
      <c r="D124">
        <v>69039.178360191305</v>
      </c>
      <c r="E124">
        <v>103140.86811949038</v>
      </c>
      <c r="F124">
        <v>43140.521639041639</v>
      </c>
      <c r="G124">
        <v>10000</v>
      </c>
      <c r="H124">
        <v>-10000</v>
      </c>
      <c r="I124">
        <v>43.659171580638471</v>
      </c>
    </row>
    <row r="125" spans="1:9" x14ac:dyDescent="0.2">
      <c r="A125">
        <v>115</v>
      </c>
      <c r="B125">
        <v>787797.18828717934</v>
      </c>
      <c r="C125">
        <v>77389.262573369182</v>
      </c>
      <c r="D125">
        <v>60273.389652149548</v>
      </c>
      <c r="E125">
        <v>50667.146742089426</v>
      </c>
      <c r="F125">
        <v>39507.725543683111</v>
      </c>
      <c r="G125">
        <v>10000</v>
      </c>
      <c r="H125">
        <v>-10000</v>
      </c>
      <c r="I125">
        <v>32.658078964682929</v>
      </c>
    </row>
    <row r="126" spans="1:9" x14ac:dyDescent="0.2">
      <c r="A126">
        <v>116</v>
      </c>
      <c r="B126">
        <v>1403175.9446833748</v>
      </c>
      <c r="C126">
        <v>157510.44390006113</v>
      </c>
      <c r="D126">
        <v>50463.448750526957</v>
      </c>
      <c r="E126">
        <v>142641.08878049077</v>
      </c>
      <c r="F126">
        <v>45875.152300187823</v>
      </c>
      <c r="G126">
        <v>10000</v>
      </c>
      <c r="H126">
        <v>-10000</v>
      </c>
      <c r="I126">
        <v>44.394051202481741</v>
      </c>
    </row>
    <row r="127" spans="1:9" x14ac:dyDescent="0.2">
      <c r="A127">
        <v>117</v>
      </c>
      <c r="B127">
        <v>1676054.5475700956</v>
      </c>
      <c r="C127">
        <v>103130.64747051029</v>
      </c>
      <c r="D127">
        <v>139597.88897472402</v>
      </c>
      <c r="E127">
        <v>180080.44518186443</v>
      </c>
      <c r="F127">
        <v>48467.107743359848</v>
      </c>
      <c r="G127">
        <v>10000</v>
      </c>
      <c r="H127">
        <v>-10000</v>
      </c>
      <c r="I127">
        <v>29.004353252031187</v>
      </c>
    </row>
    <row r="128" spans="1:9" x14ac:dyDescent="0.2">
      <c r="A128">
        <v>118</v>
      </c>
      <c r="B128">
        <v>1144486.0700381412</v>
      </c>
      <c r="C128">
        <v>165714.01659510305</v>
      </c>
      <c r="D128">
        <v>60027.098012705494</v>
      </c>
      <c r="E128">
        <v>59717.389509057153</v>
      </c>
      <c r="F128">
        <v>40134.280812165496</v>
      </c>
      <c r="G128">
        <v>10000</v>
      </c>
      <c r="H128">
        <v>-10000</v>
      </c>
      <c r="I128">
        <v>39.313023370659266</v>
      </c>
    </row>
    <row r="129" spans="1:9" x14ac:dyDescent="0.2">
      <c r="A129">
        <v>119</v>
      </c>
      <c r="B129">
        <v>781244.69308287418</v>
      </c>
      <c r="C129">
        <v>116666.42927387828</v>
      </c>
      <c r="D129">
        <v>33114.662948533813</v>
      </c>
      <c r="E129">
        <v>37653.831430625316</v>
      </c>
      <c r="F129">
        <v>38606.803714427908</v>
      </c>
      <c r="G129">
        <v>10000</v>
      </c>
      <c r="H129">
        <v>-10000</v>
      </c>
      <c r="I129">
        <v>30.932783481250841</v>
      </c>
    </row>
    <row r="130" spans="1:9" x14ac:dyDescent="0.2">
      <c r="A130">
        <v>120</v>
      </c>
      <c r="B130">
        <v>1455551.6648952106</v>
      </c>
      <c r="C130">
        <v>123548.72406079569</v>
      </c>
      <c r="D130">
        <v>78637.428216269604</v>
      </c>
      <c r="E130">
        <v>161478.9235700978</v>
      </c>
      <c r="F130">
        <v>47179.310093314467</v>
      </c>
      <c r="G130">
        <v>10000</v>
      </c>
      <c r="H130">
        <v>-10000</v>
      </c>
      <c r="I130">
        <v>32.00207003407008</v>
      </c>
    </row>
    <row r="131" spans="1:9" x14ac:dyDescent="0.2">
      <c r="A131">
        <v>121</v>
      </c>
      <c r="B131">
        <v>1252408.2776701972</v>
      </c>
      <c r="C131">
        <v>134753.88813362821</v>
      </c>
      <c r="D131">
        <v>118482.81062056537</v>
      </c>
      <c r="E131">
        <v>61664.500105038278</v>
      </c>
      <c r="F131">
        <v>40269.080776502655</v>
      </c>
      <c r="G131">
        <v>10000</v>
      </c>
      <c r="H131">
        <v>-10000</v>
      </c>
      <c r="I131">
        <v>50.572027189776009</v>
      </c>
    </row>
    <row r="132" spans="1:9" x14ac:dyDescent="0.2">
      <c r="A132">
        <v>122</v>
      </c>
      <c r="B132">
        <v>1104275.7488999791</v>
      </c>
      <c r="C132">
        <v>88390.104285353984</v>
      </c>
      <c r="D132">
        <v>84556.884331707886</v>
      </c>
      <c r="E132">
        <v>98786.561438999604</v>
      </c>
      <c r="F132">
        <v>42839.069638084584</v>
      </c>
      <c r="G132">
        <v>10000</v>
      </c>
      <c r="H132">
        <v>-10000</v>
      </c>
      <c r="I132">
        <v>29.395711752118864</v>
      </c>
    </row>
    <row r="133" spans="1:9" x14ac:dyDescent="0.2">
      <c r="A133">
        <v>123</v>
      </c>
      <c r="B133">
        <v>1238380.4714204473</v>
      </c>
      <c r="C133">
        <v>130236.64597391337</v>
      </c>
      <c r="D133">
        <v>83701.868478097051</v>
      </c>
      <c r="E133">
        <v>94822.618319812129</v>
      </c>
      <c r="F133">
        <v>42564.642806756223</v>
      </c>
      <c r="G133">
        <v>10000</v>
      </c>
      <c r="H133">
        <v>-10000</v>
      </c>
      <c r="I133">
        <v>34.740083501750036</v>
      </c>
    </row>
    <row r="134" spans="1:9" x14ac:dyDescent="0.2">
      <c r="A134">
        <v>124</v>
      </c>
      <c r="B134">
        <v>1313657.2561529158</v>
      </c>
      <c r="C134">
        <v>114158.96451976581</v>
      </c>
      <c r="D134">
        <v>99795.991648372496</v>
      </c>
      <c r="E134">
        <v>114102.03657641278</v>
      </c>
      <c r="F134">
        <v>43899.371762982417</v>
      </c>
      <c r="G134">
        <v>10000</v>
      </c>
      <c r="H134">
        <v>-10000</v>
      </c>
      <c r="I134">
        <v>51.56933479647823</v>
      </c>
    </row>
    <row r="135" spans="1:9" x14ac:dyDescent="0.2">
      <c r="A135">
        <v>125</v>
      </c>
      <c r="B135">
        <v>760848.79219587659</v>
      </c>
      <c r="C135">
        <v>97091.585200955393</v>
      </c>
      <c r="D135">
        <v>40267.817183882769</v>
      </c>
      <c r="E135">
        <v>44043.40253549302</v>
      </c>
      <c r="F135">
        <v>39049.1586370726</v>
      </c>
      <c r="G135">
        <v>10000</v>
      </c>
      <c r="H135">
        <v>-10000</v>
      </c>
      <c r="I135">
        <v>35.043166148015956</v>
      </c>
    </row>
    <row r="136" spans="1:9" x14ac:dyDescent="0.2">
      <c r="A136">
        <v>126</v>
      </c>
      <c r="B136">
        <v>1370505.5644988553</v>
      </c>
      <c r="C136">
        <v>89854.603206127053</v>
      </c>
      <c r="D136">
        <v>96633.464058354977</v>
      </c>
      <c r="E136">
        <v>154361.7388946983</v>
      </c>
      <c r="F136">
        <v>46686.581923479112</v>
      </c>
      <c r="G136">
        <v>10000</v>
      </c>
      <c r="H136">
        <v>-10000</v>
      </c>
      <c r="I136">
        <v>40.563219811869658</v>
      </c>
    </row>
    <row r="137" spans="1:9" x14ac:dyDescent="0.2">
      <c r="A137">
        <v>127</v>
      </c>
      <c r="B137">
        <v>977747.41540609114</v>
      </c>
      <c r="C137">
        <v>121342.04305884938</v>
      </c>
      <c r="D137">
        <v>77497.995477752731</v>
      </c>
      <c r="E137">
        <v>42138.54971984763</v>
      </c>
      <c r="F137">
        <v>38917.284211374063</v>
      </c>
      <c r="G137">
        <v>10000</v>
      </c>
      <c r="H137">
        <v>-10000</v>
      </c>
      <c r="I137">
        <v>44.542032904844497</v>
      </c>
    </row>
    <row r="138" spans="1:9" x14ac:dyDescent="0.2">
      <c r="A138">
        <v>128</v>
      </c>
      <c r="B138">
        <v>1318724.0847041942</v>
      </c>
      <c r="C138">
        <v>110103.18610017814</v>
      </c>
      <c r="D138">
        <v>98368.914910958862</v>
      </c>
      <c r="E138">
        <v>120528.60611697959</v>
      </c>
      <c r="F138">
        <v>44344.288115790892</v>
      </c>
      <c r="G138">
        <v>10000</v>
      </c>
      <c r="H138">
        <v>-10000</v>
      </c>
      <c r="I138">
        <v>37.350686515541128</v>
      </c>
    </row>
    <row r="139" spans="1:9" x14ac:dyDescent="0.2">
      <c r="A139">
        <v>129</v>
      </c>
      <c r="B139">
        <v>1798279.6977978707</v>
      </c>
      <c r="C139">
        <v>124489.07170052409</v>
      </c>
      <c r="D139">
        <v>152695.45541635127</v>
      </c>
      <c r="E139">
        <v>179183.92479013861</v>
      </c>
      <c r="F139">
        <v>48405.040947009598</v>
      </c>
      <c r="G139">
        <v>10000</v>
      </c>
      <c r="H139">
        <v>-10000</v>
      </c>
      <c r="I139">
        <v>39.338851781022782</v>
      </c>
    </row>
    <row r="140" spans="1:9" x14ac:dyDescent="0.2">
      <c r="A140">
        <v>130</v>
      </c>
      <c r="B140">
        <v>1342312.4067173067</v>
      </c>
      <c r="C140">
        <v>109788.43104748323</v>
      </c>
      <c r="D140">
        <v>85978.001280852084</v>
      </c>
      <c r="E140">
        <v>138457.71728045814</v>
      </c>
      <c r="F140">
        <v>45585.534273262492</v>
      </c>
      <c r="G140">
        <v>10000</v>
      </c>
      <c r="H140">
        <v>-10000</v>
      </c>
      <c r="I140">
        <v>35.748379850380999</v>
      </c>
    </row>
    <row r="141" spans="1:9" x14ac:dyDescent="0.2">
      <c r="A141">
        <v>131</v>
      </c>
      <c r="B141">
        <v>1859993.1758928034</v>
      </c>
      <c r="C141">
        <v>107053.80285114115</v>
      </c>
      <c r="D141">
        <v>163402.75565397754</v>
      </c>
      <c r="E141">
        <v>201294.5452167372</v>
      </c>
      <c r="F141">
        <v>49935.77620731257</v>
      </c>
      <c r="G141">
        <v>10000</v>
      </c>
      <c r="H141">
        <v>-10000</v>
      </c>
      <c r="I141">
        <v>36.368815550743825</v>
      </c>
    </row>
    <row r="142" spans="1:9" x14ac:dyDescent="0.2">
      <c r="A142">
        <v>132</v>
      </c>
      <c r="B142">
        <v>1155771.0800583779</v>
      </c>
      <c r="C142">
        <v>79075.012184795181</v>
      </c>
      <c r="D142">
        <v>92826.058517415484</v>
      </c>
      <c r="E142">
        <v>112963.93867852191</v>
      </c>
      <c r="F142">
        <v>43820.58037005151</v>
      </c>
      <c r="G142">
        <v>10000</v>
      </c>
      <c r="H142">
        <v>-10000</v>
      </c>
      <c r="I142">
        <v>35.215996873938032</v>
      </c>
    </row>
    <row r="143" spans="1:9" x14ac:dyDescent="0.2">
      <c r="A143">
        <v>133</v>
      </c>
      <c r="B143">
        <v>1585615.1901526952</v>
      </c>
      <c r="C143">
        <v>103344.22597691508</v>
      </c>
      <c r="D143">
        <v>98797.485645005814</v>
      </c>
      <c r="E143">
        <v>194858.11028999204</v>
      </c>
      <c r="F143">
        <v>49490.17686623022</v>
      </c>
      <c r="G143">
        <v>10000</v>
      </c>
      <c r="H143">
        <v>-10000</v>
      </c>
      <c r="I143">
        <v>31.738246777143743</v>
      </c>
    </row>
    <row r="144" spans="1:9" x14ac:dyDescent="0.2">
      <c r="A144">
        <v>134</v>
      </c>
      <c r="B144">
        <v>1453224.5246992412</v>
      </c>
      <c r="C144">
        <v>114841.5936251337</v>
      </c>
      <c r="D144">
        <v>79365.139457974801</v>
      </c>
      <c r="E144">
        <v>168345.201786755</v>
      </c>
      <c r="F144">
        <v>47654.66781600612</v>
      </c>
      <c r="G144">
        <v>10000</v>
      </c>
      <c r="H144">
        <v>-10000</v>
      </c>
      <c r="I144">
        <v>34.268926329345618</v>
      </c>
    </row>
    <row r="145" spans="1:9" x14ac:dyDescent="0.2">
      <c r="A145">
        <v>135</v>
      </c>
      <c r="B145">
        <v>807389.03901131824</v>
      </c>
      <c r="C145">
        <v>109139.58502164499</v>
      </c>
      <c r="D145">
        <v>46870.449346596331</v>
      </c>
      <c r="E145">
        <v>38529.468716211355</v>
      </c>
      <c r="F145">
        <v>38667.424757276174</v>
      </c>
      <c r="G145">
        <v>10000</v>
      </c>
      <c r="H145">
        <v>-10000</v>
      </c>
      <c r="I145">
        <v>55.266001470647794</v>
      </c>
    </row>
    <row r="146" spans="1:9" x14ac:dyDescent="0.2">
      <c r="A146">
        <v>136</v>
      </c>
      <c r="B146">
        <v>695578.42524522333</v>
      </c>
      <c r="C146">
        <v>100312.19173905092</v>
      </c>
      <c r="D146">
        <v>35640.190697350183</v>
      </c>
      <c r="E146">
        <v>28629.35013011609</v>
      </c>
      <c r="F146">
        <v>37982.031932084967</v>
      </c>
      <c r="G146">
        <v>10000</v>
      </c>
      <c r="H146">
        <v>-10000</v>
      </c>
      <c r="I146">
        <v>31.514363187036217</v>
      </c>
    </row>
    <row r="147" spans="1:9" x14ac:dyDescent="0.2">
      <c r="A147">
        <v>137</v>
      </c>
      <c r="B147">
        <v>1306547.8240756779</v>
      </c>
      <c r="C147">
        <v>118124.12566634368</v>
      </c>
      <c r="D147">
        <v>104289.84146662163</v>
      </c>
      <c r="E147">
        <v>104368.45589985822</v>
      </c>
      <c r="F147">
        <v>43225.508485374798</v>
      </c>
      <c r="G147">
        <v>10000</v>
      </c>
      <c r="H147">
        <v>-10000</v>
      </c>
      <c r="I147">
        <v>30.36088372198882</v>
      </c>
    </row>
    <row r="148" spans="1:9" x14ac:dyDescent="0.2">
      <c r="A148">
        <v>138</v>
      </c>
      <c r="B148">
        <v>1827445.396784676</v>
      </c>
      <c r="C148">
        <v>120185.97974236633</v>
      </c>
      <c r="D148">
        <v>176199.37875037908</v>
      </c>
      <c r="E148">
        <v>168702.00653555812</v>
      </c>
      <c r="F148">
        <v>47679.369683230943</v>
      </c>
      <c r="G148">
        <v>10000</v>
      </c>
      <c r="H148">
        <v>-10000</v>
      </c>
      <c r="I148">
        <v>36.365966168589495</v>
      </c>
    </row>
    <row r="149" spans="1:9" x14ac:dyDescent="0.2">
      <c r="A149">
        <v>139</v>
      </c>
      <c r="B149">
        <v>1504781.2986413985</v>
      </c>
      <c r="C149">
        <v>124636.81905715019</v>
      </c>
      <c r="D149">
        <v>77721.126878456591</v>
      </c>
      <c r="E149">
        <v>173936.69482636079</v>
      </c>
      <c r="F149">
        <v>48041.771180286509</v>
      </c>
      <c r="G149">
        <v>10000</v>
      </c>
      <c r="H149">
        <v>-10000</v>
      </c>
      <c r="I149">
        <v>27.184779324587147</v>
      </c>
    </row>
    <row r="150" spans="1:9" x14ac:dyDescent="0.2">
      <c r="A150">
        <v>140</v>
      </c>
      <c r="B150">
        <v>1213942.3772102084</v>
      </c>
      <c r="C150">
        <v>125604.07600812217</v>
      </c>
      <c r="D150">
        <v>141996.6986675623</v>
      </c>
      <c r="E150">
        <v>38370.96933921997</v>
      </c>
      <c r="F150">
        <v>38656.451723484453</v>
      </c>
      <c r="G150">
        <v>10000</v>
      </c>
      <c r="H150">
        <v>-10000</v>
      </c>
      <c r="I150">
        <v>25.798948626603508</v>
      </c>
    </row>
    <row r="151" spans="1:9" x14ac:dyDescent="0.2">
      <c r="A151">
        <v>141</v>
      </c>
      <c r="B151">
        <v>1642596.8382484331</v>
      </c>
      <c r="C151">
        <v>143972.69088560945</v>
      </c>
      <c r="D151">
        <v>157286.17522626836</v>
      </c>
      <c r="E151">
        <v>116764.03573411852</v>
      </c>
      <c r="F151">
        <v>44083.664012362053</v>
      </c>
      <c r="G151">
        <v>10000</v>
      </c>
      <c r="H151">
        <v>-10000</v>
      </c>
      <c r="I151">
        <v>48.829060106740542</v>
      </c>
    </row>
    <row r="152" spans="1:9" x14ac:dyDescent="0.2">
      <c r="A152">
        <v>142</v>
      </c>
      <c r="B152">
        <v>1296464.544093777</v>
      </c>
      <c r="C152">
        <v>88082.668368995393</v>
      </c>
      <c r="D152">
        <v>73157.290649199043</v>
      </c>
      <c r="E152">
        <v>158997.03079007164</v>
      </c>
      <c r="F152">
        <v>47007.486747004965</v>
      </c>
      <c r="G152">
        <v>10000</v>
      </c>
      <c r="H152">
        <v>-10000</v>
      </c>
      <c r="I152">
        <v>34.766624146705553</v>
      </c>
    </row>
    <row r="153" spans="1:9" x14ac:dyDescent="0.2">
      <c r="A153">
        <v>143</v>
      </c>
      <c r="B153">
        <v>1574874.4030893499</v>
      </c>
      <c r="C153">
        <v>131702.24371909199</v>
      </c>
      <c r="D153">
        <v>61371.711284942983</v>
      </c>
      <c r="E153">
        <v>200585.68884706398</v>
      </c>
      <c r="F153">
        <v>49886.701535565968</v>
      </c>
      <c r="G153">
        <v>10000</v>
      </c>
      <c r="H153">
        <v>-10000</v>
      </c>
      <c r="I153">
        <v>42.320440640069421</v>
      </c>
    </row>
    <row r="154" spans="1:9" x14ac:dyDescent="0.2">
      <c r="A154">
        <v>144</v>
      </c>
      <c r="B154">
        <v>1573310.4457197897</v>
      </c>
      <c r="C154">
        <v>106997.87338012904</v>
      </c>
      <c r="D154">
        <v>78088.929291409033</v>
      </c>
      <c r="E154">
        <v>207654.81699613819</v>
      </c>
      <c r="F154">
        <v>50376.10271511726</v>
      </c>
      <c r="G154">
        <v>10000</v>
      </c>
      <c r="H154">
        <v>-10000</v>
      </c>
      <c r="I154">
        <v>28.466068087013362</v>
      </c>
    </row>
    <row r="155" spans="1:9" x14ac:dyDescent="0.2">
      <c r="A155">
        <v>145</v>
      </c>
      <c r="B155">
        <v>1096535.9250179774</v>
      </c>
      <c r="C155">
        <v>142491.11254232112</v>
      </c>
      <c r="D155">
        <v>56962.558126148127</v>
      </c>
      <c r="E155">
        <v>72012.283148146074</v>
      </c>
      <c r="F155">
        <v>40985.465756410114</v>
      </c>
      <c r="G155">
        <v>10000</v>
      </c>
      <c r="H155">
        <v>-10000</v>
      </c>
      <c r="I155">
        <v>30.239126730992016</v>
      </c>
    </row>
    <row r="156" spans="1:9" x14ac:dyDescent="0.2">
      <c r="A156">
        <v>146</v>
      </c>
      <c r="B156">
        <v>1357061.2965037383</v>
      </c>
      <c r="C156">
        <v>126225.23342722423</v>
      </c>
      <c r="D156">
        <v>44711.024796376922</v>
      </c>
      <c r="E156">
        <v>165460.58829919703</v>
      </c>
      <c r="F156">
        <v>47454.963805329025</v>
      </c>
      <c r="G156">
        <v>10000</v>
      </c>
      <c r="H156">
        <v>-10000</v>
      </c>
      <c r="I156">
        <v>30.217995712718068</v>
      </c>
    </row>
    <row r="157" spans="1:9" x14ac:dyDescent="0.2">
      <c r="A157">
        <v>147</v>
      </c>
      <c r="B157">
        <v>1652162.7533077986</v>
      </c>
      <c r="C157">
        <v>150952.07128202016</v>
      </c>
      <c r="D157">
        <v>113280.36620643154</v>
      </c>
      <c r="E157">
        <v>153844.98597719782</v>
      </c>
      <c r="F157">
        <v>46650.806721498309</v>
      </c>
      <c r="G157">
        <v>10000</v>
      </c>
      <c r="H157">
        <v>-10000</v>
      </c>
      <c r="I157">
        <v>25.917050608544983</v>
      </c>
    </row>
    <row r="158" spans="1:9" x14ac:dyDescent="0.2">
      <c r="A158">
        <v>148</v>
      </c>
      <c r="B158">
        <v>1337491.8953989497</v>
      </c>
      <c r="C158">
        <v>139167.75044340055</v>
      </c>
      <c r="D158">
        <v>126035.45106298219</v>
      </c>
      <c r="E158">
        <v>72281.27016880094</v>
      </c>
      <c r="F158">
        <v>41004.087934763142</v>
      </c>
      <c r="G158">
        <v>10000</v>
      </c>
      <c r="H158">
        <v>-10000</v>
      </c>
      <c r="I158">
        <v>43.146883815501866</v>
      </c>
    </row>
    <row r="159" spans="1:9" x14ac:dyDescent="0.2">
      <c r="A159">
        <v>149</v>
      </c>
      <c r="B159">
        <v>1635605.6202212609</v>
      </c>
      <c r="C159">
        <v>108357.20219190381</v>
      </c>
      <c r="D159">
        <v>106251.47676117181</v>
      </c>
      <c r="E159">
        <v>196011.80405205477</v>
      </c>
      <c r="F159">
        <v>49570.047972834567</v>
      </c>
      <c r="G159">
        <v>10000</v>
      </c>
      <c r="H159">
        <v>-10000</v>
      </c>
      <c r="I159">
        <v>30.642874686518525</v>
      </c>
    </row>
    <row r="160" spans="1:9" x14ac:dyDescent="0.2">
      <c r="A160">
        <v>150</v>
      </c>
      <c r="B160">
        <v>1454642.3383830606</v>
      </c>
      <c r="C160">
        <v>114381.78576343668</v>
      </c>
      <c r="D160">
        <v>83106.696407838623</v>
      </c>
      <c r="E160">
        <v>165639.35122669884</v>
      </c>
      <c r="F160">
        <v>47467.339700309924</v>
      </c>
      <c r="G160">
        <v>10000</v>
      </c>
      <c r="H160">
        <v>-10000</v>
      </c>
      <c r="I160">
        <v>47.43107329416933</v>
      </c>
    </row>
    <row r="161" spans="1:9" x14ac:dyDescent="0.2">
      <c r="A161">
        <v>151</v>
      </c>
      <c r="B161">
        <v>1007505.6113721348</v>
      </c>
      <c r="C161">
        <v>116159.83539255554</v>
      </c>
      <c r="D161">
        <v>64471.781324919983</v>
      </c>
      <c r="E161">
        <v>66795.570443315111</v>
      </c>
      <c r="F161">
        <v>40624.308722998736</v>
      </c>
      <c r="G161">
        <v>10000</v>
      </c>
      <c r="H161">
        <v>-10000</v>
      </c>
      <c r="I161">
        <v>33.303257387155639</v>
      </c>
    </row>
    <row r="162" spans="1:9" x14ac:dyDescent="0.2">
      <c r="A162">
        <v>152</v>
      </c>
      <c r="B162">
        <v>1403500.9240767744</v>
      </c>
      <c r="C162">
        <v>99916.514174748096</v>
      </c>
      <c r="D162">
        <v>42904.579070952226</v>
      </c>
      <c r="E162">
        <v>203658.65967548793</v>
      </c>
      <c r="F162">
        <v>50099.445669841472</v>
      </c>
      <c r="G162">
        <v>10000</v>
      </c>
      <c r="H162">
        <v>-10000</v>
      </c>
      <c r="I162">
        <v>50.580740162835362</v>
      </c>
    </row>
    <row r="163" spans="1:9" x14ac:dyDescent="0.2">
      <c r="A163">
        <v>153</v>
      </c>
      <c r="B163">
        <v>1095761.8359816559</v>
      </c>
      <c r="C163">
        <v>102960.61612043765</v>
      </c>
      <c r="D163">
        <v>65681.008652045959</v>
      </c>
      <c r="E163">
        <v>100630.89153104293</v>
      </c>
      <c r="F163">
        <v>42966.754029072203</v>
      </c>
      <c r="G163">
        <v>10000</v>
      </c>
      <c r="H163">
        <v>-10000</v>
      </c>
      <c r="I163">
        <v>30.064449089955701</v>
      </c>
    </row>
    <row r="164" spans="1:9" x14ac:dyDescent="0.2">
      <c r="A164">
        <v>154</v>
      </c>
      <c r="B164">
        <v>1209212.341209125</v>
      </c>
      <c r="C164">
        <v>95615.976401243461</v>
      </c>
      <c r="D164">
        <v>124869.31187410875</v>
      </c>
      <c r="E164">
        <v>81223.419336565697</v>
      </c>
      <c r="F164">
        <v>41623.159800223773</v>
      </c>
      <c r="G164">
        <v>10000</v>
      </c>
      <c r="H164">
        <v>-10000</v>
      </c>
      <c r="I164">
        <v>31.833015827011309</v>
      </c>
    </row>
    <row r="165" spans="1:9" x14ac:dyDescent="0.2">
      <c r="A165">
        <v>155</v>
      </c>
      <c r="B165">
        <v>1232220.4150125748</v>
      </c>
      <c r="C165">
        <v>90381.586362113638</v>
      </c>
      <c r="D165">
        <v>77371.462478349029</v>
      </c>
      <c r="E165">
        <v>136438.72472177181</v>
      </c>
      <c r="F165">
        <v>45445.757865353429</v>
      </c>
      <c r="G165">
        <v>10000</v>
      </c>
      <c r="H165">
        <v>-10000</v>
      </c>
      <c r="I165">
        <v>38.182492905280483</v>
      </c>
    </row>
    <row r="166" spans="1:9" x14ac:dyDescent="0.2">
      <c r="A166">
        <v>156</v>
      </c>
      <c r="B166">
        <v>1467154.6565802782</v>
      </c>
      <c r="C166">
        <v>121525.56528305366</v>
      </c>
      <c r="D166">
        <v>67283.576574903724</v>
      </c>
      <c r="E166">
        <v>176963.8523225277</v>
      </c>
      <c r="F166">
        <v>48251.343622328845</v>
      </c>
      <c r="G166">
        <v>10000</v>
      </c>
      <c r="H166">
        <v>-10000</v>
      </c>
      <c r="I166">
        <v>28.731434675957708</v>
      </c>
    </row>
    <row r="167" spans="1:9" x14ac:dyDescent="0.2">
      <c r="A167">
        <v>157</v>
      </c>
      <c r="B167">
        <v>949015.2673110558</v>
      </c>
      <c r="C167">
        <v>98066.829987382909</v>
      </c>
      <c r="D167">
        <v>67537.288063425556</v>
      </c>
      <c r="E167">
        <v>65857.937207761162</v>
      </c>
      <c r="F167">
        <v>40559.395652845</v>
      </c>
      <c r="G167">
        <v>10000</v>
      </c>
      <c r="H167">
        <v>-10000</v>
      </c>
      <c r="I167">
        <v>25.305456514073931</v>
      </c>
    </row>
    <row r="168" spans="1:9" x14ac:dyDescent="0.2">
      <c r="A168">
        <v>158</v>
      </c>
      <c r="B168">
        <v>1305801.7948140712</v>
      </c>
      <c r="C168">
        <v>122542.99596106421</v>
      </c>
      <c r="D168">
        <v>99609.223649750129</v>
      </c>
      <c r="E168">
        <v>104422.03500756519</v>
      </c>
      <c r="F168">
        <v>43229.217808216054</v>
      </c>
      <c r="G168">
        <v>10000</v>
      </c>
      <c r="H168">
        <v>-10000</v>
      </c>
      <c r="I168">
        <v>32.684092563557194</v>
      </c>
    </row>
    <row r="169" spans="1:9" x14ac:dyDescent="0.2">
      <c r="A169">
        <v>159</v>
      </c>
      <c r="B169">
        <v>1348008.3839871427</v>
      </c>
      <c r="C169">
        <v>132935.38018059201</v>
      </c>
      <c r="D169">
        <v>128483.23939837387</v>
      </c>
      <c r="E169">
        <v>78516.372613919812</v>
      </c>
      <c r="F169">
        <v>41435.748873271375</v>
      </c>
      <c r="G169">
        <v>10000</v>
      </c>
      <c r="H169">
        <v>-10000</v>
      </c>
      <c r="I169">
        <v>24.296730049551115</v>
      </c>
    </row>
    <row r="170" spans="1:9" x14ac:dyDescent="0.2">
      <c r="A170">
        <v>160</v>
      </c>
      <c r="B170">
        <v>1460267.9421659163</v>
      </c>
      <c r="C170">
        <v>132465.33855151839</v>
      </c>
      <c r="D170">
        <v>67889.126844657221</v>
      </c>
      <c r="E170">
        <v>164400.87880815624</v>
      </c>
      <c r="F170">
        <v>47381.599302103125</v>
      </c>
      <c r="G170">
        <v>10000</v>
      </c>
      <c r="H170">
        <v>-10000</v>
      </c>
      <c r="I170">
        <v>41.497971162094188</v>
      </c>
    </row>
    <row r="171" spans="1:9" x14ac:dyDescent="0.2">
      <c r="A171">
        <v>161</v>
      </c>
      <c r="B171">
        <v>1492805.9996334161</v>
      </c>
      <c r="C171">
        <v>103643.10788790759</v>
      </c>
      <c r="D171">
        <v>79670.415647447633</v>
      </c>
      <c r="E171">
        <v>188678.54035933741</v>
      </c>
      <c r="F171">
        <v>49062.360486415673</v>
      </c>
      <c r="G171">
        <v>10000</v>
      </c>
      <c r="H171">
        <v>-10000</v>
      </c>
      <c r="I171">
        <v>40.600080570173233</v>
      </c>
    </row>
    <row r="172" spans="1:9" x14ac:dyDescent="0.2">
      <c r="A172">
        <v>162</v>
      </c>
      <c r="B172">
        <v>1330816.813173838</v>
      </c>
      <c r="C172">
        <v>142478.25079975478</v>
      </c>
      <c r="D172">
        <v>51770.572570945187</v>
      </c>
      <c r="E172">
        <v>136930.53616657155</v>
      </c>
      <c r="F172">
        <v>45479.806349993414</v>
      </c>
      <c r="G172">
        <v>10000</v>
      </c>
      <c r="H172">
        <v>-10000</v>
      </c>
      <c r="I172">
        <v>32.371738933323428</v>
      </c>
    </row>
    <row r="173" spans="1:9" x14ac:dyDescent="0.2">
      <c r="A173">
        <v>163</v>
      </c>
      <c r="B173">
        <v>925506.51947320427</v>
      </c>
      <c r="C173">
        <v>117981.53555635338</v>
      </c>
      <c r="D173">
        <v>57273.806799489961</v>
      </c>
      <c r="E173">
        <v>50805.896936168814</v>
      </c>
      <c r="F173">
        <v>39517.331326350148</v>
      </c>
      <c r="G173">
        <v>10000</v>
      </c>
      <c r="H173">
        <v>-10000</v>
      </c>
      <c r="I173">
        <v>48.761388648534712</v>
      </c>
    </row>
    <row r="174" spans="1:9" x14ac:dyDescent="0.2">
      <c r="A174">
        <v>164</v>
      </c>
      <c r="B174">
        <v>1063606.9665799916</v>
      </c>
      <c r="C174">
        <v>117389.60103582288</v>
      </c>
      <c r="D174">
        <v>90572.525608918266</v>
      </c>
      <c r="E174">
        <v>55614.449409177912</v>
      </c>
      <c r="F174">
        <v>39850.231112943089</v>
      </c>
      <c r="G174">
        <v>10000</v>
      </c>
      <c r="H174">
        <v>-10000</v>
      </c>
      <c r="I174">
        <v>31.318705667833974</v>
      </c>
    </row>
    <row r="175" spans="1:9" x14ac:dyDescent="0.2">
      <c r="A175">
        <v>165</v>
      </c>
      <c r="B175">
        <v>1549568.8398376508</v>
      </c>
      <c r="C175">
        <v>132842.25606695053</v>
      </c>
      <c r="D175">
        <v>148427.504379655</v>
      </c>
      <c r="E175">
        <v>111614.13165436583</v>
      </c>
      <c r="F175">
        <v>43727.13219145609</v>
      </c>
      <c r="G175">
        <v>10000</v>
      </c>
      <c r="H175">
        <v>-10000</v>
      </c>
      <c r="I175">
        <v>48.932265020319889</v>
      </c>
    </row>
    <row r="176" spans="1:9" x14ac:dyDescent="0.2">
      <c r="A176">
        <v>166</v>
      </c>
      <c r="B176">
        <v>1668436.9562776361</v>
      </c>
      <c r="C176">
        <v>134771.42183724203</v>
      </c>
      <c r="D176">
        <v>142270.72543715104</v>
      </c>
      <c r="E176">
        <v>146036.0531240656</v>
      </c>
      <c r="F176">
        <v>46110.188293204548</v>
      </c>
      <c r="G176">
        <v>10000</v>
      </c>
      <c r="H176">
        <v>-10000</v>
      </c>
      <c r="I176">
        <v>24.324784726539107</v>
      </c>
    </row>
    <row r="177" spans="1:9" x14ac:dyDescent="0.2">
      <c r="A177">
        <v>167</v>
      </c>
      <c r="B177">
        <v>1160544.318762464</v>
      </c>
      <c r="C177">
        <v>119192.23028040364</v>
      </c>
      <c r="D177">
        <v>115405.51529910351</v>
      </c>
      <c r="E177">
        <v>55550.22776508575</v>
      </c>
      <c r="F177">
        <v>39845.784999121322</v>
      </c>
      <c r="G177">
        <v>10000</v>
      </c>
      <c r="H177">
        <v>-10000</v>
      </c>
      <c r="I177">
        <v>37.745687442372756</v>
      </c>
    </row>
    <row r="178" spans="1:9" x14ac:dyDescent="0.2">
      <c r="A178">
        <v>168</v>
      </c>
      <c r="B178">
        <v>791483.00797849277</v>
      </c>
      <c r="C178">
        <v>104988.55060666327</v>
      </c>
      <c r="D178">
        <v>48756.39021955707</v>
      </c>
      <c r="E178">
        <v>36570.899359037983</v>
      </c>
      <c r="F178">
        <v>38531.831494087244</v>
      </c>
      <c r="G178">
        <v>10000</v>
      </c>
      <c r="H178">
        <v>-10000</v>
      </c>
      <c r="I178">
        <v>46.236905280070459</v>
      </c>
    </row>
    <row r="179" spans="1:9" x14ac:dyDescent="0.2">
      <c r="A179">
        <v>169</v>
      </c>
      <c r="B179">
        <v>1115899.3431816921</v>
      </c>
      <c r="C179">
        <v>140911.40928942128</v>
      </c>
      <c r="D179">
        <v>80521.438290612117</v>
      </c>
      <c r="E179">
        <v>56419.411154187823</v>
      </c>
      <c r="F179">
        <v>39905.959233751462</v>
      </c>
      <c r="G179">
        <v>10000</v>
      </c>
      <c r="H179">
        <v>-10000</v>
      </c>
      <c r="I179">
        <v>37.743780678432699</v>
      </c>
    </row>
    <row r="180" spans="1:9" x14ac:dyDescent="0.2">
      <c r="A180">
        <v>170</v>
      </c>
      <c r="B180">
        <v>1499440.0187885424</v>
      </c>
      <c r="C180">
        <v>90083.503944906435</v>
      </c>
      <c r="D180">
        <v>159774.51862408945</v>
      </c>
      <c r="E180">
        <v>128143.09651894795</v>
      </c>
      <c r="F180">
        <v>44871.445143619472</v>
      </c>
      <c r="G180">
        <v>10000</v>
      </c>
      <c r="H180">
        <v>-10000</v>
      </c>
      <c r="I180">
        <v>36.607593505287639</v>
      </c>
    </row>
    <row r="181" spans="1:9" x14ac:dyDescent="0.2">
      <c r="A181">
        <v>171</v>
      </c>
      <c r="B181">
        <v>1379227.996175091</v>
      </c>
      <c r="C181">
        <v>96519.850830833908</v>
      </c>
      <c r="D181">
        <v>116502.2134507383</v>
      </c>
      <c r="E181">
        <v>131781.48676086092</v>
      </c>
      <c r="F181">
        <v>45123.333698828828</v>
      </c>
      <c r="G181">
        <v>10000</v>
      </c>
      <c r="H181">
        <v>-10000</v>
      </c>
      <c r="I181">
        <v>31.729062595195582</v>
      </c>
    </row>
    <row r="182" spans="1:9" x14ac:dyDescent="0.2">
      <c r="A182">
        <v>172</v>
      </c>
      <c r="B182">
        <v>1194186.9458168321</v>
      </c>
      <c r="C182">
        <v>136992.98682484947</v>
      </c>
      <c r="D182">
        <v>54917.49560614545</v>
      </c>
      <c r="E182">
        <v>104096.77850164588</v>
      </c>
      <c r="F182">
        <v>43206.700050113948</v>
      </c>
      <c r="G182">
        <v>10000</v>
      </c>
      <c r="H182">
        <v>-10000</v>
      </c>
      <c r="I182">
        <v>37.942620814561707</v>
      </c>
    </row>
    <row r="183" spans="1:9" x14ac:dyDescent="0.2">
      <c r="A183">
        <v>173</v>
      </c>
      <c r="B183">
        <v>1246932.5596707978</v>
      </c>
      <c r="C183">
        <v>137634.1258203297</v>
      </c>
      <c r="D183">
        <v>66507.8438676355</v>
      </c>
      <c r="E183">
        <v>106176.90864213312</v>
      </c>
      <c r="F183">
        <v>43350.709059839988</v>
      </c>
      <c r="G183">
        <v>10000</v>
      </c>
      <c r="H183">
        <v>-10000</v>
      </c>
      <c r="I183">
        <v>37.628769895187148</v>
      </c>
    </row>
    <row r="184" spans="1:9" x14ac:dyDescent="0.2">
      <c r="A184">
        <v>174</v>
      </c>
      <c r="B184">
        <v>1498504.830611066</v>
      </c>
      <c r="C184">
        <v>115749.0439274401</v>
      </c>
      <c r="D184">
        <v>89997.699341919681</v>
      </c>
      <c r="E184">
        <v>169158.54425137764</v>
      </c>
      <c r="F184">
        <v>47710.976140479994</v>
      </c>
      <c r="G184">
        <v>10000</v>
      </c>
      <c r="H184">
        <v>-10000</v>
      </c>
      <c r="I184">
        <v>35.508242705361624</v>
      </c>
    </row>
    <row r="185" spans="1:9" x14ac:dyDescent="0.2">
      <c r="A185">
        <v>175</v>
      </c>
      <c r="B185">
        <v>950802.85588099668</v>
      </c>
      <c r="C185">
        <v>83464.031765406384</v>
      </c>
      <c r="D185">
        <v>79549.450353278167</v>
      </c>
      <c r="E185">
        <v>68739.025261453717</v>
      </c>
      <c r="F185">
        <v>40758.855595023721</v>
      </c>
      <c r="G185">
        <v>10000</v>
      </c>
      <c r="H185">
        <v>-10000</v>
      </c>
      <c r="I185">
        <v>38.641833044792023</v>
      </c>
    </row>
    <row r="186" spans="1:9" x14ac:dyDescent="0.2">
      <c r="A186">
        <v>176</v>
      </c>
      <c r="B186">
        <v>1349990.2133025161</v>
      </c>
      <c r="C186">
        <v>94295.134785702059</v>
      </c>
      <c r="D186">
        <v>37274.701350880889</v>
      </c>
      <c r="E186">
        <v>200465.65940880004</v>
      </c>
      <c r="F186">
        <v>49878.391805224615</v>
      </c>
      <c r="G186">
        <v>10000</v>
      </c>
      <c r="H186">
        <v>-10000</v>
      </c>
      <c r="I186">
        <v>40.578838630953811</v>
      </c>
    </row>
    <row r="187" spans="1:9" x14ac:dyDescent="0.2">
      <c r="A187">
        <v>177</v>
      </c>
      <c r="B187">
        <v>1613971.4319590335</v>
      </c>
      <c r="C187">
        <v>113623.1304298621</v>
      </c>
      <c r="D187">
        <v>131728.149831797</v>
      </c>
      <c r="E187">
        <v>161714.49887732207</v>
      </c>
      <c r="F187">
        <v>47195.619153045373</v>
      </c>
      <c r="G187">
        <v>10000</v>
      </c>
      <c r="H187">
        <v>-10000</v>
      </c>
      <c r="I187">
        <v>35.978827854004805</v>
      </c>
    </row>
    <row r="188" spans="1:9" x14ac:dyDescent="0.2">
      <c r="A188">
        <v>178</v>
      </c>
      <c r="B188">
        <v>1575155.1128180446</v>
      </c>
      <c r="C188">
        <v>104943.48633143971</v>
      </c>
      <c r="D188">
        <v>126016.45263911458</v>
      </c>
      <c r="E188">
        <v>165224.70516019256</v>
      </c>
      <c r="F188">
        <v>47438.633434167175</v>
      </c>
      <c r="G188">
        <v>10000</v>
      </c>
      <c r="H188">
        <v>-10000</v>
      </c>
      <c r="I188">
        <v>28.862697808499938</v>
      </c>
    </row>
    <row r="189" spans="1:9" x14ac:dyDescent="0.2">
      <c r="A189">
        <v>179</v>
      </c>
      <c r="B189">
        <v>1125613.2282386264</v>
      </c>
      <c r="C189">
        <v>107134.68405546437</v>
      </c>
      <c r="D189">
        <v>61469.604835758095</v>
      </c>
      <c r="E189">
        <v>108317.2593368196</v>
      </c>
      <c r="F189">
        <v>43498.887184856736</v>
      </c>
      <c r="G189">
        <v>10000</v>
      </c>
      <c r="H189">
        <v>-10000</v>
      </c>
      <c r="I189">
        <v>28.773324506835309</v>
      </c>
    </row>
    <row r="190" spans="1:9" x14ac:dyDescent="0.2">
      <c r="A190">
        <v>180</v>
      </c>
      <c r="B190">
        <v>1229232.7758973711</v>
      </c>
      <c r="C190">
        <v>104674.00279678925</v>
      </c>
      <c r="D190">
        <v>132079.28859852144</v>
      </c>
      <c r="E190">
        <v>71140.338068932047</v>
      </c>
      <c r="F190">
        <v>40925.100327849141</v>
      </c>
      <c r="G190">
        <v>10000</v>
      </c>
      <c r="H190">
        <v>-10000</v>
      </c>
      <c r="I190">
        <v>46.762318137602684</v>
      </c>
    </row>
    <row r="191" spans="1:9" x14ac:dyDescent="0.2">
      <c r="A191">
        <v>181</v>
      </c>
      <c r="B191">
        <v>1345192.103099029</v>
      </c>
      <c r="C191">
        <v>85833.134335779236</v>
      </c>
      <c r="D191">
        <v>65282.375549255004</v>
      </c>
      <c r="E191">
        <v>180955.69083896634</v>
      </c>
      <c r="F191">
        <v>48527.701673466901</v>
      </c>
      <c r="G191">
        <v>10000</v>
      </c>
      <c r="H191">
        <v>-10000</v>
      </c>
      <c r="I191">
        <v>45.157200437788084</v>
      </c>
    </row>
    <row r="192" spans="1:9" x14ac:dyDescent="0.2">
      <c r="A192">
        <v>182</v>
      </c>
      <c r="B192">
        <v>793847.61916350876</v>
      </c>
      <c r="C192">
        <v>99113.368282242605</v>
      </c>
      <c r="D192">
        <v>48346.774141228023</v>
      </c>
      <c r="E192">
        <v>43054.860793983491</v>
      </c>
      <c r="F192">
        <v>38980.721131891165</v>
      </c>
      <c r="G192">
        <v>10000</v>
      </c>
      <c r="H192">
        <v>-10000</v>
      </c>
      <c r="I192">
        <v>37.507198081036066</v>
      </c>
    </row>
    <row r="193" spans="1:9" x14ac:dyDescent="0.2">
      <c r="A193">
        <v>183</v>
      </c>
      <c r="B193">
        <v>1159292.464688251</v>
      </c>
      <c r="C193">
        <v>128413.14691778875</v>
      </c>
      <c r="D193">
        <v>38472.459580498034</v>
      </c>
      <c r="E193">
        <v>118557.25488444175</v>
      </c>
      <c r="F193">
        <v>44207.809953538272</v>
      </c>
      <c r="G193">
        <v>10000</v>
      </c>
      <c r="H193">
        <v>-10000</v>
      </c>
      <c r="I193">
        <v>29.568704386355947</v>
      </c>
    </row>
    <row r="194" spans="1:9" x14ac:dyDescent="0.2">
      <c r="A194">
        <v>184</v>
      </c>
      <c r="B194">
        <v>1486465.8234797607</v>
      </c>
      <c r="C194">
        <v>79860.68757674213</v>
      </c>
      <c r="D194">
        <v>112872.12576647136</v>
      </c>
      <c r="E194">
        <v>178244.03131256756</v>
      </c>
      <c r="F194">
        <v>48339.971398562368</v>
      </c>
      <c r="G194">
        <v>10000</v>
      </c>
      <c r="H194">
        <v>-10000</v>
      </c>
      <c r="I194">
        <v>47.057219741100582</v>
      </c>
    </row>
    <row r="195" spans="1:9" x14ac:dyDescent="0.2">
      <c r="A195">
        <v>185</v>
      </c>
      <c r="B195">
        <v>893180.16677423392</v>
      </c>
      <c r="C195">
        <v>89136.285116984975</v>
      </c>
      <c r="D195">
        <v>62917.704435377003</v>
      </c>
      <c r="E195">
        <v>64219.177592247586</v>
      </c>
      <c r="F195">
        <v>40445.943064078674</v>
      </c>
      <c r="G195">
        <v>10000</v>
      </c>
      <c r="H195">
        <v>-10000</v>
      </c>
      <c r="I195">
        <v>33.147828546435193</v>
      </c>
    </row>
    <row r="196" spans="1:9" x14ac:dyDescent="0.2">
      <c r="A196">
        <v>186</v>
      </c>
      <c r="B196">
        <v>1099485.217528376</v>
      </c>
      <c r="C196">
        <v>126162.69074094341</v>
      </c>
      <c r="D196">
        <v>118580.49859863025</v>
      </c>
      <c r="E196">
        <v>30411.136131988223</v>
      </c>
      <c r="F196">
        <v>38105.386347599189</v>
      </c>
      <c r="G196">
        <v>10000</v>
      </c>
      <c r="H196">
        <v>-10000</v>
      </c>
      <c r="I196">
        <v>32.41941604114335</v>
      </c>
    </row>
    <row r="197" spans="1:9" x14ac:dyDescent="0.2">
      <c r="A197">
        <v>187</v>
      </c>
      <c r="B197">
        <v>1438097.6985771123</v>
      </c>
      <c r="C197">
        <v>94196.207069712749</v>
      </c>
      <c r="D197">
        <v>68857.071304284895</v>
      </c>
      <c r="E197">
        <v>193604.24841798047</v>
      </c>
      <c r="F197">
        <v>49403.371044321721</v>
      </c>
      <c r="G197">
        <v>10000</v>
      </c>
      <c r="H197">
        <v>-10000</v>
      </c>
      <c r="I197">
        <v>31.017659343356982</v>
      </c>
    </row>
    <row r="198" spans="1:9" x14ac:dyDescent="0.2">
      <c r="A198">
        <v>188</v>
      </c>
      <c r="B198">
        <v>1625539.8106541669</v>
      </c>
      <c r="C198">
        <v>118750.36117961795</v>
      </c>
      <c r="D198">
        <v>151787.12207916766</v>
      </c>
      <c r="E198">
        <v>141124.24099134092</v>
      </c>
      <c r="F198">
        <v>45770.13976093899</v>
      </c>
      <c r="G198">
        <v>10000</v>
      </c>
      <c r="H198">
        <v>-10000</v>
      </c>
      <c r="I198">
        <v>28.429473958700413</v>
      </c>
    </row>
    <row r="199" spans="1:9" x14ac:dyDescent="0.2">
      <c r="A199">
        <v>189</v>
      </c>
      <c r="B199">
        <v>1482485.3156213735</v>
      </c>
      <c r="C199">
        <v>108937.52705595913</v>
      </c>
      <c r="D199">
        <v>75374.761625182655</v>
      </c>
      <c r="E199">
        <v>185099.06630832993</v>
      </c>
      <c r="F199">
        <v>48814.550744422842</v>
      </c>
      <c r="G199">
        <v>10000</v>
      </c>
      <c r="H199">
        <v>-10000</v>
      </c>
      <c r="I199">
        <v>25.709263572858518</v>
      </c>
    </row>
    <row r="200" spans="1:9" x14ac:dyDescent="0.2">
      <c r="A200">
        <v>190</v>
      </c>
      <c r="B200">
        <v>1381363.2667403978</v>
      </c>
      <c r="C200">
        <v>102205.55548073153</v>
      </c>
      <c r="D200">
        <v>128491.71529759743</v>
      </c>
      <c r="E200">
        <v>115798.02638954704</v>
      </c>
      <c r="F200">
        <v>44016.786442353252</v>
      </c>
      <c r="G200">
        <v>10000</v>
      </c>
      <c r="H200">
        <v>-10000</v>
      </c>
      <c r="I200">
        <v>36.72963775137751</v>
      </c>
    </row>
    <row r="201" spans="1:9" x14ac:dyDescent="0.2">
      <c r="A201">
        <v>191</v>
      </c>
      <c r="B201">
        <v>933638.40323983273</v>
      </c>
      <c r="C201">
        <v>119130.43003458114</v>
      </c>
      <c r="D201">
        <v>51967.158345005766</v>
      </c>
      <c r="E201">
        <v>56778.79205689441</v>
      </c>
      <c r="F201">
        <v>39930.839450092695</v>
      </c>
      <c r="G201">
        <v>10000</v>
      </c>
      <c r="H201">
        <v>-10000</v>
      </c>
      <c r="I201">
        <v>36.411705086979879</v>
      </c>
    </row>
    <row r="202" spans="1:9" x14ac:dyDescent="0.2">
      <c r="A202">
        <v>192</v>
      </c>
      <c r="B202">
        <v>1420021.515440173</v>
      </c>
      <c r="C202">
        <v>96948.195249929588</v>
      </c>
      <c r="D202">
        <v>135241.1242167259</v>
      </c>
      <c r="E202">
        <v>124311.39041320713</v>
      </c>
      <c r="F202">
        <v>44606.173182452803</v>
      </c>
      <c r="G202">
        <v>10000</v>
      </c>
      <c r="H202">
        <v>-10000</v>
      </c>
      <c r="I202">
        <v>44.491821916521026</v>
      </c>
    </row>
    <row r="203" spans="1:9" x14ac:dyDescent="0.2">
      <c r="A203">
        <v>193</v>
      </c>
      <c r="B203">
        <v>1210292.717951932</v>
      </c>
      <c r="C203">
        <v>104301.50601207085</v>
      </c>
      <c r="D203">
        <v>91873.428351362381</v>
      </c>
      <c r="E203">
        <v>104236.64156937182</v>
      </c>
      <c r="F203">
        <v>43216.382877879587</v>
      </c>
      <c r="G203">
        <v>10000</v>
      </c>
      <c r="H203">
        <v>-10000</v>
      </c>
      <c r="I203">
        <v>38.71572670310934</v>
      </c>
    </row>
    <row r="204" spans="1:9" x14ac:dyDescent="0.2">
      <c r="A204">
        <v>194</v>
      </c>
      <c r="B204">
        <v>1064447.4872933796</v>
      </c>
      <c r="C204">
        <v>99518.041840094171</v>
      </c>
      <c r="D204">
        <v>51072.328651200754</v>
      </c>
      <c r="E204">
        <v>109486.9281320094</v>
      </c>
      <c r="F204">
        <v>43579.86425529296</v>
      </c>
      <c r="G204">
        <v>10000</v>
      </c>
      <c r="H204">
        <v>-10000</v>
      </c>
      <c r="I204">
        <v>39.051293405953913</v>
      </c>
    </row>
    <row r="205" spans="1:9" x14ac:dyDescent="0.2">
      <c r="A205">
        <v>195</v>
      </c>
      <c r="B205">
        <v>1005122.416213798</v>
      </c>
      <c r="C205">
        <v>104055.17808090366</v>
      </c>
      <c r="D205">
        <v>95918.607522255465</v>
      </c>
      <c r="E205">
        <v>48094.916372731263</v>
      </c>
      <c r="F205">
        <v>39329.6480565737</v>
      </c>
      <c r="G205">
        <v>10000</v>
      </c>
      <c r="H205">
        <v>-10000</v>
      </c>
      <c r="I205">
        <v>33.20887751976808</v>
      </c>
    </row>
    <row r="206" spans="1:9" x14ac:dyDescent="0.2">
      <c r="A206">
        <v>196</v>
      </c>
      <c r="B206">
        <v>1361376.0231852306</v>
      </c>
      <c r="C206">
        <v>76021.351081971283</v>
      </c>
      <c r="D206">
        <v>60775.749349105332</v>
      </c>
      <c r="E206">
        <v>198495.2391677729</v>
      </c>
      <c r="F206">
        <v>49741.978096230436</v>
      </c>
      <c r="G206">
        <v>10000</v>
      </c>
      <c r="H206">
        <v>-10000</v>
      </c>
      <c r="I206">
        <v>31.67504758464338</v>
      </c>
    </row>
    <row r="207" spans="1:9" x14ac:dyDescent="0.2">
      <c r="A207">
        <v>197</v>
      </c>
      <c r="B207">
        <v>1440329.6089359773</v>
      </c>
      <c r="C207">
        <v>102590.57937206732</v>
      </c>
      <c r="D207">
        <v>65684.540297656713</v>
      </c>
      <c r="E207">
        <v>189292.59076830623</v>
      </c>
      <c r="F207">
        <v>49104.871668575041</v>
      </c>
      <c r="G207">
        <v>10000</v>
      </c>
      <c r="H207">
        <v>-10000</v>
      </c>
      <c r="I207">
        <v>31.026054104362565</v>
      </c>
    </row>
    <row r="208" spans="1:9" x14ac:dyDescent="0.2">
      <c r="A208">
        <v>198</v>
      </c>
      <c r="B208">
        <v>1270266.4683921449</v>
      </c>
      <c r="C208">
        <v>147607.81602364493</v>
      </c>
      <c r="D208">
        <v>83266.060328994237</v>
      </c>
      <c r="E208">
        <v>87156.745823212128</v>
      </c>
      <c r="F208">
        <v>42033.928556991603</v>
      </c>
      <c r="G208">
        <v>10000</v>
      </c>
      <c r="H208">
        <v>-10000</v>
      </c>
      <c r="I208">
        <v>30.259571876884117</v>
      </c>
    </row>
    <row r="209" spans="1:9" x14ac:dyDescent="0.2">
      <c r="A209">
        <v>199</v>
      </c>
      <c r="B209">
        <v>1693436.1652184939</v>
      </c>
      <c r="C209">
        <v>122853.90058308907</v>
      </c>
      <c r="D209">
        <v>102151.75911215131</v>
      </c>
      <c r="E209">
        <v>201111.01912400877</v>
      </c>
      <c r="F209">
        <v>49923.070554739068</v>
      </c>
      <c r="G209">
        <v>10000</v>
      </c>
      <c r="H209">
        <v>-10000</v>
      </c>
      <c r="I209">
        <v>32.475335636141097</v>
      </c>
    </row>
    <row r="210" spans="1:9" x14ac:dyDescent="0.2">
      <c r="A210">
        <v>200</v>
      </c>
      <c r="B210">
        <v>1010173.4654798196</v>
      </c>
      <c r="C210">
        <v>90027.182722739104</v>
      </c>
      <c r="D210">
        <v>79192.484518935249</v>
      </c>
      <c r="E210">
        <v>78152.435762261885</v>
      </c>
      <c r="F210">
        <v>41410.553245079667</v>
      </c>
      <c r="G210">
        <v>10000</v>
      </c>
      <c r="H210">
        <v>-10000</v>
      </c>
      <c r="I210">
        <v>29.981001386848398</v>
      </c>
    </row>
    <row r="211" spans="1:9" x14ac:dyDescent="0.2">
      <c r="A211">
        <v>201</v>
      </c>
      <c r="B211">
        <v>1853341.4155878276</v>
      </c>
      <c r="C211">
        <v>147809.2266908871</v>
      </c>
      <c r="D211">
        <v>118641.7804826698</v>
      </c>
      <c r="E211">
        <v>203335.77836247266</v>
      </c>
      <c r="F211">
        <v>50077.09234817118</v>
      </c>
      <c r="G211">
        <v>10000</v>
      </c>
      <c r="H211">
        <v>-10000</v>
      </c>
      <c r="I211">
        <v>37.431096058902639</v>
      </c>
    </row>
    <row r="212" spans="1:9" x14ac:dyDescent="0.2">
      <c r="A212">
        <v>202</v>
      </c>
      <c r="B212">
        <v>1370755.3006149177</v>
      </c>
      <c r="C212">
        <v>125312.17566618108</v>
      </c>
      <c r="D212">
        <v>68049.273019943939</v>
      </c>
      <c r="E212">
        <v>147997.40842133935</v>
      </c>
      <c r="F212">
        <v>46245.974429169641</v>
      </c>
      <c r="G212">
        <v>10000</v>
      </c>
      <c r="H212">
        <v>-10000</v>
      </c>
      <c r="I212">
        <v>38.508620287754795</v>
      </c>
    </row>
    <row r="213" spans="1:9" x14ac:dyDescent="0.2">
      <c r="A213">
        <v>203</v>
      </c>
      <c r="B213">
        <v>921893.17032710672</v>
      </c>
      <c r="C213">
        <v>85047.502341963962</v>
      </c>
      <c r="D213">
        <v>90765.629743925267</v>
      </c>
      <c r="E213">
        <v>49358.056637872643</v>
      </c>
      <c r="F213">
        <v>39417.096228775801</v>
      </c>
      <c r="G213">
        <v>10000</v>
      </c>
      <c r="H213">
        <v>-10000</v>
      </c>
      <c r="I213">
        <v>31.035029808837681</v>
      </c>
    </row>
    <row r="214" spans="1:9" x14ac:dyDescent="0.2">
      <c r="A214">
        <v>204</v>
      </c>
      <c r="B214">
        <v>1394426.7130939492</v>
      </c>
      <c r="C214">
        <v>117524.00756334835</v>
      </c>
      <c r="D214">
        <v>91089.396491112479</v>
      </c>
      <c r="E214">
        <v>139800.39899008174</v>
      </c>
      <c r="F214">
        <v>45678.489160851816</v>
      </c>
      <c r="G214">
        <v>10000</v>
      </c>
      <c r="H214">
        <v>-10000</v>
      </c>
      <c r="I214">
        <v>36.890588652367242</v>
      </c>
    </row>
    <row r="215" spans="1:9" x14ac:dyDescent="0.2">
      <c r="A215">
        <v>205</v>
      </c>
      <c r="B215">
        <v>1113575.7473002602</v>
      </c>
      <c r="C215">
        <v>88833.022045523074</v>
      </c>
      <c r="D215">
        <v>148521.6207235913</v>
      </c>
      <c r="E215">
        <v>40932.944102950154</v>
      </c>
      <c r="F215">
        <v>38833.819207127315</v>
      </c>
      <c r="G215">
        <v>10000</v>
      </c>
      <c r="H215">
        <v>-10000</v>
      </c>
      <c r="I215">
        <v>28.19063999633001</v>
      </c>
    </row>
    <row r="216" spans="1:9" x14ac:dyDescent="0.2">
      <c r="A216">
        <v>206</v>
      </c>
      <c r="B216">
        <v>1432318.8907200648</v>
      </c>
      <c r="C216">
        <v>118244.96594270578</v>
      </c>
      <c r="D216">
        <v>82161.238881098659</v>
      </c>
      <c r="E216">
        <v>157188.64426419456</v>
      </c>
      <c r="F216">
        <v>46882.290756751929</v>
      </c>
      <c r="G216">
        <v>10000</v>
      </c>
      <c r="H216">
        <v>-10000</v>
      </c>
      <c r="I216">
        <v>31.158456905886009</v>
      </c>
    </row>
    <row r="217" spans="1:9" x14ac:dyDescent="0.2">
      <c r="A217">
        <v>207</v>
      </c>
      <c r="B217">
        <v>834607.25549279677</v>
      </c>
      <c r="C217">
        <v>73796.002965276159</v>
      </c>
      <c r="D217">
        <v>71059.364071832955</v>
      </c>
      <c r="E217">
        <v>55938.410390043464</v>
      </c>
      <c r="F217">
        <v>39872.659180849165</v>
      </c>
      <c r="G217">
        <v>10000</v>
      </c>
      <c r="H217">
        <v>-10000</v>
      </c>
      <c r="I217">
        <v>38.269485884358865</v>
      </c>
    </row>
    <row r="218" spans="1:9" x14ac:dyDescent="0.2">
      <c r="A218">
        <v>208</v>
      </c>
      <c r="B218">
        <v>1098791.578746957</v>
      </c>
      <c r="C218">
        <v>127836.69450075332</v>
      </c>
      <c r="D218">
        <v>84032.195270914817</v>
      </c>
      <c r="E218">
        <v>60979.091819599533</v>
      </c>
      <c r="F218">
        <v>40221.629433664588</v>
      </c>
      <c r="G218">
        <v>10000</v>
      </c>
      <c r="H218">
        <v>-10000</v>
      </c>
      <c r="I218">
        <v>36.874165211615818</v>
      </c>
    </row>
    <row r="219" spans="1:9" x14ac:dyDescent="0.2">
      <c r="A219">
        <v>209</v>
      </c>
      <c r="B219">
        <v>943292.74651487952</v>
      </c>
      <c r="C219">
        <v>77840.815682696411</v>
      </c>
      <c r="D219">
        <v>60913.026611820525</v>
      </c>
      <c r="E219">
        <v>89502.920777850246</v>
      </c>
      <c r="F219">
        <v>42196.356053851174</v>
      </c>
      <c r="G219">
        <v>10000</v>
      </c>
      <c r="H219">
        <v>-10000</v>
      </c>
      <c r="I219">
        <v>35.241666067454844</v>
      </c>
    </row>
    <row r="220" spans="1:9" x14ac:dyDescent="0.2">
      <c r="A220">
        <v>210</v>
      </c>
      <c r="B220">
        <v>1104244.2853249311</v>
      </c>
      <c r="C220">
        <v>118094.87504258339</v>
      </c>
      <c r="D220">
        <v>75809.884156367392</v>
      </c>
      <c r="E220">
        <v>79177.70412762124</v>
      </c>
      <c r="F220">
        <v>41481.533362681468</v>
      </c>
      <c r="G220">
        <v>10000</v>
      </c>
      <c r="H220">
        <v>-10000</v>
      </c>
      <c r="I220">
        <v>34.891665671366781</v>
      </c>
    </row>
    <row r="221" spans="1:9" x14ac:dyDescent="0.2">
      <c r="A221">
        <v>211</v>
      </c>
      <c r="B221">
        <v>1161524.532298641</v>
      </c>
      <c r="C221">
        <v>108082.50848514022</v>
      </c>
      <c r="D221">
        <v>92046.986002398102</v>
      </c>
      <c r="E221">
        <v>88037.967971680948</v>
      </c>
      <c r="F221">
        <v>42094.936244193297</v>
      </c>
      <c r="G221">
        <v>10000</v>
      </c>
      <c r="H221">
        <v>-10000</v>
      </c>
      <c r="I221">
        <v>40.262860146878317</v>
      </c>
    </row>
    <row r="222" spans="1:9" x14ac:dyDescent="0.2">
      <c r="A222">
        <v>212</v>
      </c>
      <c r="B222">
        <v>852145.30513214774</v>
      </c>
      <c r="C222">
        <v>100982.17536244537</v>
      </c>
      <c r="D222">
        <v>69806.683185535003</v>
      </c>
      <c r="E222">
        <v>36179.383733645329</v>
      </c>
      <c r="F222">
        <v>38504.72656617545</v>
      </c>
      <c r="G222">
        <v>10000</v>
      </c>
      <c r="H222">
        <v>-10000</v>
      </c>
      <c r="I222">
        <v>50.934113481655096</v>
      </c>
    </row>
    <row r="223" spans="1:9" x14ac:dyDescent="0.2">
      <c r="A223">
        <v>213</v>
      </c>
      <c r="B223">
        <v>818161.37893685955</v>
      </c>
      <c r="C223">
        <v>101253.51610385186</v>
      </c>
      <c r="D223">
        <v>59172.14578442413</v>
      </c>
      <c r="E223">
        <v>37160.889831782144</v>
      </c>
      <c r="F223">
        <v>38572.676988354149</v>
      </c>
      <c r="G223">
        <v>10000</v>
      </c>
      <c r="H223">
        <v>-10000</v>
      </c>
      <c r="I223">
        <v>37.541820288384081</v>
      </c>
    </row>
    <row r="224" spans="1:9" x14ac:dyDescent="0.2">
      <c r="A224">
        <v>214</v>
      </c>
      <c r="B224">
        <v>1132652.4300836059</v>
      </c>
      <c r="C224">
        <v>106313.47248548156</v>
      </c>
      <c r="D224">
        <v>75194.764064783187</v>
      </c>
      <c r="E224">
        <v>98053.093264681724</v>
      </c>
      <c r="F224">
        <v>42788.291072170272</v>
      </c>
      <c r="G224">
        <v>10000</v>
      </c>
      <c r="H224">
        <v>-10000</v>
      </c>
      <c r="I224">
        <v>38.706911368275215</v>
      </c>
    </row>
    <row r="225" spans="1:9" x14ac:dyDescent="0.2">
      <c r="A225">
        <v>215</v>
      </c>
      <c r="B225">
        <v>1071351.8312269887</v>
      </c>
      <c r="C225">
        <v>108888.96595877068</v>
      </c>
      <c r="D225">
        <v>70813.706725257653</v>
      </c>
      <c r="E225">
        <v>84029.302819511839</v>
      </c>
      <c r="F225">
        <v>41817.413272120051</v>
      </c>
      <c r="G225">
        <v>10000</v>
      </c>
      <c r="H225">
        <v>-10000</v>
      </c>
      <c r="I225">
        <v>31.914076204504706</v>
      </c>
    </row>
    <row r="226" spans="1:9" x14ac:dyDescent="0.2">
      <c r="A226">
        <v>216</v>
      </c>
      <c r="B226">
        <v>1279663.2029643278</v>
      </c>
      <c r="C226">
        <v>141653.56118311593</v>
      </c>
      <c r="D226">
        <v>82580.663999172684</v>
      </c>
      <c r="E226">
        <v>95775.043795605336</v>
      </c>
      <c r="F226">
        <v>42630.579955080371</v>
      </c>
      <c r="G226">
        <v>10000</v>
      </c>
      <c r="H226">
        <v>-10000</v>
      </c>
      <c r="I226">
        <v>46.002066811540431</v>
      </c>
    </row>
    <row r="227" spans="1:9" x14ac:dyDescent="0.2">
      <c r="A227">
        <v>217</v>
      </c>
      <c r="B227">
        <v>1725965.9510431718</v>
      </c>
      <c r="C227">
        <v>130628.86623383073</v>
      </c>
      <c r="D227">
        <v>118285.95629563364</v>
      </c>
      <c r="E227">
        <v>187087.90143688335</v>
      </c>
      <c r="F227">
        <v>48952.239330245771</v>
      </c>
      <c r="G227">
        <v>10000</v>
      </c>
      <c r="H227">
        <v>-10000</v>
      </c>
      <c r="I227">
        <v>30.219978325488103</v>
      </c>
    </row>
    <row r="228" spans="1:9" x14ac:dyDescent="0.2">
      <c r="A228">
        <v>218</v>
      </c>
      <c r="B228">
        <v>877132.33680307702</v>
      </c>
      <c r="C228">
        <v>123297.96963086589</v>
      </c>
      <c r="D228">
        <v>57761.800717547914</v>
      </c>
      <c r="E228">
        <v>32978.121146609548</v>
      </c>
      <c r="F228">
        <v>38283.100694765279</v>
      </c>
      <c r="G228">
        <v>10000</v>
      </c>
      <c r="H228">
        <v>-10000</v>
      </c>
      <c r="I228">
        <v>36.150125225607994</v>
      </c>
    </row>
    <row r="229" spans="1:9" x14ac:dyDescent="0.2">
      <c r="A229">
        <v>219</v>
      </c>
      <c r="B229">
        <v>1177340.0154915566</v>
      </c>
      <c r="C229">
        <v>143928.03132529196</v>
      </c>
      <c r="D229">
        <v>74359.032758377783</v>
      </c>
      <c r="E229">
        <v>75109.861473835568</v>
      </c>
      <c r="F229">
        <v>41199.913486650155</v>
      </c>
      <c r="G229">
        <v>10000</v>
      </c>
      <c r="H229">
        <v>-10000</v>
      </c>
      <c r="I229">
        <v>28.363798992981351</v>
      </c>
    </row>
    <row r="230" spans="1:9" x14ac:dyDescent="0.2">
      <c r="A230">
        <v>220</v>
      </c>
      <c r="B230">
        <v>1052621.3067275838</v>
      </c>
      <c r="C230">
        <v>75625.434656800353</v>
      </c>
      <c r="D230">
        <v>53457.451815640648</v>
      </c>
      <c r="E230">
        <v>126570.57821559017</v>
      </c>
      <c r="F230">
        <v>44762.578491848551</v>
      </c>
      <c r="G230">
        <v>10000</v>
      </c>
      <c r="H230">
        <v>-10000</v>
      </c>
      <c r="I230">
        <v>36.728954430325238</v>
      </c>
    </row>
    <row r="231" spans="1:9" x14ac:dyDescent="0.2">
      <c r="A231">
        <v>221</v>
      </c>
      <c r="B231">
        <v>1576267.5801468669</v>
      </c>
      <c r="C231">
        <v>102556.72198955111</v>
      </c>
      <c r="D231">
        <v>146678.1883925419</v>
      </c>
      <c r="E231">
        <v>148418.15068695921</v>
      </c>
      <c r="F231">
        <v>46275.102739866408</v>
      </c>
      <c r="G231">
        <v>10000</v>
      </c>
      <c r="H231">
        <v>-10000</v>
      </c>
      <c r="I231">
        <v>31.420015148637788</v>
      </c>
    </row>
    <row r="232" spans="1:9" x14ac:dyDescent="0.2">
      <c r="A232">
        <v>222</v>
      </c>
      <c r="B232">
        <v>1015912.9463469854</v>
      </c>
      <c r="C232">
        <v>99558.832873401552</v>
      </c>
      <c r="D232">
        <v>91735.10363520711</v>
      </c>
      <c r="E232">
        <v>58978.568022870604</v>
      </c>
      <c r="F232">
        <v>40083.131632352583</v>
      </c>
      <c r="G232">
        <v>10000</v>
      </c>
      <c r="H232">
        <v>-10000</v>
      </c>
      <c r="I232">
        <v>29.500258994816939</v>
      </c>
    </row>
    <row r="233" spans="1:9" x14ac:dyDescent="0.2">
      <c r="A233">
        <v>223</v>
      </c>
      <c r="B233">
        <v>1600763.6156579959</v>
      </c>
      <c r="C233">
        <v>149897.92393877252</v>
      </c>
      <c r="D233">
        <v>96905.273975053977</v>
      </c>
      <c r="E233">
        <v>156971.18913677405</v>
      </c>
      <c r="F233">
        <v>46867.236171007433</v>
      </c>
      <c r="G233">
        <v>10000</v>
      </c>
      <c r="H233">
        <v>-10000</v>
      </c>
      <c r="I233">
        <v>45.389855706241377</v>
      </c>
    </row>
    <row r="234" spans="1:9" x14ac:dyDescent="0.2">
      <c r="A234">
        <v>224</v>
      </c>
      <c r="B234">
        <v>1598941.5230278261</v>
      </c>
      <c r="C234">
        <v>104957.98673260685</v>
      </c>
      <c r="D234">
        <v>122475.22605207772</v>
      </c>
      <c r="E234">
        <v>174619.9674162149</v>
      </c>
      <c r="F234">
        <v>48089.074667276414</v>
      </c>
      <c r="G234">
        <v>10000</v>
      </c>
      <c r="H234">
        <v>-10000</v>
      </c>
      <c r="I234">
        <v>44.218366175988329</v>
      </c>
    </row>
    <row r="235" spans="1:9" x14ac:dyDescent="0.2">
      <c r="A235">
        <v>225</v>
      </c>
      <c r="B235">
        <v>815087.79416719265</v>
      </c>
      <c r="C235">
        <v>88885.361025131962</v>
      </c>
      <c r="D235">
        <v>71270.206194797109</v>
      </c>
      <c r="E235">
        <v>36625.681235050295</v>
      </c>
      <c r="F235">
        <v>38535.624085503478</v>
      </c>
      <c r="G235">
        <v>10000</v>
      </c>
      <c r="H235">
        <v>-10000</v>
      </c>
      <c r="I235">
        <v>31.279336206694119</v>
      </c>
    </row>
    <row r="236" spans="1:9" x14ac:dyDescent="0.2">
      <c r="A236">
        <v>226</v>
      </c>
      <c r="B236">
        <v>1164910.8772715193</v>
      </c>
      <c r="C236">
        <v>83653.665632380638</v>
      </c>
      <c r="D236">
        <v>78989.411043698055</v>
      </c>
      <c r="E236">
        <v>123965.18884435987</v>
      </c>
      <c r="F236">
        <v>44582.205381532607</v>
      </c>
      <c r="G236">
        <v>10000</v>
      </c>
      <c r="H236">
        <v>-10000</v>
      </c>
      <c r="I236">
        <v>34.89103824219891</v>
      </c>
    </row>
    <row r="237" spans="1:9" x14ac:dyDescent="0.2">
      <c r="A237">
        <v>227</v>
      </c>
      <c r="B237">
        <v>1258962.4309195383</v>
      </c>
      <c r="C237">
        <v>98494.802214337746</v>
      </c>
      <c r="D237">
        <v>91343.138586777481</v>
      </c>
      <c r="E237">
        <v>122638.25000261042</v>
      </c>
      <c r="F237">
        <v>44490.340384796109</v>
      </c>
      <c r="G237">
        <v>10000</v>
      </c>
      <c r="H237">
        <v>-10000</v>
      </c>
      <c r="I237">
        <v>27.605892238260495</v>
      </c>
    </row>
    <row r="238" spans="1:9" x14ac:dyDescent="0.2">
      <c r="A238">
        <v>228</v>
      </c>
      <c r="B238">
        <v>942381.59444322111</v>
      </c>
      <c r="C238">
        <v>92739.170129518679</v>
      </c>
      <c r="D238">
        <v>86860.126204804619</v>
      </c>
      <c r="E238">
        <v>51068.591741414508</v>
      </c>
      <c r="F238">
        <v>39535.517889790237</v>
      </c>
      <c r="G238">
        <v>10000</v>
      </c>
      <c r="H238">
        <v>-10000</v>
      </c>
      <c r="I238">
        <v>44.735754222143711</v>
      </c>
    </row>
    <row r="239" spans="1:9" x14ac:dyDescent="0.2">
      <c r="A239">
        <v>229</v>
      </c>
      <c r="B239">
        <v>1356367.8298632384</v>
      </c>
      <c r="C239">
        <v>102732.31864150605</v>
      </c>
      <c r="D239">
        <v>46498.025797182243</v>
      </c>
      <c r="E239">
        <v>185583.33521905684</v>
      </c>
      <c r="F239">
        <v>48848.077053627014</v>
      </c>
      <c r="G239">
        <v>10000</v>
      </c>
      <c r="H239">
        <v>-10000</v>
      </c>
      <c r="I239">
        <v>51.860756028569313</v>
      </c>
    </row>
    <row r="240" spans="1:9" x14ac:dyDescent="0.2">
      <c r="A240">
        <v>230</v>
      </c>
      <c r="B240">
        <v>1229872.9516742725</v>
      </c>
      <c r="C240">
        <v>92190.686772726302</v>
      </c>
      <c r="D240">
        <v>63006.597497364273</v>
      </c>
      <c r="E240">
        <v>147579.82899522912</v>
      </c>
      <c r="F240">
        <v>46217.065084285096</v>
      </c>
      <c r="G240">
        <v>10000</v>
      </c>
      <c r="H240">
        <v>-10000</v>
      </c>
      <c r="I240">
        <v>41.361121136142799</v>
      </c>
    </row>
    <row r="241" spans="1:9" x14ac:dyDescent="0.2">
      <c r="A241">
        <v>231</v>
      </c>
      <c r="B241">
        <v>968569.85592222132</v>
      </c>
      <c r="C241">
        <v>134744.10707332837</v>
      </c>
      <c r="D241">
        <v>46228.905794438106</v>
      </c>
      <c r="E241">
        <v>56496.343859779321</v>
      </c>
      <c r="F241">
        <v>39911.285344138567</v>
      </c>
      <c r="G241">
        <v>10000</v>
      </c>
      <c r="H241">
        <v>-10000</v>
      </c>
      <c r="I241">
        <v>37.107995612086242</v>
      </c>
    </row>
    <row r="242" spans="1:9" x14ac:dyDescent="0.2">
      <c r="A242">
        <v>232</v>
      </c>
      <c r="B242">
        <v>1285563.7166523351</v>
      </c>
      <c r="C242">
        <v>97616.959713366829</v>
      </c>
      <c r="D242">
        <v>171894.71882435807</v>
      </c>
      <c r="E242">
        <v>54941.63201672236</v>
      </c>
      <c r="F242">
        <v>39803.651447311546</v>
      </c>
      <c r="G242">
        <v>10000</v>
      </c>
      <c r="H242">
        <v>-10000</v>
      </c>
      <c r="I242">
        <v>28.472409730062878</v>
      </c>
    </row>
    <row r="243" spans="1:9" x14ac:dyDescent="0.2">
      <c r="A243">
        <v>233</v>
      </c>
      <c r="B243">
        <v>886289.08154416108</v>
      </c>
      <c r="C243">
        <v>93136.173372101664</v>
      </c>
      <c r="D243">
        <v>70811.823873858812</v>
      </c>
      <c r="E243">
        <v>51328.976275656976</v>
      </c>
      <c r="F243">
        <v>39553.544511391636</v>
      </c>
      <c r="G243">
        <v>10000</v>
      </c>
      <c r="H243">
        <v>-10000</v>
      </c>
      <c r="I243">
        <v>44.798564653852438</v>
      </c>
    </row>
    <row r="244" spans="1:9" x14ac:dyDescent="0.2">
      <c r="A244">
        <v>234</v>
      </c>
      <c r="B244">
        <v>1002295.4573027875</v>
      </c>
      <c r="C244">
        <v>76294.041022292222</v>
      </c>
      <c r="D244">
        <v>94027.946856334936</v>
      </c>
      <c r="E244">
        <v>75102.21305253754</v>
      </c>
      <c r="F244">
        <v>41199.383980560291</v>
      </c>
      <c r="G244">
        <v>10000</v>
      </c>
      <c r="H244">
        <v>-10000</v>
      </c>
      <c r="I244">
        <v>30.445693542645465</v>
      </c>
    </row>
    <row r="245" spans="1:9" x14ac:dyDescent="0.2">
      <c r="A245">
        <v>235</v>
      </c>
      <c r="B245">
        <v>1305773.5228252329</v>
      </c>
      <c r="C245">
        <v>120293.20073950909</v>
      </c>
      <c r="D245">
        <v>134173.90172074732</v>
      </c>
      <c r="E245">
        <v>74192.23608251175</v>
      </c>
      <c r="F245">
        <v>41136.385574943117</v>
      </c>
      <c r="G245">
        <v>10000</v>
      </c>
      <c r="H245">
        <v>-10000</v>
      </c>
      <c r="I245">
        <v>39.288246593495245</v>
      </c>
    </row>
    <row r="246" spans="1:9" x14ac:dyDescent="0.2">
      <c r="A246">
        <v>236</v>
      </c>
      <c r="B246">
        <v>1473294.3425965821</v>
      </c>
      <c r="C246">
        <v>149110.86252600027</v>
      </c>
      <c r="D246">
        <v>103969.81027468479</v>
      </c>
      <c r="E246">
        <v>118427.49949252838</v>
      </c>
      <c r="F246">
        <v>44198.826887944277</v>
      </c>
      <c r="G246">
        <v>10000</v>
      </c>
      <c r="H246">
        <v>-10000</v>
      </c>
      <c r="I246">
        <v>30.712820812034337</v>
      </c>
    </row>
    <row r="247" spans="1:9" x14ac:dyDescent="0.2">
      <c r="A247">
        <v>237</v>
      </c>
      <c r="B247">
        <v>1206148.0215806966</v>
      </c>
      <c r="C247">
        <v>128443.32052244993</v>
      </c>
      <c r="D247">
        <v>51481.898709614899</v>
      </c>
      <c r="E247">
        <v>118371.85656051213</v>
      </c>
      <c r="F247">
        <v>44194.974684958528</v>
      </c>
      <c r="G247">
        <v>10000</v>
      </c>
      <c r="H247">
        <v>-10000</v>
      </c>
      <c r="I247">
        <v>35.583395034593039</v>
      </c>
    </row>
    <row r="248" spans="1:9" x14ac:dyDescent="0.2">
      <c r="A248">
        <v>238</v>
      </c>
      <c r="B248">
        <v>1212792.1126687359</v>
      </c>
      <c r="C248">
        <v>95970.247024035663</v>
      </c>
      <c r="D248">
        <v>84718.719847721746</v>
      </c>
      <c r="E248">
        <v>119360.56038978278</v>
      </c>
      <c r="F248">
        <v>44263.42341160035</v>
      </c>
      <c r="G248">
        <v>10000</v>
      </c>
      <c r="H248">
        <v>-10000</v>
      </c>
      <c r="I248">
        <v>32.339405591529314</v>
      </c>
    </row>
    <row r="249" spans="1:9" x14ac:dyDescent="0.2">
      <c r="A249">
        <v>239</v>
      </c>
      <c r="B249">
        <v>902266.98055298836</v>
      </c>
      <c r="C249">
        <v>114511.32412372618</v>
      </c>
      <c r="D249">
        <v>36167.440822642318</v>
      </c>
      <c r="E249">
        <v>67834.472871976584</v>
      </c>
      <c r="F249">
        <v>40696.232737290688</v>
      </c>
      <c r="G249">
        <v>10000</v>
      </c>
      <c r="H249">
        <v>-10000</v>
      </c>
      <c r="I249">
        <v>39.409782237378685</v>
      </c>
    </row>
    <row r="250" spans="1:9" x14ac:dyDescent="0.2">
      <c r="A250">
        <v>240</v>
      </c>
      <c r="B250">
        <v>1761214.8909518397</v>
      </c>
      <c r="C250">
        <v>112340.09244300114</v>
      </c>
      <c r="D250">
        <v>150009.23918863246</v>
      </c>
      <c r="E250">
        <v>183558.19064624418</v>
      </c>
      <c r="F250">
        <v>48707.874737047678</v>
      </c>
      <c r="G250">
        <v>10000</v>
      </c>
      <c r="H250">
        <v>-10000</v>
      </c>
      <c r="I250">
        <v>34.665539472608188</v>
      </c>
    </row>
    <row r="251" spans="1:9" x14ac:dyDescent="0.2">
      <c r="A251">
        <v>241</v>
      </c>
      <c r="B251">
        <v>1334076.9035251676</v>
      </c>
      <c r="C251">
        <v>106292.79049911605</v>
      </c>
      <c r="D251">
        <v>71442.22285686461</v>
      </c>
      <c r="E251">
        <v>153210.72654392003</v>
      </c>
      <c r="F251">
        <v>46606.896453040616</v>
      </c>
      <c r="G251">
        <v>10000</v>
      </c>
      <c r="H251">
        <v>-10000</v>
      </c>
      <c r="I251">
        <v>39.33340381811152</v>
      </c>
    </row>
    <row r="252" spans="1:9" x14ac:dyDescent="0.2">
      <c r="A252">
        <v>242</v>
      </c>
      <c r="B252">
        <v>1475912.7336641417</v>
      </c>
      <c r="C252">
        <v>99972.606187013735</v>
      </c>
      <c r="D252">
        <v>103081.00980701293</v>
      </c>
      <c r="E252">
        <v>165886.53512644899</v>
      </c>
      <c r="F252">
        <v>47484.452431831087</v>
      </c>
      <c r="G252">
        <v>10000</v>
      </c>
      <c r="H252">
        <v>-10000</v>
      </c>
      <c r="I252">
        <v>27.209618787457892</v>
      </c>
    </row>
    <row r="253" spans="1:9" x14ac:dyDescent="0.2">
      <c r="A253">
        <v>243</v>
      </c>
      <c r="B253">
        <v>1238318.6276496311</v>
      </c>
      <c r="C253">
        <v>107870.43777240335</v>
      </c>
      <c r="D253">
        <v>61642.061078222374</v>
      </c>
      <c r="E253">
        <v>136356.27764186062</v>
      </c>
      <c r="F253">
        <v>45440.049990590349</v>
      </c>
      <c r="G253">
        <v>10000</v>
      </c>
      <c r="H253">
        <v>-10000</v>
      </c>
      <c r="I253">
        <v>35.967490506183523</v>
      </c>
    </row>
    <row r="254" spans="1:9" x14ac:dyDescent="0.2">
      <c r="A254">
        <v>244</v>
      </c>
      <c r="B254">
        <v>962109.84904100653</v>
      </c>
      <c r="C254">
        <v>138285.91174165509</v>
      </c>
      <c r="D254">
        <v>30853.863019671851</v>
      </c>
      <c r="E254">
        <v>65907.584995617653</v>
      </c>
      <c r="F254">
        <v>40562.832807388913</v>
      </c>
      <c r="G254">
        <v>10000</v>
      </c>
      <c r="H254">
        <v>-10000</v>
      </c>
      <c r="I254">
        <v>44.281481803945667</v>
      </c>
    </row>
    <row r="255" spans="1:9" x14ac:dyDescent="0.2">
      <c r="A255">
        <v>245</v>
      </c>
      <c r="B255">
        <v>1331709.2063022815</v>
      </c>
      <c r="C255">
        <v>129047.21703246962</v>
      </c>
      <c r="D255">
        <v>89746.543731687125</v>
      </c>
      <c r="E255">
        <v>114203.57575150066</v>
      </c>
      <c r="F255">
        <v>43906.401398180817</v>
      </c>
      <c r="G255">
        <v>10000</v>
      </c>
      <c r="H255">
        <v>-10000</v>
      </c>
      <c r="I255">
        <v>32.804434944006644</v>
      </c>
    </row>
    <row r="256" spans="1:9" x14ac:dyDescent="0.2">
      <c r="A256">
        <v>246</v>
      </c>
      <c r="B256">
        <v>1098260.1900835205</v>
      </c>
      <c r="C256">
        <v>136074.26202685293</v>
      </c>
      <c r="D256">
        <v>102756.99575700759</v>
      </c>
      <c r="E256">
        <v>35626.284159820338</v>
      </c>
      <c r="F256">
        <v>38466.435057218332</v>
      </c>
      <c r="G256">
        <v>10000</v>
      </c>
      <c r="H256">
        <v>-10000</v>
      </c>
      <c r="I256">
        <v>29.675599240860357</v>
      </c>
    </row>
    <row r="257" spans="1:9" x14ac:dyDescent="0.2">
      <c r="A257">
        <v>247</v>
      </c>
      <c r="B257">
        <v>891046.68585871055</v>
      </c>
      <c r="C257">
        <v>76014.429398085718</v>
      </c>
      <c r="D257">
        <v>45153.317717620237</v>
      </c>
      <c r="E257">
        <v>92558.741806673075</v>
      </c>
      <c r="F257">
        <v>42407.912894308138</v>
      </c>
      <c r="G257">
        <v>10000</v>
      </c>
      <c r="H257">
        <v>-10000</v>
      </c>
      <c r="I257">
        <v>32.379926310410298</v>
      </c>
    </row>
    <row r="258" spans="1:9" x14ac:dyDescent="0.2">
      <c r="A258">
        <v>248</v>
      </c>
      <c r="B258">
        <v>1266573.148375957</v>
      </c>
      <c r="C258">
        <v>104537.2861816027</v>
      </c>
      <c r="D258">
        <v>105982.14716230713</v>
      </c>
      <c r="E258">
        <v>105246.61083178238</v>
      </c>
      <c r="F258">
        <v>43286.303826815703</v>
      </c>
      <c r="G258">
        <v>10000</v>
      </c>
      <c r="H258">
        <v>-10000</v>
      </c>
      <c r="I258">
        <v>37.278550180690608</v>
      </c>
    </row>
    <row r="259" spans="1:9" x14ac:dyDescent="0.2">
      <c r="A259">
        <v>249</v>
      </c>
      <c r="B259">
        <v>1348734.2436049965</v>
      </c>
      <c r="C259">
        <v>99644.857349988801</v>
      </c>
      <c r="D259">
        <v>111814.66231708776</v>
      </c>
      <c r="E259">
        <v>125426.76155128492</v>
      </c>
      <c r="F259">
        <v>44683.39118431972</v>
      </c>
      <c r="G259">
        <v>10000</v>
      </c>
      <c r="H259">
        <v>-10000</v>
      </c>
      <c r="I259">
        <v>28.729393041780632</v>
      </c>
    </row>
    <row r="260" spans="1:9" x14ac:dyDescent="0.2">
      <c r="A260">
        <v>250</v>
      </c>
      <c r="B260">
        <v>1518226.1220893511</v>
      </c>
      <c r="C260">
        <v>125511.90805006705</v>
      </c>
      <c r="D260">
        <v>112121.86367159332</v>
      </c>
      <c r="E260">
        <v>144391.06565865234</v>
      </c>
      <c r="F260">
        <v>45996.304545599007</v>
      </c>
      <c r="G260">
        <v>10000</v>
      </c>
      <c r="H260">
        <v>-10000</v>
      </c>
      <c r="I260">
        <v>49.711018728970565</v>
      </c>
    </row>
    <row r="261" spans="1:9" x14ac:dyDescent="0.2">
      <c r="A261">
        <v>251</v>
      </c>
      <c r="B261">
        <v>1311898.2172189758</v>
      </c>
      <c r="C261">
        <v>133353.38088074219</v>
      </c>
      <c r="D261">
        <v>39899.402446886736</v>
      </c>
      <c r="E261">
        <v>151717.94357787655</v>
      </c>
      <c r="F261">
        <v>46503.549940006837</v>
      </c>
      <c r="G261">
        <v>10000</v>
      </c>
      <c r="H261">
        <v>-10000</v>
      </c>
      <c r="I261">
        <v>32.064256220189449</v>
      </c>
    </row>
    <row r="262" spans="1:9" x14ac:dyDescent="0.2">
      <c r="A262">
        <v>252</v>
      </c>
      <c r="B262">
        <v>1659264.8379310074</v>
      </c>
      <c r="C262">
        <v>143870.6168865689</v>
      </c>
      <c r="D262">
        <v>140868.85645019915</v>
      </c>
      <c r="E262">
        <v>136486.13598978359</v>
      </c>
      <c r="F262">
        <v>45449.040183908095</v>
      </c>
      <c r="G262">
        <v>10000</v>
      </c>
      <c r="H262">
        <v>-10000</v>
      </c>
      <c r="I262">
        <v>41.687709734146594</v>
      </c>
    </row>
    <row r="263" spans="1:9" x14ac:dyDescent="0.2">
      <c r="A263">
        <v>253</v>
      </c>
      <c r="B263">
        <v>1803549.2893809776</v>
      </c>
      <c r="C263">
        <v>108794.57278373347</v>
      </c>
      <c r="D263">
        <v>143287.11808935515</v>
      </c>
      <c r="E263">
        <v>204012.08874597508</v>
      </c>
      <c r="F263">
        <v>50123.91383625981</v>
      </c>
      <c r="G263">
        <v>10000</v>
      </c>
      <c r="H263">
        <v>-10000</v>
      </c>
      <c r="I263">
        <v>44.216062283338303</v>
      </c>
    </row>
    <row r="264" spans="1:9" x14ac:dyDescent="0.2">
      <c r="A264">
        <v>254</v>
      </c>
      <c r="B264">
        <v>1401303.6294995798</v>
      </c>
      <c r="C264">
        <v>127083.97350346205</v>
      </c>
      <c r="D264">
        <v>69663.611968714642</v>
      </c>
      <c r="E264">
        <v>152660.60466477968</v>
      </c>
      <c r="F264">
        <v>46568.811092177057</v>
      </c>
      <c r="G264">
        <v>10000</v>
      </c>
      <c r="H264">
        <v>-10000</v>
      </c>
      <c r="I264">
        <v>33.549797409253379</v>
      </c>
    </row>
    <row r="265" spans="1:9" x14ac:dyDescent="0.2">
      <c r="A265">
        <v>255</v>
      </c>
      <c r="B265">
        <v>1669138.4618021734</v>
      </c>
      <c r="C265">
        <v>119105.96658310742</v>
      </c>
      <c r="D265">
        <v>96750.594076474546</v>
      </c>
      <c r="E265">
        <v>203439.79154921122</v>
      </c>
      <c r="F265">
        <v>50084.293261099236</v>
      </c>
      <c r="G265">
        <v>10000</v>
      </c>
      <c r="H265">
        <v>-10000</v>
      </c>
      <c r="I265">
        <v>32.320624144980442</v>
      </c>
    </row>
    <row r="266" spans="1:9" x14ac:dyDescent="0.2">
      <c r="A266">
        <v>256</v>
      </c>
      <c r="B266">
        <v>1350855.741774695</v>
      </c>
      <c r="C266">
        <v>156197.91906803136</v>
      </c>
      <c r="D266">
        <v>95657.827572299269</v>
      </c>
      <c r="E266">
        <v>88189.895801194652</v>
      </c>
      <c r="F266">
        <v>42105.45432469809</v>
      </c>
      <c r="G266">
        <v>10000</v>
      </c>
      <c r="H266">
        <v>-10000</v>
      </c>
      <c r="I266">
        <v>37.759524519401054</v>
      </c>
    </row>
    <row r="267" spans="1:9" x14ac:dyDescent="0.2">
      <c r="A267">
        <v>257</v>
      </c>
      <c r="B267">
        <v>1361037.9303073185</v>
      </c>
      <c r="C267">
        <v>99994.579428219193</v>
      </c>
      <c r="D267">
        <v>69000.347138820202</v>
      </c>
      <c r="E267">
        <v>168295.50507186347</v>
      </c>
      <c r="F267">
        <v>47651.227274205929</v>
      </c>
      <c r="G267">
        <v>10000</v>
      </c>
      <c r="H267">
        <v>-10000</v>
      </c>
      <c r="I267">
        <v>31.06108694196076</v>
      </c>
    </row>
    <row r="268" spans="1:9" x14ac:dyDescent="0.2">
      <c r="A268">
        <v>258</v>
      </c>
      <c r="B268">
        <v>1571875.5081826136</v>
      </c>
      <c r="C268">
        <v>118678.87842796744</v>
      </c>
      <c r="D268">
        <v>147668.71419887504</v>
      </c>
      <c r="E268">
        <v>131287.71670890498</v>
      </c>
      <c r="F268">
        <v>45089.149618308809</v>
      </c>
      <c r="G268">
        <v>10000</v>
      </c>
      <c r="H268">
        <v>-10000</v>
      </c>
      <c r="I268">
        <v>28.966076475799447</v>
      </c>
    </row>
    <row r="269" spans="1:9" x14ac:dyDescent="0.2">
      <c r="A269">
        <v>259</v>
      </c>
      <c r="B269">
        <v>1376443.0388858477</v>
      </c>
      <c r="C269">
        <v>113608.39550706801</v>
      </c>
      <c r="D269">
        <v>78195.321041101794</v>
      </c>
      <c r="E269">
        <v>150912.14994035053</v>
      </c>
      <c r="F269">
        <v>46447.764226639651</v>
      </c>
      <c r="G269">
        <v>10000</v>
      </c>
      <c r="H269">
        <v>-10000</v>
      </c>
      <c r="I269">
        <v>52.303606959988471</v>
      </c>
    </row>
    <row r="270" spans="1:9" x14ac:dyDescent="0.2">
      <c r="A270">
        <v>260</v>
      </c>
      <c r="B270">
        <v>1031207.45673118</v>
      </c>
      <c r="C270">
        <v>102197.79695864425</v>
      </c>
      <c r="D270">
        <v>77428.602634341893</v>
      </c>
      <c r="E270">
        <v>73810.911320629413</v>
      </c>
      <c r="F270">
        <v>41109.986168351272</v>
      </c>
      <c r="G270">
        <v>10000</v>
      </c>
      <c r="H270">
        <v>-10000</v>
      </c>
      <c r="I270">
        <v>37.592330980937007</v>
      </c>
    </row>
    <row r="271" spans="1:9" x14ac:dyDescent="0.2">
      <c r="A271">
        <v>261</v>
      </c>
      <c r="B271">
        <v>1431726.1421528312</v>
      </c>
      <c r="C271">
        <v>121547.51220403225</v>
      </c>
      <c r="D271">
        <v>123727.04538697662</v>
      </c>
      <c r="E271">
        <v>115073.50450905909</v>
      </c>
      <c r="F271">
        <v>43966.627235242551</v>
      </c>
      <c r="G271">
        <v>10000</v>
      </c>
      <c r="H271">
        <v>-10000</v>
      </c>
      <c r="I271">
        <v>34.078945521901318</v>
      </c>
    </row>
    <row r="272" spans="1:9" x14ac:dyDescent="0.2">
      <c r="A272">
        <v>262</v>
      </c>
      <c r="B272">
        <v>1749335.2946541412</v>
      </c>
      <c r="C272">
        <v>150015.12336278753</v>
      </c>
      <c r="D272">
        <v>135981.45216790965</v>
      </c>
      <c r="E272">
        <v>158397.10881713408</v>
      </c>
      <c r="F272">
        <v>46965.95368734005</v>
      </c>
      <c r="G272">
        <v>10000</v>
      </c>
      <c r="H272">
        <v>-10000</v>
      </c>
      <c r="I272">
        <v>38.368700799237359</v>
      </c>
    </row>
    <row r="273" spans="1:9" x14ac:dyDescent="0.2">
      <c r="A273">
        <v>263</v>
      </c>
      <c r="B273">
        <v>1763160.2020695878</v>
      </c>
      <c r="C273">
        <v>150458.55159032607</v>
      </c>
      <c r="D273">
        <v>117914.52881172174</v>
      </c>
      <c r="E273">
        <v>178423.08704243018</v>
      </c>
      <c r="F273">
        <v>48352.367564475935</v>
      </c>
      <c r="G273">
        <v>10000</v>
      </c>
      <c r="H273">
        <v>-10000</v>
      </c>
      <c r="I273">
        <v>30.211310741617108</v>
      </c>
    </row>
    <row r="274" spans="1:9" x14ac:dyDescent="0.2">
      <c r="A274">
        <v>264</v>
      </c>
      <c r="B274">
        <v>1644248.7499843049</v>
      </c>
      <c r="C274">
        <v>90281.919964297733</v>
      </c>
      <c r="D274">
        <v>150487.43088900231</v>
      </c>
      <c r="E274">
        <v>173760.37839691024</v>
      </c>
      <c r="F274">
        <v>48029.564658247633</v>
      </c>
      <c r="G274">
        <v>10000</v>
      </c>
      <c r="H274">
        <v>-10000</v>
      </c>
      <c r="I274">
        <v>33.072366185866301</v>
      </c>
    </row>
    <row r="275" spans="1:9" x14ac:dyDescent="0.2">
      <c r="A275">
        <v>265</v>
      </c>
      <c r="B275">
        <v>1202091.3340917372</v>
      </c>
      <c r="C275">
        <v>71091.170859510021</v>
      </c>
      <c r="D275">
        <v>95024.159144411038</v>
      </c>
      <c r="E275">
        <v>130247.77824874801</v>
      </c>
      <c r="F275">
        <v>45017.153878759476</v>
      </c>
      <c r="G275">
        <v>10000</v>
      </c>
      <c r="H275">
        <v>-10000</v>
      </c>
      <c r="I275">
        <v>25.712039203388215</v>
      </c>
    </row>
    <row r="276" spans="1:9" x14ac:dyDescent="0.2">
      <c r="A276">
        <v>266</v>
      </c>
      <c r="B276">
        <v>1654012.1507774105</v>
      </c>
      <c r="C276">
        <v>115264.03660792881</v>
      </c>
      <c r="D276">
        <v>96048.189760195353</v>
      </c>
      <c r="E276">
        <v>203812.74248042644</v>
      </c>
      <c r="F276">
        <v>50110.112940952597</v>
      </c>
      <c r="G276">
        <v>10000</v>
      </c>
      <c r="H276">
        <v>-10000</v>
      </c>
      <c r="I276">
        <v>42.075065484458932</v>
      </c>
    </row>
    <row r="277" spans="1:9" x14ac:dyDescent="0.2">
      <c r="A277">
        <v>267</v>
      </c>
      <c r="B277">
        <v>1183001.9581059162</v>
      </c>
      <c r="C277">
        <v>90740.109111358528</v>
      </c>
      <c r="D277">
        <v>82578.586370670688</v>
      </c>
      <c r="E277">
        <v>118617.86693092313</v>
      </c>
      <c r="F277">
        <v>44212.006172140835</v>
      </c>
      <c r="G277">
        <v>10000</v>
      </c>
      <c r="H277">
        <v>-10000</v>
      </c>
      <c r="I277">
        <v>41.757060350677456</v>
      </c>
    </row>
    <row r="278" spans="1:9" x14ac:dyDescent="0.2">
      <c r="A278">
        <v>268</v>
      </c>
      <c r="B278">
        <v>1819349.3271150137</v>
      </c>
      <c r="C278">
        <v>123595.17989284982</v>
      </c>
      <c r="D278">
        <v>161811.42827026124</v>
      </c>
      <c r="E278">
        <v>176894.73408878568</v>
      </c>
      <c r="F278">
        <v>48246.558513839002</v>
      </c>
      <c r="G278">
        <v>10000</v>
      </c>
      <c r="H278">
        <v>-10000</v>
      </c>
      <c r="I278">
        <v>28.957524327930315</v>
      </c>
    </row>
    <row r="279" spans="1:9" x14ac:dyDescent="0.2">
      <c r="A279">
        <v>269</v>
      </c>
      <c r="B279">
        <v>1259177.5385683235</v>
      </c>
      <c r="C279">
        <v>106822.73794118076</v>
      </c>
      <c r="D279">
        <v>99234.101294365304</v>
      </c>
      <c r="E279">
        <v>107524.63203485601</v>
      </c>
      <c r="F279">
        <v>43444.012987028487</v>
      </c>
      <c r="G279">
        <v>10000</v>
      </c>
      <c r="H279">
        <v>-10000</v>
      </c>
      <c r="I279">
        <v>28.791641803170812</v>
      </c>
    </row>
    <row r="280" spans="1:9" x14ac:dyDescent="0.2">
      <c r="A280">
        <v>270</v>
      </c>
      <c r="B280">
        <v>1332554.7333422245</v>
      </c>
      <c r="C280">
        <v>89868.850275761361</v>
      </c>
      <c r="D280">
        <v>130273.56725481713</v>
      </c>
      <c r="E280">
        <v>113158.96589041482</v>
      </c>
      <c r="F280">
        <v>43834.082253951798</v>
      </c>
      <c r="G280">
        <v>10000</v>
      </c>
      <c r="H280">
        <v>-10000</v>
      </c>
      <c r="I280">
        <v>27.645342276970478</v>
      </c>
    </row>
    <row r="281" spans="1:9" x14ac:dyDescent="0.2">
      <c r="A281">
        <v>271</v>
      </c>
      <c r="B281">
        <v>1408774.5804842312</v>
      </c>
      <c r="C281">
        <v>125431.16566616773</v>
      </c>
      <c r="D281">
        <v>51994.197421304743</v>
      </c>
      <c r="E281">
        <v>172646.68716559827</v>
      </c>
      <c r="F281">
        <v>47952.462957618343</v>
      </c>
      <c r="G281">
        <v>10000</v>
      </c>
      <c r="H281">
        <v>-10000</v>
      </c>
      <c r="I281">
        <v>41.071171597964479</v>
      </c>
    </row>
    <row r="282" spans="1:9" x14ac:dyDescent="0.2">
      <c r="A282">
        <v>272</v>
      </c>
      <c r="B282">
        <v>1056841.509100901</v>
      </c>
      <c r="C282">
        <v>102627.02890416957</v>
      </c>
      <c r="D282">
        <v>115747.64329270906</v>
      </c>
      <c r="E282">
        <v>44141.988879586555</v>
      </c>
      <c r="F282">
        <v>39055.983845509836</v>
      </c>
      <c r="G282">
        <v>10000</v>
      </c>
      <c r="H282">
        <v>-10000</v>
      </c>
      <c r="I282">
        <v>32.084564560303413</v>
      </c>
    </row>
    <row r="283" spans="1:9" x14ac:dyDescent="0.2">
      <c r="A283">
        <v>273</v>
      </c>
      <c r="B283">
        <v>1636146.3022745051</v>
      </c>
      <c r="C283">
        <v>140669.39519341447</v>
      </c>
      <c r="D283">
        <v>106659.60988057175</v>
      </c>
      <c r="E283">
        <v>165548.6467440238</v>
      </c>
      <c r="F283">
        <v>47461.060159201646</v>
      </c>
      <c r="G283">
        <v>10000</v>
      </c>
      <c r="H283">
        <v>-10000</v>
      </c>
      <c r="I283">
        <v>29.740657579655966</v>
      </c>
    </row>
    <row r="284" spans="1:9" x14ac:dyDescent="0.2">
      <c r="A284">
        <v>274</v>
      </c>
      <c r="B284">
        <v>1128702.594901436</v>
      </c>
      <c r="C284">
        <v>103270.04857717246</v>
      </c>
      <c r="D284">
        <v>53752.290310164826</v>
      </c>
      <c r="E284">
        <v>119941.15921327335</v>
      </c>
      <c r="F284">
        <v>44303.618714765078</v>
      </c>
      <c r="G284">
        <v>10000</v>
      </c>
      <c r="H284">
        <v>-10000</v>
      </c>
      <c r="I284">
        <v>38.868238200608808</v>
      </c>
    </row>
    <row r="285" spans="1:9" x14ac:dyDescent="0.2">
      <c r="A285">
        <v>275</v>
      </c>
      <c r="B285">
        <v>1146761.3225069235</v>
      </c>
      <c r="C285">
        <v>141543.18042856679</v>
      </c>
      <c r="D285">
        <v>67995.389037731191</v>
      </c>
      <c r="E285">
        <v>75454.037171090953</v>
      </c>
      <c r="F285">
        <v>41223.741034921688</v>
      </c>
      <c r="G285">
        <v>10000</v>
      </c>
      <c r="H285">
        <v>-10000</v>
      </c>
      <c r="I285">
        <v>25.790205229247579</v>
      </c>
    </row>
    <row r="286" spans="1:9" x14ac:dyDescent="0.2">
      <c r="A286">
        <v>276</v>
      </c>
      <c r="B286">
        <v>1552015.6735132115</v>
      </c>
      <c r="C286">
        <v>135790.69215269774</v>
      </c>
      <c r="D286">
        <v>58007.410743827946</v>
      </c>
      <c r="E286">
        <v>194049.32423125164</v>
      </c>
      <c r="F286">
        <v>49434.183985240496</v>
      </c>
      <c r="G286">
        <v>10000</v>
      </c>
      <c r="H286">
        <v>-10000</v>
      </c>
      <c r="I286">
        <v>29.840728442666567</v>
      </c>
    </row>
    <row r="287" spans="1:9" x14ac:dyDescent="0.2">
      <c r="A287">
        <v>277</v>
      </c>
      <c r="B287">
        <v>951196.80286429753</v>
      </c>
      <c r="C287">
        <v>93501.643246060092</v>
      </c>
      <c r="D287">
        <v>96327.487388207475</v>
      </c>
      <c r="E287">
        <v>43760.617463112176</v>
      </c>
      <c r="F287">
        <v>39029.581208984688</v>
      </c>
      <c r="G287">
        <v>10000</v>
      </c>
      <c r="H287">
        <v>-10000</v>
      </c>
      <c r="I287">
        <v>53.269087768720667</v>
      </c>
    </row>
    <row r="288" spans="1:9" x14ac:dyDescent="0.2">
      <c r="A288">
        <v>278</v>
      </c>
      <c r="B288">
        <v>1021872.6094811836</v>
      </c>
      <c r="C288">
        <v>109766.80075057971</v>
      </c>
      <c r="D288">
        <v>97835.7240072032</v>
      </c>
      <c r="E288">
        <v>45253.500505030017</v>
      </c>
      <c r="F288">
        <v>39132.93465034823</v>
      </c>
      <c r="G288">
        <v>10000</v>
      </c>
      <c r="H288">
        <v>-10000</v>
      </c>
      <c r="I288">
        <v>35.700517578943789</v>
      </c>
    </row>
    <row r="289" spans="1:9" x14ac:dyDescent="0.2">
      <c r="A289">
        <v>279</v>
      </c>
      <c r="B289">
        <v>1209726.583122368</v>
      </c>
      <c r="C289">
        <v>108906.5188313956</v>
      </c>
      <c r="D289">
        <v>40968.610069468137</v>
      </c>
      <c r="E289">
        <v>147393.50735032605</v>
      </c>
      <c r="F289">
        <v>46204.165893484111</v>
      </c>
      <c r="G289">
        <v>10000</v>
      </c>
      <c r="H289">
        <v>-10000</v>
      </c>
      <c r="I289">
        <v>34.678487682328978</v>
      </c>
    </row>
    <row r="290" spans="1:9" x14ac:dyDescent="0.2">
      <c r="A290">
        <v>280</v>
      </c>
      <c r="B290">
        <v>1343913.6450313367</v>
      </c>
      <c r="C290">
        <v>127359.36908863537</v>
      </c>
      <c r="D290">
        <v>37828.658447544927</v>
      </c>
      <c r="E290">
        <v>167466.65157209575</v>
      </c>
      <c r="F290">
        <v>47593.845108837399</v>
      </c>
      <c r="G290">
        <v>10000</v>
      </c>
      <c r="H290">
        <v>-10000</v>
      </c>
      <c r="I290">
        <v>34.721091165947584</v>
      </c>
    </row>
    <row r="291" spans="1:9" x14ac:dyDescent="0.2">
      <c r="A291">
        <v>281</v>
      </c>
      <c r="B291">
        <v>1221892.7703794199</v>
      </c>
      <c r="C291">
        <v>111061.6865349525</v>
      </c>
      <c r="D291">
        <v>64083.071628876067</v>
      </c>
      <c r="E291">
        <v>126878.45399805447</v>
      </c>
      <c r="F291">
        <v>44783.892969096079</v>
      </c>
      <c r="G291">
        <v>10000</v>
      </c>
      <c r="H291">
        <v>-10000</v>
      </c>
      <c r="I291">
        <v>38.794411931923804</v>
      </c>
    </row>
    <row r="292" spans="1:9" x14ac:dyDescent="0.2">
      <c r="A292">
        <v>282</v>
      </c>
      <c r="B292">
        <v>1490313.8738271764</v>
      </c>
      <c r="C292">
        <v>104666.03563348444</v>
      </c>
      <c r="D292">
        <v>107683.17618485144</v>
      </c>
      <c r="E292">
        <v>160884.0839515228</v>
      </c>
      <c r="F292">
        <v>47138.128888951578</v>
      </c>
      <c r="G292">
        <v>10000</v>
      </c>
      <c r="H292">
        <v>-10000</v>
      </c>
      <c r="I292">
        <v>56.376536208104433</v>
      </c>
    </row>
    <row r="293" spans="1:9" x14ac:dyDescent="0.2">
      <c r="A293">
        <v>283</v>
      </c>
      <c r="B293">
        <v>1160668.5775982279</v>
      </c>
      <c r="C293">
        <v>106430.87300846186</v>
      </c>
      <c r="D293">
        <v>60554.973244296052</v>
      </c>
      <c r="E293">
        <v>118816.22799164106</v>
      </c>
      <c r="F293">
        <v>44225.738860959762</v>
      </c>
      <c r="G293">
        <v>10000</v>
      </c>
      <c r="H293">
        <v>-10000</v>
      </c>
      <c r="I293">
        <v>39.93606145914562</v>
      </c>
    </row>
    <row r="294" spans="1:9" x14ac:dyDescent="0.2">
      <c r="A294">
        <v>284</v>
      </c>
      <c r="B294">
        <v>1408821.4914611033</v>
      </c>
      <c r="C294">
        <v>139990.1458885934</v>
      </c>
      <c r="D294">
        <v>129947.55739586848</v>
      </c>
      <c r="E294">
        <v>86136.378735339458</v>
      </c>
      <c r="F294">
        <v>41963.287758600425</v>
      </c>
      <c r="G294">
        <v>10000</v>
      </c>
      <c r="H294">
        <v>-10000</v>
      </c>
      <c r="I294">
        <v>38.25161442816237</v>
      </c>
    </row>
    <row r="295" spans="1:9" x14ac:dyDescent="0.2">
      <c r="A295">
        <v>285</v>
      </c>
      <c r="B295">
        <v>1692238.6359911247</v>
      </c>
      <c r="C295">
        <v>124069.74366149413</v>
      </c>
      <c r="D295">
        <v>133140.93626904688</v>
      </c>
      <c r="E295">
        <v>170684.26772191588</v>
      </c>
      <c r="F295">
        <v>47816.603149978793</v>
      </c>
      <c r="G295">
        <v>10000</v>
      </c>
      <c r="H295">
        <v>-10000</v>
      </c>
      <c r="I295">
        <v>31.975744256882923</v>
      </c>
    </row>
    <row r="296" spans="1:9" x14ac:dyDescent="0.2">
      <c r="A296">
        <v>286</v>
      </c>
      <c r="B296">
        <v>1152242.5593363927</v>
      </c>
      <c r="C296">
        <v>112432.71764954817</v>
      </c>
      <c r="D296">
        <v>102157.17637973429</v>
      </c>
      <c r="E296">
        <v>72134.716485933241</v>
      </c>
      <c r="F296">
        <v>40993.941910564608</v>
      </c>
      <c r="G296">
        <v>10000</v>
      </c>
      <c r="H296">
        <v>-10000</v>
      </c>
      <c r="I296">
        <v>46.078794089209879</v>
      </c>
    </row>
    <row r="297" spans="1:9" x14ac:dyDescent="0.2">
      <c r="A297">
        <v>287</v>
      </c>
      <c r="B297">
        <v>1071417.1032994213</v>
      </c>
      <c r="C297">
        <v>107669.63241579499</v>
      </c>
      <c r="D297">
        <v>101517.03761928402</v>
      </c>
      <c r="E297">
        <v>56471.071675657986</v>
      </c>
      <c r="F297">
        <v>39909.535731391712</v>
      </c>
      <c r="G297">
        <v>10000</v>
      </c>
      <c r="H297">
        <v>-10000</v>
      </c>
      <c r="I297">
        <v>29.371747476349025</v>
      </c>
    </row>
    <row r="298" spans="1:9" x14ac:dyDescent="0.2">
      <c r="A298">
        <v>288</v>
      </c>
      <c r="B298">
        <v>1583668.0407424481</v>
      </c>
      <c r="C298">
        <v>76036.338229220215</v>
      </c>
      <c r="D298">
        <v>162761.40964156148</v>
      </c>
      <c r="E298">
        <v>160076.39700485702</v>
      </c>
      <c r="F298">
        <v>47082.212100336255</v>
      </c>
      <c r="G298">
        <v>10000</v>
      </c>
      <c r="H298">
        <v>-10000</v>
      </c>
      <c r="I298">
        <v>38.824076136213989</v>
      </c>
    </row>
    <row r="299" spans="1:9" x14ac:dyDescent="0.2">
      <c r="A299">
        <v>289</v>
      </c>
      <c r="B299">
        <v>1339850.2065198806</v>
      </c>
      <c r="C299">
        <v>133708.42065238324</v>
      </c>
      <c r="D299">
        <v>74141.434528302183</v>
      </c>
      <c r="E299">
        <v>126525.56807872221</v>
      </c>
      <c r="F299">
        <v>44759.462405449995</v>
      </c>
      <c r="G299">
        <v>10000</v>
      </c>
      <c r="H299">
        <v>-10000</v>
      </c>
      <c r="I299">
        <v>26.643490080000738</v>
      </c>
    </row>
    <row r="300" spans="1:9" x14ac:dyDescent="0.2">
      <c r="A300">
        <v>290</v>
      </c>
      <c r="B300">
        <v>1223406.9352853906</v>
      </c>
      <c r="C300">
        <v>109505.84837279007</v>
      </c>
      <c r="D300">
        <v>40469.746937008567</v>
      </c>
      <c r="E300">
        <v>150806.06655583196</v>
      </c>
      <c r="F300">
        <v>46440.419992326832</v>
      </c>
      <c r="G300">
        <v>10000</v>
      </c>
      <c r="H300">
        <v>-10000</v>
      </c>
      <c r="I300">
        <v>34.030721221792575</v>
      </c>
    </row>
    <row r="301" spans="1:9" x14ac:dyDescent="0.2">
      <c r="A301">
        <v>291</v>
      </c>
      <c r="B301">
        <v>1022322.8096454033</v>
      </c>
      <c r="C301">
        <v>97924.853381704554</v>
      </c>
      <c r="D301">
        <v>96571.858098804776</v>
      </c>
      <c r="E301">
        <v>57626.130352842389</v>
      </c>
      <c r="F301">
        <v>39989.501332119857</v>
      </c>
      <c r="G301">
        <v>10000</v>
      </c>
      <c r="H301">
        <v>-10000</v>
      </c>
      <c r="I301">
        <v>35.664373122331142</v>
      </c>
    </row>
    <row r="302" spans="1:9" x14ac:dyDescent="0.2">
      <c r="A302">
        <v>292</v>
      </c>
      <c r="B302">
        <v>1897017.9783097</v>
      </c>
      <c r="C302">
        <v>156832.69140194714</v>
      </c>
      <c r="D302">
        <v>127706.46675855506</v>
      </c>
      <c r="E302">
        <v>197613.89210856776</v>
      </c>
      <c r="F302">
        <v>49680.961761362385</v>
      </c>
      <c r="G302">
        <v>10000</v>
      </c>
      <c r="H302">
        <v>-10000</v>
      </c>
      <c r="I302">
        <v>24.347581541684956</v>
      </c>
    </row>
    <row r="303" spans="1:9" x14ac:dyDescent="0.2">
      <c r="A303">
        <v>293</v>
      </c>
      <c r="B303">
        <v>1019648.7665971131</v>
      </c>
      <c r="C303">
        <v>93469.012884425552</v>
      </c>
      <c r="D303">
        <v>108027.88996261611</v>
      </c>
      <c r="E303">
        <v>50393.78340348752</v>
      </c>
      <c r="F303">
        <v>39488.800389472213</v>
      </c>
      <c r="G303">
        <v>10000</v>
      </c>
      <c r="H303">
        <v>-10000</v>
      </c>
      <c r="I303">
        <v>40.412391581646766</v>
      </c>
    </row>
    <row r="304" spans="1:9" x14ac:dyDescent="0.2">
      <c r="A304">
        <v>294</v>
      </c>
      <c r="B304">
        <v>1494008.1334161805</v>
      </c>
      <c r="C304">
        <v>162372.00197795732</v>
      </c>
      <c r="D304">
        <v>78396.102791256606</v>
      </c>
      <c r="E304">
        <v>135252.1684595829</v>
      </c>
      <c r="F304">
        <v>45363.611662586511</v>
      </c>
      <c r="G304">
        <v>10000</v>
      </c>
      <c r="H304">
        <v>-10000</v>
      </c>
      <c r="I304">
        <v>37.870584247144919</v>
      </c>
    </row>
    <row r="305" spans="1:9" x14ac:dyDescent="0.2">
      <c r="A305">
        <v>295</v>
      </c>
      <c r="B305">
        <v>1313059.8347115447</v>
      </c>
      <c r="C305">
        <v>143041.97264817214</v>
      </c>
      <c r="D305">
        <v>63954.030262611952</v>
      </c>
      <c r="E305">
        <v>120457.28025354118</v>
      </c>
      <c r="F305">
        <v>44339.350171398997</v>
      </c>
      <c r="G305">
        <v>10000</v>
      </c>
      <c r="H305">
        <v>-10000</v>
      </c>
      <c r="I305">
        <v>30.294035950057378</v>
      </c>
    </row>
    <row r="306" spans="1:9" x14ac:dyDescent="0.2">
      <c r="A306">
        <v>296</v>
      </c>
      <c r="B306">
        <v>930325.22523309814</v>
      </c>
      <c r="C306">
        <v>107527.91760469452</v>
      </c>
      <c r="D306">
        <v>83032.013758165675</v>
      </c>
      <c r="E306">
        <v>37727.373595583915</v>
      </c>
      <c r="F306">
        <v>38611.895095078886</v>
      </c>
      <c r="G306">
        <v>10000</v>
      </c>
      <c r="H306">
        <v>-10000</v>
      </c>
      <c r="I306">
        <v>29.096871314983979</v>
      </c>
    </row>
    <row r="307" spans="1:9" x14ac:dyDescent="0.2">
      <c r="A307">
        <v>297</v>
      </c>
      <c r="B307">
        <v>1067293.7480173195</v>
      </c>
      <c r="C307">
        <v>106920.74918206323</v>
      </c>
      <c r="D307">
        <v>104154.73308367604</v>
      </c>
      <c r="E307">
        <v>53647.666433634411</v>
      </c>
      <c r="F307">
        <v>39714.069214636227</v>
      </c>
      <c r="G307">
        <v>10000</v>
      </c>
      <c r="H307">
        <v>-10000</v>
      </c>
      <c r="I307">
        <v>26.701842091152955</v>
      </c>
    </row>
    <row r="308" spans="1:9" x14ac:dyDescent="0.2">
      <c r="A308">
        <v>298</v>
      </c>
      <c r="B308">
        <v>1272648.1073777091</v>
      </c>
      <c r="C308">
        <v>85611.299728109225</v>
      </c>
      <c r="D308">
        <v>39482.794491524961</v>
      </c>
      <c r="E308">
        <v>186697.93427158365</v>
      </c>
      <c r="F308">
        <v>48925.241603417329</v>
      </c>
      <c r="G308">
        <v>10000</v>
      </c>
      <c r="H308">
        <v>-10000</v>
      </c>
      <c r="I308">
        <v>34.284271012174116</v>
      </c>
    </row>
    <row r="309" spans="1:9" x14ac:dyDescent="0.2">
      <c r="A309">
        <v>299</v>
      </c>
      <c r="B309">
        <v>897911.91832933412</v>
      </c>
      <c r="C309">
        <v>95705.167189694606</v>
      </c>
      <c r="D309">
        <v>90726.119191707228</v>
      </c>
      <c r="E309">
        <v>33280.5820292516</v>
      </c>
      <c r="F309">
        <v>38304.040294332801</v>
      </c>
      <c r="G309">
        <v>10000</v>
      </c>
      <c r="H309">
        <v>-10000</v>
      </c>
      <c r="I309">
        <v>36.803293184562321</v>
      </c>
    </row>
    <row r="310" spans="1:9" x14ac:dyDescent="0.2">
      <c r="A310">
        <v>300</v>
      </c>
      <c r="B310">
        <v>1701473.7229022561</v>
      </c>
      <c r="C310">
        <v>128213.37203335529</v>
      </c>
      <c r="D310">
        <v>143552.84988846217</v>
      </c>
      <c r="E310">
        <v>159438.28996280427</v>
      </c>
      <c r="F310">
        <v>47038.035458963364</v>
      </c>
      <c r="G310">
        <v>10000</v>
      </c>
      <c r="H310">
        <v>-10000</v>
      </c>
      <c r="I310">
        <v>29.810669115108411</v>
      </c>
    </row>
    <row r="311" spans="1:9" x14ac:dyDescent="0.2">
      <c r="A311">
        <v>301</v>
      </c>
      <c r="B311">
        <v>1633868.3601571084</v>
      </c>
      <c r="C311">
        <v>120055.60664101578</v>
      </c>
      <c r="D311">
        <v>142666.34604184903</v>
      </c>
      <c r="E311">
        <v>150568.48722512359</v>
      </c>
      <c r="F311">
        <v>46423.972192508554</v>
      </c>
      <c r="G311">
        <v>10000</v>
      </c>
      <c r="H311">
        <v>-10000</v>
      </c>
      <c r="I311">
        <v>36.609926773600833</v>
      </c>
    </row>
    <row r="312" spans="1:9" x14ac:dyDescent="0.2">
      <c r="A312">
        <v>302</v>
      </c>
      <c r="B312">
        <v>1345981.4670482606</v>
      </c>
      <c r="C312">
        <v>117640.05699403514</v>
      </c>
      <c r="D312">
        <v>64228.305807888573</v>
      </c>
      <c r="E312">
        <v>152396.35803145854</v>
      </c>
      <c r="F312">
        <v>46550.517094485593</v>
      </c>
      <c r="G312">
        <v>10000</v>
      </c>
      <c r="H312">
        <v>-10000</v>
      </c>
      <c r="I312">
        <v>27.007780807002483</v>
      </c>
    </row>
    <row r="313" spans="1:9" x14ac:dyDescent="0.2">
      <c r="A313">
        <v>303</v>
      </c>
      <c r="B313">
        <v>1005273.5563476222</v>
      </c>
      <c r="C313">
        <v>143603.37743481208</v>
      </c>
      <c r="D313">
        <v>58150.720523404329</v>
      </c>
      <c r="E313">
        <v>46468.615978472924</v>
      </c>
      <c r="F313">
        <v>39217.058029278895</v>
      </c>
      <c r="G313">
        <v>10000</v>
      </c>
      <c r="H313">
        <v>-10000</v>
      </c>
      <c r="I313">
        <v>54.254539611869383</v>
      </c>
    </row>
    <row r="314" spans="1:9" x14ac:dyDescent="0.2">
      <c r="A314">
        <v>304</v>
      </c>
      <c r="B314">
        <v>1580954.6286291284</v>
      </c>
      <c r="C314">
        <v>136255.21340409367</v>
      </c>
      <c r="D314">
        <v>99357.708774881088</v>
      </c>
      <c r="E314">
        <v>162359.51457742235</v>
      </c>
      <c r="F314">
        <v>47240.27408612924</v>
      </c>
      <c r="G314">
        <v>10000</v>
      </c>
      <c r="H314">
        <v>-10000</v>
      </c>
      <c r="I314">
        <v>31.194782086198078</v>
      </c>
    </row>
    <row r="315" spans="1:9" x14ac:dyDescent="0.2">
      <c r="A315">
        <v>305</v>
      </c>
      <c r="B315">
        <v>962523.64403315494</v>
      </c>
      <c r="C315">
        <v>96247.280675824164</v>
      </c>
      <c r="D315">
        <v>33910.036529924058</v>
      </c>
      <c r="E315">
        <v>102472.06164430901</v>
      </c>
      <c r="F315">
        <v>43094.219652298314</v>
      </c>
      <c r="G315">
        <v>10000</v>
      </c>
      <c r="H315">
        <v>-10000</v>
      </c>
      <c r="I315">
        <v>39.885564838489103</v>
      </c>
    </row>
    <row r="316" spans="1:9" x14ac:dyDescent="0.2">
      <c r="A316">
        <v>306</v>
      </c>
      <c r="B316">
        <v>939442.46770832001</v>
      </c>
      <c r="C316">
        <v>94415.874914833083</v>
      </c>
      <c r="D316">
        <v>106791.12776051203</v>
      </c>
      <c r="E316">
        <v>30106.594417541688</v>
      </c>
      <c r="F316">
        <v>38084.302690445198</v>
      </c>
      <c r="G316">
        <v>10000</v>
      </c>
      <c r="H316">
        <v>-10000</v>
      </c>
      <c r="I316">
        <v>41.771503684698075</v>
      </c>
    </row>
    <row r="317" spans="1:9" x14ac:dyDescent="0.2">
      <c r="A317">
        <v>307</v>
      </c>
      <c r="B317">
        <v>1309129.0000842051</v>
      </c>
      <c r="C317">
        <v>105641.11767514783</v>
      </c>
      <c r="D317">
        <v>69963.734895706424</v>
      </c>
      <c r="E317">
        <v>148808.36637215572</v>
      </c>
      <c r="F317">
        <v>46302.117671918473</v>
      </c>
      <c r="G317">
        <v>10000</v>
      </c>
      <c r="H317">
        <v>-10000</v>
      </c>
      <c r="I317">
        <v>29.109121703770121</v>
      </c>
    </row>
    <row r="318" spans="1:9" x14ac:dyDescent="0.2">
      <c r="A318">
        <v>308</v>
      </c>
      <c r="B318">
        <v>1535887.7274835249</v>
      </c>
      <c r="C318">
        <v>126638.70642823594</v>
      </c>
      <c r="D318">
        <v>53207.362375919241</v>
      </c>
      <c r="E318">
        <v>202964.1062338537</v>
      </c>
      <c r="F318">
        <v>50051.361200805251</v>
      </c>
      <c r="G318">
        <v>10000</v>
      </c>
      <c r="H318">
        <v>-10000</v>
      </c>
      <c r="I318">
        <v>38.559735528184717</v>
      </c>
    </row>
    <row r="319" spans="1:9" x14ac:dyDescent="0.2">
      <c r="A319">
        <v>309</v>
      </c>
      <c r="B319">
        <v>1612851.3433193262</v>
      </c>
      <c r="C319">
        <v>155834.1390793329</v>
      </c>
      <c r="D319">
        <v>59937.487586679264</v>
      </c>
      <c r="E319">
        <v>189091.82421619154</v>
      </c>
      <c r="F319">
        <v>49090.972445736334</v>
      </c>
      <c r="G319">
        <v>10000</v>
      </c>
      <c r="H319">
        <v>-10000</v>
      </c>
      <c r="I319">
        <v>36.157491880416352</v>
      </c>
    </row>
    <row r="320" spans="1:9" x14ac:dyDescent="0.2">
      <c r="A320">
        <v>310</v>
      </c>
      <c r="B320">
        <v>1347736.7437832123</v>
      </c>
      <c r="C320">
        <v>106643.41564944955</v>
      </c>
      <c r="D320">
        <v>118436.11056896162</v>
      </c>
      <c r="E320">
        <v>112432.94876189335</v>
      </c>
      <c r="F320">
        <v>43783.819529669541</v>
      </c>
      <c r="G320">
        <v>10000</v>
      </c>
      <c r="H320">
        <v>-10000</v>
      </c>
      <c r="I320">
        <v>55.188400428839806</v>
      </c>
    </row>
    <row r="321" spans="1:9" x14ac:dyDescent="0.2">
      <c r="A321">
        <v>311</v>
      </c>
      <c r="B321">
        <v>991676.34069986478</v>
      </c>
      <c r="C321">
        <v>111847.50711470944</v>
      </c>
      <c r="D321">
        <v>35419.185128644218</v>
      </c>
      <c r="E321">
        <v>93942.848962935444</v>
      </c>
      <c r="F321">
        <v>42503.735697433993</v>
      </c>
      <c r="G321">
        <v>10000</v>
      </c>
      <c r="H321">
        <v>-10000</v>
      </c>
      <c r="I321">
        <v>39.898525935780427</v>
      </c>
    </row>
    <row r="322" spans="1:9" x14ac:dyDescent="0.2">
      <c r="A322">
        <v>312</v>
      </c>
      <c r="B322">
        <v>1522338.2526177401</v>
      </c>
      <c r="C322">
        <v>137202.86800850523</v>
      </c>
      <c r="D322">
        <v>71123.117670720239</v>
      </c>
      <c r="E322">
        <v>172855.23836634384</v>
      </c>
      <c r="F322">
        <v>47966.901117669964</v>
      </c>
      <c r="G322">
        <v>10000</v>
      </c>
      <c r="H322">
        <v>-10000</v>
      </c>
      <c r="I322">
        <v>40.411399848923779</v>
      </c>
    </row>
    <row r="323" spans="1:9" x14ac:dyDescent="0.2">
      <c r="A323">
        <v>313</v>
      </c>
      <c r="B323">
        <v>1131199.5870523667</v>
      </c>
      <c r="C323">
        <v>92645.663041794774</v>
      </c>
      <c r="D323">
        <v>138280.89574328018</v>
      </c>
      <c r="E323">
        <v>51462.128683121809</v>
      </c>
      <c r="F323">
        <v>39562.762754985357</v>
      </c>
      <c r="G323">
        <v>10000</v>
      </c>
      <c r="H323">
        <v>-10000</v>
      </c>
      <c r="I323">
        <v>35.747375051758468</v>
      </c>
    </row>
    <row r="324" spans="1:9" x14ac:dyDescent="0.2">
      <c r="A324">
        <v>314</v>
      </c>
      <c r="B324">
        <v>1678151.3434778568</v>
      </c>
      <c r="C324">
        <v>119832.22504656592</v>
      </c>
      <c r="D324">
        <v>121390.41474026258</v>
      </c>
      <c r="E324">
        <v>182026.28428727921</v>
      </c>
      <c r="F324">
        <v>48601.81968142702</v>
      </c>
      <c r="G324">
        <v>10000</v>
      </c>
      <c r="H324">
        <v>-10000</v>
      </c>
      <c r="I324">
        <v>27.624564671396918</v>
      </c>
    </row>
    <row r="325" spans="1:9" x14ac:dyDescent="0.2">
      <c r="A325">
        <v>315</v>
      </c>
      <c r="B325">
        <v>914245.67008294212</v>
      </c>
      <c r="C325">
        <v>120016.34669777166</v>
      </c>
      <c r="D325">
        <v>78332.390978599884</v>
      </c>
      <c r="E325">
        <v>26321.398960129907</v>
      </c>
      <c r="F325">
        <v>37822.25069723976</v>
      </c>
      <c r="G325">
        <v>10000</v>
      </c>
      <c r="H325">
        <v>-10000</v>
      </c>
      <c r="I325">
        <v>31.236913836024037</v>
      </c>
    </row>
    <row r="326" spans="1:9" x14ac:dyDescent="0.2">
      <c r="A326">
        <v>316</v>
      </c>
      <c r="B326">
        <v>1109170.5762345861</v>
      </c>
      <c r="C326">
        <v>149651.12644324324</v>
      </c>
      <c r="D326">
        <v>95339.81245381487</v>
      </c>
      <c r="E326">
        <v>32661.959748934794</v>
      </c>
      <c r="F326">
        <v>38261.212598003178</v>
      </c>
      <c r="G326">
        <v>10000</v>
      </c>
      <c r="H326">
        <v>-10000</v>
      </c>
      <c r="I326">
        <v>38.21135614552049</v>
      </c>
    </row>
    <row r="327" spans="1:9" x14ac:dyDescent="0.2">
      <c r="A327">
        <v>317</v>
      </c>
      <c r="B327">
        <v>1278608.4937527371</v>
      </c>
      <c r="C327">
        <v>131796.34200547126</v>
      </c>
      <c r="D327">
        <v>47409.692690167518</v>
      </c>
      <c r="E327">
        <v>137617.39897160704</v>
      </c>
      <c r="F327">
        <v>45527.358390342029</v>
      </c>
      <c r="G327">
        <v>10000</v>
      </c>
      <c r="H327">
        <v>-10000</v>
      </c>
      <c r="I327">
        <v>44.351832676119287</v>
      </c>
    </row>
    <row r="328" spans="1:9" x14ac:dyDescent="0.2">
      <c r="A328">
        <v>318</v>
      </c>
      <c r="B328">
        <v>1069208.7338139392</v>
      </c>
      <c r="C328">
        <v>99170.995459601952</v>
      </c>
      <c r="D328">
        <v>58433.44846589931</v>
      </c>
      <c r="E328">
        <v>104147.39655421149</v>
      </c>
      <c r="F328">
        <v>43210.204376830028</v>
      </c>
      <c r="G328">
        <v>10000</v>
      </c>
      <c r="H328">
        <v>-10000</v>
      </c>
      <c r="I328">
        <v>24.244165329087181</v>
      </c>
    </row>
    <row r="329" spans="1:9" x14ac:dyDescent="0.2">
      <c r="A329">
        <v>319</v>
      </c>
      <c r="B329">
        <v>1108119.5808149336</v>
      </c>
      <c r="C329">
        <v>98447.970532950974</v>
      </c>
      <c r="D329">
        <v>133352.8346776535</v>
      </c>
      <c r="E329">
        <v>44728.666951607185</v>
      </c>
      <c r="F329">
        <v>39096.600019726648</v>
      </c>
      <c r="G329">
        <v>10000</v>
      </c>
      <c r="H329">
        <v>-10000</v>
      </c>
      <c r="I329">
        <v>32.48178090800981</v>
      </c>
    </row>
    <row r="330" spans="1:9" x14ac:dyDescent="0.2">
      <c r="A330">
        <v>320</v>
      </c>
      <c r="B330">
        <v>1053654.3946039528</v>
      </c>
      <c r="C330">
        <v>100943.69874637206</v>
      </c>
      <c r="D330">
        <v>72655.399837564823</v>
      </c>
      <c r="E330">
        <v>85201.509798232932</v>
      </c>
      <c r="F330">
        <v>41898.566062954589</v>
      </c>
      <c r="G330">
        <v>10000</v>
      </c>
      <c r="H330">
        <v>-10000</v>
      </c>
      <c r="I330">
        <v>38.964265434041081</v>
      </c>
    </row>
    <row r="331" spans="1:9" x14ac:dyDescent="0.2">
      <c r="A331">
        <v>321</v>
      </c>
      <c r="B331">
        <v>1003086.7366696218</v>
      </c>
      <c r="C331">
        <v>114709.9569430304</v>
      </c>
      <c r="D331">
        <v>56575.947896066129</v>
      </c>
      <c r="E331">
        <v>74403.52713151621</v>
      </c>
      <c r="F331">
        <v>41151.013416797279</v>
      </c>
      <c r="G331">
        <v>10000</v>
      </c>
      <c r="H331">
        <v>-10000</v>
      </c>
      <c r="I331">
        <v>45.023350169777288</v>
      </c>
    </row>
    <row r="332" spans="1:9" x14ac:dyDescent="0.2">
      <c r="A332">
        <v>322</v>
      </c>
      <c r="B332">
        <v>1189078.312012265</v>
      </c>
      <c r="C332">
        <v>148510.93050403363</v>
      </c>
      <c r="D332">
        <v>57815.261356829884</v>
      </c>
      <c r="E332">
        <v>89305.025496909526</v>
      </c>
      <c r="F332">
        <v>42182.655611324502</v>
      </c>
      <c r="G332">
        <v>10000</v>
      </c>
      <c r="H332">
        <v>-10000</v>
      </c>
      <c r="I332">
        <v>41.376365506549277</v>
      </c>
    </row>
    <row r="333" spans="1:9" x14ac:dyDescent="0.2">
      <c r="A333">
        <v>323</v>
      </c>
      <c r="B333">
        <v>1476603.1137482524</v>
      </c>
      <c r="C333">
        <v>103971.14092822873</v>
      </c>
      <c r="D333">
        <v>60120.151861537117</v>
      </c>
      <c r="E333">
        <v>202503.07482626717</v>
      </c>
      <c r="F333">
        <v>50019.443641818492</v>
      </c>
      <c r="G333">
        <v>10000</v>
      </c>
      <c r="H333">
        <v>-10000</v>
      </c>
      <c r="I333">
        <v>38.322369617939685</v>
      </c>
    </row>
    <row r="334" spans="1:9" x14ac:dyDescent="0.2">
      <c r="A334">
        <v>324</v>
      </c>
      <c r="B334">
        <v>1736033.1316450969</v>
      </c>
      <c r="C334">
        <v>133724.09668430666</v>
      </c>
      <c r="D334">
        <v>96975.107143723071</v>
      </c>
      <c r="E334">
        <v>206704.49125264294</v>
      </c>
      <c r="F334">
        <v>50310.310932875276</v>
      </c>
      <c r="G334">
        <v>10000</v>
      </c>
      <c r="H334">
        <v>-10000</v>
      </c>
      <c r="I334">
        <v>35.482993860847287</v>
      </c>
    </row>
    <row r="335" spans="1:9" x14ac:dyDescent="0.2">
      <c r="A335">
        <v>325</v>
      </c>
      <c r="B335">
        <v>1456314.5497429206</v>
      </c>
      <c r="C335">
        <v>88411.700870676563</v>
      </c>
      <c r="D335">
        <v>83347.44387291529</v>
      </c>
      <c r="E335">
        <v>190131.37821399525</v>
      </c>
      <c r="F335">
        <v>49162.941568661205</v>
      </c>
      <c r="G335">
        <v>10000</v>
      </c>
      <c r="H335">
        <v>-10000</v>
      </c>
      <c r="I335">
        <v>34.609082837648174</v>
      </c>
    </row>
    <row r="336" spans="1:9" x14ac:dyDescent="0.2">
      <c r="A336">
        <v>326</v>
      </c>
      <c r="B336">
        <v>1719387.268915599</v>
      </c>
      <c r="C336">
        <v>161749.50616540818</v>
      </c>
      <c r="D336">
        <v>122488.18508462771</v>
      </c>
      <c r="E336">
        <v>152365.89024704605</v>
      </c>
      <c r="F336">
        <v>46548.407786333955</v>
      </c>
      <c r="G336">
        <v>10000</v>
      </c>
      <c r="H336">
        <v>-10000</v>
      </c>
      <c r="I336">
        <v>34.799559739076805</v>
      </c>
    </row>
    <row r="337" spans="1:9" x14ac:dyDescent="0.2">
      <c r="A337">
        <v>327</v>
      </c>
      <c r="B337">
        <v>1325321.4656980373</v>
      </c>
      <c r="C337">
        <v>87199.821004803482</v>
      </c>
      <c r="D337">
        <v>45859.156341135102</v>
      </c>
      <c r="E337">
        <v>192749.89320468131</v>
      </c>
      <c r="F337">
        <v>49344.223375708709</v>
      </c>
      <c r="G337">
        <v>10000</v>
      </c>
      <c r="H337">
        <v>-10000</v>
      </c>
      <c r="I337">
        <v>38.405143500560804</v>
      </c>
    </row>
    <row r="338" spans="1:9" x14ac:dyDescent="0.2">
      <c r="A338">
        <v>328</v>
      </c>
      <c r="B338">
        <v>1368321.6896459155</v>
      </c>
      <c r="C338">
        <v>126041.81499383204</v>
      </c>
      <c r="D338">
        <v>48320.431921844567</v>
      </c>
      <c r="E338">
        <v>165142.66773611511</v>
      </c>
      <c r="F338">
        <v>47432.95392019258</v>
      </c>
      <c r="G338">
        <v>10000</v>
      </c>
      <c r="H338">
        <v>-10000</v>
      </c>
      <c r="I338">
        <v>37.167451786738255</v>
      </c>
    </row>
    <row r="339" spans="1:9" x14ac:dyDescent="0.2">
      <c r="A339">
        <v>329</v>
      </c>
      <c r="B339">
        <v>906829.74825656973</v>
      </c>
      <c r="C339">
        <v>101039.01912765458</v>
      </c>
      <c r="D339">
        <v>77106.115402708936</v>
      </c>
      <c r="E339">
        <v>43316.02084067573</v>
      </c>
      <c r="F339">
        <v>38998.80144281601</v>
      </c>
      <c r="G339">
        <v>10000</v>
      </c>
      <c r="H339">
        <v>-10000</v>
      </c>
      <c r="I339">
        <v>36.495439560454727</v>
      </c>
    </row>
    <row r="340" spans="1:9" x14ac:dyDescent="0.2">
      <c r="A340">
        <v>330</v>
      </c>
      <c r="B340">
        <v>1482999.4618072014</v>
      </c>
      <c r="C340">
        <v>137493.88792103028</v>
      </c>
      <c r="D340">
        <v>148749.7997907619</v>
      </c>
      <c r="E340">
        <v>89899.326960480059</v>
      </c>
      <c r="F340">
        <v>42223.799558802464</v>
      </c>
      <c r="G340">
        <v>10000</v>
      </c>
      <c r="H340">
        <v>-10000</v>
      </c>
      <c r="I340">
        <v>46.854540161000429</v>
      </c>
    </row>
    <row r="341" spans="1:9" x14ac:dyDescent="0.2">
      <c r="A341">
        <v>331</v>
      </c>
      <c r="B341">
        <v>1525546.4177883677</v>
      </c>
      <c r="C341">
        <v>125549.27552450345</v>
      </c>
      <c r="D341">
        <v>143571.72401190182</v>
      </c>
      <c r="E341">
        <v>116818.90281404472</v>
      </c>
      <c r="F341">
        <v>44087.462502510782</v>
      </c>
      <c r="G341">
        <v>10000</v>
      </c>
      <c r="H341">
        <v>-10000</v>
      </c>
      <c r="I341">
        <v>32.812370920981493</v>
      </c>
    </row>
    <row r="342" spans="1:9" x14ac:dyDescent="0.2">
      <c r="A342">
        <v>332</v>
      </c>
      <c r="B342">
        <v>1510936.822573557</v>
      </c>
      <c r="C342">
        <v>110769.87875861337</v>
      </c>
      <c r="D342">
        <v>132423.90661824701</v>
      </c>
      <c r="E342">
        <v>137322.67416665884</v>
      </c>
      <c r="F342">
        <v>45506.954365384066</v>
      </c>
      <c r="G342">
        <v>10000</v>
      </c>
      <c r="H342">
        <v>-10000</v>
      </c>
      <c r="I342">
        <v>36.347344344072681</v>
      </c>
    </row>
    <row r="343" spans="1:9" x14ac:dyDescent="0.2">
      <c r="A343">
        <v>333</v>
      </c>
      <c r="B343">
        <v>1076676.9116498986</v>
      </c>
      <c r="C343">
        <v>78050.404892571489</v>
      </c>
      <c r="D343">
        <v>94516.22091256702</v>
      </c>
      <c r="E343">
        <v>92068.217496262558</v>
      </c>
      <c r="F343">
        <v>42373.953518972019</v>
      </c>
      <c r="G343">
        <v>10000</v>
      </c>
      <c r="H343">
        <v>-10000</v>
      </c>
      <c r="I343">
        <v>38.770399775794033</v>
      </c>
    </row>
    <row r="344" spans="1:9" x14ac:dyDescent="0.2">
      <c r="A344">
        <v>334</v>
      </c>
      <c r="B344">
        <v>1477688.0739153663</v>
      </c>
      <c r="C344">
        <v>97854.305476083799</v>
      </c>
      <c r="D344">
        <v>120287.90240573995</v>
      </c>
      <c r="E344">
        <v>152229.95409975128</v>
      </c>
      <c r="F344">
        <v>46538.996822290472</v>
      </c>
      <c r="G344">
        <v>10000</v>
      </c>
      <c r="H344">
        <v>-10000</v>
      </c>
      <c r="I344">
        <v>47.319917569378404</v>
      </c>
    </row>
    <row r="345" spans="1:9" x14ac:dyDescent="0.2">
      <c r="A345">
        <v>335</v>
      </c>
      <c r="B345">
        <v>865025.68984837458</v>
      </c>
      <c r="C345">
        <v>106423.18178402452</v>
      </c>
      <c r="D345">
        <v>75100.071449765092</v>
      </c>
      <c r="E345">
        <v>29441.496331176593</v>
      </c>
      <c r="F345">
        <v>38038.257438312219</v>
      </c>
      <c r="G345">
        <v>10000</v>
      </c>
      <c r="H345">
        <v>-10000</v>
      </c>
      <c r="I345">
        <v>48.359789979738792</v>
      </c>
    </row>
    <row r="346" spans="1:9" x14ac:dyDescent="0.2">
      <c r="A346">
        <v>336</v>
      </c>
      <c r="B346">
        <v>1228718.153661967</v>
      </c>
      <c r="C346">
        <v>127009.93900758935</v>
      </c>
      <c r="D346">
        <v>87905.334795868024</v>
      </c>
      <c r="E346">
        <v>91432.476353224178</v>
      </c>
      <c r="F346">
        <v>42329.94067060783</v>
      </c>
      <c r="G346">
        <v>10000</v>
      </c>
      <c r="H346">
        <v>-10000</v>
      </c>
      <c r="I346">
        <v>45.321965231667562</v>
      </c>
    </row>
    <row r="347" spans="1:9" x14ac:dyDescent="0.2">
      <c r="A347">
        <v>337</v>
      </c>
      <c r="B347">
        <v>1371763.2622237925</v>
      </c>
      <c r="C347">
        <v>130304.02448728561</v>
      </c>
      <c r="D347">
        <v>52335.296374935431</v>
      </c>
      <c r="E347">
        <v>158283.6564633013</v>
      </c>
      <c r="F347">
        <v>46958.099293613166</v>
      </c>
      <c r="G347">
        <v>10000</v>
      </c>
      <c r="H347">
        <v>-10000</v>
      </c>
      <c r="I347">
        <v>42.191545681272757</v>
      </c>
    </row>
    <row r="348" spans="1:9" x14ac:dyDescent="0.2">
      <c r="A348">
        <v>338</v>
      </c>
      <c r="B348">
        <v>1439217.5217054116</v>
      </c>
      <c r="C348">
        <v>110353.69135810412</v>
      </c>
      <c r="D348">
        <v>37856.525599507229</v>
      </c>
      <c r="E348">
        <v>207773.27913572968</v>
      </c>
      <c r="F348">
        <v>50384.303940165904</v>
      </c>
      <c r="G348">
        <v>10000</v>
      </c>
      <c r="H348">
        <v>-10000</v>
      </c>
      <c r="I348">
        <v>38.301445717928701</v>
      </c>
    </row>
    <row r="349" spans="1:9" x14ac:dyDescent="0.2">
      <c r="A349">
        <v>339</v>
      </c>
      <c r="B349">
        <v>1629902.5906552188</v>
      </c>
      <c r="C349">
        <v>142952.13628242663</v>
      </c>
      <c r="D349">
        <v>145033.14445944867</v>
      </c>
      <c r="E349">
        <v>125924.41608718201</v>
      </c>
      <c r="F349">
        <v>44717.844190651063</v>
      </c>
      <c r="G349">
        <v>10000</v>
      </c>
      <c r="H349">
        <v>-10000</v>
      </c>
      <c r="I349">
        <v>43.627557920094098</v>
      </c>
    </row>
    <row r="350" spans="1:9" x14ac:dyDescent="0.2">
      <c r="A350">
        <v>340</v>
      </c>
      <c r="B350">
        <v>1462057.5317027974</v>
      </c>
      <c r="C350">
        <v>130440.6361405495</v>
      </c>
      <c r="D350">
        <v>113139.25699646708</v>
      </c>
      <c r="E350">
        <v>124432.92379257345</v>
      </c>
      <c r="F350">
        <v>44614.587031793548</v>
      </c>
      <c r="G350">
        <v>10000</v>
      </c>
      <c r="H350">
        <v>-10000</v>
      </c>
      <c r="I350">
        <v>35.714416175606097</v>
      </c>
    </row>
    <row r="351" spans="1:9" x14ac:dyDescent="0.2">
      <c r="A351">
        <v>341</v>
      </c>
      <c r="B351">
        <v>1437476.9344915184</v>
      </c>
      <c r="C351">
        <v>103441.77571516273</v>
      </c>
      <c r="D351">
        <v>154875.7053022483</v>
      </c>
      <c r="E351">
        <v>104349.1185442846</v>
      </c>
      <c r="F351">
        <v>43224.169745373554</v>
      </c>
      <c r="G351">
        <v>10000</v>
      </c>
      <c r="H351">
        <v>-10000</v>
      </c>
      <c r="I351">
        <v>30.338208283501153</v>
      </c>
    </row>
    <row r="352" spans="1:9" x14ac:dyDescent="0.2">
      <c r="A352">
        <v>342</v>
      </c>
      <c r="B352">
        <v>1548991.2770980189</v>
      </c>
      <c r="C352">
        <v>128880.09371737218</v>
      </c>
      <c r="D352">
        <v>90512.972229364314</v>
      </c>
      <c r="E352">
        <v>169336.38174431442</v>
      </c>
      <c r="F352">
        <v>47723.287966914075</v>
      </c>
      <c r="G352">
        <v>10000</v>
      </c>
      <c r="H352">
        <v>-10000</v>
      </c>
      <c r="I352">
        <v>35.149027109971243</v>
      </c>
    </row>
    <row r="353" spans="1:9" x14ac:dyDescent="0.2">
      <c r="A353">
        <v>343</v>
      </c>
      <c r="B353">
        <v>1024547.7442636546</v>
      </c>
      <c r="C353">
        <v>106286.47128053261</v>
      </c>
      <c r="D353">
        <v>121032.82920702703</v>
      </c>
      <c r="E353">
        <v>27499.035756591577</v>
      </c>
      <c r="F353">
        <v>37903.779398533261</v>
      </c>
      <c r="G353">
        <v>10000</v>
      </c>
      <c r="H353">
        <v>-10000</v>
      </c>
      <c r="I353">
        <v>33.226060735561205</v>
      </c>
    </row>
    <row r="354" spans="1:9" x14ac:dyDescent="0.2">
      <c r="A354">
        <v>344</v>
      </c>
      <c r="B354">
        <v>921357.14894904883</v>
      </c>
      <c r="C354">
        <v>120377.3710955625</v>
      </c>
      <c r="D354">
        <v>62401.379352828233</v>
      </c>
      <c r="E354">
        <v>42706.057605167276</v>
      </c>
      <c r="F354">
        <v>38956.573218819271</v>
      </c>
      <c r="G354">
        <v>10000</v>
      </c>
      <c r="H354">
        <v>-10000</v>
      </c>
      <c r="I354">
        <v>43.956953639368884</v>
      </c>
    </row>
    <row r="355" spans="1:9" x14ac:dyDescent="0.2">
      <c r="A355">
        <v>345</v>
      </c>
      <c r="B355">
        <v>1384268.0456023058</v>
      </c>
      <c r="C355">
        <v>156474.30200249364</v>
      </c>
      <c r="D355">
        <v>66644.469015274837</v>
      </c>
      <c r="E355">
        <v>123630.37904832317</v>
      </c>
      <c r="F355">
        <v>44559.026241806991</v>
      </c>
      <c r="G355">
        <v>10000</v>
      </c>
      <c r="H355">
        <v>-10000</v>
      </c>
      <c r="I355">
        <v>57.863989316667386</v>
      </c>
    </row>
    <row r="356" spans="1:9" x14ac:dyDescent="0.2">
      <c r="A356">
        <v>346</v>
      </c>
      <c r="B356">
        <v>1006007.9776320957</v>
      </c>
      <c r="C356">
        <v>127684.68242940337</v>
      </c>
      <c r="D356">
        <v>33136.14474539621</v>
      </c>
      <c r="E356">
        <v>84939.776499249114</v>
      </c>
      <c r="F356">
        <v>41880.446065332631</v>
      </c>
      <c r="G356">
        <v>10000</v>
      </c>
      <c r="H356">
        <v>-10000</v>
      </c>
      <c r="I356">
        <v>33.18054477277127</v>
      </c>
    </row>
    <row r="357" spans="1:9" x14ac:dyDescent="0.2">
      <c r="A357">
        <v>347</v>
      </c>
      <c r="B357">
        <v>912322.09341215191</v>
      </c>
      <c r="C357">
        <v>107148.63537244879</v>
      </c>
      <c r="D357">
        <v>85963.871652302973</v>
      </c>
      <c r="E357">
        <v>30725.545757059237</v>
      </c>
      <c r="F357">
        <v>38127.153167796409</v>
      </c>
      <c r="G357">
        <v>10000</v>
      </c>
      <c r="H357">
        <v>-10000</v>
      </c>
      <c r="I357">
        <v>46.206862447671952</v>
      </c>
    </row>
    <row r="358" spans="1:9" x14ac:dyDescent="0.2">
      <c r="A358">
        <v>348</v>
      </c>
      <c r="B358">
        <v>1279359.3903631214</v>
      </c>
      <c r="C358">
        <v>116096.93522325876</v>
      </c>
      <c r="D358">
        <v>70622.577555172989</v>
      </c>
      <c r="E358">
        <v>130782.87340351458</v>
      </c>
      <c r="F358">
        <v>45054.19892793562</v>
      </c>
      <c r="G358">
        <v>10000</v>
      </c>
      <c r="H358">
        <v>-10000</v>
      </c>
      <c r="I358">
        <v>43.441271466264482</v>
      </c>
    </row>
    <row r="359" spans="1:9" x14ac:dyDescent="0.2">
      <c r="A359">
        <v>349</v>
      </c>
      <c r="B359">
        <v>1582289.4504997022</v>
      </c>
      <c r="C359">
        <v>104254.71597677672</v>
      </c>
      <c r="D359">
        <v>109184.21620786835</v>
      </c>
      <c r="E359">
        <v>183439.91748184431</v>
      </c>
      <c r="F359">
        <v>48699.686594896921</v>
      </c>
      <c r="G359">
        <v>10000</v>
      </c>
      <c r="H359">
        <v>-10000</v>
      </c>
      <c r="I359">
        <v>47.070774424408398</v>
      </c>
    </row>
    <row r="360" spans="1:9" x14ac:dyDescent="0.2">
      <c r="A360">
        <v>350</v>
      </c>
      <c r="B360">
        <v>1492073.9878730834</v>
      </c>
      <c r="C360">
        <v>143093.04319419566</v>
      </c>
      <c r="D360">
        <v>53448.427889875937</v>
      </c>
      <c r="E360">
        <v>176119.45082795742</v>
      </c>
      <c r="F360">
        <v>48192.885057320127</v>
      </c>
      <c r="G360">
        <v>10000</v>
      </c>
      <c r="H360">
        <v>-10000</v>
      </c>
      <c r="I360">
        <v>31.182360450964815</v>
      </c>
    </row>
    <row r="361" spans="1:9" x14ac:dyDescent="0.2">
      <c r="A361">
        <v>351</v>
      </c>
      <c r="B361">
        <v>804217.55457570695</v>
      </c>
      <c r="C361">
        <v>91165.561709332556</v>
      </c>
      <c r="D361">
        <v>48839.938367918185</v>
      </c>
      <c r="E361">
        <v>52684.829628693282</v>
      </c>
      <c r="F361">
        <v>39647.41128198646</v>
      </c>
      <c r="G361">
        <v>10000</v>
      </c>
      <c r="H361">
        <v>-10000</v>
      </c>
      <c r="I361">
        <v>44.638989796694474</v>
      </c>
    </row>
    <row r="362" spans="1:9" x14ac:dyDescent="0.2">
      <c r="A362">
        <v>352</v>
      </c>
      <c r="B362">
        <v>1254334.9547022809</v>
      </c>
      <c r="C362">
        <v>98562.631446326996</v>
      </c>
      <c r="D362">
        <v>100259.42810966502</v>
      </c>
      <c r="E362">
        <v>113049.73129931779</v>
      </c>
      <c r="F362">
        <v>43826.519859183536</v>
      </c>
      <c r="G362">
        <v>10000</v>
      </c>
      <c r="H362">
        <v>-10000</v>
      </c>
      <c r="I362">
        <v>45.849351290662788</v>
      </c>
    </row>
    <row r="363" spans="1:9" x14ac:dyDescent="0.2">
      <c r="A363">
        <v>353</v>
      </c>
      <c r="B363">
        <v>1090463.0881902126</v>
      </c>
      <c r="C363">
        <v>148533.53113001707</v>
      </c>
      <c r="D363">
        <v>40580.044358230494</v>
      </c>
      <c r="E363">
        <v>80126.298333021565</v>
      </c>
      <c r="F363">
        <v>41547.205269209182</v>
      </c>
      <c r="G363">
        <v>10000</v>
      </c>
      <c r="H363">
        <v>-10000</v>
      </c>
      <c r="I363">
        <v>44.202395210702335</v>
      </c>
    </row>
    <row r="364" spans="1:9" x14ac:dyDescent="0.2">
      <c r="A364">
        <v>354</v>
      </c>
      <c r="B364">
        <v>1370851.4093522788</v>
      </c>
      <c r="C364">
        <v>111962.80913842218</v>
      </c>
      <c r="D364">
        <v>133457.33414280455</v>
      </c>
      <c r="E364">
        <v>99334.055070496077</v>
      </c>
      <c r="F364">
        <v>42876.973043342041</v>
      </c>
      <c r="G364">
        <v>10000</v>
      </c>
      <c r="H364">
        <v>-10000</v>
      </c>
      <c r="I364">
        <v>48.0243235201158</v>
      </c>
    </row>
    <row r="365" spans="1:9" x14ac:dyDescent="0.2">
      <c r="A365">
        <v>355</v>
      </c>
      <c r="B365">
        <v>1632602.9105565969</v>
      </c>
      <c r="C365">
        <v>115529.57446030802</v>
      </c>
      <c r="D365">
        <v>163772.01725898701</v>
      </c>
      <c r="E365">
        <v>134737.99247783073</v>
      </c>
      <c r="F365">
        <v>45328.014863849821</v>
      </c>
      <c r="G365">
        <v>10000</v>
      </c>
      <c r="H365">
        <v>-10000</v>
      </c>
      <c r="I365">
        <v>45.275524345406851</v>
      </c>
    </row>
    <row r="366" spans="1:9" x14ac:dyDescent="0.2">
      <c r="A366">
        <v>356</v>
      </c>
      <c r="B366">
        <v>1516588.9006597896</v>
      </c>
      <c r="C366">
        <v>101805.53103942383</v>
      </c>
      <c r="D366">
        <v>125464.84120855127</v>
      </c>
      <c r="E366">
        <v>153663.80432253855</v>
      </c>
      <c r="F366">
        <v>46638.263376175746</v>
      </c>
      <c r="G366">
        <v>10000</v>
      </c>
      <c r="H366">
        <v>-10000</v>
      </c>
      <c r="I366">
        <v>39.54730169883311</v>
      </c>
    </row>
    <row r="367" spans="1:9" x14ac:dyDescent="0.2">
      <c r="A367">
        <v>357</v>
      </c>
      <c r="B367">
        <v>904000.87533607404</v>
      </c>
      <c r="C367">
        <v>101338.46423466134</v>
      </c>
      <c r="D367">
        <v>86967.050181154205</v>
      </c>
      <c r="E367">
        <v>33088.416211012714</v>
      </c>
      <c r="F367">
        <v>38290.736506916262</v>
      </c>
      <c r="G367">
        <v>10000</v>
      </c>
      <c r="H367">
        <v>-10000</v>
      </c>
      <c r="I367">
        <v>31.625165749242488</v>
      </c>
    </row>
    <row r="368" spans="1:9" x14ac:dyDescent="0.2">
      <c r="A368">
        <v>358</v>
      </c>
      <c r="B368">
        <v>1420146.9135205168</v>
      </c>
      <c r="C368">
        <v>141920.98240352146</v>
      </c>
      <c r="D368">
        <v>127098.27961944407</v>
      </c>
      <c r="E368">
        <v>89898.262182491686</v>
      </c>
      <c r="F368">
        <v>42223.72584340327</v>
      </c>
      <c r="G368">
        <v>10000</v>
      </c>
      <c r="H368">
        <v>-10000</v>
      </c>
      <c r="I368">
        <v>39.156150414025419</v>
      </c>
    </row>
    <row r="369" spans="1:9" x14ac:dyDescent="0.2">
      <c r="A369">
        <v>359</v>
      </c>
      <c r="B369">
        <v>1346969.4898917577</v>
      </c>
      <c r="C369">
        <v>90461.092397241664</v>
      </c>
      <c r="D369">
        <v>134778.14165715565</v>
      </c>
      <c r="E369">
        <v>112086.9207330771</v>
      </c>
      <c r="F369">
        <v>43759.863743059177</v>
      </c>
      <c r="G369">
        <v>10000</v>
      </c>
      <c r="H369">
        <v>-10000</v>
      </c>
      <c r="I369">
        <v>29.079397398605089</v>
      </c>
    </row>
    <row r="370" spans="1:9" x14ac:dyDescent="0.2">
      <c r="A370">
        <v>360</v>
      </c>
      <c r="B370">
        <v>1003243.2891539934</v>
      </c>
      <c r="C370">
        <v>93764.693519043867</v>
      </c>
      <c r="D370">
        <v>94079.003621649841</v>
      </c>
      <c r="E370">
        <v>58957.949321958025</v>
      </c>
      <c r="F370">
        <v>40081.70418382786</v>
      </c>
      <c r="G370">
        <v>10000</v>
      </c>
      <c r="H370">
        <v>-10000</v>
      </c>
      <c r="I370">
        <v>39.453397961605596</v>
      </c>
    </row>
    <row r="371" spans="1:9" x14ac:dyDescent="0.2">
      <c r="A371">
        <v>361</v>
      </c>
      <c r="B371">
        <v>824882.72940651176</v>
      </c>
      <c r="C371">
        <v>126729.89459952405</v>
      </c>
      <c r="D371">
        <v>44011.330947531686</v>
      </c>
      <c r="E371">
        <v>29236.043520357674</v>
      </c>
      <c r="F371">
        <v>38024.033782178602</v>
      </c>
      <c r="G371">
        <v>10000</v>
      </c>
      <c r="H371">
        <v>-10000</v>
      </c>
      <c r="I371">
        <v>32.587286311375749</v>
      </c>
    </row>
    <row r="372" spans="1:9" x14ac:dyDescent="0.2">
      <c r="A372">
        <v>362</v>
      </c>
      <c r="B372">
        <v>1356301.8345743937</v>
      </c>
      <c r="C372">
        <v>135780.99693885972</v>
      </c>
      <c r="D372">
        <v>116291.83457163385</v>
      </c>
      <c r="E372">
        <v>89382.798435771561</v>
      </c>
      <c r="F372">
        <v>42188.03989170726</v>
      </c>
      <c r="G372">
        <v>10000</v>
      </c>
      <c r="H372">
        <v>-10000</v>
      </c>
      <c r="I372">
        <v>28.303767352321298</v>
      </c>
    </row>
    <row r="373" spans="1:9" x14ac:dyDescent="0.2">
      <c r="A373">
        <v>363</v>
      </c>
      <c r="B373">
        <v>1691711.5883994596</v>
      </c>
      <c r="C373">
        <v>122675.03064584344</v>
      </c>
      <c r="D373">
        <v>111315.5022570897</v>
      </c>
      <c r="E373">
        <v>192265.86020429453</v>
      </c>
      <c r="F373">
        <v>49310.713398758853</v>
      </c>
      <c r="G373">
        <v>10000</v>
      </c>
      <c r="H373">
        <v>-10000</v>
      </c>
      <c r="I373">
        <v>34.602058323574525</v>
      </c>
    </row>
    <row r="374" spans="1:9" x14ac:dyDescent="0.2">
      <c r="A374">
        <v>364</v>
      </c>
      <c r="B374">
        <v>1212502.3673729321</v>
      </c>
      <c r="C374">
        <v>149699.95428208626</v>
      </c>
      <c r="D374">
        <v>63207.095522345822</v>
      </c>
      <c r="E374">
        <v>89154.2734441824</v>
      </c>
      <c r="F374">
        <v>42172.218930751093</v>
      </c>
      <c r="G374">
        <v>10000</v>
      </c>
      <c r="H374">
        <v>-10000</v>
      </c>
      <c r="I374">
        <v>37.411940283375628</v>
      </c>
    </row>
    <row r="375" spans="1:9" x14ac:dyDescent="0.2">
      <c r="A375">
        <v>365</v>
      </c>
      <c r="B375">
        <v>1230343.6402382278</v>
      </c>
      <c r="C375">
        <v>142925.54721106205</v>
      </c>
      <c r="D375">
        <v>140832.08130960711</v>
      </c>
      <c r="E375">
        <v>27464.181765647845</v>
      </c>
      <c r="F375">
        <v>37901.366429929461</v>
      </c>
      <c r="G375">
        <v>10000</v>
      </c>
      <c r="H375">
        <v>-10000</v>
      </c>
      <c r="I375">
        <v>39.179910728076074</v>
      </c>
    </row>
    <row r="376" spans="1:9" x14ac:dyDescent="0.2">
      <c r="A376">
        <v>366</v>
      </c>
      <c r="B376">
        <v>1580331.8847243353</v>
      </c>
      <c r="C376">
        <v>130537.71898723753</v>
      </c>
      <c r="D376">
        <v>76061.973869777212</v>
      </c>
      <c r="E376">
        <v>189334.56900659268</v>
      </c>
      <c r="F376">
        <v>49107.777854302571</v>
      </c>
      <c r="G376">
        <v>10000</v>
      </c>
      <c r="H376">
        <v>-10000</v>
      </c>
      <c r="I376">
        <v>43.162603932723499</v>
      </c>
    </row>
    <row r="377" spans="1:9" x14ac:dyDescent="0.2">
      <c r="A377">
        <v>367</v>
      </c>
      <c r="B377">
        <v>1492957.5771817707</v>
      </c>
      <c r="C377">
        <v>143238.96341601337</v>
      </c>
      <c r="D377">
        <v>72695.162167737639</v>
      </c>
      <c r="E377">
        <v>158208.91567845776</v>
      </c>
      <c r="F377">
        <v>46952.924931585534</v>
      </c>
      <c r="G377">
        <v>10000</v>
      </c>
      <c r="H377">
        <v>-10000</v>
      </c>
      <c r="I377">
        <v>52.153384547524801</v>
      </c>
    </row>
    <row r="378" spans="1:9" x14ac:dyDescent="0.2">
      <c r="A378">
        <v>368</v>
      </c>
      <c r="B378">
        <v>1525655.5460063219</v>
      </c>
      <c r="C378">
        <v>113391.41356005572</v>
      </c>
      <c r="D378">
        <v>135326.80962629584</v>
      </c>
      <c r="E378">
        <v>135928.60761835636</v>
      </c>
      <c r="F378">
        <v>45410.442065886207</v>
      </c>
      <c r="G378">
        <v>10000</v>
      </c>
      <c r="H378">
        <v>-10000</v>
      </c>
      <c r="I378">
        <v>41.893031497261887</v>
      </c>
    </row>
    <row r="379" spans="1:9" x14ac:dyDescent="0.2">
      <c r="A379">
        <v>369</v>
      </c>
      <c r="B379">
        <v>1058610.8767254064</v>
      </c>
      <c r="C379">
        <v>101906.02973267021</v>
      </c>
      <c r="D379">
        <v>95118.165630263742</v>
      </c>
      <c r="E379">
        <v>64563.581521016749</v>
      </c>
      <c r="F379">
        <v>40469.786412993468</v>
      </c>
      <c r="G379">
        <v>10000</v>
      </c>
      <c r="H379">
        <v>-10000</v>
      </c>
      <c r="I379">
        <v>28.71832430012725</v>
      </c>
    </row>
    <row r="380" spans="1:9" x14ac:dyDescent="0.2">
      <c r="A380">
        <v>370</v>
      </c>
      <c r="B380">
        <v>1175607.9165627742</v>
      </c>
      <c r="C380">
        <v>120856.01864239186</v>
      </c>
      <c r="D380">
        <v>79794.454115535758</v>
      </c>
      <c r="E380">
        <v>91160.547087172599</v>
      </c>
      <c r="F380">
        <v>42311.114798342722</v>
      </c>
      <c r="G380">
        <v>10000</v>
      </c>
      <c r="H380">
        <v>-10000</v>
      </c>
      <c r="I380">
        <v>29.850709384047214</v>
      </c>
    </row>
    <row r="381" spans="1:9" x14ac:dyDescent="0.2">
      <c r="A381">
        <v>371</v>
      </c>
      <c r="B381">
        <v>939762.56142127444</v>
      </c>
      <c r="C381">
        <v>122068.47630954822</v>
      </c>
      <c r="D381">
        <v>71437.983053284173</v>
      </c>
      <c r="E381">
        <v>37390.587182876945</v>
      </c>
      <c r="F381">
        <v>38588.579112660715</v>
      </c>
      <c r="G381">
        <v>10000</v>
      </c>
      <c r="H381">
        <v>-10000</v>
      </c>
      <c r="I381">
        <v>31.92126993421056</v>
      </c>
    </row>
    <row r="382" spans="1:9" x14ac:dyDescent="0.2">
      <c r="A382">
        <v>372</v>
      </c>
      <c r="B382">
        <v>729301.56314988667</v>
      </c>
      <c r="C382">
        <v>88681.904935516024</v>
      </c>
      <c r="D382">
        <v>36205.943551614677</v>
      </c>
      <c r="E382">
        <v>47621.322888325434</v>
      </c>
      <c r="F382">
        <v>39296.860815345608</v>
      </c>
      <c r="G382">
        <v>10000</v>
      </c>
      <c r="H382">
        <v>-10000</v>
      </c>
      <c r="I382">
        <v>34.350243780974438</v>
      </c>
    </row>
    <row r="383" spans="1:9" x14ac:dyDescent="0.2">
      <c r="A383">
        <v>373</v>
      </c>
      <c r="B383">
        <v>1417957.0720946416</v>
      </c>
      <c r="C383">
        <v>132844.93073010384</v>
      </c>
      <c r="D383">
        <v>86532.928274905047</v>
      </c>
      <c r="E383">
        <v>135764.17784922096</v>
      </c>
      <c r="F383">
        <v>45399.058466484523</v>
      </c>
      <c r="G383">
        <v>10000</v>
      </c>
      <c r="H383">
        <v>-10000</v>
      </c>
      <c r="I383">
        <v>31.27392483873609</v>
      </c>
    </row>
    <row r="384" spans="1:9" x14ac:dyDescent="0.2">
      <c r="A384">
        <v>374</v>
      </c>
      <c r="B384">
        <v>1103734.9688043727</v>
      </c>
      <c r="C384">
        <v>94470.693563847803</v>
      </c>
      <c r="D384">
        <v>29968.594969900561</v>
      </c>
      <c r="E384">
        <v>144014.86350990244</v>
      </c>
      <c r="F384">
        <v>45970.259781454784</v>
      </c>
      <c r="G384">
        <v>10000</v>
      </c>
      <c r="H384">
        <v>-10000</v>
      </c>
      <c r="I384">
        <v>28.645009598556076</v>
      </c>
    </row>
    <row r="385" spans="1:9" x14ac:dyDescent="0.2">
      <c r="A385">
        <v>375</v>
      </c>
      <c r="B385">
        <v>1119286.3138723795</v>
      </c>
      <c r="C385">
        <v>93056.644318066348</v>
      </c>
      <c r="D385">
        <v>119397.21462288</v>
      </c>
      <c r="E385">
        <v>65685.168003792089</v>
      </c>
      <c r="F385">
        <v>40547.434707954839</v>
      </c>
      <c r="G385">
        <v>10000</v>
      </c>
      <c r="H385">
        <v>-10000</v>
      </c>
      <c r="I385">
        <v>30.564404516109249</v>
      </c>
    </row>
    <row r="386" spans="1:9" x14ac:dyDescent="0.2">
      <c r="A386">
        <v>376</v>
      </c>
      <c r="B386">
        <v>1131321.1385312551</v>
      </c>
      <c r="C386">
        <v>94849.833863618827</v>
      </c>
      <c r="D386">
        <v>70806.486441843212</v>
      </c>
      <c r="E386">
        <v>112537.39244645534</v>
      </c>
      <c r="F386">
        <v>43791.05024629306</v>
      </c>
      <c r="G386">
        <v>10000</v>
      </c>
      <c r="H386">
        <v>-10000</v>
      </c>
      <c r="I386">
        <v>35.43985444650626</v>
      </c>
    </row>
    <row r="387" spans="1:9" x14ac:dyDescent="0.2">
      <c r="A387">
        <v>377</v>
      </c>
      <c r="B387">
        <v>1588492.9258778</v>
      </c>
      <c r="C387">
        <v>129406.33027588611</v>
      </c>
      <c r="D387">
        <v>78735.558305922241</v>
      </c>
      <c r="E387">
        <v>189984.04948097281</v>
      </c>
      <c r="F387">
        <v>49152.741887144271</v>
      </c>
      <c r="G387">
        <v>10000</v>
      </c>
      <c r="H387">
        <v>-10000</v>
      </c>
      <c r="I387">
        <v>39.319367240130873</v>
      </c>
    </row>
    <row r="388" spans="1:9" x14ac:dyDescent="0.2">
      <c r="A388">
        <v>378</v>
      </c>
      <c r="B388">
        <v>1873683.5649874839</v>
      </c>
      <c r="C388">
        <v>119115.31624302045</v>
      </c>
      <c r="D388">
        <v>149465.67287052513</v>
      </c>
      <c r="E388">
        <v>206557.76810500378</v>
      </c>
      <c r="F388">
        <v>50300.153176500266</v>
      </c>
      <c r="G388">
        <v>10000</v>
      </c>
      <c r="H388">
        <v>-10000</v>
      </c>
      <c r="I388">
        <v>43.035660842448607</v>
      </c>
    </row>
    <row r="389" spans="1:9" x14ac:dyDescent="0.2">
      <c r="A389">
        <v>379</v>
      </c>
      <c r="B389">
        <v>1075386.1792761148</v>
      </c>
      <c r="C389">
        <v>111342.96114576634</v>
      </c>
      <c r="D389">
        <v>78335.340145061215</v>
      </c>
      <c r="E389">
        <v>75733.654272855332</v>
      </c>
      <c r="F389">
        <v>41243.099141966908</v>
      </c>
      <c r="G389">
        <v>10000</v>
      </c>
      <c r="H389">
        <v>-10000</v>
      </c>
      <c r="I389">
        <v>33.301529642740235</v>
      </c>
    </row>
    <row r="390" spans="1:9" x14ac:dyDescent="0.2">
      <c r="A390">
        <v>380</v>
      </c>
      <c r="B390">
        <v>1539232.6168008395</v>
      </c>
      <c r="C390">
        <v>113664.76945834652</v>
      </c>
      <c r="D390">
        <v>109910.33785637647</v>
      </c>
      <c r="E390">
        <v>162923.79967939795</v>
      </c>
      <c r="F390">
        <v>47279.339977804477</v>
      </c>
      <c r="G390">
        <v>10000</v>
      </c>
      <c r="H390">
        <v>-10000</v>
      </c>
      <c r="I390">
        <v>46.567328394482345</v>
      </c>
    </row>
    <row r="391" spans="1:9" x14ac:dyDescent="0.2">
      <c r="A391">
        <v>381</v>
      </c>
      <c r="B391">
        <v>1428247.279465365</v>
      </c>
      <c r="C391">
        <v>88681.705003491705</v>
      </c>
      <c r="D391">
        <v>63009.143943723473</v>
      </c>
      <c r="E391">
        <v>201706.14118512071</v>
      </c>
      <c r="F391">
        <v>49964.271312816047</v>
      </c>
      <c r="G391">
        <v>10000</v>
      </c>
      <c r="H391">
        <v>-10000</v>
      </c>
      <c r="I391">
        <v>36.480370849042203</v>
      </c>
    </row>
    <row r="392" spans="1:9" x14ac:dyDescent="0.2">
      <c r="A392">
        <v>382</v>
      </c>
      <c r="B392">
        <v>1190912.8913091908</v>
      </c>
      <c r="C392">
        <v>84034.987505433281</v>
      </c>
      <c r="D392">
        <v>113222.04643685395</v>
      </c>
      <c r="E392">
        <v>98257.20745991607</v>
      </c>
      <c r="F392">
        <v>42802.422054917268</v>
      </c>
      <c r="G392">
        <v>10000</v>
      </c>
      <c r="H392">
        <v>-10000</v>
      </c>
      <c r="I392">
        <v>44.620614819582158</v>
      </c>
    </row>
    <row r="393" spans="1:9" x14ac:dyDescent="0.2">
      <c r="A393">
        <v>383</v>
      </c>
      <c r="B393">
        <v>1333625.8177555075</v>
      </c>
      <c r="C393">
        <v>105579.93254134944</v>
      </c>
      <c r="D393">
        <v>64127.080634820959</v>
      </c>
      <c r="E393">
        <v>160603.30674568005</v>
      </c>
      <c r="F393">
        <v>47118.690467008615</v>
      </c>
      <c r="G393">
        <v>10000</v>
      </c>
      <c r="H393">
        <v>-10000</v>
      </c>
      <c r="I393">
        <v>33.820208100860597</v>
      </c>
    </row>
    <row r="394" spans="1:9" x14ac:dyDescent="0.2">
      <c r="A394">
        <v>384</v>
      </c>
      <c r="B394">
        <v>1109358.1028508071</v>
      </c>
      <c r="C394">
        <v>137151.48432588647</v>
      </c>
      <c r="D394">
        <v>66186.509103085817</v>
      </c>
      <c r="E394">
        <v>71666.018361774055</v>
      </c>
      <c r="F394">
        <v>40961.493578892056</v>
      </c>
      <c r="G394">
        <v>10000</v>
      </c>
      <c r="H394">
        <v>-10000</v>
      </c>
      <c r="I394">
        <v>26.892134964064578</v>
      </c>
    </row>
    <row r="395" spans="1:9" x14ac:dyDescent="0.2">
      <c r="A395">
        <v>385</v>
      </c>
      <c r="B395">
        <v>1717380.3521094704</v>
      </c>
      <c r="C395">
        <v>154741.15016173827</v>
      </c>
      <c r="D395">
        <v>86944.35785069241</v>
      </c>
      <c r="E395">
        <v>191648.48723768638</v>
      </c>
      <c r="F395">
        <v>49267.972193378293</v>
      </c>
      <c r="G395">
        <v>10000</v>
      </c>
      <c r="H395">
        <v>-10000</v>
      </c>
      <c r="I395">
        <v>39.683283496057847</v>
      </c>
    </row>
    <row r="396" spans="1:9" x14ac:dyDescent="0.2">
      <c r="A396">
        <v>386</v>
      </c>
      <c r="B396">
        <v>1042648.6524230142</v>
      </c>
      <c r="C396">
        <v>86734.835869563409</v>
      </c>
      <c r="D396">
        <v>95106.787674303414</v>
      </c>
      <c r="E396">
        <v>74671.703608489159</v>
      </c>
      <c r="F396">
        <v>41169.579480587709</v>
      </c>
      <c r="G396">
        <v>10000</v>
      </c>
      <c r="H396">
        <v>-10000</v>
      </c>
      <c r="I396">
        <v>33.031393840781909</v>
      </c>
    </row>
    <row r="397" spans="1:9" x14ac:dyDescent="0.2">
      <c r="A397">
        <v>387</v>
      </c>
      <c r="B397">
        <v>1134990.7810260227</v>
      </c>
      <c r="C397">
        <v>135292.88615640288</v>
      </c>
      <c r="D397">
        <v>118001.70467518443</v>
      </c>
      <c r="E397">
        <v>31514.137763072227</v>
      </c>
      <c r="F397">
        <v>38181.747998981926</v>
      </c>
      <c r="G397">
        <v>10000</v>
      </c>
      <c r="H397">
        <v>-10000</v>
      </c>
      <c r="I397">
        <v>28.313286863386764</v>
      </c>
    </row>
    <row r="398" spans="1:9" x14ac:dyDescent="0.2">
      <c r="A398">
        <v>388</v>
      </c>
      <c r="B398">
        <v>1428376.0754456674</v>
      </c>
      <c r="C398">
        <v>96735.580722696774</v>
      </c>
      <c r="D398">
        <v>73855.179582704106</v>
      </c>
      <c r="E398">
        <v>184062.97782365241</v>
      </c>
      <c r="F398">
        <v>48742.821541637481</v>
      </c>
      <c r="G398">
        <v>10000</v>
      </c>
      <c r="H398">
        <v>-10000</v>
      </c>
      <c r="I398">
        <v>38.751489689343799</v>
      </c>
    </row>
    <row r="399" spans="1:9" x14ac:dyDescent="0.2">
      <c r="A399">
        <v>389</v>
      </c>
      <c r="B399">
        <v>1314540.0601360383</v>
      </c>
      <c r="C399">
        <v>121260.36316996864</v>
      </c>
      <c r="D399">
        <v>97817.767151450855</v>
      </c>
      <c r="E399">
        <v>109536.85729233187</v>
      </c>
      <c r="F399">
        <v>43583.320889469127</v>
      </c>
      <c r="G399">
        <v>10000</v>
      </c>
      <c r="H399">
        <v>-10000</v>
      </c>
      <c r="I399">
        <v>35.064168093787792</v>
      </c>
    </row>
    <row r="400" spans="1:9" x14ac:dyDescent="0.2">
      <c r="A400">
        <v>390</v>
      </c>
      <c r="B400">
        <v>1277426.857298224</v>
      </c>
      <c r="C400">
        <v>133316.62688116709</v>
      </c>
      <c r="D400">
        <v>83380.233279315493</v>
      </c>
      <c r="E400">
        <v>102251.16232559682</v>
      </c>
      <c r="F400">
        <v>43078.926622541323</v>
      </c>
      <c r="G400">
        <v>10000</v>
      </c>
      <c r="H400">
        <v>-10000</v>
      </c>
      <c r="I400">
        <v>30.63121314432972</v>
      </c>
    </row>
    <row r="401" spans="1:9" x14ac:dyDescent="0.2">
      <c r="A401">
        <v>391</v>
      </c>
      <c r="B401">
        <v>1543477.4403006877</v>
      </c>
      <c r="C401">
        <v>127984.41534604099</v>
      </c>
      <c r="D401">
        <v>59315.968715424104</v>
      </c>
      <c r="E401">
        <v>197937.82454190016</v>
      </c>
      <c r="F401">
        <v>49703.387852900785</v>
      </c>
      <c r="G401">
        <v>10000</v>
      </c>
      <c r="H401">
        <v>-10000</v>
      </c>
      <c r="I401">
        <v>32.534624721432344</v>
      </c>
    </row>
    <row r="402" spans="1:9" x14ac:dyDescent="0.2">
      <c r="A402">
        <v>392</v>
      </c>
      <c r="B402">
        <v>844703.33971562993</v>
      </c>
      <c r="C402">
        <v>85687.282027613488</v>
      </c>
      <c r="D402">
        <v>43909.252574109007</v>
      </c>
      <c r="E402">
        <v>72797.069051013532</v>
      </c>
      <c r="F402">
        <v>41039.79708814709</v>
      </c>
      <c r="G402">
        <v>10000</v>
      </c>
      <c r="H402">
        <v>-10000</v>
      </c>
      <c r="I402">
        <v>30.56207919871207</v>
      </c>
    </row>
    <row r="403" spans="1:9" x14ac:dyDescent="0.2">
      <c r="A403">
        <v>393</v>
      </c>
      <c r="B403">
        <v>817532.02869281196</v>
      </c>
      <c r="C403">
        <v>91004.02243100715</v>
      </c>
      <c r="D403">
        <v>65217.901285112755</v>
      </c>
      <c r="E403">
        <v>40931.129718003118</v>
      </c>
      <c r="F403">
        <v>38833.693595861754</v>
      </c>
      <c r="G403">
        <v>10000</v>
      </c>
      <c r="H403">
        <v>-10000</v>
      </c>
      <c r="I403">
        <v>35.098558017464043</v>
      </c>
    </row>
    <row r="404" spans="1:9" x14ac:dyDescent="0.2">
      <c r="A404">
        <v>394</v>
      </c>
      <c r="B404">
        <v>1280425.9518937129</v>
      </c>
      <c r="C404">
        <v>128713.14307684801</v>
      </c>
      <c r="D404">
        <v>43529.77322282573</v>
      </c>
      <c r="E404">
        <v>144595.51522268783</v>
      </c>
      <c r="F404">
        <v>46010.458746186079</v>
      </c>
      <c r="G404">
        <v>10000</v>
      </c>
      <c r="H404">
        <v>-10000</v>
      </c>
      <c r="I404">
        <v>47.364463440553763</v>
      </c>
    </row>
    <row r="405" spans="1:9" x14ac:dyDescent="0.2">
      <c r="A405">
        <v>395</v>
      </c>
      <c r="B405">
        <v>1323701.62900405</v>
      </c>
      <c r="C405">
        <v>91029.074203929122</v>
      </c>
      <c r="D405">
        <v>65407.964811979669</v>
      </c>
      <c r="E405">
        <v>170470.32566864914</v>
      </c>
      <c r="F405">
        <v>47801.791777060324</v>
      </c>
      <c r="G405">
        <v>10000</v>
      </c>
      <c r="H405">
        <v>-10000</v>
      </c>
      <c r="I405">
        <v>32.771964157145234</v>
      </c>
    </row>
    <row r="406" spans="1:9" x14ac:dyDescent="0.2">
      <c r="A406">
        <v>396</v>
      </c>
      <c r="B406">
        <v>1532373.4781026165</v>
      </c>
      <c r="C406">
        <v>114805.84193628165</v>
      </c>
      <c r="D406">
        <v>79280.264944707917</v>
      </c>
      <c r="E406">
        <v>188745.31961512484</v>
      </c>
      <c r="F406">
        <v>49066.983665662483</v>
      </c>
      <c r="G406">
        <v>10000</v>
      </c>
      <c r="H406">
        <v>-10000</v>
      </c>
      <c r="I406">
        <v>30.714526644865817</v>
      </c>
    </row>
    <row r="407" spans="1:9" x14ac:dyDescent="0.2">
      <c r="A407">
        <v>397</v>
      </c>
      <c r="B407">
        <v>1429349.0379802182</v>
      </c>
      <c r="C407">
        <v>107292.87688691317</v>
      </c>
      <c r="D407">
        <v>120375.06944374691</v>
      </c>
      <c r="E407">
        <v>130930.8247540111</v>
      </c>
      <c r="F407">
        <v>45064.44171373923</v>
      </c>
      <c r="G407">
        <v>10000</v>
      </c>
      <c r="H407">
        <v>-10000</v>
      </c>
      <c r="I407">
        <v>38.325437008920602</v>
      </c>
    </row>
    <row r="408" spans="1:9" x14ac:dyDescent="0.2">
      <c r="A408">
        <v>398</v>
      </c>
      <c r="B408">
        <v>862520.04740617867</v>
      </c>
      <c r="C408">
        <v>135899.70254681713</v>
      </c>
      <c r="D408">
        <v>42176.47141813393</v>
      </c>
      <c r="E408">
        <v>32023.14214126124</v>
      </c>
      <c r="F408">
        <v>38216.986763625777</v>
      </c>
      <c r="G408">
        <v>10000</v>
      </c>
      <c r="H408">
        <v>-10000</v>
      </c>
      <c r="I408">
        <v>34.039047151049516</v>
      </c>
    </row>
    <row r="409" spans="1:9" x14ac:dyDescent="0.2">
      <c r="A409">
        <v>399</v>
      </c>
      <c r="B409">
        <v>638554.27259709244</v>
      </c>
      <c r="C409">
        <v>92703.21527431166</v>
      </c>
      <c r="D409">
        <v>28711.60282099307</v>
      </c>
      <c r="E409">
        <v>27609.316195564585</v>
      </c>
      <c r="F409">
        <v>37911.414198154474</v>
      </c>
      <c r="G409">
        <v>10000</v>
      </c>
      <c r="H409">
        <v>-10000</v>
      </c>
      <c r="I409">
        <v>38.705941829048541</v>
      </c>
    </row>
    <row r="410" spans="1:9" x14ac:dyDescent="0.2">
      <c r="A410">
        <v>400</v>
      </c>
      <c r="B410">
        <v>1528431.2399784736</v>
      </c>
      <c r="C410">
        <v>150566.63605940377</v>
      </c>
      <c r="D410">
        <v>87677.848345815015</v>
      </c>
      <c r="E410">
        <v>146435.65099677059</v>
      </c>
      <c r="F410">
        <v>46137.852761314891</v>
      </c>
      <c r="G410">
        <v>10000</v>
      </c>
      <c r="H410">
        <v>-10000</v>
      </c>
      <c r="I410">
        <v>31.330103297386458</v>
      </c>
    </row>
    <row r="411" spans="1:9" x14ac:dyDescent="0.2">
      <c r="A411">
        <v>401</v>
      </c>
      <c r="B411">
        <v>1384456.9761905642</v>
      </c>
      <c r="C411">
        <v>103192.21165198785</v>
      </c>
      <c r="D411">
        <v>89125.472298751207</v>
      </c>
      <c r="E411">
        <v>152485.57743715745</v>
      </c>
      <c r="F411">
        <v>46556.693822572437</v>
      </c>
      <c r="G411">
        <v>10000</v>
      </c>
      <c r="H411">
        <v>-10000</v>
      </c>
      <c r="I411">
        <v>27.267283660524029</v>
      </c>
    </row>
    <row r="412" spans="1:9" x14ac:dyDescent="0.2">
      <c r="A412">
        <v>402</v>
      </c>
      <c r="B412">
        <v>1079460.2365920993</v>
      </c>
      <c r="C412">
        <v>135735.92904924005</v>
      </c>
      <c r="D412">
        <v>36588.526366685895</v>
      </c>
      <c r="E412">
        <v>93008.124089062883</v>
      </c>
      <c r="F412">
        <v>42439.02397539666</v>
      </c>
      <c r="G412">
        <v>10000</v>
      </c>
      <c r="H412">
        <v>-10000</v>
      </c>
      <c r="I412">
        <v>34.06296729096745</v>
      </c>
    </row>
    <row r="413" spans="1:9" x14ac:dyDescent="0.2">
      <c r="A413">
        <v>403</v>
      </c>
      <c r="B413">
        <v>1206695.8026285218</v>
      </c>
      <c r="C413">
        <v>104493.41369034165</v>
      </c>
      <c r="D413">
        <v>88889.773073284436</v>
      </c>
      <c r="E413">
        <v>105925.67436783947</v>
      </c>
      <c r="F413">
        <v>43333.3159177735</v>
      </c>
      <c r="G413">
        <v>10000</v>
      </c>
      <c r="H413">
        <v>-10000</v>
      </c>
      <c r="I413">
        <v>30.993592018234921</v>
      </c>
    </row>
    <row r="414" spans="1:9" x14ac:dyDescent="0.2">
      <c r="A414">
        <v>404</v>
      </c>
      <c r="B414">
        <v>1363666.5011612407</v>
      </c>
      <c r="C414">
        <v>158010.10103481577</v>
      </c>
      <c r="D414">
        <v>148895.65788780269</v>
      </c>
      <c r="E414">
        <v>39987.901111562824</v>
      </c>
      <c r="F414">
        <v>38768.393153877427</v>
      </c>
      <c r="G414">
        <v>10000</v>
      </c>
      <c r="H414">
        <v>-10000</v>
      </c>
      <c r="I414">
        <v>28.405167708928801</v>
      </c>
    </row>
    <row r="415" spans="1:9" x14ac:dyDescent="0.2">
      <c r="A415">
        <v>405</v>
      </c>
      <c r="B415">
        <v>1473775.399673251</v>
      </c>
      <c r="C415">
        <v>100079.83837654834</v>
      </c>
      <c r="D415">
        <v>62462.256900169101</v>
      </c>
      <c r="E415">
        <v>203227.17055190974</v>
      </c>
      <c r="F415">
        <v>50069.573345901445</v>
      </c>
      <c r="G415">
        <v>10000</v>
      </c>
      <c r="H415">
        <v>-10000</v>
      </c>
      <c r="I415">
        <v>47.661916662438252</v>
      </c>
    </row>
    <row r="416" spans="1:9" x14ac:dyDescent="0.2">
      <c r="A416">
        <v>406</v>
      </c>
      <c r="B416">
        <v>1043949.3489962798</v>
      </c>
      <c r="C416">
        <v>108159.23085408712</v>
      </c>
      <c r="D416">
        <v>117048.37817405099</v>
      </c>
      <c r="E416">
        <v>34446.979640717342</v>
      </c>
      <c r="F416">
        <v>38384.790898203508</v>
      </c>
      <c r="G416">
        <v>10000</v>
      </c>
      <c r="H416">
        <v>-10000</v>
      </c>
      <c r="I416">
        <v>36.985862134107315</v>
      </c>
    </row>
    <row r="417" spans="1:9" x14ac:dyDescent="0.2">
      <c r="A417">
        <v>407</v>
      </c>
      <c r="B417">
        <v>891078.14304758061</v>
      </c>
      <c r="C417">
        <v>104536.8914809144</v>
      </c>
      <c r="D417">
        <v>79307.918409505874</v>
      </c>
      <c r="E417">
        <v>33947.969162033784</v>
      </c>
      <c r="F417">
        <v>38350.244018910031</v>
      </c>
      <c r="G417">
        <v>10000</v>
      </c>
      <c r="H417">
        <v>-10000</v>
      </c>
      <c r="I417">
        <v>34.234622258881856</v>
      </c>
    </row>
    <row r="418" spans="1:9" x14ac:dyDescent="0.2">
      <c r="A418">
        <v>408</v>
      </c>
      <c r="B418">
        <v>1295699.675791203</v>
      </c>
      <c r="C418">
        <v>128389.75194263393</v>
      </c>
      <c r="D418">
        <v>62355.65655048941</v>
      </c>
      <c r="E418">
        <v>131205.95658270974</v>
      </c>
      <c r="F418">
        <v>45083.489301879912</v>
      </c>
      <c r="G418">
        <v>10000</v>
      </c>
      <c r="H418">
        <v>-10000</v>
      </c>
      <c r="I418">
        <v>37.872085748020965</v>
      </c>
    </row>
    <row r="419" spans="1:9" x14ac:dyDescent="0.2">
      <c r="A419">
        <v>409</v>
      </c>
      <c r="B419">
        <v>1221049.0450732401</v>
      </c>
      <c r="C419">
        <v>140741.39473390777</v>
      </c>
      <c r="D419">
        <v>57412.015789551369</v>
      </c>
      <c r="E419">
        <v>105143.30850769638</v>
      </c>
      <c r="F419">
        <v>43279.152127455898</v>
      </c>
      <c r="G419">
        <v>10000</v>
      </c>
      <c r="H419">
        <v>-10000</v>
      </c>
      <c r="I419">
        <v>37.510025945081409</v>
      </c>
    </row>
    <row r="420" spans="1:9" x14ac:dyDescent="0.2">
      <c r="A420">
        <v>410</v>
      </c>
      <c r="B420">
        <v>1617470.3094302986</v>
      </c>
      <c r="C420">
        <v>134351.7738498828</v>
      </c>
      <c r="D420">
        <v>86006.487550399746</v>
      </c>
      <c r="E420">
        <v>185986.09001745092</v>
      </c>
      <c r="F420">
        <v>48875.960078131218</v>
      </c>
      <c r="G420">
        <v>10000</v>
      </c>
      <c r="H420">
        <v>-10000</v>
      </c>
      <c r="I420">
        <v>40.28059454527272</v>
      </c>
    </row>
    <row r="421" spans="1:9" x14ac:dyDescent="0.2">
      <c r="A421">
        <v>411</v>
      </c>
      <c r="B421">
        <v>1329335.6340262163</v>
      </c>
      <c r="C421">
        <v>129054.94105580162</v>
      </c>
      <c r="D421">
        <v>66952.160241031248</v>
      </c>
      <c r="E421">
        <v>134906.45068734212</v>
      </c>
      <c r="F421">
        <v>45339.677355277527</v>
      </c>
      <c r="G421">
        <v>10000</v>
      </c>
      <c r="H421">
        <v>-10000</v>
      </c>
      <c r="I421">
        <v>49.542165279040169</v>
      </c>
    </row>
    <row r="422" spans="1:9" x14ac:dyDescent="0.2">
      <c r="A422">
        <v>412</v>
      </c>
      <c r="B422">
        <v>1701113.7342997508</v>
      </c>
      <c r="C422">
        <v>117748.68485451714</v>
      </c>
      <c r="D422">
        <v>166229.92411096153</v>
      </c>
      <c r="E422">
        <v>147924.36145452483</v>
      </c>
      <c r="F422">
        <v>46240.917331467099</v>
      </c>
      <c r="G422">
        <v>10000</v>
      </c>
      <c r="H422">
        <v>-10000</v>
      </c>
      <c r="I422">
        <v>28.573916131986749</v>
      </c>
    </row>
    <row r="423" spans="1:9" x14ac:dyDescent="0.2">
      <c r="A423">
        <v>413</v>
      </c>
      <c r="B423">
        <v>1788507.1927820533</v>
      </c>
      <c r="C423">
        <v>110015.39681275825</v>
      </c>
      <c r="D423">
        <v>159422.86687045012</v>
      </c>
      <c r="E423">
        <v>183923.76259407194</v>
      </c>
      <c r="F423">
        <v>48733.183564204985</v>
      </c>
      <c r="G423">
        <v>10000</v>
      </c>
      <c r="H423">
        <v>-10000</v>
      </c>
      <c r="I423">
        <v>27.400589963918353</v>
      </c>
    </row>
    <row r="424" spans="1:9" x14ac:dyDescent="0.2">
      <c r="A424">
        <v>414</v>
      </c>
      <c r="B424">
        <v>1878533.0166825471</v>
      </c>
      <c r="C424">
        <v>139197.6041019827</v>
      </c>
      <c r="D424">
        <v>132946.33293311365</v>
      </c>
      <c r="E424">
        <v>204468.51644447231</v>
      </c>
      <c r="F424">
        <v>50155.512676925006</v>
      </c>
      <c r="G424">
        <v>10000</v>
      </c>
      <c r="H424">
        <v>-10000</v>
      </c>
      <c r="I424">
        <v>54.210065837123693</v>
      </c>
    </row>
    <row r="425" spans="1:9" x14ac:dyDescent="0.2">
      <c r="A425">
        <v>415</v>
      </c>
      <c r="B425">
        <v>1424099.8748016437</v>
      </c>
      <c r="C425">
        <v>122789.46424471129</v>
      </c>
      <c r="D425">
        <v>81562.184298848602</v>
      </c>
      <c r="E425">
        <v>151391.97915326152</v>
      </c>
      <c r="F425">
        <v>46480.983172148866</v>
      </c>
      <c r="G425">
        <v>10000</v>
      </c>
      <c r="H425">
        <v>-10000</v>
      </c>
      <c r="I425">
        <v>27.665731033841041</v>
      </c>
    </row>
    <row r="426" spans="1:9" x14ac:dyDescent="0.2">
      <c r="A426">
        <v>416</v>
      </c>
      <c r="B426">
        <v>1277906.5287938535</v>
      </c>
      <c r="C426">
        <v>93925.777812061249</v>
      </c>
      <c r="D426">
        <v>89977.423674222227</v>
      </c>
      <c r="E426">
        <v>133044.43902359463</v>
      </c>
      <c r="F426">
        <v>45210.768855479626</v>
      </c>
      <c r="G426">
        <v>10000</v>
      </c>
      <c r="H426">
        <v>-10000</v>
      </c>
      <c r="I426">
        <v>36.204283412536505</v>
      </c>
    </row>
    <row r="427" spans="1:9" x14ac:dyDescent="0.2">
      <c r="A427">
        <v>417</v>
      </c>
      <c r="B427">
        <v>1530736.383181208</v>
      </c>
      <c r="C427">
        <v>133459.32711812996</v>
      </c>
      <c r="D427">
        <v>96768.708890124544</v>
      </c>
      <c r="E427">
        <v>154523.89848861247</v>
      </c>
      <c r="F427">
        <v>46697.808356903937</v>
      </c>
      <c r="G427">
        <v>10000</v>
      </c>
      <c r="H427">
        <v>-10000</v>
      </c>
      <c r="I427">
        <v>35.465914401908719</v>
      </c>
    </row>
    <row r="428" spans="1:9" x14ac:dyDescent="0.2">
      <c r="A428">
        <v>418</v>
      </c>
      <c r="B428">
        <v>1639082.3876646308</v>
      </c>
      <c r="C428">
        <v>153673.63847809852</v>
      </c>
      <c r="D428">
        <v>140032.84545450436</v>
      </c>
      <c r="E428">
        <v>122926.5977829918</v>
      </c>
      <c r="F428">
        <v>44510.302923437892</v>
      </c>
      <c r="G428">
        <v>10000</v>
      </c>
      <c r="H428">
        <v>-10000</v>
      </c>
      <c r="I428">
        <v>35.596327154057704</v>
      </c>
    </row>
    <row r="429" spans="1:9" x14ac:dyDescent="0.2">
      <c r="A429">
        <v>419</v>
      </c>
      <c r="B429">
        <v>1449029.1997859953</v>
      </c>
      <c r="C429">
        <v>81499.168282454048</v>
      </c>
      <c r="D429">
        <v>114722.2511905154</v>
      </c>
      <c r="E429">
        <v>165385.62539856063</v>
      </c>
      <c r="F429">
        <v>47449.774066054197</v>
      </c>
      <c r="G429">
        <v>10000</v>
      </c>
      <c r="H429">
        <v>-10000</v>
      </c>
      <c r="I429">
        <v>42.232096657162558</v>
      </c>
    </row>
    <row r="430" spans="1:9" x14ac:dyDescent="0.2">
      <c r="A430">
        <v>420</v>
      </c>
      <c r="B430">
        <v>1154100.4954750293</v>
      </c>
      <c r="C430">
        <v>122809.61308406266</v>
      </c>
      <c r="D430">
        <v>110667.50179710661</v>
      </c>
      <c r="E430">
        <v>54946.631701713726</v>
      </c>
      <c r="F430">
        <v>39803.997579349416</v>
      </c>
      <c r="G430">
        <v>10000</v>
      </c>
      <c r="H430">
        <v>-10000</v>
      </c>
      <c r="I430">
        <v>30.690789868014747</v>
      </c>
    </row>
    <row r="431" spans="1:9" x14ac:dyDescent="0.2">
      <c r="A431">
        <v>421</v>
      </c>
      <c r="B431">
        <v>1679372.9660712257</v>
      </c>
      <c r="C431">
        <v>125271.17859026398</v>
      </c>
      <c r="D431">
        <v>105008.00290585184</v>
      </c>
      <c r="E431">
        <v>192574.29720402064</v>
      </c>
      <c r="F431">
        <v>49332.066729509119</v>
      </c>
      <c r="G431">
        <v>10000</v>
      </c>
      <c r="H431">
        <v>-10000</v>
      </c>
      <c r="I431">
        <v>35.835992489832392</v>
      </c>
    </row>
    <row r="432" spans="1:9" x14ac:dyDescent="0.2">
      <c r="A432">
        <v>422</v>
      </c>
      <c r="B432">
        <v>1235142.31715478</v>
      </c>
      <c r="C432">
        <v>102824.97611385079</v>
      </c>
      <c r="D432">
        <v>69712.798414583565</v>
      </c>
      <c r="E432">
        <v>132712.73754886241</v>
      </c>
      <c r="F432">
        <v>45187.804907228936</v>
      </c>
      <c r="G432">
        <v>10000</v>
      </c>
      <c r="H432">
        <v>-10000</v>
      </c>
      <c r="I432">
        <v>30.875343742890788</v>
      </c>
    </row>
    <row r="433" spans="1:9" x14ac:dyDescent="0.2">
      <c r="A433">
        <v>423</v>
      </c>
      <c r="B433">
        <v>1049399.675747856</v>
      </c>
      <c r="C433">
        <v>140813.39264987115</v>
      </c>
      <c r="D433">
        <v>65990.323510762653</v>
      </c>
      <c r="E433">
        <v>53056.270433519625</v>
      </c>
      <c r="F433">
        <v>39673.126414628277</v>
      </c>
      <c r="G433">
        <v>10000</v>
      </c>
      <c r="H433">
        <v>-10000</v>
      </c>
      <c r="I433">
        <v>37.84276509292561</v>
      </c>
    </row>
    <row r="434" spans="1:9" x14ac:dyDescent="0.2">
      <c r="A434">
        <v>424</v>
      </c>
      <c r="B434">
        <v>1172980.6402243632</v>
      </c>
      <c r="C434">
        <v>99346.572828816788</v>
      </c>
      <c r="D434">
        <v>78171.285565143247</v>
      </c>
      <c r="E434">
        <v>112121.94804281007</v>
      </c>
      <c r="F434">
        <v>43762.288710656081</v>
      </c>
      <c r="G434">
        <v>10000</v>
      </c>
      <c r="H434">
        <v>-10000</v>
      </c>
      <c r="I434">
        <v>39.925899433875031</v>
      </c>
    </row>
    <row r="435" spans="1:9" x14ac:dyDescent="0.2">
      <c r="A435">
        <v>425</v>
      </c>
      <c r="B435">
        <v>1239907.827662257</v>
      </c>
      <c r="C435">
        <v>110586.36221190689</v>
      </c>
      <c r="D435">
        <v>54936.114175651681</v>
      </c>
      <c r="E435">
        <v>140495.2939059693</v>
      </c>
      <c r="F435">
        <v>45726.597270413266</v>
      </c>
      <c r="G435">
        <v>10000</v>
      </c>
      <c r="H435">
        <v>-10000</v>
      </c>
      <c r="I435">
        <v>33.755137672416794</v>
      </c>
    </row>
    <row r="436" spans="1:9" x14ac:dyDescent="0.2">
      <c r="A436">
        <v>426</v>
      </c>
      <c r="B436">
        <v>1532141.5590316346</v>
      </c>
      <c r="C436">
        <v>144043.21890311065</v>
      </c>
      <c r="D436">
        <v>168858.42157265905</v>
      </c>
      <c r="E436">
        <v>77563.43308965172</v>
      </c>
      <c r="F436">
        <v>41369.776136975888</v>
      </c>
      <c r="G436">
        <v>10000</v>
      </c>
      <c r="H436">
        <v>-10000</v>
      </c>
      <c r="I436">
        <v>34.283232064022037</v>
      </c>
    </row>
    <row r="437" spans="1:9" x14ac:dyDescent="0.2">
      <c r="A437">
        <v>427</v>
      </c>
      <c r="B437">
        <v>1738931.0251749028</v>
      </c>
      <c r="C437">
        <v>101500.78169383688</v>
      </c>
      <c r="D437">
        <v>136236.10911996555</v>
      </c>
      <c r="E437">
        <v>200865.26413420637</v>
      </c>
      <c r="F437">
        <v>49906.056747752751</v>
      </c>
      <c r="G437">
        <v>10000</v>
      </c>
      <c r="H437">
        <v>-10000</v>
      </c>
      <c r="I437">
        <v>26.849036976495391</v>
      </c>
    </row>
    <row r="438" spans="1:9" x14ac:dyDescent="0.2">
      <c r="A438">
        <v>428</v>
      </c>
      <c r="B438">
        <v>940318.83159852191</v>
      </c>
      <c r="C438">
        <v>91952.947797269255</v>
      </c>
      <c r="D438">
        <v>53602.375493428022</v>
      </c>
      <c r="E438">
        <v>82379.55550032013</v>
      </c>
      <c r="F438">
        <v>41703.199996176008</v>
      </c>
      <c r="G438">
        <v>10000</v>
      </c>
      <c r="H438">
        <v>-10000</v>
      </c>
      <c r="I438">
        <v>31.107593083951485</v>
      </c>
    </row>
    <row r="439" spans="1:9" x14ac:dyDescent="0.2">
      <c r="A439">
        <v>429</v>
      </c>
      <c r="B439">
        <v>1415641.9630793568</v>
      </c>
      <c r="C439">
        <v>93739.876359748101</v>
      </c>
      <c r="D439">
        <v>136196.99123007411</v>
      </c>
      <c r="E439">
        <v>125295.44195153682</v>
      </c>
      <c r="F439">
        <v>44674.299827414085</v>
      </c>
      <c r="G439">
        <v>10000</v>
      </c>
      <c r="H439">
        <v>-10000</v>
      </c>
      <c r="I439">
        <v>24.951314694992909</v>
      </c>
    </row>
    <row r="440" spans="1:9" x14ac:dyDescent="0.2">
      <c r="A440">
        <v>430</v>
      </c>
      <c r="B440">
        <v>1339993.4157658664</v>
      </c>
      <c r="C440">
        <v>104119.38005846782</v>
      </c>
      <c r="D440">
        <v>54358.791624302663</v>
      </c>
      <c r="E440">
        <v>172737.23097658786</v>
      </c>
      <c r="F440">
        <v>47958.731375302232</v>
      </c>
      <c r="G440">
        <v>10000</v>
      </c>
      <c r="H440">
        <v>-10000</v>
      </c>
      <c r="I440">
        <v>37.154753412403082</v>
      </c>
    </row>
    <row r="441" spans="1:9" x14ac:dyDescent="0.2">
      <c r="A441">
        <v>431</v>
      </c>
      <c r="B441">
        <v>1363240.3592191781</v>
      </c>
      <c r="C441">
        <v>94233.581375818845</v>
      </c>
      <c r="D441">
        <v>158508.24623162355</v>
      </c>
      <c r="E441">
        <v>90535.587438132367</v>
      </c>
      <c r="F441">
        <v>42267.848361101474</v>
      </c>
      <c r="G441">
        <v>10000</v>
      </c>
      <c r="H441">
        <v>-10000</v>
      </c>
      <c r="I441">
        <v>44.557016231116563</v>
      </c>
    </row>
    <row r="442" spans="1:9" x14ac:dyDescent="0.2">
      <c r="A442">
        <v>432</v>
      </c>
      <c r="B442">
        <v>924532.5903861688</v>
      </c>
      <c r="C442">
        <v>83344.825357339767</v>
      </c>
      <c r="D442">
        <v>39021.849036114618</v>
      </c>
      <c r="E442">
        <v>100020.48320939875</v>
      </c>
      <c r="F442">
        <v>42924.494991419917</v>
      </c>
      <c r="G442">
        <v>10000</v>
      </c>
      <c r="H442">
        <v>-10000</v>
      </c>
      <c r="I442">
        <v>39.168336060126194</v>
      </c>
    </row>
    <row r="443" spans="1:9" x14ac:dyDescent="0.2">
      <c r="A443">
        <v>433</v>
      </c>
      <c r="B443">
        <v>1203466.6197849009</v>
      </c>
      <c r="C443">
        <v>132439.33398317764</v>
      </c>
      <c r="D443">
        <v>96819.286467194383</v>
      </c>
      <c r="E443">
        <v>71545.412778926955</v>
      </c>
      <c r="F443">
        <v>40953.143961618021</v>
      </c>
      <c r="G443">
        <v>10000</v>
      </c>
      <c r="H443">
        <v>-10000</v>
      </c>
      <c r="I443">
        <v>34.766493110725193</v>
      </c>
    </row>
    <row r="444" spans="1:9" x14ac:dyDescent="0.2">
      <c r="A444">
        <v>434</v>
      </c>
      <c r="B444">
        <v>1413444.7048863862</v>
      </c>
      <c r="C444">
        <v>109410.28876140915</v>
      </c>
      <c r="D444">
        <v>123320.4081405913</v>
      </c>
      <c r="E444">
        <v>122119.3112225787</v>
      </c>
      <c r="F444">
        <v>44454.413853870836</v>
      </c>
      <c r="G444">
        <v>10000</v>
      </c>
      <c r="H444">
        <v>-10000</v>
      </c>
      <c r="I444">
        <v>27.906475796808955</v>
      </c>
    </row>
    <row r="445" spans="1:9" x14ac:dyDescent="0.2">
      <c r="A445">
        <v>435</v>
      </c>
      <c r="B445">
        <v>950021.35430584615</v>
      </c>
      <c r="C445">
        <v>80342.033768206806</v>
      </c>
      <c r="D445">
        <v>58565.466907549482</v>
      </c>
      <c r="E445">
        <v>91083.874836185583</v>
      </c>
      <c r="F445">
        <v>42305.806719428227</v>
      </c>
      <c r="G445">
        <v>10000</v>
      </c>
      <c r="H445">
        <v>-10000</v>
      </c>
      <c r="I445">
        <v>31.804208592271973</v>
      </c>
    </row>
    <row r="446" spans="1:9" x14ac:dyDescent="0.2">
      <c r="A446">
        <v>436</v>
      </c>
      <c r="B446">
        <v>1156187.3457148278</v>
      </c>
      <c r="C446">
        <v>104439.61023069231</v>
      </c>
      <c r="D446">
        <v>72129.131245087163</v>
      </c>
      <c r="E446">
        <v>108705.18757570164</v>
      </c>
      <c r="F446">
        <v>43525.743755240881</v>
      </c>
      <c r="G446">
        <v>10000</v>
      </c>
      <c r="H446">
        <v>-10000</v>
      </c>
      <c r="I446">
        <v>47.907386251010813</v>
      </c>
    </row>
    <row r="447" spans="1:9" x14ac:dyDescent="0.2">
      <c r="A447">
        <v>437</v>
      </c>
      <c r="B447">
        <v>1060386.8147797813</v>
      </c>
      <c r="C447">
        <v>88606.935170059252</v>
      </c>
      <c r="D447">
        <v>67596.273956989884</v>
      </c>
      <c r="E447">
        <v>103196.68721899955</v>
      </c>
      <c r="F447">
        <v>43144.38603823843</v>
      </c>
      <c r="G447">
        <v>10000</v>
      </c>
      <c r="H447">
        <v>-10000</v>
      </c>
      <c r="I447">
        <v>27.096451317560103</v>
      </c>
    </row>
    <row r="448" spans="1:9" x14ac:dyDescent="0.2">
      <c r="A448">
        <v>438</v>
      </c>
      <c r="B448">
        <v>1484350.4951549475</v>
      </c>
      <c r="C448">
        <v>105558.88318392549</v>
      </c>
      <c r="D448">
        <v>74921.311207085528</v>
      </c>
      <c r="E448">
        <v>189161.11848531093</v>
      </c>
      <c r="F448">
        <v>49095.769741290758</v>
      </c>
      <c r="G448">
        <v>10000</v>
      </c>
      <c r="H448">
        <v>-10000</v>
      </c>
      <c r="I448">
        <v>37.168093762584697</v>
      </c>
    </row>
    <row r="449" spans="1:9" x14ac:dyDescent="0.2">
      <c r="A449">
        <v>439</v>
      </c>
      <c r="B449">
        <v>1084605.5953457048</v>
      </c>
      <c r="C449">
        <v>81648.870774479947</v>
      </c>
      <c r="D449">
        <v>139249.95280702721</v>
      </c>
      <c r="E449">
        <v>48897.706996876106</v>
      </c>
      <c r="F449">
        <v>39385.225869014503</v>
      </c>
      <c r="G449">
        <v>10000</v>
      </c>
      <c r="H449">
        <v>-10000</v>
      </c>
      <c r="I449">
        <v>34.452569509462009</v>
      </c>
    </row>
    <row r="450" spans="1:9" x14ac:dyDescent="0.2">
      <c r="A450">
        <v>440</v>
      </c>
      <c r="B450">
        <v>1732952.4381962679</v>
      </c>
      <c r="C450">
        <v>159876.00532868784</v>
      </c>
      <c r="D450">
        <v>92873.953207928105</v>
      </c>
      <c r="E450">
        <v>185291.84604824989</v>
      </c>
      <c r="F450">
        <v>48827.897034109606</v>
      </c>
      <c r="G450">
        <v>10000</v>
      </c>
      <c r="H450">
        <v>-10000</v>
      </c>
      <c r="I450">
        <v>42.352303550016359</v>
      </c>
    </row>
    <row r="451" spans="1:9" x14ac:dyDescent="0.2">
      <c r="A451">
        <v>441</v>
      </c>
      <c r="B451">
        <v>1367583.7770622345</v>
      </c>
      <c r="C451">
        <v>111337.71898101171</v>
      </c>
      <c r="D451">
        <v>83370.603338109286</v>
      </c>
      <c r="E451">
        <v>145924.8238389348</v>
      </c>
      <c r="F451">
        <v>46102.487804233941</v>
      </c>
      <c r="G451">
        <v>10000</v>
      </c>
      <c r="H451">
        <v>-10000</v>
      </c>
      <c r="I451">
        <v>35.34486628574534</v>
      </c>
    </row>
    <row r="452" spans="1:9" x14ac:dyDescent="0.2">
      <c r="A452">
        <v>442</v>
      </c>
      <c r="B452">
        <v>882922.75276604458</v>
      </c>
      <c r="C452">
        <v>95763.762975039848</v>
      </c>
      <c r="D452">
        <v>67689.586915111897</v>
      </c>
      <c r="E452">
        <v>50928.745423073873</v>
      </c>
      <c r="F452">
        <v>39525.836221597419</v>
      </c>
      <c r="G452">
        <v>10000</v>
      </c>
      <c r="H452">
        <v>-10000</v>
      </c>
      <c r="I452">
        <v>30.307396384649028</v>
      </c>
    </row>
    <row r="453" spans="1:9" x14ac:dyDescent="0.2">
      <c r="A453">
        <v>443</v>
      </c>
      <c r="B453">
        <v>1368593.0098394048</v>
      </c>
      <c r="C453">
        <v>127871.51679589032</v>
      </c>
      <c r="D453">
        <v>121299.65085894783</v>
      </c>
      <c r="E453">
        <v>95247.034317524143</v>
      </c>
      <c r="F453">
        <v>42594.025452751666</v>
      </c>
      <c r="G453">
        <v>10000</v>
      </c>
      <c r="H453">
        <v>-10000</v>
      </c>
      <c r="I453">
        <v>30.446201238282828</v>
      </c>
    </row>
    <row r="454" spans="1:9" x14ac:dyDescent="0.2">
      <c r="A454">
        <v>444</v>
      </c>
      <c r="B454">
        <v>1756831.5385858356</v>
      </c>
      <c r="C454">
        <v>160991.21304035126</v>
      </c>
      <c r="D454">
        <v>121974.03871424588</v>
      </c>
      <c r="E454">
        <v>163153.58213184378</v>
      </c>
      <c r="F454">
        <v>47295.247993743025</v>
      </c>
      <c r="G454">
        <v>10000</v>
      </c>
      <c r="H454">
        <v>-10000</v>
      </c>
      <c r="I454">
        <v>24.642773163493576</v>
      </c>
    </row>
    <row r="455" spans="1:9" x14ac:dyDescent="0.2">
      <c r="A455">
        <v>445</v>
      </c>
      <c r="B455">
        <v>1506442.1766460226</v>
      </c>
      <c r="C455">
        <v>133413.57358984416</v>
      </c>
      <c r="D455">
        <v>97655.329931892717</v>
      </c>
      <c r="E455">
        <v>147510.43304476686</v>
      </c>
      <c r="F455">
        <v>46212.260749253088</v>
      </c>
      <c r="G455">
        <v>10000</v>
      </c>
      <c r="H455">
        <v>-10000</v>
      </c>
      <c r="I455">
        <v>43.218809047902752</v>
      </c>
    </row>
    <row r="456" spans="1:9" x14ac:dyDescent="0.2">
      <c r="A456">
        <v>446</v>
      </c>
      <c r="B456">
        <v>1122090.6993337281</v>
      </c>
      <c r="C456">
        <v>121102.89670151794</v>
      </c>
      <c r="D456">
        <v>35763.946815438292</v>
      </c>
      <c r="E456">
        <v>118391.83864674105</v>
      </c>
      <c r="F456">
        <v>44196.358060158993</v>
      </c>
      <c r="G456">
        <v>10000</v>
      </c>
      <c r="H456">
        <v>-10000</v>
      </c>
      <c r="I456">
        <v>35.111729261010119</v>
      </c>
    </row>
    <row r="457" spans="1:9" x14ac:dyDescent="0.2">
      <c r="A457">
        <v>447</v>
      </c>
      <c r="B457">
        <v>1129605.3695875083</v>
      </c>
      <c r="C457">
        <v>109122.09910630828</v>
      </c>
      <c r="D457">
        <v>105683.0954031205</v>
      </c>
      <c r="E457">
        <v>66131.03697459957</v>
      </c>
      <c r="F457">
        <v>40578.302559779971</v>
      </c>
      <c r="G457">
        <v>10000</v>
      </c>
      <c r="H457">
        <v>-10000</v>
      </c>
      <c r="I457">
        <v>37.999170284186846</v>
      </c>
    </row>
    <row r="458" spans="1:9" x14ac:dyDescent="0.2">
      <c r="A458">
        <v>448</v>
      </c>
      <c r="B458">
        <v>1657765.3837350816</v>
      </c>
      <c r="C458">
        <v>108529.85419967733</v>
      </c>
      <c r="D458">
        <v>111473.00417798475</v>
      </c>
      <c r="E458">
        <v>196646.83445265418</v>
      </c>
      <c r="F458">
        <v>49614.011615952979</v>
      </c>
      <c r="G458">
        <v>10000</v>
      </c>
      <c r="H458">
        <v>-10000</v>
      </c>
      <c r="I458">
        <v>48.227013993735213</v>
      </c>
    </row>
    <row r="459" spans="1:9" x14ac:dyDescent="0.2">
      <c r="A459">
        <v>449</v>
      </c>
      <c r="B459">
        <v>1123309.794226846</v>
      </c>
      <c r="C459">
        <v>104270.81961234871</v>
      </c>
      <c r="D459">
        <v>70868.92230122925</v>
      </c>
      <c r="E459">
        <v>101614.5535291594</v>
      </c>
      <c r="F459">
        <v>43034.85370586488</v>
      </c>
      <c r="G459">
        <v>10000</v>
      </c>
      <c r="H459">
        <v>-10000</v>
      </c>
      <c r="I459">
        <v>31.527887006268934</v>
      </c>
    </row>
    <row r="460" spans="1:9" x14ac:dyDescent="0.2">
      <c r="A460">
        <v>450</v>
      </c>
      <c r="B460">
        <v>994160.11825418624</v>
      </c>
      <c r="C460">
        <v>142446.90351966105</v>
      </c>
      <c r="D460">
        <v>54448.245574210283</v>
      </c>
      <c r="E460">
        <v>48164.38234508063</v>
      </c>
      <c r="F460">
        <v>39334.457239274816</v>
      </c>
      <c r="G460">
        <v>10000</v>
      </c>
      <c r="H460">
        <v>-10000</v>
      </c>
      <c r="I460">
        <v>32.526809649747335</v>
      </c>
    </row>
    <row r="461" spans="1:9" x14ac:dyDescent="0.2">
      <c r="A461">
        <v>451</v>
      </c>
      <c r="B461">
        <v>1291478.1780400584</v>
      </c>
      <c r="C461">
        <v>114953.56847872982</v>
      </c>
      <c r="D461">
        <v>144058.95105936113</v>
      </c>
      <c r="E461">
        <v>66276.972307153846</v>
      </c>
      <c r="F461">
        <v>40588.405775110652</v>
      </c>
      <c r="G461">
        <v>10000</v>
      </c>
      <c r="H461">
        <v>-10000</v>
      </c>
      <c r="I461">
        <v>33.194347150795096</v>
      </c>
    </row>
    <row r="462" spans="1:9" x14ac:dyDescent="0.2">
      <c r="A462">
        <v>452</v>
      </c>
      <c r="B462">
        <v>1654816.6017481904</v>
      </c>
      <c r="C462">
        <v>132534.68717772144</v>
      </c>
      <c r="D462">
        <v>87185.086374324615</v>
      </c>
      <c r="E462">
        <v>196155.76412436322</v>
      </c>
      <c r="F462">
        <v>49580.014439378996</v>
      </c>
      <c r="G462">
        <v>10000</v>
      </c>
      <c r="H462">
        <v>-10000</v>
      </c>
      <c r="I462">
        <v>44.218879406299934</v>
      </c>
    </row>
    <row r="463" spans="1:9" x14ac:dyDescent="0.2">
      <c r="A463">
        <v>453</v>
      </c>
      <c r="B463">
        <v>1269137.2433881238</v>
      </c>
      <c r="C463">
        <v>119173.91633869997</v>
      </c>
      <c r="D463">
        <v>72590.805556385239</v>
      </c>
      <c r="E463">
        <v>123444.2121678824</v>
      </c>
      <c r="F463">
        <v>44546.137765468782</v>
      </c>
      <c r="G463">
        <v>10000</v>
      </c>
      <c r="H463">
        <v>-10000</v>
      </c>
      <c r="I463">
        <v>37.569335962040697</v>
      </c>
    </row>
    <row r="464" spans="1:9" x14ac:dyDescent="0.2">
      <c r="A464">
        <v>454</v>
      </c>
      <c r="B464">
        <v>1519837.7541439168</v>
      </c>
      <c r="C464">
        <v>136490.15541830298</v>
      </c>
      <c r="D464">
        <v>68868.606646211061</v>
      </c>
      <c r="E464">
        <v>174989.41680457527</v>
      </c>
      <c r="F464">
        <v>48114.651932624445</v>
      </c>
      <c r="G464">
        <v>10000</v>
      </c>
      <c r="H464">
        <v>-10000</v>
      </c>
      <c r="I464">
        <v>39.55046017883339</v>
      </c>
    </row>
    <row r="465" spans="1:9" x14ac:dyDescent="0.2">
      <c r="A465">
        <v>455</v>
      </c>
      <c r="B465">
        <v>1360588.909536249</v>
      </c>
      <c r="C465">
        <v>104196.22240856318</v>
      </c>
      <c r="D465">
        <v>135208.12093668152</v>
      </c>
      <c r="E465">
        <v>102329.87928547093</v>
      </c>
      <c r="F465">
        <v>43084.376258224911</v>
      </c>
      <c r="G465">
        <v>10000</v>
      </c>
      <c r="H465">
        <v>-10000</v>
      </c>
      <c r="I465">
        <v>35.986659299839644</v>
      </c>
    </row>
    <row r="466" spans="1:9" x14ac:dyDescent="0.2">
      <c r="A466">
        <v>456</v>
      </c>
      <c r="B466">
        <v>1477819.952243295</v>
      </c>
      <c r="C466">
        <v>113631.0592082308</v>
      </c>
      <c r="D466">
        <v>135760.31544862283</v>
      </c>
      <c r="E466">
        <v>123037.91745998745</v>
      </c>
      <c r="F466">
        <v>44518.009670306819</v>
      </c>
      <c r="G466">
        <v>10000</v>
      </c>
      <c r="H466">
        <v>-10000</v>
      </c>
      <c r="I466">
        <v>40.392876933674529</v>
      </c>
    </row>
    <row r="467" spans="1:9" x14ac:dyDescent="0.2">
      <c r="A467">
        <v>457</v>
      </c>
      <c r="B467">
        <v>1095252.6685231063</v>
      </c>
      <c r="C467">
        <v>97573.401683945005</v>
      </c>
      <c r="D467">
        <v>87802.528683564204</v>
      </c>
      <c r="E467">
        <v>84849.593337654107</v>
      </c>
      <c r="F467">
        <v>41874.202615683746</v>
      </c>
      <c r="G467">
        <v>10000</v>
      </c>
      <c r="H467">
        <v>-10000</v>
      </c>
      <c r="I467">
        <v>38.725767782665173</v>
      </c>
    </row>
    <row r="468" spans="1:9" x14ac:dyDescent="0.2">
      <c r="A468">
        <v>458</v>
      </c>
      <c r="B468">
        <v>1140980.4892864055</v>
      </c>
      <c r="C468">
        <v>92166.888779233486</v>
      </c>
      <c r="D468">
        <v>55050.235514712083</v>
      </c>
      <c r="E468">
        <v>132258.54921025469</v>
      </c>
      <c r="F468">
        <v>45156.361099171474</v>
      </c>
      <c r="G468">
        <v>10000</v>
      </c>
      <c r="H468">
        <v>-10000</v>
      </c>
      <c r="I468">
        <v>31.50746443402382</v>
      </c>
    </row>
    <row r="469" spans="1:9" x14ac:dyDescent="0.2">
      <c r="A469">
        <v>459</v>
      </c>
      <c r="B469">
        <v>1665166.335686171</v>
      </c>
      <c r="C469">
        <v>151209.08340274528</v>
      </c>
      <c r="D469">
        <v>146601.27809630055</v>
      </c>
      <c r="E469">
        <v>125774.2244674109</v>
      </c>
      <c r="F469">
        <v>44707.446309282292</v>
      </c>
      <c r="G469">
        <v>10000</v>
      </c>
      <c r="H469">
        <v>-10000</v>
      </c>
      <c r="I469">
        <v>40.543956395888912</v>
      </c>
    </row>
    <row r="470" spans="1:9" x14ac:dyDescent="0.2">
      <c r="A470">
        <v>460</v>
      </c>
      <c r="B470">
        <v>892227.85499762278</v>
      </c>
      <c r="C470">
        <v>93423.446423156725</v>
      </c>
      <c r="D470">
        <v>85046.832121672298</v>
      </c>
      <c r="E470">
        <v>39269.201144548439</v>
      </c>
      <c r="F470">
        <v>38718.637002314892</v>
      </c>
      <c r="G470">
        <v>10000</v>
      </c>
      <c r="H470">
        <v>-10000</v>
      </c>
      <c r="I470">
        <v>45.959426268648016</v>
      </c>
    </row>
    <row r="471" spans="1:9" x14ac:dyDescent="0.2">
      <c r="A471">
        <v>461</v>
      </c>
      <c r="B471">
        <v>1076246.8362727754</v>
      </c>
      <c r="C471">
        <v>110228.69336832967</v>
      </c>
      <c r="D471">
        <v>103270.17321196906</v>
      </c>
      <c r="E471">
        <v>53676.029628830729</v>
      </c>
      <c r="F471">
        <v>39716.032820457513</v>
      </c>
      <c r="G471">
        <v>10000</v>
      </c>
      <c r="H471">
        <v>-10000</v>
      </c>
      <c r="I471">
        <v>39.802353908919102</v>
      </c>
    </row>
    <row r="472" spans="1:9" x14ac:dyDescent="0.2">
      <c r="A472">
        <v>462</v>
      </c>
      <c r="B472">
        <v>1587834.4224098122</v>
      </c>
      <c r="C472">
        <v>110089.32467225987</v>
      </c>
      <c r="D472">
        <v>83093.73944294329</v>
      </c>
      <c r="E472">
        <v>203805.53067151326</v>
      </c>
      <c r="F472">
        <v>50109.613661873998</v>
      </c>
      <c r="G472">
        <v>10000</v>
      </c>
      <c r="H472">
        <v>-10000</v>
      </c>
      <c r="I472">
        <v>27.866342371490919</v>
      </c>
    </row>
    <row r="473" spans="1:9" x14ac:dyDescent="0.2">
      <c r="A473">
        <v>463</v>
      </c>
      <c r="B473">
        <v>1659413.2101780761</v>
      </c>
      <c r="C473">
        <v>139683.6850985843</v>
      </c>
      <c r="D473">
        <v>71978.355990019234</v>
      </c>
      <c r="E473">
        <v>204869.96641270426</v>
      </c>
      <c r="F473">
        <v>50183.305367033368</v>
      </c>
      <c r="G473">
        <v>10000</v>
      </c>
      <c r="H473">
        <v>-10000</v>
      </c>
      <c r="I473">
        <v>33.909434735491374</v>
      </c>
    </row>
    <row r="474" spans="1:9" x14ac:dyDescent="0.2">
      <c r="A474">
        <v>464</v>
      </c>
      <c r="B474">
        <v>1081614.3003654764</v>
      </c>
      <c r="C474">
        <v>97799.381166604478</v>
      </c>
      <c r="D474">
        <v>73400.97366704297</v>
      </c>
      <c r="E474">
        <v>94611.566512749152</v>
      </c>
      <c r="F474">
        <v>42550.03152780571</v>
      </c>
      <c r="G474">
        <v>10000</v>
      </c>
      <c r="H474">
        <v>-10000</v>
      </c>
      <c r="I474">
        <v>33.66459772513376</v>
      </c>
    </row>
    <row r="475" spans="1:9" x14ac:dyDescent="0.2">
      <c r="A475">
        <v>465</v>
      </c>
      <c r="B475">
        <v>1681605.1268150108</v>
      </c>
      <c r="C475">
        <v>101461.56031189115</v>
      </c>
      <c r="D475">
        <v>160468.25251040791</v>
      </c>
      <c r="E475">
        <v>163545.1303227302</v>
      </c>
      <c r="F475">
        <v>47322.355176189012</v>
      </c>
      <c r="G475">
        <v>10000</v>
      </c>
      <c r="H475">
        <v>-10000</v>
      </c>
      <c r="I475">
        <v>40.999996921991304</v>
      </c>
    </row>
    <row r="476" spans="1:9" x14ac:dyDescent="0.2">
      <c r="A476">
        <v>466</v>
      </c>
      <c r="B476">
        <v>1729225.6293018872</v>
      </c>
      <c r="C476">
        <v>106631.32641226985</v>
      </c>
      <c r="D476">
        <v>133354.26794558074</v>
      </c>
      <c r="E476">
        <v>196274.49237737575</v>
      </c>
      <c r="F476">
        <v>49588.234087664474</v>
      </c>
      <c r="G476">
        <v>10000</v>
      </c>
      <c r="H476">
        <v>-10000</v>
      </c>
      <c r="I476">
        <v>28.210447934000204</v>
      </c>
    </row>
    <row r="477" spans="1:9" x14ac:dyDescent="0.2">
      <c r="A477">
        <v>467</v>
      </c>
      <c r="B477">
        <v>921975.57162651431</v>
      </c>
      <c r="C477">
        <v>83191.889935238651</v>
      </c>
      <c r="D477">
        <v>84254.354135205052</v>
      </c>
      <c r="E477">
        <v>57204.324639478087</v>
      </c>
      <c r="F477">
        <v>39960.299398117721</v>
      </c>
      <c r="G477">
        <v>10000</v>
      </c>
      <c r="H477">
        <v>-10000</v>
      </c>
      <c r="I477">
        <v>36.39109281155546</v>
      </c>
    </row>
    <row r="478" spans="1:9" x14ac:dyDescent="0.2">
      <c r="A478">
        <v>468</v>
      </c>
      <c r="B478">
        <v>1495210.6391848489</v>
      </c>
      <c r="C478">
        <v>95212.714354286945</v>
      </c>
      <c r="D478">
        <v>119737.72886511036</v>
      </c>
      <c r="E478">
        <v>159706.40674016695</v>
      </c>
      <c r="F478">
        <v>47056.597389703864</v>
      </c>
      <c r="G478">
        <v>10000</v>
      </c>
      <c r="H478">
        <v>-10000</v>
      </c>
      <c r="I478">
        <v>35.344777818264475</v>
      </c>
    </row>
    <row r="479" spans="1:9" x14ac:dyDescent="0.2">
      <c r="A479">
        <v>469</v>
      </c>
      <c r="B479">
        <v>1464563.6635938024</v>
      </c>
      <c r="C479">
        <v>146016.75104163465</v>
      </c>
      <c r="D479">
        <v>49179.672921510617</v>
      </c>
      <c r="E479">
        <v>170326.01708848713</v>
      </c>
      <c r="F479">
        <v>47791.801183049109</v>
      </c>
      <c r="G479">
        <v>10000</v>
      </c>
      <c r="H479">
        <v>-10000</v>
      </c>
      <c r="I479">
        <v>41.245497195314087</v>
      </c>
    </row>
    <row r="480" spans="1:9" x14ac:dyDescent="0.2">
      <c r="A480">
        <v>470</v>
      </c>
      <c r="B480">
        <v>1064064.2513219439</v>
      </c>
      <c r="C480">
        <v>81093.374311156644</v>
      </c>
      <c r="D480">
        <v>90595.748791817328</v>
      </c>
      <c r="E480">
        <v>89656.051524307899</v>
      </c>
      <c r="F480">
        <v>42206.957413221309</v>
      </c>
      <c r="G480">
        <v>10000</v>
      </c>
      <c r="H480">
        <v>-10000</v>
      </c>
      <c r="I480">
        <v>37.255058763325671</v>
      </c>
    </row>
    <row r="481" spans="1:9" x14ac:dyDescent="0.2">
      <c r="A481">
        <v>471</v>
      </c>
      <c r="B481">
        <v>976153.21416242584</v>
      </c>
      <c r="C481">
        <v>143015.2947932689</v>
      </c>
      <c r="D481">
        <v>71877.795662748948</v>
      </c>
      <c r="E481">
        <v>26716.281555022579</v>
      </c>
      <c r="F481">
        <v>37849.588723040026</v>
      </c>
      <c r="G481">
        <v>10000</v>
      </c>
      <c r="H481">
        <v>-10000</v>
      </c>
      <c r="I481">
        <v>26.585797344827046</v>
      </c>
    </row>
    <row r="482" spans="1:9" x14ac:dyDescent="0.2">
      <c r="A482">
        <v>472</v>
      </c>
      <c r="B482">
        <v>1322118.6934936803</v>
      </c>
      <c r="C482">
        <v>135639.54399717198</v>
      </c>
      <c r="D482">
        <v>60550.780294992946</v>
      </c>
      <c r="E482">
        <v>132885.25924082054</v>
      </c>
      <c r="F482">
        <v>45199.748716672191</v>
      </c>
      <c r="G482">
        <v>10000</v>
      </c>
      <c r="H482">
        <v>-10000</v>
      </c>
      <c r="I482">
        <v>38.989849004435328</v>
      </c>
    </row>
    <row r="483" spans="1:9" x14ac:dyDescent="0.2">
      <c r="A483">
        <v>473</v>
      </c>
      <c r="B483">
        <v>1371860.2776227435</v>
      </c>
      <c r="C483">
        <v>121536.19507308822</v>
      </c>
      <c r="D483">
        <v>55794.592772424432</v>
      </c>
      <c r="E483">
        <v>163273.33830856171</v>
      </c>
      <c r="F483">
        <v>47303.538805977347</v>
      </c>
      <c r="G483">
        <v>10000</v>
      </c>
      <c r="H483">
        <v>-10000</v>
      </c>
      <c r="I483">
        <v>28.532272835367905</v>
      </c>
    </row>
    <row r="484" spans="1:9" x14ac:dyDescent="0.2">
      <c r="A484">
        <v>474</v>
      </c>
      <c r="B484">
        <v>1697932.9009413207</v>
      </c>
      <c r="C484">
        <v>113904.0101079522</v>
      </c>
      <c r="D484">
        <v>113417.19042360992</v>
      </c>
      <c r="E484">
        <v>200097.99972859811</v>
      </c>
      <c r="F484">
        <v>49852.938442749095</v>
      </c>
      <c r="G484">
        <v>10000</v>
      </c>
      <c r="H484">
        <v>-10000</v>
      </c>
      <c r="I484">
        <v>24.029461410381906</v>
      </c>
    </row>
    <row r="485" spans="1:9" x14ac:dyDescent="0.2">
      <c r="A485">
        <v>475</v>
      </c>
      <c r="B485">
        <v>1000057.0662384192</v>
      </c>
      <c r="C485">
        <v>111565.48720708535</v>
      </c>
      <c r="D485">
        <v>96923.662160885477</v>
      </c>
      <c r="E485">
        <v>38832.566688184648</v>
      </c>
      <c r="F485">
        <v>38688.408463028165</v>
      </c>
      <c r="G485">
        <v>10000</v>
      </c>
      <c r="H485">
        <v>-10000</v>
      </c>
      <c r="I485">
        <v>30.773873563656121</v>
      </c>
    </row>
    <row r="486" spans="1:9" x14ac:dyDescent="0.2">
      <c r="A486">
        <v>476</v>
      </c>
      <c r="B486">
        <v>1515860.5076454438</v>
      </c>
      <c r="C486">
        <v>130277.97502358508</v>
      </c>
      <c r="D486">
        <v>43312.02015463377</v>
      </c>
      <c r="E486">
        <v>203681.77327905589</v>
      </c>
      <c r="F486">
        <v>50101.045842396168</v>
      </c>
      <c r="G486">
        <v>10000</v>
      </c>
      <c r="H486">
        <v>-10000</v>
      </c>
      <c r="I486">
        <v>53.305229388389456</v>
      </c>
    </row>
    <row r="487" spans="1:9" x14ac:dyDescent="0.2">
      <c r="A487">
        <v>477</v>
      </c>
      <c r="B487">
        <v>1201654.7738233549</v>
      </c>
      <c r="C487">
        <v>98560.677067718047</v>
      </c>
      <c r="D487">
        <v>58239.43181606834</v>
      </c>
      <c r="E487">
        <v>138847.95729762359</v>
      </c>
      <c r="F487">
        <v>45612.550889835482</v>
      </c>
      <c r="G487">
        <v>10000</v>
      </c>
      <c r="H487">
        <v>-10000</v>
      </c>
      <c r="I487">
        <v>44.19674593930921</v>
      </c>
    </row>
    <row r="488" spans="1:9" x14ac:dyDescent="0.2">
      <c r="A488">
        <v>478</v>
      </c>
      <c r="B488">
        <v>1408466.8042907084</v>
      </c>
      <c r="C488">
        <v>100168.16055969268</v>
      </c>
      <c r="D488">
        <v>94512.789319671647</v>
      </c>
      <c r="E488">
        <v>156429.48000286988</v>
      </c>
      <c r="F488">
        <v>46829.733230967919</v>
      </c>
      <c r="G488">
        <v>10000</v>
      </c>
      <c r="H488">
        <v>-10000</v>
      </c>
      <c r="I488">
        <v>37.501553653439728</v>
      </c>
    </row>
    <row r="489" spans="1:9" x14ac:dyDescent="0.2">
      <c r="A489">
        <v>479</v>
      </c>
      <c r="B489">
        <v>1162295.4262905864</v>
      </c>
      <c r="C489">
        <v>134078.09985109634</v>
      </c>
      <c r="D489">
        <v>40184.732336023648</v>
      </c>
      <c r="E489">
        <v>112427.40442218824</v>
      </c>
      <c r="F489">
        <v>43783.435690766877</v>
      </c>
      <c r="G489">
        <v>10000</v>
      </c>
      <c r="H489">
        <v>-10000</v>
      </c>
      <c r="I489">
        <v>35.088078401935839</v>
      </c>
    </row>
    <row r="490" spans="1:9" x14ac:dyDescent="0.2">
      <c r="A490">
        <v>480</v>
      </c>
      <c r="B490">
        <v>1464377.1588837721</v>
      </c>
      <c r="C490">
        <v>75121.147393927837</v>
      </c>
      <c r="D490">
        <v>84729.713829669316</v>
      </c>
      <c r="E490">
        <v>203335.2136963206</v>
      </c>
      <c r="F490">
        <v>50077.053255899118</v>
      </c>
      <c r="G490">
        <v>10000</v>
      </c>
      <c r="H490">
        <v>-10000</v>
      </c>
      <c r="I490">
        <v>43.857869476724986</v>
      </c>
    </row>
    <row r="491" spans="1:9" x14ac:dyDescent="0.2">
      <c r="A491">
        <v>481</v>
      </c>
      <c r="B491">
        <v>1551664.5337409566</v>
      </c>
      <c r="C491">
        <v>110480.62042879577</v>
      </c>
      <c r="D491">
        <v>97314.795631363915</v>
      </c>
      <c r="E491">
        <v>180868.30847349885</v>
      </c>
      <c r="F491">
        <v>48521.652125088382</v>
      </c>
      <c r="G491">
        <v>10000</v>
      </c>
      <c r="H491">
        <v>-10000</v>
      </c>
      <c r="I491">
        <v>29.409310783298782</v>
      </c>
    </row>
    <row r="492" spans="1:9" x14ac:dyDescent="0.2">
      <c r="A492">
        <v>482</v>
      </c>
      <c r="B492">
        <v>1583620.9339965531</v>
      </c>
      <c r="C492">
        <v>162311.70698043855</v>
      </c>
      <c r="D492">
        <v>110566.00355322647</v>
      </c>
      <c r="E492">
        <v>128190.97632229619</v>
      </c>
      <c r="F492">
        <v>44874.759899235891</v>
      </c>
      <c r="G492">
        <v>10000</v>
      </c>
      <c r="H492">
        <v>-10000</v>
      </c>
      <c r="I492">
        <v>25.460335823465606</v>
      </c>
    </row>
    <row r="493" spans="1:9" x14ac:dyDescent="0.2">
      <c r="A493">
        <v>483</v>
      </c>
      <c r="B493">
        <v>1226498.7539407157</v>
      </c>
      <c r="C493">
        <v>123966.49940396678</v>
      </c>
      <c r="D493">
        <v>43244.509195456747</v>
      </c>
      <c r="E493">
        <v>135479.10407207403</v>
      </c>
      <c r="F493">
        <v>45379.322589605123</v>
      </c>
      <c r="G493">
        <v>10000</v>
      </c>
      <c r="H493">
        <v>-10000</v>
      </c>
      <c r="I493">
        <v>33.699346540116437</v>
      </c>
    </row>
    <row r="494" spans="1:9" x14ac:dyDescent="0.2">
      <c r="A494">
        <v>484</v>
      </c>
      <c r="B494">
        <v>1247772.681727537</v>
      </c>
      <c r="C494">
        <v>103799.47278130973</v>
      </c>
      <c r="D494">
        <v>119670.69891160337</v>
      </c>
      <c r="E494">
        <v>88315.511364883845</v>
      </c>
      <c r="F494">
        <v>42114.150786799655</v>
      </c>
      <c r="G494">
        <v>10000</v>
      </c>
      <c r="H494">
        <v>-10000</v>
      </c>
      <c r="I494">
        <v>34.40695113506132</v>
      </c>
    </row>
    <row r="495" spans="1:9" x14ac:dyDescent="0.2">
      <c r="A495">
        <v>485</v>
      </c>
      <c r="B495">
        <v>1501893.5946229072</v>
      </c>
      <c r="C495">
        <v>151834.13637830541</v>
      </c>
      <c r="D495">
        <v>67485.46819274842</v>
      </c>
      <c r="E495">
        <v>157333.10254348855</v>
      </c>
      <c r="F495">
        <v>46892.29171454921</v>
      </c>
      <c r="G495">
        <v>10000</v>
      </c>
      <c r="H495">
        <v>-10000</v>
      </c>
      <c r="I495">
        <v>35.319034509155664</v>
      </c>
    </row>
    <row r="496" spans="1:9" x14ac:dyDescent="0.2">
      <c r="A496">
        <v>486</v>
      </c>
      <c r="B496">
        <v>1461145.1259690835</v>
      </c>
      <c r="C496">
        <v>136913.53644723012</v>
      </c>
      <c r="D496">
        <v>74929.354542564266</v>
      </c>
      <c r="E496">
        <v>153881.14611288314</v>
      </c>
      <c r="F496">
        <v>46653.310115507295</v>
      </c>
      <c r="G496">
        <v>10000</v>
      </c>
      <c r="H496">
        <v>-10000</v>
      </c>
      <c r="I496">
        <v>51.750820580913931</v>
      </c>
    </row>
    <row r="497" spans="1:9" x14ac:dyDescent="0.2">
      <c r="A497">
        <v>487</v>
      </c>
      <c r="B497">
        <v>1462390.2968449669</v>
      </c>
      <c r="C497">
        <v>141936.25913414243</v>
      </c>
      <c r="D497">
        <v>127592.2469800926</v>
      </c>
      <c r="E497">
        <v>100249.73053334876</v>
      </c>
      <c r="F497">
        <v>42940.365960001072</v>
      </c>
      <c r="G497">
        <v>10000</v>
      </c>
      <c r="H497">
        <v>-10000</v>
      </c>
      <c r="I497">
        <v>33.612698059453386</v>
      </c>
    </row>
    <row r="498" spans="1:9" x14ac:dyDescent="0.2">
      <c r="A498">
        <v>488</v>
      </c>
      <c r="B498">
        <v>971809.19544708682</v>
      </c>
      <c r="C498">
        <v>95911.720756432129</v>
      </c>
      <c r="D498">
        <v>93816.454995037609</v>
      </c>
      <c r="E498">
        <v>49138.363075611764</v>
      </c>
      <c r="F498">
        <v>39401.88667446543</v>
      </c>
      <c r="G498">
        <v>10000</v>
      </c>
      <c r="H498">
        <v>-10000</v>
      </c>
      <c r="I498">
        <v>34.783157007420293</v>
      </c>
    </row>
    <row r="499" spans="1:9" x14ac:dyDescent="0.2">
      <c r="A499">
        <v>489</v>
      </c>
      <c r="B499">
        <v>1479321.1485016262</v>
      </c>
      <c r="C499">
        <v>137133.70862776053</v>
      </c>
      <c r="D499">
        <v>98058.863747528609</v>
      </c>
      <c r="E499">
        <v>136702.15646359182</v>
      </c>
      <c r="F499">
        <v>45463.995447479436</v>
      </c>
      <c r="G499">
        <v>10000</v>
      </c>
      <c r="H499">
        <v>-10000</v>
      </c>
      <c r="I499">
        <v>36.194605423166749</v>
      </c>
    </row>
    <row r="500" spans="1:9" x14ac:dyDescent="0.2">
      <c r="A500">
        <v>490</v>
      </c>
      <c r="B500">
        <v>1119604.0288028</v>
      </c>
      <c r="C500">
        <v>139714.19740346129</v>
      </c>
      <c r="D500">
        <v>47453.42027344495</v>
      </c>
      <c r="E500">
        <v>89415.606682449448</v>
      </c>
      <c r="F500">
        <v>42190.311231861881</v>
      </c>
      <c r="G500">
        <v>10000</v>
      </c>
      <c r="H500">
        <v>-10000</v>
      </c>
      <c r="I500">
        <v>36.088102393930775</v>
      </c>
    </row>
    <row r="501" spans="1:9" x14ac:dyDescent="0.2">
      <c r="A501">
        <v>491</v>
      </c>
      <c r="B501">
        <v>1093155.759174997</v>
      </c>
      <c r="C501">
        <v>113282.17073407704</v>
      </c>
      <c r="D501">
        <v>48289.272126645345</v>
      </c>
      <c r="E501">
        <v>106575.30746820557</v>
      </c>
      <c r="F501">
        <v>43378.290517029614</v>
      </c>
      <c r="G501">
        <v>10000</v>
      </c>
      <c r="H501">
        <v>-10000</v>
      </c>
      <c r="I501">
        <v>34.314987884966982</v>
      </c>
    </row>
    <row r="502" spans="1:9" x14ac:dyDescent="0.2">
      <c r="A502">
        <v>492</v>
      </c>
      <c r="B502">
        <v>1283056.1846900098</v>
      </c>
      <c r="C502">
        <v>125632.76028634397</v>
      </c>
      <c r="D502">
        <v>81944.436189734566</v>
      </c>
      <c r="E502">
        <v>112223.24216391811</v>
      </c>
      <c r="F502">
        <v>43769.301380578952</v>
      </c>
      <c r="G502">
        <v>10000</v>
      </c>
      <c r="H502">
        <v>-10000</v>
      </c>
      <c r="I502">
        <v>54.433243494170384</v>
      </c>
    </row>
    <row r="503" spans="1:9" x14ac:dyDescent="0.2">
      <c r="A503">
        <v>493</v>
      </c>
      <c r="B503">
        <v>1429588.1498925555</v>
      </c>
      <c r="C503">
        <v>132545.0418667316</v>
      </c>
      <c r="D503">
        <v>159700.47480033259</v>
      </c>
      <c r="E503">
        <v>70595.824638889651</v>
      </c>
      <c r="F503">
        <v>40887.403244230823</v>
      </c>
      <c r="G503">
        <v>10000</v>
      </c>
      <c r="H503">
        <v>-10000</v>
      </c>
      <c r="I503">
        <v>37.974215143011918</v>
      </c>
    </row>
    <row r="504" spans="1:9" x14ac:dyDescent="0.2">
      <c r="A504">
        <v>494</v>
      </c>
      <c r="B504">
        <v>1560824.0681654909</v>
      </c>
      <c r="C504">
        <v>99021.675121238339</v>
      </c>
      <c r="D504">
        <v>131628.07375316118</v>
      </c>
      <c r="E504">
        <v>161841.5062085744</v>
      </c>
      <c r="F504">
        <v>47204.411968285916</v>
      </c>
      <c r="G504">
        <v>10000</v>
      </c>
      <c r="H504">
        <v>-10000</v>
      </c>
      <c r="I504">
        <v>36.17919852748841</v>
      </c>
    </row>
    <row r="505" spans="1:9" x14ac:dyDescent="0.2">
      <c r="A505">
        <v>495</v>
      </c>
      <c r="B505">
        <v>1259113.5187535221</v>
      </c>
      <c r="C505">
        <v>157368.92821816905</v>
      </c>
      <c r="D505">
        <v>108546.25169023209</v>
      </c>
      <c r="E505">
        <v>51525.601830373344</v>
      </c>
      <c r="F505">
        <v>39567.157049795074</v>
      </c>
      <c r="G505">
        <v>10000</v>
      </c>
      <c r="H505">
        <v>-10000</v>
      </c>
      <c r="I505">
        <v>42.966621965237664</v>
      </c>
    </row>
    <row r="506" spans="1:9" x14ac:dyDescent="0.2">
      <c r="A506">
        <v>496</v>
      </c>
      <c r="B506">
        <v>1480081.3367739199</v>
      </c>
      <c r="C506">
        <v>86915.892907058063</v>
      </c>
      <c r="D506">
        <v>81594.067534884613</v>
      </c>
      <c r="E506">
        <v>199262.03914955692</v>
      </c>
      <c r="F506">
        <v>49795.064248815484</v>
      </c>
      <c r="G506">
        <v>10000</v>
      </c>
      <c r="H506">
        <v>-10000</v>
      </c>
      <c r="I506">
        <v>37.885872587047935</v>
      </c>
    </row>
    <row r="507" spans="1:9" x14ac:dyDescent="0.2">
      <c r="A507">
        <v>497</v>
      </c>
      <c r="B507">
        <v>930636.91326705692</v>
      </c>
      <c r="C507">
        <v>98057.948893549023</v>
      </c>
      <c r="D507">
        <v>72978.672542819535</v>
      </c>
      <c r="E507">
        <v>56066.475573727905</v>
      </c>
      <c r="F507">
        <v>39881.525232027314</v>
      </c>
      <c r="G507">
        <v>10000</v>
      </c>
      <c r="H507">
        <v>-10000</v>
      </c>
      <c r="I507">
        <v>44.585128261531842</v>
      </c>
    </row>
    <row r="508" spans="1:9" x14ac:dyDescent="0.2">
      <c r="A508">
        <v>498</v>
      </c>
      <c r="B508">
        <v>1149971.1040345514</v>
      </c>
      <c r="C508">
        <v>106854.78836015616</v>
      </c>
      <c r="D508">
        <v>88699.469412139952</v>
      </c>
      <c r="E508">
        <v>89355.614637128543</v>
      </c>
      <c r="F508">
        <v>42186.157936416588</v>
      </c>
      <c r="G508">
        <v>10000</v>
      </c>
      <c r="H508">
        <v>-10000</v>
      </c>
      <c r="I508">
        <v>43.999950912335528</v>
      </c>
    </row>
    <row r="509" spans="1:9" x14ac:dyDescent="0.2">
      <c r="A509">
        <v>499</v>
      </c>
      <c r="B509">
        <v>1248154.8288128662</v>
      </c>
      <c r="C509">
        <v>122887.72115970604</v>
      </c>
      <c r="D509">
        <v>119342.06188729675</v>
      </c>
      <c r="E509">
        <v>70868.502284779112</v>
      </c>
      <c r="F509">
        <v>40906.280927407781</v>
      </c>
      <c r="G509">
        <v>10000</v>
      </c>
      <c r="H509">
        <v>-10000</v>
      </c>
      <c r="I509">
        <v>35.236260239048264</v>
      </c>
    </row>
    <row r="510" spans="1:9" x14ac:dyDescent="0.2">
      <c r="A510">
        <v>500</v>
      </c>
      <c r="B510">
        <v>967086.8493955119</v>
      </c>
      <c r="C510">
        <v>112782.89321428633</v>
      </c>
      <c r="D510">
        <v>57345.445484275748</v>
      </c>
      <c r="E510">
        <v>66258.723604729108</v>
      </c>
      <c r="F510">
        <v>40587.14240340433</v>
      </c>
      <c r="G510">
        <v>10000</v>
      </c>
      <c r="H510">
        <v>-10000</v>
      </c>
      <c r="I510">
        <v>30.322750450032089</v>
      </c>
    </row>
    <row r="511" spans="1:9" x14ac:dyDescent="0.2">
      <c r="A511">
        <v>501</v>
      </c>
      <c r="B511">
        <v>1813193.9859951758</v>
      </c>
      <c r="C511">
        <v>132842.7027821613</v>
      </c>
      <c r="D511">
        <v>144290.47202375729</v>
      </c>
      <c r="E511">
        <v>183054.75275098046</v>
      </c>
      <c r="F511">
        <v>48673.02134429865</v>
      </c>
      <c r="G511">
        <v>10000</v>
      </c>
      <c r="H511">
        <v>-10000</v>
      </c>
      <c r="I511">
        <v>35.959180189255157</v>
      </c>
    </row>
    <row r="512" spans="1:9" x14ac:dyDescent="0.2">
      <c r="A512">
        <v>502</v>
      </c>
      <c r="B512">
        <v>1162560.637157796</v>
      </c>
      <c r="C512">
        <v>117112.57000042833</v>
      </c>
      <c r="D512">
        <v>74164.147181662673</v>
      </c>
      <c r="E512">
        <v>96583.116200924298</v>
      </c>
      <c r="F512">
        <v>42686.523429294757</v>
      </c>
      <c r="G512">
        <v>10000</v>
      </c>
      <c r="H512">
        <v>-10000</v>
      </c>
      <c r="I512">
        <v>35.846742603962696</v>
      </c>
    </row>
    <row r="513" spans="1:9" x14ac:dyDescent="0.2">
      <c r="A513">
        <v>503</v>
      </c>
      <c r="B513">
        <v>1203768.4894284876</v>
      </c>
      <c r="C513">
        <v>102945.89070522314</v>
      </c>
      <c r="D513">
        <v>165828.97881446607</v>
      </c>
      <c r="E513">
        <v>34665.144389735906</v>
      </c>
      <c r="F513">
        <v>38399.894611597098</v>
      </c>
      <c r="G513">
        <v>10000</v>
      </c>
      <c r="H513">
        <v>-10000</v>
      </c>
      <c r="I513">
        <v>31.23286978215447</v>
      </c>
    </row>
    <row r="514" spans="1:9" x14ac:dyDescent="0.2">
      <c r="A514">
        <v>504</v>
      </c>
      <c r="B514">
        <v>869550.17177452752</v>
      </c>
      <c r="C514">
        <v>105813.48857351286</v>
      </c>
      <c r="D514">
        <v>71062.496345664593</v>
      </c>
      <c r="E514">
        <v>34947.568568740462</v>
      </c>
      <c r="F514">
        <v>38419.447054758952</v>
      </c>
      <c r="G514">
        <v>10000</v>
      </c>
      <c r="H514">
        <v>-10000</v>
      </c>
      <c r="I514">
        <v>39.330898466032707</v>
      </c>
    </row>
    <row r="515" spans="1:9" x14ac:dyDescent="0.2">
      <c r="A515">
        <v>505</v>
      </c>
      <c r="B515">
        <v>1195711.6427327693</v>
      </c>
      <c r="C515">
        <v>133382.33559580095</v>
      </c>
      <c r="D515">
        <v>58745.846454171973</v>
      </c>
      <c r="E515">
        <v>104283.98181551752</v>
      </c>
      <c r="F515">
        <v>43219.660279535827</v>
      </c>
      <c r="G515">
        <v>10000</v>
      </c>
      <c r="H515">
        <v>-10000</v>
      </c>
      <c r="I515">
        <v>34.609964808432373</v>
      </c>
    </row>
    <row r="516" spans="1:9" x14ac:dyDescent="0.2">
      <c r="A516">
        <v>506</v>
      </c>
      <c r="B516">
        <v>1348357.8361104685</v>
      </c>
      <c r="C516">
        <v>124619.38055066543</v>
      </c>
      <c r="D516">
        <v>100780.79575382714</v>
      </c>
      <c r="E516">
        <v>112292.25733937498</v>
      </c>
      <c r="F516">
        <v>43774.079354264417</v>
      </c>
      <c r="G516">
        <v>10000</v>
      </c>
      <c r="H516">
        <v>-10000</v>
      </c>
      <c r="I516">
        <v>36.109895476145169</v>
      </c>
    </row>
    <row r="517" spans="1:9" x14ac:dyDescent="0.2">
      <c r="A517">
        <v>507</v>
      </c>
      <c r="B517">
        <v>1186398.0518972671</v>
      </c>
      <c r="C517">
        <v>143524.36101952</v>
      </c>
      <c r="D517">
        <v>60361.172938849289</v>
      </c>
      <c r="E517">
        <v>90900.656260211428</v>
      </c>
      <c r="F517">
        <v>42293.122356476182</v>
      </c>
      <c r="G517">
        <v>10000</v>
      </c>
      <c r="H517">
        <v>-10000</v>
      </c>
      <c r="I517">
        <v>40.422181256375794</v>
      </c>
    </row>
    <row r="518" spans="1:9" x14ac:dyDescent="0.2">
      <c r="A518">
        <v>508</v>
      </c>
      <c r="B518">
        <v>1720844.0913912377</v>
      </c>
      <c r="C518">
        <v>86194.129270261314</v>
      </c>
      <c r="D518">
        <v>139319.13362071055</v>
      </c>
      <c r="E518">
        <v>207661.42732217084</v>
      </c>
      <c r="F518">
        <v>50376.560353073364</v>
      </c>
      <c r="G518">
        <v>10000</v>
      </c>
      <c r="H518">
        <v>-10000</v>
      </c>
      <c r="I518">
        <v>31.361150483977763</v>
      </c>
    </row>
    <row r="519" spans="1:9" x14ac:dyDescent="0.2">
      <c r="A519">
        <v>509</v>
      </c>
      <c r="B519">
        <v>1599025.1968781936</v>
      </c>
      <c r="C519">
        <v>94506.656116291677</v>
      </c>
      <c r="D519">
        <v>107460.62185005365</v>
      </c>
      <c r="E519">
        <v>198458.47587163327</v>
      </c>
      <c r="F519">
        <v>49739.432944959226</v>
      </c>
      <c r="G519">
        <v>10000</v>
      </c>
      <c r="H519">
        <v>-10000</v>
      </c>
      <c r="I519">
        <v>30.224274004516786</v>
      </c>
    </row>
    <row r="520" spans="1:9" x14ac:dyDescent="0.2">
      <c r="A520">
        <v>510</v>
      </c>
      <c r="B520">
        <v>1730649.3964358491</v>
      </c>
      <c r="C520">
        <v>126267.16898982321</v>
      </c>
      <c r="D520">
        <v>140371.38154544341</v>
      </c>
      <c r="E520">
        <v>171712.20432902651</v>
      </c>
      <c r="F520">
        <v>47887.767992009525</v>
      </c>
      <c r="G520">
        <v>10000</v>
      </c>
      <c r="H520">
        <v>-10000</v>
      </c>
      <c r="I520">
        <v>29.989622790781347</v>
      </c>
    </row>
    <row r="521" spans="1:9" x14ac:dyDescent="0.2">
      <c r="A521">
        <v>511</v>
      </c>
      <c r="B521">
        <v>1102992.4878512041</v>
      </c>
      <c r="C521">
        <v>116447.16116758047</v>
      </c>
      <c r="D521">
        <v>90019.808821022481</v>
      </c>
      <c r="E521">
        <v>67108.015659640296</v>
      </c>
      <c r="F521">
        <v>40645.939545667403</v>
      </c>
      <c r="G521">
        <v>10000</v>
      </c>
      <c r="H521">
        <v>-10000</v>
      </c>
      <c r="I521">
        <v>37.570478199426013</v>
      </c>
    </row>
    <row r="522" spans="1:9" x14ac:dyDescent="0.2">
      <c r="A522">
        <v>512</v>
      </c>
      <c r="B522">
        <v>987479.62467910605</v>
      </c>
      <c r="C522">
        <v>119339.36974419821</v>
      </c>
      <c r="D522">
        <v>95594.956162233837</v>
      </c>
      <c r="E522">
        <v>29580.878990719379</v>
      </c>
      <c r="F522">
        <v>38047.907007049798</v>
      </c>
      <c r="G522">
        <v>10000</v>
      </c>
      <c r="H522">
        <v>-10000</v>
      </c>
      <c r="I522">
        <v>48.304674965675112</v>
      </c>
    </row>
    <row r="523" spans="1:9" x14ac:dyDescent="0.2">
      <c r="A523">
        <v>513</v>
      </c>
      <c r="B523">
        <v>1232521.3405287168</v>
      </c>
      <c r="C523">
        <v>107966.89266976395</v>
      </c>
      <c r="D523">
        <v>93374.349560274437</v>
      </c>
      <c r="E523">
        <v>105102.4390721652</v>
      </c>
      <c r="F523">
        <v>43276.322704996055</v>
      </c>
      <c r="G523">
        <v>10000</v>
      </c>
      <c r="H523">
        <v>-10000</v>
      </c>
      <c r="I523">
        <v>33.628555893814536</v>
      </c>
    </row>
    <row r="524" spans="1:9" x14ac:dyDescent="0.2">
      <c r="A524">
        <v>514</v>
      </c>
      <c r="B524">
        <v>1299049.2951317921</v>
      </c>
      <c r="C524">
        <v>115136.47843685331</v>
      </c>
      <c r="D524">
        <v>55862.027416928315</v>
      </c>
      <c r="E524">
        <v>150532.85054420526</v>
      </c>
      <c r="F524">
        <v>46421.50503767575</v>
      </c>
      <c r="G524">
        <v>10000</v>
      </c>
      <c r="H524">
        <v>-10000</v>
      </c>
      <c r="I524">
        <v>33.184889610314215</v>
      </c>
    </row>
    <row r="525" spans="1:9" x14ac:dyDescent="0.2">
      <c r="A525">
        <v>515</v>
      </c>
      <c r="B525">
        <v>1380890.6438212323</v>
      </c>
      <c r="C525">
        <v>116815.99838704013</v>
      </c>
      <c r="D525">
        <v>81027.015419256786</v>
      </c>
      <c r="E525">
        <v>146403.8875485459</v>
      </c>
      <c r="F525">
        <v>46135.653753360872</v>
      </c>
      <c r="G525">
        <v>10000</v>
      </c>
      <c r="H525">
        <v>-10000</v>
      </c>
      <c r="I525">
        <v>31.21222864858705</v>
      </c>
    </row>
    <row r="526" spans="1:9" x14ac:dyDescent="0.2">
      <c r="A526">
        <v>516</v>
      </c>
      <c r="B526">
        <v>885567.74916635139</v>
      </c>
      <c r="C526">
        <v>101141.80465345235</v>
      </c>
      <c r="D526">
        <v>41268.575782018197</v>
      </c>
      <c r="E526">
        <v>71287.180657257413</v>
      </c>
      <c r="F526">
        <v>40935.266353194747</v>
      </c>
      <c r="G526">
        <v>10000</v>
      </c>
      <c r="H526">
        <v>-10000</v>
      </c>
      <c r="I526">
        <v>33.434896345405242</v>
      </c>
    </row>
    <row r="527" spans="1:9" x14ac:dyDescent="0.2">
      <c r="A527">
        <v>517</v>
      </c>
      <c r="B527">
        <v>1603470.7868180221</v>
      </c>
      <c r="C527">
        <v>146265.21633339723</v>
      </c>
      <c r="D527">
        <v>72533.778145067728</v>
      </c>
      <c r="E527">
        <v>183856.06748206203</v>
      </c>
      <c r="F527">
        <v>48728.496979527372</v>
      </c>
      <c r="G527">
        <v>10000</v>
      </c>
      <c r="H527">
        <v>-10000</v>
      </c>
      <c r="I527">
        <v>36.39135252485098</v>
      </c>
    </row>
    <row r="528" spans="1:9" x14ac:dyDescent="0.2">
      <c r="A528">
        <v>518</v>
      </c>
      <c r="B528">
        <v>1278407.4276533592</v>
      </c>
      <c r="C528">
        <v>127808.56491128769</v>
      </c>
      <c r="D528">
        <v>41990.681789413247</v>
      </c>
      <c r="E528">
        <v>146363.57750078128</v>
      </c>
      <c r="F528">
        <v>46132.863057746399</v>
      </c>
      <c r="G528">
        <v>10000</v>
      </c>
      <c r="H528">
        <v>-10000</v>
      </c>
      <c r="I528">
        <v>33.853599471014405</v>
      </c>
    </row>
    <row r="529" spans="1:9" x14ac:dyDescent="0.2">
      <c r="A529">
        <v>519</v>
      </c>
      <c r="B529">
        <v>1362347.9605329165</v>
      </c>
      <c r="C529">
        <v>103355.12035816607</v>
      </c>
      <c r="D529">
        <v>127379.94861450652</v>
      </c>
      <c r="E529">
        <v>110888.71017950276</v>
      </c>
      <c r="F529">
        <v>43676.910704734808</v>
      </c>
      <c r="G529">
        <v>10000</v>
      </c>
      <c r="H529">
        <v>-10000</v>
      </c>
      <c r="I529">
        <v>37.88938269187193</v>
      </c>
    </row>
    <row r="530" spans="1:9" x14ac:dyDescent="0.2">
      <c r="A530">
        <v>520</v>
      </c>
      <c r="B530">
        <v>1644547.8859703525</v>
      </c>
      <c r="C530">
        <v>104525.23173656818</v>
      </c>
      <c r="D530">
        <v>152837.26182704233</v>
      </c>
      <c r="E530">
        <v>158318.28577293787</v>
      </c>
      <c r="F530">
        <v>46960.496707357233</v>
      </c>
      <c r="G530">
        <v>10000</v>
      </c>
      <c r="H530">
        <v>-10000</v>
      </c>
      <c r="I530">
        <v>31.77428625258419</v>
      </c>
    </row>
    <row r="531" spans="1:9" x14ac:dyDescent="0.2">
      <c r="A531">
        <v>521</v>
      </c>
      <c r="B531">
        <v>1383957.3841987785</v>
      </c>
      <c r="C531">
        <v>107175.86694863762</v>
      </c>
      <c r="D531">
        <v>68660.632061455399</v>
      </c>
      <c r="E531">
        <v>167771.58087189891</v>
      </c>
      <c r="F531">
        <v>47614.95559882377</v>
      </c>
      <c r="G531">
        <v>10000</v>
      </c>
      <c r="H531">
        <v>-10000</v>
      </c>
      <c r="I531">
        <v>32.511442128870875</v>
      </c>
    </row>
    <row r="532" spans="1:9" x14ac:dyDescent="0.2">
      <c r="A532">
        <v>522</v>
      </c>
      <c r="B532">
        <v>1099455.537398302</v>
      </c>
      <c r="C532">
        <v>93654.469380384908</v>
      </c>
      <c r="D532">
        <v>126866.52165224687</v>
      </c>
      <c r="E532">
        <v>53057.383111886185</v>
      </c>
      <c r="F532">
        <v>39673.20344620751</v>
      </c>
      <c r="G532">
        <v>10000</v>
      </c>
      <c r="H532">
        <v>-10000</v>
      </c>
      <c r="I532">
        <v>44.21087931863142</v>
      </c>
    </row>
    <row r="533" spans="1:9" x14ac:dyDescent="0.2">
      <c r="A533">
        <v>523</v>
      </c>
      <c r="B533">
        <v>1363272.7609069478</v>
      </c>
      <c r="C533">
        <v>87778.196435190781</v>
      </c>
      <c r="D533">
        <v>114427.78852794337</v>
      </c>
      <c r="E533">
        <v>137807.63029904256</v>
      </c>
      <c r="F533">
        <v>45540.528251472177</v>
      </c>
      <c r="G533">
        <v>10000</v>
      </c>
      <c r="H533">
        <v>-10000</v>
      </c>
      <c r="I533">
        <v>26.842209858051632</v>
      </c>
    </row>
    <row r="534" spans="1:9" x14ac:dyDescent="0.2">
      <c r="A534">
        <v>524</v>
      </c>
      <c r="B534">
        <v>1540010.3067374481</v>
      </c>
      <c r="C534">
        <v>111639.17539162211</v>
      </c>
      <c r="D534">
        <v>119370.68966017781</v>
      </c>
      <c r="E534">
        <v>156169.76506818619</v>
      </c>
      <c r="F534">
        <v>46811.752966259039</v>
      </c>
      <c r="G534">
        <v>10000</v>
      </c>
      <c r="H534">
        <v>-10000</v>
      </c>
      <c r="I534">
        <v>25.370850641626504</v>
      </c>
    </row>
    <row r="535" spans="1:9" x14ac:dyDescent="0.2">
      <c r="A535">
        <v>525</v>
      </c>
      <c r="B535">
        <v>1415507.501780902</v>
      </c>
      <c r="C535">
        <v>106319.82847095249</v>
      </c>
      <c r="D535">
        <v>152532.83584014483</v>
      </c>
      <c r="E535">
        <v>98217.426209159152</v>
      </c>
      <c r="F535">
        <v>42799.667968326401</v>
      </c>
      <c r="G535">
        <v>10000</v>
      </c>
      <c r="H535">
        <v>-10000</v>
      </c>
      <c r="I535">
        <v>27.344963594057841</v>
      </c>
    </row>
    <row r="536" spans="1:9" x14ac:dyDescent="0.2">
      <c r="A536">
        <v>526</v>
      </c>
      <c r="B536">
        <v>1438512.8484514151</v>
      </c>
      <c r="C536">
        <v>88133.152274723732</v>
      </c>
      <c r="D536">
        <v>95246.63858041355</v>
      </c>
      <c r="E536">
        <v>174700.25144971453</v>
      </c>
      <c r="F536">
        <v>48094.63279267255</v>
      </c>
      <c r="G536">
        <v>10000</v>
      </c>
      <c r="H536">
        <v>-10000</v>
      </c>
      <c r="I536">
        <v>31.307882457939094</v>
      </c>
    </row>
    <row r="537" spans="1:9" x14ac:dyDescent="0.2">
      <c r="A537">
        <v>527</v>
      </c>
      <c r="B537">
        <v>1057540.4371112885</v>
      </c>
      <c r="C537">
        <v>106601.1181073061</v>
      </c>
      <c r="D537">
        <v>57984.380862444013</v>
      </c>
      <c r="E537">
        <v>94627.557717711621</v>
      </c>
      <c r="F537">
        <v>42551.138611226183</v>
      </c>
      <c r="G537">
        <v>10000</v>
      </c>
      <c r="H537">
        <v>-10000</v>
      </c>
      <c r="I537">
        <v>41.608569252776405</v>
      </c>
    </row>
    <row r="538" spans="1:9" x14ac:dyDescent="0.2">
      <c r="A538">
        <v>528</v>
      </c>
      <c r="B538">
        <v>1017793.5561013476</v>
      </c>
      <c r="C538">
        <v>93299.733687139844</v>
      </c>
      <c r="D538">
        <v>81204.153911255213</v>
      </c>
      <c r="E538">
        <v>75163.525607390664</v>
      </c>
      <c r="F538">
        <v>41203.628695896274</v>
      </c>
      <c r="G538">
        <v>10000</v>
      </c>
      <c r="H538">
        <v>-10000</v>
      </c>
      <c r="I538">
        <v>30.541883956197477</v>
      </c>
    </row>
    <row r="539" spans="1:9" x14ac:dyDescent="0.2">
      <c r="A539">
        <v>529</v>
      </c>
      <c r="B539">
        <v>1544926.0499701104</v>
      </c>
      <c r="C539">
        <v>147364.16290181255</v>
      </c>
      <c r="D539">
        <v>37536.479677052062</v>
      </c>
      <c r="E539">
        <v>200553.49182230153</v>
      </c>
      <c r="F539">
        <v>49884.472510774722</v>
      </c>
      <c r="G539">
        <v>10000</v>
      </c>
      <c r="H539">
        <v>-10000</v>
      </c>
      <c r="I539">
        <v>26.865506349147939</v>
      </c>
    </row>
    <row r="540" spans="1:9" x14ac:dyDescent="0.2">
      <c r="A540">
        <v>530</v>
      </c>
      <c r="B540">
        <v>1404457.3085078879</v>
      </c>
      <c r="C540">
        <v>95349.155549599935</v>
      </c>
      <c r="D540">
        <v>96017.30236871056</v>
      </c>
      <c r="E540">
        <v>158501.65860448882</v>
      </c>
      <c r="F540">
        <v>46973.191749541533</v>
      </c>
      <c r="G540">
        <v>10000</v>
      </c>
      <c r="H540">
        <v>-10000</v>
      </c>
      <c r="I540">
        <v>28.563718289068035</v>
      </c>
    </row>
    <row r="541" spans="1:9" x14ac:dyDescent="0.2">
      <c r="A541">
        <v>531</v>
      </c>
      <c r="B541">
        <v>1016553.0401111851</v>
      </c>
      <c r="C541">
        <v>134291.04301244073</v>
      </c>
      <c r="D541">
        <v>64448.870018584152</v>
      </c>
      <c r="E541">
        <v>52178.772645873483</v>
      </c>
      <c r="F541">
        <v>39612.376567791238</v>
      </c>
      <c r="G541">
        <v>10000</v>
      </c>
      <c r="H541">
        <v>-10000</v>
      </c>
      <c r="I541">
        <v>44.593451011848636</v>
      </c>
    </row>
    <row r="542" spans="1:9" x14ac:dyDescent="0.2">
      <c r="A542">
        <v>532</v>
      </c>
      <c r="B542">
        <v>1452871.3480878535</v>
      </c>
      <c r="C542">
        <v>102579.4597960245</v>
      </c>
      <c r="D542">
        <v>145845.07363611329</v>
      </c>
      <c r="E542">
        <v>117547.38097130937</v>
      </c>
      <c r="F542">
        <v>44137.895605706035</v>
      </c>
      <c r="G542">
        <v>10000</v>
      </c>
      <c r="H542">
        <v>-10000</v>
      </c>
      <c r="I542">
        <v>32.539561092446505</v>
      </c>
    </row>
    <row r="543" spans="1:9" x14ac:dyDescent="0.2">
      <c r="A543">
        <v>533</v>
      </c>
      <c r="B543">
        <v>1687056.9384370178</v>
      </c>
      <c r="C543">
        <v>105222.92491977243</v>
      </c>
      <c r="D543">
        <v>137406.91025303272</v>
      </c>
      <c r="E543">
        <v>182992.86661858027</v>
      </c>
      <c r="F543">
        <v>48668.736919747862</v>
      </c>
      <c r="G543">
        <v>10000</v>
      </c>
      <c r="H543">
        <v>-10000</v>
      </c>
      <c r="I543">
        <v>27.100439410872681</v>
      </c>
    </row>
    <row r="544" spans="1:9" x14ac:dyDescent="0.2">
      <c r="A544">
        <v>534</v>
      </c>
      <c r="B544">
        <v>1326259.1891628529</v>
      </c>
      <c r="C544">
        <v>145037.55545674157</v>
      </c>
      <c r="D544">
        <v>153210.08252589995</v>
      </c>
      <c r="E544">
        <v>38497.256651482327</v>
      </c>
      <c r="F544">
        <v>38665.194691256467</v>
      </c>
      <c r="G544">
        <v>10000</v>
      </c>
      <c r="H544">
        <v>-10000</v>
      </c>
      <c r="I544">
        <v>52.930459457767938</v>
      </c>
    </row>
    <row r="545" spans="1:9" x14ac:dyDescent="0.2">
      <c r="A545">
        <v>535</v>
      </c>
      <c r="B545">
        <v>1073958.3146699544</v>
      </c>
      <c r="C545">
        <v>155209.79072023754</v>
      </c>
      <c r="D545">
        <v>82498.453327564494</v>
      </c>
      <c r="E545">
        <v>30447.576515149376</v>
      </c>
      <c r="F545">
        <v>38107.90914335649</v>
      </c>
      <c r="G545">
        <v>10000</v>
      </c>
      <c r="H545">
        <v>-10000</v>
      </c>
      <c r="I545">
        <v>28.579721881236608</v>
      </c>
    </row>
    <row r="546" spans="1:9" x14ac:dyDescent="0.2">
      <c r="A546">
        <v>536</v>
      </c>
      <c r="B546">
        <v>1398978.0784715016</v>
      </c>
      <c r="C546">
        <v>82069.66231749265</v>
      </c>
      <c r="D546">
        <v>142621.19690442769</v>
      </c>
      <c r="E546">
        <v>125930.52702902713</v>
      </c>
      <c r="F546">
        <v>44718.267255855724</v>
      </c>
      <c r="G546">
        <v>10000</v>
      </c>
      <c r="H546">
        <v>-10000</v>
      </c>
      <c r="I546">
        <v>30.432054409962795</v>
      </c>
    </row>
    <row r="547" spans="1:9" x14ac:dyDescent="0.2">
      <c r="A547">
        <v>537</v>
      </c>
      <c r="B547">
        <v>1264391.7439245256</v>
      </c>
      <c r="C547">
        <v>116526.71367761634</v>
      </c>
      <c r="D547">
        <v>71655.664437706306</v>
      </c>
      <c r="E547">
        <v>125578.24866843529</v>
      </c>
      <c r="F547">
        <v>44693.878753968595</v>
      </c>
      <c r="G547">
        <v>10000</v>
      </c>
      <c r="H547">
        <v>-10000</v>
      </c>
      <c r="I547">
        <v>28.168270703315088</v>
      </c>
    </row>
    <row r="548" spans="1:9" x14ac:dyDescent="0.2">
      <c r="A548">
        <v>538</v>
      </c>
      <c r="B548">
        <v>1176786.6627330459</v>
      </c>
      <c r="C548">
        <v>104586.62176992832</v>
      </c>
      <c r="D548">
        <v>57910.709412781653</v>
      </c>
      <c r="E548">
        <v>127145.47523473093</v>
      </c>
      <c r="F548">
        <v>44802.379054712146</v>
      </c>
      <c r="G548">
        <v>10000</v>
      </c>
      <c r="H548">
        <v>-10000</v>
      </c>
      <c r="I548">
        <v>31.560931744027727</v>
      </c>
    </row>
    <row r="549" spans="1:9" x14ac:dyDescent="0.2">
      <c r="A549">
        <v>539</v>
      </c>
      <c r="B549">
        <v>1329319.0633562105</v>
      </c>
      <c r="C549">
        <v>138247.70211073148</v>
      </c>
      <c r="D549">
        <v>99600.685299952136</v>
      </c>
      <c r="E549">
        <v>95770.065234148569</v>
      </c>
      <c r="F549">
        <v>42630.235285441056</v>
      </c>
      <c r="G549">
        <v>10000</v>
      </c>
      <c r="H549">
        <v>-10000</v>
      </c>
      <c r="I549">
        <v>26.600501648471067</v>
      </c>
    </row>
    <row r="550" spans="1:9" x14ac:dyDescent="0.2">
      <c r="A550">
        <v>540</v>
      </c>
      <c r="B550">
        <v>1209346.7133830846</v>
      </c>
      <c r="C550">
        <v>87620.339036935242</v>
      </c>
      <c r="D550">
        <v>141002.69349777311</v>
      </c>
      <c r="E550">
        <v>73647.021389535541</v>
      </c>
      <c r="F550">
        <v>41098.639942352464</v>
      </c>
      <c r="G550">
        <v>10000</v>
      </c>
      <c r="H550">
        <v>-10000</v>
      </c>
      <c r="I550">
        <v>29.475160099419874</v>
      </c>
    </row>
    <row r="551" spans="1:9" x14ac:dyDescent="0.2">
      <c r="A551">
        <v>541</v>
      </c>
      <c r="B551">
        <v>1256259.8910324418</v>
      </c>
      <c r="C551">
        <v>85076.574636704303</v>
      </c>
      <c r="D551">
        <v>77992.074047275659</v>
      </c>
      <c r="E551">
        <v>146981.56896492129</v>
      </c>
      <c r="F551">
        <v>46175.647082186857</v>
      </c>
      <c r="G551">
        <v>10000</v>
      </c>
      <c r="H551">
        <v>-10000</v>
      </c>
      <c r="I551">
        <v>32.42928714501457</v>
      </c>
    </row>
    <row r="552" spans="1:9" x14ac:dyDescent="0.2">
      <c r="A552">
        <v>542</v>
      </c>
      <c r="B552">
        <v>1316252.5188358196</v>
      </c>
      <c r="C552">
        <v>140206.73286519377</v>
      </c>
      <c r="D552">
        <v>145588.95151924776</v>
      </c>
      <c r="E552">
        <v>47578.078859495407</v>
      </c>
      <c r="F552">
        <v>39293.866997965066</v>
      </c>
      <c r="G552">
        <v>10000</v>
      </c>
      <c r="H552">
        <v>-10000</v>
      </c>
      <c r="I552">
        <v>44.452530531035379</v>
      </c>
    </row>
    <row r="553" spans="1:9" x14ac:dyDescent="0.2">
      <c r="A553">
        <v>543</v>
      </c>
      <c r="B553">
        <v>1481759.4100663485</v>
      </c>
      <c r="C553">
        <v>115581.5466439944</v>
      </c>
      <c r="D553">
        <v>105306.12013537802</v>
      </c>
      <c r="E553">
        <v>150705.81549410708</v>
      </c>
      <c r="F553">
        <v>46433.479534207407</v>
      </c>
      <c r="G553">
        <v>10000</v>
      </c>
      <c r="H553">
        <v>-10000</v>
      </c>
      <c r="I553">
        <v>38.213769167035124</v>
      </c>
    </row>
    <row r="554" spans="1:9" x14ac:dyDescent="0.2">
      <c r="A554">
        <v>544</v>
      </c>
      <c r="B554">
        <v>1966011.578663232</v>
      </c>
      <c r="C554">
        <v>134835.60281576336</v>
      </c>
      <c r="D554">
        <v>168117.30434836837</v>
      </c>
      <c r="E554">
        <v>198076.7023411335</v>
      </c>
      <c r="F554">
        <v>49713.002469770778</v>
      </c>
      <c r="G554">
        <v>10000</v>
      </c>
      <c r="H554">
        <v>-10000</v>
      </c>
      <c r="I554">
        <v>34.349681190808234</v>
      </c>
    </row>
    <row r="555" spans="1:9" x14ac:dyDescent="0.2">
      <c r="A555">
        <v>545</v>
      </c>
      <c r="B555">
        <v>1490389.3626510066</v>
      </c>
      <c r="C555">
        <v>115963.76649160501</v>
      </c>
      <c r="D555">
        <v>151542.23933050959</v>
      </c>
      <c r="E555">
        <v>109317.94230146184</v>
      </c>
      <c r="F555">
        <v>43568.165236255052</v>
      </c>
      <c r="G555">
        <v>10000</v>
      </c>
      <c r="H555">
        <v>-10000</v>
      </c>
      <c r="I555">
        <v>32.291502179260746</v>
      </c>
    </row>
    <row r="556" spans="1:9" x14ac:dyDescent="0.2">
      <c r="A556">
        <v>546</v>
      </c>
      <c r="B556">
        <v>1560709.6201599305</v>
      </c>
      <c r="C556">
        <v>124271.42572901292</v>
      </c>
      <c r="D556">
        <v>156100.8526498561</v>
      </c>
      <c r="E556">
        <v>115309.08597587192</v>
      </c>
      <c r="F556">
        <v>43982.936721406521</v>
      </c>
      <c r="G556">
        <v>10000</v>
      </c>
      <c r="H556">
        <v>-10000</v>
      </c>
      <c r="I556">
        <v>46.06589290900186</v>
      </c>
    </row>
    <row r="557" spans="1:9" x14ac:dyDescent="0.2">
      <c r="A557">
        <v>547</v>
      </c>
      <c r="B557">
        <v>1397442.5658289024</v>
      </c>
      <c r="C557">
        <v>130306.61534642342</v>
      </c>
      <c r="D557">
        <v>130270.2954803591</v>
      </c>
      <c r="E557">
        <v>91974.453182757279</v>
      </c>
      <c r="F557">
        <v>42367.462143421661</v>
      </c>
      <c r="G557">
        <v>10000</v>
      </c>
      <c r="H557">
        <v>-10000</v>
      </c>
      <c r="I557">
        <v>31.433682811075315</v>
      </c>
    </row>
    <row r="558" spans="1:9" x14ac:dyDescent="0.2">
      <c r="A558">
        <v>548</v>
      </c>
      <c r="B558">
        <v>1530530.3790313071</v>
      </c>
      <c r="C558">
        <v>96641.352803945163</v>
      </c>
      <c r="D558">
        <v>81006.907727040802</v>
      </c>
      <c r="E558">
        <v>203646.42549862838</v>
      </c>
      <c r="F558">
        <v>50098.598688366576</v>
      </c>
      <c r="G558">
        <v>10000</v>
      </c>
      <c r="H558">
        <v>-10000</v>
      </c>
      <c r="I558">
        <v>43.122370174525486</v>
      </c>
    </row>
    <row r="559" spans="1:9" x14ac:dyDescent="0.2">
      <c r="A559">
        <v>549</v>
      </c>
      <c r="B559">
        <v>1506701.9760347439</v>
      </c>
      <c r="C559">
        <v>116101.05748419407</v>
      </c>
      <c r="D559">
        <v>85395.688509296393</v>
      </c>
      <c r="E559">
        <v>175234.43782180978</v>
      </c>
      <c r="F559">
        <v>48131.614926125294</v>
      </c>
      <c r="G559">
        <v>10000</v>
      </c>
      <c r="H559">
        <v>-10000</v>
      </c>
      <c r="I559">
        <v>25.669247171836073</v>
      </c>
    </row>
    <row r="560" spans="1:9" x14ac:dyDescent="0.2">
      <c r="A560">
        <v>550</v>
      </c>
      <c r="B560">
        <v>1463828.2877860249</v>
      </c>
      <c r="C560">
        <v>87762.051632172093</v>
      </c>
      <c r="D560">
        <v>129354.55333085638</v>
      </c>
      <c r="E560">
        <v>149636.63832245494</v>
      </c>
      <c r="F560">
        <v>46359.45957616996</v>
      </c>
      <c r="G560">
        <v>10000</v>
      </c>
      <c r="H560">
        <v>-10000</v>
      </c>
      <c r="I560">
        <v>33.178930323483002</v>
      </c>
    </row>
    <row r="561" spans="1:9" x14ac:dyDescent="0.2">
      <c r="A561">
        <v>551</v>
      </c>
      <c r="B561">
        <v>1404515.9276254894</v>
      </c>
      <c r="C561">
        <v>112566.52719682269</v>
      </c>
      <c r="D561">
        <v>99619.034673817921</v>
      </c>
      <c r="E561">
        <v>139045.57932400907</v>
      </c>
      <c r="F561">
        <v>45626.23241473909</v>
      </c>
      <c r="G561">
        <v>10000</v>
      </c>
      <c r="H561">
        <v>-10000</v>
      </c>
      <c r="I561">
        <v>27.675235802815301</v>
      </c>
    </row>
    <row r="562" spans="1:9" x14ac:dyDescent="0.2">
      <c r="A562">
        <v>552</v>
      </c>
      <c r="B562">
        <v>1136085.2353362998</v>
      </c>
      <c r="C562">
        <v>109195.35050063883</v>
      </c>
      <c r="D562">
        <v>87019.629063203232</v>
      </c>
      <c r="E562">
        <v>85178.475209458949</v>
      </c>
      <c r="F562">
        <v>41896.971360654847</v>
      </c>
      <c r="G562">
        <v>10000</v>
      </c>
      <c r="H562">
        <v>-10000</v>
      </c>
      <c r="I562">
        <v>49.07105113515663</v>
      </c>
    </row>
    <row r="563" spans="1:9" x14ac:dyDescent="0.2">
      <c r="A563">
        <v>553</v>
      </c>
      <c r="B563">
        <v>1282245.999519001</v>
      </c>
      <c r="C563">
        <v>103939.58185749329</v>
      </c>
      <c r="D563">
        <v>125890.29358316226</v>
      </c>
      <c r="E563">
        <v>91203.719091534338</v>
      </c>
      <c r="F563">
        <v>42314.103629413919</v>
      </c>
      <c r="G563">
        <v>10000</v>
      </c>
      <c r="H563">
        <v>-10000</v>
      </c>
      <c r="I563">
        <v>28.916179631397558</v>
      </c>
    </row>
    <row r="564" spans="1:9" x14ac:dyDescent="0.2">
      <c r="A564">
        <v>554</v>
      </c>
      <c r="B564">
        <v>1576251.9014198515</v>
      </c>
      <c r="C564">
        <v>126616.34176317364</v>
      </c>
      <c r="D564">
        <v>61189.79039720603</v>
      </c>
      <c r="E564">
        <v>205865.50726217707</v>
      </c>
      <c r="F564">
        <v>50252.227425843026</v>
      </c>
      <c r="G564">
        <v>10000</v>
      </c>
      <c r="H564">
        <v>-10000</v>
      </c>
      <c r="I564">
        <v>32.936573345049339</v>
      </c>
    </row>
    <row r="565" spans="1:9" x14ac:dyDescent="0.2">
      <c r="A565">
        <v>555</v>
      </c>
      <c r="B565">
        <v>1568260.1868364508</v>
      </c>
      <c r="C565">
        <v>147684.29513653336</v>
      </c>
      <c r="D565">
        <v>98141.879602646295</v>
      </c>
      <c r="E565">
        <v>149553.73773692572</v>
      </c>
      <c r="F565">
        <v>46353.720304864088</v>
      </c>
      <c r="G565">
        <v>10000</v>
      </c>
      <c r="H565">
        <v>-10000</v>
      </c>
      <c r="I565">
        <v>29.420103456212821</v>
      </c>
    </row>
    <row r="566" spans="1:9" x14ac:dyDescent="0.2">
      <c r="A566">
        <v>556</v>
      </c>
      <c r="B566">
        <v>1382715.2074337276</v>
      </c>
      <c r="C566">
        <v>142191.14671990561</v>
      </c>
      <c r="D566">
        <v>84159.756527367994</v>
      </c>
      <c r="E566">
        <v>120209.50118364573</v>
      </c>
      <c r="F566">
        <v>44322.196235790863</v>
      </c>
      <c r="G566">
        <v>10000</v>
      </c>
      <c r="H566">
        <v>-10000</v>
      </c>
      <c r="I566">
        <v>39.007837837658542</v>
      </c>
    </row>
    <row r="567" spans="1:9" x14ac:dyDescent="0.2">
      <c r="A567">
        <v>557</v>
      </c>
      <c r="B567">
        <v>1771037.8076970461</v>
      </c>
      <c r="C567">
        <v>121476.81704178952</v>
      </c>
      <c r="D567">
        <v>142858.40591809677</v>
      </c>
      <c r="E567">
        <v>184218.67264826418</v>
      </c>
      <c r="F567">
        <v>48753.600414110595</v>
      </c>
      <c r="G567">
        <v>10000</v>
      </c>
      <c r="H567">
        <v>-10000</v>
      </c>
      <c r="I567">
        <v>29.079616043878595</v>
      </c>
    </row>
    <row r="568" spans="1:9" x14ac:dyDescent="0.2">
      <c r="A568">
        <v>558</v>
      </c>
      <c r="B568">
        <v>1058748.5214410122</v>
      </c>
      <c r="C568">
        <v>113950.60247204467</v>
      </c>
      <c r="D568">
        <v>114395.68594238412</v>
      </c>
      <c r="E568">
        <v>35304.818479020934</v>
      </c>
      <c r="F568">
        <v>38444.179740855296</v>
      </c>
      <c r="G568">
        <v>10000</v>
      </c>
      <c r="H568">
        <v>-10000</v>
      </c>
      <c r="I568">
        <v>44.303355131167237</v>
      </c>
    </row>
    <row r="569" spans="1:9" x14ac:dyDescent="0.2">
      <c r="A569">
        <v>559</v>
      </c>
      <c r="B569">
        <v>1558330.394724488</v>
      </c>
      <c r="C569">
        <v>84211.175804285638</v>
      </c>
      <c r="D569">
        <v>98611.876471549767</v>
      </c>
      <c r="E569">
        <v>205932.33681626647</v>
      </c>
      <c r="F569">
        <v>50256.854087279986</v>
      </c>
      <c r="G569">
        <v>10000</v>
      </c>
      <c r="H569">
        <v>-10000</v>
      </c>
      <c r="I569">
        <v>39.243160179309406</v>
      </c>
    </row>
    <row r="570" spans="1:9" x14ac:dyDescent="0.2">
      <c r="A570">
        <v>560</v>
      </c>
      <c r="B570">
        <v>1088170.3441326744</v>
      </c>
      <c r="C570">
        <v>154072.41419233801</v>
      </c>
      <c r="D570">
        <v>76269.905065800383</v>
      </c>
      <c r="E570">
        <v>40979.369983485369</v>
      </c>
      <c r="F570">
        <v>38837.033306548983</v>
      </c>
      <c r="G570">
        <v>10000</v>
      </c>
      <c r="H570">
        <v>-10000</v>
      </c>
      <c r="I570">
        <v>34.465176438179299</v>
      </c>
    </row>
    <row r="571" spans="1:9" x14ac:dyDescent="0.2">
      <c r="A571">
        <v>561</v>
      </c>
      <c r="B571">
        <v>983262.71175452822</v>
      </c>
      <c r="C571">
        <v>135096.36483728021</v>
      </c>
      <c r="D571">
        <v>34912.397865959952</v>
      </c>
      <c r="E571">
        <v>70516.722063307097</v>
      </c>
      <c r="F571">
        <v>40881.926912075105</v>
      </c>
      <c r="G571">
        <v>10000</v>
      </c>
      <c r="H571">
        <v>-10000</v>
      </c>
      <c r="I571">
        <v>38.078162364453632</v>
      </c>
    </row>
    <row r="572" spans="1:9" x14ac:dyDescent="0.2">
      <c r="A572">
        <v>562</v>
      </c>
      <c r="B572">
        <v>870480.28614106693</v>
      </c>
      <c r="C572">
        <v>83033.996272965669</v>
      </c>
      <c r="D572">
        <v>72267.169903485657</v>
      </c>
      <c r="E572">
        <v>55363.861661789168</v>
      </c>
      <c r="F572">
        <v>39832.882730431556</v>
      </c>
      <c r="G572">
        <v>10000</v>
      </c>
      <c r="H572">
        <v>-10000</v>
      </c>
      <c r="I572">
        <v>37.426369115131273</v>
      </c>
    </row>
    <row r="573" spans="1:9" x14ac:dyDescent="0.2">
      <c r="A573">
        <v>563</v>
      </c>
      <c r="B573">
        <v>1217015.8938462608</v>
      </c>
      <c r="C573">
        <v>81916.024569735688</v>
      </c>
      <c r="D573">
        <v>87716.514303339005</v>
      </c>
      <c r="E573">
        <v>130783.73573268655</v>
      </c>
      <c r="F573">
        <v>45054.258627647534</v>
      </c>
      <c r="G573">
        <v>10000</v>
      </c>
      <c r="H573">
        <v>-10000</v>
      </c>
      <c r="I573">
        <v>26.636083302230695</v>
      </c>
    </row>
    <row r="574" spans="1:9" x14ac:dyDescent="0.2">
      <c r="A574">
        <v>564</v>
      </c>
      <c r="B574">
        <v>1029706.7622553234</v>
      </c>
      <c r="C574">
        <v>135337.22248158866</v>
      </c>
      <c r="D574">
        <v>43590.283172221534</v>
      </c>
      <c r="E574">
        <v>74079.898117773773</v>
      </c>
      <c r="F574">
        <v>41128.608331230491</v>
      </c>
      <c r="G574">
        <v>10000</v>
      </c>
      <c r="H574">
        <v>-10000</v>
      </c>
      <c r="I574">
        <v>37.030482730079726</v>
      </c>
    </row>
    <row r="575" spans="1:9" x14ac:dyDescent="0.2">
      <c r="A575">
        <v>565</v>
      </c>
      <c r="B575">
        <v>1469029.2587769898</v>
      </c>
      <c r="C575">
        <v>92875.511591385337</v>
      </c>
      <c r="D575">
        <v>135826.5705483963</v>
      </c>
      <c r="E575">
        <v>140134.40247217094</v>
      </c>
      <c r="F575">
        <v>45701.61247884261</v>
      </c>
      <c r="G575">
        <v>10000</v>
      </c>
      <c r="H575">
        <v>-10000</v>
      </c>
      <c r="I575">
        <v>34.997202076333615</v>
      </c>
    </row>
    <row r="576" spans="1:9" x14ac:dyDescent="0.2">
      <c r="A576">
        <v>566</v>
      </c>
      <c r="B576">
        <v>1069199.9539823888</v>
      </c>
      <c r="C576">
        <v>108976.1890033207</v>
      </c>
      <c r="D576">
        <v>81164.883057987419</v>
      </c>
      <c r="E576">
        <v>73715.206142162016</v>
      </c>
      <c r="F576">
        <v>41103.360425226601</v>
      </c>
      <c r="G576">
        <v>10000</v>
      </c>
      <c r="H576">
        <v>-10000</v>
      </c>
      <c r="I576">
        <v>42.164833528883122</v>
      </c>
    </row>
    <row r="577" spans="1:9" x14ac:dyDescent="0.2">
      <c r="A577">
        <v>567</v>
      </c>
      <c r="B577">
        <v>1241108.9613201679</v>
      </c>
      <c r="C577">
        <v>102522.9325505124</v>
      </c>
      <c r="D577">
        <v>93365.208177436871</v>
      </c>
      <c r="E577">
        <v>112403.62390189541</v>
      </c>
      <c r="F577">
        <v>43781.789347054299</v>
      </c>
      <c r="G577">
        <v>10000</v>
      </c>
      <c r="H577">
        <v>-10000</v>
      </c>
      <c r="I577">
        <v>34.684959949075832</v>
      </c>
    </row>
    <row r="578" spans="1:9" x14ac:dyDescent="0.2">
      <c r="A578">
        <v>568</v>
      </c>
      <c r="B578">
        <v>1089052.620119934</v>
      </c>
      <c r="C578">
        <v>141478.67228470033</v>
      </c>
      <c r="D578">
        <v>91348.266595486508</v>
      </c>
      <c r="E578">
        <v>38881.768235494492</v>
      </c>
      <c r="F578">
        <v>38691.814723995776</v>
      </c>
      <c r="G578">
        <v>10000</v>
      </c>
      <c r="H578">
        <v>-10000</v>
      </c>
      <c r="I578">
        <v>29.037757582195233</v>
      </c>
    </row>
    <row r="579" spans="1:9" x14ac:dyDescent="0.2">
      <c r="A579">
        <v>569</v>
      </c>
      <c r="B579">
        <v>1799978.9578971693</v>
      </c>
      <c r="C579">
        <v>145839.59857159716</v>
      </c>
      <c r="D579">
        <v>113968.16433520171</v>
      </c>
      <c r="E579">
        <v>195871.12573202664</v>
      </c>
      <c r="F579">
        <v>49560.308704524919</v>
      </c>
      <c r="G579">
        <v>10000</v>
      </c>
      <c r="H579">
        <v>-10000</v>
      </c>
      <c r="I579">
        <v>38.529316143874176</v>
      </c>
    </row>
    <row r="580" spans="1:9" x14ac:dyDescent="0.2">
      <c r="A580">
        <v>570</v>
      </c>
      <c r="B580">
        <v>1697450.3938547627</v>
      </c>
      <c r="C580">
        <v>110396.85444731858</v>
      </c>
      <c r="D580">
        <v>144063.85030614008</v>
      </c>
      <c r="E580">
        <v>174592.05433844464</v>
      </c>
      <c r="F580">
        <v>48087.142223430776</v>
      </c>
      <c r="G580">
        <v>10000</v>
      </c>
      <c r="H580">
        <v>-10000</v>
      </c>
      <c r="I580">
        <v>43.341305071971604</v>
      </c>
    </row>
    <row r="581" spans="1:9" x14ac:dyDescent="0.2">
      <c r="A581">
        <v>571</v>
      </c>
      <c r="B581">
        <v>987117.50162698608</v>
      </c>
      <c r="C581">
        <v>98866.417767290812</v>
      </c>
      <c r="D581">
        <v>112241.84253233206</v>
      </c>
      <c r="E581">
        <v>33066.395072059902</v>
      </c>
      <c r="F581">
        <v>38289.211966527226</v>
      </c>
      <c r="G581">
        <v>10000</v>
      </c>
      <c r="H581">
        <v>-10000</v>
      </c>
      <c r="I581">
        <v>40.478384874578872</v>
      </c>
    </row>
    <row r="582" spans="1:9" x14ac:dyDescent="0.2">
      <c r="A582">
        <v>572</v>
      </c>
      <c r="B582">
        <v>1648598.9135181513</v>
      </c>
      <c r="C582">
        <v>89003.611163074675</v>
      </c>
      <c r="D582">
        <v>161560.66682385153</v>
      </c>
      <c r="E582">
        <v>165714.68042351867</v>
      </c>
      <c r="F582">
        <v>47472.554798551289</v>
      </c>
      <c r="G582">
        <v>10000</v>
      </c>
      <c r="H582">
        <v>-10000</v>
      </c>
      <c r="I582">
        <v>44.088266133579481</v>
      </c>
    </row>
    <row r="583" spans="1:9" x14ac:dyDescent="0.2">
      <c r="A583">
        <v>573</v>
      </c>
      <c r="B583">
        <v>1529148.27666874</v>
      </c>
      <c r="C583">
        <v>124046.08092076518</v>
      </c>
      <c r="D583">
        <v>74387.350846271191</v>
      </c>
      <c r="E583">
        <v>183852.79899430671</v>
      </c>
      <c r="F583">
        <v>48728.270699605848</v>
      </c>
      <c r="G583">
        <v>10000</v>
      </c>
      <c r="H583">
        <v>-10000</v>
      </c>
      <c r="I583">
        <v>35.837734209505413</v>
      </c>
    </row>
    <row r="584" spans="1:9" x14ac:dyDescent="0.2">
      <c r="A584">
        <v>574</v>
      </c>
      <c r="B584">
        <v>880616.015220979</v>
      </c>
      <c r="C584">
        <v>105380.19821108277</v>
      </c>
      <c r="D584">
        <v>69370.0772637177</v>
      </c>
      <c r="E584">
        <v>39772.017082663217</v>
      </c>
      <c r="F584">
        <v>38753.447336492063</v>
      </c>
      <c r="G584">
        <v>10000</v>
      </c>
      <c r="H584">
        <v>-10000</v>
      </c>
      <c r="I584">
        <v>43.178315959536874</v>
      </c>
    </row>
    <row r="585" spans="1:9" x14ac:dyDescent="0.2">
      <c r="A585">
        <v>575</v>
      </c>
      <c r="B585">
        <v>1456960.6102172812</v>
      </c>
      <c r="C585">
        <v>118420.72223749418</v>
      </c>
      <c r="D585">
        <v>87520.75667159789</v>
      </c>
      <c r="E585">
        <v>158327.88563958363</v>
      </c>
      <c r="F585">
        <v>46961.161313509634</v>
      </c>
      <c r="G585">
        <v>10000</v>
      </c>
      <c r="H585">
        <v>-10000</v>
      </c>
      <c r="I585">
        <v>43.011594147857195</v>
      </c>
    </row>
    <row r="586" spans="1:9" x14ac:dyDescent="0.2">
      <c r="A586">
        <v>576</v>
      </c>
      <c r="B586">
        <v>1227904.4645159342</v>
      </c>
      <c r="C586">
        <v>72046.662411953133</v>
      </c>
      <c r="D586">
        <v>138418.57466558641</v>
      </c>
      <c r="E586">
        <v>95385.818024949724</v>
      </c>
      <c r="F586">
        <v>42603.63355557344</v>
      </c>
      <c r="G586">
        <v>10000</v>
      </c>
      <c r="H586">
        <v>-10000</v>
      </c>
      <c r="I586">
        <v>46.991787857451264</v>
      </c>
    </row>
    <row r="587" spans="1:9" x14ac:dyDescent="0.2">
      <c r="A587">
        <v>577</v>
      </c>
      <c r="B587">
        <v>1098958.7086185291</v>
      </c>
      <c r="C587">
        <v>130478.98578796374</v>
      </c>
      <c r="D587">
        <v>53144.730948077005</v>
      </c>
      <c r="E587">
        <v>87438.279097355204</v>
      </c>
      <c r="F587">
        <v>42053.419322124588</v>
      </c>
      <c r="G587">
        <v>10000</v>
      </c>
      <c r="H587">
        <v>-10000</v>
      </c>
      <c r="I587">
        <v>38.34823112611604</v>
      </c>
    </row>
    <row r="588" spans="1:9" x14ac:dyDescent="0.2">
      <c r="A588">
        <v>578</v>
      </c>
      <c r="B588">
        <v>1318553.1198784383</v>
      </c>
      <c r="C588">
        <v>114099.4808632846</v>
      </c>
      <c r="D588">
        <v>118208.55789593174</v>
      </c>
      <c r="E588">
        <v>98192.181104371004</v>
      </c>
      <c r="F588">
        <v>42797.920230302603</v>
      </c>
      <c r="G588">
        <v>10000</v>
      </c>
      <c r="H588">
        <v>-10000</v>
      </c>
      <c r="I588">
        <v>32.042978203590309</v>
      </c>
    </row>
    <row r="589" spans="1:9" x14ac:dyDescent="0.2">
      <c r="A589">
        <v>579</v>
      </c>
      <c r="B589">
        <v>962380.49852407759</v>
      </c>
      <c r="C589">
        <v>111146.44878610273</v>
      </c>
      <c r="D589">
        <v>90501.820755507099</v>
      </c>
      <c r="E589">
        <v>35573.32911981341</v>
      </c>
      <c r="F589">
        <v>38462.768939064001</v>
      </c>
      <c r="G589">
        <v>10000</v>
      </c>
      <c r="H589">
        <v>-10000</v>
      </c>
      <c r="I589">
        <v>33.967766425472675</v>
      </c>
    </row>
    <row r="590" spans="1:9" x14ac:dyDescent="0.2">
      <c r="A590">
        <v>580</v>
      </c>
      <c r="B590">
        <v>1355983.7233241275</v>
      </c>
      <c r="C590">
        <v>149746.54973097201</v>
      </c>
      <c r="D590">
        <v>49469.763496952684</v>
      </c>
      <c r="E590">
        <v>138735.41458369908</v>
      </c>
      <c r="F590">
        <v>45604.759471179168</v>
      </c>
      <c r="G590">
        <v>10000</v>
      </c>
      <c r="H590">
        <v>-10000</v>
      </c>
      <c r="I590">
        <v>40.358916150109849</v>
      </c>
    </row>
    <row r="591" spans="1:9" x14ac:dyDescent="0.2">
      <c r="A591">
        <v>581</v>
      </c>
      <c r="B591">
        <v>1544110.5601420794</v>
      </c>
      <c r="C591">
        <v>95244.063791352979</v>
      </c>
      <c r="D591">
        <v>103867.34984846403</v>
      </c>
      <c r="E591">
        <v>187053.81790153249</v>
      </c>
      <c r="F591">
        <v>48949.879700875324</v>
      </c>
      <c r="G591">
        <v>10000</v>
      </c>
      <c r="H591">
        <v>-10000</v>
      </c>
      <c r="I591">
        <v>40.60684013601778</v>
      </c>
    </row>
    <row r="592" spans="1:9" x14ac:dyDescent="0.2">
      <c r="A592">
        <v>582</v>
      </c>
      <c r="B592">
        <v>1116183.4874068343</v>
      </c>
      <c r="C592">
        <v>145367.44014789039</v>
      </c>
      <c r="D592">
        <v>59804.242471566984</v>
      </c>
      <c r="E592">
        <v>71700.52621162367</v>
      </c>
      <c r="F592">
        <v>40963.882583881641</v>
      </c>
      <c r="G592">
        <v>10000</v>
      </c>
      <c r="H592">
        <v>-10000</v>
      </c>
      <c r="I592">
        <v>38.902366757960131</v>
      </c>
    </row>
    <row r="593" spans="1:9" x14ac:dyDescent="0.2">
      <c r="A593">
        <v>583</v>
      </c>
      <c r="B593">
        <v>1306182.2104129139</v>
      </c>
      <c r="C593">
        <v>97716.617504137103</v>
      </c>
      <c r="D593">
        <v>54374.540392416369</v>
      </c>
      <c r="E593">
        <v>170044.27635288259</v>
      </c>
      <c r="F593">
        <v>47772.296055199564</v>
      </c>
      <c r="G593">
        <v>10000</v>
      </c>
      <c r="H593">
        <v>-10000</v>
      </c>
      <c r="I593">
        <v>57.246634954783914</v>
      </c>
    </row>
    <row r="594" spans="1:9" x14ac:dyDescent="0.2">
      <c r="A594">
        <v>584</v>
      </c>
      <c r="B594">
        <v>1582153.6936684335</v>
      </c>
      <c r="C594">
        <v>144334.45909008532</v>
      </c>
      <c r="D594">
        <v>79636.56254781413</v>
      </c>
      <c r="E594">
        <v>173554.96495771653</v>
      </c>
      <c r="F594">
        <v>48015.343727841908</v>
      </c>
      <c r="G594">
        <v>10000</v>
      </c>
      <c r="H594">
        <v>-10000</v>
      </c>
      <c r="I594">
        <v>34.108890709589481</v>
      </c>
    </row>
    <row r="595" spans="1:9" x14ac:dyDescent="0.2">
      <c r="A595">
        <v>585</v>
      </c>
      <c r="B595">
        <v>1150647.5027288743</v>
      </c>
      <c r="C595">
        <v>122657.04116790602</v>
      </c>
      <c r="D595">
        <v>97124.477655914641</v>
      </c>
      <c r="E595">
        <v>66870.398329432996</v>
      </c>
      <c r="F595">
        <v>40629.489115114593</v>
      </c>
      <c r="G595">
        <v>10000</v>
      </c>
      <c r="H595">
        <v>-10000</v>
      </c>
      <c r="I595">
        <v>45.005112655364513</v>
      </c>
    </row>
    <row r="596" spans="1:9" x14ac:dyDescent="0.2">
      <c r="A596">
        <v>586</v>
      </c>
      <c r="B596">
        <v>1303284.9826683109</v>
      </c>
      <c r="C596">
        <v>83997.718170277993</v>
      </c>
      <c r="D596">
        <v>33943.59541382864</v>
      </c>
      <c r="E596">
        <v>201240.36802669996</v>
      </c>
      <c r="F596">
        <v>49932.025478771531</v>
      </c>
      <c r="G596">
        <v>10000</v>
      </c>
      <c r="H596">
        <v>-10000</v>
      </c>
      <c r="I596">
        <v>40.246356068273556</v>
      </c>
    </row>
    <row r="597" spans="1:9" x14ac:dyDescent="0.2">
      <c r="A597">
        <v>587</v>
      </c>
      <c r="B597">
        <v>1576005.6652683418</v>
      </c>
      <c r="C597">
        <v>124692.47273175095</v>
      </c>
      <c r="D597">
        <v>69656.040919996449</v>
      </c>
      <c r="E597">
        <v>199683.61844600979</v>
      </c>
      <c r="F597">
        <v>49824.250507800672</v>
      </c>
      <c r="G597">
        <v>10000</v>
      </c>
      <c r="H597">
        <v>-10000</v>
      </c>
      <c r="I597">
        <v>35.951877077921075</v>
      </c>
    </row>
    <row r="598" spans="1:9" x14ac:dyDescent="0.2">
      <c r="A598">
        <v>588</v>
      </c>
      <c r="B598">
        <v>1495339.6119971857</v>
      </c>
      <c r="C598">
        <v>118236.21902747109</v>
      </c>
      <c r="D598">
        <v>153308.75783459365</v>
      </c>
      <c r="E598">
        <v>106809.3254162884</v>
      </c>
      <c r="F598">
        <v>43394.491759589189</v>
      </c>
      <c r="G598">
        <v>10000</v>
      </c>
      <c r="H598">
        <v>-10000</v>
      </c>
      <c r="I598">
        <v>40.392254904359504</v>
      </c>
    </row>
    <row r="599" spans="1:9" x14ac:dyDescent="0.2">
      <c r="A599">
        <v>589</v>
      </c>
      <c r="B599">
        <v>970676.81214884622</v>
      </c>
      <c r="C599">
        <v>87962.273634780329</v>
      </c>
      <c r="D599">
        <v>58188.389855200054</v>
      </c>
      <c r="E599">
        <v>89604.059565348885</v>
      </c>
      <c r="F599">
        <v>42203.357969908771</v>
      </c>
      <c r="G599">
        <v>10000</v>
      </c>
      <c r="H599">
        <v>-10000</v>
      </c>
      <c r="I599">
        <v>32.501302829206267</v>
      </c>
    </row>
    <row r="600" spans="1:9" x14ac:dyDescent="0.2">
      <c r="A600">
        <v>590</v>
      </c>
      <c r="B600">
        <v>1198412.679921526</v>
      </c>
      <c r="C600">
        <v>148229.32041208443</v>
      </c>
      <c r="D600">
        <v>125908.26024272756</v>
      </c>
      <c r="E600">
        <v>28276.868739229358</v>
      </c>
      <c r="F600">
        <v>37957.629374254342</v>
      </c>
      <c r="G600">
        <v>10000</v>
      </c>
      <c r="H600">
        <v>-10000</v>
      </c>
      <c r="I600">
        <v>51.87505765767083</v>
      </c>
    </row>
    <row r="601" spans="1:9" x14ac:dyDescent="0.2">
      <c r="A601">
        <v>591</v>
      </c>
      <c r="B601">
        <v>1200447.580543325</v>
      </c>
      <c r="C601">
        <v>95446.515182424482</v>
      </c>
      <c r="D601">
        <v>88419.196603364442</v>
      </c>
      <c r="E601">
        <v>113225.378129341</v>
      </c>
      <c r="F601">
        <v>43838.680024338995</v>
      </c>
      <c r="G601">
        <v>10000</v>
      </c>
      <c r="H601">
        <v>-10000</v>
      </c>
      <c r="I601">
        <v>30.094189438333</v>
      </c>
    </row>
    <row r="602" spans="1:9" x14ac:dyDescent="0.2">
      <c r="A602">
        <v>592</v>
      </c>
      <c r="B602">
        <v>1336286.9555333271</v>
      </c>
      <c r="C602">
        <v>112877.91913405963</v>
      </c>
      <c r="D602">
        <v>109458.27515934032</v>
      </c>
      <c r="E602">
        <v>112063.86797932295</v>
      </c>
      <c r="F602">
        <v>43758.267783183903</v>
      </c>
      <c r="G602">
        <v>10000</v>
      </c>
      <c r="H602">
        <v>-10000</v>
      </c>
      <c r="I602">
        <v>37.687253064399748</v>
      </c>
    </row>
    <row r="603" spans="1:9" x14ac:dyDescent="0.2">
      <c r="A603">
        <v>593</v>
      </c>
      <c r="B603">
        <v>950379.62693452183</v>
      </c>
      <c r="C603">
        <v>91991.742648481741</v>
      </c>
      <c r="D603">
        <v>50418.406067245851</v>
      </c>
      <c r="E603">
        <v>87899.84868305485</v>
      </c>
      <c r="F603">
        <v>42085.374139596104</v>
      </c>
      <c r="G603">
        <v>10000</v>
      </c>
      <c r="H603">
        <v>-10000</v>
      </c>
      <c r="I603">
        <v>29.620538374426218</v>
      </c>
    </row>
    <row r="604" spans="1:9" x14ac:dyDescent="0.2">
      <c r="A604">
        <v>594</v>
      </c>
      <c r="B604">
        <v>1384728.8084537084</v>
      </c>
      <c r="C604">
        <v>95145.505929053499</v>
      </c>
      <c r="D604">
        <v>148414.90906464998</v>
      </c>
      <c r="E604">
        <v>104630.39656984129</v>
      </c>
      <c r="F604">
        <v>43243.642839450549</v>
      </c>
      <c r="G604">
        <v>10000</v>
      </c>
      <c r="H604">
        <v>-10000</v>
      </c>
      <c r="I604">
        <v>35.639683737916158</v>
      </c>
    </row>
    <row r="605" spans="1:9" x14ac:dyDescent="0.2">
      <c r="A605">
        <v>595</v>
      </c>
      <c r="B605">
        <v>973072.64925020596</v>
      </c>
      <c r="C605">
        <v>137555.47484153285</v>
      </c>
      <c r="D605">
        <v>62536.0867817748</v>
      </c>
      <c r="E605">
        <v>39769.833759959845</v>
      </c>
      <c r="F605">
        <v>38753.296183381841</v>
      </c>
      <c r="G605">
        <v>10000</v>
      </c>
      <c r="H605">
        <v>-10000</v>
      </c>
      <c r="I605">
        <v>28.185990672527453</v>
      </c>
    </row>
    <row r="606" spans="1:9" x14ac:dyDescent="0.2">
      <c r="A606">
        <v>596</v>
      </c>
      <c r="B606">
        <v>1094162.1234094622</v>
      </c>
      <c r="C606">
        <v>130066.66511105772</v>
      </c>
      <c r="D606">
        <v>77365.887312150982</v>
      </c>
      <c r="E606">
        <v>63941.571540309051</v>
      </c>
      <c r="F606">
        <v>40426.724183559862</v>
      </c>
      <c r="G606">
        <v>10000</v>
      </c>
      <c r="H606">
        <v>-10000</v>
      </c>
      <c r="I606">
        <v>30.911618737485156</v>
      </c>
    </row>
    <row r="607" spans="1:9" x14ac:dyDescent="0.2">
      <c r="A607">
        <v>597</v>
      </c>
      <c r="B607">
        <v>1491288.1197158471</v>
      </c>
      <c r="C607">
        <v>116342.46330717357</v>
      </c>
      <c r="D607">
        <v>125814.21559300066</v>
      </c>
      <c r="E607">
        <v>133256.31351674261</v>
      </c>
      <c r="F607">
        <v>45225.437089620646</v>
      </c>
      <c r="G607">
        <v>10000</v>
      </c>
      <c r="H607">
        <v>-10000</v>
      </c>
      <c r="I607">
        <v>36.631685430234732</v>
      </c>
    </row>
    <row r="608" spans="1:9" x14ac:dyDescent="0.2">
      <c r="A608">
        <v>598</v>
      </c>
      <c r="B608">
        <v>1163775.1045030488</v>
      </c>
      <c r="C608">
        <v>93674.411306402617</v>
      </c>
      <c r="D608">
        <v>64451.763056065742</v>
      </c>
      <c r="E608">
        <v>127898.51084519498</v>
      </c>
      <c r="F608">
        <v>44854.512289282728</v>
      </c>
      <c r="G608">
        <v>10000</v>
      </c>
      <c r="H608">
        <v>-10000</v>
      </c>
      <c r="I608">
        <v>50.020284194772863</v>
      </c>
    </row>
    <row r="609" spans="1:9" x14ac:dyDescent="0.2">
      <c r="A609">
        <v>599</v>
      </c>
      <c r="B609">
        <v>1320422.4120078883</v>
      </c>
      <c r="C609">
        <v>148214.56215649983</v>
      </c>
      <c r="D609">
        <v>86470.706470592137</v>
      </c>
      <c r="E609">
        <v>96448.005827103887</v>
      </c>
      <c r="F609">
        <v>42677.169634184116</v>
      </c>
      <c r="G609">
        <v>10000</v>
      </c>
      <c r="H609">
        <v>-10000</v>
      </c>
      <c r="I609">
        <v>26.385764368200881</v>
      </c>
    </row>
    <row r="610" spans="1:9" x14ac:dyDescent="0.2">
      <c r="A610">
        <v>600</v>
      </c>
      <c r="B610">
        <v>1170708.2802877796</v>
      </c>
      <c r="C610">
        <v>88621.000592841316</v>
      </c>
      <c r="D610">
        <v>169715.43795644151</v>
      </c>
      <c r="E610">
        <v>35953.778826305039</v>
      </c>
      <c r="F610">
        <v>38489.107764898043</v>
      </c>
      <c r="G610">
        <v>10000</v>
      </c>
      <c r="H610">
        <v>-10000</v>
      </c>
      <c r="I610">
        <v>36.282980343125757</v>
      </c>
    </row>
    <row r="611" spans="1:9" x14ac:dyDescent="0.2">
      <c r="A611">
        <v>601</v>
      </c>
      <c r="B611">
        <v>1300959.3687711819</v>
      </c>
      <c r="C611">
        <v>149243.97937638371</v>
      </c>
      <c r="D611">
        <v>34655.234248000852</v>
      </c>
      <c r="E611">
        <v>138957.02666662532</v>
      </c>
      <c r="F611">
        <v>45620.101846150988</v>
      </c>
      <c r="G611">
        <v>10000</v>
      </c>
      <c r="H611">
        <v>-10000</v>
      </c>
      <c r="I611">
        <v>38.651596728163824</v>
      </c>
    </row>
    <row r="612" spans="1:9" x14ac:dyDescent="0.2">
      <c r="A612">
        <v>602</v>
      </c>
      <c r="B612">
        <v>1021072.4900867305</v>
      </c>
      <c r="C612">
        <v>128175.58971011266</v>
      </c>
      <c r="D612">
        <v>68884.347331187106</v>
      </c>
      <c r="E612">
        <v>54908.389620181311</v>
      </c>
      <c r="F612">
        <v>39801.350050627931</v>
      </c>
      <c r="G612">
        <v>10000</v>
      </c>
      <c r="H612">
        <v>-10000</v>
      </c>
      <c r="I612">
        <v>32.86456176237391</v>
      </c>
    </row>
    <row r="613" spans="1:9" x14ac:dyDescent="0.2">
      <c r="A613">
        <v>603</v>
      </c>
      <c r="B613">
        <v>1169548.7127927432</v>
      </c>
      <c r="C613">
        <v>122023.03687443153</v>
      </c>
      <c r="D613">
        <v>70241.6357264814</v>
      </c>
      <c r="E613">
        <v>97450.298734855984</v>
      </c>
      <c r="F613">
        <v>42746.559143182334</v>
      </c>
      <c r="G613">
        <v>10000</v>
      </c>
      <c r="H613">
        <v>-10000</v>
      </c>
      <c r="I613">
        <v>39.789246261624598</v>
      </c>
    </row>
    <row r="614" spans="1:9" x14ac:dyDescent="0.2">
      <c r="A614">
        <v>604</v>
      </c>
      <c r="B614">
        <v>1259416.0723289084</v>
      </c>
      <c r="C614">
        <v>138677.65768753568</v>
      </c>
      <c r="D614">
        <v>88135.614008022778</v>
      </c>
      <c r="E614">
        <v>88173.281742921332</v>
      </c>
      <c r="F614">
        <v>42104.304120663786</v>
      </c>
      <c r="G614">
        <v>10000</v>
      </c>
      <c r="H614">
        <v>-10000</v>
      </c>
      <c r="I614">
        <v>30.133607749680518</v>
      </c>
    </row>
    <row r="615" spans="1:9" x14ac:dyDescent="0.2">
      <c r="A615">
        <v>605</v>
      </c>
      <c r="B615">
        <v>1638214.0632463908</v>
      </c>
      <c r="C615">
        <v>115432.04909671329</v>
      </c>
      <c r="D615">
        <v>89290.302717502331</v>
      </c>
      <c r="E615">
        <v>205926.6002062055</v>
      </c>
      <c r="F615">
        <v>50256.45693735269</v>
      </c>
      <c r="G615">
        <v>10000</v>
      </c>
      <c r="H615">
        <v>-10000</v>
      </c>
      <c r="I615">
        <v>24.07458346208659</v>
      </c>
    </row>
    <row r="616" spans="1:9" x14ac:dyDescent="0.2">
      <c r="A616">
        <v>606</v>
      </c>
      <c r="B616">
        <v>1022349.2047871099</v>
      </c>
      <c r="C616">
        <v>145171.00835734751</v>
      </c>
      <c r="D616">
        <v>38706.641250637062</v>
      </c>
      <c r="E616">
        <v>67564.3926182578</v>
      </c>
      <c r="F616">
        <v>40677.534873571691</v>
      </c>
      <c r="G616">
        <v>10000</v>
      </c>
      <c r="H616">
        <v>-10000</v>
      </c>
      <c r="I616">
        <v>38.553118831477917</v>
      </c>
    </row>
    <row r="617" spans="1:9" x14ac:dyDescent="0.2">
      <c r="A617">
        <v>607</v>
      </c>
      <c r="B617">
        <v>1363553.0586526615</v>
      </c>
      <c r="C617">
        <v>115839.960086921</v>
      </c>
      <c r="D617">
        <v>67831.994353221671</v>
      </c>
      <c r="E617">
        <v>155213.46103967587</v>
      </c>
      <c r="F617">
        <v>46745.547302746789</v>
      </c>
      <c r="G617">
        <v>10000</v>
      </c>
      <c r="H617">
        <v>-10000</v>
      </c>
      <c r="I617">
        <v>30.060988525016707</v>
      </c>
    </row>
    <row r="618" spans="1:9" x14ac:dyDescent="0.2">
      <c r="A618">
        <v>608</v>
      </c>
      <c r="B618">
        <v>1299794.9786503827</v>
      </c>
      <c r="C618">
        <v>79179.638786765558</v>
      </c>
      <c r="D618">
        <v>132595.4039040374</v>
      </c>
      <c r="E618">
        <v>112587.65324127905</v>
      </c>
      <c r="F618">
        <v>43794.529839780851</v>
      </c>
      <c r="G618">
        <v>10000</v>
      </c>
      <c r="H618">
        <v>-10000</v>
      </c>
      <c r="I618">
        <v>37.148189484812008</v>
      </c>
    </row>
    <row r="619" spans="1:9" x14ac:dyDescent="0.2">
      <c r="A619">
        <v>609</v>
      </c>
      <c r="B619">
        <v>929422.47349901719</v>
      </c>
      <c r="C619">
        <v>108617.95665088613</v>
      </c>
      <c r="D619">
        <v>34389.77888081102</v>
      </c>
      <c r="E619">
        <v>81969.258747333341</v>
      </c>
      <c r="F619">
        <v>41674.794836353845</v>
      </c>
      <c r="G619">
        <v>10000</v>
      </c>
      <c r="H619">
        <v>-10000</v>
      </c>
      <c r="I619">
        <v>42.686263094977456</v>
      </c>
    </row>
    <row r="620" spans="1:9" x14ac:dyDescent="0.2">
      <c r="A620">
        <v>610</v>
      </c>
      <c r="B620">
        <v>1552044.8075034043</v>
      </c>
      <c r="C620">
        <v>150124.83078468597</v>
      </c>
      <c r="D620">
        <v>64319.870732007403</v>
      </c>
      <c r="E620">
        <v>174747.02330385832</v>
      </c>
      <c r="F620">
        <v>48097.870844113269</v>
      </c>
      <c r="G620">
        <v>10000</v>
      </c>
      <c r="H620">
        <v>-10000</v>
      </c>
      <c r="I620">
        <v>38.35655701171126</v>
      </c>
    </row>
    <row r="621" spans="1:9" x14ac:dyDescent="0.2">
      <c r="A621">
        <v>611</v>
      </c>
      <c r="B621">
        <v>1306964.7514719707</v>
      </c>
      <c r="C621">
        <v>107729.7862295236</v>
      </c>
      <c r="D621">
        <v>91277.67780707356</v>
      </c>
      <c r="E621">
        <v>126366.29601785236</v>
      </c>
      <c r="F621">
        <v>44748.435878159013</v>
      </c>
      <c r="G621">
        <v>10000</v>
      </c>
      <c r="H621">
        <v>-10000</v>
      </c>
      <c r="I621">
        <v>45.607777449673989</v>
      </c>
    </row>
    <row r="622" spans="1:9" x14ac:dyDescent="0.2">
      <c r="A622">
        <v>612</v>
      </c>
      <c r="B622">
        <v>1194797.6686924396</v>
      </c>
      <c r="C622">
        <v>105643.26786281016</v>
      </c>
      <c r="D622">
        <v>112640.2566275859</v>
      </c>
      <c r="E622">
        <v>79587.882752084726</v>
      </c>
      <c r="F622">
        <v>41509.930344375098</v>
      </c>
      <c r="G622">
        <v>10000</v>
      </c>
      <c r="H622">
        <v>-10000</v>
      </c>
      <c r="I622">
        <v>45.743370493984955</v>
      </c>
    </row>
    <row r="623" spans="1:9" x14ac:dyDescent="0.2">
      <c r="A623">
        <v>613</v>
      </c>
      <c r="B623">
        <v>1626061.002796696</v>
      </c>
      <c r="C623">
        <v>106111.02004528507</v>
      </c>
      <c r="D623">
        <v>95688.957819257252</v>
      </c>
      <c r="E623">
        <v>205544.70747090993</v>
      </c>
      <c r="F623">
        <v>50230.018209524533</v>
      </c>
      <c r="G623">
        <v>10000</v>
      </c>
      <c r="H623">
        <v>-10000</v>
      </c>
      <c r="I623">
        <v>37.092760379396793</v>
      </c>
    </row>
    <row r="624" spans="1:9" x14ac:dyDescent="0.2">
      <c r="A624">
        <v>614</v>
      </c>
      <c r="B624">
        <v>1253077.9237773779</v>
      </c>
      <c r="C624">
        <v>135356.56621221465</v>
      </c>
      <c r="D624">
        <v>149877.31427622601</v>
      </c>
      <c r="E624">
        <v>31910.720694473919</v>
      </c>
      <c r="F624">
        <v>38209.203740386656</v>
      </c>
      <c r="G624">
        <v>10000</v>
      </c>
      <c r="H624">
        <v>-10000</v>
      </c>
      <c r="I624">
        <v>36.23575195558282</v>
      </c>
    </row>
    <row r="625" spans="1:9" x14ac:dyDescent="0.2">
      <c r="A625">
        <v>615</v>
      </c>
      <c r="B625">
        <v>1209937.6171533002</v>
      </c>
      <c r="C625">
        <v>113331.03475371879</v>
      </c>
      <c r="D625">
        <v>94248.595094703735</v>
      </c>
      <c r="E625">
        <v>93479.360876168124</v>
      </c>
      <c r="F625">
        <v>42471.64806065779</v>
      </c>
      <c r="G625">
        <v>10000</v>
      </c>
      <c r="H625">
        <v>-10000</v>
      </c>
      <c r="I625">
        <v>29.072153772181483</v>
      </c>
    </row>
    <row r="626" spans="1:9" x14ac:dyDescent="0.2">
      <c r="A626">
        <v>616</v>
      </c>
      <c r="B626">
        <v>964805.11422306881</v>
      </c>
      <c r="C626">
        <v>107868.14234196406</v>
      </c>
      <c r="D626">
        <v>51208.372445923706</v>
      </c>
      <c r="E626">
        <v>76010.111983721203</v>
      </c>
      <c r="F626">
        <v>41262.238521949934</v>
      </c>
      <c r="G626">
        <v>10000</v>
      </c>
      <c r="H626">
        <v>-10000</v>
      </c>
      <c r="I626">
        <v>35.338991718481019</v>
      </c>
    </row>
    <row r="627" spans="1:9" x14ac:dyDescent="0.2">
      <c r="A627">
        <v>617</v>
      </c>
      <c r="B627">
        <v>1198249.422363657</v>
      </c>
      <c r="C627">
        <v>131282.58107949002</v>
      </c>
      <c r="D627">
        <v>30145.804147765928</v>
      </c>
      <c r="E627">
        <v>133646.50062544624</v>
      </c>
      <c r="F627">
        <v>45252.450043300116</v>
      </c>
      <c r="G627">
        <v>10000</v>
      </c>
      <c r="H627">
        <v>-10000</v>
      </c>
      <c r="I627">
        <v>29.314174581058175</v>
      </c>
    </row>
    <row r="628" spans="1:9" x14ac:dyDescent="0.2">
      <c r="A628">
        <v>618</v>
      </c>
      <c r="B628">
        <v>1170070.8621440066</v>
      </c>
      <c r="C628">
        <v>71758.472903578178</v>
      </c>
      <c r="D628">
        <v>50645.70000584027</v>
      </c>
      <c r="E628">
        <v>162921.29300053764</v>
      </c>
      <c r="F628">
        <v>47279.16643849876</v>
      </c>
      <c r="G628">
        <v>10000</v>
      </c>
      <c r="H628">
        <v>-10000</v>
      </c>
      <c r="I628">
        <v>49.999816917823452</v>
      </c>
    </row>
    <row r="629" spans="1:9" x14ac:dyDescent="0.2">
      <c r="A629">
        <v>619</v>
      </c>
      <c r="B629">
        <v>1391908.0303523154</v>
      </c>
      <c r="C629">
        <v>104210.31148879895</v>
      </c>
      <c r="D629">
        <v>73058.780851394666</v>
      </c>
      <c r="E629">
        <v>168469.63915607551</v>
      </c>
      <c r="F629">
        <v>47663.282710805222</v>
      </c>
      <c r="G629">
        <v>10000</v>
      </c>
      <c r="H629">
        <v>-10000</v>
      </c>
      <c r="I629">
        <v>31.947358312952133</v>
      </c>
    </row>
    <row r="630" spans="1:9" x14ac:dyDescent="0.2">
      <c r="A630">
        <v>620</v>
      </c>
      <c r="B630">
        <v>1214682.7848600866</v>
      </c>
      <c r="C630">
        <v>118165.53319143565</v>
      </c>
      <c r="D630">
        <v>77405.565783938015</v>
      </c>
      <c r="E630">
        <v>105926.63290055392</v>
      </c>
      <c r="F630">
        <v>43333.382277730656</v>
      </c>
      <c r="G630">
        <v>10000</v>
      </c>
      <c r="H630">
        <v>-10000</v>
      </c>
      <c r="I630">
        <v>36.335923042205238</v>
      </c>
    </row>
    <row r="631" spans="1:9" x14ac:dyDescent="0.2">
      <c r="A631">
        <v>621</v>
      </c>
      <c r="B631">
        <v>1657267.7802917364</v>
      </c>
      <c r="C631">
        <v>115424.45992620396</v>
      </c>
      <c r="D631">
        <v>115162.99691470535</v>
      </c>
      <c r="E631">
        <v>186620.02498021009</v>
      </c>
      <c r="F631">
        <v>48919.847883245311</v>
      </c>
      <c r="G631">
        <v>10000</v>
      </c>
      <c r="H631">
        <v>-10000</v>
      </c>
      <c r="I631">
        <v>29.329482256009243</v>
      </c>
    </row>
    <row r="632" spans="1:9" x14ac:dyDescent="0.2">
      <c r="A632">
        <v>622</v>
      </c>
      <c r="B632">
        <v>1073473.4722981863</v>
      </c>
      <c r="C632">
        <v>95887.580340580695</v>
      </c>
      <c r="D632">
        <v>90505.942138471713</v>
      </c>
      <c r="E632">
        <v>78315.488324770558</v>
      </c>
      <c r="F632">
        <v>41421.841499407194</v>
      </c>
      <c r="G632">
        <v>10000</v>
      </c>
      <c r="H632">
        <v>-10000</v>
      </c>
      <c r="I632">
        <v>56.953197448582131</v>
      </c>
    </row>
    <row r="633" spans="1:9" x14ac:dyDescent="0.2">
      <c r="A633">
        <v>623</v>
      </c>
      <c r="B633">
        <v>1197839.827753586</v>
      </c>
      <c r="C633">
        <v>109955.25470871868</v>
      </c>
      <c r="D633">
        <v>76840.710604755543</v>
      </c>
      <c r="E633">
        <v>109816.43925072461</v>
      </c>
      <c r="F633">
        <v>43602.676563511704</v>
      </c>
      <c r="G633">
        <v>10000</v>
      </c>
      <c r="H633">
        <v>-10000</v>
      </c>
      <c r="I633">
        <v>54.173108039141773</v>
      </c>
    </row>
    <row r="634" spans="1:9" x14ac:dyDescent="0.2">
      <c r="A634">
        <v>624</v>
      </c>
      <c r="B634">
        <v>880650.24193564395</v>
      </c>
      <c r="C634">
        <v>88834.833514637736</v>
      </c>
      <c r="D634">
        <v>53455.305889705982</v>
      </c>
      <c r="E634">
        <v>70139.190647370808</v>
      </c>
      <c r="F634">
        <v>40855.790121741054</v>
      </c>
      <c r="G634">
        <v>10000</v>
      </c>
      <c r="H634">
        <v>-10000</v>
      </c>
      <c r="I634">
        <v>31.750603153994643</v>
      </c>
    </row>
    <row r="635" spans="1:9" x14ac:dyDescent="0.2">
      <c r="A635">
        <v>625</v>
      </c>
      <c r="B635">
        <v>1611618.9263188879</v>
      </c>
      <c r="C635">
        <v>160819.58950241507</v>
      </c>
      <c r="D635">
        <v>42369.915679061094</v>
      </c>
      <c r="E635">
        <v>200543.38529554341</v>
      </c>
      <c r="F635">
        <v>49883.772828153007</v>
      </c>
      <c r="G635">
        <v>10000</v>
      </c>
      <c r="H635">
        <v>-10000</v>
      </c>
      <c r="I635">
        <v>25.429913879771142</v>
      </c>
    </row>
    <row r="636" spans="1:9" x14ac:dyDescent="0.2">
      <c r="A636">
        <v>626</v>
      </c>
      <c r="B636">
        <v>1475677.2344199009</v>
      </c>
      <c r="C636">
        <v>118569.61088048349</v>
      </c>
      <c r="D636">
        <v>108213.87045578276</v>
      </c>
      <c r="E636">
        <v>143632.77318868061</v>
      </c>
      <c r="F636">
        <v>45943.807374600969</v>
      </c>
      <c r="G636">
        <v>10000</v>
      </c>
      <c r="H636">
        <v>-10000</v>
      </c>
      <c r="I636">
        <v>31.605018112068532</v>
      </c>
    </row>
    <row r="637" spans="1:9" x14ac:dyDescent="0.2">
      <c r="A637">
        <v>627</v>
      </c>
      <c r="B637">
        <v>1132278.4747774065</v>
      </c>
      <c r="C637">
        <v>105058.59884739424</v>
      </c>
      <c r="D637">
        <v>77802.112365983034</v>
      </c>
      <c r="E637">
        <v>96692.33742487822</v>
      </c>
      <c r="F637">
        <v>42694.084898645408</v>
      </c>
      <c r="G637">
        <v>10000</v>
      </c>
      <c r="H637">
        <v>-10000</v>
      </c>
      <c r="I637">
        <v>28.638091502467347</v>
      </c>
    </row>
    <row r="638" spans="1:9" x14ac:dyDescent="0.2">
      <c r="A638">
        <v>628</v>
      </c>
      <c r="B638">
        <v>1132097.4718514902</v>
      </c>
      <c r="C638">
        <v>110536.28528815704</v>
      </c>
      <c r="D638">
        <v>93235.312730279649</v>
      </c>
      <c r="E638">
        <v>77088.998621789404</v>
      </c>
      <c r="F638">
        <v>41336.93067381619</v>
      </c>
      <c r="G638">
        <v>10000</v>
      </c>
      <c r="H638">
        <v>-10000</v>
      </c>
      <c r="I638">
        <v>43.837162331252394</v>
      </c>
    </row>
    <row r="639" spans="1:9" x14ac:dyDescent="0.2">
      <c r="A639">
        <v>629</v>
      </c>
      <c r="B639">
        <v>1717877.9400615627</v>
      </c>
      <c r="C639">
        <v>137397.82505591633</v>
      </c>
      <c r="D639">
        <v>88515.399075981943</v>
      </c>
      <c r="E639">
        <v>206527.08485632882</v>
      </c>
      <c r="F639">
        <v>50298.028951591994</v>
      </c>
      <c r="G639">
        <v>10000</v>
      </c>
      <c r="H639">
        <v>-10000</v>
      </c>
      <c r="I639">
        <v>25.442615893407524</v>
      </c>
    </row>
    <row r="640" spans="1:9" x14ac:dyDescent="0.2">
      <c r="A640">
        <v>630</v>
      </c>
      <c r="B640">
        <v>1011195.7617092105</v>
      </c>
      <c r="C640">
        <v>131595.97043018468</v>
      </c>
      <c r="D640">
        <v>46030.266919992006</v>
      </c>
      <c r="E640">
        <v>70552.208880162958</v>
      </c>
      <c r="F640">
        <v>40884.383691703588</v>
      </c>
      <c r="G640">
        <v>10000</v>
      </c>
      <c r="H640">
        <v>-10000</v>
      </c>
      <c r="I640">
        <v>44.288114189253179</v>
      </c>
    </row>
    <row r="641" spans="1:9" x14ac:dyDescent="0.2">
      <c r="A641">
        <v>631</v>
      </c>
      <c r="B641">
        <v>1440660.8413046286</v>
      </c>
      <c r="C641">
        <v>100296.50797154535</v>
      </c>
      <c r="D641">
        <v>78039.700123371353</v>
      </c>
      <c r="E641">
        <v>179967.8405435954</v>
      </c>
      <c r="F641">
        <v>48459.312037633528</v>
      </c>
      <c r="G641">
        <v>10000</v>
      </c>
      <c r="H641">
        <v>-10000</v>
      </c>
      <c r="I641">
        <v>32.283484624045549</v>
      </c>
    </row>
    <row r="642" spans="1:9" x14ac:dyDescent="0.2">
      <c r="A642">
        <v>632</v>
      </c>
      <c r="B642">
        <v>1357432.1581246103</v>
      </c>
      <c r="C642">
        <v>98326.777617549058</v>
      </c>
      <c r="D642">
        <v>69270.535214761767</v>
      </c>
      <c r="E642">
        <v>168678.401493062</v>
      </c>
      <c r="F642">
        <v>47677.735487981212</v>
      </c>
      <c r="G642">
        <v>10000</v>
      </c>
      <c r="H642">
        <v>-10000</v>
      </c>
      <c r="I642">
        <v>37.983629702414376</v>
      </c>
    </row>
    <row r="643" spans="1:9" x14ac:dyDescent="0.2">
      <c r="A643">
        <v>633</v>
      </c>
      <c r="B643">
        <v>1590894.5504446875</v>
      </c>
      <c r="C643">
        <v>110110.79926937848</v>
      </c>
      <c r="D643">
        <v>97885.608328423143</v>
      </c>
      <c r="E643">
        <v>190735.69045435774</v>
      </c>
      <c r="F643">
        <v>49204.778569917078</v>
      </c>
      <c r="G643">
        <v>10000</v>
      </c>
      <c r="H643">
        <v>-10000</v>
      </c>
      <c r="I643">
        <v>29.777534589372877</v>
      </c>
    </row>
    <row r="644" spans="1:9" x14ac:dyDescent="0.2">
      <c r="A644">
        <v>634</v>
      </c>
      <c r="B644">
        <v>1085045.5164866804</v>
      </c>
      <c r="C644">
        <v>102432.38943611734</v>
      </c>
      <c r="D644">
        <v>86684.94247554359</v>
      </c>
      <c r="E644">
        <v>78734.163951944574</v>
      </c>
      <c r="F644">
        <v>41450.826735134629</v>
      </c>
      <c r="G644">
        <v>10000</v>
      </c>
      <c r="H644">
        <v>-10000</v>
      </c>
      <c r="I644">
        <v>27.580231040554786</v>
      </c>
    </row>
    <row r="645" spans="1:9" x14ac:dyDescent="0.2">
      <c r="A645">
        <v>635</v>
      </c>
      <c r="B645">
        <v>1518154.9462924588</v>
      </c>
      <c r="C645">
        <v>149071.09705309017</v>
      </c>
      <c r="D645">
        <v>129995.28012996126</v>
      </c>
      <c r="E645">
        <v>105622.90324343876</v>
      </c>
      <c r="F645">
        <v>43312.354839930369</v>
      </c>
      <c r="G645">
        <v>10000</v>
      </c>
      <c r="H645">
        <v>-10000</v>
      </c>
      <c r="I645">
        <v>32.809665200224465</v>
      </c>
    </row>
    <row r="646" spans="1:9" x14ac:dyDescent="0.2">
      <c r="A646">
        <v>636</v>
      </c>
      <c r="B646">
        <v>1239687.2667658564</v>
      </c>
      <c r="C646">
        <v>101584.87049958529</v>
      </c>
      <c r="D646">
        <v>107894.0448615786</v>
      </c>
      <c r="E646">
        <v>99328.421568275837</v>
      </c>
      <c r="F646">
        <v>42876.583031649869</v>
      </c>
      <c r="G646">
        <v>10000</v>
      </c>
      <c r="H646">
        <v>-10000</v>
      </c>
      <c r="I646">
        <v>45.587750437828745</v>
      </c>
    </row>
    <row r="647" spans="1:9" x14ac:dyDescent="0.2">
      <c r="A647">
        <v>637</v>
      </c>
      <c r="B647">
        <v>1398201.6119819689</v>
      </c>
      <c r="C647">
        <v>118600.29825307868</v>
      </c>
      <c r="D647">
        <v>88369.034526628166</v>
      </c>
      <c r="E647">
        <v>142305.59416461599</v>
      </c>
      <c r="F647">
        <v>45851.925749858034</v>
      </c>
      <c r="G647">
        <v>10000</v>
      </c>
      <c r="H647">
        <v>-10000</v>
      </c>
      <c r="I647">
        <v>27.184416662355801</v>
      </c>
    </row>
    <row r="648" spans="1:9" x14ac:dyDescent="0.2">
      <c r="A648">
        <v>638</v>
      </c>
      <c r="B648">
        <v>1279666.7730562016</v>
      </c>
      <c r="C648">
        <v>91859.357001266995</v>
      </c>
      <c r="D648">
        <v>71024.330136097444</v>
      </c>
      <c r="E648">
        <v>153154.15992364733</v>
      </c>
      <c r="F648">
        <v>46602.980302406351</v>
      </c>
      <c r="G648">
        <v>10000</v>
      </c>
      <c r="H648">
        <v>-10000</v>
      </c>
      <c r="I648">
        <v>40.903199676821046</v>
      </c>
    </row>
    <row r="649" spans="1:9" x14ac:dyDescent="0.2">
      <c r="A649">
        <v>639</v>
      </c>
      <c r="B649">
        <v>1265287.5508622634</v>
      </c>
      <c r="C649">
        <v>110354.69699455395</v>
      </c>
      <c r="D649">
        <v>27578.251222896091</v>
      </c>
      <c r="E649">
        <v>172803.72980561657</v>
      </c>
      <c r="F649">
        <v>47963.335140388837</v>
      </c>
      <c r="G649">
        <v>10000</v>
      </c>
      <c r="H649">
        <v>-10000</v>
      </c>
      <c r="I649">
        <v>36.087049191563096</v>
      </c>
    </row>
    <row r="650" spans="1:9" x14ac:dyDescent="0.2">
      <c r="A650">
        <v>640</v>
      </c>
      <c r="B650">
        <v>1741769.9638600864</v>
      </c>
      <c r="C650">
        <v>106014.66472910641</v>
      </c>
      <c r="D650">
        <v>127874.5881735577</v>
      </c>
      <c r="E650">
        <v>205191.44551527913</v>
      </c>
      <c r="F650">
        <v>50205.561612596248</v>
      </c>
      <c r="G650">
        <v>10000</v>
      </c>
      <c r="H650">
        <v>-10000</v>
      </c>
      <c r="I650">
        <v>44.418529345566881</v>
      </c>
    </row>
    <row r="651" spans="1:9" x14ac:dyDescent="0.2">
      <c r="A651">
        <v>641</v>
      </c>
      <c r="B651">
        <v>1627380.0493152493</v>
      </c>
      <c r="C651">
        <v>136506.26568422103</v>
      </c>
      <c r="D651">
        <v>136283.33578826848</v>
      </c>
      <c r="E651">
        <v>139489.629686564</v>
      </c>
      <c r="F651">
        <v>45656.974362915964</v>
      </c>
      <c r="G651">
        <v>10000</v>
      </c>
      <c r="H651">
        <v>-10000</v>
      </c>
      <c r="I651">
        <v>37.088898733247191</v>
      </c>
    </row>
    <row r="652" spans="1:9" x14ac:dyDescent="0.2">
      <c r="A652">
        <v>642</v>
      </c>
      <c r="B652">
        <v>1406384.4450753103</v>
      </c>
      <c r="C652">
        <v>123023.67494938475</v>
      </c>
      <c r="D652">
        <v>95012.685827232068</v>
      </c>
      <c r="E652">
        <v>134052.54379209396</v>
      </c>
      <c r="F652">
        <v>45280.560724068047</v>
      </c>
      <c r="G652">
        <v>10000</v>
      </c>
      <c r="H652">
        <v>-10000</v>
      </c>
      <c r="I652">
        <v>41.679684371794593</v>
      </c>
    </row>
    <row r="653" spans="1:9" x14ac:dyDescent="0.2">
      <c r="A653">
        <v>643</v>
      </c>
      <c r="B653">
        <v>1201115.7501071389</v>
      </c>
      <c r="C653">
        <v>147739.74372036275</v>
      </c>
      <c r="D653">
        <v>105042.48256332599</v>
      </c>
      <c r="E653">
        <v>48942.34788524043</v>
      </c>
      <c r="F653">
        <v>39388.316392055101</v>
      </c>
      <c r="G653">
        <v>10000</v>
      </c>
      <c r="H653">
        <v>-10000</v>
      </c>
      <c r="I653">
        <v>24.018716605781499</v>
      </c>
    </row>
    <row r="654" spans="1:9" x14ac:dyDescent="0.2">
      <c r="A654">
        <v>644</v>
      </c>
      <c r="B654">
        <v>1023622.1343617624</v>
      </c>
      <c r="C654">
        <v>89854.808351531188</v>
      </c>
      <c r="D654">
        <v>133535.02133759964</v>
      </c>
      <c r="E654">
        <v>30936.829903331301</v>
      </c>
      <c r="F654">
        <v>38141.780531769087</v>
      </c>
      <c r="G654">
        <v>10000</v>
      </c>
      <c r="H654">
        <v>-10000</v>
      </c>
      <c r="I654">
        <v>27.602995377869743</v>
      </c>
    </row>
    <row r="655" spans="1:9" x14ac:dyDescent="0.2">
      <c r="A655">
        <v>645</v>
      </c>
      <c r="B655">
        <v>1302051.9369216128</v>
      </c>
      <c r="C655">
        <v>86412.171629051954</v>
      </c>
      <c r="D655">
        <v>69464.41034110036</v>
      </c>
      <c r="E655">
        <v>165445.2882119875</v>
      </c>
      <c r="F655">
        <v>47453.904568522208</v>
      </c>
      <c r="G655">
        <v>10000</v>
      </c>
      <c r="H655">
        <v>-10000</v>
      </c>
      <c r="I655">
        <v>46.18425276199342</v>
      </c>
    </row>
    <row r="656" spans="1:9" x14ac:dyDescent="0.2">
      <c r="A656">
        <v>646</v>
      </c>
      <c r="B656">
        <v>1477237.3878760636</v>
      </c>
      <c r="C656">
        <v>139143.72289521107</v>
      </c>
      <c r="D656">
        <v>68628.461264995654</v>
      </c>
      <c r="E656">
        <v>161813.01848934699</v>
      </c>
      <c r="F656">
        <v>47202.439741570168</v>
      </c>
      <c r="G656">
        <v>10000</v>
      </c>
      <c r="H656">
        <v>-10000</v>
      </c>
      <c r="I656">
        <v>29.328549732812245</v>
      </c>
    </row>
    <row r="657" spans="1:9" x14ac:dyDescent="0.2">
      <c r="A657">
        <v>647</v>
      </c>
      <c r="B657">
        <v>1344286.2956237802</v>
      </c>
      <c r="C657">
        <v>94537.419514592839</v>
      </c>
      <c r="D657">
        <v>87994.988784742643</v>
      </c>
      <c r="E657">
        <v>151340.80532541548</v>
      </c>
      <c r="F657">
        <v>46477.440368682612</v>
      </c>
      <c r="G657">
        <v>10000</v>
      </c>
      <c r="H657">
        <v>-10000</v>
      </c>
      <c r="I657">
        <v>31.825028519445127</v>
      </c>
    </row>
    <row r="658" spans="1:9" x14ac:dyDescent="0.2">
      <c r="A658">
        <v>648</v>
      </c>
      <c r="B658">
        <v>1821303.7832841619</v>
      </c>
      <c r="C658">
        <v>140835.25207867683</v>
      </c>
      <c r="D658">
        <v>147683.8760597395</v>
      </c>
      <c r="E658">
        <v>174484.70649296499</v>
      </c>
      <c r="F658">
        <v>48079.710449512961</v>
      </c>
      <c r="G658">
        <v>10000</v>
      </c>
      <c r="H658">
        <v>-10000</v>
      </c>
      <c r="I658">
        <v>32.68415625572581</v>
      </c>
    </row>
    <row r="659" spans="1:9" x14ac:dyDescent="0.2">
      <c r="A659">
        <v>649</v>
      </c>
      <c r="B659">
        <v>1544104.7750039578</v>
      </c>
      <c r="C659">
        <v>111742.20705346357</v>
      </c>
      <c r="D659">
        <v>109272.35556840673</v>
      </c>
      <c r="E659">
        <v>166567.37558684338</v>
      </c>
      <c r="F659">
        <v>47531.587540627617</v>
      </c>
      <c r="G659">
        <v>10000</v>
      </c>
      <c r="H659">
        <v>-10000</v>
      </c>
      <c r="I659">
        <v>36.536195276768339</v>
      </c>
    </row>
    <row r="660" spans="1:9" x14ac:dyDescent="0.2">
      <c r="A660">
        <v>650</v>
      </c>
      <c r="B660">
        <v>1237560.3528118923</v>
      </c>
      <c r="C660">
        <v>114387.36144457886</v>
      </c>
      <c r="D660">
        <v>111557.20196332908</v>
      </c>
      <c r="E660">
        <v>83383.728273326647</v>
      </c>
      <c r="F660">
        <v>41772.71964969184</v>
      </c>
      <c r="G660">
        <v>10000</v>
      </c>
      <c r="H660">
        <v>-10000</v>
      </c>
      <c r="I660">
        <v>32.636402688675744</v>
      </c>
    </row>
    <row r="661" spans="1:9" x14ac:dyDescent="0.2">
      <c r="A661">
        <v>651</v>
      </c>
      <c r="B661">
        <v>1126574.9500461575</v>
      </c>
      <c r="C661">
        <v>101343.63087775263</v>
      </c>
      <c r="D661">
        <v>119696.56477836333</v>
      </c>
      <c r="E661">
        <v>59522.989842318195</v>
      </c>
      <c r="F661">
        <v>40120.822373698953</v>
      </c>
      <c r="G661">
        <v>10000</v>
      </c>
      <c r="H661">
        <v>-10000</v>
      </c>
      <c r="I661">
        <v>28.977687143492503</v>
      </c>
    </row>
    <row r="662" spans="1:9" x14ac:dyDescent="0.2">
      <c r="A662">
        <v>652</v>
      </c>
      <c r="B662">
        <v>1600962.884136783</v>
      </c>
      <c r="C662">
        <v>117502.58140897768</v>
      </c>
      <c r="D662">
        <v>75532.165724566075</v>
      </c>
      <c r="E662">
        <v>207309.30553412859</v>
      </c>
      <c r="F662">
        <v>50352.182690824287</v>
      </c>
      <c r="G662">
        <v>10000</v>
      </c>
      <c r="H662">
        <v>-10000</v>
      </c>
      <c r="I662">
        <v>43.382834403124349</v>
      </c>
    </row>
    <row r="663" spans="1:9" x14ac:dyDescent="0.2">
      <c r="A663">
        <v>653</v>
      </c>
      <c r="B663">
        <v>1032459.7366675148</v>
      </c>
      <c r="C663">
        <v>81851.538568309261</v>
      </c>
      <c r="D663">
        <v>126386.75267943948</v>
      </c>
      <c r="E663">
        <v>47372.570087184176</v>
      </c>
      <c r="F663">
        <v>39279.639467574285</v>
      </c>
      <c r="G663">
        <v>10000</v>
      </c>
      <c r="H663">
        <v>-10000</v>
      </c>
      <c r="I663">
        <v>38.660887439951253</v>
      </c>
    </row>
    <row r="664" spans="1:9" x14ac:dyDescent="0.2">
      <c r="A664">
        <v>654</v>
      </c>
      <c r="B664">
        <v>1164940.7265685094</v>
      </c>
      <c r="C664">
        <v>129105.50078465049</v>
      </c>
      <c r="D664">
        <v>59172.379234303509</v>
      </c>
      <c r="E664">
        <v>99997.843824475334</v>
      </c>
      <c r="F664">
        <v>42922.927649386751</v>
      </c>
      <c r="G664">
        <v>10000</v>
      </c>
      <c r="H664">
        <v>-10000</v>
      </c>
      <c r="I664">
        <v>28.097530344630012</v>
      </c>
    </row>
    <row r="665" spans="1:9" x14ac:dyDescent="0.2">
      <c r="A665">
        <v>655</v>
      </c>
      <c r="B665">
        <v>1165613.1683094122</v>
      </c>
      <c r="C665">
        <v>159631.97493012328</v>
      </c>
      <c r="D665">
        <v>94673.85635679109</v>
      </c>
      <c r="E665">
        <v>38417.442572348154</v>
      </c>
      <c r="F665">
        <v>38659.669101162566</v>
      </c>
      <c r="G665">
        <v>10000</v>
      </c>
      <c r="H665">
        <v>-10000</v>
      </c>
      <c r="I665">
        <v>29.832613447536474</v>
      </c>
    </row>
    <row r="666" spans="1:9" x14ac:dyDescent="0.2">
      <c r="A666">
        <v>656</v>
      </c>
      <c r="B666">
        <v>1022261.9443366129</v>
      </c>
      <c r="C666">
        <v>84921.935299946286</v>
      </c>
      <c r="D666">
        <v>142740.10932073361</v>
      </c>
      <c r="E666">
        <v>26592.59200900167</v>
      </c>
      <c r="F666">
        <v>37841.025600623194</v>
      </c>
      <c r="G666">
        <v>10000</v>
      </c>
      <c r="H666">
        <v>-10000</v>
      </c>
      <c r="I666">
        <v>30.869783750693497</v>
      </c>
    </row>
    <row r="667" spans="1:9" x14ac:dyDescent="0.2">
      <c r="A667">
        <v>657</v>
      </c>
      <c r="B667">
        <v>1363017.5696356019</v>
      </c>
      <c r="C667">
        <v>101168.68405659075</v>
      </c>
      <c r="D667">
        <v>127931.02667285957</v>
      </c>
      <c r="E667">
        <v>112589.81478812783</v>
      </c>
      <c r="F667">
        <v>43794.679485331922</v>
      </c>
      <c r="G667">
        <v>10000</v>
      </c>
      <c r="H667">
        <v>-10000</v>
      </c>
      <c r="I667">
        <v>30.954191099122212</v>
      </c>
    </row>
    <row r="668" spans="1:9" x14ac:dyDescent="0.2">
      <c r="A668">
        <v>658</v>
      </c>
      <c r="B668">
        <v>1299592.6012023203</v>
      </c>
      <c r="C668">
        <v>138725.7832974871</v>
      </c>
      <c r="D668">
        <v>72587.802521285572</v>
      </c>
      <c r="E668">
        <v>112967.35862674833</v>
      </c>
      <c r="F668">
        <v>43820.817135697958</v>
      </c>
      <c r="G668">
        <v>10000</v>
      </c>
      <c r="H668">
        <v>-10000</v>
      </c>
      <c r="I668">
        <v>33.870078971792815</v>
      </c>
    </row>
    <row r="669" spans="1:9" x14ac:dyDescent="0.2">
      <c r="A669">
        <v>659</v>
      </c>
      <c r="B669">
        <v>2001926.4243512736</v>
      </c>
      <c r="C669">
        <v>138543.03623013306</v>
      </c>
      <c r="D669">
        <v>170039.93945088884</v>
      </c>
      <c r="E669">
        <v>202016.79228655109</v>
      </c>
      <c r="F669">
        <v>49985.777927530464</v>
      </c>
      <c r="G669">
        <v>10000</v>
      </c>
      <c r="H669">
        <v>-10000</v>
      </c>
      <c r="I669">
        <v>30.749885890005</v>
      </c>
    </row>
    <row r="670" spans="1:9" x14ac:dyDescent="0.2">
      <c r="A670">
        <v>660</v>
      </c>
      <c r="B670">
        <v>1058316.916174181</v>
      </c>
      <c r="C670">
        <v>107934.13991870749</v>
      </c>
      <c r="D670">
        <v>74946.54836421326</v>
      </c>
      <c r="E670">
        <v>77715.974573070736</v>
      </c>
      <c r="F670">
        <v>41380.336701212589</v>
      </c>
      <c r="G670">
        <v>10000</v>
      </c>
      <c r="H670">
        <v>-10000</v>
      </c>
      <c r="I670">
        <v>32.947605053983061</v>
      </c>
    </row>
    <row r="671" spans="1:9" x14ac:dyDescent="0.2">
      <c r="A671">
        <v>661</v>
      </c>
      <c r="B671">
        <v>1393251.1742378906</v>
      </c>
      <c r="C671">
        <v>104484.95194823355</v>
      </c>
      <c r="D671">
        <v>89635.738498890991</v>
      </c>
      <c r="E671">
        <v>153053.42368118238</v>
      </c>
      <c r="F671">
        <v>46596.006254851083</v>
      </c>
      <c r="G671">
        <v>10000</v>
      </c>
      <c r="H671">
        <v>-10000</v>
      </c>
      <c r="I671">
        <v>34.961480944737225</v>
      </c>
    </row>
    <row r="672" spans="1:9" x14ac:dyDescent="0.2">
      <c r="A672">
        <v>662</v>
      </c>
      <c r="B672">
        <v>1027332.9957787693</v>
      </c>
      <c r="C672">
        <v>119058.11225391207</v>
      </c>
      <c r="D672">
        <v>81556.620838377217</v>
      </c>
      <c r="E672">
        <v>53188.440558875511</v>
      </c>
      <c r="F672">
        <v>39682.276654075999</v>
      </c>
      <c r="G672">
        <v>10000</v>
      </c>
      <c r="H672">
        <v>-10000</v>
      </c>
      <c r="I672">
        <v>30.451333476975933</v>
      </c>
    </row>
    <row r="673" spans="1:9" x14ac:dyDescent="0.2">
      <c r="A673">
        <v>663</v>
      </c>
      <c r="B673">
        <v>1548481.5656098605</v>
      </c>
      <c r="C673">
        <v>98269.307465031219</v>
      </c>
      <c r="D673">
        <v>90255.607357679823</v>
      </c>
      <c r="E673">
        <v>198075.22736876257</v>
      </c>
      <c r="F673">
        <v>49712.900356298946</v>
      </c>
      <c r="G673">
        <v>10000</v>
      </c>
      <c r="H673">
        <v>-10000</v>
      </c>
      <c r="I673">
        <v>25.492321847636116</v>
      </c>
    </row>
    <row r="674" spans="1:9" x14ac:dyDescent="0.2">
      <c r="A674">
        <v>664</v>
      </c>
      <c r="B674">
        <v>920072.48274870054</v>
      </c>
      <c r="C674">
        <v>84094.017981171535</v>
      </c>
      <c r="D674">
        <v>115750.40169876305</v>
      </c>
      <c r="E674">
        <v>26416.07668317678</v>
      </c>
      <c r="F674">
        <v>37828.805308835312</v>
      </c>
      <c r="G674">
        <v>10000</v>
      </c>
      <c r="H674">
        <v>-10000</v>
      </c>
      <c r="I674">
        <v>32.837954919031688</v>
      </c>
    </row>
    <row r="675" spans="1:9" x14ac:dyDescent="0.2">
      <c r="A675">
        <v>665</v>
      </c>
      <c r="B675">
        <v>1399732.2513363634</v>
      </c>
      <c r="C675">
        <v>134904.85422738723</v>
      </c>
      <c r="D675">
        <v>142705.91057491925</v>
      </c>
      <c r="E675">
        <v>76630.398240590788</v>
      </c>
      <c r="F675">
        <v>41305.181416656291</v>
      </c>
      <c r="G675">
        <v>10000</v>
      </c>
      <c r="H675">
        <v>-10000</v>
      </c>
      <c r="I675">
        <v>35.499171012346252</v>
      </c>
    </row>
    <row r="676" spans="1:9" x14ac:dyDescent="0.2">
      <c r="A676">
        <v>666</v>
      </c>
      <c r="B676">
        <v>1104472.9711507037</v>
      </c>
      <c r="C676">
        <v>148179.54264186361</v>
      </c>
      <c r="D676">
        <v>67433.06264975993</v>
      </c>
      <c r="E676">
        <v>58934.018321545722</v>
      </c>
      <c r="F676">
        <v>40080.047422260861</v>
      </c>
      <c r="G676">
        <v>10000</v>
      </c>
      <c r="H676">
        <v>-10000</v>
      </c>
      <c r="I676">
        <v>37.786799161506252</v>
      </c>
    </row>
    <row r="677" spans="1:9" x14ac:dyDescent="0.2">
      <c r="A677">
        <v>667</v>
      </c>
      <c r="B677">
        <v>761861.80875480222</v>
      </c>
      <c r="C677">
        <v>101831.45307022218</v>
      </c>
      <c r="D677">
        <v>47115.599579685688</v>
      </c>
      <c r="E677">
        <v>33465.68616896226</v>
      </c>
      <c r="F677">
        <v>38316.855196312776</v>
      </c>
      <c r="G677">
        <v>10000</v>
      </c>
      <c r="H677">
        <v>-10000</v>
      </c>
      <c r="I677">
        <v>27.29070071861489</v>
      </c>
    </row>
    <row r="678" spans="1:9" x14ac:dyDescent="0.2">
      <c r="A678">
        <v>668</v>
      </c>
      <c r="B678">
        <v>1203366.7501814179</v>
      </c>
      <c r="C678">
        <v>114192.59821325142</v>
      </c>
      <c r="D678">
        <v>38866.618882127026</v>
      </c>
      <c r="E678">
        <v>142785.44343829283</v>
      </c>
      <c r="F678">
        <v>45885.14608418951</v>
      </c>
      <c r="G678">
        <v>10000</v>
      </c>
      <c r="H678">
        <v>-10000</v>
      </c>
      <c r="I678">
        <v>38.194185518272718</v>
      </c>
    </row>
    <row r="679" spans="1:9" x14ac:dyDescent="0.2">
      <c r="A679">
        <v>669</v>
      </c>
      <c r="B679">
        <v>1719842.2350263596</v>
      </c>
      <c r="C679">
        <v>111343.24539073248</v>
      </c>
      <c r="D679">
        <v>150414.80862371012</v>
      </c>
      <c r="E679">
        <v>173506.62740918915</v>
      </c>
      <c r="F679">
        <v>48011.997282174634</v>
      </c>
      <c r="G679">
        <v>10000</v>
      </c>
      <c r="H679">
        <v>-10000</v>
      </c>
      <c r="I679">
        <v>35.375392756413163</v>
      </c>
    </row>
    <row r="680" spans="1:9" x14ac:dyDescent="0.2">
      <c r="A680">
        <v>670</v>
      </c>
      <c r="B680">
        <v>1269624.2376541474</v>
      </c>
      <c r="C680">
        <v>119015.62742259727</v>
      </c>
      <c r="D680">
        <v>35036.813487854859</v>
      </c>
      <c r="E680">
        <v>158839.51618606635</v>
      </c>
      <c r="F680">
        <v>46996.581889804598</v>
      </c>
      <c r="G680">
        <v>10000</v>
      </c>
      <c r="H680">
        <v>-10000</v>
      </c>
      <c r="I680">
        <v>29.700414568783454</v>
      </c>
    </row>
    <row r="681" spans="1:9" x14ac:dyDescent="0.2">
      <c r="A681">
        <v>671</v>
      </c>
      <c r="B681">
        <v>983466.66049279075</v>
      </c>
      <c r="C681">
        <v>84405.573864149672</v>
      </c>
      <c r="D681">
        <v>113001.54407056695</v>
      </c>
      <c r="E681">
        <v>44944.636789478674</v>
      </c>
      <c r="F681">
        <v>39111.551777733141</v>
      </c>
      <c r="G681">
        <v>10000</v>
      </c>
      <c r="H681">
        <v>-10000</v>
      </c>
      <c r="I681">
        <v>32.678070762777111</v>
      </c>
    </row>
    <row r="682" spans="1:9" x14ac:dyDescent="0.2">
      <c r="A682">
        <v>672</v>
      </c>
      <c r="B682">
        <v>1637875.800173773</v>
      </c>
      <c r="C682">
        <v>89195.168900735283</v>
      </c>
      <c r="D682">
        <v>122615.43385317807</v>
      </c>
      <c r="E682">
        <v>199210.59784974178</v>
      </c>
      <c r="F682">
        <v>49791.502928059039</v>
      </c>
      <c r="G682">
        <v>10000</v>
      </c>
      <c r="H682">
        <v>-10000</v>
      </c>
      <c r="I682">
        <v>52.445660397618013</v>
      </c>
    </row>
    <row r="683" spans="1:9" x14ac:dyDescent="0.2">
      <c r="A683">
        <v>673</v>
      </c>
      <c r="B683">
        <v>1768248.4863097467</v>
      </c>
      <c r="C683">
        <v>100105.48928665966</v>
      </c>
      <c r="D683">
        <v>152642.58707327626</v>
      </c>
      <c r="E683">
        <v>194340.61904847453</v>
      </c>
      <c r="F683">
        <v>49454.350549509778</v>
      </c>
      <c r="G683">
        <v>10000</v>
      </c>
      <c r="H683">
        <v>-10000</v>
      </c>
      <c r="I683">
        <v>52.713686746456688</v>
      </c>
    </row>
    <row r="684" spans="1:9" x14ac:dyDescent="0.2">
      <c r="A684">
        <v>674</v>
      </c>
      <c r="B684">
        <v>1698743.5533619388</v>
      </c>
      <c r="C684">
        <v>156547.95637579408</v>
      </c>
      <c r="D684">
        <v>64651.003623711338</v>
      </c>
      <c r="E684">
        <v>206031.62100987576</v>
      </c>
      <c r="F684">
        <v>50263.727608376015</v>
      </c>
      <c r="G684">
        <v>10000</v>
      </c>
      <c r="H684">
        <v>-10000</v>
      </c>
      <c r="I684">
        <v>34.306120665145585</v>
      </c>
    </row>
    <row r="685" spans="1:9" x14ac:dyDescent="0.2">
      <c r="A685">
        <v>675</v>
      </c>
      <c r="B685">
        <v>1580000.4318946153</v>
      </c>
      <c r="C685">
        <v>131282.0373516175</v>
      </c>
      <c r="D685">
        <v>126017.00428083981</v>
      </c>
      <c r="E685">
        <v>141832.95454990581</v>
      </c>
      <c r="F685">
        <v>45819.204545762703</v>
      </c>
      <c r="G685">
        <v>10000</v>
      </c>
      <c r="H685">
        <v>-10000</v>
      </c>
      <c r="I685">
        <v>37.999769296320949</v>
      </c>
    </row>
    <row r="686" spans="1:9" x14ac:dyDescent="0.2">
      <c r="A686">
        <v>676</v>
      </c>
      <c r="B686">
        <v>1761887.2037332102</v>
      </c>
      <c r="C686">
        <v>125931.51312454171</v>
      </c>
      <c r="D686">
        <v>164898.71046483453</v>
      </c>
      <c r="E686">
        <v>157093.71109003012</v>
      </c>
      <c r="F686">
        <v>46875.718460079013</v>
      </c>
      <c r="G686">
        <v>10000</v>
      </c>
      <c r="H686">
        <v>-10000</v>
      </c>
      <c r="I686">
        <v>36.671447530563412</v>
      </c>
    </row>
    <row r="687" spans="1:9" x14ac:dyDescent="0.2">
      <c r="A687">
        <v>677</v>
      </c>
      <c r="B687">
        <v>1246070.7700560677</v>
      </c>
      <c r="C687">
        <v>142920.27138053777</v>
      </c>
      <c r="D687">
        <v>55339.748785344796</v>
      </c>
      <c r="E687">
        <v>111457.12031560448</v>
      </c>
      <c r="F687">
        <v>43716.262175695694</v>
      </c>
      <c r="G687">
        <v>10000</v>
      </c>
      <c r="H687">
        <v>-10000</v>
      </c>
      <c r="I687">
        <v>42.599594858801154</v>
      </c>
    </row>
    <row r="688" spans="1:9" x14ac:dyDescent="0.2">
      <c r="A688">
        <v>678</v>
      </c>
      <c r="B688">
        <v>1089105.5404638143</v>
      </c>
      <c r="C688">
        <v>98743.651916292103</v>
      </c>
      <c r="D688">
        <v>111031.69995639221</v>
      </c>
      <c r="E688">
        <v>60454.370880998802</v>
      </c>
      <c r="F688">
        <v>40185.302599453767</v>
      </c>
      <c r="G688">
        <v>10000</v>
      </c>
      <c r="H688">
        <v>-10000</v>
      </c>
      <c r="I688">
        <v>41.049558126643674</v>
      </c>
    </row>
    <row r="689" spans="1:9" x14ac:dyDescent="0.2">
      <c r="A689">
        <v>679</v>
      </c>
      <c r="B689">
        <v>1443464.9207770897</v>
      </c>
      <c r="C689">
        <v>124601.0295287749</v>
      </c>
      <c r="D689">
        <v>60897.630225349749</v>
      </c>
      <c r="E689">
        <v>173987.88080776786</v>
      </c>
      <c r="F689">
        <v>48045.31482515316</v>
      </c>
      <c r="G689">
        <v>10000</v>
      </c>
      <c r="H689">
        <v>-10000</v>
      </c>
      <c r="I689">
        <v>30.950024052967553</v>
      </c>
    </row>
    <row r="690" spans="1:9" x14ac:dyDescent="0.2">
      <c r="A690">
        <v>680</v>
      </c>
      <c r="B690">
        <v>1108920.5447671402</v>
      </c>
      <c r="C690">
        <v>130917.29689466239</v>
      </c>
      <c r="D690">
        <v>115450.23283065102</v>
      </c>
      <c r="E690">
        <v>31310.413133618909</v>
      </c>
      <c r="F690">
        <v>38167.643986173622</v>
      </c>
      <c r="G690">
        <v>10000</v>
      </c>
      <c r="H690">
        <v>-10000</v>
      </c>
      <c r="I690">
        <v>50.142822866049627</v>
      </c>
    </row>
    <row r="691" spans="1:9" x14ac:dyDescent="0.2">
      <c r="A691">
        <v>681</v>
      </c>
      <c r="B691">
        <v>1396323.6422341031</v>
      </c>
      <c r="C691">
        <v>152025.76543285756</v>
      </c>
      <c r="D691">
        <v>100905.56826092438</v>
      </c>
      <c r="E691">
        <v>98838.192682147244</v>
      </c>
      <c r="F691">
        <v>42842.644108764041</v>
      </c>
      <c r="G691">
        <v>10000</v>
      </c>
      <c r="H691">
        <v>-10000</v>
      </c>
      <c r="I691">
        <v>26.572695290623059</v>
      </c>
    </row>
    <row r="692" spans="1:9" x14ac:dyDescent="0.2">
      <c r="A692">
        <v>682</v>
      </c>
      <c r="B692">
        <v>1299335.0753894441</v>
      </c>
      <c r="C692">
        <v>80731.533903124713</v>
      </c>
      <c r="D692">
        <v>153691.49025973122</v>
      </c>
      <c r="E692">
        <v>91288.206348717998</v>
      </c>
      <c r="F692">
        <v>42319.952747218944</v>
      </c>
      <c r="G692">
        <v>10000</v>
      </c>
      <c r="H692">
        <v>-10000</v>
      </c>
      <c r="I692">
        <v>36.596142561591201</v>
      </c>
    </row>
    <row r="693" spans="1:9" x14ac:dyDescent="0.2">
      <c r="A693">
        <v>683</v>
      </c>
      <c r="B693">
        <v>1050643.1360664919</v>
      </c>
      <c r="C693">
        <v>81477.777536904599</v>
      </c>
      <c r="D693">
        <v>124629.96363043318</v>
      </c>
      <c r="E693">
        <v>54025.903567834561</v>
      </c>
      <c r="F693">
        <v>39740.254862388545</v>
      </c>
      <c r="G693">
        <v>10000</v>
      </c>
      <c r="H693">
        <v>-10000</v>
      </c>
      <c r="I693">
        <v>34.007204313784271</v>
      </c>
    </row>
    <row r="694" spans="1:9" x14ac:dyDescent="0.2">
      <c r="A694">
        <v>684</v>
      </c>
      <c r="B694">
        <v>1649922.7665578653</v>
      </c>
      <c r="C694">
        <v>149002.45919803009</v>
      </c>
      <c r="D694">
        <v>68408.715056063069</v>
      </c>
      <c r="E694">
        <v>197060.50768962337</v>
      </c>
      <c r="F694">
        <v>49642.650532358537</v>
      </c>
      <c r="G694">
        <v>10000</v>
      </c>
      <c r="H694">
        <v>-10000</v>
      </c>
      <c r="I694">
        <v>29.20741775671193</v>
      </c>
    </row>
    <row r="695" spans="1:9" x14ac:dyDescent="0.2">
      <c r="A695">
        <v>685</v>
      </c>
      <c r="B695">
        <v>1185471.9474420163</v>
      </c>
      <c r="C695">
        <v>113533.58730329305</v>
      </c>
      <c r="D695">
        <v>104028.40526512668</v>
      </c>
      <c r="E695">
        <v>77872.346499399238</v>
      </c>
      <c r="F695">
        <v>41391.162449958407</v>
      </c>
      <c r="G695">
        <v>10000</v>
      </c>
      <c r="H695">
        <v>-10000</v>
      </c>
      <c r="I695">
        <v>37.378873209629674</v>
      </c>
    </row>
    <row r="696" spans="1:9" x14ac:dyDescent="0.2">
      <c r="A696">
        <v>686</v>
      </c>
      <c r="B696">
        <v>1430280.8565854908</v>
      </c>
      <c r="C696">
        <v>111511.77628196978</v>
      </c>
      <c r="D696">
        <v>79264.488117925925</v>
      </c>
      <c r="E696">
        <v>165672.67851906247</v>
      </c>
      <c r="F696">
        <v>47469.64697439663</v>
      </c>
      <c r="G696">
        <v>10000</v>
      </c>
      <c r="H696">
        <v>-10000</v>
      </c>
      <c r="I696">
        <v>43.937231225110409</v>
      </c>
    </row>
    <row r="697" spans="1:9" x14ac:dyDescent="0.2">
      <c r="A697">
        <v>687</v>
      </c>
      <c r="B697">
        <v>1441300.9029438649</v>
      </c>
      <c r="C697">
        <v>134867.12471012527</v>
      </c>
      <c r="D697">
        <v>63839.678013058066</v>
      </c>
      <c r="E697">
        <v>161080.26460317918</v>
      </c>
      <c r="F697">
        <v>47151.710626373948</v>
      </c>
      <c r="G697">
        <v>10000</v>
      </c>
      <c r="H697">
        <v>-10000</v>
      </c>
      <c r="I697">
        <v>40.103778635225702</v>
      </c>
    </row>
    <row r="698" spans="1:9" x14ac:dyDescent="0.2">
      <c r="A698">
        <v>688</v>
      </c>
      <c r="B698">
        <v>1363456.9127867057</v>
      </c>
      <c r="C698">
        <v>146136.11214341727</v>
      </c>
      <c r="D698">
        <v>50521.46863538005</v>
      </c>
      <c r="E698">
        <v>143043.98673430746</v>
      </c>
      <c r="F698">
        <v>45903.045235452053</v>
      </c>
      <c r="G698">
        <v>10000</v>
      </c>
      <c r="H698">
        <v>-10000</v>
      </c>
      <c r="I698">
        <v>42.682618843163951</v>
      </c>
    </row>
    <row r="699" spans="1:9" x14ac:dyDescent="0.2">
      <c r="A699">
        <v>689</v>
      </c>
      <c r="B699">
        <v>1210683.0645328085</v>
      </c>
      <c r="C699">
        <v>148040.34405678266</v>
      </c>
      <c r="D699">
        <v>41457.642324141416</v>
      </c>
      <c r="E699">
        <v>110581.32203638178</v>
      </c>
      <c r="F699">
        <v>43655.629987134118</v>
      </c>
      <c r="G699">
        <v>10000</v>
      </c>
      <c r="H699">
        <v>-10000</v>
      </c>
      <c r="I699">
        <v>36.716725809043069</v>
      </c>
    </row>
    <row r="700" spans="1:9" x14ac:dyDescent="0.2">
      <c r="A700">
        <v>690</v>
      </c>
      <c r="B700">
        <v>781377.74680436193</v>
      </c>
      <c r="C700">
        <v>80206.847280827424</v>
      </c>
      <c r="D700">
        <v>57949.105348919285</v>
      </c>
      <c r="E700">
        <v>48560.368207844229</v>
      </c>
      <c r="F700">
        <v>39361.871645158448</v>
      </c>
      <c r="G700">
        <v>10000</v>
      </c>
      <c r="H700">
        <v>-10000</v>
      </c>
      <c r="I700">
        <v>33.980239356446162</v>
      </c>
    </row>
    <row r="701" spans="1:9" x14ac:dyDescent="0.2">
      <c r="A701">
        <v>691</v>
      </c>
      <c r="B701">
        <v>1012274.6364924849</v>
      </c>
      <c r="C701">
        <v>109859.03967805114</v>
      </c>
      <c r="D701">
        <v>79211.547955572489</v>
      </c>
      <c r="E701">
        <v>60125.394727957908</v>
      </c>
      <c r="F701">
        <v>40162.52732732016</v>
      </c>
      <c r="G701">
        <v>10000</v>
      </c>
      <c r="H701">
        <v>-10000</v>
      </c>
      <c r="I701">
        <v>32.752945375493624</v>
      </c>
    </row>
    <row r="702" spans="1:9" x14ac:dyDescent="0.2">
      <c r="A702">
        <v>692</v>
      </c>
      <c r="B702">
        <v>891116.04985059774</v>
      </c>
      <c r="C702">
        <v>107927.00072356971</v>
      </c>
      <c r="D702">
        <v>49449.870294322194</v>
      </c>
      <c r="E702">
        <v>58711.872792956099</v>
      </c>
      <c r="F702">
        <v>40064.668116435423</v>
      </c>
      <c r="G702">
        <v>10000</v>
      </c>
      <c r="H702">
        <v>-10000</v>
      </c>
      <c r="I702">
        <v>32.827426790109662</v>
      </c>
    </row>
    <row r="703" spans="1:9" x14ac:dyDescent="0.2">
      <c r="A703">
        <v>693</v>
      </c>
      <c r="B703">
        <v>1135548.1300423304</v>
      </c>
      <c r="C703">
        <v>126703.56529129238</v>
      </c>
      <c r="D703">
        <v>86534.755725129493</v>
      </c>
      <c r="E703">
        <v>69119.694740162056</v>
      </c>
      <c r="F703">
        <v>40785.209635857376</v>
      </c>
      <c r="G703">
        <v>10000</v>
      </c>
      <c r="H703">
        <v>-10000</v>
      </c>
      <c r="I703">
        <v>34.093061092593942</v>
      </c>
    </row>
    <row r="704" spans="1:9" x14ac:dyDescent="0.2">
      <c r="A704">
        <v>694</v>
      </c>
      <c r="B704">
        <v>1425981.358511616</v>
      </c>
      <c r="C704">
        <v>114992.55027674547</v>
      </c>
      <c r="D704">
        <v>70970.851602359995</v>
      </c>
      <c r="E704">
        <v>169071.87807245163</v>
      </c>
      <c r="F704">
        <v>47704.976174246651</v>
      </c>
      <c r="G704">
        <v>10000</v>
      </c>
      <c r="H704">
        <v>-10000</v>
      </c>
      <c r="I704">
        <v>35.672356881130057</v>
      </c>
    </row>
    <row r="705" spans="1:9" x14ac:dyDescent="0.2">
      <c r="A705">
        <v>695</v>
      </c>
      <c r="B705">
        <v>988476.70949107711</v>
      </c>
      <c r="C705">
        <v>138215.92943665065</v>
      </c>
      <c r="D705">
        <v>54487.342610158405</v>
      </c>
      <c r="E705">
        <v>50628.082888194884</v>
      </c>
      <c r="F705">
        <v>39505.021123028877</v>
      </c>
      <c r="G705">
        <v>10000</v>
      </c>
      <c r="H705">
        <v>-10000</v>
      </c>
      <c r="I705">
        <v>45.369618267782741</v>
      </c>
    </row>
    <row r="706" spans="1:9" x14ac:dyDescent="0.2">
      <c r="A706">
        <v>696</v>
      </c>
      <c r="B706">
        <v>1525850.7502858564</v>
      </c>
      <c r="C706">
        <v>161050.82540867449</v>
      </c>
      <c r="D706">
        <v>50787.720975867436</v>
      </c>
      <c r="E706">
        <v>170470.42604940064</v>
      </c>
      <c r="F706">
        <v>47801.798726496971</v>
      </c>
      <c r="G706">
        <v>10000</v>
      </c>
      <c r="H706">
        <v>-10000</v>
      </c>
      <c r="I706">
        <v>43.711613536697449</v>
      </c>
    </row>
    <row r="707" spans="1:9" x14ac:dyDescent="0.2">
      <c r="A707">
        <v>697</v>
      </c>
      <c r="B707">
        <v>987338.36225249758</v>
      </c>
      <c r="C707">
        <v>78852.444269371452</v>
      </c>
      <c r="D707">
        <v>54302.772805889676</v>
      </c>
      <c r="E707">
        <v>106028.72950621312</v>
      </c>
      <c r="F707">
        <v>43340.450504276298</v>
      </c>
      <c r="G707">
        <v>10000</v>
      </c>
      <c r="H707">
        <v>-10000</v>
      </c>
      <c r="I707">
        <v>32.442808344174296</v>
      </c>
    </row>
    <row r="708" spans="1:9" x14ac:dyDescent="0.2">
      <c r="A708">
        <v>698</v>
      </c>
      <c r="B708">
        <v>1564692.1576592401</v>
      </c>
      <c r="C708">
        <v>130090.3867023662</v>
      </c>
      <c r="D708">
        <v>81543.842323930934</v>
      </c>
      <c r="E708">
        <v>180617.26633523387</v>
      </c>
      <c r="F708">
        <v>48504.272284746963</v>
      </c>
      <c r="G708">
        <v>10000</v>
      </c>
      <c r="H708">
        <v>-10000</v>
      </c>
      <c r="I708">
        <v>44.700713814686708</v>
      </c>
    </row>
    <row r="709" spans="1:9" x14ac:dyDescent="0.2">
      <c r="A709">
        <v>699</v>
      </c>
      <c r="B709">
        <v>1642416.3996617291</v>
      </c>
      <c r="C709">
        <v>139426.65790664472</v>
      </c>
      <c r="D709">
        <v>75836.451260626462</v>
      </c>
      <c r="E709">
        <v>197145.47242634316</v>
      </c>
      <c r="F709">
        <v>49648.532706439139</v>
      </c>
      <c r="G709">
        <v>10000</v>
      </c>
      <c r="H709">
        <v>-10000</v>
      </c>
      <c r="I709">
        <v>31.57771327817359</v>
      </c>
    </row>
    <row r="710" spans="1:9" x14ac:dyDescent="0.2">
      <c r="A710">
        <v>700</v>
      </c>
      <c r="B710">
        <v>1283921.7624067073</v>
      </c>
      <c r="C710">
        <v>92731.783489875583</v>
      </c>
      <c r="D710">
        <v>115506.88236597771</v>
      </c>
      <c r="E710">
        <v>111826.46489163782</v>
      </c>
      <c r="F710">
        <v>43741.832184805695</v>
      </c>
      <c r="G710">
        <v>10000</v>
      </c>
      <c r="H710">
        <v>-10000</v>
      </c>
      <c r="I710">
        <v>31.472272990213121</v>
      </c>
    </row>
    <row r="711" spans="1:9" x14ac:dyDescent="0.2">
      <c r="A711">
        <v>701</v>
      </c>
      <c r="B711">
        <v>1477917.4285223773</v>
      </c>
      <c r="C711">
        <v>142729.34593528163</v>
      </c>
      <c r="D711">
        <v>48772.642276987935</v>
      </c>
      <c r="E711">
        <v>177204.05517542522</v>
      </c>
      <c r="F711">
        <v>48267.973050606357</v>
      </c>
      <c r="G711">
        <v>10000</v>
      </c>
      <c r="H711">
        <v>-10000</v>
      </c>
      <c r="I711">
        <v>33.667488320825477</v>
      </c>
    </row>
    <row r="712" spans="1:9" x14ac:dyDescent="0.2">
      <c r="A712">
        <v>702</v>
      </c>
      <c r="B712">
        <v>1835604.1927663551</v>
      </c>
      <c r="C712">
        <v>153451.11306197997</v>
      </c>
      <c r="D712">
        <v>112678.39399894679</v>
      </c>
      <c r="E712">
        <v>199090.09232593587</v>
      </c>
      <c r="F712">
        <v>49783.160237949407</v>
      </c>
      <c r="G712">
        <v>10000</v>
      </c>
      <c r="H712">
        <v>-10000</v>
      </c>
      <c r="I712">
        <v>33.836287273456591</v>
      </c>
    </row>
    <row r="713" spans="1:9" x14ac:dyDescent="0.2">
      <c r="A713">
        <v>703</v>
      </c>
      <c r="B713">
        <v>1336078.3735377204</v>
      </c>
      <c r="C713">
        <v>99114.901029245244</v>
      </c>
      <c r="D713">
        <v>100331.73779965828</v>
      </c>
      <c r="E713">
        <v>133417.90257444495</v>
      </c>
      <c r="F713">
        <v>45236.624024384648</v>
      </c>
      <c r="G713">
        <v>10000</v>
      </c>
      <c r="H713">
        <v>-10000</v>
      </c>
      <c r="I713">
        <v>45.754730823687687</v>
      </c>
    </row>
    <row r="714" spans="1:9" x14ac:dyDescent="0.2">
      <c r="A714">
        <v>704</v>
      </c>
      <c r="B714">
        <v>1706292.1428886284</v>
      </c>
      <c r="C714">
        <v>141945.71214591421</v>
      </c>
      <c r="D714">
        <v>158736.21701494057</v>
      </c>
      <c r="E714">
        <v>133629.87056639438</v>
      </c>
      <c r="F714">
        <v>45251.298731519615</v>
      </c>
      <c r="G714">
        <v>10000</v>
      </c>
      <c r="H714">
        <v>-10000</v>
      </c>
      <c r="I714">
        <v>35.000802852011077</v>
      </c>
    </row>
    <row r="715" spans="1:9" x14ac:dyDescent="0.2">
      <c r="A715">
        <v>705</v>
      </c>
      <c r="B715">
        <v>1418390.4000099003</v>
      </c>
      <c r="C715">
        <v>102655.85723907688</v>
      </c>
      <c r="D715">
        <v>89906.761394397356</v>
      </c>
      <c r="E715">
        <v>160954.24938296442</v>
      </c>
      <c r="F715">
        <v>47142.986495743688</v>
      </c>
      <c r="G715">
        <v>10000</v>
      </c>
      <c r="H715">
        <v>-10000</v>
      </c>
      <c r="I715">
        <v>31.485536346916252</v>
      </c>
    </row>
    <row r="716" spans="1:9" x14ac:dyDescent="0.2">
      <c r="A716">
        <v>706</v>
      </c>
      <c r="B716">
        <v>1434571.8643245231</v>
      </c>
      <c r="C716">
        <v>124621.72599345619</v>
      </c>
      <c r="D716">
        <v>70986.523760690528</v>
      </c>
      <c r="E716">
        <v>162253.41807558388</v>
      </c>
      <c r="F716">
        <v>47232.928943694264</v>
      </c>
      <c r="G716">
        <v>10000</v>
      </c>
      <c r="H716">
        <v>-10000</v>
      </c>
      <c r="I716">
        <v>40.025736078701073</v>
      </c>
    </row>
    <row r="717" spans="1:9" x14ac:dyDescent="0.2">
      <c r="A717">
        <v>707</v>
      </c>
      <c r="B717">
        <v>883532.9506379785</v>
      </c>
      <c r="C717">
        <v>135574.32049157863</v>
      </c>
      <c r="D717">
        <v>37359.202950931205</v>
      </c>
      <c r="E717">
        <v>42218.800759686666</v>
      </c>
      <c r="F717">
        <v>38922.840052593696</v>
      </c>
      <c r="G717">
        <v>10000</v>
      </c>
      <c r="H717">
        <v>-10000</v>
      </c>
      <c r="I717">
        <v>37.666368366281503</v>
      </c>
    </row>
    <row r="718" spans="1:9" x14ac:dyDescent="0.2">
      <c r="A718">
        <v>708</v>
      </c>
      <c r="B718">
        <v>1011411.6053204963</v>
      </c>
      <c r="C718">
        <v>129972.25991918269</v>
      </c>
      <c r="D718">
        <v>88582.809023943322</v>
      </c>
      <c r="E718">
        <v>32328.770124019269</v>
      </c>
      <c r="F718">
        <v>38238.145623970566</v>
      </c>
      <c r="G718">
        <v>10000</v>
      </c>
      <c r="H718">
        <v>-10000</v>
      </c>
      <c r="I718">
        <v>25.864453488492547</v>
      </c>
    </row>
    <row r="719" spans="1:9" x14ac:dyDescent="0.2">
      <c r="A719">
        <v>709</v>
      </c>
      <c r="B719">
        <v>1329755.505718024</v>
      </c>
      <c r="C719">
        <v>70381.926968349522</v>
      </c>
      <c r="D719">
        <v>73845.010459744954</v>
      </c>
      <c r="E719">
        <v>183441.56275041646</v>
      </c>
      <c r="F719">
        <v>48699.80049810576</v>
      </c>
      <c r="G719">
        <v>10000</v>
      </c>
      <c r="H719">
        <v>-10000</v>
      </c>
      <c r="I719">
        <v>35.85313462788212</v>
      </c>
    </row>
    <row r="720" spans="1:9" x14ac:dyDescent="0.2">
      <c r="A720">
        <v>710</v>
      </c>
      <c r="B720">
        <v>1726243.065999144</v>
      </c>
      <c r="C720">
        <v>128085.06100995842</v>
      </c>
      <c r="D720">
        <v>112143.29956371484</v>
      </c>
      <c r="E720">
        <v>195282.96015726659</v>
      </c>
      <c r="F720">
        <v>49519.589549349221</v>
      </c>
      <c r="G720">
        <v>10000</v>
      </c>
      <c r="H720">
        <v>-10000</v>
      </c>
      <c r="I720">
        <v>36.26557330264545</v>
      </c>
    </row>
    <row r="721" spans="1:9" x14ac:dyDescent="0.2">
      <c r="A721">
        <v>711</v>
      </c>
      <c r="B721">
        <v>1074338.7810565135</v>
      </c>
      <c r="C721">
        <v>168518.32320675976</v>
      </c>
      <c r="D721">
        <v>60899.572896595848</v>
      </c>
      <c r="E721">
        <v>38298.65972664798</v>
      </c>
      <c r="F721">
        <v>38651.445673383321</v>
      </c>
      <c r="G721">
        <v>10000</v>
      </c>
      <c r="H721">
        <v>-10000</v>
      </c>
      <c r="I721">
        <v>28.935947015422286</v>
      </c>
    </row>
    <row r="722" spans="1:9" x14ac:dyDescent="0.2">
      <c r="A722">
        <v>712</v>
      </c>
      <c r="B722">
        <v>1142965.7672478091</v>
      </c>
      <c r="C722">
        <v>78887.35582141632</v>
      </c>
      <c r="D722">
        <v>58702.507497762192</v>
      </c>
      <c r="E722">
        <v>141771.32484161298</v>
      </c>
      <c r="F722">
        <v>45814.937873650124</v>
      </c>
      <c r="G722">
        <v>10000</v>
      </c>
      <c r="H722">
        <v>-10000</v>
      </c>
      <c r="I722">
        <v>29.222715322414594</v>
      </c>
    </row>
    <row r="723" spans="1:9" x14ac:dyDescent="0.2">
      <c r="A723">
        <v>713</v>
      </c>
      <c r="B723">
        <v>1274007.6169254156</v>
      </c>
      <c r="C723">
        <v>84387.7809807679</v>
      </c>
      <c r="D723">
        <v>36785.770992237995</v>
      </c>
      <c r="E723">
        <v>190713.09523621461</v>
      </c>
      <c r="F723">
        <v>49203.214285584087</v>
      </c>
      <c r="G723">
        <v>10000</v>
      </c>
      <c r="H723">
        <v>-10000</v>
      </c>
      <c r="I723">
        <v>40.374365202033623</v>
      </c>
    </row>
    <row r="724" spans="1:9" x14ac:dyDescent="0.2">
      <c r="A724">
        <v>714</v>
      </c>
      <c r="B724">
        <v>1212767.6396983943</v>
      </c>
      <c r="C724">
        <v>114977.48529004249</v>
      </c>
      <c r="D724">
        <v>104567.4106431665</v>
      </c>
      <c r="E724">
        <v>83014.209987323644</v>
      </c>
      <c r="F724">
        <v>41747.137614507024</v>
      </c>
      <c r="G724">
        <v>10000</v>
      </c>
      <c r="H724">
        <v>-10000</v>
      </c>
      <c r="I724">
        <v>39.958089180408784</v>
      </c>
    </row>
    <row r="725" spans="1:9" x14ac:dyDescent="0.2">
      <c r="A725">
        <v>715</v>
      </c>
      <c r="B725">
        <v>1556567.4155486214</v>
      </c>
      <c r="C725">
        <v>104898.34245800049</v>
      </c>
      <c r="D725">
        <v>116086.58636713932</v>
      </c>
      <c r="E725">
        <v>169789.48982913565</v>
      </c>
      <c r="F725">
        <v>47754.656988170929</v>
      </c>
      <c r="G725">
        <v>10000</v>
      </c>
      <c r="H725">
        <v>-10000</v>
      </c>
      <c r="I725">
        <v>31.377418196860759</v>
      </c>
    </row>
    <row r="726" spans="1:9" x14ac:dyDescent="0.2">
      <c r="A726">
        <v>716</v>
      </c>
      <c r="B726">
        <v>1259190.6851298765</v>
      </c>
      <c r="C726">
        <v>107926.73277382451</v>
      </c>
      <c r="D726">
        <v>42492.702013195682</v>
      </c>
      <c r="E726">
        <v>159562.98431306408</v>
      </c>
      <c r="F726">
        <v>47046.668144750591</v>
      </c>
      <c r="G726">
        <v>10000</v>
      </c>
      <c r="H726">
        <v>-10000</v>
      </c>
      <c r="I726">
        <v>35.97729491560429</v>
      </c>
    </row>
    <row r="727" spans="1:9" x14ac:dyDescent="0.2">
      <c r="A727">
        <v>717</v>
      </c>
      <c r="B727">
        <v>1366348.4062200435</v>
      </c>
      <c r="C727">
        <v>164981.80618529944</v>
      </c>
      <c r="D727">
        <v>117541.71084934684</v>
      </c>
      <c r="E727">
        <v>63478.857248637061</v>
      </c>
      <c r="F727">
        <v>40394.690117213337</v>
      </c>
      <c r="G727">
        <v>10000</v>
      </c>
      <c r="H727">
        <v>-10000</v>
      </c>
      <c r="I727">
        <v>34.691394248421233</v>
      </c>
    </row>
    <row r="728" spans="1:9" x14ac:dyDescent="0.2">
      <c r="A728">
        <v>718</v>
      </c>
      <c r="B728">
        <v>1501714.5771448703</v>
      </c>
      <c r="C728">
        <v>125201.24111026588</v>
      </c>
      <c r="D728">
        <v>135279.59552122062</v>
      </c>
      <c r="E728">
        <v>118791.10082487017</v>
      </c>
      <c r="F728">
        <v>44223.999287875624</v>
      </c>
      <c r="G728">
        <v>10000</v>
      </c>
      <c r="H728">
        <v>-10000</v>
      </c>
      <c r="I728">
        <v>33.925450301674239</v>
      </c>
    </row>
    <row r="729" spans="1:9" x14ac:dyDescent="0.2">
      <c r="A729">
        <v>719</v>
      </c>
      <c r="B729">
        <v>965934.09622989292</v>
      </c>
      <c r="C729">
        <v>104194.09044171724</v>
      </c>
      <c r="D729">
        <v>56749.345288152173</v>
      </c>
      <c r="E729">
        <v>74553.449232367348</v>
      </c>
      <c r="F729">
        <v>41161.392639163889</v>
      </c>
      <c r="G729">
        <v>10000</v>
      </c>
      <c r="H729">
        <v>-10000</v>
      </c>
      <c r="I729">
        <v>32.854666869698761</v>
      </c>
    </row>
    <row r="730" spans="1:9" x14ac:dyDescent="0.2">
      <c r="A730">
        <v>720</v>
      </c>
      <c r="B730">
        <v>1188618.3024179395</v>
      </c>
      <c r="C730">
        <v>104324.08638292812</v>
      </c>
      <c r="D730">
        <v>120854.74334265108</v>
      </c>
      <c r="E730">
        <v>71555.153284106433</v>
      </c>
      <c r="F730">
        <v>40953.818304284294</v>
      </c>
      <c r="G730">
        <v>10000</v>
      </c>
      <c r="H730">
        <v>-10000</v>
      </c>
      <c r="I730">
        <v>34.051960706031473</v>
      </c>
    </row>
    <row r="731" spans="1:9" x14ac:dyDescent="0.2">
      <c r="A731">
        <v>721</v>
      </c>
      <c r="B731">
        <v>970402.27529249189</v>
      </c>
      <c r="C731">
        <v>110296.91691263259</v>
      </c>
      <c r="D731">
        <v>58359.221905556908</v>
      </c>
      <c r="E731">
        <v>68485.40454742586</v>
      </c>
      <c r="F731">
        <v>40741.297237898718</v>
      </c>
      <c r="G731">
        <v>10000</v>
      </c>
      <c r="H731">
        <v>-10000</v>
      </c>
      <c r="I731">
        <v>36.315849432047486</v>
      </c>
    </row>
    <row r="732" spans="1:9" x14ac:dyDescent="0.2">
      <c r="A732">
        <v>722</v>
      </c>
      <c r="B732">
        <v>1151210.1155126512</v>
      </c>
      <c r="C732">
        <v>106584.5723556139</v>
      </c>
      <c r="D732">
        <v>36318.32853367339</v>
      </c>
      <c r="E732">
        <v>138915.47181079123</v>
      </c>
      <c r="F732">
        <v>45617.22497151632</v>
      </c>
      <c r="G732">
        <v>10000</v>
      </c>
      <c r="H732">
        <v>-10000</v>
      </c>
      <c r="I732">
        <v>31.591085706877188</v>
      </c>
    </row>
    <row r="733" spans="1:9" x14ac:dyDescent="0.2">
      <c r="A733">
        <v>723</v>
      </c>
      <c r="B733">
        <v>1553020.9917483272</v>
      </c>
      <c r="C733">
        <v>112850.79195338216</v>
      </c>
      <c r="D733">
        <v>67104.290446212763</v>
      </c>
      <c r="E733">
        <v>207253.71521448571</v>
      </c>
      <c r="F733">
        <v>50348.334130233627</v>
      </c>
      <c r="G733">
        <v>10000</v>
      </c>
      <c r="H733">
        <v>-10000</v>
      </c>
      <c r="I733">
        <v>36.653693073834049</v>
      </c>
    </row>
    <row r="734" spans="1:9" x14ac:dyDescent="0.2">
      <c r="A734">
        <v>724</v>
      </c>
      <c r="B734">
        <v>1341843.854941813</v>
      </c>
      <c r="C734">
        <v>97413.426995712507</v>
      </c>
      <c r="D734">
        <v>73718.822881825443</v>
      </c>
      <c r="E734">
        <v>161376.78246659573</v>
      </c>
      <c r="F734">
        <v>47172.238786148933</v>
      </c>
      <c r="G734">
        <v>10000</v>
      </c>
      <c r="H734">
        <v>-10000</v>
      </c>
      <c r="I734">
        <v>54.330023066395533</v>
      </c>
    </row>
    <row r="735" spans="1:9" x14ac:dyDescent="0.2">
      <c r="A735">
        <v>725</v>
      </c>
      <c r="B735">
        <v>1219252.2076056886</v>
      </c>
      <c r="C735">
        <v>102092.15202706259</v>
      </c>
      <c r="D735">
        <v>77127.174416905997</v>
      </c>
      <c r="E735">
        <v>122390.8828993933</v>
      </c>
      <c r="F735">
        <v>44473.214969957997</v>
      </c>
      <c r="G735">
        <v>10000</v>
      </c>
      <c r="H735">
        <v>-10000</v>
      </c>
      <c r="I735">
        <v>34.553652622611622</v>
      </c>
    </row>
    <row r="736" spans="1:9" x14ac:dyDescent="0.2">
      <c r="A736">
        <v>726</v>
      </c>
      <c r="B736">
        <v>1177316.1361969449</v>
      </c>
      <c r="C736">
        <v>117434.95170507903</v>
      </c>
      <c r="D736">
        <v>58166.710074881499</v>
      </c>
      <c r="E736">
        <v>115025.34005749349</v>
      </c>
      <c r="F736">
        <v>43963.292773211084</v>
      </c>
      <c r="G736">
        <v>10000</v>
      </c>
      <c r="H736">
        <v>-10000</v>
      </c>
      <c r="I736">
        <v>41.873569041469693</v>
      </c>
    </row>
    <row r="737" spans="1:9" x14ac:dyDescent="0.2">
      <c r="A737">
        <v>727</v>
      </c>
      <c r="B737">
        <v>1085298.1039901508</v>
      </c>
      <c r="C737">
        <v>86718.6710363702</v>
      </c>
      <c r="D737">
        <v>125700.64074785906</v>
      </c>
      <c r="E737">
        <v>57005.68809145518</v>
      </c>
      <c r="F737">
        <v>39946.547637100739</v>
      </c>
      <c r="G737">
        <v>10000</v>
      </c>
      <c r="H737">
        <v>-10000</v>
      </c>
      <c r="I737">
        <v>45.078244065003958</v>
      </c>
    </row>
    <row r="738" spans="1:9" x14ac:dyDescent="0.2">
      <c r="A738">
        <v>728</v>
      </c>
      <c r="B738">
        <v>1447592.4246313842</v>
      </c>
      <c r="C738">
        <v>113188.06684934614</v>
      </c>
      <c r="D738">
        <v>78535.84885270457</v>
      </c>
      <c r="E738">
        <v>169223.65254587529</v>
      </c>
      <c r="F738">
        <v>47715.483637791367</v>
      </c>
      <c r="G738">
        <v>10000</v>
      </c>
      <c r="H738">
        <v>-10000</v>
      </c>
      <c r="I738">
        <v>35.523685255741697</v>
      </c>
    </row>
    <row r="739" spans="1:9" x14ac:dyDescent="0.2">
      <c r="A739">
        <v>729</v>
      </c>
      <c r="B739">
        <v>1546126.5256658723</v>
      </c>
      <c r="C739">
        <v>103494.05600075531</v>
      </c>
      <c r="D739">
        <v>88892.527994246702</v>
      </c>
      <c r="E739">
        <v>193859.95518616994</v>
      </c>
      <c r="F739">
        <v>49421.073820580998</v>
      </c>
      <c r="G739">
        <v>10000</v>
      </c>
      <c r="H739">
        <v>-10000</v>
      </c>
      <c r="I739">
        <v>36.614459385545793</v>
      </c>
    </row>
    <row r="740" spans="1:9" x14ac:dyDescent="0.2">
      <c r="A740">
        <v>730</v>
      </c>
      <c r="B740">
        <v>1012566.0874344343</v>
      </c>
      <c r="C740">
        <v>88354.661106175437</v>
      </c>
      <c r="D740">
        <v>59631.466458769952</v>
      </c>
      <c r="E740">
        <v>98624.414024546961</v>
      </c>
      <c r="F740">
        <v>42827.84404785325</v>
      </c>
      <c r="G740">
        <v>10000</v>
      </c>
      <c r="H740">
        <v>-10000</v>
      </c>
      <c r="I740">
        <v>37.714749012660164</v>
      </c>
    </row>
    <row r="741" spans="1:9" x14ac:dyDescent="0.2">
      <c r="A741">
        <v>731</v>
      </c>
      <c r="B741">
        <v>1353872.5826924385</v>
      </c>
      <c r="C741">
        <v>94083.790823628791</v>
      </c>
      <c r="D741">
        <v>134326.84088841689</v>
      </c>
      <c r="E741">
        <v>110890.25235542296</v>
      </c>
      <c r="F741">
        <v>43677.017470760053</v>
      </c>
      <c r="G741">
        <v>10000</v>
      </c>
      <c r="H741">
        <v>-10000</v>
      </c>
      <c r="I741">
        <v>29.513019175597258</v>
      </c>
    </row>
    <row r="742" spans="1:9" x14ac:dyDescent="0.2">
      <c r="A742">
        <v>732</v>
      </c>
      <c r="B742">
        <v>1621435.988978391</v>
      </c>
      <c r="C742">
        <v>165849.94389850492</v>
      </c>
      <c r="D742">
        <v>57080.202048492662</v>
      </c>
      <c r="E742">
        <v>184597.20544577774</v>
      </c>
      <c r="F742">
        <v>48779.806530861541</v>
      </c>
      <c r="G742">
        <v>10000</v>
      </c>
      <c r="H742">
        <v>-10000</v>
      </c>
      <c r="I742">
        <v>29.974457990779243</v>
      </c>
    </row>
    <row r="743" spans="1:9" x14ac:dyDescent="0.2">
      <c r="A743">
        <v>733</v>
      </c>
      <c r="B743">
        <v>1030985.0530613833</v>
      </c>
      <c r="C743">
        <v>103047.04435716863</v>
      </c>
      <c r="D743">
        <v>111071.20363867593</v>
      </c>
      <c r="E743">
        <v>41495.342000868572</v>
      </c>
      <c r="F743">
        <v>38872.754446213978</v>
      </c>
      <c r="G743">
        <v>10000</v>
      </c>
      <c r="H743">
        <v>-10000</v>
      </c>
      <c r="I743">
        <v>41.449311439528188</v>
      </c>
    </row>
    <row r="744" spans="1:9" x14ac:dyDescent="0.2">
      <c r="A744">
        <v>734</v>
      </c>
      <c r="B744">
        <v>1133483.2443033042</v>
      </c>
      <c r="C744">
        <v>98363.13473843901</v>
      </c>
      <c r="D744">
        <v>64927.261455100874</v>
      </c>
      <c r="E744">
        <v>115304.31386880465</v>
      </c>
      <c r="F744">
        <v>43982.606344763393</v>
      </c>
      <c r="G744">
        <v>10000</v>
      </c>
      <c r="H744">
        <v>-10000</v>
      </c>
      <c r="I744">
        <v>34.995127095180877</v>
      </c>
    </row>
    <row r="745" spans="1:9" x14ac:dyDescent="0.2">
      <c r="A745">
        <v>735</v>
      </c>
      <c r="B745">
        <v>1473099.9817226336</v>
      </c>
      <c r="C745">
        <v>104350.17597209287</v>
      </c>
      <c r="D745">
        <v>118159.62656399734</v>
      </c>
      <c r="E745">
        <v>146969.14269931082</v>
      </c>
      <c r="F745">
        <v>46174.78680225998</v>
      </c>
      <c r="G745">
        <v>10000</v>
      </c>
      <c r="H745">
        <v>-10000</v>
      </c>
      <c r="I745">
        <v>38.756702308606258</v>
      </c>
    </row>
    <row r="746" spans="1:9" x14ac:dyDescent="0.2">
      <c r="A746">
        <v>736</v>
      </c>
      <c r="B746">
        <v>1340944.4598558326</v>
      </c>
      <c r="C746">
        <v>130096.47646493936</v>
      </c>
      <c r="D746">
        <v>93790.643892833221</v>
      </c>
      <c r="E746">
        <v>111807.1638115676</v>
      </c>
      <c r="F746">
        <v>43740.495956185448</v>
      </c>
      <c r="G746">
        <v>10000</v>
      </c>
      <c r="H746">
        <v>-10000</v>
      </c>
      <c r="I746">
        <v>26.891498219474379</v>
      </c>
    </row>
    <row r="747" spans="1:9" x14ac:dyDescent="0.2">
      <c r="A747">
        <v>737</v>
      </c>
      <c r="B747">
        <v>1146801.6545941858</v>
      </c>
      <c r="C747">
        <v>119613.15549916464</v>
      </c>
      <c r="D747">
        <v>40937.381919533349</v>
      </c>
      <c r="E747">
        <v>121280.52009178669</v>
      </c>
      <c r="F747">
        <v>44396.343698662153</v>
      </c>
      <c r="G747">
        <v>10000</v>
      </c>
      <c r="H747">
        <v>-10000</v>
      </c>
      <c r="I747">
        <v>34.798056035378238</v>
      </c>
    </row>
    <row r="748" spans="1:9" x14ac:dyDescent="0.2">
      <c r="A748">
        <v>738</v>
      </c>
      <c r="B748">
        <v>999429.41977608821</v>
      </c>
      <c r="C748">
        <v>102133.49248861632</v>
      </c>
      <c r="D748">
        <v>93594.944946323725</v>
      </c>
      <c r="E748">
        <v>50606.168384437442</v>
      </c>
      <c r="F748">
        <v>39503.503965076437</v>
      </c>
      <c r="G748">
        <v>10000</v>
      </c>
      <c r="H748">
        <v>-10000</v>
      </c>
      <c r="I748">
        <v>29.564803435242929</v>
      </c>
    </row>
    <row r="749" spans="1:9" x14ac:dyDescent="0.2">
      <c r="A749">
        <v>739</v>
      </c>
      <c r="B749">
        <v>1193532.443037251</v>
      </c>
      <c r="C749">
        <v>109367.68768133849</v>
      </c>
      <c r="D749">
        <v>73530.514337470231</v>
      </c>
      <c r="E749">
        <v>112357.76911854501</v>
      </c>
      <c r="F749">
        <v>43778.614785130041</v>
      </c>
      <c r="G749">
        <v>10000</v>
      </c>
      <c r="H749">
        <v>-10000</v>
      </c>
      <c r="I749">
        <v>31.841454639186434</v>
      </c>
    </row>
    <row r="750" spans="1:9" x14ac:dyDescent="0.2">
      <c r="A750">
        <v>740</v>
      </c>
      <c r="B750">
        <v>1453236.1051516011</v>
      </c>
      <c r="C750">
        <v>155688.56425620604</v>
      </c>
      <c r="D750">
        <v>68897.098771121528</v>
      </c>
      <c r="E750">
        <v>139936.22119652465</v>
      </c>
      <c r="F750">
        <v>45687.89223668247</v>
      </c>
      <c r="G750">
        <v>10000</v>
      </c>
      <c r="H750">
        <v>-10000</v>
      </c>
      <c r="I750">
        <v>26.137819402664448</v>
      </c>
    </row>
    <row r="751" spans="1:9" x14ac:dyDescent="0.2">
      <c r="A751">
        <v>741</v>
      </c>
      <c r="B751">
        <v>921335.81117281504</v>
      </c>
      <c r="C751">
        <v>89766.723524733694</v>
      </c>
      <c r="D751">
        <v>62416.268693473903</v>
      </c>
      <c r="E751">
        <v>71315.326262020011</v>
      </c>
      <c r="F751">
        <v>40937.21489506292</v>
      </c>
      <c r="G751">
        <v>10000</v>
      </c>
      <c r="H751">
        <v>-10000</v>
      </c>
      <c r="I751">
        <v>37.406436751838783</v>
      </c>
    </row>
    <row r="752" spans="1:9" x14ac:dyDescent="0.2">
      <c r="A752">
        <v>742</v>
      </c>
      <c r="B752">
        <v>912864.28010256379</v>
      </c>
      <c r="C752">
        <v>118043.22986210576</v>
      </c>
      <c r="D752">
        <v>62752.366120477869</v>
      </c>
      <c r="E752">
        <v>42383.931173622252</v>
      </c>
      <c r="F752">
        <v>38934.272158173851</v>
      </c>
      <c r="G752">
        <v>10000</v>
      </c>
      <c r="H752">
        <v>-10000</v>
      </c>
      <c r="I752">
        <v>33.56481839489679</v>
      </c>
    </row>
    <row r="753" spans="1:9" x14ac:dyDescent="0.2">
      <c r="A753">
        <v>743</v>
      </c>
      <c r="B753">
        <v>1000370.187839262</v>
      </c>
      <c r="C753">
        <v>97243.281881630668</v>
      </c>
      <c r="D753">
        <v>81837.31935416763</v>
      </c>
      <c r="E753">
        <v>66417.222926403032</v>
      </c>
      <c r="F753">
        <v>40598.115433366365</v>
      </c>
      <c r="G753">
        <v>10000</v>
      </c>
      <c r="H753">
        <v>-10000</v>
      </c>
      <c r="I753">
        <v>29.539689779626926</v>
      </c>
    </row>
    <row r="754" spans="1:9" x14ac:dyDescent="0.2">
      <c r="A754">
        <v>744</v>
      </c>
      <c r="B754">
        <v>1247402.933571829</v>
      </c>
      <c r="C754">
        <v>99879.587946016356</v>
      </c>
      <c r="D754">
        <v>98941.935363387965</v>
      </c>
      <c r="E754">
        <v>111273.4309874699</v>
      </c>
      <c r="F754">
        <v>43703.545222209454</v>
      </c>
      <c r="G754">
        <v>10000</v>
      </c>
      <c r="H754">
        <v>-10000</v>
      </c>
      <c r="I754">
        <v>54.193670998594527</v>
      </c>
    </row>
    <row r="755" spans="1:9" x14ac:dyDescent="0.2">
      <c r="A755">
        <v>745</v>
      </c>
      <c r="B755">
        <v>1412400.9746424381</v>
      </c>
      <c r="C755">
        <v>83930.378009701919</v>
      </c>
      <c r="D755">
        <v>169145.51085912192</v>
      </c>
      <c r="E755">
        <v>102823.9069880436</v>
      </c>
      <c r="F755">
        <v>43118.578176095325</v>
      </c>
      <c r="G755">
        <v>10000</v>
      </c>
      <c r="H755">
        <v>-10000</v>
      </c>
      <c r="I755">
        <v>29.875177585763232</v>
      </c>
    </row>
    <row r="756" spans="1:9" x14ac:dyDescent="0.2">
      <c r="A756">
        <v>746</v>
      </c>
      <c r="B756">
        <v>1415882.1246303299</v>
      </c>
      <c r="C756">
        <v>80366.10518255124</v>
      </c>
      <c r="D756">
        <v>108858.98081204298</v>
      </c>
      <c r="E756">
        <v>163432.76664109493</v>
      </c>
      <c r="F756">
        <v>47314.576152075802</v>
      </c>
      <c r="G756">
        <v>10000</v>
      </c>
      <c r="H756">
        <v>-10000</v>
      </c>
      <c r="I756">
        <v>32.119149720593484</v>
      </c>
    </row>
    <row r="757" spans="1:9" x14ac:dyDescent="0.2">
      <c r="A757">
        <v>747</v>
      </c>
      <c r="B757">
        <v>1585452.4473754112</v>
      </c>
      <c r="C757">
        <v>122936.05473693712</v>
      </c>
      <c r="D757">
        <v>84374.944943154624</v>
      </c>
      <c r="E757">
        <v>189981.8104320553</v>
      </c>
      <c r="F757">
        <v>49152.586876065368</v>
      </c>
      <c r="G757">
        <v>10000</v>
      </c>
      <c r="H757">
        <v>-10000</v>
      </c>
      <c r="I757">
        <v>44.879998421104496</v>
      </c>
    </row>
    <row r="758" spans="1:9" x14ac:dyDescent="0.2">
      <c r="A758">
        <v>748</v>
      </c>
      <c r="B758">
        <v>1011210.5290389974</v>
      </c>
      <c r="C758">
        <v>97851.396354647979</v>
      </c>
      <c r="D758">
        <v>122791.58354798396</v>
      </c>
      <c r="E758">
        <v>30324.508172270023</v>
      </c>
      <c r="F758">
        <v>38099.389027311001</v>
      </c>
      <c r="G758">
        <v>10000</v>
      </c>
      <c r="H758">
        <v>-10000</v>
      </c>
      <c r="I758">
        <v>39.833084095372861</v>
      </c>
    </row>
    <row r="759" spans="1:9" x14ac:dyDescent="0.2">
      <c r="A759">
        <v>749</v>
      </c>
      <c r="B759">
        <v>1248618.4762280579</v>
      </c>
      <c r="C759">
        <v>146145.59679554327</v>
      </c>
      <c r="D759">
        <v>55017.256107653404</v>
      </c>
      <c r="E759">
        <v>109395.26374435714</v>
      </c>
      <c r="F759">
        <v>43573.518259224722</v>
      </c>
      <c r="G759">
        <v>10000</v>
      </c>
      <c r="H759">
        <v>-10000</v>
      </c>
      <c r="I759">
        <v>36.896914904803566</v>
      </c>
    </row>
    <row r="760" spans="1:9" x14ac:dyDescent="0.2">
      <c r="A760">
        <v>750</v>
      </c>
      <c r="B760">
        <v>1473879.5692152593</v>
      </c>
      <c r="C760">
        <v>92377.647070765306</v>
      </c>
      <c r="D760">
        <v>79321.272568639688</v>
      </c>
      <c r="E760">
        <v>194689.93462694713</v>
      </c>
      <c r="F760">
        <v>49478.533935711726</v>
      </c>
      <c r="G760">
        <v>10000</v>
      </c>
      <c r="H760">
        <v>-10000</v>
      </c>
      <c r="I760">
        <v>38.072342390118536</v>
      </c>
    </row>
    <row r="761" spans="1:9" x14ac:dyDescent="0.2">
      <c r="A761">
        <v>751</v>
      </c>
      <c r="B761">
        <v>1097885.3506864479</v>
      </c>
      <c r="C761">
        <v>133038.08852903475</v>
      </c>
      <c r="D761">
        <v>91352.180103815452</v>
      </c>
      <c r="E761">
        <v>49036.167149275381</v>
      </c>
      <c r="F761">
        <v>39394.81157187291</v>
      </c>
      <c r="G761">
        <v>10000</v>
      </c>
      <c r="H761">
        <v>-10000</v>
      </c>
      <c r="I761">
        <v>38.541740909513678</v>
      </c>
    </row>
    <row r="762" spans="1:9" x14ac:dyDescent="0.2">
      <c r="A762">
        <v>752</v>
      </c>
      <c r="B762">
        <v>1175648.1200280949</v>
      </c>
      <c r="C762">
        <v>85010.90473850345</v>
      </c>
      <c r="D762">
        <v>55193.357343154508</v>
      </c>
      <c r="E762">
        <v>147703.2792104469</v>
      </c>
      <c r="F762">
        <v>46225.611637646325</v>
      </c>
      <c r="G762">
        <v>10000</v>
      </c>
      <c r="H762">
        <v>-10000</v>
      </c>
      <c r="I762">
        <v>30.936655047429099</v>
      </c>
    </row>
    <row r="763" spans="1:9" x14ac:dyDescent="0.2">
      <c r="A763">
        <v>753</v>
      </c>
      <c r="B763">
        <v>1495780.6024580975</v>
      </c>
      <c r="C763">
        <v>118172.42063801715</v>
      </c>
      <c r="D763">
        <v>128012.30181206114</v>
      </c>
      <c r="E763">
        <v>130640.58276290999</v>
      </c>
      <c r="F763">
        <v>45044.348037432232</v>
      </c>
      <c r="G763">
        <v>10000</v>
      </c>
      <c r="H763">
        <v>-10000</v>
      </c>
      <c r="I763">
        <v>27.927451508603045</v>
      </c>
    </row>
    <row r="764" spans="1:9" x14ac:dyDescent="0.2">
      <c r="A764">
        <v>754</v>
      </c>
      <c r="B764">
        <v>1084244.9023613692</v>
      </c>
      <c r="C764">
        <v>140389.20333157401</v>
      </c>
      <c r="D764">
        <v>55965.222007050645</v>
      </c>
      <c r="E764">
        <v>71760.447491416169</v>
      </c>
      <c r="F764">
        <v>40968.030980174968</v>
      </c>
      <c r="G764">
        <v>10000</v>
      </c>
      <c r="H764">
        <v>-10000</v>
      </c>
      <c r="I764">
        <v>28.196490086807248</v>
      </c>
    </row>
    <row r="765" spans="1:9" x14ac:dyDescent="0.2">
      <c r="A765">
        <v>755</v>
      </c>
      <c r="B765">
        <v>1436364.5361369355</v>
      </c>
      <c r="C765">
        <v>108340.66091612034</v>
      </c>
      <c r="D765">
        <v>109300.25418374734</v>
      </c>
      <c r="E765">
        <v>142106.82224923596</v>
      </c>
      <c r="F765">
        <v>45838.164617254792</v>
      </c>
      <c r="G765">
        <v>10000</v>
      </c>
      <c r="H765">
        <v>-10000</v>
      </c>
      <c r="I765">
        <v>39.13024612218954</v>
      </c>
    </row>
    <row r="766" spans="1:9" x14ac:dyDescent="0.2">
      <c r="A766">
        <v>756</v>
      </c>
      <c r="B766">
        <v>1652635.4903708342</v>
      </c>
      <c r="C766">
        <v>129272.69999984305</v>
      </c>
      <c r="D766">
        <v>157974.02122781915</v>
      </c>
      <c r="E766">
        <v>132442.00673911825</v>
      </c>
      <c r="F766">
        <v>45169.062005015876</v>
      </c>
      <c r="G766">
        <v>10000</v>
      </c>
      <c r="H766">
        <v>-10000</v>
      </c>
      <c r="I766">
        <v>31.319856271964778</v>
      </c>
    </row>
    <row r="767" spans="1:9" x14ac:dyDescent="0.2">
      <c r="A767">
        <v>757</v>
      </c>
      <c r="B767">
        <v>1537741.0348882724</v>
      </c>
      <c r="C767">
        <v>138595.34561316075</v>
      </c>
      <c r="D767">
        <v>77557.498013714227</v>
      </c>
      <c r="E767">
        <v>169483.1658404363</v>
      </c>
      <c r="F767">
        <v>47733.449942799431</v>
      </c>
      <c r="G767">
        <v>10000</v>
      </c>
      <c r="H767">
        <v>-10000</v>
      </c>
      <c r="I767">
        <v>29.114623903723395</v>
      </c>
    </row>
    <row r="768" spans="1:9" x14ac:dyDescent="0.2">
      <c r="A768">
        <v>758</v>
      </c>
      <c r="B768">
        <v>1311677.6123862755</v>
      </c>
      <c r="C768">
        <v>136485.66678245435</v>
      </c>
      <c r="D768">
        <v>36637.016894845285</v>
      </c>
      <c r="E768">
        <v>151783.07451888893</v>
      </c>
      <c r="F768">
        <v>46508.059005153853</v>
      </c>
      <c r="G768">
        <v>10000</v>
      </c>
      <c r="H768">
        <v>-10000</v>
      </c>
      <c r="I768">
        <v>27.974563692830703</v>
      </c>
    </row>
    <row r="769" spans="1:9" x14ac:dyDescent="0.2">
      <c r="A769">
        <v>759</v>
      </c>
      <c r="B769">
        <v>1082227.79793266</v>
      </c>
      <c r="C769">
        <v>84529.769528479403</v>
      </c>
      <c r="D769">
        <v>86273.844692112369</v>
      </c>
      <c r="E769">
        <v>95139.86935810787</v>
      </c>
      <c r="F769">
        <v>42586.606340176695</v>
      </c>
      <c r="G769">
        <v>10000</v>
      </c>
      <c r="H769">
        <v>-10000</v>
      </c>
      <c r="I769">
        <v>36.292893032649523</v>
      </c>
    </row>
    <row r="770" spans="1:9" x14ac:dyDescent="0.2">
      <c r="A770">
        <v>760</v>
      </c>
      <c r="B770">
        <v>992134.49778560072</v>
      </c>
      <c r="C770">
        <v>148910.23639570904</v>
      </c>
      <c r="D770">
        <v>58123.437957938768</v>
      </c>
      <c r="E770">
        <v>38163.105360607573</v>
      </c>
      <c r="F770">
        <v>38642.061140349753</v>
      </c>
      <c r="G770">
        <v>10000</v>
      </c>
      <c r="H770">
        <v>-10000</v>
      </c>
      <c r="I770">
        <v>51.348594578481119</v>
      </c>
    </row>
    <row r="771" spans="1:9" x14ac:dyDescent="0.2">
      <c r="A771">
        <v>761</v>
      </c>
      <c r="B771">
        <v>1435586.1346905557</v>
      </c>
      <c r="C771">
        <v>102401.34968195461</v>
      </c>
      <c r="D771">
        <v>97683.199911619668</v>
      </c>
      <c r="E771">
        <v>158326.92635817186</v>
      </c>
      <c r="F771">
        <v>46961.094901719589</v>
      </c>
      <c r="G771">
        <v>10000</v>
      </c>
      <c r="H771">
        <v>-10000</v>
      </c>
      <c r="I771">
        <v>37.453549857773602</v>
      </c>
    </row>
    <row r="772" spans="1:9" x14ac:dyDescent="0.2">
      <c r="A772">
        <v>762</v>
      </c>
      <c r="B772">
        <v>1516093.7970424145</v>
      </c>
      <c r="C772">
        <v>156946.345814386</v>
      </c>
      <c r="D772">
        <v>41816.738981994953</v>
      </c>
      <c r="E772">
        <v>180198.39221150658</v>
      </c>
      <c r="F772">
        <v>48475.273306950454</v>
      </c>
      <c r="G772">
        <v>10000</v>
      </c>
      <c r="H772">
        <v>-10000</v>
      </c>
      <c r="I772">
        <v>30.431511554840238</v>
      </c>
    </row>
    <row r="773" spans="1:9" x14ac:dyDescent="0.2">
      <c r="A773">
        <v>763</v>
      </c>
      <c r="B773">
        <v>1315339.7917510392</v>
      </c>
      <c r="C773">
        <v>92850.11976494093</v>
      </c>
      <c r="D773">
        <v>52747.976062585731</v>
      </c>
      <c r="E773">
        <v>178464.1773244027</v>
      </c>
      <c r="F773">
        <v>48355.212276304803</v>
      </c>
      <c r="G773">
        <v>10000</v>
      </c>
      <c r="H773">
        <v>-10000</v>
      </c>
      <c r="I773">
        <v>33.630333209588194</v>
      </c>
    </row>
    <row r="774" spans="1:9" x14ac:dyDescent="0.2">
      <c r="A774">
        <v>764</v>
      </c>
      <c r="B774">
        <v>1120883.2117847954</v>
      </c>
      <c r="C774">
        <v>150917.67852443617</v>
      </c>
      <c r="D774">
        <v>104347.63767914864</v>
      </c>
      <c r="E774">
        <v>26054.989289440004</v>
      </c>
      <c r="F774">
        <v>37803.80695080739</v>
      </c>
      <c r="G774">
        <v>10000</v>
      </c>
      <c r="H774">
        <v>-10000</v>
      </c>
      <c r="I774">
        <v>32.781595082153963</v>
      </c>
    </row>
    <row r="775" spans="1:9" x14ac:dyDescent="0.2">
      <c r="A775">
        <v>765</v>
      </c>
      <c r="B775">
        <v>1538127.2394145485</v>
      </c>
      <c r="C775">
        <v>90540.623796910193</v>
      </c>
      <c r="D775">
        <v>115510.36077592551</v>
      </c>
      <c r="E775">
        <v>179029.93886382869</v>
      </c>
      <c r="F775">
        <v>48394.380382880445</v>
      </c>
      <c r="G775">
        <v>10000</v>
      </c>
      <c r="H775">
        <v>-10000</v>
      </c>
      <c r="I775">
        <v>47.467908739221187</v>
      </c>
    </row>
    <row r="776" spans="1:9" x14ac:dyDescent="0.2">
      <c r="A776">
        <v>766</v>
      </c>
      <c r="B776">
        <v>1304371.5493964057</v>
      </c>
      <c r="C776">
        <v>82461.951032368495</v>
      </c>
      <c r="D776">
        <v>110981.66392750123</v>
      </c>
      <c r="E776">
        <v>130905.21148722677</v>
      </c>
      <c r="F776">
        <v>45062.668487577233</v>
      </c>
      <c r="G776">
        <v>10000</v>
      </c>
      <c r="H776">
        <v>-10000</v>
      </c>
      <c r="I776">
        <v>31.923774758199681</v>
      </c>
    </row>
    <row r="777" spans="1:9" x14ac:dyDescent="0.2">
      <c r="A777">
        <v>767</v>
      </c>
      <c r="B777">
        <v>1355834.3017890549</v>
      </c>
      <c r="C777">
        <v>129318.8802388435</v>
      </c>
      <c r="D777">
        <v>47289.674203720977</v>
      </c>
      <c r="E777">
        <v>159841.06221914029</v>
      </c>
      <c r="F777">
        <v>47065.919692094321</v>
      </c>
      <c r="G777">
        <v>10000</v>
      </c>
      <c r="H777">
        <v>-10000</v>
      </c>
      <c r="I777">
        <v>44.603069789604703</v>
      </c>
    </row>
    <row r="778" spans="1:9" x14ac:dyDescent="0.2">
      <c r="A778">
        <v>768</v>
      </c>
      <c r="B778">
        <v>845017.07125366083</v>
      </c>
      <c r="C778">
        <v>94705.360698107877</v>
      </c>
      <c r="D778">
        <v>79769.130599099153</v>
      </c>
      <c r="E778">
        <v>30905.294378228231</v>
      </c>
      <c r="F778">
        <v>38139.597303108108</v>
      </c>
      <c r="G778">
        <v>10000</v>
      </c>
      <c r="H778">
        <v>-10000</v>
      </c>
      <c r="I778">
        <v>31.750264197196948</v>
      </c>
    </row>
    <row r="779" spans="1:9" x14ac:dyDescent="0.2">
      <c r="A779">
        <v>769</v>
      </c>
      <c r="B779">
        <v>1114109.552359581</v>
      </c>
      <c r="C779">
        <v>151303.30325562489</v>
      </c>
      <c r="D779">
        <v>63556.944184786269</v>
      </c>
      <c r="E779">
        <v>62107.691640350065</v>
      </c>
      <c r="F779">
        <v>40299.763267408853</v>
      </c>
      <c r="G779">
        <v>10000</v>
      </c>
      <c r="H779">
        <v>-10000</v>
      </c>
      <c r="I779">
        <v>25.832032670621736</v>
      </c>
    </row>
    <row r="780" spans="1:9" x14ac:dyDescent="0.2">
      <c r="A780">
        <v>770</v>
      </c>
      <c r="B780">
        <v>1177984.7668132554</v>
      </c>
      <c r="C780">
        <v>101346.79576682097</v>
      </c>
      <c r="D780">
        <v>101704.39076005564</v>
      </c>
      <c r="E780">
        <v>89524.504734974063</v>
      </c>
      <c r="F780">
        <v>42197.850327805892</v>
      </c>
      <c r="G780">
        <v>10000</v>
      </c>
      <c r="H780">
        <v>-10000</v>
      </c>
      <c r="I780">
        <v>30.293945295748202</v>
      </c>
    </row>
    <row r="781" spans="1:9" x14ac:dyDescent="0.2">
      <c r="A781">
        <v>771</v>
      </c>
      <c r="B781">
        <v>1155149.8622890729</v>
      </c>
      <c r="C781">
        <v>133486.37681626802</v>
      </c>
      <c r="D781">
        <v>47456.181694034865</v>
      </c>
      <c r="E781">
        <v>104348.64164408104</v>
      </c>
      <c r="F781">
        <v>43224.136729205609</v>
      </c>
      <c r="G781">
        <v>10000</v>
      </c>
      <c r="H781">
        <v>-10000</v>
      </c>
      <c r="I781">
        <v>41.561689645136823</v>
      </c>
    </row>
    <row r="782" spans="1:9" x14ac:dyDescent="0.2">
      <c r="A782">
        <v>772</v>
      </c>
      <c r="B782">
        <v>1559243.3241025764</v>
      </c>
      <c r="C782">
        <v>153285.04043114342</v>
      </c>
      <c r="D782">
        <v>96397.655300791652</v>
      </c>
      <c r="E782">
        <v>143635.73526109316</v>
      </c>
      <c r="F782">
        <v>45944.012441152605</v>
      </c>
      <c r="G782">
        <v>10000</v>
      </c>
      <c r="H782">
        <v>-10000</v>
      </c>
      <c r="I782">
        <v>44.955637447998647</v>
      </c>
    </row>
    <row r="783" spans="1:9" x14ac:dyDescent="0.2">
      <c r="A783">
        <v>773</v>
      </c>
      <c r="B783">
        <v>838169.59357515792</v>
      </c>
      <c r="C783">
        <v>90992.226262788099</v>
      </c>
      <c r="D783">
        <v>43764.791811306248</v>
      </c>
      <c r="E783">
        <v>66296.000816084648</v>
      </c>
      <c r="F783">
        <v>40589.723133421248</v>
      </c>
      <c r="G783">
        <v>10000</v>
      </c>
      <c r="H783">
        <v>-10000</v>
      </c>
      <c r="I783">
        <v>50.924974897109131</v>
      </c>
    </row>
    <row r="784" spans="1:9" x14ac:dyDescent="0.2">
      <c r="A784">
        <v>774</v>
      </c>
      <c r="B784">
        <v>1487656.0246159746</v>
      </c>
      <c r="C784">
        <v>111231.15668154646</v>
      </c>
      <c r="D784">
        <v>55298.792078960272</v>
      </c>
      <c r="E784">
        <v>203055.37752361139</v>
      </c>
      <c r="F784">
        <v>50057.679982403861</v>
      </c>
      <c r="G784">
        <v>10000</v>
      </c>
      <c r="H784">
        <v>-10000</v>
      </c>
      <c r="I784">
        <v>30.091604786351404</v>
      </c>
    </row>
    <row r="785" spans="1:9" x14ac:dyDescent="0.2">
      <c r="A785">
        <v>775</v>
      </c>
      <c r="B785">
        <v>1641186.294620546</v>
      </c>
      <c r="C785">
        <v>162173.04530829948</v>
      </c>
      <c r="D785">
        <v>105727.58051061501</v>
      </c>
      <c r="E785">
        <v>147600.84223411343</v>
      </c>
      <c r="F785">
        <v>46218.519846977084</v>
      </c>
      <c r="G785">
        <v>10000</v>
      </c>
      <c r="H785">
        <v>-10000</v>
      </c>
      <c r="I785">
        <v>46.044297431632216</v>
      </c>
    </row>
    <row r="786" spans="1:9" x14ac:dyDescent="0.2">
      <c r="A786">
        <v>776</v>
      </c>
      <c r="B786">
        <v>1058196.2961288048</v>
      </c>
      <c r="C786">
        <v>131982.02902630548</v>
      </c>
      <c r="D786">
        <v>104664.64370077048</v>
      </c>
      <c r="E786">
        <v>27400.323830684363</v>
      </c>
      <c r="F786">
        <v>37896.94549597046</v>
      </c>
      <c r="G786">
        <v>10000</v>
      </c>
      <c r="H786">
        <v>-10000</v>
      </c>
      <c r="I786">
        <v>43.0322722081807</v>
      </c>
    </row>
    <row r="787" spans="1:9" x14ac:dyDescent="0.2">
      <c r="A787">
        <v>777</v>
      </c>
      <c r="B787">
        <v>1569912.3994549296</v>
      </c>
      <c r="C787">
        <v>97342.527188507505</v>
      </c>
      <c r="D787">
        <v>109426.14114615733</v>
      </c>
      <c r="E787">
        <v>186505.83269380653</v>
      </c>
      <c r="F787">
        <v>48911.942263417375</v>
      </c>
      <c r="G787">
        <v>10000</v>
      </c>
      <c r="H787">
        <v>-10000</v>
      </c>
      <c r="I787">
        <v>36.177984945587184</v>
      </c>
    </row>
    <row r="788" spans="1:9" x14ac:dyDescent="0.2">
      <c r="A788">
        <v>778</v>
      </c>
      <c r="B788">
        <v>1396250.5765211899</v>
      </c>
      <c r="C788">
        <v>127331.48496250962</v>
      </c>
      <c r="D788">
        <v>66506.034556332044</v>
      </c>
      <c r="E788">
        <v>154087.06061521851</v>
      </c>
      <c r="F788">
        <v>46667.565734899741</v>
      </c>
      <c r="G788">
        <v>10000</v>
      </c>
      <c r="H788">
        <v>-10000</v>
      </c>
      <c r="I788">
        <v>46.575649676469823</v>
      </c>
    </row>
    <row r="789" spans="1:9" x14ac:dyDescent="0.2">
      <c r="A789">
        <v>779</v>
      </c>
      <c r="B789">
        <v>951942.85537954653</v>
      </c>
      <c r="C789">
        <v>130640.12960536931</v>
      </c>
      <c r="D789">
        <v>41261.84760986641</v>
      </c>
      <c r="E789">
        <v>60718.246634824376</v>
      </c>
      <c r="F789">
        <v>40203.570920872458</v>
      </c>
      <c r="G789">
        <v>10000</v>
      </c>
      <c r="H789">
        <v>-10000</v>
      </c>
      <c r="I789">
        <v>34.214443649749711</v>
      </c>
    </row>
    <row r="790" spans="1:9" x14ac:dyDescent="0.2">
      <c r="A790">
        <v>780</v>
      </c>
      <c r="B790">
        <v>1288979.5336360359</v>
      </c>
      <c r="C790">
        <v>99305.712995305716</v>
      </c>
      <c r="D790">
        <v>78503.675617174697</v>
      </c>
      <c r="E790">
        <v>141581.89900144251</v>
      </c>
      <c r="F790">
        <v>45801.823777022946</v>
      </c>
      <c r="G790">
        <v>10000</v>
      </c>
      <c r="H790">
        <v>-10000</v>
      </c>
      <c r="I790">
        <v>43.107723182862927</v>
      </c>
    </row>
    <row r="791" spans="1:9" x14ac:dyDescent="0.2">
      <c r="A791">
        <v>781</v>
      </c>
      <c r="B791">
        <v>1437072.6765640071</v>
      </c>
      <c r="C791">
        <v>126276.60338424609</v>
      </c>
      <c r="D791">
        <v>135473.10716260894</v>
      </c>
      <c r="E791">
        <v>101035.50111769077</v>
      </c>
      <c r="F791">
        <v>42994.765461993971</v>
      </c>
      <c r="G791">
        <v>10000</v>
      </c>
      <c r="H791">
        <v>-10000</v>
      </c>
      <c r="I791">
        <v>45.766960298796143</v>
      </c>
    </row>
    <row r="792" spans="1:9" x14ac:dyDescent="0.2">
      <c r="A792">
        <v>782</v>
      </c>
      <c r="B792">
        <v>1245629.8952539358</v>
      </c>
      <c r="C792">
        <v>114729.08617759224</v>
      </c>
      <c r="D792">
        <v>77293.019155572329</v>
      </c>
      <c r="E792">
        <v>117178.13723176018</v>
      </c>
      <c r="F792">
        <v>44112.332577583395</v>
      </c>
      <c r="G792">
        <v>10000</v>
      </c>
      <c r="H792">
        <v>-10000</v>
      </c>
      <c r="I792">
        <v>43.335318450623703</v>
      </c>
    </row>
    <row r="793" spans="1:9" x14ac:dyDescent="0.2">
      <c r="A793">
        <v>783</v>
      </c>
      <c r="B793">
        <v>1723347.1129414779</v>
      </c>
      <c r="C793">
        <v>120879.5941342377</v>
      </c>
      <c r="D793">
        <v>151193.44397461598</v>
      </c>
      <c r="E793">
        <v>164757.88330312198</v>
      </c>
      <c r="F793">
        <v>47406.314997908441</v>
      </c>
      <c r="G793">
        <v>10000</v>
      </c>
      <c r="H793">
        <v>-10000</v>
      </c>
      <c r="I793">
        <v>45.311272633815264</v>
      </c>
    </row>
    <row r="794" spans="1:9" x14ac:dyDescent="0.2">
      <c r="A794">
        <v>784</v>
      </c>
      <c r="B794">
        <v>1484523.5985957128</v>
      </c>
      <c r="C794">
        <v>121760.82921387198</v>
      </c>
      <c r="D794">
        <v>107495.73612666508</v>
      </c>
      <c r="E794">
        <v>143587.29935634261</v>
      </c>
      <c r="F794">
        <v>45940.659186208337</v>
      </c>
      <c r="G794">
        <v>10000</v>
      </c>
      <c r="H794">
        <v>-10000</v>
      </c>
      <c r="I794">
        <v>35.557254346697874</v>
      </c>
    </row>
    <row r="795" spans="1:9" x14ac:dyDescent="0.2">
      <c r="A795">
        <v>785</v>
      </c>
      <c r="B795">
        <v>1135866.0140787759</v>
      </c>
      <c r="C795">
        <v>92776.756936863268</v>
      </c>
      <c r="D795">
        <v>70340.986256327655</v>
      </c>
      <c r="E795">
        <v>116076.53469679477</v>
      </c>
      <c r="F795">
        <v>44036.067786701176</v>
      </c>
      <c r="G795">
        <v>10000</v>
      </c>
      <c r="H795">
        <v>-10000</v>
      </c>
      <c r="I795">
        <v>33.622058190270778</v>
      </c>
    </row>
    <row r="796" spans="1:9" x14ac:dyDescent="0.2">
      <c r="A796">
        <v>786</v>
      </c>
      <c r="B796">
        <v>958502.35025392682</v>
      </c>
      <c r="C796">
        <v>136185.0433083883</v>
      </c>
      <c r="D796">
        <v>64145.181301516939</v>
      </c>
      <c r="E796">
        <v>35811.993779112578</v>
      </c>
      <c r="F796">
        <v>38479.291877015479</v>
      </c>
      <c r="G796">
        <v>10000</v>
      </c>
      <c r="H796">
        <v>-10000</v>
      </c>
      <c r="I796">
        <v>40.594170039763974</v>
      </c>
    </row>
    <row r="797" spans="1:9" x14ac:dyDescent="0.2">
      <c r="A797">
        <v>787</v>
      </c>
      <c r="B797">
        <v>1456540.6502180044</v>
      </c>
      <c r="C797">
        <v>114918.573091892</v>
      </c>
      <c r="D797">
        <v>59879.152933805206</v>
      </c>
      <c r="E797">
        <v>187347.49322788257</v>
      </c>
      <c r="F797">
        <v>48970.211069622637</v>
      </c>
      <c r="G797">
        <v>10000</v>
      </c>
      <c r="H797">
        <v>-10000</v>
      </c>
      <c r="I797">
        <v>35.746930248010869</v>
      </c>
    </row>
    <row r="798" spans="1:9" x14ac:dyDescent="0.2">
      <c r="A798">
        <v>788</v>
      </c>
      <c r="B798">
        <v>1390150.6668606696</v>
      </c>
      <c r="C798">
        <v>123720.24754503719</v>
      </c>
      <c r="D798">
        <v>147946.20628734009</v>
      </c>
      <c r="E798">
        <v>79733.893134143087</v>
      </c>
      <c r="F798">
        <v>41520.03875544067</v>
      </c>
      <c r="G798">
        <v>10000</v>
      </c>
      <c r="H798">
        <v>-10000</v>
      </c>
      <c r="I798">
        <v>48.44743785363638</v>
      </c>
    </row>
    <row r="799" spans="1:9" x14ac:dyDescent="0.2">
      <c r="A799">
        <v>789</v>
      </c>
      <c r="B799">
        <v>1352762.052193111</v>
      </c>
      <c r="C799">
        <v>124215.41768683781</v>
      </c>
      <c r="D799">
        <v>97321.571919057838</v>
      </c>
      <c r="E799">
        <v>117034.18953407872</v>
      </c>
      <c r="F799">
        <v>44102.36696774391</v>
      </c>
      <c r="G799">
        <v>10000</v>
      </c>
      <c r="H799">
        <v>-10000</v>
      </c>
      <c r="I799">
        <v>39.226580969593101</v>
      </c>
    </row>
    <row r="800" spans="1:9" x14ac:dyDescent="0.2">
      <c r="A800">
        <v>790</v>
      </c>
      <c r="B800">
        <v>1072928.7156119675</v>
      </c>
      <c r="C800">
        <v>116578.42765320631</v>
      </c>
      <c r="D800">
        <v>70036.421155636534</v>
      </c>
      <c r="E800">
        <v>77968.861528905603</v>
      </c>
      <c r="F800">
        <v>41397.844259693462</v>
      </c>
      <c r="G800">
        <v>10000</v>
      </c>
      <c r="H800">
        <v>-10000</v>
      </c>
      <c r="I800">
        <v>40.262062501231526</v>
      </c>
    </row>
    <row r="801" spans="1:9" x14ac:dyDescent="0.2">
      <c r="A801">
        <v>791</v>
      </c>
      <c r="B801">
        <v>1024810.182121366</v>
      </c>
      <c r="C801">
        <v>138837.16045704673</v>
      </c>
      <c r="D801">
        <v>39036.50006726633</v>
      </c>
      <c r="E801">
        <v>73810.42701175368</v>
      </c>
      <c r="F801">
        <v>41109.95263927526</v>
      </c>
      <c r="G801">
        <v>10000</v>
      </c>
      <c r="H801">
        <v>-10000</v>
      </c>
      <c r="I801">
        <v>38.602892717848462</v>
      </c>
    </row>
    <row r="802" spans="1:9" x14ac:dyDescent="0.2">
      <c r="A802">
        <v>792</v>
      </c>
      <c r="B802">
        <v>1195331.8919907326</v>
      </c>
      <c r="C802">
        <v>83169.553513524545</v>
      </c>
      <c r="D802">
        <v>31596.17516949146</v>
      </c>
      <c r="E802">
        <v>176540.0185148872</v>
      </c>
      <c r="F802">
        <v>48222.00128179988</v>
      </c>
      <c r="G802">
        <v>10000</v>
      </c>
      <c r="H802">
        <v>-10000</v>
      </c>
      <c r="I802">
        <v>44.524120121303056</v>
      </c>
    </row>
    <row r="803" spans="1:9" x14ac:dyDescent="0.2">
      <c r="A803">
        <v>793</v>
      </c>
      <c r="B803">
        <v>1033818.188324392</v>
      </c>
      <c r="C803">
        <v>86860.1368787869</v>
      </c>
      <c r="D803">
        <v>72066.889980055159</v>
      </c>
      <c r="E803">
        <v>93839.214416901945</v>
      </c>
      <c r="F803">
        <v>42496.560998093213</v>
      </c>
      <c r="G803">
        <v>10000</v>
      </c>
      <c r="H803">
        <v>-10000</v>
      </c>
      <c r="I803">
        <v>42.779288842890303</v>
      </c>
    </row>
    <row r="804" spans="1:9" x14ac:dyDescent="0.2">
      <c r="A804">
        <v>794</v>
      </c>
      <c r="B804">
        <v>1099985.4872525772</v>
      </c>
      <c r="C804">
        <v>89671.234083060117</v>
      </c>
      <c r="D804">
        <v>114328.10304438155</v>
      </c>
      <c r="E804">
        <v>68645.125332132724</v>
      </c>
      <c r="F804">
        <v>40752.354830686112</v>
      </c>
      <c r="G804">
        <v>10000</v>
      </c>
      <c r="H804">
        <v>-10000</v>
      </c>
      <c r="I804">
        <v>39.537375828692362</v>
      </c>
    </row>
    <row r="805" spans="1:9" x14ac:dyDescent="0.2">
      <c r="A805">
        <v>795</v>
      </c>
      <c r="B805">
        <v>1078123.91798918</v>
      </c>
      <c r="C805">
        <v>122527.99964404356</v>
      </c>
      <c r="D805">
        <v>69812.84420623476</v>
      </c>
      <c r="E805">
        <v>73945.238284736857</v>
      </c>
      <c r="F805">
        <v>41119.285727404858</v>
      </c>
      <c r="G805">
        <v>10000</v>
      </c>
      <c r="H805">
        <v>-10000</v>
      </c>
      <c r="I805">
        <v>36.143383198073508</v>
      </c>
    </row>
    <row r="806" spans="1:9" x14ac:dyDescent="0.2">
      <c r="A806">
        <v>796</v>
      </c>
      <c r="B806">
        <v>1344840.4424311845</v>
      </c>
      <c r="C806">
        <v>151152.19928990083</v>
      </c>
      <c r="D806">
        <v>51053.400000383379</v>
      </c>
      <c r="E806">
        <v>133083.45587269668</v>
      </c>
      <c r="F806">
        <v>45213.470021955924</v>
      </c>
      <c r="G806">
        <v>10000</v>
      </c>
      <c r="H806">
        <v>-10000</v>
      </c>
      <c r="I806">
        <v>34.036221278137148</v>
      </c>
    </row>
    <row r="807" spans="1:9" x14ac:dyDescent="0.2">
      <c r="A807">
        <v>797</v>
      </c>
      <c r="B807">
        <v>1197957.7231003938</v>
      </c>
      <c r="C807">
        <v>100516.98559662675</v>
      </c>
      <c r="D807">
        <v>86878.898135826254</v>
      </c>
      <c r="E807">
        <v>109285.5831706586</v>
      </c>
      <c r="F807">
        <v>43565.924988737897</v>
      </c>
      <c r="G807">
        <v>10000</v>
      </c>
      <c r="H807">
        <v>-10000</v>
      </c>
      <c r="I807">
        <v>35.766731813951964</v>
      </c>
    </row>
    <row r="808" spans="1:9" x14ac:dyDescent="0.2">
      <c r="A808">
        <v>798</v>
      </c>
      <c r="B808">
        <v>1917594.4098981828</v>
      </c>
      <c r="C808">
        <v>155487.29445633636</v>
      </c>
      <c r="D808">
        <v>127449.5002441081</v>
      </c>
      <c r="E808">
        <v>204386.61534295106</v>
      </c>
      <c r="F808">
        <v>50149.842600665841</v>
      </c>
      <c r="G808">
        <v>10000</v>
      </c>
      <c r="H808">
        <v>-10000</v>
      </c>
      <c r="I808">
        <v>41.304468639303664</v>
      </c>
    </row>
    <row r="809" spans="1:9" x14ac:dyDescent="0.2">
      <c r="A809">
        <v>799</v>
      </c>
      <c r="B809">
        <v>869199.98447765526</v>
      </c>
      <c r="C809">
        <v>103865.98951383274</v>
      </c>
      <c r="D809">
        <v>64566.8413597986</v>
      </c>
      <c r="E809">
        <v>42754.284265517243</v>
      </c>
      <c r="F809">
        <v>38959.91198761273</v>
      </c>
      <c r="G809">
        <v>10000</v>
      </c>
      <c r="H809">
        <v>-10000</v>
      </c>
      <c r="I809">
        <v>35.662654483492886</v>
      </c>
    </row>
    <row r="810" spans="1:9" x14ac:dyDescent="0.2">
      <c r="A810">
        <v>800</v>
      </c>
      <c r="B810">
        <v>997383.84376707242</v>
      </c>
      <c r="C810">
        <v>96883.1938231901</v>
      </c>
      <c r="D810">
        <v>55921.604787438329</v>
      </c>
      <c r="E810">
        <v>90226.260830812244</v>
      </c>
      <c r="F810">
        <v>42246.433442133151</v>
      </c>
      <c r="G810">
        <v>10000</v>
      </c>
      <c r="H810">
        <v>-10000</v>
      </c>
      <c r="I810">
        <v>38.589066827614602</v>
      </c>
    </row>
    <row r="811" spans="1:9" x14ac:dyDescent="0.2">
      <c r="A811">
        <v>801</v>
      </c>
      <c r="B811">
        <v>730439.62861203868</v>
      </c>
      <c r="C811">
        <v>88963.845847558623</v>
      </c>
      <c r="D811">
        <v>55258.175777053249</v>
      </c>
      <c r="E811">
        <v>29830.709358371518</v>
      </c>
      <c r="F811">
        <v>38065.202955579567</v>
      </c>
      <c r="G811">
        <v>10000</v>
      </c>
      <c r="H811">
        <v>-10000</v>
      </c>
      <c r="I811">
        <v>28.357717671013635</v>
      </c>
    </row>
    <row r="812" spans="1:9" x14ac:dyDescent="0.2">
      <c r="A812">
        <v>802</v>
      </c>
      <c r="B812">
        <v>1307093.0991712241</v>
      </c>
      <c r="C812">
        <v>141733.97380246167</v>
      </c>
      <c r="D812">
        <v>125337.84439175519</v>
      </c>
      <c r="E812">
        <v>62741.88420045167</v>
      </c>
      <c r="F812">
        <v>40343.668906185114</v>
      </c>
      <c r="G812">
        <v>10000</v>
      </c>
      <c r="H812">
        <v>-10000</v>
      </c>
      <c r="I812">
        <v>35.164190422275837</v>
      </c>
    </row>
    <row r="813" spans="1:9" x14ac:dyDescent="0.2">
      <c r="A813">
        <v>803</v>
      </c>
      <c r="B813">
        <v>1403273.4751033843</v>
      </c>
      <c r="C813">
        <v>92923.70759087542</v>
      </c>
      <c r="D813">
        <v>71179.81144664342</v>
      </c>
      <c r="E813">
        <v>183695.93340849713</v>
      </c>
      <c r="F813">
        <v>48717.410774434415</v>
      </c>
      <c r="G813">
        <v>10000</v>
      </c>
      <c r="H813">
        <v>-10000</v>
      </c>
      <c r="I813">
        <v>26.003394969274737</v>
      </c>
    </row>
    <row r="814" spans="1:9" x14ac:dyDescent="0.2">
      <c r="A814">
        <v>804</v>
      </c>
      <c r="B814">
        <v>1498326.5339903194</v>
      </c>
      <c r="C814">
        <v>127452.35958056414</v>
      </c>
      <c r="D814">
        <v>62058.453820156778</v>
      </c>
      <c r="E814">
        <v>184297.52622793266</v>
      </c>
      <c r="F814">
        <v>48759.059508087645</v>
      </c>
      <c r="G814">
        <v>10000</v>
      </c>
      <c r="H814">
        <v>-10000</v>
      </c>
      <c r="I814">
        <v>45.244373736158465</v>
      </c>
    </row>
    <row r="815" spans="1:9" x14ac:dyDescent="0.2">
      <c r="A815">
        <v>805</v>
      </c>
      <c r="B815">
        <v>836138.43965810875</v>
      </c>
      <c r="C815">
        <v>95278.626921578398</v>
      </c>
      <c r="D815">
        <v>58746.598502782152</v>
      </c>
      <c r="E815">
        <v>47754.753913710061</v>
      </c>
      <c r="F815">
        <v>39306.098347872234</v>
      </c>
      <c r="G815">
        <v>10000</v>
      </c>
      <c r="H815">
        <v>-10000</v>
      </c>
      <c r="I815">
        <v>38.520155014661171</v>
      </c>
    </row>
    <row r="816" spans="1:9" x14ac:dyDescent="0.2">
      <c r="A816">
        <v>806</v>
      </c>
      <c r="B816">
        <v>834866.80333247164</v>
      </c>
      <c r="C816">
        <v>112317.08841994044</v>
      </c>
      <c r="D816">
        <v>63037.775710865782</v>
      </c>
      <c r="E816">
        <v>27480.227662819176</v>
      </c>
      <c r="F816">
        <v>37902.477299733633</v>
      </c>
      <c r="G816">
        <v>10000</v>
      </c>
      <c r="H816">
        <v>-10000</v>
      </c>
      <c r="I816">
        <v>31.942433023072255</v>
      </c>
    </row>
    <row r="817" spans="1:9" x14ac:dyDescent="0.2">
      <c r="A817">
        <v>807</v>
      </c>
      <c r="B817">
        <v>981577.62580318761</v>
      </c>
      <c r="C817">
        <v>117630.59687306476</v>
      </c>
      <c r="D817">
        <v>73551.538644411237</v>
      </c>
      <c r="E817">
        <v>50282.369185295232</v>
      </c>
      <c r="F817">
        <v>39481.087097443509</v>
      </c>
      <c r="G817">
        <v>10000</v>
      </c>
      <c r="H817">
        <v>-10000</v>
      </c>
      <c r="I817">
        <v>48.774192876286371</v>
      </c>
    </row>
    <row r="818" spans="1:9" x14ac:dyDescent="0.2">
      <c r="A818">
        <v>808</v>
      </c>
      <c r="B818">
        <v>1638368.2322580931</v>
      </c>
      <c r="C818">
        <v>136282.08375514974</v>
      </c>
      <c r="D818">
        <v>80770.337184718272</v>
      </c>
      <c r="E818">
        <v>194434.39717380513</v>
      </c>
      <c r="F818">
        <v>49460.842881263437</v>
      </c>
      <c r="G818">
        <v>10000</v>
      </c>
      <c r="H818">
        <v>-10000</v>
      </c>
      <c r="I818">
        <v>33.320955920198628</v>
      </c>
    </row>
    <row r="819" spans="1:9" x14ac:dyDescent="0.2">
      <c r="A819">
        <v>809</v>
      </c>
      <c r="B819">
        <v>1205440.1503299377</v>
      </c>
      <c r="C819">
        <v>108945.96903199656</v>
      </c>
      <c r="D819">
        <v>51529.146298330495</v>
      </c>
      <c r="E819">
        <v>136381.16106893393</v>
      </c>
      <c r="F819">
        <v>45441.772689387733</v>
      </c>
      <c r="G819">
        <v>10000</v>
      </c>
      <c r="H819">
        <v>-10000</v>
      </c>
      <c r="I819">
        <v>49.26534670209373</v>
      </c>
    </row>
    <row r="820" spans="1:9" x14ac:dyDescent="0.2">
      <c r="A820">
        <v>810</v>
      </c>
      <c r="B820">
        <v>1387066.6536986122</v>
      </c>
      <c r="C820">
        <v>110893.72712321015</v>
      </c>
      <c r="D820">
        <v>82207.740274346812</v>
      </c>
      <c r="E820">
        <v>152421.44989540719</v>
      </c>
      <c r="F820">
        <v>46552.254223528187</v>
      </c>
      <c r="G820">
        <v>10000</v>
      </c>
      <c r="H820">
        <v>-10000</v>
      </c>
      <c r="I820">
        <v>37.617509752285457</v>
      </c>
    </row>
    <row r="821" spans="1:9" x14ac:dyDescent="0.2">
      <c r="A821">
        <v>811</v>
      </c>
      <c r="B821">
        <v>1681826.489218452</v>
      </c>
      <c r="C821">
        <v>127637.60358802618</v>
      </c>
      <c r="D821">
        <v>88131.107867601284</v>
      </c>
      <c r="E821">
        <v>206774.12256944578</v>
      </c>
      <c r="F821">
        <v>50315.131562500093</v>
      </c>
      <c r="G821">
        <v>10000</v>
      </c>
      <c r="H821">
        <v>-10000</v>
      </c>
      <c r="I821">
        <v>35.356312572391282</v>
      </c>
    </row>
    <row r="822" spans="1:9" x14ac:dyDescent="0.2">
      <c r="A822">
        <v>812</v>
      </c>
      <c r="B822">
        <v>1317245.3910627854</v>
      </c>
      <c r="C822">
        <v>115160.89213065455</v>
      </c>
      <c r="D822">
        <v>80136.178387119886</v>
      </c>
      <c r="E822">
        <v>132471.56127554932</v>
      </c>
      <c r="F822">
        <v>45171.108088307257</v>
      </c>
      <c r="G822">
        <v>10000</v>
      </c>
      <c r="H822">
        <v>-10000</v>
      </c>
      <c r="I822">
        <v>39.098095601836604</v>
      </c>
    </row>
    <row r="823" spans="1:9" x14ac:dyDescent="0.2">
      <c r="A823">
        <v>813</v>
      </c>
      <c r="B823">
        <v>1510238.5662075565</v>
      </c>
      <c r="C823">
        <v>125666.95492178264</v>
      </c>
      <c r="D823">
        <v>50511.202225869965</v>
      </c>
      <c r="E823">
        <v>199820.18531994545</v>
      </c>
      <c r="F823">
        <v>49833.705137534693</v>
      </c>
      <c r="G823">
        <v>10000</v>
      </c>
      <c r="H823">
        <v>-10000</v>
      </c>
      <c r="I823">
        <v>43.125200743892535</v>
      </c>
    </row>
    <row r="824" spans="1:9" x14ac:dyDescent="0.2">
      <c r="A824">
        <v>814</v>
      </c>
      <c r="B824">
        <v>931453.0087500026</v>
      </c>
      <c r="C824">
        <v>90045.494647639338</v>
      </c>
      <c r="D824">
        <v>33647.367190850571</v>
      </c>
      <c r="E824">
        <v>100553.99185562361</v>
      </c>
      <c r="F824">
        <v>42961.430205389326</v>
      </c>
      <c r="G824">
        <v>10000</v>
      </c>
      <c r="H824">
        <v>-10000</v>
      </c>
      <c r="I824">
        <v>34.686081092371552</v>
      </c>
    </row>
    <row r="825" spans="1:9" x14ac:dyDescent="0.2">
      <c r="A825">
        <v>815</v>
      </c>
      <c r="B825">
        <v>1390592.4903958291</v>
      </c>
      <c r="C825">
        <v>118263.5821355662</v>
      </c>
      <c r="D825">
        <v>45127.980240827877</v>
      </c>
      <c r="E825">
        <v>181111.42743513826</v>
      </c>
      <c r="F825">
        <v>48538.48343781726</v>
      </c>
      <c r="G825">
        <v>10000</v>
      </c>
      <c r="H825">
        <v>-10000</v>
      </c>
      <c r="I825">
        <v>40.606752402814038</v>
      </c>
    </row>
    <row r="826" spans="1:9" x14ac:dyDescent="0.2">
      <c r="A826">
        <v>816</v>
      </c>
      <c r="B826">
        <v>1418765.779481939</v>
      </c>
      <c r="C826">
        <v>118058.24111614886</v>
      </c>
      <c r="D826">
        <v>122402.88277521665</v>
      </c>
      <c r="E826">
        <v>116253.30271009896</v>
      </c>
      <c r="F826">
        <v>44048.305572237623</v>
      </c>
      <c r="G826">
        <v>10000</v>
      </c>
      <c r="H826">
        <v>-10000</v>
      </c>
      <c r="I826">
        <v>43.109534141516406</v>
      </c>
    </row>
    <row r="827" spans="1:9" x14ac:dyDescent="0.2">
      <c r="A827">
        <v>817</v>
      </c>
      <c r="B827">
        <v>1469786.2190671994</v>
      </c>
      <c r="C827">
        <v>100977.96204858179</v>
      </c>
      <c r="D827">
        <v>132177.65053036911</v>
      </c>
      <c r="E827">
        <v>136163.25267160565</v>
      </c>
      <c r="F827">
        <v>45426.686723418854</v>
      </c>
      <c r="G827">
        <v>10000</v>
      </c>
      <c r="H827">
        <v>-10000</v>
      </c>
      <c r="I827">
        <v>33.679793044917915</v>
      </c>
    </row>
    <row r="828" spans="1:9" x14ac:dyDescent="0.2">
      <c r="A828">
        <v>818</v>
      </c>
      <c r="B828">
        <v>1128825.1980983932</v>
      </c>
      <c r="C828">
        <v>105569.340785176</v>
      </c>
      <c r="D828">
        <v>95841.745753542622</v>
      </c>
      <c r="E828">
        <v>78457.928543481088</v>
      </c>
      <c r="F828">
        <v>41431.702745317918</v>
      </c>
      <c r="G828">
        <v>10000</v>
      </c>
      <c r="H828">
        <v>-10000</v>
      </c>
      <c r="I828">
        <v>35.100946653391681</v>
      </c>
    </row>
    <row r="829" spans="1:9" x14ac:dyDescent="0.2">
      <c r="A829">
        <v>819</v>
      </c>
      <c r="B829">
        <v>1483538.5090779059</v>
      </c>
      <c r="C829">
        <v>95575.629486069942</v>
      </c>
      <c r="D829">
        <v>130947.53020902876</v>
      </c>
      <c r="E829">
        <v>145891.22572097069</v>
      </c>
      <c r="F829">
        <v>46100.161780682582</v>
      </c>
      <c r="G829">
        <v>10000</v>
      </c>
      <c r="H829">
        <v>-10000</v>
      </c>
      <c r="I829">
        <v>36.572178308343837</v>
      </c>
    </row>
    <row r="830" spans="1:9" x14ac:dyDescent="0.2">
      <c r="A830">
        <v>820</v>
      </c>
      <c r="B830">
        <v>982872.19266017212</v>
      </c>
      <c r="C830">
        <v>105168.13512650812</v>
      </c>
      <c r="D830">
        <v>34079.311540430128</v>
      </c>
      <c r="E830">
        <v>99186.201136586242</v>
      </c>
      <c r="F830">
        <v>42866.737001763657</v>
      </c>
      <c r="G830">
        <v>10000</v>
      </c>
      <c r="H830">
        <v>-10000</v>
      </c>
      <c r="I830">
        <v>40.899124081572225</v>
      </c>
    </row>
    <row r="831" spans="1:9" x14ac:dyDescent="0.2">
      <c r="A831">
        <v>821</v>
      </c>
      <c r="B831">
        <v>1655537.2265621156</v>
      </c>
      <c r="C831">
        <v>117537.42715296894</v>
      </c>
      <c r="D831">
        <v>105041.34187590252</v>
      </c>
      <c r="E831">
        <v>193666.59257835077</v>
      </c>
      <c r="F831">
        <v>49407.687178501204</v>
      </c>
      <c r="G831">
        <v>10000</v>
      </c>
      <c r="H831">
        <v>-10000</v>
      </c>
      <c r="I831">
        <v>32.737733217543401</v>
      </c>
    </row>
    <row r="832" spans="1:9" x14ac:dyDescent="0.2">
      <c r="A832">
        <v>822</v>
      </c>
      <c r="B832">
        <v>1378037.0815842599</v>
      </c>
      <c r="C832">
        <v>92794.643500212303</v>
      </c>
      <c r="D832">
        <v>94995.7807497084</v>
      </c>
      <c r="E832">
        <v>155074.17062723229</v>
      </c>
      <c r="F832">
        <v>46735.904120346851</v>
      </c>
      <c r="G832">
        <v>10000</v>
      </c>
      <c r="H832">
        <v>-10000</v>
      </c>
      <c r="I832">
        <v>51.244428483010779</v>
      </c>
    </row>
    <row r="833" spans="1:9" x14ac:dyDescent="0.2">
      <c r="A833">
        <v>823</v>
      </c>
      <c r="B833">
        <v>1268596.2044025925</v>
      </c>
      <c r="C833">
        <v>121640.18495963035</v>
      </c>
      <c r="D833">
        <v>114246.3538955697</v>
      </c>
      <c r="E833">
        <v>82040.525465918618</v>
      </c>
      <c r="F833">
        <v>41679.728686102062</v>
      </c>
      <c r="G833">
        <v>10000</v>
      </c>
      <c r="H833">
        <v>-10000</v>
      </c>
      <c r="I833">
        <v>30.734404432115007</v>
      </c>
    </row>
    <row r="834" spans="1:9" x14ac:dyDescent="0.2">
      <c r="A834">
        <v>824</v>
      </c>
      <c r="B834">
        <v>1401746.8005036728</v>
      </c>
      <c r="C834">
        <v>160417.77033727674</v>
      </c>
      <c r="D834">
        <v>46875.959880727882</v>
      </c>
      <c r="E834">
        <v>142910.89653168232</v>
      </c>
      <c r="F834">
        <v>45893.831298347235</v>
      </c>
      <c r="G834">
        <v>10000</v>
      </c>
      <c r="H834">
        <v>-10000</v>
      </c>
      <c r="I834">
        <v>35.09390057151316</v>
      </c>
    </row>
    <row r="835" spans="1:9" x14ac:dyDescent="0.2">
      <c r="A835">
        <v>825</v>
      </c>
      <c r="B835">
        <v>971569.85671875428</v>
      </c>
      <c r="C835">
        <v>116305.25958535</v>
      </c>
      <c r="D835">
        <v>82238.523359884814</v>
      </c>
      <c r="E835">
        <v>40832.203766500948</v>
      </c>
      <c r="F835">
        <v>38826.844876142379</v>
      </c>
      <c r="G835">
        <v>10000</v>
      </c>
      <c r="H835">
        <v>-10000</v>
      </c>
      <c r="I835">
        <v>39.593116200216173</v>
      </c>
    </row>
    <row r="836" spans="1:9" x14ac:dyDescent="0.2">
      <c r="A836">
        <v>826</v>
      </c>
      <c r="B836">
        <v>1193685.961711311</v>
      </c>
      <c r="C836">
        <v>116785.95630249298</v>
      </c>
      <c r="D836">
        <v>84091.51920471857</v>
      </c>
      <c r="E836">
        <v>95581.970852194761</v>
      </c>
      <c r="F836">
        <v>42617.213366690405</v>
      </c>
      <c r="G836">
        <v>10000</v>
      </c>
      <c r="H836">
        <v>-10000</v>
      </c>
      <c r="I836">
        <v>25.270185237995499</v>
      </c>
    </row>
    <row r="837" spans="1:9" x14ac:dyDescent="0.2">
      <c r="A837">
        <v>827</v>
      </c>
      <c r="B837">
        <v>964554.03353453404</v>
      </c>
      <c r="C837">
        <v>143008.78505766226</v>
      </c>
      <c r="D837">
        <v>59928.691604279164</v>
      </c>
      <c r="E837">
        <v>34924.712002825181</v>
      </c>
      <c r="F837">
        <v>38417.864677118661</v>
      </c>
      <c r="G837">
        <v>10000</v>
      </c>
      <c r="H837">
        <v>-10000</v>
      </c>
      <c r="I837">
        <v>45.087689515760879</v>
      </c>
    </row>
    <row r="838" spans="1:9" x14ac:dyDescent="0.2">
      <c r="A838">
        <v>828</v>
      </c>
      <c r="B838">
        <v>835584.54599749774</v>
      </c>
      <c r="C838">
        <v>88360.852293940668</v>
      </c>
      <c r="D838">
        <v>84045.477263847089</v>
      </c>
      <c r="E838">
        <v>30421.820294460889</v>
      </c>
      <c r="F838">
        <v>38106.126020385753</v>
      </c>
      <c r="G838">
        <v>10000</v>
      </c>
      <c r="H838">
        <v>-10000</v>
      </c>
      <c r="I838">
        <v>37.054439862820672</v>
      </c>
    </row>
    <row r="839" spans="1:9" x14ac:dyDescent="0.2">
      <c r="A839">
        <v>829</v>
      </c>
      <c r="B839">
        <v>1545949.2719596294</v>
      </c>
      <c r="C839">
        <v>150943.58661007974</v>
      </c>
      <c r="D839">
        <v>66833.902654675563</v>
      </c>
      <c r="E839">
        <v>170067.63204890187</v>
      </c>
      <c r="F839">
        <v>47773.912988000899</v>
      </c>
      <c r="G839">
        <v>10000</v>
      </c>
      <c r="H839">
        <v>-10000</v>
      </c>
      <c r="I839">
        <v>42.24642369900716</v>
      </c>
    </row>
    <row r="840" spans="1:9" x14ac:dyDescent="0.2">
      <c r="A840">
        <v>830</v>
      </c>
      <c r="B840">
        <v>1092075.5271391894</v>
      </c>
      <c r="C840">
        <v>149895.76912234761</v>
      </c>
      <c r="D840">
        <v>84598.548050962519</v>
      </c>
      <c r="E840">
        <v>38097.175189092981</v>
      </c>
      <c r="F840">
        <v>38637.496743860283</v>
      </c>
      <c r="G840">
        <v>10000</v>
      </c>
      <c r="H840">
        <v>-10000</v>
      </c>
      <c r="I840">
        <v>33.797712551313218</v>
      </c>
    </row>
    <row r="841" spans="1:9" x14ac:dyDescent="0.2">
      <c r="A841">
        <v>831</v>
      </c>
      <c r="B841">
        <v>1056723.3518422761</v>
      </c>
      <c r="C841">
        <v>101341.79467767672</v>
      </c>
      <c r="D841">
        <v>73757.964140873708</v>
      </c>
      <c r="E841">
        <v>84584.643616257323</v>
      </c>
      <c r="F841">
        <v>41855.85994266397</v>
      </c>
      <c r="G841">
        <v>10000</v>
      </c>
      <c r="H841">
        <v>-10000</v>
      </c>
      <c r="I841">
        <v>28.689013844477778</v>
      </c>
    </row>
    <row r="842" spans="1:9" x14ac:dyDescent="0.2">
      <c r="A842">
        <v>832</v>
      </c>
      <c r="B842">
        <v>1344835.0907071359</v>
      </c>
      <c r="C842">
        <v>89212.978095996572</v>
      </c>
      <c r="D842">
        <v>68485.525796315109</v>
      </c>
      <c r="E842">
        <v>174707.42514914353</v>
      </c>
      <c r="F842">
        <v>48095.129433402239</v>
      </c>
      <c r="G842">
        <v>10000</v>
      </c>
      <c r="H842">
        <v>-10000</v>
      </c>
      <c r="I842">
        <v>35.507516777215592</v>
      </c>
    </row>
    <row r="843" spans="1:9" x14ac:dyDescent="0.2">
      <c r="A843">
        <v>833</v>
      </c>
      <c r="B843">
        <v>1568854.6387954869</v>
      </c>
      <c r="C843">
        <v>141277.15423258144</v>
      </c>
      <c r="D843">
        <v>58211.933485323541</v>
      </c>
      <c r="E843">
        <v>193042.95045477987</v>
      </c>
      <c r="F843">
        <v>49364.511954561684</v>
      </c>
      <c r="G843">
        <v>10000</v>
      </c>
      <c r="H843">
        <v>-10000</v>
      </c>
      <c r="I843">
        <v>40.615825012097403</v>
      </c>
    </row>
    <row r="844" spans="1:9" x14ac:dyDescent="0.2">
      <c r="A844">
        <v>834</v>
      </c>
      <c r="B844">
        <v>1377933.5834626232</v>
      </c>
      <c r="C844">
        <v>89735.274507542315</v>
      </c>
      <c r="D844">
        <v>84100.939671097847</v>
      </c>
      <c r="E844">
        <v>168098.34226167924</v>
      </c>
      <c r="F844">
        <v>47637.577541193175</v>
      </c>
      <c r="G844">
        <v>10000</v>
      </c>
      <c r="H844">
        <v>-10000</v>
      </c>
      <c r="I844">
        <v>31.003854973294338</v>
      </c>
    </row>
    <row r="845" spans="1:9" x14ac:dyDescent="0.2">
      <c r="A845">
        <v>835</v>
      </c>
      <c r="B845">
        <v>1295200.7461165607</v>
      </c>
      <c r="C845">
        <v>108689.98678983473</v>
      </c>
      <c r="D845">
        <v>152785.18463224021</v>
      </c>
      <c r="E845">
        <v>64927.933931997119</v>
      </c>
      <c r="F845">
        <v>40495.010810676722</v>
      </c>
      <c r="G845">
        <v>10000</v>
      </c>
      <c r="H845">
        <v>-10000</v>
      </c>
      <c r="I845">
        <v>44.035122096411953</v>
      </c>
    </row>
    <row r="846" spans="1:9" x14ac:dyDescent="0.2">
      <c r="A846">
        <v>836</v>
      </c>
      <c r="B846">
        <v>1147295.7592695821</v>
      </c>
      <c r="C846">
        <v>137743.64650779523</v>
      </c>
      <c r="D846">
        <v>92534.353458983605</v>
      </c>
      <c r="E846">
        <v>56194.433260007223</v>
      </c>
      <c r="F846">
        <v>39890.383841077419</v>
      </c>
      <c r="G846">
        <v>10000</v>
      </c>
      <c r="H846">
        <v>-10000</v>
      </c>
      <c r="I846">
        <v>41.875320089884937</v>
      </c>
    </row>
    <row r="847" spans="1:9" x14ac:dyDescent="0.2">
      <c r="A847">
        <v>837</v>
      </c>
      <c r="B847">
        <v>1402372.6108968596</v>
      </c>
      <c r="C847">
        <v>140462.44237732107</v>
      </c>
      <c r="D847">
        <v>76047.246021423271</v>
      </c>
      <c r="E847">
        <v>134452.0615401332</v>
      </c>
      <c r="F847">
        <v>45308.219645086145</v>
      </c>
      <c r="G847">
        <v>10000</v>
      </c>
      <c r="H847">
        <v>-10000</v>
      </c>
      <c r="I847">
        <v>42.252407077824387</v>
      </c>
    </row>
    <row r="848" spans="1:9" x14ac:dyDescent="0.2">
      <c r="A848">
        <v>838</v>
      </c>
      <c r="B848">
        <v>1301359.8749203673</v>
      </c>
      <c r="C848">
        <v>125640.42252977105</v>
      </c>
      <c r="D848">
        <v>127531.69913715372</v>
      </c>
      <c r="E848">
        <v>74272.071766043577</v>
      </c>
      <c r="F848">
        <v>41141.912660726091</v>
      </c>
      <c r="G848">
        <v>10000</v>
      </c>
      <c r="H848">
        <v>-10000</v>
      </c>
      <c r="I848">
        <v>43.323363259456841</v>
      </c>
    </row>
    <row r="849" spans="1:9" x14ac:dyDescent="0.2">
      <c r="A849">
        <v>839</v>
      </c>
      <c r="B849">
        <v>1249382.7289798004</v>
      </c>
      <c r="C849">
        <v>102899.66050020464</v>
      </c>
      <c r="D849">
        <v>127410.71260398118</v>
      </c>
      <c r="E849">
        <v>82330.884794601967</v>
      </c>
      <c r="F849">
        <v>41699.830485780134</v>
      </c>
      <c r="G849">
        <v>10000</v>
      </c>
      <c r="H849">
        <v>-10000</v>
      </c>
      <c r="I849">
        <v>26.390107039193261</v>
      </c>
    </row>
    <row r="850" spans="1:9" x14ac:dyDescent="0.2">
      <c r="A850">
        <v>840</v>
      </c>
      <c r="B850">
        <v>1242854.3343249594</v>
      </c>
      <c r="C850">
        <v>128723.93055841798</v>
      </c>
      <c r="D850">
        <v>130272.54278612096</v>
      </c>
      <c r="E850">
        <v>53828.812847287198</v>
      </c>
      <c r="F850">
        <v>39726.610120196812</v>
      </c>
      <c r="G850">
        <v>10000</v>
      </c>
      <c r="H850">
        <v>-10000</v>
      </c>
      <c r="I850">
        <v>34.250521211731126</v>
      </c>
    </row>
    <row r="851" spans="1:9" x14ac:dyDescent="0.2">
      <c r="A851">
        <v>841</v>
      </c>
      <c r="B851">
        <v>1230955.3025988999</v>
      </c>
      <c r="C851">
        <v>140063.08033811141</v>
      </c>
      <c r="D851">
        <v>126910.81632990454</v>
      </c>
      <c r="E851">
        <v>43317.977244371315</v>
      </c>
      <c r="F851">
        <v>38998.936886148782</v>
      </c>
      <c r="G851">
        <v>10000</v>
      </c>
      <c r="H851">
        <v>-10000</v>
      </c>
      <c r="I851">
        <v>30.763627383297028</v>
      </c>
    </row>
    <row r="852" spans="1:9" x14ac:dyDescent="0.2">
      <c r="A852">
        <v>842</v>
      </c>
      <c r="B852">
        <v>868042.45912894385</v>
      </c>
      <c r="C852">
        <v>85019.503131628124</v>
      </c>
      <c r="D852">
        <v>52065.517382828111</v>
      </c>
      <c r="E852">
        <v>71775.685694991291</v>
      </c>
      <c r="F852">
        <v>40969.085932730166</v>
      </c>
      <c r="G852">
        <v>10000</v>
      </c>
      <c r="H852">
        <v>-10000</v>
      </c>
      <c r="I852">
        <v>35.436041524827004</v>
      </c>
    </row>
    <row r="853" spans="1:9" x14ac:dyDescent="0.2">
      <c r="A853">
        <v>843</v>
      </c>
      <c r="B853">
        <v>1003593.1917309449</v>
      </c>
      <c r="C853">
        <v>122844.08653187088</v>
      </c>
      <c r="D853">
        <v>91384.249136089988</v>
      </c>
      <c r="E853">
        <v>34371.355015952147</v>
      </c>
      <c r="F853">
        <v>38379.555347258225</v>
      </c>
      <c r="G853">
        <v>10000</v>
      </c>
      <c r="H853">
        <v>-10000</v>
      </c>
      <c r="I853">
        <v>40.707206386471675</v>
      </c>
    </row>
    <row r="854" spans="1:9" x14ac:dyDescent="0.2">
      <c r="A854">
        <v>844</v>
      </c>
      <c r="B854">
        <v>1243319.5515700439</v>
      </c>
      <c r="C854">
        <v>118601.52062923537</v>
      </c>
      <c r="D854">
        <v>131363.78590158539</v>
      </c>
      <c r="E854">
        <v>62394.471409789832</v>
      </c>
      <c r="F854">
        <v>40319.617251446994</v>
      </c>
      <c r="G854">
        <v>10000</v>
      </c>
      <c r="H854">
        <v>-10000</v>
      </c>
      <c r="I854">
        <v>34.399808229474395</v>
      </c>
    </row>
    <row r="855" spans="1:9" x14ac:dyDescent="0.2">
      <c r="A855">
        <v>845</v>
      </c>
      <c r="B855">
        <v>1524320.8987212414</v>
      </c>
      <c r="C855">
        <v>120599.11311309748</v>
      </c>
      <c r="D855">
        <v>51556.43440342816</v>
      </c>
      <c r="E855">
        <v>207191.89360967267</v>
      </c>
      <c r="F855">
        <v>50344.054172977332</v>
      </c>
      <c r="G855">
        <v>10000</v>
      </c>
      <c r="H855">
        <v>-10000</v>
      </c>
      <c r="I855">
        <v>39.017464109770096</v>
      </c>
    </row>
    <row r="856" spans="1:9" x14ac:dyDescent="0.2">
      <c r="A856">
        <v>846</v>
      </c>
      <c r="B856">
        <v>1139402.9732289002</v>
      </c>
      <c r="C856">
        <v>79854.781135703277</v>
      </c>
      <c r="D856">
        <v>61320.773198905801</v>
      </c>
      <c r="E856">
        <v>137504.59260971649</v>
      </c>
      <c r="F856">
        <v>45519.548719134218</v>
      </c>
      <c r="G856">
        <v>10000</v>
      </c>
      <c r="H856">
        <v>-10000</v>
      </c>
      <c r="I856">
        <v>36.173153400535199</v>
      </c>
    </row>
    <row r="857" spans="1:9" x14ac:dyDescent="0.2">
      <c r="A857">
        <v>847</v>
      </c>
      <c r="B857">
        <v>1201154.53204834</v>
      </c>
      <c r="C857">
        <v>117972.36123329069</v>
      </c>
      <c r="D857">
        <v>129049.36825413724</v>
      </c>
      <c r="E857">
        <v>54339.803384407351</v>
      </c>
      <c r="F857">
        <v>39761.986388151279</v>
      </c>
      <c r="G857">
        <v>10000</v>
      </c>
      <c r="H857">
        <v>-10000</v>
      </c>
      <c r="I857">
        <v>45.008701087522553</v>
      </c>
    </row>
    <row r="858" spans="1:9" x14ac:dyDescent="0.2">
      <c r="A858">
        <v>848</v>
      </c>
      <c r="B858">
        <v>1039614.4981047792</v>
      </c>
      <c r="C858">
        <v>140942.07069097305</v>
      </c>
      <c r="D858">
        <v>87855.637710593786</v>
      </c>
      <c r="E858">
        <v>29978.232405557996</v>
      </c>
      <c r="F858">
        <v>38075.416089615552</v>
      </c>
      <c r="G858">
        <v>10000</v>
      </c>
      <c r="H858">
        <v>-10000</v>
      </c>
      <c r="I858">
        <v>34.018326095199484</v>
      </c>
    </row>
    <row r="859" spans="1:9" x14ac:dyDescent="0.2">
      <c r="A859">
        <v>849</v>
      </c>
      <c r="B859">
        <v>1298075.7984112436</v>
      </c>
      <c r="C859">
        <v>142106.04409565037</v>
      </c>
      <c r="D859">
        <v>76929.222633403711</v>
      </c>
      <c r="E859">
        <v>105356.85879977296</v>
      </c>
      <c r="F859">
        <v>43293.936378445818</v>
      </c>
      <c r="G859">
        <v>10000</v>
      </c>
      <c r="H859">
        <v>-10000</v>
      </c>
      <c r="I859">
        <v>30.23383441850666</v>
      </c>
    </row>
    <row r="860" spans="1:9" x14ac:dyDescent="0.2">
      <c r="A860">
        <v>850</v>
      </c>
      <c r="B860">
        <v>1615680.8394693295</v>
      </c>
      <c r="C860">
        <v>135761.74254686784</v>
      </c>
      <c r="D860">
        <v>83861.649461046254</v>
      </c>
      <c r="E860">
        <v>186214.70456521667</v>
      </c>
      <c r="F860">
        <v>48891.78723913039</v>
      </c>
      <c r="G860">
        <v>10000</v>
      </c>
      <c r="H860">
        <v>-10000</v>
      </c>
      <c r="I860">
        <v>31.178572269775501</v>
      </c>
    </row>
    <row r="861" spans="1:9" x14ac:dyDescent="0.2">
      <c r="A861">
        <v>851</v>
      </c>
      <c r="B861">
        <v>1342148.3966096961</v>
      </c>
      <c r="C861">
        <v>122836.40970458651</v>
      </c>
      <c r="D861">
        <v>48604.548864595883</v>
      </c>
      <c r="E861">
        <v>161166.12162072328</v>
      </c>
      <c r="F861">
        <v>47157.654573742373</v>
      </c>
      <c r="G861">
        <v>10000</v>
      </c>
      <c r="H861">
        <v>-10000</v>
      </c>
      <c r="I861">
        <v>38.738413506452872</v>
      </c>
    </row>
    <row r="862" spans="1:9" x14ac:dyDescent="0.2">
      <c r="A862">
        <v>852</v>
      </c>
      <c r="B862">
        <v>1478931.6119260977</v>
      </c>
      <c r="C862">
        <v>119505.35934022946</v>
      </c>
      <c r="D862">
        <v>71220.576608152056</v>
      </c>
      <c r="E862">
        <v>178189.81291930901</v>
      </c>
      <c r="F862">
        <v>48336.217817490622</v>
      </c>
      <c r="G862">
        <v>10000</v>
      </c>
      <c r="H862">
        <v>-10000</v>
      </c>
      <c r="I862">
        <v>40.638396886079249</v>
      </c>
    </row>
    <row r="863" spans="1:9" x14ac:dyDescent="0.2">
      <c r="A863">
        <v>853</v>
      </c>
      <c r="B863">
        <v>1225093.5280924679</v>
      </c>
      <c r="C863">
        <v>137485.23144403278</v>
      </c>
      <c r="D863">
        <v>68010.78038688573</v>
      </c>
      <c r="E863">
        <v>99312.801253740879</v>
      </c>
      <c r="F863">
        <v>42875.501625258985</v>
      </c>
      <c r="G863">
        <v>10000</v>
      </c>
      <c r="H863">
        <v>-10000</v>
      </c>
      <c r="I863">
        <v>32.029065252573254</v>
      </c>
    </row>
    <row r="864" spans="1:9" x14ac:dyDescent="0.2">
      <c r="A864">
        <v>854</v>
      </c>
      <c r="B864">
        <v>1068811.9008486089</v>
      </c>
      <c r="C864">
        <v>99331.155918305012</v>
      </c>
      <c r="D864">
        <v>46604.742964608748</v>
      </c>
      <c r="E864">
        <v>114958.70885728141</v>
      </c>
      <c r="F864">
        <v>43958.679843965634</v>
      </c>
      <c r="G864">
        <v>10000</v>
      </c>
      <c r="H864">
        <v>-10000</v>
      </c>
      <c r="I864">
        <v>26.943008096254008</v>
      </c>
    </row>
    <row r="865" spans="1:9" x14ac:dyDescent="0.2">
      <c r="A865">
        <v>855</v>
      </c>
      <c r="B865">
        <v>1260621.1564986762</v>
      </c>
      <c r="C865">
        <v>116179.34806700493</v>
      </c>
      <c r="D865">
        <v>34898.474522133511</v>
      </c>
      <c r="E865">
        <v>159313.88150664204</v>
      </c>
      <c r="F865">
        <v>47029.422565844448</v>
      </c>
      <c r="G865">
        <v>10000</v>
      </c>
      <c r="H865">
        <v>-10000</v>
      </c>
      <c r="I865">
        <v>31.503546022855577</v>
      </c>
    </row>
    <row r="866" spans="1:9" x14ac:dyDescent="0.2">
      <c r="A866">
        <v>856</v>
      </c>
      <c r="B866">
        <v>1333849.1229649852</v>
      </c>
      <c r="C866">
        <v>106220.44556843681</v>
      </c>
      <c r="D866">
        <v>109256.42368738643</v>
      </c>
      <c r="E866">
        <v>117854.20367344248</v>
      </c>
      <c r="F866">
        <v>44159.137177392171</v>
      </c>
      <c r="G866">
        <v>10000</v>
      </c>
      <c r="H866">
        <v>-10000</v>
      </c>
      <c r="I866">
        <v>34.366064007897364</v>
      </c>
    </row>
    <row r="867" spans="1:9" x14ac:dyDescent="0.2">
      <c r="A867">
        <v>857</v>
      </c>
      <c r="B867">
        <v>1074448.1541026025</v>
      </c>
      <c r="C867">
        <v>94676.088962430673</v>
      </c>
      <c r="D867">
        <v>69559.870118672334</v>
      </c>
      <c r="E867">
        <v>99288.217841551901</v>
      </c>
      <c r="F867">
        <v>42873.799696722825</v>
      </c>
      <c r="G867">
        <v>10000</v>
      </c>
      <c r="H867">
        <v>-10000</v>
      </c>
      <c r="I867">
        <v>36.06279921062</v>
      </c>
    </row>
    <row r="868" spans="1:9" x14ac:dyDescent="0.2">
      <c r="A868">
        <v>858</v>
      </c>
      <c r="B868">
        <v>908133.42958057276</v>
      </c>
      <c r="C868">
        <v>83778.480850282998</v>
      </c>
      <c r="D868">
        <v>59152.336990467316</v>
      </c>
      <c r="E868">
        <v>76584.430857867061</v>
      </c>
      <c r="F868">
        <v>41301.999059390793</v>
      </c>
      <c r="G868">
        <v>10000</v>
      </c>
      <c r="H868">
        <v>-10000</v>
      </c>
      <c r="I868">
        <v>30.063830417788797</v>
      </c>
    </row>
    <row r="869" spans="1:9" x14ac:dyDescent="0.2">
      <c r="A869">
        <v>859</v>
      </c>
      <c r="B869">
        <v>1181544.2683258019</v>
      </c>
      <c r="C869">
        <v>125025.91463895312</v>
      </c>
      <c r="D869">
        <v>130491.49180824065</v>
      </c>
      <c r="E869">
        <v>41367.742522755812</v>
      </c>
      <c r="F869">
        <v>38863.920636190793</v>
      </c>
      <c r="G869">
        <v>10000</v>
      </c>
      <c r="H869">
        <v>-10000</v>
      </c>
      <c r="I869">
        <v>32.823924611897638</v>
      </c>
    </row>
    <row r="870" spans="1:9" x14ac:dyDescent="0.2">
      <c r="A870">
        <v>860</v>
      </c>
      <c r="B870">
        <v>1111059.5564427855</v>
      </c>
      <c r="C870">
        <v>117644.60993063547</v>
      </c>
      <c r="D870">
        <v>70853.52160056452</v>
      </c>
      <c r="E870">
        <v>85981.139084976749</v>
      </c>
      <c r="F870">
        <v>41952.5403981907</v>
      </c>
      <c r="G870">
        <v>10000</v>
      </c>
      <c r="H870">
        <v>-10000</v>
      </c>
      <c r="I870">
        <v>39.962760063529387</v>
      </c>
    </row>
    <row r="871" spans="1:9" x14ac:dyDescent="0.2">
      <c r="A871">
        <v>861</v>
      </c>
      <c r="B871">
        <v>1483843.7466101502</v>
      </c>
      <c r="C871">
        <v>115982.6853229897</v>
      </c>
      <c r="D871">
        <v>60726.10914605327</v>
      </c>
      <c r="E871">
        <v>192558.43826860658</v>
      </c>
      <c r="F871">
        <v>49330.968803211224</v>
      </c>
      <c r="G871">
        <v>10000</v>
      </c>
      <c r="H871">
        <v>-10000</v>
      </c>
      <c r="I871">
        <v>38.102070132342092</v>
      </c>
    </row>
    <row r="872" spans="1:9" x14ac:dyDescent="0.2">
      <c r="A872">
        <v>862</v>
      </c>
      <c r="B872">
        <v>1108697.4826594722</v>
      </c>
      <c r="C872">
        <v>103778.20957396162</v>
      </c>
      <c r="D872">
        <v>47356.563826801816</v>
      </c>
      <c r="E872">
        <v>120319.84493331856</v>
      </c>
      <c r="F872">
        <v>44329.835418460512</v>
      </c>
      <c r="G872">
        <v>10000</v>
      </c>
      <c r="H872">
        <v>-10000</v>
      </c>
      <c r="I872">
        <v>45.11046582222788</v>
      </c>
    </row>
    <row r="873" spans="1:9" x14ac:dyDescent="0.2">
      <c r="A873">
        <v>863</v>
      </c>
      <c r="B873">
        <v>1141126.8694018938</v>
      </c>
      <c r="C873">
        <v>109050.34672397758</v>
      </c>
      <c r="D873">
        <v>82341.187725111318</v>
      </c>
      <c r="E873">
        <v>90981.872521677607</v>
      </c>
      <c r="F873">
        <v>42298.745020731527</v>
      </c>
      <c r="G873">
        <v>10000</v>
      </c>
      <c r="H873">
        <v>-10000</v>
      </c>
      <c r="I873">
        <v>39.956493109154863</v>
      </c>
    </row>
    <row r="874" spans="1:9" x14ac:dyDescent="0.2">
      <c r="A874">
        <v>864</v>
      </c>
      <c r="B874">
        <v>1101075.3782225067</v>
      </c>
      <c r="C874">
        <v>109409.91105697502</v>
      </c>
      <c r="D874">
        <v>75215.33419780893</v>
      </c>
      <c r="E874">
        <v>87044.138282280401</v>
      </c>
      <c r="F874">
        <v>42026.132650311716</v>
      </c>
      <c r="G874">
        <v>10000</v>
      </c>
      <c r="H874">
        <v>-10000</v>
      </c>
      <c r="I874">
        <v>35.050150530979835</v>
      </c>
    </row>
    <row r="875" spans="1:9" x14ac:dyDescent="0.2">
      <c r="A875">
        <v>865</v>
      </c>
      <c r="B875">
        <v>1628465.2360520787</v>
      </c>
      <c r="C875">
        <v>115386.23657870571</v>
      </c>
      <c r="D875">
        <v>86123.270774602919</v>
      </c>
      <c r="E875">
        <v>206432.61881424108</v>
      </c>
      <c r="F875">
        <v>50291.488994832078</v>
      </c>
      <c r="G875">
        <v>10000</v>
      </c>
      <c r="H875">
        <v>-10000</v>
      </c>
      <c r="I875">
        <v>35.738329028573816</v>
      </c>
    </row>
    <row r="876" spans="1:9" x14ac:dyDescent="0.2">
      <c r="A876">
        <v>866</v>
      </c>
      <c r="B876">
        <v>1282900.6452801398</v>
      </c>
      <c r="C876">
        <v>119806.62473977609</v>
      </c>
      <c r="D876">
        <v>84015.215151415818</v>
      </c>
      <c r="E876">
        <v>115695.57861269584</v>
      </c>
      <c r="F876">
        <v>44009.693903955864</v>
      </c>
      <c r="G876">
        <v>10000</v>
      </c>
      <c r="H876">
        <v>-10000</v>
      </c>
      <c r="I876">
        <v>31.203483898989688</v>
      </c>
    </row>
    <row r="877" spans="1:9" x14ac:dyDescent="0.2">
      <c r="A877">
        <v>867</v>
      </c>
      <c r="B877">
        <v>1021984.5844856342</v>
      </c>
      <c r="C877">
        <v>134331.25112813053</v>
      </c>
      <c r="D877">
        <v>73578.74495880476</v>
      </c>
      <c r="E877">
        <v>44994.638601357066</v>
      </c>
      <c r="F877">
        <v>39115.013441632414</v>
      </c>
      <c r="G877">
        <v>10000</v>
      </c>
      <c r="H877">
        <v>-10000</v>
      </c>
      <c r="I877">
        <v>38.34615404205266</v>
      </c>
    </row>
    <row r="878" spans="1:9" x14ac:dyDescent="0.2">
      <c r="A878">
        <v>868</v>
      </c>
      <c r="B878">
        <v>1331496.8368302332</v>
      </c>
      <c r="C878">
        <v>109082.88496625585</v>
      </c>
      <c r="D878">
        <v>169625.24673765156</v>
      </c>
      <c r="E878">
        <v>58114.118450714122</v>
      </c>
      <c r="F878">
        <v>40023.285123510977</v>
      </c>
      <c r="G878">
        <v>10000</v>
      </c>
      <c r="H878">
        <v>-10000</v>
      </c>
      <c r="I878">
        <v>50.201417885521167</v>
      </c>
    </row>
    <row r="879" spans="1:9" x14ac:dyDescent="0.2">
      <c r="A879">
        <v>869</v>
      </c>
      <c r="B879">
        <v>1232054.8162789519</v>
      </c>
      <c r="C879">
        <v>123185.78337765945</v>
      </c>
      <c r="D879">
        <v>72936.920377650065</v>
      </c>
      <c r="E879">
        <v>109863.50800081481</v>
      </c>
      <c r="F879">
        <v>43605.935169287179</v>
      </c>
      <c r="G879">
        <v>10000</v>
      </c>
      <c r="H879">
        <v>-10000</v>
      </c>
      <c r="I879">
        <v>34.98769199981983</v>
      </c>
    </row>
    <row r="880" spans="1:9" x14ac:dyDescent="0.2">
      <c r="A880">
        <v>870</v>
      </c>
      <c r="B880">
        <v>1611703.3229725901</v>
      </c>
      <c r="C880">
        <v>133592.5873392073</v>
      </c>
      <c r="D880">
        <v>72434.685766207826</v>
      </c>
      <c r="E880">
        <v>197910.99012281577</v>
      </c>
      <c r="F880">
        <v>49701.5300854257</v>
      </c>
      <c r="G880">
        <v>10000</v>
      </c>
      <c r="H880">
        <v>-10000</v>
      </c>
      <c r="I880">
        <v>28.975049492260609</v>
      </c>
    </row>
    <row r="881" spans="1:9" x14ac:dyDescent="0.2">
      <c r="A881">
        <v>871</v>
      </c>
      <c r="B881">
        <v>1280869.5089758809</v>
      </c>
      <c r="C881">
        <v>104464.98216929731</v>
      </c>
      <c r="D881">
        <v>144761.11668058473</v>
      </c>
      <c r="E881">
        <v>72710.546950731048</v>
      </c>
      <c r="F881">
        <v>41033.807096589073</v>
      </c>
      <c r="G881">
        <v>10000</v>
      </c>
      <c r="H881">
        <v>-10000</v>
      </c>
      <c r="I881">
        <v>37.362056239338571</v>
      </c>
    </row>
    <row r="882" spans="1:9" x14ac:dyDescent="0.2">
      <c r="A882">
        <v>872</v>
      </c>
      <c r="B882">
        <v>826355.39906085841</v>
      </c>
      <c r="C882">
        <v>121882.12694892814</v>
      </c>
      <c r="D882">
        <v>47653.147939732298</v>
      </c>
      <c r="E882">
        <v>30741.382792688324</v>
      </c>
      <c r="F882">
        <v>38128.249577955343</v>
      </c>
      <c r="G882">
        <v>10000</v>
      </c>
      <c r="H882">
        <v>-10000</v>
      </c>
      <c r="I882">
        <v>38.126258447532926</v>
      </c>
    </row>
    <row r="883" spans="1:9" x14ac:dyDescent="0.2">
      <c r="A883">
        <v>873</v>
      </c>
      <c r="B883">
        <v>1130864.3027947883</v>
      </c>
      <c r="C883">
        <v>97450.71847666055</v>
      </c>
      <c r="D883">
        <v>93260.877913298347</v>
      </c>
      <c r="E883">
        <v>88987.305199697264</v>
      </c>
      <c r="F883">
        <v>42160.65959074827</v>
      </c>
      <c r="G883">
        <v>10000</v>
      </c>
      <c r="H883">
        <v>-10000</v>
      </c>
      <c r="I883">
        <v>37.002303150262748</v>
      </c>
    </row>
    <row r="884" spans="1:9" x14ac:dyDescent="0.2">
      <c r="A884">
        <v>874</v>
      </c>
      <c r="B884">
        <v>1364944.4242367439</v>
      </c>
      <c r="C884">
        <v>97820.544021346694</v>
      </c>
      <c r="D884">
        <v>104660.28377246794</v>
      </c>
      <c r="E884">
        <v>137979.06045962224</v>
      </c>
      <c r="F884">
        <v>45552.396493358458</v>
      </c>
      <c r="G884">
        <v>10000</v>
      </c>
      <c r="H884">
        <v>-10000</v>
      </c>
      <c r="I884">
        <v>33.683705199248578</v>
      </c>
    </row>
    <row r="885" spans="1:9" x14ac:dyDescent="0.2">
      <c r="A885">
        <v>875</v>
      </c>
      <c r="B885">
        <v>1586666.1500582306</v>
      </c>
      <c r="C885">
        <v>143287.74816828832</v>
      </c>
      <c r="D885">
        <v>51869.112280190202</v>
      </c>
      <c r="E885">
        <v>201660.08486057373</v>
      </c>
      <c r="F885">
        <v>49961.082798039723</v>
      </c>
      <c r="G885">
        <v>10000</v>
      </c>
      <c r="H885">
        <v>-10000</v>
      </c>
      <c r="I885">
        <v>36.923921783995482</v>
      </c>
    </row>
    <row r="886" spans="1:9" x14ac:dyDescent="0.2">
      <c r="A886">
        <v>876</v>
      </c>
      <c r="B886">
        <v>1003781.6221190084</v>
      </c>
      <c r="C886">
        <v>97494.950601465185</v>
      </c>
      <c r="D886">
        <v>64405.647922398872</v>
      </c>
      <c r="E886">
        <v>83359.263396043432</v>
      </c>
      <c r="F886">
        <v>41771.025927418392</v>
      </c>
      <c r="G886">
        <v>10000</v>
      </c>
      <c r="H886">
        <v>-10000</v>
      </c>
      <c r="I886">
        <v>46.534978363338595</v>
      </c>
    </row>
    <row r="887" spans="1:9" x14ac:dyDescent="0.2">
      <c r="A887">
        <v>877</v>
      </c>
      <c r="B887">
        <v>1093152.3527905245</v>
      </c>
      <c r="C887">
        <v>112498.36365445133</v>
      </c>
      <c r="D887">
        <v>132154.20541573552</v>
      </c>
      <c r="E887">
        <v>28872.66163664046</v>
      </c>
      <c r="F887">
        <v>37998.87657484434</v>
      </c>
      <c r="G887">
        <v>10000</v>
      </c>
      <c r="H887">
        <v>-10000</v>
      </c>
      <c r="I887">
        <v>33.535386667183701</v>
      </c>
    </row>
    <row r="888" spans="1:9" x14ac:dyDescent="0.2">
      <c r="A888">
        <v>878</v>
      </c>
      <c r="B888">
        <v>1495696.5551947504</v>
      </c>
      <c r="C888">
        <v>86880.40559074792</v>
      </c>
      <c r="D888">
        <v>125667.18964467738</v>
      </c>
      <c r="E888">
        <v>162078.22366184849</v>
      </c>
      <c r="F888">
        <v>47220.800099666434</v>
      </c>
      <c r="G888">
        <v>10000</v>
      </c>
      <c r="H888">
        <v>-10000</v>
      </c>
      <c r="I888">
        <v>33.71653939974486</v>
      </c>
    </row>
    <row r="889" spans="1:9" x14ac:dyDescent="0.2">
      <c r="A889">
        <v>879</v>
      </c>
      <c r="B889">
        <v>1274758.9799112035</v>
      </c>
      <c r="C889">
        <v>110239.51316066344</v>
      </c>
      <c r="D889">
        <v>123912.04023809779</v>
      </c>
      <c r="E889">
        <v>85242.804067635865</v>
      </c>
      <c r="F889">
        <v>41901.424896990175</v>
      </c>
      <c r="G889">
        <v>10000</v>
      </c>
      <c r="H889">
        <v>-10000</v>
      </c>
      <c r="I889">
        <v>31.869899452512648</v>
      </c>
    </row>
    <row r="890" spans="1:9" x14ac:dyDescent="0.2">
      <c r="A890">
        <v>880</v>
      </c>
      <c r="B890">
        <v>1613324.5691676619</v>
      </c>
      <c r="C890">
        <v>117445.99351138099</v>
      </c>
      <c r="D890">
        <v>162616.08230988725</v>
      </c>
      <c r="E890">
        <v>129085.36231952152</v>
      </c>
      <c r="F890">
        <v>44936.678929813032</v>
      </c>
      <c r="G890">
        <v>10000</v>
      </c>
      <c r="H890">
        <v>-10000</v>
      </c>
      <c r="I890">
        <v>34.905553036108564</v>
      </c>
    </row>
    <row r="891" spans="1:9" x14ac:dyDescent="0.2">
      <c r="A891">
        <v>881</v>
      </c>
      <c r="B891">
        <v>1276043.0813429407</v>
      </c>
      <c r="C891">
        <v>72687.025197024501</v>
      </c>
      <c r="D891">
        <v>159929.18287419196</v>
      </c>
      <c r="E891">
        <v>87007.876865809478</v>
      </c>
      <c r="F891">
        <v>42023.622244556042</v>
      </c>
      <c r="G891">
        <v>10000</v>
      </c>
      <c r="H891">
        <v>-10000</v>
      </c>
      <c r="I891">
        <v>31.398148136127784</v>
      </c>
    </row>
    <row r="892" spans="1:9" x14ac:dyDescent="0.2">
      <c r="A892">
        <v>882</v>
      </c>
      <c r="B892">
        <v>1914991.5572596311</v>
      </c>
      <c r="C892">
        <v>143854.20723103272</v>
      </c>
      <c r="D892">
        <v>154423.72827596896</v>
      </c>
      <c r="E892">
        <v>189371.62781201405</v>
      </c>
      <c r="F892">
        <v>49110.343463908663</v>
      </c>
      <c r="G892">
        <v>10000</v>
      </c>
      <c r="H892">
        <v>-10000</v>
      </c>
      <c r="I892">
        <v>32.814019104521151</v>
      </c>
    </row>
    <row r="893" spans="1:9" x14ac:dyDescent="0.2">
      <c r="A893">
        <v>883</v>
      </c>
      <c r="B893">
        <v>1031780.8728676958</v>
      </c>
      <c r="C893">
        <v>154493.67341271203</v>
      </c>
      <c r="D893">
        <v>62877.538527749646</v>
      </c>
      <c r="E893">
        <v>38656.984567327956</v>
      </c>
      <c r="F893">
        <v>38676.252777738089</v>
      </c>
      <c r="G893">
        <v>10000</v>
      </c>
      <c r="H893">
        <v>-10000</v>
      </c>
      <c r="I893">
        <v>39.487955710608645</v>
      </c>
    </row>
    <row r="894" spans="1:9" x14ac:dyDescent="0.2">
      <c r="A894">
        <v>884</v>
      </c>
      <c r="B894">
        <v>994905.51879198826</v>
      </c>
      <c r="C894">
        <v>147644.09216069456</v>
      </c>
      <c r="D894">
        <v>34634.607480640072</v>
      </c>
      <c r="E894">
        <v>62025.502564065151</v>
      </c>
      <c r="F894">
        <v>40294.07325443528</v>
      </c>
      <c r="G894">
        <v>10000</v>
      </c>
      <c r="H894">
        <v>-10000</v>
      </c>
      <c r="I894">
        <v>32.143449020745223</v>
      </c>
    </row>
    <row r="895" spans="1:9" x14ac:dyDescent="0.2">
      <c r="A895">
        <v>885</v>
      </c>
      <c r="B895">
        <v>1101905.9102262566</v>
      </c>
      <c r="C895">
        <v>133554.56467726539</v>
      </c>
      <c r="D895">
        <v>55258.909594177261</v>
      </c>
      <c r="E895">
        <v>83339.969869231179</v>
      </c>
      <c r="F895">
        <v>41769.69022171601</v>
      </c>
      <c r="G895">
        <v>10000</v>
      </c>
      <c r="H895">
        <v>-10000</v>
      </c>
      <c r="I895">
        <v>34.401372634154171</v>
      </c>
    </row>
    <row r="896" spans="1:9" x14ac:dyDescent="0.2">
      <c r="A896">
        <v>886</v>
      </c>
      <c r="B896">
        <v>1405022.0115459696</v>
      </c>
      <c r="C896">
        <v>110789.65356290946</v>
      </c>
      <c r="D896">
        <v>62442.916638503775</v>
      </c>
      <c r="E896">
        <v>175606.15326362979</v>
      </c>
      <c r="F896">
        <v>48157.349072097444</v>
      </c>
      <c r="G896">
        <v>10000</v>
      </c>
      <c r="H896">
        <v>-10000</v>
      </c>
      <c r="I896">
        <v>34.292840137358638</v>
      </c>
    </row>
    <row r="897" spans="1:9" x14ac:dyDescent="0.2">
      <c r="A897">
        <v>887</v>
      </c>
      <c r="B897">
        <v>1421203.8185126691</v>
      </c>
      <c r="C897">
        <v>100572.30539821157</v>
      </c>
      <c r="D897">
        <v>101436.12331666921</v>
      </c>
      <c r="E897">
        <v>152841.16833764737</v>
      </c>
      <c r="F897">
        <v>46581.311654144818</v>
      </c>
      <c r="G897">
        <v>10000</v>
      </c>
      <c r="H897">
        <v>-10000</v>
      </c>
      <c r="I897">
        <v>33.984661742252882</v>
      </c>
    </row>
    <row r="898" spans="1:9" x14ac:dyDescent="0.2">
      <c r="A898">
        <v>888</v>
      </c>
      <c r="B898">
        <v>1767680.5891853631</v>
      </c>
      <c r="C898">
        <v>147471.09668231528</v>
      </c>
      <c r="D898">
        <v>96859.93613784085</v>
      </c>
      <c r="E898">
        <v>202067.11189878065</v>
      </c>
      <c r="F898">
        <v>49989.261592992509</v>
      </c>
      <c r="G898">
        <v>10000</v>
      </c>
      <c r="H898">
        <v>-10000</v>
      </c>
      <c r="I898">
        <v>32.634102274152198</v>
      </c>
    </row>
    <row r="899" spans="1:9" x14ac:dyDescent="0.2">
      <c r="A899">
        <v>889</v>
      </c>
      <c r="B899">
        <v>1507667.2392489221</v>
      </c>
      <c r="C899">
        <v>101040.58573658217</v>
      </c>
      <c r="D899">
        <v>74454.993712949523</v>
      </c>
      <c r="E899">
        <v>199799.48993957741</v>
      </c>
      <c r="F899">
        <v>49832.272380432281</v>
      </c>
      <c r="G899">
        <v>10000</v>
      </c>
      <c r="H899">
        <v>-10000</v>
      </c>
      <c r="I899">
        <v>36.144361201116212</v>
      </c>
    </row>
    <row r="900" spans="1:9" x14ac:dyDescent="0.2">
      <c r="A900">
        <v>890</v>
      </c>
      <c r="B900">
        <v>1752110.1491221092</v>
      </c>
      <c r="C900">
        <v>147415.38581423622</v>
      </c>
      <c r="D900">
        <v>123971.56968211457</v>
      </c>
      <c r="E900">
        <v>172772.02739621291</v>
      </c>
      <c r="F900">
        <v>47961.140358199358</v>
      </c>
      <c r="G900">
        <v>10000</v>
      </c>
      <c r="H900">
        <v>-10000</v>
      </c>
      <c r="I900">
        <v>38.246940585007671</v>
      </c>
    </row>
    <row r="901" spans="1:9" x14ac:dyDescent="0.2">
      <c r="A901">
        <v>891</v>
      </c>
      <c r="B901">
        <v>1394469.4750845521</v>
      </c>
      <c r="C901">
        <v>108536.11977880447</v>
      </c>
      <c r="D901">
        <v>62895.852684551654</v>
      </c>
      <c r="E901">
        <v>174585.36042692771</v>
      </c>
      <c r="F901">
        <v>48086.678798787303</v>
      </c>
      <c r="G901">
        <v>10000</v>
      </c>
      <c r="H901">
        <v>-10000</v>
      </c>
      <c r="I901">
        <v>38.073330634504842</v>
      </c>
    </row>
    <row r="902" spans="1:9" x14ac:dyDescent="0.2">
      <c r="A902">
        <v>892</v>
      </c>
      <c r="B902">
        <v>1546000.3070247988</v>
      </c>
      <c r="C902">
        <v>119969.82116744525</v>
      </c>
      <c r="D902">
        <v>94729.949829064222</v>
      </c>
      <c r="E902">
        <v>172959.154800911</v>
      </c>
      <c r="F902">
        <v>47974.095332370758</v>
      </c>
      <c r="G902">
        <v>10000</v>
      </c>
      <c r="H902">
        <v>-10000</v>
      </c>
      <c r="I902">
        <v>39.244685565660731</v>
      </c>
    </row>
    <row r="903" spans="1:9" x14ac:dyDescent="0.2">
      <c r="A903">
        <v>893</v>
      </c>
      <c r="B903">
        <v>1440192.9427090553</v>
      </c>
      <c r="C903">
        <v>122188.62505916881</v>
      </c>
      <c r="D903">
        <v>57095.873858008097</v>
      </c>
      <c r="E903">
        <v>178961.01901123844</v>
      </c>
      <c r="F903">
        <v>48389.609008470354</v>
      </c>
      <c r="G903">
        <v>10000</v>
      </c>
      <c r="H903">
        <v>-10000</v>
      </c>
      <c r="I903">
        <v>48.770925713394611</v>
      </c>
    </row>
    <row r="904" spans="1:9" x14ac:dyDescent="0.2">
      <c r="A904">
        <v>894</v>
      </c>
      <c r="B904">
        <v>1603279.9144181209</v>
      </c>
      <c r="C904">
        <v>102784.83987237223</v>
      </c>
      <c r="D904">
        <v>124371.81617867762</v>
      </c>
      <c r="E904">
        <v>175990.62543149089</v>
      </c>
      <c r="F904">
        <v>48183.966376026292</v>
      </c>
      <c r="G904">
        <v>10000</v>
      </c>
      <c r="H904">
        <v>-10000</v>
      </c>
      <c r="I904">
        <v>33.881661512271577</v>
      </c>
    </row>
    <row r="905" spans="1:9" x14ac:dyDescent="0.2">
      <c r="A905">
        <v>895</v>
      </c>
      <c r="B905">
        <v>1552580.9598544985</v>
      </c>
      <c r="C905">
        <v>123382.02986641008</v>
      </c>
      <c r="D905">
        <v>60665.669745834282</v>
      </c>
      <c r="E905">
        <v>203313.29950769388</v>
      </c>
      <c r="F905">
        <v>50075.536119763427</v>
      </c>
      <c r="G905">
        <v>10000</v>
      </c>
      <c r="H905">
        <v>-10000</v>
      </c>
      <c r="I905">
        <v>38.086085083260457</v>
      </c>
    </row>
    <row r="906" spans="1:9" x14ac:dyDescent="0.2">
      <c r="A906">
        <v>896</v>
      </c>
      <c r="B906">
        <v>1250562.3074855616</v>
      </c>
      <c r="C906">
        <v>121859.02716287678</v>
      </c>
      <c r="D906">
        <v>72190.636146053104</v>
      </c>
      <c r="E906">
        <v>116546.12605887029</v>
      </c>
      <c r="F906">
        <v>44068.577957921785</v>
      </c>
      <c r="G906">
        <v>10000</v>
      </c>
      <c r="H906">
        <v>-10000</v>
      </c>
      <c r="I906">
        <v>42.169177336100574</v>
      </c>
    </row>
    <row r="907" spans="1:9" x14ac:dyDescent="0.2">
      <c r="A907">
        <v>897</v>
      </c>
      <c r="B907">
        <v>1376417.7622245136</v>
      </c>
      <c r="C907">
        <v>109336.17340253651</v>
      </c>
      <c r="D907">
        <v>79092.454217390303</v>
      </c>
      <c r="E907">
        <v>154062.22906734855</v>
      </c>
      <c r="F907">
        <v>46665.84662773952</v>
      </c>
      <c r="G907">
        <v>10000</v>
      </c>
      <c r="H907">
        <v>-10000</v>
      </c>
      <c r="I907">
        <v>29.649720912956063</v>
      </c>
    </row>
    <row r="908" spans="1:9" x14ac:dyDescent="0.2">
      <c r="A908">
        <v>898</v>
      </c>
      <c r="B908">
        <v>1338944.6642385805</v>
      </c>
      <c r="C908">
        <v>102176.64547003228</v>
      </c>
      <c r="D908">
        <v>127790.31278854499</v>
      </c>
      <c r="E908">
        <v>105608.40085378323</v>
      </c>
      <c r="F908">
        <v>43311.350828338844</v>
      </c>
      <c r="G908">
        <v>10000</v>
      </c>
      <c r="H908">
        <v>-10000</v>
      </c>
      <c r="I908">
        <v>40.877851842736987</v>
      </c>
    </row>
    <row r="909" spans="1:9" x14ac:dyDescent="0.2">
      <c r="A909">
        <v>899</v>
      </c>
      <c r="B909">
        <v>1634738.4795365692</v>
      </c>
      <c r="C909">
        <v>133024.26072579221</v>
      </c>
      <c r="D909">
        <v>124139.7036565264</v>
      </c>
      <c r="E909">
        <v>155989.63304438436</v>
      </c>
      <c r="F909">
        <v>46799.282287688147</v>
      </c>
      <c r="G909">
        <v>10000</v>
      </c>
      <c r="H909">
        <v>-10000</v>
      </c>
      <c r="I909">
        <v>30.362564945689186</v>
      </c>
    </row>
    <row r="910" spans="1:9" x14ac:dyDescent="0.2">
      <c r="A910">
        <v>900</v>
      </c>
      <c r="B910">
        <v>1671862.8223739685</v>
      </c>
      <c r="C910">
        <v>135579.40587808253</v>
      </c>
      <c r="D910">
        <v>96544.001207621914</v>
      </c>
      <c r="E910">
        <v>188924.49684311406</v>
      </c>
      <c r="F910">
        <v>49079.388242984816</v>
      </c>
      <c r="G910">
        <v>10000</v>
      </c>
      <c r="H910">
        <v>-10000</v>
      </c>
      <c r="I910">
        <v>32.268228807124174</v>
      </c>
    </row>
    <row r="911" spans="1:9" x14ac:dyDescent="0.2">
      <c r="A911">
        <v>901</v>
      </c>
      <c r="B911">
        <v>1569324.5984914566</v>
      </c>
      <c r="C911">
        <v>108205.21166839317</v>
      </c>
      <c r="D911">
        <v>104061.16147594694</v>
      </c>
      <c r="E911">
        <v>181213.43041140112</v>
      </c>
      <c r="F911">
        <v>48545.545182327776</v>
      </c>
      <c r="G911">
        <v>10000</v>
      </c>
      <c r="H911">
        <v>-10000</v>
      </c>
      <c r="I911">
        <v>41.561360072239253</v>
      </c>
    </row>
    <row r="912" spans="1:9" x14ac:dyDescent="0.2">
      <c r="A912">
        <v>902</v>
      </c>
      <c r="B912">
        <v>1615341.750829227</v>
      </c>
      <c r="C912">
        <v>79464.512163230364</v>
      </c>
      <c r="D912">
        <v>136503.57356008943</v>
      </c>
      <c r="E912">
        <v>189546.42181790477</v>
      </c>
      <c r="F912">
        <v>49122.444587393409</v>
      </c>
      <c r="G912">
        <v>10000</v>
      </c>
      <c r="H912">
        <v>-10000</v>
      </c>
      <c r="I912">
        <v>40.228024155658218</v>
      </c>
    </row>
    <row r="913" spans="1:9" x14ac:dyDescent="0.2">
      <c r="A913">
        <v>903</v>
      </c>
      <c r="B913">
        <v>1404878.6271861305</v>
      </c>
      <c r="C913">
        <v>108472.94360954351</v>
      </c>
      <c r="D913">
        <v>97399.411173798653</v>
      </c>
      <c r="E913">
        <v>145042.98403544957</v>
      </c>
      <c r="F913">
        <v>46041.437356300354</v>
      </c>
      <c r="G913">
        <v>10000</v>
      </c>
      <c r="H913">
        <v>-10000</v>
      </c>
      <c r="I913">
        <v>28.081141050125865</v>
      </c>
    </row>
    <row r="914" spans="1:9" x14ac:dyDescent="0.2">
      <c r="A914">
        <v>904</v>
      </c>
      <c r="B914">
        <v>1031132.7160973486</v>
      </c>
      <c r="C914">
        <v>121289.09112207373</v>
      </c>
      <c r="D914">
        <v>91459.615911627421</v>
      </c>
      <c r="E914">
        <v>42814.056343934295</v>
      </c>
      <c r="F914">
        <v>38964.050054580068</v>
      </c>
      <c r="G914">
        <v>10000</v>
      </c>
      <c r="H914">
        <v>-10000</v>
      </c>
      <c r="I914">
        <v>35.24276611452035</v>
      </c>
    </row>
    <row r="915" spans="1:9" x14ac:dyDescent="0.2">
      <c r="A915">
        <v>905</v>
      </c>
      <c r="B915">
        <v>1005808.0230824992</v>
      </c>
      <c r="C915">
        <v>148383.49626220035</v>
      </c>
      <c r="D915">
        <v>62248.254981657439</v>
      </c>
      <c r="E915">
        <v>38302.768224118787</v>
      </c>
      <c r="F915">
        <v>38651.730107823612</v>
      </c>
      <c r="G915">
        <v>10000</v>
      </c>
      <c r="H915">
        <v>-10000</v>
      </c>
      <c r="I915">
        <v>43.776230727109741</v>
      </c>
    </row>
    <row r="916" spans="1:9" x14ac:dyDescent="0.2">
      <c r="A916">
        <v>906</v>
      </c>
      <c r="B916">
        <v>1579627.0779411667</v>
      </c>
      <c r="C916">
        <v>102880.72980971634</v>
      </c>
      <c r="D916">
        <v>89241.829552363211</v>
      </c>
      <c r="E916">
        <v>202693.67947608465</v>
      </c>
      <c r="F916">
        <v>50032.639348344324</v>
      </c>
      <c r="G916">
        <v>10000</v>
      </c>
      <c r="H916">
        <v>-10000</v>
      </c>
      <c r="I916">
        <v>31.053282247711643</v>
      </c>
    </row>
    <row r="917" spans="1:9" x14ac:dyDescent="0.2">
      <c r="A917">
        <v>907</v>
      </c>
      <c r="B917">
        <v>1157878.348680964</v>
      </c>
      <c r="C917">
        <v>151057.34237393329</v>
      </c>
      <c r="D917">
        <v>80852.063256175359</v>
      </c>
      <c r="E917">
        <v>57381.166401125738</v>
      </c>
      <c r="F917">
        <v>39972.542289308702</v>
      </c>
      <c r="G917">
        <v>10000</v>
      </c>
      <c r="H917">
        <v>-10000</v>
      </c>
      <c r="I917">
        <v>30.253710071755503</v>
      </c>
    </row>
    <row r="918" spans="1:9" x14ac:dyDescent="0.2">
      <c r="A918">
        <v>908</v>
      </c>
      <c r="B918">
        <v>1791261.0653055133</v>
      </c>
      <c r="C918">
        <v>101807.15947491552</v>
      </c>
      <c r="D918">
        <v>162080.32176729824</v>
      </c>
      <c r="E918">
        <v>189821.00897090544</v>
      </c>
      <c r="F918">
        <v>49141.454467216528</v>
      </c>
      <c r="G918">
        <v>10000</v>
      </c>
      <c r="H918">
        <v>-10000</v>
      </c>
      <c r="I918">
        <v>34.418688016231748</v>
      </c>
    </row>
    <row r="919" spans="1:9" x14ac:dyDescent="0.2">
      <c r="A919">
        <v>909</v>
      </c>
      <c r="B919">
        <v>1405332.0930710381</v>
      </c>
      <c r="C919">
        <v>114449.59580471764</v>
      </c>
      <c r="D919">
        <v>94927.627550892998</v>
      </c>
      <c r="E919">
        <v>141881.28087116734</v>
      </c>
      <c r="F919">
        <v>45822.550214157738</v>
      </c>
      <c r="G919">
        <v>10000</v>
      </c>
      <c r="H919">
        <v>-10000</v>
      </c>
      <c r="I919">
        <v>32.241418233418941</v>
      </c>
    </row>
    <row r="920" spans="1:9" x14ac:dyDescent="0.2">
      <c r="A920">
        <v>910</v>
      </c>
      <c r="B920">
        <v>746480.03268945962</v>
      </c>
      <c r="C920">
        <v>98349.795697929614</v>
      </c>
      <c r="D920">
        <v>52567.50343871487</v>
      </c>
      <c r="E920">
        <v>27680.383420557839</v>
      </c>
      <c r="F920">
        <v>37916.334236807852</v>
      </c>
      <c r="G920">
        <v>10000</v>
      </c>
      <c r="H920">
        <v>-10000</v>
      </c>
      <c r="I920">
        <v>56.790267518111776</v>
      </c>
    </row>
    <row r="921" spans="1:9" x14ac:dyDescent="0.2">
      <c r="A921">
        <v>911</v>
      </c>
      <c r="B921">
        <v>1790336.0455245208</v>
      </c>
      <c r="C921">
        <v>146605.04220320159</v>
      </c>
      <c r="D921">
        <v>169283.36570635298</v>
      </c>
      <c r="E921">
        <v>140949.94955215664</v>
      </c>
      <c r="F921">
        <v>45758.073430533921</v>
      </c>
      <c r="G921">
        <v>10000</v>
      </c>
      <c r="H921">
        <v>-10000</v>
      </c>
      <c r="I921">
        <v>36.278472699710115</v>
      </c>
    </row>
    <row r="922" spans="1:9" x14ac:dyDescent="0.2">
      <c r="A922">
        <v>912</v>
      </c>
      <c r="B922">
        <v>1127831.7683735692</v>
      </c>
      <c r="C922">
        <v>95996.098052895119</v>
      </c>
      <c r="D922">
        <v>40995.200640806717</v>
      </c>
      <c r="E922">
        <v>138452.01706175882</v>
      </c>
      <c r="F922">
        <v>45585.139642737144</v>
      </c>
      <c r="G922">
        <v>10000</v>
      </c>
      <c r="H922">
        <v>-10000</v>
      </c>
      <c r="I922">
        <v>30.807505718843007</v>
      </c>
    </row>
    <row r="923" spans="1:9" x14ac:dyDescent="0.2">
      <c r="A923">
        <v>913</v>
      </c>
      <c r="B923">
        <v>1519637.9658310104</v>
      </c>
      <c r="C923">
        <v>159852.90895939956</v>
      </c>
      <c r="D923">
        <v>65465.57732566561</v>
      </c>
      <c r="E923">
        <v>156270.83948642662</v>
      </c>
      <c r="F923">
        <v>46818.750425983388</v>
      </c>
      <c r="G923">
        <v>10000</v>
      </c>
      <c r="H923">
        <v>-10000</v>
      </c>
      <c r="I923">
        <v>31.796710076355449</v>
      </c>
    </row>
    <row r="924" spans="1:9" x14ac:dyDescent="0.2">
      <c r="A924">
        <v>914</v>
      </c>
      <c r="B924">
        <v>981063.35626670229</v>
      </c>
      <c r="C924">
        <v>126985.80069971413</v>
      </c>
      <c r="D924">
        <v>52576.088371555605</v>
      </c>
      <c r="E924">
        <v>61018.409031418581</v>
      </c>
      <c r="F924">
        <v>40224.351394482823</v>
      </c>
      <c r="G924">
        <v>10000</v>
      </c>
      <c r="H924">
        <v>-10000</v>
      </c>
      <c r="I924">
        <v>32.103539134306658</v>
      </c>
    </row>
    <row r="925" spans="1:9" x14ac:dyDescent="0.2">
      <c r="A925">
        <v>915</v>
      </c>
      <c r="B925">
        <v>1254077.0753481986</v>
      </c>
      <c r="C925">
        <v>94101.10330393094</v>
      </c>
      <c r="D925">
        <v>57942.456978389338</v>
      </c>
      <c r="E925">
        <v>156733.30775704517</v>
      </c>
      <c r="F925">
        <v>46850.767460103125</v>
      </c>
      <c r="G925">
        <v>10000</v>
      </c>
      <c r="H925">
        <v>-10000</v>
      </c>
      <c r="I925">
        <v>35.357549079989816</v>
      </c>
    </row>
    <row r="926" spans="1:9" x14ac:dyDescent="0.2">
      <c r="A926">
        <v>916</v>
      </c>
      <c r="B926">
        <v>1335108.4843165912</v>
      </c>
      <c r="C926">
        <v>157095.51535568957</v>
      </c>
      <c r="D926">
        <v>42046.961904874086</v>
      </c>
      <c r="E926">
        <v>133453.77015656594</v>
      </c>
      <c r="F926">
        <v>45239.107164685331</v>
      </c>
      <c r="G926">
        <v>10000</v>
      </c>
      <c r="H926">
        <v>-10000</v>
      </c>
      <c r="I926">
        <v>45.085296854297397</v>
      </c>
    </row>
    <row r="927" spans="1:9" x14ac:dyDescent="0.2">
      <c r="A927">
        <v>917</v>
      </c>
      <c r="B927">
        <v>1594981.3023523316</v>
      </c>
      <c r="C927">
        <v>126255.99576988214</v>
      </c>
      <c r="D927">
        <v>74952.990230505093</v>
      </c>
      <c r="E927">
        <v>198131.14681311313</v>
      </c>
      <c r="F927">
        <v>49716.771702446291</v>
      </c>
      <c r="G927">
        <v>10000</v>
      </c>
      <c r="H927">
        <v>-10000</v>
      </c>
      <c r="I927">
        <v>29.996231612134718</v>
      </c>
    </row>
    <row r="928" spans="1:9" x14ac:dyDescent="0.2">
      <c r="A928">
        <v>918</v>
      </c>
      <c r="B928">
        <v>1377839.849255933</v>
      </c>
      <c r="C928">
        <v>110963.16745689091</v>
      </c>
      <c r="D928">
        <v>169736.70818112127</v>
      </c>
      <c r="E928">
        <v>68129.884915968389</v>
      </c>
      <c r="F928">
        <v>40716.684340336273</v>
      </c>
      <c r="G928">
        <v>10000</v>
      </c>
      <c r="H928">
        <v>-10000</v>
      </c>
      <c r="I928">
        <v>40.33029135021161</v>
      </c>
    </row>
    <row r="929" spans="1:9" x14ac:dyDescent="0.2">
      <c r="A929">
        <v>919</v>
      </c>
      <c r="B929">
        <v>978123.29835272545</v>
      </c>
      <c r="C929">
        <v>115931.25208288593</v>
      </c>
      <c r="D929">
        <v>27571.062389861952</v>
      </c>
      <c r="E929">
        <v>93989.60124642076</v>
      </c>
      <c r="F929">
        <v>42506.972393982971</v>
      </c>
      <c r="G929">
        <v>10000</v>
      </c>
      <c r="H929">
        <v>-10000</v>
      </c>
      <c r="I929">
        <v>28.32424761088949</v>
      </c>
    </row>
    <row r="930" spans="1:9" x14ac:dyDescent="0.2">
      <c r="A930">
        <v>920</v>
      </c>
      <c r="B930">
        <v>1178025.5599228663</v>
      </c>
      <c r="C930">
        <v>116686.12202180634</v>
      </c>
      <c r="D930">
        <v>63702.724162995051</v>
      </c>
      <c r="E930">
        <v>110729.95530804079</v>
      </c>
      <c r="F930">
        <v>43665.919982864361</v>
      </c>
      <c r="G930">
        <v>10000</v>
      </c>
      <c r="H930">
        <v>-10000</v>
      </c>
      <c r="I930">
        <v>27.199077279314658</v>
      </c>
    </row>
    <row r="931" spans="1:9" x14ac:dyDescent="0.2">
      <c r="A931">
        <v>921</v>
      </c>
      <c r="B931">
        <v>1225766.6153695877</v>
      </c>
      <c r="C931">
        <v>83911.940590081795</v>
      </c>
      <c r="D931">
        <v>67453.007349261068</v>
      </c>
      <c r="E931">
        <v>150111.50050546267</v>
      </c>
      <c r="F931">
        <v>46392.334650378187</v>
      </c>
      <c r="G931">
        <v>10000</v>
      </c>
      <c r="H931">
        <v>-10000</v>
      </c>
      <c r="I931">
        <v>31.74940140589516</v>
      </c>
    </row>
    <row r="932" spans="1:9" x14ac:dyDescent="0.2">
      <c r="A932">
        <v>922</v>
      </c>
      <c r="B932">
        <v>1011762.8466975655</v>
      </c>
      <c r="C932">
        <v>108074.05861040863</v>
      </c>
      <c r="D932">
        <v>54833.070626524597</v>
      </c>
      <c r="E932">
        <v>84463.635310042431</v>
      </c>
      <c r="F932">
        <v>41847.482444541398</v>
      </c>
      <c r="G932">
        <v>10000</v>
      </c>
      <c r="H932">
        <v>-10000</v>
      </c>
      <c r="I932">
        <v>33.338908640321264</v>
      </c>
    </row>
    <row r="933" spans="1:9" x14ac:dyDescent="0.2">
      <c r="A933">
        <v>923</v>
      </c>
      <c r="B933">
        <v>1116133.2052788609</v>
      </c>
      <c r="C933">
        <v>127306.15411146238</v>
      </c>
      <c r="D933">
        <v>78490.87442893596</v>
      </c>
      <c r="E933">
        <v>71102.782099534175</v>
      </c>
      <c r="F933">
        <v>40922.500299198517</v>
      </c>
      <c r="G933">
        <v>10000</v>
      </c>
      <c r="H933">
        <v>-10000</v>
      </c>
      <c r="I933">
        <v>34.334700901508015</v>
      </c>
    </row>
    <row r="934" spans="1:9" x14ac:dyDescent="0.2">
      <c r="A934">
        <v>924</v>
      </c>
      <c r="B934">
        <v>1330830.1025436306</v>
      </c>
      <c r="C934">
        <v>87028.750508005469</v>
      </c>
      <c r="D934">
        <v>169950.31436020264</v>
      </c>
      <c r="E934">
        <v>78265.371286625072</v>
      </c>
      <c r="F934">
        <v>41418.371858304818</v>
      </c>
      <c r="G934">
        <v>10000</v>
      </c>
      <c r="H934">
        <v>-10000</v>
      </c>
      <c r="I934">
        <v>45.565973624387823</v>
      </c>
    </row>
    <row r="935" spans="1:9" x14ac:dyDescent="0.2">
      <c r="A935">
        <v>925</v>
      </c>
      <c r="B935">
        <v>1132947.4553588226</v>
      </c>
      <c r="C935">
        <v>104494.54242086198</v>
      </c>
      <c r="D935">
        <v>68570.076680642684</v>
      </c>
      <c r="E935">
        <v>106025.62196041863</v>
      </c>
      <c r="F935">
        <v>43340.235366490517</v>
      </c>
      <c r="G935">
        <v>10000</v>
      </c>
      <c r="H935">
        <v>-10000</v>
      </c>
      <c r="I935">
        <v>37.316169874034955</v>
      </c>
    </row>
    <row r="936" spans="1:9" x14ac:dyDescent="0.2">
      <c r="A936">
        <v>926</v>
      </c>
      <c r="B936">
        <v>1855260.650616799</v>
      </c>
      <c r="C936">
        <v>129189.16379788588</v>
      </c>
      <c r="D936">
        <v>151693.76816568407</v>
      </c>
      <c r="E936">
        <v>190330.22924261657</v>
      </c>
      <c r="F936">
        <v>49176.708178334993</v>
      </c>
      <c r="G936">
        <v>10000</v>
      </c>
      <c r="H936">
        <v>-10000</v>
      </c>
      <c r="I936">
        <v>49.078690177416185</v>
      </c>
    </row>
    <row r="937" spans="1:9" x14ac:dyDescent="0.2">
      <c r="A937">
        <v>927</v>
      </c>
      <c r="B937">
        <v>1450819.9723679684</v>
      </c>
      <c r="C937">
        <v>97093.712872483331</v>
      </c>
      <c r="D937">
        <v>62498.749671631515</v>
      </c>
      <c r="E937">
        <v>200101.93050406408</v>
      </c>
      <c r="F937">
        <v>49853.210573358279</v>
      </c>
      <c r="G937">
        <v>10000</v>
      </c>
      <c r="H937">
        <v>-10000</v>
      </c>
      <c r="I937">
        <v>45.055404859616893</v>
      </c>
    </row>
    <row r="938" spans="1:9" x14ac:dyDescent="0.2">
      <c r="A938">
        <v>928</v>
      </c>
      <c r="B938">
        <v>1107784.4269042057</v>
      </c>
      <c r="C938">
        <v>166384.12636118758</v>
      </c>
      <c r="D938">
        <v>42830.544235462497</v>
      </c>
      <c r="E938">
        <v>65766.483989571338</v>
      </c>
      <c r="F938">
        <v>40553.06427620109</v>
      </c>
      <c r="G938">
        <v>10000</v>
      </c>
      <c r="H938">
        <v>-10000</v>
      </c>
      <c r="I938">
        <v>31.957743139374141</v>
      </c>
    </row>
    <row r="939" spans="1:9" x14ac:dyDescent="0.2">
      <c r="A939">
        <v>929</v>
      </c>
      <c r="B939">
        <v>977733.06584584049</v>
      </c>
      <c r="C939">
        <v>105499.8511668538</v>
      </c>
      <c r="D939">
        <v>40865.184821461509</v>
      </c>
      <c r="E939">
        <v>91212.212181955663</v>
      </c>
      <c r="F939">
        <v>42314.691612596929</v>
      </c>
      <c r="G939">
        <v>10000</v>
      </c>
      <c r="H939">
        <v>-10000</v>
      </c>
      <c r="I939">
        <v>38.631095169473625</v>
      </c>
    </row>
    <row r="940" spans="1:9" x14ac:dyDescent="0.2">
      <c r="A940">
        <v>930</v>
      </c>
      <c r="B940">
        <v>1169443.4046822411</v>
      </c>
      <c r="C940">
        <v>74646.155497900312</v>
      </c>
      <c r="D940">
        <v>51864.373339702281</v>
      </c>
      <c r="E940">
        <v>158919.98758738436</v>
      </c>
      <c r="F940">
        <v>47002.152986818917</v>
      </c>
      <c r="G940">
        <v>10000</v>
      </c>
      <c r="H940">
        <v>-10000</v>
      </c>
      <c r="I940">
        <v>43.079760619297133</v>
      </c>
    </row>
    <row r="941" spans="1:9" x14ac:dyDescent="0.2">
      <c r="A941">
        <v>931</v>
      </c>
      <c r="B941">
        <v>1000941.3559283252</v>
      </c>
      <c r="C941">
        <v>117536.89106417003</v>
      </c>
      <c r="D941">
        <v>85208.967302157544</v>
      </c>
      <c r="E941">
        <v>44430.649297649972</v>
      </c>
      <c r="F941">
        <v>39075.968028298841</v>
      </c>
      <c r="G941">
        <v>10000</v>
      </c>
      <c r="H941">
        <v>-10000</v>
      </c>
      <c r="I941">
        <v>51.883406270345112</v>
      </c>
    </row>
    <row r="942" spans="1:9" x14ac:dyDescent="0.2">
      <c r="A942">
        <v>932</v>
      </c>
      <c r="B942">
        <v>1626852.7507658284</v>
      </c>
      <c r="C942">
        <v>139476.06251517337</v>
      </c>
      <c r="D942">
        <v>149009.05407549054</v>
      </c>
      <c r="E942">
        <v>124675.21482990989</v>
      </c>
      <c r="F942">
        <v>44631.361026686071</v>
      </c>
      <c r="G942">
        <v>10000</v>
      </c>
      <c r="H942">
        <v>-10000</v>
      </c>
      <c r="I942">
        <v>38.855761831479441</v>
      </c>
    </row>
    <row r="943" spans="1:9" x14ac:dyDescent="0.2">
      <c r="A943">
        <v>933</v>
      </c>
      <c r="B943">
        <v>1275134.9340172485</v>
      </c>
      <c r="C943">
        <v>128403.25436480342</v>
      </c>
      <c r="D943">
        <v>95542.408562311713</v>
      </c>
      <c r="E943">
        <v>94884.245294172026</v>
      </c>
      <c r="F943">
        <v>42568.909289596522</v>
      </c>
      <c r="G943">
        <v>10000</v>
      </c>
      <c r="H943">
        <v>-10000</v>
      </c>
      <c r="I943">
        <v>28.79286563320909</v>
      </c>
    </row>
    <row r="944" spans="1:9" x14ac:dyDescent="0.2">
      <c r="A944">
        <v>934</v>
      </c>
      <c r="B944">
        <v>1668345.3539138138</v>
      </c>
      <c r="C944">
        <v>110142.59234389076</v>
      </c>
      <c r="D944">
        <v>136295.1234419581</v>
      </c>
      <c r="E944">
        <v>174635.42338237897</v>
      </c>
      <c r="F944">
        <v>48090.144695703159</v>
      </c>
      <c r="G944">
        <v>10000</v>
      </c>
      <c r="H944">
        <v>-10000</v>
      </c>
      <c r="I944">
        <v>37.460309705277965</v>
      </c>
    </row>
    <row r="945" spans="1:9" x14ac:dyDescent="0.2">
      <c r="A945">
        <v>935</v>
      </c>
      <c r="B945">
        <v>1078714.6012209665</v>
      </c>
      <c r="C945">
        <v>138640.02094125538</v>
      </c>
      <c r="D945">
        <v>75996.602473904568</v>
      </c>
      <c r="E945">
        <v>53244.473094825109</v>
      </c>
      <c r="F945">
        <v>39686.155829641742</v>
      </c>
      <c r="G945">
        <v>10000</v>
      </c>
      <c r="H945">
        <v>-10000</v>
      </c>
      <c r="I945">
        <v>35.866445266762994</v>
      </c>
    </row>
    <row r="946" spans="1:9" x14ac:dyDescent="0.2">
      <c r="A946">
        <v>936</v>
      </c>
      <c r="B946">
        <v>972791.80319626431</v>
      </c>
      <c r="C946">
        <v>99425.918472164893</v>
      </c>
      <c r="D946">
        <v>74911.051740080235</v>
      </c>
      <c r="E946">
        <v>63784.875797673434</v>
      </c>
      <c r="F946">
        <v>40415.876016762006</v>
      </c>
      <c r="G946">
        <v>10000</v>
      </c>
      <c r="H946">
        <v>-10000</v>
      </c>
      <c r="I946">
        <v>40.166230860127612</v>
      </c>
    </row>
    <row r="947" spans="1:9" x14ac:dyDescent="0.2">
      <c r="A947">
        <v>937</v>
      </c>
      <c r="B947">
        <v>1015603.3087400817</v>
      </c>
      <c r="C947">
        <v>122831.58283744924</v>
      </c>
      <c r="D947">
        <v>58186.145473580131</v>
      </c>
      <c r="E947">
        <v>68510.044527894876</v>
      </c>
      <c r="F947">
        <v>40743.003082700416</v>
      </c>
      <c r="G947">
        <v>10000</v>
      </c>
      <c r="H947">
        <v>-10000</v>
      </c>
      <c r="I947">
        <v>33.500766360728662</v>
      </c>
    </row>
    <row r="948" spans="1:9" x14ac:dyDescent="0.2">
      <c r="A948">
        <v>938</v>
      </c>
      <c r="B948">
        <v>1534433.0470147377</v>
      </c>
      <c r="C948">
        <v>108342.78238007046</v>
      </c>
      <c r="D948">
        <v>84005.266064861033</v>
      </c>
      <c r="E948">
        <v>190898.74649133408</v>
      </c>
      <c r="F948">
        <v>49216.067064784664</v>
      </c>
      <c r="G948">
        <v>10000</v>
      </c>
      <c r="H948">
        <v>-10000</v>
      </c>
      <c r="I948">
        <v>30.157792484646432</v>
      </c>
    </row>
    <row r="949" spans="1:9" x14ac:dyDescent="0.2">
      <c r="A949">
        <v>939</v>
      </c>
      <c r="B949">
        <v>896049.42242877535</v>
      </c>
      <c r="C949">
        <v>100020.25368558012</v>
      </c>
      <c r="D949">
        <v>62873.021303460439</v>
      </c>
      <c r="E949">
        <v>54817.158282094824</v>
      </c>
      <c r="F949">
        <v>39795.034034914257</v>
      </c>
      <c r="G949">
        <v>10000</v>
      </c>
      <c r="H949">
        <v>-10000</v>
      </c>
      <c r="I949">
        <v>48.379206170101973</v>
      </c>
    </row>
    <row r="950" spans="1:9" x14ac:dyDescent="0.2">
      <c r="A950">
        <v>940</v>
      </c>
      <c r="B950">
        <v>1021309.8203158433</v>
      </c>
      <c r="C950">
        <v>96258.788868732285</v>
      </c>
      <c r="D950">
        <v>110905.21842977687</v>
      </c>
      <c r="E950">
        <v>45519.371750555343</v>
      </c>
      <c r="F950">
        <v>39151.341121192294</v>
      </c>
      <c r="G950">
        <v>10000</v>
      </c>
      <c r="H950">
        <v>-10000</v>
      </c>
      <c r="I950">
        <v>37.340742377619875</v>
      </c>
    </row>
    <row r="951" spans="1:9" x14ac:dyDescent="0.2">
      <c r="A951">
        <v>941</v>
      </c>
      <c r="B951">
        <v>1722039.4826741312</v>
      </c>
      <c r="C951">
        <v>151471.48094498063</v>
      </c>
      <c r="D951">
        <v>128755.4049134948</v>
      </c>
      <c r="E951">
        <v>156796.81334667996</v>
      </c>
      <c r="F951">
        <v>46855.164000923993</v>
      </c>
      <c r="G951">
        <v>10000</v>
      </c>
      <c r="H951">
        <v>-10000</v>
      </c>
      <c r="I951">
        <v>38.657228285011016</v>
      </c>
    </row>
    <row r="952" spans="1:9" x14ac:dyDescent="0.2">
      <c r="A952">
        <v>942</v>
      </c>
      <c r="B952">
        <v>1351826.6509491638</v>
      </c>
      <c r="C952">
        <v>129419.9804658708</v>
      </c>
      <c r="D952">
        <v>159983.82356364196</v>
      </c>
      <c r="E952">
        <v>53321.869099613701</v>
      </c>
      <c r="F952">
        <v>39691.514014588647</v>
      </c>
      <c r="G952">
        <v>10000</v>
      </c>
      <c r="H952">
        <v>-10000</v>
      </c>
      <c r="I952">
        <v>29.299432510049215</v>
      </c>
    </row>
    <row r="953" spans="1:9" x14ac:dyDescent="0.2">
      <c r="A953">
        <v>943</v>
      </c>
      <c r="B953">
        <v>1111100.5757287724</v>
      </c>
      <c r="C953">
        <v>122171.07823207077</v>
      </c>
      <c r="D953">
        <v>118516.55247690047</v>
      </c>
      <c r="E953">
        <v>37181.330094574259</v>
      </c>
      <c r="F953">
        <v>38574.092083470525</v>
      </c>
      <c r="G953">
        <v>10000</v>
      </c>
      <c r="H953">
        <v>-10000</v>
      </c>
      <c r="I953">
        <v>38.842429794599511</v>
      </c>
    </row>
    <row r="954" spans="1:9" x14ac:dyDescent="0.2">
      <c r="A954">
        <v>944</v>
      </c>
      <c r="B954">
        <v>1764104.0988191115</v>
      </c>
      <c r="C954">
        <v>156566.21804105007</v>
      </c>
      <c r="D954">
        <v>126202.06878365825</v>
      </c>
      <c r="E954">
        <v>165201.8820781931</v>
      </c>
      <c r="F954">
        <v>47437.053374644136</v>
      </c>
      <c r="G954">
        <v>10000</v>
      </c>
      <c r="H954">
        <v>-10000</v>
      </c>
      <c r="I954">
        <v>35.458916267583739</v>
      </c>
    </row>
    <row r="955" spans="1:9" x14ac:dyDescent="0.2">
      <c r="A955">
        <v>945</v>
      </c>
      <c r="B955">
        <v>1364731.4979644113</v>
      </c>
      <c r="C955">
        <v>133586.8744269392</v>
      </c>
      <c r="D955">
        <v>65365.182246751814</v>
      </c>
      <c r="E955">
        <v>141224.7731587647</v>
      </c>
      <c r="F955">
        <v>45777.099680222171</v>
      </c>
      <c r="G955">
        <v>10000</v>
      </c>
      <c r="H955">
        <v>-10000</v>
      </c>
      <c r="I955">
        <v>40.780330715585748</v>
      </c>
    </row>
    <row r="956" spans="1:9" x14ac:dyDescent="0.2">
      <c r="A956">
        <v>946</v>
      </c>
      <c r="B956">
        <v>1386800.4070281356</v>
      </c>
      <c r="C956">
        <v>137383.43837923417</v>
      </c>
      <c r="D956">
        <v>86525.787999497581</v>
      </c>
      <c r="E956">
        <v>123540.1940828012</v>
      </c>
      <c r="F956">
        <v>44552.782667270854</v>
      </c>
      <c r="G956">
        <v>10000</v>
      </c>
      <c r="H956">
        <v>-10000</v>
      </c>
      <c r="I956">
        <v>26.845774143435676</v>
      </c>
    </row>
    <row r="957" spans="1:9" x14ac:dyDescent="0.2">
      <c r="A957">
        <v>947</v>
      </c>
      <c r="B957">
        <v>1030068.5324194753</v>
      </c>
      <c r="C957">
        <v>109278.67215068283</v>
      </c>
      <c r="D957">
        <v>92437.326265149954</v>
      </c>
      <c r="E957">
        <v>52859.647482894521</v>
      </c>
      <c r="F957">
        <v>39659.51405650808</v>
      </c>
      <c r="G957">
        <v>10000</v>
      </c>
      <c r="H957">
        <v>-10000</v>
      </c>
      <c r="I957">
        <v>34.565939661822753</v>
      </c>
    </row>
    <row r="958" spans="1:9" x14ac:dyDescent="0.2">
      <c r="A958">
        <v>948</v>
      </c>
      <c r="B958">
        <v>1531588.2121409709</v>
      </c>
      <c r="C958">
        <v>90413.147384948985</v>
      </c>
      <c r="D958">
        <v>113351.23099713321</v>
      </c>
      <c r="E958">
        <v>179492.42098087398</v>
      </c>
      <c r="F958">
        <v>48426.398375598968</v>
      </c>
      <c r="G958">
        <v>10000</v>
      </c>
      <c r="H958">
        <v>-10000</v>
      </c>
      <c r="I958">
        <v>26.278529840958221</v>
      </c>
    </row>
    <row r="959" spans="1:9" x14ac:dyDescent="0.2">
      <c r="A959">
        <v>949</v>
      </c>
      <c r="B959">
        <v>1101060.5892435946</v>
      </c>
      <c r="C959">
        <v>106619.76731263498</v>
      </c>
      <c r="D959">
        <v>94199.151477581487</v>
      </c>
      <c r="E959">
        <v>71895.185301361591</v>
      </c>
      <c r="F959">
        <v>40977.358982401958</v>
      </c>
      <c r="G959">
        <v>10000</v>
      </c>
      <c r="H959">
        <v>-10000</v>
      </c>
      <c r="I959">
        <v>31.556534026390249</v>
      </c>
    </row>
    <row r="960" spans="1:9" x14ac:dyDescent="0.2">
      <c r="A960">
        <v>950</v>
      </c>
      <c r="B960">
        <v>1410432.2715420485</v>
      </c>
      <c r="C960">
        <v>101670.46283569482</v>
      </c>
      <c r="D960">
        <v>86071.134918465657</v>
      </c>
      <c r="E960">
        <v>163423.30620659428</v>
      </c>
      <c r="F960">
        <v>47313.921198918062</v>
      </c>
      <c r="G960">
        <v>10000</v>
      </c>
      <c r="H960">
        <v>-10000</v>
      </c>
      <c r="I960">
        <v>47.244252429724291</v>
      </c>
    </row>
    <row r="961" spans="1:9" x14ac:dyDescent="0.2">
      <c r="A961">
        <v>951</v>
      </c>
      <c r="B961">
        <v>1597093.2108123284</v>
      </c>
      <c r="C961">
        <v>148112.36351234204</v>
      </c>
      <c r="D961">
        <v>49628.871953815025</v>
      </c>
      <c r="E961">
        <v>201915.68690366941</v>
      </c>
      <c r="F961">
        <v>49978.778324100189</v>
      </c>
      <c r="G961">
        <v>10000</v>
      </c>
      <c r="H961">
        <v>-10000</v>
      </c>
      <c r="I961">
        <v>39.689745922182347</v>
      </c>
    </row>
    <row r="962" spans="1:9" x14ac:dyDescent="0.2">
      <c r="A962">
        <v>952</v>
      </c>
      <c r="B962">
        <v>1737478.4092172782</v>
      </c>
      <c r="C962">
        <v>134722.63224582304</v>
      </c>
      <c r="D962">
        <v>153125.66036145992</v>
      </c>
      <c r="E962">
        <v>153626.15385191038</v>
      </c>
      <c r="F962">
        <v>46635.656805132261</v>
      </c>
      <c r="G962">
        <v>10000</v>
      </c>
      <c r="H962">
        <v>-10000</v>
      </c>
      <c r="I962">
        <v>35.013677373703374</v>
      </c>
    </row>
    <row r="963" spans="1:9" x14ac:dyDescent="0.2">
      <c r="A963">
        <v>953</v>
      </c>
      <c r="B963">
        <v>1523152.8232554034</v>
      </c>
      <c r="C963">
        <v>102880.51440581353</v>
      </c>
      <c r="D963">
        <v>115514.85329758214</v>
      </c>
      <c r="E963">
        <v>163646.61983986921</v>
      </c>
      <c r="F963">
        <v>47329.381373529402</v>
      </c>
      <c r="G963">
        <v>10000</v>
      </c>
      <c r="H963">
        <v>-10000</v>
      </c>
      <c r="I963">
        <v>46.885901686247834</v>
      </c>
    </row>
    <row r="964" spans="1:9" x14ac:dyDescent="0.2">
      <c r="A964">
        <v>954</v>
      </c>
      <c r="B964">
        <v>1341067.1522942176</v>
      </c>
      <c r="C964">
        <v>95793.861528342139</v>
      </c>
      <c r="D964">
        <v>65585.832725136686</v>
      </c>
      <c r="E964">
        <v>170298.79478026059</v>
      </c>
      <c r="F964">
        <v>47789.91656171035</v>
      </c>
      <c r="G964">
        <v>10000</v>
      </c>
      <c r="H964">
        <v>-10000</v>
      </c>
      <c r="I964">
        <v>34.730169462775748</v>
      </c>
    </row>
    <row r="965" spans="1:9" x14ac:dyDescent="0.2">
      <c r="A965">
        <v>955</v>
      </c>
      <c r="B965">
        <v>1095314.2136963801</v>
      </c>
      <c r="C965">
        <v>123518.87357160925</v>
      </c>
      <c r="D965">
        <v>60428.348107426777</v>
      </c>
      <c r="E965">
        <v>86201.570844294081</v>
      </c>
      <c r="F965">
        <v>41967.801058451128</v>
      </c>
      <c r="G965">
        <v>10000</v>
      </c>
      <c r="H965">
        <v>-10000</v>
      </c>
      <c r="I965">
        <v>28.783341433859469</v>
      </c>
    </row>
    <row r="966" spans="1:9" x14ac:dyDescent="0.2">
      <c r="A966">
        <v>956</v>
      </c>
      <c r="B966">
        <v>1285793.4384634683</v>
      </c>
      <c r="C966">
        <v>141942.44323403991</v>
      </c>
      <c r="D966">
        <v>130569.81460681283</v>
      </c>
      <c r="E966">
        <v>52194.216663434527</v>
      </c>
      <c r="F966">
        <v>39613.445769007005</v>
      </c>
      <c r="G966">
        <v>10000</v>
      </c>
      <c r="H966">
        <v>-10000</v>
      </c>
      <c r="I966">
        <v>30.533959437473051</v>
      </c>
    </row>
    <row r="967" spans="1:9" x14ac:dyDescent="0.2">
      <c r="A967">
        <v>957</v>
      </c>
      <c r="B967">
        <v>1224125.7765699201</v>
      </c>
      <c r="C967">
        <v>129297.95619341877</v>
      </c>
      <c r="D967">
        <v>134106.61671805932</v>
      </c>
      <c r="E967">
        <v>44905.663209976134</v>
      </c>
      <c r="F967">
        <v>39108.853606844496</v>
      </c>
      <c r="G967">
        <v>10000</v>
      </c>
      <c r="H967">
        <v>-10000</v>
      </c>
      <c r="I967">
        <v>43.275012573580639</v>
      </c>
    </row>
    <row r="968" spans="1:9" x14ac:dyDescent="0.2">
      <c r="A968">
        <v>958</v>
      </c>
      <c r="B968">
        <v>1136265.9814344163</v>
      </c>
      <c r="C968">
        <v>150127.06090150584</v>
      </c>
      <c r="D968">
        <v>41587.2676179517</v>
      </c>
      <c r="E968">
        <v>89434.04567297436</v>
      </c>
      <c r="F968">
        <v>42191.58777735976</v>
      </c>
      <c r="G968">
        <v>10000</v>
      </c>
      <c r="H968">
        <v>-10000</v>
      </c>
      <c r="I968">
        <v>41.423651730010661</v>
      </c>
    </row>
    <row r="969" spans="1:9" x14ac:dyDescent="0.2">
      <c r="A969">
        <v>959</v>
      </c>
      <c r="B969">
        <v>1562700.8634752799</v>
      </c>
      <c r="C969">
        <v>114879.45997595935</v>
      </c>
      <c r="D969">
        <v>67850.167799841976</v>
      </c>
      <c r="E969">
        <v>207139.94208579059</v>
      </c>
      <c r="F969">
        <v>50340.457529016276</v>
      </c>
      <c r="G969">
        <v>10000</v>
      </c>
      <c r="H969">
        <v>-10000</v>
      </c>
      <c r="I969">
        <v>39.989844827908613</v>
      </c>
    </row>
    <row r="970" spans="1:9" x14ac:dyDescent="0.2">
      <c r="A970">
        <v>960</v>
      </c>
      <c r="B970">
        <v>1838676.0338355489</v>
      </c>
      <c r="C970">
        <v>160382.62324551042</v>
      </c>
      <c r="D970">
        <v>114463.794159575</v>
      </c>
      <c r="E970">
        <v>191724.95442792095</v>
      </c>
      <c r="F970">
        <v>49273.266075779138</v>
      </c>
      <c r="G970">
        <v>10000</v>
      </c>
      <c r="H970">
        <v>-10000</v>
      </c>
      <c r="I970">
        <v>33.830761312942329</v>
      </c>
    </row>
    <row r="971" spans="1:9" x14ac:dyDescent="0.2">
      <c r="A971">
        <v>961</v>
      </c>
      <c r="B971">
        <v>1131028.4860277211</v>
      </c>
      <c r="C971">
        <v>100345.89560554303</v>
      </c>
      <c r="D971">
        <v>131918.96689439553</v>
      </c>
      <c r="E971">
        <v>50166.621453220818</v>
      </c>
      <c r="F971">
        <v>39473.073792915282</v>
      </c>
      <c r="G971">
        <v>10000</v>
      </c>
      <c r="H971">
        <v>-10000</v>
      </c>
      <c r="I971">
        <v>35.71060388756564</v>
      </c>
    </row>
    <row r="972" spans="1:9" x14ac:dyDescent="0.2">
      <c r="A972">
        <v>962</v>
      </c>
      <c r="B972">
        <v>1363374.5473274286</v>
      </c>
      <c r="C972">
        <v>79490.867575079348</v>
      </c>
      <c r="D972">
        <v>77856.917611348428</v>
      </c>
      <c r="E972">
        <v>179787.43201281285</v>
      </c>
      <c r="F972">
        <v>48446.822216271663</v>
      </c>
      <c r="G972">
        <v>10000</v>
      </c>
      <c r="H972">
        <v>-10000</v>
      </c>
      <c r="I972">
        <v>31.268294865267272</v>
      </c>
    </row>
    <row r="973" spans="1:9" x14ac:dyDescent="0.2">
      <c r="A973">
        <v>963</v>
      </c>
      <c r="B973">
        <v>1421450.3395577611</v>
      </c>
      <c r="C973">
        <v>101446.31821699595</v>
      </c>
      <c r="D973">
        <v>87958.163284600494</v>
      </c>
      <c r="E973">
        <v>164692.22042068897</v>
      </c>
      <c r="F973">
        <v>47401.769106047694</v>
      </c>
      <c r="G973">
        <v>10000</v>
      </c>
      <c r="H973">
        <v>-10000</v>
      </c>
      <c r="I973">
        <v>38.283428168139885</v>
      </c>
    </row>
    <row r="974" spans="1:9" x14ac:dyDescent="0.2">
      <c r="A974">
        <v>964</v>
      </c>
      <c r="B974">
        <v>1231145.6511607526</v>
      </c>
      <c r="C974">
        <v>126545.01087520484</v>
      </c>
      <c r="D974">
        <v>66008.273920679319</v>
      </c>
      <c r="E974">
        <v>112968.77811172538</v>
      </c>
      <c r="F974">
        <v>43820.915407734836</v>
      </c>
      <c r="G974">
        <v>10000</v>
      </c>
      <c r="H974">
        <v>-10000</v>
      </c>
      <c r="I974">
        <v>24.882939085522931</v>
      </c>
    </row>
    <row r="975" spans="1:9" x14ac:dyDescent="0.2">
      <c r="A975">
        <v>965</v>
      </c>
      <c r="B975">
        <v>1050196.1027281247</v>
      </c>
      <c r="C975">
        <v>73935.594279950659</v>
      </c>
      <c r="D975">
        <v>63890.064850581715</v>
      </c>
      <c r="E975">
        <v>117772.26090811081</v>
      </c>
      <c r="F975">
        <v>44153.464216715365</v>
      </c>
      <c r="G975">
        <v>10000</v>
      </c>
      <c r="H975">
        <v>-10000</v>
      </c>
      <c r="I975">
        <v>38.258730179982116</v>
      </c>
    </row>
    <row r="976" spans="1:9" x14ac:dyDescent="0.2">
      <c r="A976">
        <v>966</v>
      </c>
      <c r="B976">
        <v>1726159.878146294</v>
      </c>
      <c r="C976">
        <v>120036.3062078638</v>
      </c>
      <c r="D976">
        <v>127710.00195731872</v>
      </c>
      <c r="E976">
        <v>188230.46360620842</v>
      </c>
      <c r="F976">
        <v>49031.339788122117</v>
      </c>
      <c r="G976">
        <v>10000</v>
      </c>
      <c r="H976">
        <v>-10000</v>
      </c>
      <c r="I976">
        <v>37.00286378968103</v>
      </c>
    </row>
    <row r="977" spans="1:9" x14ac:dyDescent="0.2">
      <c r="A977">
        <v>967</v>
      </c>
      <c r="B977">
        <v>870595.02117563831</v>
      </c>
      <c r="C977">
        <v>93363.888643388535</v>
      </c>
      <c r="D977">
        <v>76221.840207989895</v>
      </c>
      <c r="E977">
        <v>42033.607383745504</v>
      </c>
      <c r="F977">
        <v>38910.018972720842</v>
      </c>
      <c r="G977">
        <v>10000</v>
      </c>
      <c r="H977">
        <v>-10000</v>
      </c>
      <c r="I977">
        <v>33.796986246365734</v>
      </c>
    </row>
    <row r="978" spans="1:9" x14ac:dyDescent="0.2">
      <c r="A978">
        <v>968</v>
      </c>
      <c r="B978">
        <v>1595233.3772401763</v>
      </c>
      <c r="C978">
        <v>127508.47671882244</v>
      </c>
      <c r="D978">
        <v>115638.84032019935</v>
      </c>
      <c r="E978">
        <v>158972.85861332773</v>
      </c>
      <c r="F978">
        <v>47005.813288614998</v>
      </c>
      <c r="G978">
        <v>10000</v>
      </c>
      <c r="H978">
        <v>-10000</v>
      </c>
      <c r="I978">
        <v>32.644836749773958</v>
      </c>
    </row>
    <row r="979" spans="1:9" x14ac:dyDescent="0.2">
      <c r="A979">
        <v>969</v>
      </c>
      <c r="B979">
        <v>1118919.1431394252</v>
      </c>
      <c r="C979">
        <v>127155.03931814365</v>
      </c>
      <c r="D979">
        <v>79650.685996108354</v>
      </c>
      <c r="E979">
        <v>70873.482666341923</v>
      </c>
      <c r="F979">
        <v>40906.625723054443</v>
      </c>
      <c r="G979">
        <v>10000</v>
      </c>
      <c r="H979">
        <v>-10000</v>
      </c>
      <c r="I979">
        <v>26.951581186584797</v>
      </c>
    </row>
    <row r="980" spans="1:9" x14ac:dyDescent="0.2">
      <c r="A980">
        <v>970</v>
      </c>
      <c r="B980">
        <v>1453693.7514464208</v>
      </c>
      <c r="C980">
        <v>135085.04149384695</v>
      </c>
      <c r="D980">
        <v>148572.85954861707</v>
      </c>
      <c r="E980">
        <v>84806.10733382334</v>
      </c>
      <c r="F980">
        <v>41871.192046187767</v>
      </c>
      <c r="G980">
        <v>10000</v>
      </c>
      <c r="H980">
        <v>-10000</v>
      </c>
      <c r="I980">
        <v>37.635493384383352</v>
      </c>
    </row>
    <row r="981" spans="1:9" x14ac:dyDescent="0.2">
      <c r="A981">
        <v>971</v>
      </c>
      <c r="B981">
        <v>1133909.1634494206</v>
      </c>
      <c r="C981">
        <v>85472.022629690749</v>
      </c>
      <c r="D981">
        <v>76840.308460757384</v>
      </c>
      <c r="E981">
        <v>116328.22176205987</v>
      </c>
      <c r="F981">
        <v>44053.492275834913</v>
      </c>
      <c r="G981">
        <v>10000</v>
      </c>
      <c r="H981">
        <v>-10000</v>
      </c>
      <c r="I981">
        <v>46.206246339461678</v>
      </c>
    </row>
    <row r="982" spans="1:9" x14ac:dyDescent="0.2">
      <c r="A982">
        <v>972</v>
      </c>
      <c r="B982">
        <v>1286086.5704550375</v>
      </c>
      <c r="C982">
        <v>144428.064364044</v>
      </c>
      <c r="D982">
        <v>49178.156688395029</v>
      </c>
      <c r="E982">
        <v>126066.36449486221</v>
      </c>
      <c r="F982">
        <v>44727.671388105846</v>
      </c>
      <c r="G982">
        <v>10000</v>
      </c>
      <c r="H982">
        <v>-10000</v>
      </c>
      <c r="I982">
        <v>35.286747552744615</v>
      </c>
    </row>
    <row r="983" spans="1:9" x14ac:dyDescent="0.2">
      <c r="A983">
        <v>973</v>
      </c>
      <c r="B983">
        <v>1423496.1410980155</v>
      </c>
      <c r="C983">
        <v>118249.83550822013</v>
      </c>
      <c r="D983">
        <v>72816.856245336079</v>
      </c>
      <c r="E983">
        <v>163662.01106552625</v>
      </c>
      <c r="F983">
        <v>47330.446919921051</v>
      </c>
      <c r="G983">
        <v>10000</v>
      </c>
      <c r="H983">
        <v>-10000</v>
      </c>
      <c r="I983">
        <v>48.377577778079434</v>
      </c>
    </row>
    <row r="984" spans="1:9" x14ac:dyDescent="0.2">
      <c r="A984">
        <v>974</v>
      </c>
      <c r="B984">
        <v>882915.91320028831</v>
      </c>
      <c r="C984">
        <v>76261.590707726631</v>
      </c>
      <c r="D984">
        <v>108632.06389132254</v>
      </c>
      <c r="E984">
        <v>30874.908778518227</v>
      </c>
      <c r="F984">
        <v>38137.493684666646</v>
      </c>
      <c r="G984">
        <v>10000</v>
      </c>
      <c r="H984">
        <v>-10000</v>
      </c>
      <c r="I984">
        <v>31.73858372110066</v>
      </c>
    </row>
    <row r="985" spans="1:9" x14ac:dyDescent="0.2">
      <c r="A985">
        <v>975</v>
      </c>
      <c r="B985">
        <v>1259201.1109202169</v>
      </c>
      <c r="C985">
        <v>129681.43554086407</v>
      </c>
      <c r="D985">
        <v>128698.93613382219</v>
      </c>
      <c r="E985">
        <v>58594.996232324054</v>
      </c>
      <c r="F985">
        <v>40056.576662237821</v>
      </c>
      <c r="G985">
        <v>10000</v>
      </c>
      <c r="H985">
        <v>-10000</v>
      </c>
      <c r="I985">
        <v>31.251835412150804</v>
      </c>
    </row>
    <row r="986" spans="1:9" x14ac:dyDescent="0.2">
      <c r="A986">
        <v>976</v>
      </c>
      <c r="B986">
        <v>1791855.3128148501</v>
      </c>
      <c r="C986">
        <v>118106.12114815327</v>
      </c>
      <c r="D986">
        <v>129768.97410867826</v>
      </c>
      <c r="E986">
        <v>204948.93809997261</v>
      </c>
      <c r="F986">
        <v>50188.77263769041</v>
      </c>
      <c r="G986">
        <v>10000</v>
      </c>
      <c r="H986">
        <v>-10000</v>
      </c>
      <c r="I986">
        <v>31.417279607267467</v>
      </c>
    </row>
    <row r="987" spans="1:9" x14ac:dyDescent="0.2">
      <c r="A987">
        <v>977</v>
      </c>
      <c r="B987">
        <v>1157032.805232574</v>
      </c>
      <c r="C987">
        <v>101072.23444749259</v>
      </c>
      <c r="D987">
        <v>72422.237294286635</v>
      </c>
      <c r="E987">
        <v>111797.11037188434</v>
      </c>
      <c r="F987">
        <v>43739.799948822765</v>
      </c>
      <c r="G987">
        <v>10000</v>
      </c>
      <c r="H987">
        <v>-10000</v>
      </c>
      <c r="I987">
        <v>31.321180356207861</v>
      </c>
    </row>
    <row r="988" spans="1:9" x14ac:dyDescent="0.2">
      <c r="A988">
        <v>978</v>
      </c>
      <c r="B988">
        <v>1393453.6775374559</v>
      </c>
      <c r="C988">
        <v>133396.28168750863</v>
      </c>
      <c r="D988">
        <v>91140.457856756737</v>
      </c>
      <c r="E988">
        <v>124658.66430001897</v>
      </c>
      <c r="F988">
        <v>44630.215220770537</v>
      </c>
      <c r="G988">
        <v>10000</v>
      </c>
      <c r="H988">
        <v>-10000</v>
      </c>
      <c r="I988">
        <v>33.429818569176163</v>
      </c>
    </row>
    <row r="989" spans="1:9" x14ac:dyDescent="0.2">
      <c r="A989">
        <v>979</v>
      </c>
      <c r="B989">
        <v>1253714.1461982697</v>
      </c>
      <c r="C989">
        <v>96962.524736878884</v>
      </c>
      <c r="D989">
        <v>87031.238905168342</v>
      </c>
      <c r="E989">
        <v>126758.79732424184</v>
      </c>
      <c r="F989">
        <v>44775.609045524434</v>
      </c>
      <c r="G989">
        <v>10000</v>
      </c>
      <c r="H989">
        <v>-10000</v>
      </c>
      <c r="I989">
        <v>34.910021131606754</v>
      </c>
    </row>
    <row r="990" spans="1:9" x14ac:dyDescent="0.2">
      <c r="A990">
        <v>980</v>
      </c>
      <c r="B990">
        <v>1399410.211757882</v>
      </c>
      <c r="C990">
        <v>104922.03234922468</v>
      </c>
      <c r="D990">
        <v>127507.83609217765</v>
      </c>
      <c r="E990">
        <v>118803.36827994879</v>
      </c>
      <c r="F990">
        <v>44224.848573227224</v>
      </c>
      <c r="G990">
        <v>10000</v>
      </c>
      <c r="H990">
        <v>-10000</v>
      </c>
      <c r="I990">
        <v>34.178813697269732</v>
      </c>
    </row>
    <row r="991" spans="1:9" x14ac:dyDescent="0.2">
      <c r="A991">
        <v>981</v>
      </c>
      <c r="B991">
        <v>879209.1980424535</v>
      </c>
      <c r="C991">
        <v>105337.6796571606</v>
      </c>
      <c r="D991">
        <v>67136.588992549849</v>
      </c>
      <c r="E991">
        <v>41540.063984603665</v>
      </c>
      <c r="F991">
        <v>38875.850583549487</v>
      </c>
      <c r="G991">
        <v>10000</v>
      </c>
      <c r="H991">
        <v>-10000</v>
      </c>
      <c r="I991">
        <v>32.411882317902197</v>
      </c>
    </row>
    <row r="992" spans="1:9" x14ac:dyDescent="0.2">
      <c r="A992">
        <v>982</v>
      </c>
      <c r="B992">
        <v>1357055.3977949002</v>
      </c>
      <c r="C992">
        <v>110958.78674849452</v>
      </c>
      <c r="D992">
        <v>119637.28145377127</v>
      </c>
      <c r="E992">
        <v>109662.13176954391</v>
      </c>
      <c r="F992">
        <v>43591.993737891506</v>
      </c>
      <c r="G992">
        <v>10000</v>
      </c>
      <c r="H992">
        <v>-10000</v>
      </c>
      <c r="I992">
        <v>36.055833876189681</v>
      </c>
    </row>
    <row r="993" spans="1:9" x14ac:dyDescent="0.2">
      <c r="A993">
        <v>983</v>
      </c>
      <c r="B993">
        <v>1187770.1257844251</v>
      </c>
      <c r="C993">
        <v>136964.01217018094</v>
      </c>
      <c r="D993">
        <v>81712.764329017868</v>
      </c>
      <c r="E993">
        <v>77418.807314524965</v>
      </c>
      <c r="F993">
        <v>41359.763583313266</v>
      </c>
      <c r="G993">
        <v>10000</v>
      </c>
      <c r="H993">
        <v>-10000</v>
      </c>
      <c r="I993">
        <v>36.594777463783394</v>
      </c>
    </row>
    <row r="994" spans="1:9" x14ac:dyDescent="0.2">
      <c r="A994">
        <v>984</v>
      </c>
      <c r="B994">
        <v>1256641.9900823596</v>
      </c>
      <c r="C994">
        <v>90488.478437439189</v>
      </c>
      <c r="D994">
        <v>92574.909178503833</v>
      </c>
      <c r="E994">
        <v>128379.39228381704</v>
      </c>
      <c r="F994">
        <v>44887.804081187329</v>
      </c>
      <c r="G994">
        <v>10000</v>
      </c>
      <c r="H994">
        <v>-10000</v>
      </c>
      <c r="I994">
        <v>57.773338971714288</v>
      </c>
    </row>
    <row r="995" spans="1:9" x14ac:dyDescent="0.2">
      <c r="A995">
        <v>985</v>
      </c>
      <c r="B995">
        <v>1238149.9554196727</v>
      </c>
      <c r="C995">
        <v>98396.242324213934</v>
      </c>
      <c r="D995">
        <v>60374.938043160357</v>
      </c>
      <c r="E995">
        <v>146358.88134249847</v>
      </c>
      <c r="F995">
        <v>46132.537939096052</v>
      </c>
      <c r="G995">
        <v>10000</v>
      </c>
      <c r="H995">
        <v>-10000</v>
      </c>
      <c r="I995">
        <v>50.279503642199806</v>
      </c>
    </row>
    <row r="996" spans="1:9" x14ac:dyDescent="0.2">
      <c r="A996">
        <v>986</v>
      </c>
      <c r="B996">
        <v>1640821.5112255746</v>
      </c>
      <c r="C996">
        <v>150931.00784547263</v>
      </c>
      <c r="D996">
        <v>87241.018706048722</v>
      </c>
      <c r="E996">
        <v>175311.06761502946</v>
      </c>
      <c r="F996">
        <v>48136.92006565589</v>
      </c>
      <c r="G996">
        <v>10000</v>
      </c>
      <c r="H996">
        <v>-10000</v>
      </c>
      <c r="I996">
        <v>32.662739165411423</v>
      </c>
    </row>
    <row r="997" spans="1:9" x14ac:dyDescent="0.2">
      <c r="A997">
        <v>987</v>
      </c>
      <c r="B997">
        <v>939243.01451263612</v>
      </c>
      <c r="C997">
        <v>100119.54712215102</v>
      </c>
      <c r="D997">
        <v>75977.025945374175</v>
      </c>
      <c r="E997">
        <v>53540.045425383178</v>
      </c>
      <c r="F997">
        <v>39706.618529449603</v>
      </c>
      <c r="G997">
        <v>10000</v>
      </c>
      <c r="H997">
        <v>-10000</v>
      </c>
      <c r="I997">
        <v>34.30191584485145</v>
      </c>
    </row>
    <row r="998" spans="1:9" x14ac:dyDescent="0.2">
      <c r="A998">
        <v>988</v>
      </c>
      <c r="B998">
        <v>1518877.6658825085</v>
      </c>
      <c r="C998">
        <v>92699.219116765293</v>
      </c>
      <c r="D998">
        <v>106346.4923218122</v>
      </c>
      <c r="E998">
        <v>180647.6208476258</v>
      </c>
      <c r="F998">
        <v>48506.373750989478</v>
      </c>
      <c r="G998">
        <v>10000</v>
      </c>
      <c r="H998">
        <v>-10000</v>
      </c>
      <c r="I998">
        <v>32.720739671484928</v>
      </c>
    </row>
    <row r="999" spans="1:9" x14ac:dyDescent="0.2">
      <c r="A999">
        <v>989</v>
      </c>
      <c r="B999">
        <v>1329209.5854582635</v>
      </c>
      <c r="C999">
        <v>107106.16198595389</v>
      </c>
      <c r="D999">
        <v>111857.9080032062</v>
      </c>
      <c r="E999">
        <v>113403.59591066647</v>
      </c>
      <c r="F999">
        <v>43851.018178430757</v>
      </c>
      <c r="G999">
        <v>10000</v>
      </c>
      <c r="H999">
        <v>-10000</v>
      </c>
      <c r="I999">
        <v>48.927392122737572</v>
      </c>
    </row>
    <row r="1000" spans="1:9" x14ac:dyDescent="0.2">
      <c r="A1000">
        <v>990</v>
      </c>
      <c r="B1000">
        <v>1566217.1476563958</v>
      </c>
      <c r="C1000">
        <v>106229.19199633197</v>
      </c>
      <c r="D1000">
        <v>116933.62770834433</v>
      </c>
      <c r="E1000">
        <v>170226.01356446507</v>
      </c>
      <c r="F1000">
        <v>47784.87786215527</v>
      </c>
      <c r="G1000">
        <v>10000</v>
      </c>
      <c r="H1000">
        <v>-10000</v>
      </c>
      <c r="I1000">
        <v>36.262603164544828</v>
      </c>
    </row>
    <row r="1001" spans="1:9" x14ac:dyDescent="0.2">
      <c r="A1001">
        <v>991</v>
      </c>
      <c r="B1001">
        <v>1713446.5045902177</v>
      </c>
      <c r="C1001">
        <v>154308.99601344857</v>
      </c>
      <c r="D1001">
        <v>126900.08370505967</v>
      </c>
      <c r="E1001">
        <v>153675.67975985928</v>
      </c>
      <c r="F1001">
        <v>46639.085521836409</v>
      </c>
      <c r="G1001">
        <v>10000</v>
      </c>
      <c r="H1001">
        <v>-10000</v>
      </c>
      <c r="I1001">
        <v>29.528648213231286</v>
      </c>
    </row>
    <row r="1002" spans="1:9" x14ac:dyDescent="0.2">
      <c r="A1002">
        <v>992</v>
      </c>
      <c r="B1002">
        <v>1464418.999318962</v>
      </c>
      <c r="C1002">
        <v>79704.299512554775</v>
      </c>
      <c r="D1002">
        <v>150339.05585212709</v>
      </c>
      <c r="E1002">
        <v>137698.28176231866</v>
      </c>
      <c r="F1002">
        <v>45532.957968160525</v>
      </c>
      <c r="G1002">
        <v>10000</v>
      </c>
      <c r="H1002">
        <v>-10000</v>
      </c>
      <c r="I1002">
        <v>53.677354603845281</v>
      </c>
    </row>
    <row r="1003" spans="1:9" x14ac:dyDescent="0.2">
      <c r="A1003">
        <v>993</v>
      </c>
      <c r="B1003">
        <v>1038501.0802209998</v>
      </c>
      <c r="C1003">
        <v>113452.73124074792</v>
      </c>
      <c r="D1003">
        <v>91487.765395364826</v>
      </c>
      <c r="E1003">
        <v>52005.343565439623</v>
      </c>
      <c r="F1003">
        <v>39600.369939145814</v>
      </c>
      <c r="G1003">
        <v>10000</v>
      </c>
      <c r="H1003">
        <v>-10000</v>
      </c>
      <c r="I1003">
        <v>35.710398758239727</v>
      </c>
    </row>
    <row r="1004" spans="1:9" x14ac:dyDescent="0.2">
      <c r="A1004">
        <v>994</v>
      </c>
      <c r="B1004">
        <v>912845.37791457912</v>
      </c>
      <c r="C1004">
        <v>111376.15832655858</v>
      </c>
      <c r="D1004">
        <v>32760.008608437452</v>
      </c>
      <c r="E1004">
        <v>76664.883153460003</v>
      </c>
      <c r="F1004">
        <v>41307.568833701072</v>
      </c>
      <c r="G1004">
        <v>10000</v>
      </c>
      <c r="H1004">
        <v>-10000</v>
      </c>
      <c r="I1004">
        <v>44.914409410057729</v>
      </c>
    </row>
    <row r="1005" spans="1:9" x14ac:dyDescent="0.2">
      <c r="A1005">
        <v>995</v>
      </c>
      <c r="B1005">
        <v>879153.82273526606</v>
      </c>
      <c r="C1005">
        <v>101409.89112275417</v>
      </c>
      <c r="D1005">
        <v>50667.874391882433</v>
      </c>
      <c r="E1005">
        <v>60601.736537690005</v>
      </c>
      <c r="F1005">
        <v>40195.504837224697</v>
      </c>
      <c r="G1005">
        <v>10000</v>
      </c>
      <c r="H1005">
        <v>-10000</v>
      </c>
      <c r="I1005">
        <v>44.175241947343146</v>
      </c>
    </row>
    <row r="1006" spans="1:9" x14ac:dyDescent="0.2">
      <c r="A1006">
        <v>996</v>
      </c>
      <c r="B1006">
        <v>1506011.6251826799</v>
      </c>
      <c r="C1006">
        <v>110941.42995795306</v>
      </c>
      <c r="D1006">
        <v>118368.73833824511</v>
      </c>
      <c r="E1006">
        <v>149044.93523484908</v>
      </c>
      <c r="F1006">
        <v>46318.495516258779</v>
      </c>
      <c r="G1006">
        <v>10000</v>
      </c>
      <c r="H1006">
        <v>-10000</v>
      </c>
      <c r="I1006">
        <v>37.128130518744797</v>
      </c>
    </row>
    <row r="1007" spans="1:9" x14ac:dyDescent="0.2">
      <c r="A1007">
        <v>997</v>
      </c>
      <c r="B1007">
        <v>1172330.533967043</v>
      </c>
      <c r="C1007">
        <v>142737.62408900351</v>
      </c>
      <c r="D1007">
        <v>91472.712837014769</v>
      </c>
      <c r="E1007">
        <v>58933.571590899272</v>
      </c>
      <c r="F1007">
        <v>40080.016494754571</v>
      </c>
      <c r="G1007">
        <v>10000</v>
      </c>
      <c r="H1007">
        <v>-10000</v>
      </c>
      <c r="I1007">
        <v>36.267427746279985</v>
      </c>
    </row>
    <row r="1008" spans="1:9" x14ac:dyDescent="0.2">
      <c r="A1008">
        <v>998</v>
      </c>
      <c r="B1008">
        <v>1380803.2840530602</v>
      </c>
      <c r="C1008">
        <v>115657.51337034625</v>
      </c>
      <c r="D1008">
        <v>99314.847018540095</v>
      </c>
      <c r="E1008">
        <v>130361.2434673723</v>
      </c>
      <c r="F1008">
        <v>45025.009163125775</v>
      </c>
      <c r="G1008">
        <v>10000</v>
      </c>
      <c r="H1008">
        <v>-10000</v>
      </c>
      <c r="I1008">
        <v>46.511096102224464</v>
      </c>
    </row>
    <row r="1009" spans="1:9" x14ac:dyDescent="0.2">
      <c r="A1009">
        <v>999</v>
      </c>
      <c r="B1009">
        <v>1407768.8489594299</v>
      </c>
      <c r="C1009">
        <v>136635.54017360273</v>
      </c>
      <c r="D1009">
        <v>66714.466369551941</v>
      </c>
      <c r="E1009">
        <v>148142.83064706589</v>
      </c>
      <c r="F1009">
        <v>46256.042121719947</v>
      </c>
      <c r="G1009">
        <v>10000</v>
      </c>
      <c r="H1009">
        <v>-10000</v>
      </c>
      <c r="I1009">
        <v>35.762029169127295</v>
      </c>
    </row>
    <row r="1010" spans="1:9" x14ac:dyDescent="0.2">
      <c r="A1010">
        <v>1000</v>
      </c>
      <c r="B1010">
        <v>1616940.2142350329</v>
      </c>
      <c r="C1010">
        <v>116221.76691863667</v>
      </c>
      <c r="D1010">
        <v>156278.57087510562</v>
      </c>
      <c r="E1010">
        <v>137084.24634602916</v>
      </c>
      <c r="F1010">
        <v>45490.447823955867</v>
      </c>
      <c r="G1010">
        <v>10000</v>
      </c>
      <c r="H1010">
        <v>-10000</v>
      </c>
      <c r="I1010">
        <v>27.019384286599681</v>
      </c>
    </row>
    <row r="1015" spans="1:9" ht="19" x14ac:dyDescent="0.25">
      <c r="A1015" s="4" t="s">
        <v>631</v>
      </c>
    </row>
    <row r="1016" spans="1:9" x14ac:dyDescent="0.2">
      <c r="A1016" t="s">
        <v>632</v>
      </c>
      <c r="B1016" s="15">
        <f>AVERAGE(B11:B1010)</f>
        <v>1296707.0342941149</v>
      </c>
    </row>
    <row r="1017" spans="1:9" x14ac:dyDescent="0.2">
      <c r="A1017" t="s">
        <v>633</v>
      </c>
      <c r="B1017" s="15">
        <f>PERCENTILE(B11:B1010,0.1)</f>
        <v>964780.00615421531</v>
      </c>
    </row>
    <row r="1018" spans="1:9" x14ac:dyDescent="0.2">
      <c r="A1018" t="s">
        <v>634</v>
      </c>
      <c r="B1018" s="15">
        <f>PERCENTILE(B11:B1010,0.5)</f>
        <v>1299192.1852606181</v>
      </c>
    </row>
    <row r="1019" spans="1:9" x14ac:dyDescent="0.2">
      <c r="A1019" t="s">
        <v>635</v>
      </c>
      <c r="B1019" s="15">
        <f>PERCENTILE(B11:B1010,0.9)</f>
        <v>1638439.6477987468</v>
      </c>
    </row>
    <row r="1020" spans="1:9" x14ac:dyDescent="0.2">
      <c r="A1020" t="s">
        <v>636</v>
      </c>
      <c r="B1020" s="15">
        <f>STDEV(B11:B1010)</f>
        <v>255398.20192486126</v>
      </c>
    </row>
    <row r="1021" spans="1:9" x14ac:dyDescent="0.2">
      <c r="A1021" t="s">
        <v>637</v>
      </c>
      <c r="B1021" s="25">
        <f>COUNTIF(B11:B1010,"&gt;0")/1000</f>
        <v>1</v>
      </c>
    </row>
    <row r="1023" spans="1:9" ht="19" x14ac:dyDescent="0.25">
      <c r="A1023" s="4" t="s">
        <v>638</v>
      </c>
    </row>
    <row r="1024" spans="1:9" x14ac:dyDescent="0.2">
      <c r="A1024" t="s">
        <v>639</v>
      </c>
      <c r="B1024" s="23">
        <f>IFERROR(AVERAGE(I11:I1010),"Run MC")</f>
        <v>36.366211081412423</v>
      </c>
    </row>
    <row r="1025" spans="1:2" x14ac:dyDescent="0.2">
      <c r="A1025" t="s">
        <v>640</v>
      </c>
      <c r="B1025" s="23">
        <f>IFERROR(PERCENTILE(I11:I1010,0.1),"Run MC")</f>
        <v>28.518068185988284</v>
      </c>
    </row>
    <row r="1026" spans="1:2" x14ac:dyDescent="0.2">
      <c r="A1026" t="s">
        <v>641</v>
      </c>
      <c r="B1026" s="23">
        <f>IFERROR(PERCENTILE(I11:I1010,0.5),"Run MC")</f>
        <v>35.51596398055166</v>
      </c>
    </row>
    <row r="1027" spans="1:2" x14ac:dyDescent="0.2">
      <c r="A1027" t="s">
        <v>642</v>
      </c>
      <c r="B1027" s="23">
        <f>IFERROR(PERCENTILE(I11:I1010,0.9),"Run MC")</f>
        <v>45.589753139013268</v>
      </c>
    </row>
    <row r="1028" spans="1:2" x14ac:dyDescent="0.2">
      <c r="A1028" t="s">
        <v>643</v>
      </c>
      <c r="B1028" s="25">
        <f>IFERROR(COUNTIF(I11:I1010,"&lt;="&amp;Season_Length)/1000,"Run MC")</f>
        <v>1</v>
      </c>
    </row>
  </sheetData>
  <mergeCells count="2">
    <mergeCell ref="A4:E4"/>
    <mergeCell ref="A3:E3"/>
  </mergeCell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4472C4"/>
  </sheetPr>
  <dimension ref="A1:D4"/>
  <sheetViews>
    <sheetView zoomScale="120" zoomScaleNormal="120" workbookViewId="0">
      <selection activeCell="B44" sqref="B44"/>
    </sheetView>
  </sheetViews>
  <sheetFormatPr baseColWidth="10" defaultColWidth="8.83203125" defaultRowHeight="15" x14ac:dyDescent="0.2"/>
  <cols>
    <col min="1" max="1" width="60" customWidth="1"/>
    <col min="2" max="4" width="13" customWidth="1"/>
  </cols>
  <sheetData>
    <row r="1" spans="1:4" ht="21" x14ac:dyDescent="0.25">
      <c r="A1" s="5" t="s">
        <v>644</v>
      </c>
    </row>
    <row r="3" spans="1:4" x14ac:dyDescent="0.2">
      <c r="A3" s="36" t="s">
        <v>645</v>
      </c>
      <c r="B3" s="34"/>
      <c r="C3" s="34"/>
      <c r="D3" s="35"/>
    </row>
    <row r="4" spans="1:4" ht="312" customHeight="1" x14ac:dyDescent="0.2">
      <c r="A4" s="33" t="s">
        <v>646</v>
      </c>
      <c r="B4" s="34"/>
      <c r="C4" s="34"/>
      <c r="D4" s="35"/>
    </row>
  </sheetData>
  <mergeCells count="2">
    <mergeCell ref="A4:D4"/>
    <mergeCell ref="A3:D3"/>
  </mergeCell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4472C4"/>
  </sheetPr>
  <dimension ref="A1:J23"/>
  <sheetViews>
    <sheetView zoomScale="120" zoomScaleNormal="120" workbookViewId="0">
      <selection activeCell="B44" sqref="B44"/>
    </sheetView>
  </sheetViews>
  <sheetFormatPr baseColWidth="10" defaultColWidth="8.83203125" defaultRowHeight="15" x14ac:dyDescent="0.2"/>
  <cols>
    <col min="1" max="5" width="12" customWidth="1"/>
    <col min="6" max="6" width="14" customWidth="1"/>
    <col min="7" max="7" width="12" customWidth="1"/>
    <col min="8" max="8" width="14" customWidth="1"/>
    <col min="9" max="9" width="16" customWidth="1"/>
    <col min="10" max="10" width="14" customWidth="1"/>
  </cols>
  <sheetData>
    <row r="1" spans="1:10" ht="21" x14ac:dyDescent="0.25">
      <c r="A1" s="5" t="s">
        <v>647</v>
      </c>
    </row>
    <row r="3" spans="1:10" x14ac:dyDescent="0.2">
      <c r="A3" s="36" t="s">
        <v>648</v>
      </c>
      <c r="B3" s="34"/>
      <c r="C3" s="34"/>
      <c r="D3" s="34"/>
      <c r="E3" s="34"/>
      <c r="F3" s="34"/>
      <c r="G3" s="34"/>
      <c r="H3" s="34"/>
      <c r="I3" s="34"/>
      <c r="J3" s="35"/>
    </row>
    <row r="4" spans="1:10" ht="249.5" customHeight="1" x14ac:dyDescent="0.2">
      <c r="A4" s="33" t="s">
        <v>649</v>
      </c>
      <c r="B4" s="34"/>
      <c r="C4" s="34"/>
      <c r="D4" s="34"/>
      <c r="E4" s="34"/>
      <c r="F4" s="34"/>
      <c r="G4" s="34"/>
      <c r="H4" s="34"/>
      <c r="I4" s="34"/>
      <c r="J4" s="35"/>
    </row>
    <row r="6" spans="1:10" x14ac:dyDescent="0.2">
      <c r="A6" s="6" t="s">
        <v>647</v>
      </c>
    </row>
    <row r="7" spans="1:10" ht="15.5" customHeight="1" x14ac:dyDescent="0.2">
      <c r="A7" s="7" t="s">
        <v>46</v>
      </c>
      <c r="B7" s="31" t="s">
        <v>650</v>
      </c>
      <c r="C7" s="32"/>
      <c r="D7" s="32"/>
      <c r="E7" s="32"/>
      <c r="F7" s="32"/>
      <c r="G7" s="32"/>
      <c r="H7" s="32"/>
      <c r="I7" s="32"/>
      <c r="J7" s="32"/>
    </row>
    <row r="8" spans="1:10" ht="15.5" customHeight="1" x14ac:dyDescent="0.2">
      <c r="A8" s="7" t="s">
        <v>48</v>
      </c>
      <c r="B8" s="31" t="s">
        <v>651</v>
      </c>
      <c r="C8" s="32"/>
      <c r="D8" s="32"/>
      <c r="E8" s="32"/>
      <c r="F8" s="32"/>
      <c r="G8" s="32"/>
      <c r="H8" s="32"/>
      <c r="I8" s="32"/>
      <c r="J8" s="32"/>
    </row>
    <row r="9" spans="1:10" ht="46.75" customHeight="1" x14ac:dyDescent="0.2">
      <c r="A9" s="7" t="s">
        <v>50</v>
      </c>
      <c r="B9" s="31" t="s">
        <v>652</v>
      </c>
      <c r="C9" s="32"/>
      <c r="D9" s="32"/>
      <c r="E9" s="32"/>
      <c r="F9" s="32"/>
      <c r="G9" s="32"/>
      <c r="H9" s="32"/>
      <c r="I9" s="32"/>
      <c r="J9" s="32"/>
    </row>
    <row r="10" spans="1:10" ht="15.5" customHeight="1" x14ac:dyDescent="0.2">
      <c r="A10" s="7" t="s">
        <v>52</v>
      </c>
      <c r="B10" s="31" t="s">
        <v>653</v>
      </c>
      <c r="C10" s="32"/>
      <c r="D10" s="32"/>
      <c r="E10" s="32"/>
      <c r="F10" s="32"/>
      <c r="G10" s="32"/>
      <c r="H10" s="32"/>
      <c r="I10" s="32"/>
      <c r="J10" s="32"/>
    </row>
    <row r="11" spans="1:10" ht="15.5" customHeight="1" x14ac:dyDescent="0.2">
      <c r="A11" s="7" t="s">
        <v>54</v>
      </c>
      <c r="B11" s="31" t="s">
        <v>654</v>
      </c>
      <c r="C11" s="32"/>
      <c r="D11" s="32"/>
      <c r="E11" s="32"/>
      <c r="F11" s="32"/>
      <c r="G11" s="32"/>
      <c r="H11" s="32"/>
      <c r="I11" s="32"/>
      <c r="J11" s="32"/>
    </row>
    <row r="12" spans="1:10" x14ac:dyDescent="0.2">
      <c r="A12" s="8" t="s">
        <v>295</v>
      </c>
      <c r="B12" s="8" t="s">
        <v>655</v>
      </c>
      <c r="C12" s="8" t="s">
        <v>656</v>
      </c>
      <c r="D12" s="8" t="s">
        <v>657</v>
      </c>
      <c r="E12" s="8" t="s">
        <v>658</v>
      </c>
      <c r="F12" s="8" t="s">
        <v>659</v>
      </c>
      <c r="G12" s="8" t="s">
        <v>660</v>
      </c>
      <c r="H12" s="8" t="s">
        <v>661</v>
      </c>
      <c r="I12" s="8" t="s">
        <v>487</v>
      </c>
      <c r="J12" s="8" t="s">
        <v>662</v>
      </c>
    </row>
    <row r="13" spans="1:10" x14ac:dyDescent="0.2">
      <c r="A13">
        <f>Base_Year+0</f>
        <v>2026</v>
      </c>
      <c r="B13" s="15">
        <f ca="1">S1_Value*INDEX(Timeline_LearningMult,2)</f>
        <v>51469.131038594373</v>
      </c>
      <c r="C13" s="15">
        <f ca="1">S2_Value*INDEX(Timeline_LearningMult,2)</f>
        <v>35643.255105121214</v>
      </c>
      <c r="D13" s="15">
        <f ca="1">S3_Value*INDEX(Timeline_LearningMult,2)</f>
        <v>61113.697957215874</v>
      </c>
      <c r="E13" s="15">
        <f ca="1">S4_Value*INDEX(Timeline_LearningMult,2)</f>
        <v>22230.948320114945</v>
      </c>
      <c r="F13" s="15">
        <f ca="1">SUM(B13:E13)</f>
        <v>170457.03242104643</v>
      </c>
      <c r="G13" s="15">
        <f>Testing_Cost</f>
        <v>10000</v>
      </c>
      <c r="H13" s="15">
        <f ca="1">F13-G13</f>
        <v>160457.03242104643</v>
      </c>
      <c r="I13">
        <f>INDEX(Timeline_DiscountFactor,2)</f>
        <v>0.95419847328244267</v>
      </c>
      <c r="J13" s="15">
        <f ca="1">H13*I13</f>
        <v>153107.8553635939</v>
      </c>
    </row>
    <row r="14" spans="1:10" x14ac:dyDescent="0.2">
      <c r="A14">
        <f>Base_Year+1</f>
        <v>2027</v>
      </c>
      <c r="B14" s="15">
        <f ca="1">S1_Value*INDEX(Timeline_LearningMult,3)</f>
        <v>77203.696557891555</v>
      </c>
      <c r="C14" s="15">
        <f ca="1">S2_Value*INDEX(Timeline_LearningMult,3)</f>
        <v>53464.882657681825</v>
      </c>
      <c r="D14" s="15">
        <f ca="1">S3_Value*INDEX(Timeline_LearningMult,3)</f>
        <v>91670.546935823804</v>
      </c>
      <c r="E14" s="15">
        <f ca="1">S4_Value*INDEX(Timeline_LearningMult,3)</f>
        <v>33346.422480172419</v>
      </c>
      <c r="F14" s="15">
        <f ca="1">SUM(B14:E14)</f>
        <v>255685.5486315696</v>
      </c>
      <c r="G14" s="15">
        <f>Testing_Cost</f>
        <v>10000</v>
      </c>
      <c r="H14" s="15">
        <f ca="1">F14-G14</f>
        <v>245685.5486315696</v>
      </c>
      <c r="I14">
        <f>INDEX(Timeline_DiscountFactor,3)</f>
        <v>0.91049472641454443</v>
      </c>
      <c r="J14" s="15">
        <f ca="1">H14*I14</f>
        <v>223695.39638530821</v>
      </c>
    </row>
    <row r="15" spans="1:10" x14ac:dyDescent="0.2">
      <c r="A15">
        <f>Base_Year+2</f>
        <v>2028</v>
      </c>
      <c r="B15" s="15">
        <f ca="1">S1_Value*INDEX(Timeline_LearningMult,4)</f>
        <v>102938.26207718875</v>
      </c>
      <c r="C15" s="15">
        <f ca="1">S2_Value*INDEX(Timeline_LearningMult,4)</f>
        <v>71286.510210242428</v>
      </c>
      <c r="D15" s="15">
        <f ca="1">S3_Value*INDEX(Timeline_LearningMult,4)</f>
        <v>122227.39591443175</v>
      </c>
      <c r="E15" s="15">
        <f ca="1">S4_Value*INDEX(Timeline_LearningMult,4)</f>
        <v>44461.89664022989</v>
      </c>
      <c r="F15" s="15">
        <f ca="1">SUM(B15:E15)</f>
        <v>340914.06484209286</v>
      </c>
      <c r="G15" s="15">
        <f>Testing_Cost</f>
        <v>10000</v>
      </c>
      <c r="H15" s="15">
        <f ca="1">F15-G15</f>
        <v>330914.06484209286</v>
      </c>
      <c r="I15">
        <f>INDEX(Timeline_DiscountFactor,4)</f>
        <v>0.86879267787647374</v>
      </c>
      <c r="J15" s="15">
        <f ca="1">H15*I15</f>
        <v>287495.71654115093</v>
      </c>
    </row>
    <row r="16" spans="1:10" x14ac:dyDescent="0.2">
      <c r="A16">
        <f>Base_Year+3</f>
        <v>2029</v>
      </c>
      <c r="B16" s="15">
        <f ca="1">S1_Value*INDEX(Timeline_LearningMult,5)</f>
        <v>102938.26207718875</v>
      </c>
      <c r="C16" s="15">
        <f ca="1">S2_Value*INDEX(Timeline_LearningMult,5)</f>
        <v>71286.510210242428</v>
      </c>
      <c r="D16" s="15">
        <f ca="1">S3_Value*INDEX(Timeline_LearningMult,5)</f>
        <v>122227.39591443175</v>
      </c>
      <c r="E16" s="15">
        <f ca="1">S4_Value*INDEX(Timeline_LearningMult,5)</f>
        <v>44461.89664022989</v>
      </c>
      <c r="F16" s="15">
        <f ca="1">SUM(B16:E16)</f>
        <v>340914.06484209286</v>
      </c>
      <c r="G16" s="15">
        <f>Testing_Cost</f>
        <v>10000</v>
      </c>
      <c r="H16" s="15">
        <f ca="1">F16-G16</f>
        <v>330914.06484209286</v>
      </c>
      <c r="I16">
        <f>INDEX(Timeline_DiscountFactor,5)</f>
        <v>0.82900064682869612</v>
      </c>
      <c r="J16" s="15">
        <f ca="1">H16*I16</f>
        <v>274327.97379880806</v>
      </c>
    </row>
    <row r="17" spans="1:10" x14ac:dyDescent="0.2">
      <c r="A17">
        <f>Base_Year+4</f>
        <v>2030</v>
      </c>
      <c r="B17" s="15">
        <f ca="1">S1_Value*INDEX(Timeline_LearningMult,6)</f>
        <v>102938.26207718875</v>
      </c>
      <c r="C17" s="15">
        <f ca="1">S2_Value*INDEX(Timeline_LearningMult,6)</f>
        <v>71286.510210242428</v>
      </c>
      <c r="D17" s="15">
        <f ca="1">S3_Value*INDEX(Timeline_LearningMult,6)</f>
        <v>122227.39591443175</v>
      </c>
      <c r="E17" s="15">
        <f ca="1">S4_Value*INDEX(Timeline_LearningMult,6)</f>
        <v>44461.89664022989</v>
      </c>
      <c r="F17" s="15">
        <f ca="1">SUM(B17:E17)</f>
        <v>340914.06484209286</v>
      </c>
      <c r="G17" s="15">
        <f>Testing_Cost</f>
        <v>10000</v>
      </c>
      <c r="H17" s="15">
        <f ca="1">F17-G17</f>
        <v>330914.06484209286</v>
      </c>
      <c r="I17">
        <f>INDEX(Timeline_DiscountFactor,6)</f>
        <v>0.79103115155409931</v>
      </c>
      <c r="J17" s="15">
        <f ca="1">H17*I17</f>
        <v>261763.33377748862</v>
      </c>
    </row>
    <row r="20" spans="1:10" ht="19" x14ac:dyDescent="0.25">
      <c r="A20" s="4" t="s">
        <v>663</v>
      </c>
    </row>
    <row r="21" spans="1:10" x14ac:dyDescent="0.2">
      <c r="A21" t="s">
        <v>664</v>
      </c>
      <c r="B21" s="15">
        <f ca="1">SUM(J13:J17)</f>
        <v>1200390.2758663497</v>
      </c>
    </row>
    <row r="22" spans="1:10" x14ac:dyDescent="0.2">
      <c r="A22" t="s">
        <v>665</v>
      </c>
      <c r="B22" s="15">
        <f ca="1">SUM(F13:F17)</f>
        <v>1448884.7755788944</v>
      </c>
    </row>
    <row r="23" spans="1:10" x14ac:dyDescent="0.2">
      <c r="A23" t="s">
        <v>666</v>
      </c>
      <c r="B23" s="15">
        <f ca="1">SUM(H13:H17)</f>
        <v>1398884.7755788944</v>
      </c>
    </row>
  </sheetData>
  <mergeCells count="7">
    <mergeCell ref="B7:J7"/>
    <mergeCell ref="B11:J11"/>
    <mergeCell ref="B10:J10"/>
    <mergeCell ref="A3:J3"/>
    <mergeCell ref="B9:J9"/>
    <mergeCell ref="A4:J4"/>
    <mergeCell ref="B8:J8"/>
  </mergeCell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4472C4"/>
  </sheetPr>
  <dimension ref="A1:D17"/>
  <sheetViews>
    <sheetView zoomScale="120" zoomScaleNormal="120" workbookViewId="0">
      <selection activeCell="B44" sqref="B44"/>
    </sheetView>
  </sheetViews>
  <sheetFormatPr baseColWidth="10" defaultColWidth="8.83203125" defaultRowHeight="15" x14ac:dyDescent="0.2"/>
  <cols>
    <col min="1" max="1" width="12" customWidth="1"/>
    <col min="2" max="4" width="16" customWidth="1"/>
  </cols>
  <sheetData>
    <row r="1" spans="1:4" ht="21" x14ac:dyDescent="0.25">
      <c r="A1" s="5" t="s">
        <v>667</v>
      </c>
    </row>
    <row r="3" spans="1:4" x14ac:dyDescent="0.2">
      <c r="A3" s="36" t="s">
        <v>668</v>
      </c>
      <c r="B3" s="34"/>
      <c r="C3" s="34"/>
      <c r="D3" s="35"/>
    </row>
    <row r="4" spans="1:4" ht="312" customHeight="1" x14ac:dyDescent="0.2">
      <c r="A4" s="33" t="s">
        <v>669</v>
      </c>
      <c r="B4" s="34"/>
      <c r="C4" s="34"/>
      <c r="D4" s="35"/>
    </row>
    <row r="6" spans="1:4" x14ac:dyDescent="0.2">
      <c r="A6" s="6" t="s">
        <v>670</v>
      </c>
    </row>
    <row r="7" spans="1:4" ht="31.25" customHeight="1" x14ac:dyDescent="0.2">
      <c r="A7" s="7" t="s">
        <v>46</v>
      </c>
      <c r="B7" s="31" t="s">
        <v>671</v>
      </c>
      <c r="C7" s="32"/>
      <c r="D7" s="32"/>
    </row>
    <row r="8" spans="1:4" ht="31.25" customHeight="1" x14ac:dyDescent="0.2">
      <c r="A8" s="7" t="s">
        <v>48</v>
      </c>
      <c r="B8" s="31" t="s">
        <v>672</v>
      </c>
      <c r="C8" s="32"/>
      <c r="D8" s="32"/>
    </row>
    <row r="9" spans="1:4" ht="62.5" customHeight="1" x14ac:dyDescent="0.2">
      <c r="A9" s="7" t="s">
        <v>50</v>
      </c>
      <c r="B9" s="31" t="s">
        <v>673</v>
      </c>
      <c r="C9" s="32"/>
      <c r="D9" s="32"/>
    </row>
    <row r="10" spans="1:4" ht="15.5" customHeight="1" x14ac:dyDescent="0.2">
      <c r="A10" s="7" t="s">
        <v>52</v>
      </c>
      <c r="B10" s="31" t="s">
        <v>674</v>
      </c>
      <c r="C10" s="32"/>
      <c r="D10" s="32"/>
    </row>
    <row r="11" spans="1:4" ht="15.5" customHeight="1" x14ac:dyDescent="0.2">
      <c r="A11" s="7" t="s">
        <v>54</v>
      </c>
      <c r="B11" s="31" t="s">
        <v>675</v>
      </c>
      <c r="C11" s="32"/>
      <c r="D11" s="32"/>
    </row>
    <row r="12" spans="1:4" x14ac:dyDescent="0.2">
      <c r="A12" s="8" t="s">
        <v>295</v>
      </c>
      <c r="B12" s="8" t="s">
        <v>676</v>
      </c>
      <c r="C12" s="8" t="s">
        <v>677</v>
      </c>
      <c r="D12" s="8" t="s">
        <v>678</v>
      </c>
    </row>
    <row r="13" spans="1:4" x14ac:dyDescent="0.2">
      <c r="A13">
        <f>Base_Year+0</f>
        <v>2026</v>
      </c>
      <c r="B13" s="15">
        <f ca="1">INDEX(tbl_Annual[Net_Annual],1)</f>
        <v>160457.03242104643</v>
      </c>
      <c r="C13" s="15">
        <f ca="1">B13</f>
        <v>160457.03242104643</v>
      </c>
      <c r="D13" s="15">
        <f ca="1">INDEX(tbl_Annual[Discounted],1)</f>
        <v>153107.8553635939</v>
      </c>
    </row>
    <row r="14" spans="1:4" x14ac:dyDescent="0.2">
      <c r="A14">
        <f>Base_Year+1</f>
        <v>2027</v>
      </c>
      <c r="B14" s="15">
        <f ca="1">INDEX(tbl_Annual[Net_Annual],2)</f>
        <v>245685.5486315696</v>
      </c>
      <c r="C14" s="15">
        <f ca="1">C13+B14</f>
        <v>406142.58105261601</v>
      </c>
      <c r="D14" s="15">
        <f ca="1">D13+INDEX(tbl_Annual[Discounted],2)</f>
        <v>376803.25174890214</v>
      </c>
    </row>
    <row r="15" spans="1:4" x14ac:dyDescent="0.2">
      <c r="A15">
        <f>Base_Year+2</f>
        <v>2028</v>
      </c>
      <c r="B15" s="15">
        <f ca="1">INDEX(tbl_Annual[Net_Annual],3)</f>
        <v>330914.06484209286</v>
      </c>
      <c r="C15" s="15">
        <f ca="1">C14+B15</f>
        <v>737056.64589470881</v>
      </c>
      <c r="D15" s="15">
        <f ca="1">D14+INDEX(tbl_Annual[Discounted],3)</f>
        <v>664298.96829005308</v>
      </c>
    </row>
    <row r="16" spans="1:4" x14ac:dyDescent="0.2">
      <c r="A16">
        <f>Base_Year+3</f>
        <v>2029</v>
      </c>
      <c r="B16" s="15">
        <f ca="1">INDEX(tbl_Annual[Net_Annual],4)</f>
        <v>330914.06484209286</v>
      </c>
      <c r="C16" s="15">
        <f ca="1">C15+B16</f>
        <v>1067970.7107368016</v>
      </c>
      <c r="D16" s="15">
        <f ca="1">D15+INDEX(tbl_Annual[Discounted],4)</f>
        <v>938626.94208886113</v>
      </c>
    </row>
    <row r="17" spans="1:4" x14ac:dyDescent="0.2">
      <c r="A17">
        <f>Base_Year+4</f>
        <v>2030</v>
      </c>
      <c r="B17" s="15">
        <f ca="1">INDEX(tbl_Annual[Net_Annual],5)</f>
        <v>330914.06484209286</v>
      </c>
      <c r="C17" s="15">
        <f ca="1">C16+B17</f>
        <v>1398884.7755788944</v>
      </c>
      <c r="D17" s="15">
        <f ca="1">D16+INDEX(tbl_Annual[Discounted],5)</f>
        <v>1200390.2758663497</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4472C4"/>
  </sheetPr>
  <dimension ref="A1:D27"/>
  <sheetViews>
    <sheetView zoomScale="120" zoomScaleNormal="120" workbookViewId="0">
      <selection activeCell="B44" sqref="B44"/>
    </sheetView>
  </sheetViews>
  <sheetFormatPr baseColWidth="10" defaultColWidth="8.83203125" defaultRowHeight="15" x14ac:dyDescent="0.2"/>
  <cols>
    <col min="1" max="1" width="28" customWidth="1"/>
    <col min="2" max="2" width="18" customWidth="1"/>
    <col min="3" max="3" width="10" customWidth="1"/>
    <col min="4" max="4" width="25" customWidth="1"/>
  </cols>
  <sheetData>
    <row r="1" spans="1:4" ht="21" x14ac:dyDescent="0.25">
      <c r="A1" s="5" t="s">
        <v>679</v>
      </c>
    </row>
    <row r="3" spans="1:4" x14ac:dyDescent="0.2">
      <c r="A3" s="36" t="s">
        <v>680</v>
      </c>
      <c r="B3" s="34"/>
      <c r="C3" s="34"/>
      <c r="D3" s="35"/>
    </row>
    <row r="4" spans="1:4" ht="327.5" customHeight="1" x14ac:dyDescent="0.2">
      <c r="A4" s="33" t="s">
        <v>681</v>
      </c>
      <c r="B4" s="34"/>
      <c r="C4" s="34"/>
      <c r="D4" s="35"/>
    </row>
    <row r="6" spans="1:4" x14ac:dyDescent="0.2">
      <c r="A6" s="6" t="s">
        <v>679</v>
      </c>
    </row>
    <row r="7" spans="1:4" ht="31.25" customHeight="1" x14ac:dyDescent="0.2">
      <c r="A7" s="7" t="s">
        <v>46</v>
      </c>
      <c r="B7" s="31" t="s">
        <v>682</v>
      </c>
      <c r="C7" s="32"/>
      <c r="D7" s="32"/>
    </row>
    <row r="8" spans="1:4" ht="31.25" customHeight="1" x14ac:dyDescent="0.2">
      <c r="A8" s="7" t="s">
        <v>48</v>
      </c>
      <c r="B8" s="31" t="s">
        <v>683</v>
      </c>
      <c r="C8" s="32"/>
      <c r="D8" s="32"/>
    </row>
    <row r="9" spans="1:4" ht="78" customHeight="1" x14ac:dyDescent="0.2">
      <c r="A9" s="7" t="s">
        <v>50</v>
      </c>
      <c r="B9" s="31" t="s">
        <v>684</v>
      </c>
      <c r="C9" s="32"/>
      <c r="D9" s="32"/>
    </row>
    <row r="10" spans="1:4" ht="31.25" customHeight="1" x14ac:dyDescent="0.2">
      <c r="A10" s="7" t="s">
        <v>52</v>
      </c>
      <c r="B10" s="31" t="s">
        <v>685</v>
      </c>
      <c r="C10" s="32"/>
      <c r="D10" s="32"/>
    </row>
    <row r="11" spans="1:4" ht="15.5" customHeight="1" x14ac:dyDescent="0.2">
      <c r="A11" s="7" t="s">
        <v>54</v>
      </c>
      <c r="B11" s="31" t="s">
        <v>686</v>
      </c>
      <c r="C11" s="32"/>
      <c r="D11" s="32"/>
    </row>
    <row r="12" spans="1:4" x14ac:dyDescent="0.2">
      <c r="A12" s="8" t="s">
        <v>491</v>
      </c>
      <c r="B12" s="8" t="s">
        <v>57</v>
      </c>
      <c r="C12" s="8" t="s">
        <v>227</v>
      </c>
      <c r="D12" s="8" t="s">
        <v>492</v>
      </c>
    </row>
    <row r="13" spans="1:4" x14ac:dyDescent="0.2">
      <c r="A13" t="s">
        <v>687</v>
      </c>
      <c r="B13">
        <f>Annual_Throughput</f>
        <v>50000</v>
      </c>
      <c r="C13" t="s">
        <v>273</v>
      </c>
      <c r="D13" t="s">
        <v>688</v>
      </c>
    </row>
    <row r="14" spans="1:4" x14ac:dyDescent="0.2">
      <c r="A14" t="s">
        <v>689</v>
      </c>
      <c r="B14" s="28">
        <f ca="1">Gross_Value</f>
        <v>340914.06484209286</v>
      </c>
      <c r="C14" t="s">
        <v>287</v>
      </c>
      <c r="D14" t="s">
        <v>690</v>
      </c>
    </row>
    <row r="15" spans="1:4" x14ac:dyDescent="0.2">
      <c r="A15" t="s">
        <v>691</v>
      </c>
      <c r="B15" s="28">
        <f ca="1">Compliance_Adjusted_Value</f>
        <v>0</v>
      </c>
      <c r="C15" t="s">
        <v>287</v>
      </c>
      <c r="D15" t="s">
        <v>692</v>
      </c>
    </row>
    <row r="16" spans="1:4" x14ac:dyDescent="0.2">
      <c r="A16" t="s">
        <v>693</v>
      </c>
      <c r="B16" s="28">
        <f>Testing_Cost</f>
        <v>10000</v>
      </c>
      <c r="C16" t="s">
        <v>287</v>
      </c>
      <c r="D16" t="s">
        <v>694</v>
      </c>
    </row>
    <row r="17" spans="1:4" x14ac:dyDescent="0.2">
      <c r="A17" t="s">
        <v>695</v>
      </c>
      <c r="B17" s="28">
        <f ca="1">Compliance_Adjusted_Value-Testing_Cost</f>
        <v>-10000</v>
      </c>
      <c r="C17" t="s">
        <v>287</v>
      </c>
      <c r="D17" t="s">
        <v>696</v>
      </c>
    </row>
    <row r="18" spans="1:4" x14ac:dyDescent="0.2">
      <c r="A18" t="s">
        <v>697</v>
      </c>
      <c r="B18" s="28">
        <f ca="1">Gross_Value/Annual_Throughput</f>
        <v>6.8182812968418576</v>
      </c>
      <c r="C18" t="s">
        <v>276</v>
      </c>
      <c r="D18" t="s">
        <v>698</v>
      </c>
    </row>
    <row r="19" spans="1:4" x14ac:dyDescent="0.2">
      <c r="A19" t="s">
        <v>699</v>
      </c>
      <c r="B19" s="28">
        <f ca="1">(Compliance_Adjusted_Value-Testing_Cost)/Annual_Throughput</f>
        <v>-0.2</v>
      </c>
      <c r="C19" t="s">
        <v>276</v>
      </c>
      <c r="D19" t="s">
        <v>700</v>
      </c>
    </row>
    <row r="20" spans="1:4" x14ac:dyDescent="0.2">
      <c r="A20" t="s">
        <v>701</v>
      </c>
      <c r="B20" s="28">
        <f>Testing_Cost/Annual_Throughput</f>
        <v>0.2</v>
      </c>
      <c r="C20" t="s">
        <v>276</v>
      </c>
      <c r="D20" t="s">
        <v>702</v>
      </c>
    </row>
    <row r="21" spans="1:4" x14ac:dyDescent="0.2">
      <c r="A21" t="s">
        <v>703</v>
      </c>
      <c r="B21" s="28">
        <f ca="1">NPV_Total/(Annual_Throughput*5)</f>
        <v>4.8015611034653984</v>
      </c>
      <c r="C21" t="s">
        <v>276</v>
      </c>
      <c r="D21" t="s">
        <v>704</v>
      </c>
    </row>
    <row r="24" spans="1:4" ht="19" x14ac:dyDescent="0.25">
      <c r="A24" s="4" t="s">
        <v>705</v>
      </c>
    </row>
    <row r="25" spans="1:4" x14ac:dyDescent="0.2">
      <c r="A25" t="s">
        <v>706</v>
      </c>
      <c r="B25" s="15">
        <f>INDEX(TestOpt_Cost,MATCH(Testing_Option,TestOpt_Option,0))</f>
        <v>10</v>
      </c>
    </row>
    <row r="26" spans="1:4" x14ac:dyDescent="0.2">
      <c r="A26" t="s">
        <v>707</v>
      </c>
      <c r="B26">
        <f>Testing_Cost/INDEX(TestOpt_Cost,MATCH(Testing_Option,TestOpt_Option,0))</f>
        <v>1000</v>
      </c>
    </row>
    <row r="27" spans="1:4" x14ac:dyDescent="0.2">
      <c r="A27" t="s">
        <v>708</v>
      </c>
      <c r="B27" s="28">
        <f ca="1">(Compliance_Adjusted_Value-Testing_Cost)/(Testing_Cost/INDEX(TestOpt_Cost,MATCH(Testing_Option,TestOpt_Option,0)))</f>
        <v>-10</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4472C4"/>
  </sheetPr>
  <dimension ref="A1:G27"/>
  <sheetViews>
    <sheetView zoomScale="120" zoomScaleNormal="120" workbookViewId="0">
      <selection activeCell="B44" sqref="B44"/>
    </sheetView>
  </sheetViews>
  <sheetFormatPr baseColWidth="10" defaultColWidth="8.83203125" defaultRowHeight="15" x14ac:dyDescent="0.2"/>
  <cols>
    <col min="1" max="1" width="18" customWidth="1"/>
    <col min="2" max="4" width="12" customWidth="1"/>
    <col min="5" max="7" width="15" customWidth="1"/>
  </cols>
  <sheetData>
    <row r="1" spans="1:7" ht="21" x14ac:dyDescent="0.25">
      <c r="A1" s="5" t="s">
        <v>709</v>
      </c>
    </row>
    <row r="3" spans="1:7" x14ac:dyDescent="0.2">
      <c r="A3" s="36" t="s">
        <v>710</v>
      </c>
      <c r="B3" s="34"/>
      <c r="C3" s="34"/>
      <c r="D3" s="34"/>
      <c r="E3" s="34"/>
      <c r="F3" s="34"/>
      <c r="G3" s="35"/>
    </row>
    <row r="4" spans="1:7" ht="374.5" customHeight="1" x14ac:dyDescent="0.2">
      <c r="A4" s="33" t="s">
        <v>711</v>
      </c>
      <c r="B4" s="34"/>
      <c r="C4" s="34"/>
      <c r="D4" s="34"/>
      <c r="E4" s="34"/>
      <c r="F4" s="34"/>
      <c r="G4" s="35"/>
    </row>
    <row r="6" spans="1:7" x14ac:dyDescent="0.2">
      <c r="A6" s="6" t="s">
        <v>709</v>
      </c>
    </row>
    <row r="7" spans="1:7" ht="31.25" customHeight="1" x14ac:dyDescent="0.2">
      <c r="A7" s="7" t="s">
        <v>46</v>
      </c>
      <c r="B7" s="31" t="s">
        <v>712</v>
      </c>
      <c r="C7" s="32"/>
      <c r="D7" s="32"/>
      <c r="E7" s="32"/>
      <c r="F7" s="32"/>
      <c r="G7" s="32"/>
    </row>
    <row r="8" spans="1:7" ht="15.5" customHeight="1" x14ac:dyDescent="0.2">
      <c r="A8" s="7" t="s">
        <v>48</v>
      </c>
      <c r="B8" s="31" t="s">
        <v>713</v>
      </c>
      <c r="C8" s="32"/>
      <c r="D8" s="32"/>
      <c r="E8" s="32"/>
      <c r="F8" s="32"/>
      <c r="G8" s="32"/>
    </row>
    <row r="9" spans="1:7" ht="46.75" customHeight="1" x14ac:dyDescent="0.2">
      <c r="A9" s="7" t="s">
        <v>50</v>
      </c>
      <c r="B9" s="31" t="s">
        <v>714</v>
      </c>
      <c r="C9" s="32"/>
      <c r="D9" s="32"/>
      <c r="E9" s="32"/>
      <c r="F9" s="32"/>
      <c r="G9" s="32"/>
    </row>
    <row r="10" spans="1:7" ht="15.5" customHeight="1" x14ac:dyDescent="0.2">
      <c r="A10" s="7" t="s">
        <v>52</v>
      </c>
      <c r="B10" s="31" t="s">
        <v>715</v>
      </c>
      <c r="C10" s="32"/>
      <c r="D10" s="32"/>
      <c r="E10" s="32"/>
      <c r="F10" s="32"/>
      <c r="G10" s="32"/>
    </row>
    <row r="11" spans="1:7" ht="15.5" customHeight="1" x14ac:dyDescent="0.2">
      <c r="A11" s="7" t="s">
        <v>54</v>
      </c>
      <c r="B11" s="31" t="s">
        <v>716</v>
      </c>
      <c r="C11" s="32"/>
      <c r="D11" s="32"/>
      <c r="E11" s="32"/>
      <c r="F11" s="32"/>
      <c r="G11" s="32"/>
    </row>
    <row r="12" spans="1:7" x14ac:dyDescent="0.2">
      <c r="A12" s="8" t="s">
        <v>56</v>
      </c>
      <c r="B12" s="8" t="s">
        <v>468</v>
      </c>
      <c r="C12" s="8" t="s">
        <v>65</v>
      </c>
      <c r="D12" s="8" t="s">
        <v>469</v>
      </c>
      <c r="E12" s="8" t="s">
        <v>717</v>
      </c>
      <c r="F12" s="8" t="s">
        <v>718</v>
      </c>
      <c r="G12" s="8" t="s">
        <v>719</v>
      </c>
    </row>
    <row r="13" spans="1:7" x14ac:dyDescent="0.2">
      <c r="A13" t="s">
        <v>720</v>
      </c>
      <c r="B13">
        <v>3</v>
      </c>
      <c r="C13">
        <v>5</v>
      </c>
      <c r="D13">
        <v>10</v>
      </c>
      <c r="E13" s="15">
        <f ca="1">NPV_Total*(B13/C13)</f>
        <v>720234.16551980982</v>
      </c>
      <c r="F13" s="15">
        <f ca="1">NPV_Total*(D13/C13)</f>
        <v>2400780.5517326994</v>
      </c>
      <c r="G13" s="15">
        <f ca="1">ABS(F13-E13)</f>
        <v>1680546.3862128896</v>
      </c>
    </row>
    <row r="14" spans="1:7" x14ac:dyDescent="0.2">
      <c r="A14" t="s">
        <v>67</v>
      </c>
      <c r="B14">
        <v>0.04</v>
      </c>
      <c r="C14">
        <v>4.8000000000000001E-2</v>
      </c>
      <c r="D14">
        <v>0.06</v>
      </c>
      <c r="E14" s="15">
        <f ca="1">NPV_Total*((1+C14)/(1+B14))^2.5</f>
        <v>1223608.0542219218</v>
      </c>
      <c r="F14" s="15">
        <f ca="1">NPV_Total*((1+C14)/(1+D14))^2.5</f>
        <v>1166704.8737784615</v>
      </c>
      <c r="G14" s="15">
        <f ca="1">ABS(F14-E14)</f>
        <v>56903.180443460355</v>
      </c>
    </row>
    <row r="15" spans="1:7" x14ac:dyDescent="0.2">
      <c r="A15" t="s">
        <v>186</v>
      </c>
      <c r="B15">
        <v>80</v>
      </c>
      <c r="C15">
        <v>100</v>
      </c>
      <c r="D15">
        <v>120</v>
      </c>
      <c r="E15" s="15">
        <f ca="1">NPV_Total*(B15/C15)</f>
        <v>960312.22069307975</v>
      </c>
      <c r="F15" s="15">
        <f ca="1">NPV_Total*(D15/C15)</f>
        <v>1440468.3310396196</v>
      </c>
      <c r="G15" s="15">
        <f ca="1">ABS(F15-E15)</f>
        <v>480156.11034653988</v>
      </c>
    </row>
    <row r="16" spans="1:7" x14ac:dyDescent="0.2">
      <c r="A16" t="s">
        <v>721</v>
      </c>
      <c r="B16">
        <v>0.5</v>
      </c>
      <c r="C16">
        <v>1</v>
      </c>
      <c r="D16">
        <v>2</v>
      </c>
      <c r="E16" s="15">
        <f ca="1">NPV_Total*(B16/C16)</f>
        <v>600195.13793317485</v>
      </c>
      <c r="F16" s="15">
        <f ca="1">NPV_Total*(D16/C16)</f>
        <v>2400780.5517326994</v>
      </c>
      <c r="G16" s="15">
        <f ca="1">ABS(F16-E16)</f>
        <v>1800585.4137995245</v>
      </c>
    </row>
    <row r="19" spans="1:1" ht="19" x14ac:dyDescent="0.25">
      <c r="A19" s="4" t="s">
        <v>722</v>
      </c>
    </row>
    <row r="20" spans="1:1" x14ac:dyDescent="0.2">
      <c r="A20" t="s">
        <v>723</v>
      </c>
    </row>
    <row r="21" spans="1:1" x14ac:dyDescent="0.2">
      <c r="A21" t="s">
        <v>724</v>
      </c>
    </row>
    <row r="22" spans="1:1" x14ac:dyDescent="0.2">
      <c r="A22" t="s">
        <v>725</v>
      </c>
    </row>
    <row r="24" spans="1:1" ht="19" x14ac:dyDescent="0.25">
      <c r="A24" s="4" t="s">
        <v>726</v>
      </c>
    </row>
    <row r="25" spans="1:1" x14ac:dyDescent="0.2">
      <c r="A25" t="s">
        <v>727</v>
      </c>
    </row>
    <row r="26" spans="1:1" x14ac:dyDescent="0.2">
      <c r="A26" t="s">
        <v>728</v>
      </c>
    </row>
    <row r="27" spans="1:1" x14ac:dyDescent="0.2">
      <c r="A27" t="s">
        <v>729</v>
      </c>
    </row>
  </sheetData>
  <mergeCells count="7">
    <mergeCell ref="B11:G11"/>
    <mergeCell ref="B10:G10"/>
    <mergeCell ref="A3:G3"/>
    <mergeCell ref="B9:G9"/>
    <mergeCell ref="A4:G4"/>
    <mergeCell ref="B8:G8"/>
    <mergeCell ref="B7:G7"/>
  </mergeCells>
  <pageMargins left="0.75" right="0.75" top="1" bottom="1" header="0.5" footer="0.5"/>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0AD47"/>
  </sheetPr>
  <dimension ref="A1:D68"/>
  <sheetViews>
    <sheetView zoomScale="120" zoomScaleNormal="120" workbookViewId="0">
      <selection activeCell="B44" sqref="B44"/>
    </sheetView>
  </sheetViews>
  <sheetFormatPr baseColWidth="10" defaultColWidth="8.83203125" defaultRowHeight="15" x14ac:dyDescent="0.2"/>
  <cols>
    <col min="1" max="1" width="30" customWidth="1"/>
    <col min="2" max="2" width="18" customWidth="1"/>
    <col min="3" max="3" width="16" customWidth="1"/>
    <col min="4" max="4" width="18" customWidth="1"/>
  </cols>
  <sheetData>
    <row r="1" spans="1:4" ht="21" x14ac:dyDescent="0.25">
      <c r="A1" s="5" t="s">
        <v>730</v>
      </c>
    </row>
    <row r="3" spans="1:4" x14ac:dyDescent="0.2">
      <c r="A3" s="36" t="s">
        <v>731</v>
      </c>
      <c r="B3" s="34"/>
      <c r="C3" s="34"/>
      <c r="D3" s="35"/>
    </row>
    <row r="4" spans="1:4" ht="280.75" customHeight="1" x14ac:dyDescent="0.2">
      <c r="A4" s="33" t="s">
        <v>732</v>
      </c>
      <c r="B4" s="34"/>
      <c r="C4" s="34"/>
      <c r="D4" s="35"/>
    </row>
    <row r="6" spans="1:4" x14ac:dyDescent="0.2">
      <c r="A6" s="6" t="s">
        <v>733</v>
      </c>
    </row>
    <row r="7" spans="1:4" ht="31.25" customHeight="1" x14ac:dyDescent="0.2">
      <c r="A7" s="7" t="s">
        <v>46</v>
      </c>
      <c r="B7" s="31" t="s">
        <v>734</v>
      </c>
      <c r="C7" s="32"/>
      <c r="D7" s="32"/>
    </row>
    <row r="8" spans="1:4" ht="31.25" customHeight="1" x14ac:dyDescent="0.2">
      <c r="A8" s="7" t="s">
        <v>48</v>
      </c>
      <c r="B8" s="31" t="s">
        <v>735</v>
      </c>
      <c r="C8" s="32"/>
      <c r="D8" s="32"/>
    </row>
    <row r="9" spans="1:4" ht="124.75" customHeight="1" x14ac:dyDescent="0.2">
      <c r="A9" s="7" t="s">
        <v>50</v>
      </c>
      <c r="B9" s="31" t="s">
        <v>736</v>
      </c>
      <c r="C9" s="32"/>
      <c r="D9" s="32"/>
    </row>
    <row r="10" spans="1:4" ht="31.25" customHeight="1" x14ac:dyDescent="0.2">
      <c r="A10" s="7" t="s">
        <v>52</v>
      </c>
      <c r="B10" s="31" t="s">
        <v>737</v>
      </c>
      <c r="C10" s="32"/>
      <c r="D10" s="32"/>
    </row>
    <row r="11" spans="1:4" ht="15.5" customHeight="1" x14ac:dyDescent="0.2">
      <c r="A11" s="7" t="s">
        <v>54</v>
      </c>
      <c r="B11" s="31" t="s">
        <v>738</v>
      </c>
      <c r="C11" s="32"/>
      <c r="D11" s="32"/>
    </row>
    <row r="12" spans="1:4" x14ac:dyDescent="0.2">
      <c r="A12" s="8" t="s">
        <v>491</v>
      </c>
      <c r="B12" s="8" t="s">
        <v>57</v>
      </c>
    </row>
    <row r="13" spans="1:4" x14ac:dyDescent="0.2">
      <c r="A13" t="s">
        <v>739</v>
      </c>
      <c r="B13" t="str">
        <f>Testing_Option</f>
        <v>Daily_Biosensor</v>
      </c>
    </row>
    <row r="14" spans="1:4" x14ac:dyDescent="0.2">
      <c r="A14" t="s">
        <v>740</v>
      </c>
      <c r="B14" s="15">
        <f ca="1">NPV_Total</f>
        <v>1200390.2758663497</v>
      </c>
    </row>
    <row r="15" spans="1:4" x14ac:dyDescent="0.2">
      <c r="A15" t="s">
        <v>741</v>
      </c>
      <c r="B15" s="15">
        <f>MC_P10</f>
        <v>964780.00615421531</v>
      </c>
    </row>
    <row r="16" spans="1:4" x14ac:dyDescent="0.2">
      <c r="A16" t="s">
        <v>742</v>
      </c>
      <c r="B16" s="15">
        <f>MC_P50</f>
        <v>1299192.1852606181</v>
      </c>
    </row>
    <row r="17" spans="1:4" x14ac:dyDescent="0.2">
      <c r="A17" t="s">
        <v>743</v>
      </c>
      <c r="B17" s="15">
        <f>MC_P90</f>
        <v>1638439.6477987468</v>
      </c>
    </row>
    <row r="18" spans="1:4" x14ac:dyDescent="0.2">
      <c r="A18" t="s">
        <v>744</v>
      </c>
      <c r="B18" s="25">
        <f>MC_Prob_Positive</f>
        <v>1</v>
      </c>
    </row>
    <row r="19" spans="1:4" x14ac:dyDescent="0.2">
      <c r="A19" t="s">
        <v>745</v>
      </c>
      <c r="B19" s="15" t="str">
        <f ca="1">IF(Master_Gate_Status=1,"PASS","FAIL")</f>
        <v>FAIL</v>
      </c>
    </row>
    <row r="20" spans="1:4" x14ac:dyDescent="0.2">
      <c r="A20" t="s">
        <v>746</v>
      </c>
      <c r="B20" s="15">
        <f>Testing_Cost</f>
        <v>10000</v>
      </c>
    </row>
    <row r="21" spans="1:4" x14ac:dyDescent="0.2">
      <c r="A21" t="s">
        <v>747</v>
      </c>
      <c r="B21" s="15">
        <f ca="1">Year1_Gross_Value</f>
        <v>170457.03242104643</v>
      </c>
    </row>
    <row r="22" spans="1:4" x14ac:dyDescent="0.2">
      <c r="A22" t="s">
        <v>748</v>
      </c>
      <c r="B22" s="15">
        <f ca="1">Year1_Net_Value</f>
        <v>160457.03242104643</v>
      </c>
    </row>
    <row r="24" spans="1:4" x14ac:dyDescent="0.2">
      <c r="A24" s="6" t="s">
        <v>749</v>
      </c>
    </row>
    <row r="25" spans="1:4" ht="31.25" customHeight="1" x14ac:dyDescent="0.2">
      <c r="A25" s="7" t="s">
        <v>46</v>
      </c>
      <c r="B25" s="31" t="s">
        <v>750</v>
      </c>
      <c r="C25" s="32"/>
      <c r="D25" s="32"/>
    </row>
    <row r="26" spans="1:4" ht="31.25" customHeight="1" x14ac:dyDescent="0.2">
      <c r="A26" s="7" t="s">
        <v>48</v>
      </c>
      <c r="B26" s="31" t="s">
        <v>751</v>
      </c>
      <c r="C26" s="32"/>
      <c r="D26" s="32"/>
    </row>
    <row r="27" spans="1:4" ht="124.75" customHeight="1" x14ac:dyDescent="0.2">
      <c r="A27" s="7" t="s">
        <v>50</v>
      </c>
      <c r="B27" s="31" t="s">
        <v>752</v>
      </c>
      <c r="C27" s="32"/>
      <c r="D27" s="32"/>
    </row>
    <row r="28" spans="1:4" ht="31.25" customHeight="1" x14ac:dyDescent="0.2">
      <c r="A28" s="7" t="s">
        <v>52</v>
      </c>
      <c r="B28" s="31" t="s">
        <v>753</v>
      </c>
      <c r="C28" s="32"/>
      <c r="D28" s="32"/>
    </row>
    <row r="29" spans="1:4" ht="15.5" customHeight="1" x14ac:dyDescent="0.2">
      <c r="A29" s="7" t="s">
        <v>54</v>
      </c>
      <c r="B29" s="31" t="s">
        <v>754</v>
      </c>
      <c r="C29" s="32"/>
      <c r="D29" s="32"/>
    </row>
    <row r="30" spans="1:4" x14ac:dyDescent="0.2">
      <c r="A30" s="8" t="s">
        <v>93</v>
      </c>
      <c r="B30" s="8" t="s">
        <v>593</v>
      </c>
      <c r="C30" s="8" t="s">
        <v>541</v>
      </c>
    </row>
    <row r="31" spans="1:4" x14ac:dyDescent="0.2">
      <c r="A31" t="s">
        <v>97</v>
      </c>
      <c r="B31" s="15">
        <f ca="1">S1_Value</f>
        <v>102938.26207718875</v>
      </c>
      <c r="C31" t="str">
        <f>INDEX(Gate_S1,MATCH(Testing_Option,TestOpt_Option,0))</f>
        <v>ENABLED</v>
      </c>
    </row>
    <row r="32" spans="1:4" x14ac:dyDescent="0.2">
      <c r="A32" t="s">
        <v>101</v>
      </c>
      <c r="B32" s="15">
        <f ca="1">S2_Value</f>
        <v>71286.510210242428</v>
      </c>
      <c r="C32" t="str">
        <f>INDEX(Gate_S2,MATCH(Testing_Option,TestOpt_Option,0))</f>
        <v>ENABLED</v>
      </c>
    </row>
    <row r="33" spans="1:4" x14ac:dyDescent="0.2">
      <c r="A33" t="s">
        <v>102</v>
      </c>
      <c r="B33" s="15">
        <f ca="1">S3_Value</f>
        <v>122227.39591443175</v>
      </c>
      <c r="C33" t="str">
        <f>INDEX(Gate_S3,MATCH(Testing_Option,TestOpt_Option,0))</f>
        <v>ENABLED</v>
      </c>
    </row>
    <row r="34" spans="1:4" x14ac:dyDescent="0.2">
      <c r="A34" t="s">
        <v>104</v>
      </c>
      <c r="B34" s="15">
        <f ca="1">S4_Value</f>
        <v>44461.89664022989</v>
      </c>
      <c r="C34" t="str">
        <f>INDEX(Gate_S4,MATCH(Testing_Option,TestOpt_Option,0))</f>
        <v>ENABLED</v>
      </c>
    </row>
    <row r="36" spans="1:4" x14ac:dyDescent="0.2">
      <c r="A36" s="6" t="s">
        <v>489</v>
      </c>
    </row>
    <row r="37" spans="1:4" ht="31.25" customHeight="1" x14ac:dyDescent="0.2">
      <c r="A37" s="7" t="s">
        <v>46</v>
      </c>
      <c r="B37" s="31" t="s">
        <v>755</v>
      </c>
      <c r="C37" s="32"/>
      <c r="D37" s="32"/>
    </row>
    <row r="38" spans="1:4" ht="31.25" customHeight="1" x14ac:dyDescent="0.2">
      <c r="A38" s="7" t="s">
        <v>48</v>
      </c>
      <c r="B38" s="31" t="s">
        <v>756</v>
      </c>
      <c r="C38" s="32"/>
      <c r="D38" s="32"/>
    </row>
    <row r="39" spans="1:4" ht="124.75" customHeight="1" x14ac:dyDescent="0.2">
      <c r="A39" s="7" t="s">
        <v>50</v>
      </c>
      <c r="B39" s="31" t="s">
        <v>757</v>
      </c>
      <c r="C39" s="32"/>
      <c r="D39" s="32"/>
    </row>
    <row r="40" spans="1:4" ht="15.5" customHeight="1" x14ac:dyDescent="0.2">
      <c r="A40" s="7" t="s">
        <v>52</v>
      </c>
      <c r="B40" s="31" t="s">
        <v>758</v>
      </c>
      <c r="C40" s="32"/>
      <c r="D40" s="32"/>
    </row>
    <row r="41" spans="1:4" ht="15.5" customHeight="1" x14ac:dyDescent="0.2">
      <c r="A41" s="7" t="s">
        <v>54</v>
      </c>
      <c r="B41" s="31" t="s">
        <v>759</v>
      </c>
      <c r="C41" s="32"/>
      <c r="D41" s="32"/>
    </row>
    <row r="42" spans="1:4" x14ac:dyDescent="0.2">
      <c r="A42" s="8" t="s">
        <v>491</v>
      </c>
      <c r="B42" s="8" t="s">
        <v>57</v>
      </c>
      <c r="C42" s="8" t="s">
        <v>541</v>
      </c>
    </row>
    <row r="43" spans="1:4" x14ac:dyDescent="0.2">
      <c r="A43" t="s">
        <v>760</v>
      </c>
      <c r="B43" s="29">
        <f>Initial_NAFC</f>
        <v>63.1</v>
      </c>
      <c r="C43" t="str">
        <f>IF(Initial_NAFC&gt;Target_NAFC,"Above Target","At/Below Target")</f>
        <v>Above Target</v>
      </c>
    </row>
    <row r="44" spans="1:4" x14ac:dyDescent="0.2">
      <c r="A44" t="s">
        <v>761</v>
      </c>
      <c r="B44" s="29">
        <f>Target_NAFC</f>
        <v>50</v>
      </c>
      <c r="C44" t="s">
        <v>762</v>
      </c>
    </row>
    <row r="45" spans="1:4" x14ac:dyDescent="0.2">
      <c r="A45" t="s">
        <v>763</v>
      </c>
      <c r="B45" s="30">
        <f ca="1">Days_to_Compliance</f>
        <v>36.611744575139625</v>
      </c>
      <c r="C45" t="str">
        <f ca="1">Compliance_Status</f>
        <v>ACHIEVABLE</v>
      </c>
    </row>
    <row r="46" spans="1:4" x14ac:dyDescent="0.2">
      <c r="A46" t="s">
        <v>764</v>
      </c>
      <c r="B46" s="24">
        <f ca="1">Circulation_Cycles</f>
        <v>3</v>
      </c>
      <c r="C46" t="str">
        <f ca="1">IF(Circulation_Cycles&lt;=3,"Standard","Extended")</f>
        <v>Standard</v>
      </c>
    </row>
    <row r="47" spans="1:4" x14ac:dyDescent="0.2">
      <c r="A47" t="s">
        <v>765</v>
      </c>
      <c r="B47" s="25">
        <f>Treatment_Efficiency</f>
        <v>0.2076069730586371</v>
      </c>
      <c r="C47" t="str">
        <f>IF(Treatment_Efficiency&gt;0.2,"Good","Low")</f>
        <v>Good</v>
      </c>
    </row>
    <row r="48" spans="1:4" x14ac:dyDescent="0.2">
      <c r="A48" t="s">
        <v>766</v>
      </c>
      <c r="B48" s="30">
        <f>MC_Expected_Days</f>
        <v>36.366211081412423</v>
      </c>
      <c r="C48" t="str">
        <f>IF(MC_Expected_Days&lt;=Season_Length,"Achievable","Risk")</f>
        <v>Achievable</v>
      </c>
    </row>
    <row r="49" spans="1:4" x14ac:dyDescent="0.2">
      <c r="A49" t="s">
        <v>767</v>
      </c>
      <c r="B49" s="30">
        <f>MC_P90_Days</f>
        <v>45.589753139013268</v>
      </c>
      <c r="C49" t="str">
        <f>IF(MC_P90_Days&lt;=Season_Length,"Low Risk","High Risk")</f>
        <v>Low Risk</v>
      </c>
    </row>
    <row r="50" spans="1:4" x14ac:dyDescent="0.2">
      <c r="A50" t="s">
        <v>768</v>
      </c>
      <c r="B50" s="25">
        <f>MC_Prob_Achievable</f>
        <v>1</v>
      </c>
      <c r="C50" t="str">
        <f>IF(MC_Prob_Achievable&gt;=0.9,"High Confidence","Review Required")</f>
        <v>High Confidence</v>
      </c>
    </row>
    <row r="52" spans="1:4" x14ac:dyDescent="0.2">
      <c r="A52" s="6" t="s">
        <v>769</v>
      </c>
    </row>
    <row r="53" spans="1:4" ht="31.25" customHeight="1" x14ac:dyDescent="0.2">
      <c r="A53" s="7" t="s">
        <v>46</v>
      </c>
      <c r="B53" s="31" t="s">
        <v>770</v>
      </c>
      <c r="C53" s="32"/>
      <c r="D53" s="32"/>
    </row>
    <row r="54" spans="1:4" ht="31.25" customHeight="1" x14ac:dyDescent="0.2">
      <c r="A54" s="7" t="s">
        <v>48</v>
      </c>
      <c r="B54" s="31" t="s">
        <v>771</v>
      </c>
      <c r="C54" s="32"/>
      <c r="D54" s="32"/>
    </row>
    <row r="55" spans="1:4" ht="78" customHeight="1" x14ac:dyDescent="0.2">
      <c r="A55" s="7" t="s">
        <v>50</v>
      </c>
      <c r="B55" s="31" t="s">
        <v>772</v>
      </c>
      <c r="C55" s="32"/>
      <c r="D55" s="32"/>
    </row>
    <row r="56" spans="1:4" ht="31.25" customHeight="1" x14ac:dyDescent="0.2">
      <c r="A56" s="7" t="s">
        <v>52</v>
      </c>
      <c r="B56" s="31" t="s">
        <v>773</v>
      </c>
      <c r="C56" s="32"/>
      <c r="D56" s="32"/>
    </row>
    <row r="57" spans="1:4" ht="15.5" customHeight="1" x14ac:dyDescent="0.2">
      <c r="A57" s="7" t="s">
        <v>54</v>
      </c>
      <c r="B57" s="31" t="s">
        <v>774</v>
      </c>
      <c r="C57" s="32"/>
      <c r="D57" s="32"/>
    </row>
    <row r="58" spans="1:4" x14ac:dyDescent="0.2">
      <c r="A58" s="8" t="s">
        <v>491</v>
      </c>
      <c r="B58" s="8" t="s">
        <v>312</v>
      </c>
      <c r="C58" s="8" t="s">
        <v>313</v>
      </c>
      <c r="D58" s="8" t="s">
        <v>61</v>
      </c>
    </row>
    <row r="59" spans="1:4" x14ac:dyDescent="0.2">
      <c r="A59" t="s">
        <v>775</v>
      </c>
      <c r="B59" t="s">
        <v>99</v>
      </c>
      <c r="C59" t="s">
        <v>99</v>
      </c>
      <c r="D59" t="s">
        <v>100</v>
      </c>
    </row>
    <row r="60" spans="1:4" x14ac:dyDescent="0.2">
      <c r="A60" t="s">
        <v>776</v>
      </c>
      <c r="B60" t="s">
        <v>99</v>
      </c>
      <c r="C60" t="s">
        <v>99</v>
      </c>
      <c r="D60" t="s">
        <v>100</v>
      </c>
    </row>
    <row r="61" spans="1:4" x14ac:dyDescent="0.2">
      <c r="A61" t="s">
        <v>777</v>
      </c>
      <c r="B61" t="s">
        <v>99</v>
      </c>
      <c r="C61" t="s">
        <v>100</v>
      </c>
      <c r="D61" t="s">
        <v>100</v>
      </c>
    </row>
    <row r="62" spans="1:4" x14ac:dyDescent="0.2">
      <c r="A62" t="s">
        <v>778</v>
      </c>
      <c r="B62" t="s">
        <v>99</v>
      </c>
      <c r="C62" t="s">
        <v>99</v>
      </c>
      <c r="D62" t="s">
        <v>100</v>
      </c>
    </row>
    <row r="63" spans="1:4" x14ac:dyDescent="0.2">
      <c r="A63" t="s">
        <v>779</v>
      </c>
      <c r="B63" t="s">
        <v>780</v>
      </c>
      <c r="C63" t="s">
        <v>781</v>
      </c>
      <c r="D63" t="s">
        <v>782</v>
      </c>
    </row>
    <row r="64" spans="1:4" x14ac:dyDescent="0.2">
      <c r="A64" t="s">
        <v>783</v>
      </c>
      <c r="B64" t="s">
        <v>784</v>
      </c>
      <c r="C64" t="s">
        <v>785</v>
      </c>
      <c r="D64" t="s">
        <v>786</v>
      </c>
    </row>
    <row r="66" spans="1:2" ht="19" x14ac:dyDescent="0.25">
      <c r="A66" s="4" t="s">
        <v>787</v>
      </c>
    </row>
    <row r="67" spans="1:2" x14ac:dyDescent="0.2">
      <c r="A67" t="s">
        <v>788</v>
      </c>
      <c r="B67" t="str">
        <f ca="1">IF(COUNTIF('21_Checks'!D:D,"FAIL")=0,"HEALTHY","REVIEW REQUIRED")</f>
        <v>REVIEW REQUIRED</v>
      </c>
    </row>
    <row r="68" spans="1:2" x14ac:dyDescent="0.2">
      <c r="A68" t="s">
        <v>789</v>
      </c>
      <c r="B68">
        <f ca="1">COUNTIF('21_Checks'!D:D,"FAIL")</f>
        <v>1</v>
      </c>
    </row>
  </sheetData>
  <mergeCells count="22">
    <mergeCell ref="B25:D25"/>
    <mergeCell ref="B54:D54"/>
    <mergeCell ref="A3:D3"/>
    <mergeCell ref="B27:D27"/>
    <mergeCell ref="B56:D56"/>
    <mergeCell ref="B39:D39"/>
    <mergeCell ref="B11:D11"/>
    <mergeCell ref="A4:D4"/>
    <mergeCell ref="B8:D8"/>
    <mergeCell ref="B57:D57"/>
    <mergeCell ref="B53:D53"/>
    <mergeCell ref="B29:D29"/>
    <mergeCell ref="B38:D38"/>
    <mergeCell ref="B10:D10"/>
    <mergeCell ref="B28:D28"/>
    <mergeCell ref="B37:D37"/>
    <mergeCell ref="B40:D40"/>
    <mergeCell ref="B9:D9"/>
    <mergeCell ref="B55:D55"/>
    <mergeCell ref="B41:D41"/>
    <mergeCell ref="B26:D26"/>
    <mergeCell ref="B7:D7"/>
  </mergeCells>
  <pageMargins left="0.75" right="0.75" top="1" bottom="1" header="0.5" footer="0.5"/>
  <tableParts count="4">
    <tablePart r:id="rId1"/>
    <tablePart r:id="rId2"/>
    <tablePart r:id="rId3"/>
    <tablePart r:id="rId4"/>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FF0000"/>
  </sheetPr>
  <dimension ref="A1:D35"/>
  <sheetViews>
    <sheetView zoomScale="120" zoomScaleNormal="120" workbookViewId="0">
      <selection activeCell="B44" sqref="B44"/>
    </sheetView>
  </sheetViews>
  <sheetFormatPr baseColWidth="10" defaultColWidth="8.83203125" defaultRowHeight="15" x14ac:dyDescent="0.2"/>
  <cols>
    <col min="1" max="2" width="12" customWidth="1"/>
    <col min="3" max="3" width="40" customWidth="1"/>
    <col min="4" max="4" width="12" customWidth="1"/>
  </cols>
  <sheetData>
    <row r="1" spans="1:4" ht="21" x14ac:dyDescent="0.25">
      <c r="A1" s="5" t="s">
        <v>790</v>
      </c>
    </row>
    <row r="3" spans="1:4" x14ac:dyDescent="0.2">
      <c r="A3" s="36" t="s">
        <v>791</v>
      </c>
      <c r="B3" s="34"/>
      <c r="C3" s="34"/>
      <c r="D3" s="35"/>
    </row>
    <row r="4" spans="1:4" ht="343.25" customHeight="1" x14ac:dyDescent="0.2">
      <c r="A4" s="33" t="s">
        <v>792</v>
      </c>
      <c r="B4" s="34"/>
      <c r="C4" s="34"/>
      <c r="D4" s="35"/>
    </row>
    <row r="6" spans="1:4" x14ac:dyDescent="0.2">
      <c r="A6" s="6" t="s">
        <v>790</v>
      </c>
    </row>
    <row r="7" spans="1:4" ht="31.25" customHeight="1" x14ac:dyDescent="0.2">
      <c r="A7" s="7" t="s">
        <v>46</v>
      </c>
      <c r="B7" s="31" t="s">
        <v>793</v>
      </c>
      <c r="C7" s="32"/>
      <c r="D7" s="32"/>
    </row>
    <row r="8" spans="1:4" ht="31.25" customHeight="1" x14ac:dyDescent="0.2">
      <c r="A8" s="7" t="s">
        <v>48</v>
      </c>
      <c r="B8" s="31" t="s">
        <v>794</v>
      </c>
      <c r="C8" s="32"/>
      <c r="D8" s="32"/>
    </row>
    <row r="9" spans="1:4" ht="78" customHeight="1" x14ac:dyDescent="0.2">
      <c r="A9" s="7" t="s">
        <v>50</v>
      </c>
      <c r="B9" s="31" t="s">
        <v>795</v>
      </c>
      <c r="C9" s="32"/>
      <c r="D9" s="32"/>
    </row>
    <row r="10" spans="1:4" ht="31.25" customHeight="1" x14ac:dyDescent="0.2">
      <c r="A10" s="7" t="s">
        <v>52</v>
      </c>
      <c r="B10" s="31" t="s">
        <v>796</v>
      </c>
      <c r="C10" s="32"/>
      <c r="D10" s="32"/>
    </row>
    <row r="11" spans="1:4" ht="15.5" customHeight="1" x14ac:dyDescent="0.2">
      <c r="A11" s="7" t="s">
        <v>54</v>
      </c>
      <c r="B11" s="31" t="s">
        <v>797</v>
      </c>
      <c r="C11" s="32"/>
      <c r="D11" s="32"/>
    </row>
    <row r="12" spans="1:4" x14ac:dyDescent="0.2">
      <c r="A12" s="8" t="s">
        <v>798</v>
      </c>
      <c r="B12" s="8" t="s">
        <v>799</v>
      </c>
      <c r="C12" s="8" t="s">
        <v>59</v>
      </c>
      <c r="D12" s="8" t="s">
        <v>541</v>
      </c>
    </row>
    <row r="13" spans="1:4" x14ac:dyDescent="0.2">
      <c r="A13" t="s">
        <v>800</v>
      </c>
      <c r="B13" t="s">
        <v>801</v>
      </c>
      <c r="C13" t="s">
        <v>802</v>
      </c>
      <c r="D13" t="str">
        <f>IF(AND(Discount_Rate&gt;=0,Discount_Rate&lt;=0.15),"PASS","FAIL")</f>
        <v>PASS</v>
      </c>
    </row>
    <row r="14" spans="1:4" x14ac:dyDescent="0.2">
      <c r="A14" t="s">
        <v>803</v>
      </c>
      <c r="B14" t="s">
        <v>801</v>
      </c>
      <c r="C14" t="s">
        <v>804</v>
      </c>
      <c r="D14" t="str">
        <f>IF(AND(Season_Length&gt;=60,Season_Length&lt;=150),"PASS","FAIL")</f>
        <v>PASS</v>
      </c>
    </row>
    <row r="15" spans="1:4" x14ac:dyDescent="0.2">
      <c r="A15" t="s">
        <v>805</v>
      </c>
      <c r="B15" t="s">
        <v>801</v>
      </c>
      <c r="C15" t="s">
        <v>806</v>
      </c>
      <c r="D15" t="str">
        <f>IF(AND(Projection_Years&gt;=1,Projection_Years&lt;=10),"PASS","FAIL")</f>
        <v>PASS</v>
      </c>
    </row>
    <row r="16" spans="1:4" x14ac:dyDescent="0.2">
      <c r="A16" t="s">
        <v>807</v>
      </c>
      <c r="B16" t="s">
        <v>801</v>
      </c>
      <c r="C16" t="s">
        <v>808</v>
      </c>
      <c r="D16" t="str">
        <f>IF(Value_Per_M3&gt;0,"PASS","FAIL")</f>
        <v>PASS</v>
      </c>
    </row>
    <row r="17" spans="1:4" x14ac:dyDescent="0.2">
      <c r="A17" t="s">
        <v>809</v>
      </c>
      <c r="B17" t="s">
        <v>810</v>
      </c>
      <c r="C17" t="s">
        <v>811</v>
      </c>
      <c r="D17" t="str">
        <f>IF(COUNTIF(List_TestingOptions,Testing_Option)=1,"PASS","FAIL")</f>
        <v>PASS</v>
      </c>
    </row>
    <row r="18" spans="1:4" x14ac:dyDescent="0.2">
      <c r="A18" t="s">
        <v>812</v>
      </c>
      <c r="B18" t="s">
        <v>810</v>
      </c>
      <c r="C18" t="s">
        <v>813</v>
      </c>
      <c r="D18" t="str">
        <f>IF(COUNTIF(List_Scenarios,Scenario_Select)=1,"PASS","FAIL")</f>
        <v>PASS</v>
      </c>
    </row>
    <row r="19" spans="1:4" x14ac:dyDescent="0.2">
      <c r="A19" t="s">
        <v>814</v>
      </c>
      <c r="B19" t="s">
        <v>815</v>
      </c>
      <c r="C19" t="s">
        <v>816</v>
      </c>
      <c r="D19" t="str">
        <f ca="1">IF(AND(NPV_Total&gt;-1000000,NPV_Total&lt;10000000),"PASS","FAIL")</f>
        <v>PASS</v>
      </c>
    </row>
    <row r="20" spans="1:4" x14ac:dyDescent="0.2">
      <c r="A20" t="s">
        <v>817</v>
      </c>
      <c r="B20" t="s">
        <v>815</v>
      </c>
      <c r="C20" t="s">
        <v>818</v>
      </c>
      <c r="D20" t="str">
        <f>IF(Testing_Cost&gt;0,"PASS","FAIL")</f>
        <v>PASS</v>
      </c>
    </row>
    <row r="21" spans="1:4" x14ac:dyDescent="0.2">
      <c r="A21" t="s">
        <v>819</v>
      </c>
      <c r="B21" t="s">
        <v>815</v>
      </c>
      <c r="C21" t="s">
        <v>820</v>
      </c>
      <c r="D21" t="str">
        <f ca="1">IF(Gross_Value&gt;=0,"PASS","FAIL")</f>
        <v>PASS</v>
      </c>
    </row>
    <row r="22" spans="1:4" x14ac:dyDescent="0.2">
      <c r="A22" t="s">
        <v>821</v>
      </c>
      <c r="B22" t="s">
        <v>822</v>
      </c>
      <c r="C22" t="s">
        <v>823</v>
      </c>
      <c r="D22" t="str">
        <f>IF(ISERROR(Testing_Option),"FAIL","PASS")</f>
        <v>PASS</v>
      </c>
    </row>
    <row r="23" spans="1:4" x14ac:dyDescent="0.2">
      <c r="A23" t="s">
        <v>824</v>
      </c>
      <c r="B23" t="s">
        <v>801</v>
      </c>
      <c r="C23" t="s">
        <v>825</v>
      </c>
      <c r="D23" t="str">
        <f>IF(AND(Initial_NAFC&gt;=40,Initial_NAFC&lt;=100),"PASS","FAIL")</f>
        <v>PASS</v>
      </c>
    </row>
    <row r="24" spans="1:4" x14ac:dyDescent="0.2">
      <c r="A24" t="s">
        <v>826</v>
      </c>
      <c r="B24" t="s">
        <v>810</v>
      </c>
      <c r="C24" t="s">
        <v>827</v>
      </c>
      <c r="D24" t="str">
        <f>IF(Target_NAFC&lt;Initial_NAFC,"PASS","FAIL")</f>
        <v>PASS</v>
      </c>
    </row>
    <row r="25" spans="1:4" x14ac:dyDescent="0.2">
      <c r="A25" t="s">
        <v>828</v>
      </c>
      <c r="B25" t="s">
        <v>815</v>
      </c>
      <c r="C25" t="s">
        <v>829</v>
      </c>
      <c r="D25" t="str">
        <f ca="1">IF(Days_to_Compliance&lt;=Season_Length,"PASS","FAIL")</f>
        <v>PASS</v>
      </c>
    </row>
    <row r="26" spans="1:4" x14ac:dyDescent="0.2">
      <c r="A26" t="s">
        <v>830</v>
      </c>
      <c r="B26" t="s">
        <v>801</v>
      </c>
      <c r="C26" t="s">
        <v>831</v>
      </c>
      <c r="D26" t="str">
        <f ca="1">IF(AND(Eff_Rapid_Rate&gt;0,Eff_Slow_Rate&gt;0),"PASS","FAIL")</f>
        <v>PASS</v>
      </c>
    </row>
    <row r="27" spans="1:4" x14ac:dyDescent="0.2">
      <c r="A27" t="s">
        <v>832</v>
      </c>
      <c r="B27" t="s">
        <v>833</v>
      </c>
      <c r="C27" t="s">
        <v>834</v>
      </c>
      <c r="D27" t="str">
        <f ca="1">IF(Master_Gate_Status=1,"PASS","FAIL")</f>
        <v>FAIL</v>
      </c>
    </row>
    <row r="28" spans="1:4" x14ac:dyDescent="0.2">
      <c r="A28" t="s">
        <v>835</v>
      </c>
      <c r="B28" t="s">
        <v>815</v>
      </c>
      <c r="C28" t="s">
        <v>836</v>
      </c>
      <c r="D28" t="str">
        <f ca="1">IF(Compliance_Adjusted_Value&gt;=0,"PASS","FAIL")</f>
        <v>PASS</v>
      </c>
    </row>
    <row r="31" spans="1:4" ht="19" x14ac:dyDescent="0.25">
      <c r="A31" s="4" t="s">
        <v>213</v>
      </c>
    </row>
    <row r="32" spans="1:4" x14ac:dyDescent="0.2">
      <c r="A32" t="s">
        <v>837</v>
      </c>
      <c r="B32">
        <f>COUNTA(tbl_Checks[Check_ID])</f>
        <v>16</v>
      </c>
    </row>
    <row r="33" spans="1:2" x14ac:dyDescent="0.2">
      <c r="A33" t="s">
        <v>838</v>
      </c>
      <c r="B33">
        <f ca="1">COUNTIF(tbl_Checks[Status],"PASS")</f>
        <v>15</v>
      </c>
    </row>
    <row r="34" spans="1:2" x14ac:dyDescent="0.2">
      <c r="A34" t="s">
        <v>839</v>
      </c>
      <c r="B34">
        <f ca="1">COUNTIF(tbl_Checks[Status],"FAIL")</f>
        <v>1</v>
      </c>
    </row>
    <row r="35" spans="1:2" x14ac:dyDescent="0.2">
      <c r="A35" t="s">
        <v>840</v>
      </c>
      <c r="B35" t="str">
        <f ca="1">IF(COUNTIF(tbl_Checks[Status],"FAIL")=0,"HEALTHY","REVIEW REQUIRED")</f>
        <v>REVIEW REQUIRED</v>
      </c>
    </row>
  </sheetData>
  <mergeCells count="7">
    <mergeCell ref="B10:D10"/>
    <mergeCell ref="B11:D11"/>
    <mergeCell ref="A4:D4"/>
    <mergeCell ref="B8:D8"/>
    <mergeCell ref="A3:D3"/>
    <mergeCell ref="B9:D9"/>
    <mergeCell ref="B7:D7"/>
  </mergeCell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22</vt:i4>
      </vt:variant>
      <vt:variant>
        <vt:lpstr>Named Ranges</vt:lpstr>
      </vt:variant>
      <vt:variant>
        <vt:i4>159</vt:i4>
      </vt:variant>
    </vt:vector>
  </HeadingPairs>
  <TitlesOfParts>
    <vt:vector size="181" baseType="lpstr">
      <vt:lpstr>0_Cover</vt:lpstr>
      <vt:lpstr>1_TOC</vt:lpstr>
      <vt:lpstr>3_Instructions</vt:lpstr>
      <vt:lpstr>2_InputMap</vt:lpstr>
      <vt:lpstr>4_Assumptions</vt:lpstr>
      <vt:lpstr>5_EnvironmentalDrivers</vt:lpstr>
      <vt:lpstr>6_Scenarios</vt:lpstr>
      <vt:lpstr>7_ServiceModels</vt:lpstr>
      <vt:lpstr>8_Calc_Timeline</vt:lpstr>
      <vt:lpstr>9_Calc_Kinetics</vt:lpstr>
      <vt:lpstr>10_Calc_Stochastic</vt:lpstr>
      <vt:lpstr>11_Calc_Compliance</vt:lpstr>
      <vt:lpstr>12_Calc_Value</vt:lpstr>
      <vt:lpstr>13_Calc_Costs</vt:lpstr>
      <vt:lpstr>14_Calc_Sim</vt:lpstr>
      <vt:lpstr>15_PL_Monthly</vt:lpstr>
      <vt:lpstr>16_PL_Annual</vt:lpstr>
      <vt:lpstr>17_CashFlow</vt:lpstr>
      <vt:lpstr>18_UnitEconomics</vt:lpstr>
      <vt:lpstr>19_Sensitivity</vt:lpstr>
      <vt:lpstr>20_Dashboard</vt:lpstr>
      <vt:lpstr>21_Checks</vt:lpstr>
      <vt:lpstr>Annual_Throughput</vt:lpstr>
      <vt:lpstr>AnnualThroughput_M3</vt:lpstr>
      <vt:lpstr>Base_Year</vt:lpstr>
      <vt:lpstr>Beta_Efficiency_Gain_Alpha</vt:lpstr>
      <vt:lpstr>Beta_Efficiency_Gain_Beta</vt:lpstr>
      <vt:lpstr>Beta_Efficiency_Gain_Max</vt:lpstr>
      <vt:lpstr>Beta_Efficiency_Gain_Min</vt:lpstr>
      <vt:lpstr>Bioavail_Modifier</vt:lpstr>
      <vt:lpstr>Circulation_Cycles</vt:lpstr>
      <vt:lpstr>Compliance_Adjusted_Value</vt:lpstr>
      <vt:lpstr>Compliance_Status</vt:lpstr>
      <vt:lpstr>Day_80_Survival</vt:lpstr>
      <vt:lpstr>Day_LC50</vt:lpstr>
      <vt:lpstr>Day_Nontoxic</vt:lpstr>
      <vt:lpstr>Days_to_Compliance</vt:lpstr>
      <vt:lpstr>Discount_Rate</vt:lpstr>
      <vt:lpstr>DO_Modifier</vt:lpstr>
      <vt:lpstr>DowntimeCostPerDay</vt:lpstr>
      <vt:lpstr>Eff_Rapid_Rate</vt:lpstr>
      <vt:lpstr>Eff_Slow_Rate</vt:lpstr>
      <vt:lpstr>Effective_Rate</vt:lpstr>
      <vt:lpstr>Env_Bioavail_Index_Aug</vt:lpstr>
      <vt:lpstr>Env_Bioavail_Index_Jul</vt:lpstr>
      <vt:lpstr>Env_Bioavail_Index_Jun</vt:lpstr>
      <vt:lpstr>Env_Bioavail_Index_May</vt:lpstr>
      <vt:lpstr>Env_Bioavail_Index_Sep</vt:lpstr>
      <vt:lpstr>Env_DO_Typical_Aug</vt:lpstr>
      <vt:lpstr>Env_DO_Typical_Jul</vt:lpstr>
      <vt:lpstr>Env_DO_Typical_Jun</vt:lpstr>
      <vt:lpstr>Env_DO_Typical_May</vt:lpstr>
      <vt:lpstr>Env_DO_Typical_Sep</vt:lpstr>
      <vt:lpstr>Env_Nutrient_Index_Aug</vt:lpstr>
      <vt:lpstr>Env_Nutrient_Index_Jul</vt:lpstr>
      <vt:lpstr>Env_Nutrient_Index_Jun</vt:lpstr>
      <vt:lpstr>Env_Nutrient_Index_May</vt:lpstr>
      <vt:lpstr>Env_Nutrient_Index_Sep</vt:lpstr>
      <vt:lpstr>Env_Temp_Water_Aug</vt:lpstr>
      <vt:lpstr>Env_Temp_Water_Jul</vt:lpstr>
      <vt:lpstr>Env_Temp_Water_Jun</vt:lpstr>
      <vt:lpstr>Env_Temp_Water_May</vt:lpstr>
      <vt:lpstr>Env_Temp_Water_Sep</vt:lpstr>
      <vt:lpstr>Env_UV_Relative_Aug</vt:lpstr>
      <vt:lpstr>Env_UV_Relative_Jul</vt:lpstr>
      <vt:lpstr>Env_UV_Relative_Jun</vt:lpstr>
      <vt:lpstr>Env_UV_Relative_May</vt:lpstr>
      <vt:lpstr>Env_UV_Relative_Sep</vt:lpstr>
      <vt:lpstr>Gate_Chloride</vt:lpstr>
      <vt:lpstr>Gate_DO</vt:lpstr>
      <vt:lpstr>Gate_Foam</vt:lpstr>
      <vt:lpstr>Gate_NAFC</vt:lpstr>
      <vt:lpstr>Gate_Odor</vt:lpstr>
      <vt:lpstr>Gate_Oil_Sheen</vt:lpstr>
      <vt:lpstr>Gate_pH_High</vt:lpstr>
      <vt:lpstr>Gate_pH_Low</vt:lpstr>
      <vt:lpstr>Gate_S1</vt:lpstr>
      <vt:lpstr>Gate_S2</vt:lpstr>
      <vt:lpstr>Gate_S3</vt:lpstr>
      <vt:lpstr>Gate_S4</vt:lpstr>
      <vt:lpstr>Gate_SAR</vt:lpstr>
      <vt:lpstr>Gate_Sulfate</vt:lpstr>
      <vt:lpstr>Gate_Temperature</vt:lpstr>
      <vt:lpstr>Gate_Toxicity</vt:lpstr>
      <vt:lpstr>Gate_Turbidity</vt:lpstr>
      <vt:lpstr>Gross_Value</vt:lpstr>
      <vt:lpstr>Initial_NAFC</vt:lpstr>
      <vt:lpstr>Ionic_Chloride_Max</vt:lpstr>
      <vt:lpstr>Ionic_Chloride_Min</vt:lpstr>
      <vt:lpstr>Ionic_Chloride_Mode</vt:lpstr>
      <vt:lpstr>Ionic_Chloride_Threshold</vt:lpstr>
      <vt:lpstr>Ionic_DO_Compliance_Max</vt:lpstr>
      <vt:lpstr>Ionic_DO_Compliance_Min</vt:lpstr>
      <vt:lpstr>Ionic_DO_Compliance_Mode</vt:lpstr>
      <vt:lpstr>Ionic_DO_Compliance_Threshold</vt:lpstr>
      <vt:lpstr>Ionic_SAR_Max</vt:lpstr>
      <vt:lpstr>Ionic_SAR_Min</vt:lpstr>
      <vt:lpstr>Ionic_SAR_Mode</vt:lpstr>
      <vt:lpstr>Ionic_SAR_Threshold</vt:lpstr>
      <vt:lpstr>Ionic_Sulfate_Max</vt:lpstr>
      <vt:lpstr>Ionic_Sulfate_Min</vt:lpstr>
      <vt:lpstr>Ionic_Sulfate_Mode</vt:lpstr>
      <vt:lpstr>Ionic_Sulfate_Threshold</vt:lpstr>
      <vt:lpstr>LaborPerDay</vt:lpstr>
      <vt:lpstr>LearningCurve_Mult</vt:lpstr>
      <vt:lpstr>List_Scenarios</vt:lpstr>
      <vt:lpstr>List_TestingOptions</vt:lpstr>
      <vt:lpstr>Master_Gate_Status</vt:lpstr>
      <vt:lpstr>MC_Anchor</vt:lpstr>
      <vt:lpstr>MC_Expected_Days</vt:lpstr>
      <vt:lpstr>MC_Expected_NPV</vt:lpstr>
      <vt:lpstr>MC_P10</vt:lpstr>
      <vt:lpstr>MC_P10_Days</vt:lpstr>
      <vt:lpstr>MC_P50</vt:lpstr>
      <vt:lpstr>MC_P50_Days</vt:lpstr>
      <vt:lpstr>MC_P90</vt:lpstr>
      <vt:lpstr>MC_P90_Days</vt:lpstr>
      <vt:lpstr>MC_Prob_Achievable</vt:lpstr>
      <vt:lpstr>MC_Prob_Positive</vt:lpstr>
      <vt:lpstr>MC_StdDev</vt:lpstr>
      <vt:lpstr>NAFC_After_Rapid</vt:lpstr>
      <vt:lpstr>NPV_Total</vt:lpstr>
      <vt:lpstr>Nutrient_Modifier</vt:lpstr>
      <vt:lpstr>Projection_Years</vt:lpstr>
      <vt:lpstr>Q10_Factor</vt:lpstr>
      <vt:lpstr>Rapid_Phase_Duration</vt:lpstr>
      <vt:lpstr>Rapid_Phase_Rate</vt:lpstr>
      <vt:lpstr>Recirculation_Cycle</vt:lpstr>
      <vt:lpstr>RegulatoryPenalty</vt:lpstr>
      <vt:lpstr>S1_Value</vt:lpstr>
      <vt:lpstr>S2_Value</vt:lpstr>
      <vt:lpstr>S3_Value</vt:lpstr>
      <vt:lpstr>S4_Value</vt:lpstr>
      <vt:lpstr>Scenario_BaseValues</vt:lpstr>
      <vt:lpstr>Scenario_Select</vt:lpstr>
      <vt:lpstr>Season_End_Day</vt:lpstr>
      <vt:lpstr>Season_End_Month</vt:lpstr>
      <vt:lpstr>Season_Length</vt:lpstr>
      <vt:lpstr>Season_Start_Day</vt:lpstr>
      <vt:lpstr>Season_Start_Month</vt:lpstr>
      <vt:lpstr>Slow_Phase_Rate</vt:lpstr>
      <vt:lpstr>Stoch_Efficiency</vt:lpstr>
      <vt:lpstr>Stoch_ExtValue</vt:lpstr>
      <vt:lpstr>Stoch_Interventions</vt:lpstr>
      <vt:lpstr>Stoch_SeasonExt</vt:lpstr>
      <vt:lpstr>Stoch_TreatmentRate</vt:lpstr>
      <vt:lpstr>System_Capacity</vt:lpstr>
      <vt:lpstr>Target_NAFC</vt:lpstr>
      <vt:lpstr>Testing_Cost</vt:lpstr>
      <vt:lpstr>Testing_Option</vt:lpstr>
      <vt:lpstr>TestOpt_Cost</vt:lpstr>
      <vt:lpstr>TestOpt_Interval</vt:lpstr>
      <vt:lpstr>TestOpt_Latency</vt:lpstr>
      <vt:lpstr>TestOpt_Method</vt:lpstr>
      <vt:lpstr>TestOpt_Option</vt:lpstr>
      <vt:lpstr>TestOpt_Points</vt:lpstr>
      <vt:lpstr>Timeline_DiscountFactor</vt:lpstr>
      <vt:lpstr>Timeline_LearningMult</vt:lpstr>
      <vt:lpstr>Treatment_Cells</vt:lpstr>
      <vt:lpstr>Treatment_Days</vt:lpstr>
      <vt:lpstr>Treatment_Efficiency</vt:lpstr>
      <vt:lpstr>TreatmentCells</vt:lpstr>
      <vt:lpstr>Tri_Extension_Value_Per_Day_Max</vt:lpstr>
      <vt:lpstr>Tri_Extension_Value_Per_Day_Min</vt:lpstr>
      <vt:lpstr>Tri_Extension_Value_Per_Day_Mode</vt:lpstr>
      <vt:lpstr>Tri_Interventions_Avoided_Max</vt:lpstr>
      <vt:lpstr>Tri_Interventions_Avoided_Min</vt:lpstr>
      <vt:lpstr>Tri_Interventions_Avoided_Mode</vt:lpstr>
      <vt:lpstr>Tri_Season_Extension_Days_Max</vt:lpstr>
      <vt:lpstr>Tri_Season_Extension_Days_Min</vt:lpstr>
      <vt:lpstr>Tri_Season_Extension_Days_Mode</vt:lpstr>
      <vt:lpstr>Tri_Treatment_Rate_Factor_Max</vt:lpstr>
      <vt:lpstr>Tri_Treatment_Rate_Factor_Min</vt:lpstr>
      <vt:lpstr>Tri_Treatment_Rate_Factor_Mode</vt:lpstr>
      <vt:lpstr>UV_Modifier</vt:lpstr>
      <vt:lpstr>Value_Per_M3</vt:lpstr>
      <vt:lpstr>ValuePer_M3</vt:lpstr>
      <vt:lpstr>Wetland_Area</vt:lpstr>
      <vt:lpstr>WetlandArea_Ha</vt:lpstr>
      <vt:lpstr>Year1_Gross_Value</vt:lpstr>
      <vt:lpstr>Year1_Net_Value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Greg Saunders</cp:lastModifiedBy>
  <dcterms:created xsi:type="dcterms:W3CDTF">2026-02-01T00:42:43Z</dcterms:created>
  <dcterms:modified xsi:type="dcterms:W3CDTF">2026-02-01T00:55:55Z</dcterms:modified>
</cp:coreProperties>
</file>