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reg/Luminous Dropbox/Obsidian/utils/financial_modeling/"/>
    </mc:Choice>
  </mc:AlternateContent>
  <xr:revisionPtr revIDLastSave="0" documentId="13_ncr:1_{613CE668-89C2-F84E-BA78-222ABF5DA553}" xr6:coauthVersionLast="47" xr6:coauthVersionMax="47" xr10:uidLastSave="{00000000-0000-0000-0000-000000000000}"/>
  <bookViews>
    <workbookView xWindow="0" yWindow="680" windowWidth="30240" windowHeight="18960" firstSheet="7" activeTab="10" xr2:uid="{00000000-000D-0000-FFFF-FFFF00000000}"/>
  </bookViews>
  <sheets>
    <sheet name="0_Cover" sheetId="1" r:id="rId1"/>
    <sheet name="1_TOC" sheetId="2" r:id="rId2"/>
    <sheet name="2_Instructions" sheetId="3" r:id="rId3"/>
    <sheet name="3_Assumptions" sheetId="4" r:id="rId4"/>
    <sheet name="4_Scenarios" sheetId="5" r:id="rId5"/>
    <sheet name="5_ServiceModels" sheetId="6" r:id="rId6"/>
    <sheet name="6_Calc_Timeline" sheetId="7" r:id="rId7"/>
    <sheet name="7_Calc_Stochastic" sheetId="8" r:id="rId8"/>
    <sheet name="8_Calc_Value" sheetId="9" r:id="rId9"/>
    <sheet name="9_Calc_Costs" sheetId="10" r:id="rId10"/>
    <sheet name="10_Calc_Sim" sheetId="11" r:id="rId11"/>
    <sheet name="11_PL_Monthly" sheetId="12" r:id="rId12"/>
    <sheet name="12_PL_Annual" sheetId="13" r:id="rId13"/>
    <sheet name="13_CashFlow" sheetId="14" r:id="rId14"/>
    <sheet name="14_UnitEconomics" sheetId="15" r:id="rId15"/>
    <sheet name="15_Sensitivity" sheetId="16" r:id="rId16"/>
    <sheet name="16_Dashboard" sheetId="17" r:id="rId17"/>
    <sheet name="17_Checks" sheetId="18" r:id="rId18"/>
  </sheets>
  <definedNames>
    <definedName name="Annual_Throughput">'3_Assumptions'!$B$39</definedName>
    <definedName name="AnnualThroughput_M3">'3_Assumptions'!$B$39</definedName>
    <definedName name="Base_Year">'1_TOC'!$B$14</definedName>
    <definedName name="Beta_Efficiency_Gain_Alpha">'5_ServiceModels'!$B$23</definedName>
    <definedName name="Beta_Efficiency_Gain_Beta">'5_ServiceModels'!$C$23</definedName>
    <definedName name="Beta_Efficiency_Gain_Max">'5_ServiceModels'!$E$23</definedName>
    <definedName name="Beta_Efficiency_Gain_Min">'5_ServiceModels'!$D$23</definedName>
    <definedName name="Circulation_Cycles">'6_Calc_Timeline'!$C$28</definedName>
    <definedName name="Compliance_Status">'6_Calc_Timeline'!$C$30</definedName>
    <definedName name="Day_80_Survival">'3_Assumptions'!$B$125</definedName>
    <definedName name="Day_LC50">'3_Assumptions'!$B$124</definedName>
    <definedName name="Day_Nontoxic">'3_Assumptions'!$B$126</definedName>
    <definedName name="Days_to_Compliance">'6_Calc_Timeline'!$C$27</definedName>
    <definedName name="Discount_Rate">'1_TOC'!$B$12</definedName>
    <definedName name="DowntimeCostPerDay">'3_Assumptions'!$B$52</definedName>
    <definedName name="Eff_Rapid_Rate">'6_Calc_Timeline'!$C$24</definedName>
    <definedName name="Eff_Slow_Rate">'6_Calc_Timeline'!$C$25</definedName>
    <definedName name="Gate_S1">'3_Assumptions'!$B$87:$B$89</definedName>
    <definedName name="Gate_S2">'3_Assumptions'!$C$87:$C$89</definedName>
    <definedName name="Gate_S3">'3_Assumptions'!$D$87:$D$89</definedName>
    <definedName name="Gate_S4">'3_Assumptions'!$E$87:$E$89</definedName>
    <definedName name="Gross_Value">'8_Calc_Value'!$E$18</definedName>
    <definedName name="Initial_NAFC">'3_Assumptions'!$B$108</definedName>
    <definedName name="LaborPerDay">'3_Assumptions'!$B$50</definedName>
    <definedName name="LearningCurve_Mult">'3_Assumptions'!$B$62:$B$66</definedName>
    <definedName name="List_Scenarios">'3_Assumptions'!$B$94:$B$96</definedName>
    <definedName name="List_TestingOptions">'3_Assumptions'!$A$94:$A$96</definedName>
    <definedName name="MC_Anchor">'3_Assumptions'!$B$99</definedName>
    <definedName name="MC_Expected_Days">'10_Calc_Sim'!$B$1024</definedName>
    <definedName name="MC_Expected_NPV">'10_Calc_Sim'!$B$1016</definedName>
    <definedName name="MC_P10">'10_Calc_Sim'!$B$1017</definedName>
    <definedName name="MC_P10_Days">'10_Calc_Sim'!$B$1025</definedName>
    <definedName name="MC_P50">'10_Calc_Sim'!$B$1018</definedName>
    <definedName name="MC_P50_Days">'10_Calc_Sim'!$B$1026</definedName>
    <definedName name="MC_P90">'10_Calc_Sim'!$B$1019</definedName>
    <definedName name="MC_P90_Days">'10_Calc_Sim'!$B$1027</definedName>
    <definedName name="MC_Prob_Achievable">'10_Calc_Sim'!$B$1028</definedName>
    <definedName name="MC_Prob_Positive">'10_Calc_Sim'!$B$1021</definedName>
    <definedName name="MC_StdDev">'10_Calc_Sim'!$B$1020</definedName>
    <definedName name="NAFC_After_Rapid">'6_Calc_Timeline'!$C$26</definedName>
    <definedName name="NPV_Total">'12_PL_Annual'!$B$21</definedName>
    <definedName name="Projection_Years">'1_TOC'!$B$13</definedName>
    <definedName name="Rapid_Phase_Duration">'3_Assumptions'!$B$112</definedName>
    <definedName name="Rapid_Phase_Rate">'3_Assumptions'!$B$110</definedName>
    <definedName name="Recirculation_Cycle">'3_Assumptions'!$B$113</definedName>
    <definedName name="RegulatoryPenalty">'3_Assumptions'!$B$51</definedName>
    <definedName name="S1_Value">'8_Calc_Value'!$E$13</definedName>
    <definedName name="S2_Value">'8_Calc_Value'!$E$14</definedName>
    <definedName name="S3_Value">'8_Calc_Value'!$E$15</definedName>
    <definedName name="S4_Value">'8_Calc_Value'!$E$16</definedName>
    <definedName name="Scenario_BaseValues">'4_Scenarios'!$C$10:$C$13</definedName>
    <definedName name="Scenario_Select">'1_TOC'!$B$11</definedName>
    <definedName name="Season_End_Day">'3_Assumptions'!$B$13</definedName>
    <definedName name="Season_End_Month">'3_Assumptions'!$B$12</definedName>
    <definedName name="Season_Length">'3_Assumptions'!$B$14</definedName>
    <definedName name="Season_Start_Day">'3_Assumptions'!$B$11</definedName>
    <definedName name="Season_Start_Month">'3_Assumptions'!$B$10</definedName>
    <definedName name="Slow_Phase_Rate">'3_Assumptions'!$B$111</definedName>
    <definedName name="Stoch_Efficiency">'7_Calc_Stochastic'!$C$17</definedName>
    <definedName name="Stoch_ExtValue">'7_Calc_Stochastic'!$C$15</definedName>
    <definedName name="Stoch_Interventions">'7_Calc_Stochastic'!$C$16</definedName>
    <definedName name="Stoch_SeasonExt">'7_Calc_Stochastic'!$C$14</definedName>
    <definedName name="Stoch_TreatmentRate">'7_Calc_Stochastic'!$C$18</definedName>
    <definedName name="System_Capacity">'3_Assumptions'!$B$114</definedName>
    <definedName name="Target_NAFC">'3_Assumptions'!$B$109</definedName>
    <definedName name="Testing_Cost">'9_Calc_Costs'!$C$19</definedName>
    <definedName name="Testing_Option">'1_TOC'!$B$10</definedName>
    <definedName name="TestOpt_Cost">'3_Assumptions'!$E$76:$E$78</definedName>
    <definedName name="TestOpt_Interval">'3_Assumptions'!$C$76:$C$78</definedName>
    <definedName name="TestOpt_Latency">'3_Assumptions'!$F$76:$F$78</definedName>
    <definedName name="TestOpt_Method">'3_Assumptions'!$B$76:$B$78</definedName>
    <definedName name="TestOpt_Option">'3_Assumptions'!$A$76:$A$78</definedName>
    <definedName name="TestOpt_Points">'3_Assumptions'!$D$76:$D$78</definedName>
    <definedName name="Timeline_DiscountFactor">'6_Calc_Timeline'!$D$13:$D$18</definedName>
    <definedName name="Timeline_LearningMult">'6_Calc_Timeline'!$E$13:$E$18</definedName>
    <definedName name="Treatment_Cells">'3_Assumptions'!$B$38</definedName>
    <definedName name="Treatment_Days">'3_Assumptions'!$B$14</definedName>
    <definedName name="Treatment_Efficiency">'6_Calc_Timeline'!$C$29</definedName>
    <definedName name="TreatmentCells">'3_Assumptions'!$B$38</definedName>
    <definedName name="Tri_Extension_Value_Per_Day_Max">'5_ServiceModels'!$D$11</definedName>
    <definedName name="Tri_Extension_Value_Per_Day_Min">'5_ServiceModels'!$B$11</definedName>
    <definedName name="Tri_Extension_Value_Per_Day_Mode">'5_ServiceModels'!$C$11</definedName>
    <definedName name="Tri_Interventions_Avoided_Max">'5_ServiceModels'!$D$12</definedName>
    <definedName name="Tri_Interventions_Avoided_Min">'5_ServiceModels'!$B$12</definedName>
    <definedName name="Tri_Interventions_Avoided_Mode">'5_ServiceModels'!$C$12</definedName>
    <definedName name="Tri_Season_Extension_Days_Max">'5_ServiceModels'!$D$10</definedName>
    <definedName name="Tri_Season_Extension_Days_Min">'5_ServiceModels'!$B$10</definedName>
    <definedName name="Tri_Season_Extension_Days_Mode">'5_ServiceModels'!$C$10</definedName>
    <definedName name="Tri_Treatment_Rate_Factor_Max">'5_ServiceModels'!$D$13</definedName>
    <definedName name="Tri_Treatment_Rate_Factor_Min">'5_ServiceModels'!$B$13</definedName>
    <definedName name="Tri_Treatment_Rate_Factor_Mode">'5_ServiceModels'!$C$13</definedName>
    <definedName name="Value_Per_M3">'3_Assumptions'!$B$40</definedName>
    <definedName name="ValuePer_M3">'3_Assumptions'!$B$40</definedName>
    <definedName name="Wetland_Area">'3_Assumptions'!$B$37</definedName>
    <definedName name="WetlandArea_Ha">'3_Assumptions'!$B$37</definedName>
    <definedName name="Year1_Gross_Value">'12_PL_Annual'!$F$13</definedName>
    <definedName name="Year1_Net_Value">'12_PL_Annual'!$H$13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8" l="1"/>
  <c r="D24" i="18"/>
  <c r="D23" i="18"/>
  <c r="D22" i="18"/>
  <c r="D18" i="18"/>
  <c r="D17" i="18"/>
  <c r="D16" i="18"/>
  <c r="D15" i="18"/>
  <c r="D14" i="18"/>
  <c r="D13" i="18"/>
  <c r="B43" i="17"/>
  <c r="C42" i="17"/>
  <c r="B42" i="17"/>
  <c r="B13" i="17"/>
  <c r="B24" i="15"/>
  <c r="B13" i="15"/>
  <c r="A17" i="14"/>
  <c r="A16" i="14"/>
  <c r="A15" i="14"/>
  <c r="A14" i="14"/>
  <c r="A13" i="14"/>
  <c r="A17" i="13"/>
  <c r="A16" i="13"/>
  <c r="A15" i="13"/>
  <c r="A14" i="13"/>
  <c r="A13" i="13"/>
  <c r="B1028" i="11"/>
  <c r="B1027" i="11"/>
  <c r="B1026" i="11"/>
  <c r="B1025" i="11"/>
  <c r="B1024" i="11"/>
  <c r="B1021" i="11"/>
  <c r="B18" i="17" s="1"/>
  <c r="B1020" i="11"/>
  <c r="B1019" i="11"/>
  <c r="B17" i="17" s="1"/>
  <c r="B1018" i="11"/>
  <c r="B16" i="17" s="1"/>
  <c r="B1017" i="11"/>
  <c r="B15" i="17" s="1"/>
  <c r="B1016" i="11"/>
  <c r="C16" i="10"/>
  <c r="C15" i="10"/>
  <c r="C14" i="10"/>
  <c r="C17" i="10" s="1"/>
  <c r="C18" i="10" s="1"/>
  <c r="C19" i="10" s="1"/>
  <c r="C13" i="10"/>
  <c r="B16" i="9"/>
  <c r="B15" i="9"/>
  <c r="B14" i="9"/>
  <c r="B13" i="9"/>
  <c r="B18" i="8"/>
  <c r="C18" i="8" s="1"/>
  <c r="B17" i="8"/>
  <c r="C17" i="8" s="1"/>
  <c r="B16" i="8"/>
  <c r="C16" i="8" s="1"/>
  <c r="D14" i="9" s="1"/>
  <c r="B15" i="8"/>
  <c r="C15" i="8" s="1"/>
  <c r="B14" i="8"/>
  <c r="C14" i="8" s="1"/>
  <c r="D13" i="9" s="1"/>
  <c r="C29" i="7"/>
  <c r="E18" i="7"/>
  <c r="D18" i="7"/>
  <c r="I17" i="13" s="1"/>
  <c r="C18" i="7"/>
  <c r="B18" i="7"/>
  <c r="E17" i="7"/>
  <c r="D17" i="7"/>
  <c r="I16" i="13" s="1"/>
  <c r="C17" i="7"/>
  <c r="B17" i="7"/>
  <c r="E16" i="7"/>
  <c r="D16" i="7"/>
  <c r="I15" i="13" s="1"/>
  <c r="C16" i="7"/>
  <c r="B16" i="7"/>
  <c r="E15" i="7"/>
  <c r="D15" i="7"/>
  <c r="I14" i="13" s="1"/>
  <c r="C15" i="7"/>
  <c r="B15" i="7"/>
  <c r="E14" i="7"/>
  <c r="D14" i="7"/>
  <c r="I13" i="13" s="1"/>
  <c r="C14" i="7"/>
  <c r="B14" i="7"/>
  <c r="C13" i="7"/>
  <c r="B13" i="7"/>
  <c r="E89" i="4"/>
  <c r="D89" i="4"/>
  <c r="C89" i="4"/>
  <c r="B89" i="4"/>
  <c r="E88" i="4"/>
  <c r="D88" i="4"/>
  <c r="C88" i="4"/>
  <c r="B88" i="4"/>
  <c r="E87" i="4"/>
  <c r="D87" i="4"/>
  <c r="C87" i="4"/>
  <c r="B87" i="4"/>
  <c r="B5" i="1"/>
  <c r="C49" i="17" l="1"/>
  <c r="B49" i="17"/>
  <c r="C48" i="17"/>
  <c r="B48" i="17"/>
  <c r="C47" i="17"/>
  <c r="B47" i="17"/>
  <c r="D20" i="18"/>
  <c r="G13" i="13"/>
  <c r="G14" i="13"/>
  <c r="G17" i="13"/>
  <c r="B15" i="15"/>
  <c r="B19" i="15"/>
  <c r="B25" i="15"/>
  <c r="G15" i="13"/>
  <c r="G16" i="13"/>
  <c r="B19" i="17"/>
  <c r="G10" i="11"/>
  <c r="C25" i="7"/>
  <c r="C24" i="7"/>
  <c r="D15" i="9"/>
  <c r="D16" i="9"/>
  <c r="B46" i="17"/>
  <c r="C46" i="17"/>
  <c r="C33" i="17"/>
  <c r="C16" i="9"/>
  <c r="E16" i="9" s="1"/>
  <c r="C32" i="17"/>
  <c r="C15" i="9"/>
  <c r="C31" i="17"/>
  <c r="C14" i="9"/>
  <c r="E14" i="9" s="1"/>
  <c r="C30" i="17"/>
  <c r="C13" i="9"/>
  <c r="E13" i="9" s="1"/>
  <c r="E15" i="9" l="1"/>
  <c r="C26" i="7"/>
  <c r="C27" i="7" s="1"/>
  <c r="D26" i="18"/>
  <c r="E13" i="13"/>
  <c r="F10" i="11"/>
  <c r="E14" i="13"/>
  <c r="E15" i="13"/>
  <c r="E16" i="13"/>
  <c r="E17" i="13"/>
  <c r="B33" i="17"/>
  <c r="E10" i="11"/>
  <c r="C16" i="13"/>
  <c r="D10" i="11"/>
  <c r="C14" i="13"/>
  <c r="C15" i="13"/>
  <c r="C13" i="13"/>
  <c r="C17" i="13"/>
  <c r="B31" i="17"/>
  <c r="B15" i="13"/>
  <c r="B16" i="13"/>
  <c r="B30" i="17"/>
  <c r="B13" i="13"/>
  <c r="B14" i="13"/>
  <c r="C10" i="11"/>
  <c r="B17" i="13"/>
  <c r="D14" i="13" l="1"/>
  <c r="F14" i="13" s="1"/>
  <c r="H14" i="13" s="1"/>
  <c r="D13" i="13"/>
  <c r="D16" i="13"/>
  <c r="B32" i="17"/>
  <c r="D17" i="13"/>
  <c r="F17" i="13" s="1"/>
  <c r="H17" i="13" s="1"/>
  <c r="D15" i="13"/>
  <c r="E18" i="9"/>
  <c r="C30" i="7"/>
  <c r="C44" i="17" s="1"/>
  <c r="B44" i="17"/>
  <c r="C28" i="7"/>
  <c r="I10" i="11"/>
  <c r="D25" i="18"/>
  <c r="F13" i="13"/>
  <c r="F15" i="13"/>
  <c r="H15" i="13" s="1"/>
  <c r="F16" i="13"/>
  <c r="H16" i="13" s="1"/>
  <c r="D21" i="18" l="1"/>
  <c r="B26" i="15"/>
  <c r="B16" i="15"/>
  <c r="B17" i="15"/>
  <c r="B18" i="15"/>
  <c r="B14" i="15"/>
  <c r="H10" i="11"/>
  <c r="B45" i="17"/>
  <c r="C45" i="17"/>
  <c r="H13" i="13"/>
  <c r="B20" i="17"/>
  <c r="B22" i="13"/>
  <c r="B15" i="14"/>
  <c r="J15" i="13"/>
  <c r="B16" i="14"/>
  <c r="J16" i="13"/>
  <c r="B14" i="14"/>
  <c r="J14" i="13"/>
  <c r="B17" i="14"/>
  <c r="J17" i="13"/>
  <c r="B23" i="13" l="1"/>
  <c r="B13" i="14"/>
  <c r="C13" i="14" s="1"/>
  <c r="C14" i="14" s="1"/>
  <c r="C15" i="14" s="1"/>
  <c r="C16" i="14" s="1"/>
  <c r="C17" i="14" s="1"/>
  <c r="J13" i="13"/>
  <c r="B21" i="17"/>
  <c r="D13" i="14" l="1"/>
  <c r="D14" i="14" s="1"/>
  <c r="D15" i="14" s="1"/>
  <c r="D16" i="14" s="1"/>
  <c r="D17" i="14" s="1"/>
  <c r="B21" i="13"/>
  <c r="D19" i="18" l="1"/>
  <c r="B20" i="15"/>
  <c r="E13" i="16"/>
  <c r="F13" i="16"/>
  <c r="G13" i="16" s="1"/>
  <c r="E14" i="16"/>
  <c r="F14" i="16"/>
  <c r="G14" i="16" s="1"/>
  <c r="E15" i="16"/>
  <c r="F15" i="16"/>
  <c r="G15" i="16" s="1"/>
  <c r="E16" i="16"/>
  <c r="F16" i="16"/>
  <c r="B14" i="17"/>
  <c r="B10" i="11"/>
  <c r="B67" i="17" l="1"/>
  <c r="B33" i="18"/>
  <c r="B66" i="17"/>
  <c r="B31" i="18"/>
  <c r="B32" i="18"/>
  <c r="B10" i="1"/>
  <c r="B9" i="1"/>
  <c r="G16" i="16"/>
</calcChain>
</file>

<file path=xl/sharedStrings.xml><?xml version="1.0" encoding="utf-8"?>
<sst xmlns="http://schemas.openxmlformats.org/spreadsheetml/2006/main" count="987" uniqueCount="696">
  <si>
    <t>Luminous Wetland Monte Carlo Financial Model</t>
  </si>
  <si>
    <t>FAST Standard Compliant (18-Sheet Architecture)</t>
  </si>
  <si>
    <t>Version:</t>
  </si>
  <si>
    <t>3.0</t>
  </si>
  <si>
    <t>Date:</t>
  </si>
  <si>
    <t>Author:</t>
  </si>
  <si>
    <t>Luminous BioSolutions</t>
  </si>
  <si>
    <t>Model Status</t>
  </si>
  <si>
    <t>Health:</t>
  </si>
  <si>
    <t>Errors:</t>
  </si>
  <si>
    <t>Sheet Navigation</t>
  </si>
  <si>
    <t>1_TOC</t>
  </si>
  <si>
    <t>Table of Contents / Control panel</t>
  </si>
  <si>
    <t>2_Instructions</t>
  </si>
  <si>
    <t>Methodology and documentation</t>
  </si>
  <si>
    <t>3_Assumptions</t>
  </si>
  <si>
    <t>ALL inputs (timing, site, test options, validation)</t>
  </si>
  <si>
    <t>4_Scenarios</t>
  </si>
  <si>
    <t>Value scenario definitions</t>
  </si>
  <si>
    <t>5_ServiceModels</t>
  </si>
  <si>
    <t>Monte Carlo distributions</t>
  </si>
  <si>
    <t>6_Calc_Timeline</t>
  </si>
  <si>
    <t>Projection timeline</t>
  </si>
  <si>
    <t>7_Calc_Stochastic</t>
  </si>
  <si>
    <t>Random variable generation</t>
  </si>
  <si>
    <t>8_Calc_Value</t>
  </si>
  <si>
    <t>Gated value calculations</t>
  </si>
  <si>
    <t>9_Calc_Costs</t>
  </si>
  <si>
    <t>Cost calculations</t>
  </si>
  <si>
    <t>10_Calc_Sim</t>
  </si>
  <si>
    <t>1000-iteration Monte Carlo</t>
  </si>
  <si>
    <t>11_PL_Monthly</t>
  </si>
  <si>
    <t>Monthly P&amp;L (placeholder)</t>
  </si>
  <si>
    <t>12_PL_Annual</t>
  </si>
  <si>
    <t>Annual projections</t>
  </si>
  <si>
    <t>13_CashFlow</t>
  </si>
  <si>
    <t>Cumulative projections</t>
  </si>
  <si>
    <t>14_UnitEconomics</t>
  </si>
  <si>
    <t>Unit economics view</t>
  </si>
  <si>
    <t>15_Sensitivity</t>
  </si>
  <si>
    <t>Tornado analysis</t>
  </si>
  <si>
    <t>16_Dashboard</t>
  </si>
  <si>
    <t>Executive dashboard</t>
  </si>
  <si>
    <t>17_Checks</t>
  </si>
  <si>
    <t>Validation checks</t>
  </si>
  <si>
    <t>Control Panel</t>
  </si>
  <si>
    <t>Description:</t>
  </si>
  <si>
    <t>User-editable model parameters that drive all calculations. Change these values to explore different scenarios.</t>
  </si>
  <si>
    <t>Purpose:</t>
  </si>
  <si>
    <t>Provide a single location for users to modify key model inputs</t>
  </si>
  <si>
    <t>Assumptions:</t>
  </si>
  <si>
    <t>- Testing_Option selects between HRMS and biosensor approaches
- Scenario_Select chooses conservative, base, or optimistic parameters
- Discount_Rate applies to all NPV calculations
- Projection_Years determines the financial projection horizon</t>
  </si>
  <si>
    <t>Data Source:</t>
  </si>
  <si>
    <t>User input - default values from Financial Model Framework v2.1</t>
  </si>
  <si>
    <t>Related Tables:</t>
  </si>
  <si>
    <t>tbl_ModelScenarios, tbl_TestOptions</t>
  </si>
  <si>
    <t>Parameter</t>
  </si>
  <si>
    <t>Value</t>
  </si>
  <si>
    <t>Validation</t>
  </si>
  <si>
    <t>Description</t>
  </si>
  <si>
    <t>Testing_Option</t>
  </si>
  <si>
    <t>Daily_Biosensor</t>
  </si>
  <si>
    <t>Dropdown</t>
  </si>
  <si>
    <t>Selected testing method</t>
  </si>
  <si>
    <t>Scenario_Select</t>
  </si>
  <si>
    <t>Base</t>
  </si>
  <si>
    <t>Model scenario</t>
  </si>
  <si>
    <t>Discount_Rate</t>
  </si>
  <si>
    <t>0%-15%</t>
  </si>
  <si>
    <t>NPV discount rate</t>
  </si>
  <si>
    <t>Projection_Years</t>
  </si>
  <si>
    <t>1-10</t>
  </si>
  <si>
    <t>Projection horizon</t>
  </si>
  <si>
    <t>Base_Year</t>
  </si>
  <si>
    <t>2024-2030</t>
  </si>
  <si>
    <t>Model start year</t>
  </si>
  <si>
    <t>Model Instructions &amp; Documentation</t>
  </si>
  <si>
    <t>1. Model Purpose</t>
  </si>
  <si>
    <t xml:space="preserve">  - Quantify value of high-frequency biosensor monitoring vs HRMS for OSPW wetland treatment</t>
  </si>
  <si>
    <t xml:space="preserve">  - Monte Carlo simulation for uncertainty quantification (1000 iterations)</t>
  </si>
  <si>
    <t xml:space="preserve">  - FAST Standard compliance for transparency and auditability</t>
  </si>
  <si>
    <t xml:space="preserve">  - All calculations performed in Excel - Python only generates structure/formulas</t>
  </si>
  <si>
    <t>2. How to Use This Model</t>
  </si>
  <si>
    <t>1. Edit yellow-highlighted cells in 1_TOC and 3_Assumptions</t>
  </si>
  <si>
    <t>2. Go to 10_Calc_Sim and set up the Data Table:</t>
  </si>
  <si>
    <t xml:space="preserve">   - Select range shown in instructions (formula row through 1000 iterations)</t>
  </si>
  <si>
    <t xml:space="preserve">   - Data &gt; What-If Analysis &gt; Data Table</t>
  </si>
  <si>
    <t xml:space="preserve">   - Column Input Cell: $K$1 (blank cell on same sheet)</t>
  </si>
  <si>
    <t>3. Press Ctrl+Alt+F9 to run Monte Carlo simulation</t>
  </si>
  <si>
    <t>4. View results in 16_Dashboard</t>
  </si>
  <si>
    <t>5. Check 17_Checks for any validation errors</t>
  </si>
  <si>
    <t>3. Latency Gating Logic</t>
  </si>
  <si>
    <t>HRMS lab testing has 42-day turnaround, blocking time-sensitive decisions:</t>
  </si>
  <si>
    <t>Scenario</t>
  </si>
  <si>
    <t>Required_Response</t>
  </si>
  <si>
    <t>HRMS_42d</t>
  </si>
  <si>
    <t>Biosensor_1d</t>
  </si>
  <si>
    <t>S1: Season Extension</t>
  </si>
  <si>
    <t>7 days</t>
  </si>
  <si>
    <t>BLOCKED</t>
  </si>
  <si>
    <t>ENABLED</t>
  </si>
  <si>
    <t>S2: Intervention Avoidance</t>
  </si>
  <si>
    <t>S3: Spatial Routing</t>
  </si>
  <si>
    <t>14 days</t>
  </si>
  <si>
    <t>S4: Early Detection</t>
  </si>
  <si>
    <t>3 days</t>
  </si>
  <si>
    <t>4. Glossary</t>
  </si>
  <si>
    <t>HRMS</t>
  </si>
  <si>
    <t>High-Resolution Mass Spectrometry</t>
  </si>
  <si>
    <t>OSPW</t>
  </si>
  <si>
    <t>Oil Sands Process-affected Water</t>
  </si>
  <si>
    <t>ARO</t>
  </si>
  <si>
    <t>Asset Retirement Obligation</t>
  </si>
  <si>
    <t>NPV</t>
  </si>
  <si>
    <t>Net Present Value</t>
  </si>
  <si>
    <t>HLR</t>
  </si>
  <si>
    <t>Hydraulic Loading Rate</t>
  </si>
  <si>
    <t>FAST</t>
  </si>
  <si>
    <t>Flexible, Appropriate, Structured, Transparent</t>
  </si>
  <si>
    <t>NAFC</t>
  </si>
  <si>
    <t>Naphthenic Acid Fraction Compounds</t>
  </si>
  <si>
    <t>5. Data Sources</t>
  </si>
  <si>
    <t xml:space="preserve">  - Zhang (2026) Long-Dated Environmental Liabilities in Oil Sands</t>
  </si>
  <si>
    <t xml:space="preserve">  - Kadlec &amp; Wallace (2009) Treatment Wetlands, 2nd Ed.</t>
  </si>
  <si>
    <t xml:space="preserve">  - FAST Standard Organisation (fast-standard.org)</t>
  </si>
  <si>
    <t xml:space="preserve">  - Luminous BioSolutions Financial Model Framework</t>
  </si>
  <si>
    <t xml:space="preserve">  - Kearl Wetland Pilot Data (GROW Presentation, Dec 2025)</t>
  </si>
  <si>
    <t>6. Value Per Cubic Meter Derivation</t>
  </si>
  <si>
    <t>The $5/m3 operational value is derived from:</t>
  </si>
  <si>
    <t xml:space="preserve">  - Conservative annual value: $250,000/year (Financial Model Framework)</t>
  </si>
  <si>
    <t xml:space="preserve">  - Annual throughput: 50,000 m3/year (3_Assumptions default)</t>
  </si>
  <si>
    <t xml:space="preserve">  - Calculation: $250,000 / 50,000 m3 = $5/m3</t>
  </si>
  <si>
    <t xml:space="preserve">  - This is the OPERATIONAL benefit only - excludes avoided treatment and ARO impacts</t>
  </si>
  <si>
    <t>Value Sensitivity Analysis (15_Sensitivity):</t>
  </si>
  <si>
    <t xml:space="preserve">  - Operational: $3-8/m3 (base $5) - Direct wetland treatment value</t>
  </si>
  <si>
    <t xml:space="preserve">  - Avoided Treatment: $10-30/m3 (base $20) - Alternative treatment costs</t>
  </si>
  <si>
    <t xml:space="preserve">  - ARO Liability: $21-93/m3 (base $50) - Zhang (2026) liability analysis</t>
  </si>
  <si>
    <t>7. Treatment Kinetics (Kearl 2022 Field Data)</t>
  </si>
  <si>
    <t>Source: Vander Meulen &amp; Headley (2024) GROW Presentation</t>
  </si>
  <si>
    <t>Project: Genome Canada LSARP - GROW (Genomics Research for Optimization of Constructed Treatment Wetlands)</t>
  </si>
  <si>
    <t>Two-Phase Kinetics Model:</t>
  </si>
  <si>
    <t xml:space="preserve">  - Rapid Phase (Days 0-15): -0.532 mg/L/day (R^2=0.43)</t>
  </si>
  <si>
    <t xml:space="preserve">  - Slow Phase (Days 30-69): -0.248 mg/L/day (R^2=0.50)</t>
  </si>
  <si>
    <t xml:space="preserve">  - The slowdown reflects preferential removal of labile compounds</t>
  </si>
  <si>
    <t>Toxicity Endpoints (Fathead Minnow Embryo):</t>
  </si>
  <si>
    <t xml:space="preserve">  - Day 14: ~50% survival (1 recirculation cycle = LC50)</t>
  </si>
  <si>
    <t xml:space="preserve">  - Day 28: 80-90% survival (2 cycles)</t>
  </si>
  <si>
    <t xml:space="preserve">  - Day 42: &gt;90% survival (3 cycles = non-toxic, equivalent to controls)</t>
  </si>
  <si>
    <t>The Concentration Paradox:</t>
  </si>
  <si>
    <t xml:space="preserve">  - Water at Day 42 was non-toxic despite ~50 mg/L NAFC concentration</t>
  </si>
  <si>
    <t xml:space="preserve">  - Literature LC50 values for fathead minnow: 18-34 mg/L</t>
  </si>
  <si>
    <t xml:space="preserve">  - Explanation: Wetlands preferentially remove high-carbon, lipophilic (most toxic) compounds</t>
  </si>
  <si>
    <t xml:space="preserve">  - Remaining NAFCs are oxidized (O3, O4 classes) and less bioavailable</t>
  </si>
  <si>
    <t xml:space="preserve">  - Implication: Total NAFC concentration alone may be inadequate for assessing safety</t>
  </si>
  <si>
    <t>Adjusting Parameters:</t>
  </si>
  <si>
    <t xml:space="preserve">  - All kinetics parameters are in 3_Assumptions Section H (yellow cells)</t>
  </si>
  <si>
    <t xml:space="preserve">  - Treatment_Rate_Factor in 5_ServiceModels captures seasonal/vegetation variability</t>
  </si>
  <si>
    <t xml:space="preserve">  - Modify Initial_NAFC to match your source water concentration</t>
  </si>
  <si>
    <t xml:space="preserve">  - Adjust Target_NAFC for different regulatory thresholds</t>
  </si>
  <si>
    <t>8. Change Log</t>
  </si>
  <si>
    <t>Version</t>
  </si>
  <si>
    <t>Date</t>
  </si>
  <si>
    <t>Changes</t>
  </si>
  <si>
    <t>3.2</t>
  </si>
  <si>
    <t>2026-01-29</t>
  </si>
  <si>
    <t>Value/m3 derivation documentation (Section 6)</t>
  </si>
  <si>
    <t>3.1</t>
  </si>
  <si>
    <t>Kearl treatment kinetics integration, Days_to_Compliance MC</t>
  </si>
  <si>
    <t>FAST 18-sheet refactor with LOCATIONS registry</t>
  </si>
  <si>
    <t>2.0</t>
  </si>
  <si>
    <t>2026-01-28</t>
  </si>
  <si>
    <t>Excel-native Monte Carlo via Data Tables</t>
  </si>
  <si>
    <t>1.0</t>
  </si>
  <si>
    <t>2025-12-01</t>
  </si>
  <si>
    <t>Initial Python-based model</t>
  </si>
  <si>
    <t>Model Assumptions (Single Source of Truth)</t>
  </si>
  <si>
    <t>A. Timing Parameters</t>
  </si>
  <si>
    <t>Treatment season timing that determines the operational window for wetland treatment.</t>
  </si>
  <si>
    <t>Define the active treatment period for financial projections</t>
  </si>
  <si>
    <t>- Treatment season aligned with Alberta weather patterns (May-September)
- Season length directly impacts annual value capture potential</t>
  </si>
  <si>
    <t>Standard Alberta treatment wetland operational calendar</t>
  </si>
  <si>
    <t>tbl_Seasonality, tbl_Timeline</t>
  </si>
  <si>
    <t>Unit</t>
  </si>
  <si>
    <t>Notes</t>
  </si>
  <si>
    <t>Season_Start_Month</t>
  </si>
  <si>
    <t>month</t>
  </si>
  <si>
    <t>May</t>
  </si>
  <si>
    <t>Season_Start_Day</t>
  </si>
  <si>
    <t>day</t>
  </si>
  <si>
    <t>Mid-May</t>
  </si>
  <si>
    <t>Season_End_Month</t>
  </si>
  <si>
    <t>September</t>
  </si>
  <si>
    <t>Season_End_Day</t>
  </si>
  <si>
    <t>Mid-September</t>
  </si>
  <si>
    <t>Treatment_Days</t>
  </si>
  <si>
    <t>days</t>
  </si>
  <si>
    <t>Active season length</t>
  </si>
  <si>
    <t>Seasonality Index</t>
  </si>
  <si>
    <t>Monthly activity multipliers reflecting natural treatment capacity variation across the season.</t>
  </si>
  <si>
    <t>Weight value calculations by month based on treatment capacity patterns</t>
  </si>
  <si>
    <t>- Peak activity in June-July matches optimal treatment temperatures
- Ramp-up in May and decline in September reflect shoulder seasons</t>
  </si>
  <si>
    <t>Kearl pilot operational data patterns</t>
  </si>
  <si>
    <t>tbl_Timing, tbl_Timeline</t>
  </si>
  <si>
    <t>Month</t>
  </si>
  <si>
    <t>Month_Num</t>
  </si>
  <si>
    <t>Multiplier</t>
  </si>
  <si>
    <t>Activity</t>
  </si>
  <si>
    <t>Ramp-up</t>
  </si>
  <si>
    <t>June</t>
  </si>
  <si>
    <t>Peak</t>
  </si>
  <si>
    <t>July</t>
  </si>
  <si>
    <t>August</t>
  </si>
  <si>
    <t>Slight decline</t>
  </si>
  <si>
    <t>Decline</t>
  </si>
  <si>
    <t>B. Site Configuration</t>
  </si>
  <si>
    <t>Physical wetland parameters that define treatment capacity and value per unit.</t>
  </si>
  <si>
    <t>Establish the operational scale for all calculations</t>
  </si>
  <si>
    <t>- Standard 1.0 ha design based on Kearl pilot scaling
- HLR of 0.05 m3/m2/day is conservative for constructed wetlands</t>
  </si>
  <si>
    <t>Kearl pilot scaling (0.76 ha) extrapolated to standard design</t>
  </si>
  <si>
    <t>tbl_TreatmentKinetics</t>
  </si>
  <si>
    <t>Source</t>
  </si>
  <si>
    <t>WetlandAreaHa</t>
  </si>
  <si>
    <t>ha</t>
  </si>
  <si>
    <t>Standard design (Kearl pilot = 0.76 ha)</t>
  </si>
  <si>
    <t>TreatmentCells</t>
  </si>
  <si>
    <t>count</t>
  </si>
  <si>
    <t>Multi-cell design</t>
  </si>
  <si>
    <t>AnnualThroughputM3</t>
  </si>
  <si>
    <t>m3/yr</t>
  </si>
  <si>
    <t>HLR = 0.05 m3/m2/day</t>
  </si>
  <si>
    <t>ValuePerM3</t>
  </si>
  <si>
    <t>$/m3</t>
  </si>
  <si>
    <t>$250K/yr / 50K m3/yr (Section 6)</t>
  </si>
  <si>
    <t>C. Cost Parameters</t>
  </si>
  <si>
    <t>Operational cost assumptions for labor, penalties, and downtime.</t>
  </si>
  <si>
    <t>Enable cost-benefit calculations for testing options</t>
  </si>
  <si>
    <t>- Labor costs include all direct operational expenses
- Regulatory penalty reflects typical EPEA violation costs</t>
  </si>
  <si>
    <t>Industry estimates from Financial Model Framework v2.1</t>
  </si>
  <si>
    <t>tbl_CostCalc</t>
  </si>
  <si>
    <t>LaborPerDay</t>
  </si>
  <si>
    <t>$/day</t>
  </si>
  <si>
    <t>RegulatoryPenalty</t>
  </si>
  <si>
    <t>$</t>
  </si>
  <si>
    <t>DowntimeCostPerDay</t>
  </si>
  <si>
    <t>D. Learning Curve</t>
  </si>
  <si>
    <t>Year-over-year efficiency multipliers reflecting operational maturity progression.</t>
  </si>
  <si>
    <t>Discount early-year value to account for pilot learning and optimization</t>
  </si>
  <si>
    <t>- Year 1 at 50% reflects pilot learning phase
- Full maturity (100%) achieved by Year 3</t>
  </si>
  <si>
    <t>Standard industrial learning curve for new process technology</t>
  </si>
  <si>
    <t>tbl_Timeline, tbl_GatedValues</t>
  </si>
  <si>
    <t>Year</t>
  </si>
  <si>
    <t>Pilot learning</t>
  </si>
  <si>
    <t>Initial optimization</t>
  </si>
  <si>
    <t>Full maturity</t>
  </si>
  <si>
    <t>Steady state</t>
  </si>
  <si>
    <t>E. Test Options</t>
  </si>
  <si>
    <t>Testing method specifications including frequency, cost, and result latency.</t>
  </si>
  <si>
    <t>Compare HRMS lab testing vs real-time biosensor monitoring approaches</t>
  </si>
  <si>
    <t>- HRMS costs include lab fees and sample logistics
- Biosensor costs assume deployed hardware and consumables
- Latency includes sample processing and reporting time</t>
  </si>
  <si>
    <t>HRMS: Commercial lab quotes; Biosensor: Luminous device specifications</t>
  </si>
  <si>
    <t>tbl_LatencyGating, tbl_CostCalc</t>
  </si>
  <si>
    <t>Option</t>
  </si>
  <si>
    <t>Method</t>
  </si>
  <si>
    <t>Interval</t>
  </si>
  <si>
    <t>Points</t>
  </si>
  <si>
    <t>Cost_Per_Test</t>
  </si>
  <si>
    <t>Latency_Days</t>
  </si>
  <si>
    <t>Monthly_HRMS</t>
  </si>
  <si>
    <t>Weekly_HRMS</t>
  </si>
  <si>
    <t>Biosensor</t>
  </si>
  <si>
    <t>Latency Gating (Calculated)</t>
  </si>
  <si>
    <t>Calculated gate status showing which testing options can capture each value scenario.</t>
  </si>
  <si>
    <t>Determine ENABLED/BLOCKED status based on latency vs required response time</t>
  </si>
  <si>
    <t>- ENABLED if testing latency &lt;= scenario required response days
- BLOCKED if testing latency &gt; scenario required response days
- Gates determine whether value can be captured</t>
  </si>
  <si>
    <t>Calculated from tbl_TestOptions latency vs tbl_ValueScenarios requirements</t>
  </si>
  <si>
    <t>tbl_TestOptions, tbl_ValueScenarios, tbl_GatedValues</t>
  </si>
  <si>
    <t>S1_Gate</t>
  </si>
  <si>
    <t>S2_Gate</t>
  </si>
  <si>
    <t>S3_Gate</t>
  </si>
  <si>
    <t>S4_Gate</t>
  </si>
  <si>
    <t>F. VALIDATION LISTS</t>
  </si>
  <si>
    <t>Testing_Options</t>
  </si>
  <si>
    <t>Scenarios</t>
  </si>
  <si>
    <t>Conservative</t>
  </si>
  <si>
    <t>Optimistic</t>
  </si>
  <si>
    <t>G. MC ANCHOR</t>
  </si>
  <si>
    <t>MC_Anchor --&gt;</t>
  </si>
  <si>
    <t>H. Treatment Kinetics</t>
  </si>
  <si>
    <t>NAFC removal rate parameters from Kearl 2022 pilot field data.</t>
  </si>
  <si>
    <t>Model treatment progression and time-to-compliance calculations</t>
  </si>
  <si>
    <t>- Biphasic removal: rapid initial phase (Days 0-15) then slower steady state
- Rates calibrated from Vander Meulen &amp; Headley (2024) GROW presentation</t>
  </si>
  <si>
    <t>Kearl 2022 pilot data - Vander Meulen &amp; Headley GROW presentation</t>
  </si>
  <si>
    <t>tbl_ToxicityMilestones, tbl_Stochastic</t>
  </si>
  <si>
    <t>Initial_NAFC</t>
  </si>
  <si>
    <t>mg/L</t>
  </si>
  <si>
    <t>Kearl 2022 Day 0 concentration</t>
  </si>
  <si>
    <t>Target_NAFC</t>
  </si>
  <si>
    <t>Regulatory threshold for non-toxicity</t>
  </si>
  <si>
    <t>Rapid_Phase_Rate</t>
  </si>
  <si>
    <t>mg/L/day</t>
  </si>
  <si>
    <t>Kearl Days 0-15 (R^2=0.43)</t>
  </si>
  <si>
    <t>Slow_Phase_Rate</t>
  </si>
  <si>
    <t>Kearl Days 30-69 (R^2=0.50)</t>
  </si>
  <si>
    <t>Rapid_Phase_Duration</t>
  </si>
  <si>
    <t>Duration of rapid removal phase</t>
  </si>
  <si>
    <t>Recirculation_Cycle</t>
  </si>
  <si>
    <t>Standard wetland recirculation</t>
  </si>
  <si>
    <t>System_Capacity</t>
  </si>
  <si>
    <t>m3</t>
  </si>
  <si>
    <t>Kearl 4-bay system volume</t>
  </si>
  <si>
    <t>I. Toxicity Milestones</t>
  </si>
  <si>
    <t>Fathead minnow embryo survival endpoints marking treatment progress toward non-toxicity.</t>
  </si>
  <si>
    <t>Define compliance milestones for treatment effectiveness tracking</t>
  </si>
  <si>
    <t>- LC50 at Day 14 marks start of toxicity reduction
- Non-toxic threshold (&gt;90% survival) typically achieved by Day 42</t>
  </si>
  <si>
    <t>Parrott Lab (Burlington) fathead minnow embryo bioassays</t>
  </si>
  <si>
    <t>Milestone</t>
  </si>
  <si>
    <t>Days</t>
  </si>
  <si>
    <t>Survival</t>
  </si>
  <si>
    <t>Day_LC50</t>
  </si>
  <si>
    <t>50%</t>
  </si>
  <si>
    <t>1 recirculation cycle - LC50 threshold</t>
  </si>
  <si>
    <t>Day_80_Survival</t>
  </si>
  <si>
    <t>80-90%</t>
  </si>
  <si>
    <t>2 recirculation cycles</t>
  </si>
  <si>
    <t>Day_Nontoxic</t>
  </si>
  <si>
    <t>&gt;90%</t>
  </si>
  <si>
    <t>3 cycles - equivalent to negative control</t>
  </si>
  <si>
    <t>Value Scenario Definitions</t>
  </si>
  <si>
    <t>Four value streams enabled by biosensor monitoring that HRMS testing cannot capture due to latency constraints.</t>
  </si>
  <si>
    <t>Quantify the annual financial benefit of each operational improvement enabled by real-time monitoring</t>
  </si>
  <si>
    <t>- Values are additive (a single biosensor deployment captures all four simultaneously)
- Base values calibrated from $250K/year total operational value allocation
- Required response days based on operational decision-making windows
- HRMS 42-day latency blocks all scenarios; biosensor 1-day latency enables all</t>
  </si>
  <si>
    <t>Financial Model Framework v2.1 - operational value allocation</t>
  </si>
  <si>
    <t>tbl_ModelScenarios, tbl_GatedValues, tbl_LatencyGating</t>
  </si>
  <si>
    <t>ID</t>
  </si>
  <si>
    <t>Name</t>
  </si>
  <si>
    <t>Base_Value</t>
  </si>
  <si>
    <t>Required_Response_Days</t>
  </si>
  <si>
    <t>S1</t>
  </si>
  <si>
    <t>Season Extension</t>
  </si>
  <si>
    <t>Temperature-based vs calendar shutdown</t>
  </si>
  <si>
    <t>S2</t>
  </si>
  <si>
    <t>Intervention Avoidance</t>
  </si>
  <si>
    <t>Prevented false-positive interventions</t>
  </si>
  <si>
    <t>S3</t>
  </si>
  <si>
    <t>Spatial Routing</t>
  </si>
  <si>
    <t>Route to high-performing cells</t>
  </si>
  <si>
    <t>S4</t>
  </si>
  <si>
    <t>Early Detection</t>
  </si>
  <si>
    <t>Reduced bio-assay costs</t>
  </si>
  <si>
    <t>Model Scenarios</t>
  </si>
  <si>
    <t>Parameter adjustments for conservative, base, and optimistic financial projections.</t>
  </si>
  <si>
    <t>Enable sensitivity analysis by adjusting discount rate, growth rate, and risk factors</t>
  </si>
  <si>
    <t>- Base scenario uses unadjusted parameters from model inputs
- Conservative adds higher discount (+0.4%), lower growth (-2%), higher risk (+10%)
- Optimistic uses lower discount (-0.3%), higher growth (+1%), lower risk (-10%)</t>
  </si>
  <si>
    <t>Standard financial modeling practice - scenario analysis parameters</t>
  </si>
  <si>
    <t>tbl_ValueScenarios, tbl_Sensitivity</t>
  </si>
  <si>
    <t>Discount_Adj</t>
  </si>
  <si>
    <t>Growth_Adj</t>
  </si>
  <si>
    <t>Risk_Adj</t>
  </si>
  <si>
    <t>Monte Carlo Distribution Parameters</t>
  </si>
  <si>
    <t>Triangular Distributions</t>
  </si>
  <si>
    <t>Monte Carlo input parameters using triangular probability distributions for key uncertain variables.</t>
  </si>
  <si>
    <t>Define the uncertainty ranges for stochastic variables that drive value scenario calculations</t>
  </si>
  <si>
    <t>- Triangular distribution selected for interpretability with stakeholders
- Min/Max represent 10th/90th percentile expert estimates, not absolute bounds
- Mode represents the most likely value (base case assumption)
- Variables are assumed independent (no correlation modeled)</t>
  </si>
  <si>
    <t>Expert judgment calibrated against Financial Model Framework v2.1</t>
  </si>
  <si>
    <t>tbl_Stochastic, tbl_GatedValues, tbl_ValueScenarios</t>
  </si>
  <si>
    <t>Variable</t>
  </si>
  <si>
    <t>Min</t>
  </si>
  <si>
    <t>Mode</t>
  </si>
  <si>
    <t>Max</t>
  </si>
  <si>
    <t>Units</t>
  </si>
  <si>
    <t>Season_Extension_Days</t>
  </si>
  <si>
    <t>Extension_Value_Per_Day</t>
  </si>
  <si>
    <t>Interventions_Avoided</t>
  </si>
  <si>
    <t>events</t>
  </si>
  <si>
    <t>Treatment_Rate_Factor</t>
  </si>
  <si>
    <t>multiplier</t>
  </si>
  <si>
    <t>Beta Distributions</t>
  </si>
  <si>
    <t>Monte Carlo input parameters using beta distributions for bounded percentage variables.</t>
  </si>
  <si>
    <t>Model uncertainty in efficiency and probability parameters that must stay within 0-100% bounds</t>
  </si>
  <si>
    <t>- Beta distribution ensures values stay within specified bounds
- Alpha/Beta parameters shape the distribution skewness
- Used for variables that represent percentages or bounded factors</t>
  </si>
  <si>
    <t>Expert judgment for efficiency and probability estimates</t>
  </si>
  <si>
    <t>tbl_Triangular, tbl_Stochastic</t>
  </si>
  <si>
    <t>Alpha</t>
  </si>
  <si>
    <t>Beta</t>
  </si>
  <si>
    <t>Efficiency_Gain</t>
  </si>
  <si>
    <t>%</t>
  </si>
  <si>
    <t>Value Per M3 Sensitivity Frames</t>
  </si>
  <si>
    <t>Alternative value framing approaches for sensitivity analysis and stakeholder communication.</t>
  </si>
  <si>
    <t>Provide multiple perspectives on value per cubic meter of treated water</t>
  </si>
  <si>
    <t>- Operational frame: Direct operational cost savings
- Avoided Treatment frame: Value of alternatives not needed
- ARO Liability frame: Asset retirement obligation cost reduction (Zhang 2026)
- Values are illustrative ranges for framing discussions</t>
  </si>
  <si>
    <t>Zhang (2026) analysis for ARO frame; operational estimates for others</t>
  </si>
  <si>
    <t>tbl_ValueScenarios, tbl_KPIs</t>
  </si>
  <si>
    <t>Frame</t>
  </si>
  <si>
    <t>Low</t>
  </si>
  <si>
    <t>High</t>
  </si>
  <si>
    <t>Context</t>
  </si>
  <si>
    <t>Operational</t>
  </si>
  <si>
    <t>Direct operational benefit</t>
  </si>
  <si>
    <t>Avoided Treatment</t>
  </si>
  <si>
    <t>Alternative treatment costs</t>
  </si>
  <si>
    <t>ARO Liability</t>
  </si>
  <si>
    <t>Zhang (2026) analysis</t>
  </si>
  <si>
    <t>Projection Timeline</t>
  </si>
  <si>
    <t>Understanding the Timeline</t>
  </si>
  <si>
    <t>This sheet generates the projection timeline used throughout the model.
Key outputs:
- Year numbers (1-5) based on Projection_Years setting
- Calendar years starting from Base_Year
- Month indices for seasonal calculations
The timeline drives all time-dependent calculations in sheets 8-15.
Changing Projection_Years or Base_Year in 1_TOC updates this timeline.</t>
  </si>
  <si>
    <t>Year-by-year projection timeline with seasonal month breakdown and learning curve factors.</t>
  </si>
  <si>
    <t>Generate the time dimension for all financial calculations</t>
  </si>
  <si>
    <t>- Projection starts at Base_Year and extends for Projection_Years
- Each year contains 12 months with season flags
- Learning curve multiplier applied from tbl_LearningCurve</t>
  </si>
  <si>
    <t>Generated from 1_TOC control parameters</t>
  </si>
  <si>
    <t>tbl_LearningCurve, tbl_Seasonality, tbl_Annual</t>
  </si>
  <si>
    <t>Year_Index</t>
  </si>
  <si>
    <t>Calendar_Year</t>
  </si>
  <si>
    <t>Discount_Factor</t>
  </si>
  <si>
    <t>Learning_Mult</t>
  </si>
  <si>
    <t>Treatment Kinetics (Kearl 2022)</t>
  </si>
  <si>
    <t>Source: Vander Meulen &amp; Headley (2024) GROW</t>
  </si>
  <si>
    <t>Metric</t>
  </si>
  <si>
    <t>Formula</t>
  </si>
  <si>
    <t>Eff_Rapid_Rate</t>
  </si>
  <si>
    <t>'=Rapid_Phase_Rate * Stoch_TreatmentRate</t>
  </si>
  <si>
    <t>Eff_Slow_Rate</t>
  </si>
  <si>
    <t>'=Slow_Phase_Rate * Stoch_TreatmentRate</t>
  </si>
  <si>
    <t>NAFC_After_Rapid</t>
  </si>
  <si>
    <t>'=MAX(0, Initial - Rate * Duration)</t>
  </si>
  <si>
    <t>Days_to_Compliance</t>
  </si>
  <si>
    <t>Two-phase calculation</t>
  </si>
  <si>
    <t>Circulation_Cycles</t>
  </si>
  <si>
    <t>'=CEILING(Days / Cycle, 1)</t>
  </si>
  <si>
    <t>cycles</t>
  </si>
  <si>
    <t>Treatment_Efficiency</t>
  </si>
  <si>
    <t>'=(Initial - Target) / Initial</t>
  </si>
  <si>
    <t>Compliance_Status</t>
  </si>
  <si>
    <t>Achievable within season?</t>
  </si>
  <si>
    <t>status</t>
  </si>
  <si>
    <t>Stochastic Variables</t>
  </si>
  <si>
    <t>(Press F9 to recalculate random draws)</t>
  </si>
  <si>
    <t>Monte Carlo Random Variables</t>
  </si>
  <si>
    <t>This sheet generates random variables for Monte Carlo simulation.
Each variable uses a triangular distribution defined in 5_ServiceModels:
- Min: Worst-case value
- Mode: Most likely value
- Max: Best-case value
The RAND() functions recalculate when you press F9 or Ctrl+Alt+F9.
Sheet 10_Calc_Sim captures 1000 iterations via Excel Data Tables.
Important: These values change on every recalculation. The simulation
statistics (P10, P50, P90) in the Dashboard are calculated from the
1000 captured iterations, not from individual cell values.</t>
  </si>
  <si>
    <t>Random variable generation using triangular distributions for Monte Carlo simulation.</t>
  </si>
  <si>
    <t>Generate stochastic multipliers that vary across simulation iterations</t>
  </si>
  <si>
    <t>- Uses triangular distribution parameters from 5_ServiceModels
- RAND() functions recalculate on spreadsheet refresh
- Values captured by Data Table in 10_Calc_Sim for 1000 iterations</t>
  </si>
  <si>
    <t>Distribution parameters from tbl_Triangular and tbl_Beta</t>
  </si>
  <si>
    <t>tbl_Triangular, tbl_Beta, tbl_GatedValues</t>
  </si>
  <si>
    <t>Random_U</t>
  </si>
  <si>
    <t>Realized_Value</t>
  </si>
  <si>
    <t>Season_Extension</t>
  </si>
  <si>
    <t>Extension_Value</t>
  </si>
  <si>
    <t>Gated Value Calculations</t>
  </si>
  <si>
    <t>Understanding Gated Value Calculations</t>
  </si>
  <si>
    <t>This sheet calculates value that HRMS testing CANNOT capture due to its
42-day latency. Each scenario requires a response faster than HRMS allows.
The "Gating" Logic:
- HRMS has 42-day turnaround from sample to results
- All four scenarios require decisions within 3-14 days
- Therefore, HRMS is always BLOCKED; Biosensor (1-day) is ENABLED
Value Calculation:
- Gated_Value = Base_Value x Stoch_Mult (if ENABLED)
- Gated_Value = $0 (if BLOCKED)
Since the selected Testing_Option is Biosensor (1-day latency), all
scenarios are ENABLED and contribute value. If HRMS were selected,
all would be BLOCKED and total value would be $0.</t>
  </si>
  <si>
    <t>Scenario values after applying latency gating logic and stochastic multipliers.</t>
  </si>
  <si>
    <t>Calculate the actual value captured based on testing option's ability to meet response time requirements</t>
  </si>
  <si>
    <t>- Gate status determined by comparing testing latency to required response time
- ENABLED scenarios: Gated_Value = Base_Value x Stoch_Mult
- BLOCKED scenarios: Gated_Value = $0 (value cannot be captured)
- Stochastic multipliers vary each Monte Carlo iteration</t>
  </si>
  <si>
    <t>Calculated from tbl_ValueScenarios, tbl_LatencyGating, and tbl_Stochastic</t>
  </si>
  <si>
    <t>tbl_ValueScenarios, tbl_LatencyGating, tbl_Stochastic, tbl_ScenarioBreakdown</t>
  </si>
  <si>
    <t>Gate_Status</t>
  </si>
  <si>
    <t>Stoch_Mult</t>
  </si>
  <si>
    <t>Gated_Value</t>
  </si>
  <si>
    <t>S1_Season_Extension</t>
  </si>
  <si>
    <t>S2_Intervention_Avoidance</t>
  </si>
  <si>
    <t>S3_Spatial_Routing</t>
  </si>
  <si>
    <t>S4_Early_Detection</t>
  </si>
  <si>
    <t>Total_Gross_Value</t>
  </si>
  <si>
    <t>Cost Calculations</t>
  </si>
  <si>
    <t>Understanding Cost Calculations</t>
  </si>
  <si>
    <t>This sheet calculates the annual cost of the selected testing approach.
Cost Components:
- Testing frequency: How often samples are taken (daily vs weekly vs monthly)
- Sample points: Number of locations monitored per test event
- Cost per test: Lab analysis cost for HRMS or sensor cost for Biosensor
- Season length: Number of active treatment days per year
Formula: Annual_Cost = (Season_Days / Test_Interval) x Sample_Points x Cost_Per_Test
The testing option parameters come from 3_Assumptions (Test Options table).
Biosensor has higher frequency but much lower cost per test, resulting
in comparable or lower total annual costs with far better data resolution.</t>
  </si>
  <si>
    <t>Cost Calculation</t>
  </si>
  <si>
    <t>Annual testing cost breakdown for the selected monitoring approach.</t>
  </si>
  <si>
    <t>Calculate total cost of testing to include in ROI and NPV calculations</t>
  </si>
  <si>
    <t>- Cost = (Season_Days / Test_Interval) x Sample_Points x Cost_Per_Test
- Parameters looked up from tbl_TestOptions based on selected option</t>
  </si>
  <si>
    <t>Calculated from tbl_TestOptions parameters</t>
  </si>
  <si>
    <t>tbl_TestOptions, tbl_CostParams, tbl_Annual</t>
  </si>
  <si>
    <t>Component</t>
  </si>
  <si>
    <t>Selected_Option</t>
  </si>
  <si>
    <t>Interval_Days</t>
  </si>
  <si>
    <t>INDEX/MATCH</t>
  </si>
  <si>
    <t>Monitoring_Points</t>
  </si>
  <si>
    <t>Events_Per_Season</t>
  </si>
  <si>
    <t>Season_Length / Interval</t>
  </si>
  <si>
    <t>Total_Tests</t>
  </si>
  <si>
    <t>Events * Points</t>
  </si>
  <si>
    <t>Season_Testing_Cost</t>
  </si>
  <si>
    <t>Total_Tests * Cost_Per_Test</t>
  </si>
  <si>
    <t>Monte Carlo Simulation (1000 iterations)</t>
  </si>
  <si>
    <t>Running the Monte Carlo Simulation</t>
  </si>
  <si>
    <t>This sheet captures 1000 iterations using Excel's Data Table feature.
SETUP INSTRUCTIONS:
1. Select the data range A5:I1005 (headers + 1000 rows)
2. Go to Data &gt; What-If Analysis &gt; Data Table
3. Leave "Row input cell" blank
4. For "Column input cell" enter: $K$1 (any blank cell on this sheet)
5. Click OK
HOW IT WORKS:
- Excel recalculates the model 1000 times
- Each row captures one iteration's outputs (NPV, scenario values, costs)
- The Data Table forces RAND() functions to regenerate each iteration
- Results are stored as values, not formulas
RECALCULATING:
- Press Ctrl+Alt+F9 to force full recalculation
- This regenerates all 1000 iterations (may take several seconds)
- Standard F9 only recalculates changed cells
OUTPUT STATISTICS:
- Expected NPV: Mean of 1000 iterations
- P10/P50/P90: Percentile values for confidence intervals
- Prob(NPV&gt;0): Percentage of iterations with positive NPV</t>
  </si>
  <si>
    <t>Select A8:I1008 &gt; Data &gt; What-If Analysis &gt; Data Table</t>
  </si>
  <si>
    <t>Column Input Cell: $K$1 (blank cell on this sheet)</t>
  </si>
  <si>
    <t>Iteration</t>
  </si>
  <si>
    <t>Cost</t>
  </si>
  <si>
    <t>Net</t>
  </si>
  <si>
    <t>Monte Carlo Statistics</t>
  </si>
  <si>
    <t>Expected NPV</t>
  </si>
  <si>
    <t>P10 NPV</t>
  </si>
  <si>
    <t>P50 NPV (Median)</t>
  </si>
  <si>
    <t>P90 NPV</t>
  </si>
  <si>
    <t>StdDev</t>
  </si>
  <si>
    <t>Prob(NPV&gt;0)</t>
  </si>
  <si>
    <t>Treatment Kinetics Statistics</t>
  </si>
  <si>
    <t>Expected Days to Compliance</t>
  </si>
  <si>
    <t>P10 Days (optimistic)</t>
  </si>
  <si>
    <t>P50 Days (median)</t>
  </si>
  <si>
    <t>P90 Days (conservative)</t>
  </si>
  <si>
    <t>Prob(Achievable in Season)</t>
  </si>
  <si>
    <t>Monthly P&amp;L (Placeholder)</t>
  </si>
  <si>
    <t>Monthly P&amp;L View</t>
  </si>
  <si>
    <t>This sheet is a placeholder for future monthly P&amp;L projections.
CURRENT STATUS: Not implemented in this version.
FUTURE USE CASES:
- Monthly cash flow timing for working capital analysis
- Seasonal revenue recognition patterns
- Monthly cost accruals
- Intra-year variance analysis
The model currently uses annual projections (12_PL_Annual) as the
primary financial view. Monthly detail would add complexity without
significant benefit for the current valuation use case.
If monthly detail is needed, the structure should mirror 12_PL_Annual
with columns for each month and rows for:
- Gross Value by scenario
- Testing costs
- Operating expenses
- Net monthly benefit</t>
  </si>
  <si>
    <t>Annual Projections</t>
  </si>
  <si>
    <t>Annual Financial Projections</t>
  </si>
  <si>
    <t>This sheet projects annual value capture over the planning horizon.
KEY CALCULATIONS:
- Gross Value: Sum of gated scenario values from 8_Calc_Value
- Learning Curve: Year 1 at 50%, Year 2 at 75%, Year 3+ at 100%
- Adjusted Value: Gross Value x Learning Curve Multiplier
- Net Value: Adjusted Value - Testing Costs
- NPV: Discounted sum using rate from 1_TOC
LEARNING CURVE RATIONALE:
Year 1 (50%): Pilot learning, process establishment
Year 2 (75%): Initial optimization, expanded coverage
Year 3+ (100%): Full operational maturity, steady state
The learning curve can be adjusted in 3_Assumptions Section D.
Conservative default reflects typical technology adoption patterns.</t>
  </si>
  <si>
    <t>Year-by-year financial projections with learning curve adjustments and NPV calculations.</t>
  </si>
  <si>
    <t>Project multi-year value capture for ROI and NPV analysis</t>
  </si>
  <si>
    <t>- Learning curve applied: Year 1 (50%), Year 2 (75%), Year 3+ (100%)
- Discount rate from 1_TOC applied to all future cash flows
- Testing costs deducted annually based on selected approach</t>
  </si>
  <si>
    <t>Calculated from tbl_GatedValues, tbl_LearningCurve, tbl_CostCalc</t>
  </si>
  <si>
    <t>tbl_GatedValues, tbl_LearningCurve, tbl_CostCalc, tbl_CashFlow</t>
  </si>
  <si>
    <t>S1_Value</t>
  </si>
  <si>
    <t>S2_Value</t>
  </si>
  <si>
    <t>S3_Value</t>
  </si>
  <si>
    <t>S4_Value</t>
  </si>
  <si>
    <t>Gross_Value</t>
  </si>
  <si>
    <t>Costs</t>
  </si>
  <si>
    <t>Net_Annual</t>
  </si>
  <si>
    <t>Discounted</t>
  </si>
  <si>
    <t>Aggregate KPIs</t>
  </si>
  <si>
    <t>NPV_Total</t>
  </si>
  <si>
    <t>Total_Gross_5Yr</t>
  </si>
  <si>
    <t>Total_Net_5Yr</t>
  </si>
  <si>
    <t>Cumulative Cash Flow</t>
  </si>
  <si>
    <t>Cumulative Cash Flow Analysis</t>
  </si>
  <si>
    <t>This sheet tracks cumulative value capture over the projection horizon.
KEY METRICS:
- Cumulative Net: Running total of annual net benefits
- Cumulative NPV: Running total of discounted net benefits
- Payback Point: Year when cumulative value turns positive
USE CASES:
- Determine when investment breaks even
- Assess cash flow timing for capital planning
- Compare cumulative value vs upfront investment
Note: This model assumes no upfront capital investment for the
biosensor system (included in testing costs). For scenarios with
capital expenditure, add an initial investment row and adjust
payback calculations accordingly.</t>
  </si>
  <si>
    <t>Cash Flow Summary</t>
  </si>
  <si>
    <t>Cumulative cash flow and NPV tracking for payback analysis.</t>
  </si>
  <si>
    <t>Track when cumulative value exceeds investment for breakeven analysis</t>
  </si>
  <si>
    <t>- No upfront capital investment assumed (costs included in testing)
- Annual net values from tbl_Annual
- Cumulative NPV used for total project value</t>
  </si>
  <si>
    <t>Calculated from tbl_Annual</t>
  </si>
  <si>
    <t>tbl_Annual, tbl_KPIs</t>
  </si>
  <si>
    <t>Annual_Net</t>
  </si>
  <si>
    <t>Cumulative_Net</t>
  </si>
  <si>
    <t>Cumulative_NPV</t>
  </si>
  <si>
    <t>Unit Economics</t>
  </si>
  <si>
    <t>Per-Cubic-Meter Economics</t>
  </si>
  <si>
    <t>This sheet expresses all values on a per-m3 basis for comparability.
WHY UNIT ECONOMICS MATTER:
- Allows comparison across different site sizes
- Enables scaling estimates to new deployments
- Provides intuitive metrics for operator discussions
- Connects to industry benchmarks (treatment costs, ARO liabilities)
KEY METRICS:
- Value per m3: Total value divided by annual throughput
- Cost per m3: Testing cost divided by throughput
- Net per m3: Value minus cost per unit volume
- NPV per m3: 5-year NPV divided by total 5-year throughput
BENCHMARKS (from 2_Instructions):
- Operational value: $3-8/m3 (this model's output)
- Avoided treatment: $10-30/m3 (alternative treatment costs)
- ARO liability: $21-93/m3 (Zhang 2026 analysis)
The biosensor's value per m3 can be compared against these benchmarks
to understand its contribution relative to the total value stack.</t>
  </si>
  <si>
    <t>Per-cubic-meter economics for cross-site comparability and scaling estimates.</t>
  </si>
  <si>
    <t>Express all values on per-m3 basis for benchmarking and scaling</t>
  </si>
  <si>
    <t>- Annual throughput from tbl_SiteConfig used as denominator
- NPV values divided by 5-year total throughput
- Benchmarks from industry data and Zhang (2026) analysis</t>
  </si>
  <si>
    <t>Calculated from model outputs and 3_Assumptions throughput</t>
  </si>
  <si>
    <t>tbl_SiteConfig, tbl_Annual, tbl_KPIs</t>
  </si>
  <si>
    <t>Annual Throughput</t>
  </si>
  <si>
    <t>From 3_Assumptions</t>
  </si>
  <si>
    <t>Gross Value per Season</t>
  </si>
  <si>
    <t>Sum of S1-S4</t>
  </si>
  <si>
    <t>Testing Cost per Season</t>
  </si>
  <si>
    <t>Based on option selected</t>
  </si>
  <si>
    <t>Net Value per Season</t>
  </si>
  <si>
    <t>Gross - Testing</t>
  </si>
  <si>
    <t>Value per m3 (Gross)</t>
  </si>
  <si>
    <t>Gross / Throughput</t>
  </si>
  <si>
    <t>Value per m3 (Net)</t>
  </si>
  <si>
    <t>Net / Throughput</t>
  </si>
  <si>
    <t>Cost per m3</t>
  </si>
  <si>
    <t>Testing / Throughput</t>
  </si>
  <si>
    <t>5-Year NPV per m3</t>
  </si>
  <si>
    <t>NPV / (5yr throughput)</t>
  </si>
  <si>
    <t>Breakeven Analysis</t>
  </si>
  <si>
    <t>Testing cost per test:</t>
  </si>
  <si>
    <t>Tests per season:</t>
  </si>
  <si>
    <t>Value per test (net):</t>
  </si>
  <si>
    <t>Sensitivity Analysis</t>
  </si>
  <si>
    <t>Tornado Sensitivity Analysis</t>
  </si>
  <si>
    <t>This sheet shows how NPV changes when individual parameters vary.
METHODOLOGY:
- Each parameter is varied from Low to High while others stay at Base
- NPV is calculated at each extreme
- "Swing" = |NPV_at_High - NPV_at_Low| measures parameter influence
- Parameters are sorted by Swing (largest impact first)
INTERPRETATION:
- Parameters at top of tornado have most influence on outcomes
- Focus validation efforts on high-sensitivity parameters
- Parameters with low swing are less critical to model accuracy
KEY PARAMETERS TESTED:
- Value_Per_M3: Direct impact on operational value
- Annual_Throughput: Volume scaling factor
- Treatment_Rate_Factor: Kinetics uncertainty
- Discount_Rate: Time value of money
- Season_Length: Active treatment period
LIMITATIONS:
- One-at-a-time analysis ignores parameter correlations
- Monte Carlo simulation (10_Calc_Sim) captures joint uncertainty
- Use tornado for directional insight, MC for quantified risk</t>
  </si>
  <si>
    <t>Tornado chart data showing NPV impact when each parameter varies from low to high.</t>
  </si>
  <si>
    <t>Identify which parameters most influence outcomes for validation focus</t>
  </si>
  <si>
    <t>- One-at-a-time analysis: each parameter varied while others at base
- Swing = |NPV_at_High - NPV_at_Low| measures parameter influence
- Parameters sorted by swing (largest impact first)</t>
  </si>
  <si>
    <t>Calculated by evaluating NPV at parameter bounds</t>
  </si>
  <si>
    <t>tbl_Triangular, tbl_SiteConfig, tbl_KPIs</t>
  </si>
  <si>
    <t>NPV_at_Low</t>
  </si>
  <si>
    <t>NPV_at_High</t>
  </si>
  <si>
    <t>Swing</t>
  </si>
  <si>
    <t>Value_Per_M3</t>
  </si>
  <si>
    <t>Season_Length</t>
  </si>
  <si>
    <t>Wetland_Area</t>
  </si>
  <si>
    <t>Methodology</t>
  </si>
  <si>
    <t>Proportional parameters: NPV scales linearly with parameter ratio (Low/Base, High/Base)</t>
  </si>
  <si>
    <t>Discount Rate: Uses time-value adjustment formula NPV * ((1+Base)/(1+Rate))^2.5</t>
  </si>
  <si>
    <t>Note: These are first-order approximations. For precise sensitivity, use Monte Carlo.</t>
  </si>
  <si>
    <t>Tornado Chart</t>
  </si>
  <si>
    <t>1. Select Parameter and Swing columns (A4:A8, G4:G8)</t>
  </si>
  <si>
    <t>2. Insert -&gt; Chart -&gt; Bar Chart (horizontal)</t>
  </si>
  <si>
    <t>3. Sort data by Swing descending for tornado effect</t>
  </si>
  <si>
    <t>Executive Dashboard</t>
  </si>
  <si>
    <t>Key Results Summary</t>
  </si>
  <si>
    <t>This dashboard presents the key outputs from the Monte Carlo simulation.
PRIMARY METRICS:
- Expected NPV: Mean of 1000 simulation iterations
- P10/P50/P90: Confidence interval bounds
- Probability NPV &gt; 0: Likelihood of positive outcome
INTERPRETATION GUIDE:
- P10 = "Pessimistic but plausible" (10% of outcomes are worse)
- P50 = Median outcome (equally likely to be higher or lower)
- P90 = "Optimistic but plausible" (10% of outcomes are better)
A narrow P10-P90 range indicates low uncertainty.
P10 &gt; 0 means even pessimistic scenarios show positive value.
REFRESH DATA:
Press Ctrl+Alt+F9 to regenerate all 1000 Monte Carlo iterations.
Dashboard values update automatically.</t>
  </si>
  <si>
    <t>Key Performance Indicators</t>
  </si>
  <si>
    <t>Primary Monte Carlo simulation outputs and financial metrics for executive decision-making.</t>
  </si>
  <si>
    <t>Provide at-a-glance summary of biosensor investment value and risk profile</t>
  </si>
  <si>
    <t>- NPV calculated over 5-year horizon with 7% discount rate
- P10/P50/P90 derived from 1000 Monte Carlo iterations
- All metrics assume Daily Biosensor as selected testing option
- Values refresh when Monte Carlo simulation is recalculated</t>
  </si>
  <si>
    <t>Calculated from 10_Calc_Sim Monte Carlo simulation results</t>
  </si>
  <si>
    <t>tbl_ScenarioBreakdown, tbl_Annual, tbl_CashFlow</t>
  </si>
  <si>
    <t>Selected Testing Option</t>
  </si>
  <si>
    <t>Expected NPV (5-Year)</t>
  </si>
  <si>
    <t>Monte Carlo P10</t>
  </si>
  <si>
    <t>Monte Carlo P50</t>
  </si>
  <si>
    <t>Monte Carlo P90</t>
  </si>
  <si>
    <t>Probability NPV &gt; 0</t>
  </si>
  <si>
    <t>Annual Testing Cost</t>
  </si>
  <si>
    <t>Year 1 Gross Value</t>
  </si>
  <si>
    <t>Year 1 Net Value</t>
  </si>
  <si>
    <t>Scenario Value Breakdown</t>
  </si>
  <si>
    <t>Individual scenario contributions to total gated value with gate status.</t>
  </si>
  <si>
    <t>Show which value scenarios are captured by the selected testing option</t>
  </si>
  <si>
    <t>- Gate status determined by testing latency vs required response time
- ENABLED means testing latency allows capturing this value
- BLOCKED means testing latency prevents capturing this value
- Values are stochastic and vary with each Monte Carlo iteration</t>
  </si>
  <si>
    <t>Calculated from 8_Calc_Value gating logic and stochastic multipliers</t>
  </si>
  <si>
    <t>tbl_KPIs, tbl_ValueScenarios, tbl_GatedValues</t>
  </si>
  <si>
    <t>Status</t>
  </si>
  <si>
    <t>NAFC degradation parameters and Monte Carlo treatment time estimates.</t>
  </si>
  <si>
    <t>Validate that biosensor-enabled treatment achieves regulatory compliance within season</t>
  </si>
  <si>
    <t>- Based on Kearl (2022) first-order kinetics model for NAFC degradation
- Initial/target NAFC concentrations from site characterization data
- Treatment rate factor varies stochastically (0.7-1.3 multiplier)
- Season length constraint of 120 days for Alberta operations</t>
  </si>
  <si>
    <t>Kearl (2022) wetland treatment kinetics research</t>
  </si>
  <si>
    <t>tbl_KPIs, tbl_Triangular, tbl_TreatmentKinetics</t>
  </si>
  <si>
    <t>Initial NAFC Concentration</t>
  </si>
  <si>
    <t>Target NAFC Concentration</t>
  </si>
  <si>
    <t>"-"</t>
  </si>
  <si>
    <t>Days to Regulatory Compliance</t>
  </si>
  <si>
    <t>Circulation Cycles Required</t>
  </si>
  <si>
    <t>Treatment Efficiency</t>
  </si>
  <si>
    <t>MC Expected Days</t>
  </si>
  <si>
    <t>MC P90 Days (conservative)</t>
  </si>
  <si>
    <t>MC Prob(Achievable)</t>
  </si>
  <si>
    <t>Testing Option Comparison</t>
  </si>
  <si>
    <t>Side-by-side comparison of gate status and value across all testing options.</t>
  </si>
  <si>
    <t>Demonstrate the value differential between HRMS and biosensor testing approaches</t>
  </si>
  <si>
    <t>- Monthly HRMS: 42-day turnaround, $60K/season
- Weekly HRMS: 42-day turnaround, $28.6K/season
- Daily Biosensor: 1-day turnaround, $10K/season
- Gate status determined by latency vs required response time</t>
  </si>
  <si>
    <t>Testing cost quotes and operational latency measurements</t>
  </si>
  <si>
    <t>tbl_KPIs, tbl_TestOptions, tbl_LatencyGating</t>
  </si>
  <si>
    <t>S1 Gate</t>
  </si>
  <si>
    <t>S2 Gate</t>
  </si>
  <si>
    <t>S3 Gate</t>
  </si>
  <si>
    <t>S4 Gate</t>
  </si>
  <si>
    <t>Testing Cost/Season</t>
  </si>
  <si>
    <t>$60,000</t>
  </si>
  <si>
    <t>$28,571</t>
  </si>
  <si>
    <t>$10,000</t>
  </si>
  <si>
    <t>Potential 5-Year NPV</t>
  </si>
  <si>
    <t>-$29k</t>
  </si>
  <si>
    <t>$180k</t>
  </si>
  <si>
    <t>$1.1M+</t>
  </si>
  <si>
    <t>Model Health</t>
  </si>
  <si>
    <t>Check Status:</t>
  </si>
  <si>
    <t>Errors Found:</t>
  </si>
  <si>
    <t>Model Validation Checks</t>
  </si>
  <si>
    <t>Model Integrity Checks</t>
  </si>
  <si>
    <t>This sheet validates model inputs and calculations.
CHECK CATEGORIES:
- Range: Input values within acceptable bounds
- Consistency: Related inputs are logically consistent
- Sanity: Output values are reasonable
- Integrity: Calculations produce expected results
INTERPRETING RESULTS:
- PASS: Check passed, no action needed
- FAIL: Issue detected, review the referenced input/output
WHAT TO DO IF CHECKS FAIL:
1. Note which check(s) failed
2. Review the description to understand the issue
3. Navigate to the relevant input (usually 1_TOC or 3_Assumptions)
4. Adjust values to bring them within valid ranges
5. Return here to confirm PASS status
AUTOMATED MONITORING:
The 0_Cover sheet shows overall model health status.
Any FAIL here will trigger the "Review 17_Checks" warning.</t>
  </si>
  <si>
    <t>Automated validation rules that verify model inputs and outputs are within acceptable ranges.</t>
  </si>
  <si>
    <t>Ensure model integrity by detecting invalid inputs, inconsistent parameters, and unreasonable outputs</t>
  </si>
  <si>
    <t>- Range checks based on reasonable operational bounds
- Sanity checks based on expected order-of-magnitude for outputs
- Consistency checks ensure related parameters are logically coherent
- PASS/FAIL status updates automatically when inputs change</t>
  </si>
  <si>
    <t>Validation rules based on domain expertise and operational constraints</t>
  </si>
  <si>
    <t>tbl_Control, tbl_KPIs, tbl_ValueScenarios</t>
  </si>
  <si>
    <t>Check_ID</t>
  </si>
  <si>
    <t>Category</t>
  </si>
  <si>
    <t>CHK001</t>
  </si>
  <si>
    <t>Range</t>
  </si>
  <si>
    <t>Discount rate between 0-15%</t>
  </si>
  <si>
    <t>CHK002</t>
  </si>
  <si>
    <t>Season length between 60-150 days</t>
  </si>
  <si>
    <t>CHK003</t>
  </si>
  <si>
    <t>Projection years between 1-10</t>
  </si>
  <si>
    <t>CHK004</t>
  </si>
  <si>
    <t>Value per M3 positive</t>
  </si>
  <si>
    <t>CHK005</t>
  </si>
  <si>
    <t>Logic</t>
  </si>
  <si>
    <t>Testing option valid</t>
  </si>
  <si>
    <t>CHK006</t>
  </si>
  <si>
    <t>Scenario selection valid</t>
  </si>
  <si>
    <t>CHK007</t>
  </si>
  <si>
    <t>Sanity</t>
  </si>
  <si>
    <t>NPV within reasonable bounds</t>
  </si>
  <si>
    <t>CHK008</t>
  </si>
  <si>
    <t>Testing cost positive</t>
  </si>
  <si>
    <t>CHK009</t>
  </si>
  <si>
    <t>Gross value non-negative</t>
  </si>
  <si>
    <t>CHK010</t>
  </si>
  <si>
    <t>Integrity</t>
  </si>
  <si>
    <t>All named ranges defined</t>
  </si>
  <si>
    <t>CHK011</t>
  </si>
  <si>
    <t>Initial NAFC in range (40-100 mg/L)</t>
  </si>
  <si>
    <t>CHK012</t>
  </si>
  <si>
    <t>Target NAFC &lt; Initial NAFC</t>
  </si>
  <si>
    <t>CHK013</t>
  </si>
  <si>
    <t>Days to compliance &lt;= season length</t>
  </si>
  <si>
    <t>CHK014</t>
  </si>
  <si>
    <t>Treatment rates positive</t>
  </si>
  <si>
    <t>Summary</t>
  </si>
  <si>
    <t>Total Checks:</t>
  </si>
  <si>
    <t>Passed:</t>
  </si>
  <si>
    <t>Failed:</t>
  </si>
  <si>
    <t>Model Health: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</si>
</sst>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0.0%"/>
    <numFmt numFmtId="166" formatCode="\$#,##0.00"/>
    <numFmt numFmtId="167" formatCode="\$#,##0"/>
    <numFmt numFmtId="168" formatCode="0.000"/>
    <numFmt numFmtId="169" formatCode="0.0"/>
    <numFmt numFmtId="170" formatCode="0.0\ &quot;mg/L&quot;"/>
    <numFmt numFmtId="171" formatCode="0.0\ &quot;days&quot;"/>
  </numFmts>
  <fonts count="13" x14ac:knownFonts="1">
    <font>
      <sz val="11"/>
      <color theme="1"/>
      <name val="Calibri"/>
      <family val="2"/>
      <scheme val="minor"/>
    </font>
    <font>
      <b/>
      <sz val="20"/>
      <name val="Calibri"/>
      <family val="2"/>
    </font>
    <font>
      <i/>
      <sz val="12"/>
      <name val="Calibri"/>
      <family val="2"/>
    </font>
    <font>
      <b/>
      <sz val="14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b/>
      <sz val="10"/>
      <color rgb="FF666666"/>
      <name val="Calibri"/>
      <family val="2"/>
    </font>
    <font>
      <sz val="10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color rgb="FF1F4E79"/>
      <name val="Calibri"/>
      <family val="2"/>
    </font>
    <font>
      <i/>
      <sz val="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FF99"/>
        <bgColor rgb="FFFFFF99"/>
      </patternFill>
    </fill>
    <fill>
      <patternFill patternType="solid">
        <fgColor rgb="FFDEEAF6"/>
        <bgColor rgb="FFDEEAF6"/>
      </patternFill>
    </fill>
  </fills>
  <borders count="4">
    <border>
      <left/>
      <right/>
      <top/>
      <bottom/>
      <diagonal/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  <diagonal/>
    </border>
    <border>
      <left/>
      <right/>
      <top style="medium">
        <color rgb="FF4472C4"/>
      </top>
      <bottom style="medium">
        <color rgb="FF4472C4"/>
      </bottom>
      <diagonal/>
    </border>
    <border>
      <left/>
      <right style="medium">
        <color rgb="FF4472C4"/>
      </right>
      <top style="medium">
        <color rgb="FF4472C4"/>
      </top>
      <bottom style="medium">
        <color rgb="FF4472C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vertical="top"/>
    </xf>
    <xf numFmtId="0" fontId="8" fillId="3" borderId="0" xfId="0" applyFont="1" applyFill="1"/>
    <xf numFmtId="0" fontId="0" fillId="4" borderId="0" xfId="0" applyFill="1"/>
    <xf numFmtId="165" fontId="0" fillId="4" borderId="0" xfId="0" applyNumberFormat="1" applyFill="1"/>
    <xf numFmtId="0" fontId="9" fillId="0" borderId="0" xfId="0" applyFont="1"/>
    <xf numFmtId="0" fontId="10" fillId="0" borderId="0" xfId="0" applyFont="1"/>
    <xf numFmtId="166" fontId="0" fillId="4" borderId="0" xfId="0" applyNumberFormat="1" applyFill="1"/>
    <xf numFmtId="167" fontId="0" fillId="4" borderId="0" xfId="0" applyNumberFormat="1" applyFill="1"/>
    <xf numFmtId="167" fontId="0" fillId="0" borderId="0" xfId="0" applyNumberFormat="1"/>
    <xf numFmtId="168" fontId="0" fillId="4" borderId="0" xfId="0" applyNumberFormat="1" applyFill="1"/>
    <xf numFmtId="0" fontId="12" fillId="0" borderId="0" xfId="0" applyFont="1"/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1" fontId="0" fillId="0" borderId="0" xfId="0" applyNumberFormat="1"/>
    <xf numFmtId="165" fontId="0" fillId="0" borderId="0" xfId="0" applyNumberFormat="1"/>
    <xf numFmtId="167" fontId="9" fillId="0" borderId="0" xfId="0" applyNumberFormat="1" applyFont="1"/>
    <xf numFmtId="166" fontId="0" fillId="0" borderId="0" xfId="0" applyNumberFormat="1"/>
    <xf numFmtId="170" fontId="0" fillId="0" borderId="0" xfId="0" applyNumberFormat="1"/>
    <xf numFmtId="171" fontId="0" fillId="0" borderId="0" xfId="0" applyNumberFormat="1"/>
    <xf numFmtId="0" fontId="7" fillId="2" borderId="0" xfId="0" applyFont="1" applyFill="1" applyAlignment="1">
      <alignment vertical="top" wrapText="1"/>
    </xf>
    <xf numFmtId="0" fontId="0" fillId="0" borderId="0" xfId="0"/>
    <xf numFmtId="0" fontId="0" fillId="5" borderId="1" xfId="0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1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ntrol" displayName="tbl_Control" ref="A9:D14">
  <autoFilter ref="A9:D14" xr:uid="{00000000-0009-0000-0100-000001000000}"/>
  <tableColumns count="4">
    <tableColumn id="1" xr3:uid="{00000000-0010-0000-0000-000001000000}" name="Parameter"/>
    <tableColumn id="2" xr3:uid="{00000000-0010-0000-0000-000002000000}" name="Value"/>
    <tableColumn id="3" xr3:uid="{00000000-0010-0000-0000-000003000000}" name="Validation"/>
    <tableColumn id="4" xr3:uid="{00000000-0010-0000-0000-000004000000}" name="Descrip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Timing" displayName="tbl_Timing" ref="A9:D14">
  <autoFilter ref="A9:D14" xr:uid="{00000000-0009-0000-0100-000002000000}"/>
  <tableColumns count="4">
    <tableColumn id="1" xr3:uid="{00000000-0010-0000-0100-000001000000}" name="Parameter"/>
    <tableColumn id="2" xr3:uid="{00000000-0010-0000-0100-000002000000}" name="Value"/>
    <tableColumn id="3" xr3:uid="{00000000-0010-0000-0100-000003000000}" name="Unit"/>
    <tableColumn id="4" xr3:uid="{00000000-0010-0000-0100-000004000000}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easonality" displayName="tbl_Seasonality" ref="A22:D27">
  <autoFilter ref="A22:D27" xr:uid="{00000000-0009-0000-0100-000003000000}"/>
  <tableColumns count="4">
    <tableColumn id="1" xr3:uid="{00000000-0010-0000-0200-000001000000}" name="Month"/>
    <tableColumn id="2" xr3:uid="{00000000-0010-0000-0200-000002000000}" name="Month_Num"/>
    <tableColumn id="3" xr3:uid="{00000000-0010-0000-0200-000003000000}" name="Multiplier"/>
    <tableColumn id="4" xr3:uid="{00000000-0010-0000-0200-000004000000}" name="Activ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iteConfig" displayName="tbl_SiteConfig" ref="A36:D40">
  <autoFilter ref="A36:D40" xr:uid="{00000000-0009-0000-0100-000004000000}"/>
  <tableColumns count="4">
    <tableColumn id="1" xr3:uid="{00000000-0010-0000-0300-000001000000}" name="Parameter"/>
    <tableColumn id="2" xr3:uid="{00000000-0010-0000-0300-000002000000}" name="Value"/>
    <tableColumn id="3" xr3:uid="{00000000-0010-0000-0300-000003000000}" name="Unit"/>
    <tableColumn id="4" xr3:uid="{00000000-0010-0000-0300-000004000000}" name="Sour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ostParams" displayName="tbl_CostParams" ref="A49:C52">
  <autoFilter ref="A49:C52" xr:uid="{00000000-0009-0000-0100-000005000000}"/>
  <tableColumns count="3">
    <tableColumn id="1" xr3:uid="{00000000-0010-0000-0400-000001000000}" name="Parameter"/>
    <tableColumn id="2" xr3:uid="{00000000-0010-0000-0400-000002000000}" name="Value"/>
    <tableColumn id="3" xr3:uid="{00000000-0010-0000-0400-000003000000}" name="Uni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LearningCurve" displayName="tbl_LearningCurve" ref="A61:C66">
  <autoFilter ref="A61:C66" xr:uid="{00000000-0009-0000-0100-000006000000}"/>
  <tableColumns count="3">
    <tableColumn id="1" xr3:uid="{00000000-0010-0000-0500-000001000000}" name="Year"/>
    <tableColumn id="2" xr3:uid="{00000000-0010-0000-0500-000002000000}" name="Multiplier"/>
    <tableColumn id="3" xr3:uid="{00000000-0010-0000-0500-000003000000}" name="Not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TestOptions" displayName="tbl_TestOptions" ref="A75:F78">
  <autoFilter ref="A75:F78" xr:uid="{00000000-0009-0000-0100-000007000000}"/>
  <tableColumns count="6">
    <tableColumn id="1" xr3:uid="{00000000-0010-0000-0600-000001000000}" name="Option"/>
    <tableColumn id="2" xr3:uid="{00000000-0010-0000-0600-000002000000}" name="Method"/>
    <tableColumn id="3" xr3:uid="{00000000-0010-0000-0600-000003000000}" name="Interval"/>
    <tableColumn id="4" xr3:uid="{00000000-0010-0000-0600-000004000000}" name="Points"/>
    <tableColumn id="5" xr3:uid="{00000000-0010-0000-0600-000005000000}" name="Cost_Per_Test"/>
    <tableColumn id="6" xr3:uid="{00000000-0010-0000-0600-000006000000}" name="Latency_Days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LatencyGating" displayName="tbl_LatencyGating" ref="A86:E89">
  <autoFilter ref="A86:E89" xr:uid="{00000000-0009-0000-0100-000008000000}"/>
  <tableColumns count="5">
    <tableColumn id="1" xr3:uid="{00000000-0010-0000-0700-000001000000}" name="Option"/>
    <tableColumn id="2" xr3:uid="{00000000-0010-0000-0700-000002000000}" name="S1_Gate"/>
    <tableColumn id="3" xr3:uid="{00000000-0010-0000-0700-000003000000}" name="S2_Gate"/>
    <tableColumn id="4" xr3:uid="{00000000-0010-0000-0700-000004000000}" name="S3_Gate"/>
    <tableColumn id="5" xr3:uid="{00000000-0010-0000-0700-000005000000}" name="S4_G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TreatmentKinetics" displayName="tbl_TreatmentKinetics" ref="A107:D114">
  <autoFilter ref="A107:D114" xr:uid="{00000000-0009-0000-0100-000009000000}"/>
  <tableColumns count="4">
    <tableColumn id="1" xr3:uid="{00000000-0010-0000-0800-000001000000}" name="Parameter"/>
    <tableColumn id="2" xr3:uid="{00000000-0010-0000-0800-000002000000}" name="Value"/>
    <tableColumn id="3" xr3:uid="{00000000-0010-0000-0800-000003000000}" name="Unit"/>
    <tableColumn id="4" xr3:uid="{00000000-0010-0000-0800-000004000000}" name="Note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ToxicityMilestones" displayName="tbl_ToxicityMilestones" ref="A123:D126">
  <autoFilter ref="A123:D126" xr:uid="{00000000-0009-0000-0100-00000A000000}"/>
  <tableColumns count="4">
    <tableColumn id="1" xr3:uid="{00000000-0010-0000-0900-000001000000}" name="Milestone"/>
    <tableColumn id="2" xr3:uid="{00000000-0010-0000-0900-000002000000}" name="Days"/>
    <tableColumn id="3" xr3:uid="{00000000-0010-0000-0900-000003000000}" name="Survival"/>
    <tableColumn id="4" xr3:uid="{00000000-0010-0000-0900-000004000000}" name="Notes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ValueScenarios" displayName="tbl_ValueScenarios" ref="A9:E13">
  <autoFilter ref="A9:E13" xr:uid="{00000000-0009-0000-0100-00000B000000}"/>
  <tableColumns count="5">
    <tableColumn id="1" xr3:uid="{00000000-0010-0000-0A00-000001000000}" name="ID"/>
    <tableColumn id="2" xr3:uid="{00000000-0010-0000-0A00-000002000000}" name="Name"/>
    <tableColumn id="3" xr3:uid="{00000000-0010-0000-0A00-000003000000}" name="Base_Value"/>
    <tableColumn id="4" xr3:uid="{00000000-0010-0000-0A00-000004000000}" name="Required_Response_Days"/>
    <tableColumn id="5" xr3:uid="{00000000-0010-0000-0A00-000005000000}" name="Description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ModelScenarios" displayName="tbl_ModelScenarios" ref="A22:D25">
  <autoFilter ref="A22:D25" xr:uid="{00000000-0009-0000-0100-00000C000000}"/>
  <tableColumns count="4">
    <tableColumn id="1" xr3:uid="{00000000-0010-0000-0B00-000001000000}" name="Scenario"/>
    <tableColumn id="2" xr3:uid="{00000000-0010-0000-0B00-000002000000}" name="Discount_Adj"/>
    <tableColumn id="3" xr3:uid="{00000000-0010-0000-0B00-000003000000}" name="Growth_Adj"/>
    <tableColumn id="4" xr3:uid="{00000000-0010-0000-0B00-000004000000}" name="Risk_Adj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Triangular" displayName="tbl_Triangular" ref="A9:E13">
  <autoFilter ref="A9:E13" xr:uid="{00000000-0009-0000-0100-00000D000000}"/>
  <tableColumns count="5">
    <tableColumn id="1" xr3:uid="{00000000-0010-0000-0C00-000001000000}" name="Variable"/>
    <tableColumn id="2" xr3:uid="{00000000-0010-0000-0C00-000002000000}" name="Min"/>
    <tableColumn id="3" xr3:uid="{00000000-0010-0000-0C00-000003000000}" name="Mode"/>
    <tableColumn id="4" xr3:uid="{00000000-0010-0000-0C00-000004000000}" name="Max"/>
    <tableColumn id="5" xr3:uid="{00000000-0010-0000-0C00-000005000000}" name="Uni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Beta" displayName="tbl_Beta" ref="A22:F23">
  <autoFilter ref="A22:F23" xr:uid="{00000000-0009-0000-0100-00000E000000}"/>
  <tableColumns count="6">
    <tableColumn id="1" xr3:uid="{00000000-0010-0000-0D00-000001000000}" name="Variable"/>
    <tableColumn id="2" xr3:uid="{00000000-0010-0000-0D00-000002000000}" name="Alpha"/>
    <tableColumn id="3" xr3:uid="{00000000-0010-0000-0D00-000003000000}" name="Beta"/>
    <tableColumn id="4" xr3:uid="{00000000-0010-0000-0D00-000004000000}" name="Min"/>
    <tableColumn id="5" xr3:uid="{00000000-0010-0000-0D00-000005000000}" name="Max"/>
    <tableColumn id="6" xr3:uid="{00000000-0010-0000-0D00-000006000000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ValueSensitivity" displayName="tbl_ValueSensitivity" ref="A32:E35">
  <autoFilter ref="A32:E35" xr:uid="{00000000-0009-0000-0100-00000F000000}"/>
  <tableColumns count="5">
    <tableColumn id="1" xr3:uid="{00000000-0010-0000-0E00-000001000000}" name="Frame"/>
    <tableColumn id="2" xr3:uid="{00000000-0010-0000-0E00-000002000000}" name="Low"/>
    <tableColumn id="3" xr3:uid="{00000000-0010-0000-0E00-000003000000}" name="Base"/>
    <tableColumn id="4" xr3:uid="{00000000-0010-0000-0E00-000004000000}" name="High"/>
    <tableColumn id="5" xr3:uid="{00000000-0010-0000-0E00-000005000000}" name="Context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Timeline" displayName="tbl_Timeline" ref="A12:E18">
  <autoFilter ref="A12:E18" xr:uid="{00000000-0009-0000-0100-000010000000}"/>
  <tableColumns count="5">
    <tableColumn id="1" xr3:uid="{00000000-0010-0000-0F00-000001000000}" name="Year_Index"/>
    <tableColumn id="2" xr3:uid="{00000000-0010-0000-0F00-000002000000}" name="Calendar_Year"/>
    <tableColumn id="3" xr3:uid="{00000000-0010-0000-0F00-000003000000}" name="Treatment_Days"/>
    <tableColumn id="4" xr3:uid="{00000000-0010-0000-0F00-000004000000}" name="Discount_Factor"/>
    <tableColumn id="5" xr3:uid="{00000000-0010-0000-0F00-000005000000}" name="Learning_Mult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Stochastic" displayName="tbl_Stochastic" ref="A13:C18">
  <autoFilter ref="A13:C18" xr:uid="{00000000-0009-0000-0100-000011000000}"/>
  <tableColumns count="3">
    <tableColumn id="1" xr3:uid="{00000000-0010-0000-1000-000001000000}" name="Variable"/>
    <tableColumn id="2" xr3:uid="{00000000-0010-0000-1000-000002000000}" name="Random_U"/>
    <tableColumn id="3" xr3:uid="{00000000-0010-0000-1000-000003000000}" name="Realized_Value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GatedValues" displayName="tbl_GatedValues" ref="A12:E16">
  <autoFilter ref="A12:E16" xr:uid="{00000000-0009-0000-0100-000012000000}"/>
  <tableColumns count="5">
    <tableColumn id="1" xr3:uid="{00000000-0010-0000-1100-000001000000}" name="Scenario"/>
    <tableColumn id="2" xr3:uid="{00000000-0010-0000-1100-000002000000}" name="Base_Value"/>
    <tableColumn id="3" xr3:uid="{00000000-0010-0000-1100-000003000000}" name="Gate_Status"/>
    <tableColumn id="4" xr3:uid="{00000000-0010-0000-1100-000004000000}" name="Stoch_Mult"/>
    <tableColumn id="5" xr3:uid="{00000000-0010-0000-1100-000005000000}" name="Gated_Value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CostCalc" displayName="tbl_CostCalc" ref="A12:C19">
  <autoFilter ref="A12:C19" xr:uid="{00000000-0009-0000-0100-000013000000}"/>
  <tableColumns count="3">
    <tableColumn id="1" xr3:uid="{00000000-0010-0000-1200-000001000000}" name="Component"/>
    <tableColumn id="2" xr3:uid="{00000000-0010-0000-1200-000002000000}" name="Formula"/>
    <tableColumn id="3" xr3:uid="{00000000-0010-0000-1200-000003000000}" name="Valu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Annual" displayName="tbl_Annual" ref="A12:J17">
  <autoFilter ref="A12:J17" xr:uid="{00000000-0009-0000-0100-000014000000}"/>
  <tableColumns count="10">
    <tableColumn id="1" xr3:uid="{00000000-0010-0000-1300-000001000000}" name="Year"/>
    <tableColumn id="2" xr3:uid="{00000000-0010-0000-1300-000002000000}" name="S1_Value"/>
    <tableColumn id="3" xr3:uid="{00000000-0010-0000-1300-000003000000}" name="S2_Value"/>
    <tableColumn id="4" xr3:uid="{00000000-0010-0000-1300-000004000000}" name="S3_Value"/>
    <tableColumn id="5" xr3:uid="{00000000-0010-0000-1300-000005000000}" name="S4_Value"/>
    <tableColumn id="6" xr3:uid="{00000000-0010-0000-1300-000006000000}" name="Gross_Value"/>
    <tableColumn id="7" xr3:uid="{00000000-0010-0000-1300-000007000000}" name="Costs"/>
    <tableColumn id="8" xr3:uid="{00000000-0010-0000-1300-000008000000}" name="Net_Annual"/>
    <tableColumn id="9" xr3:uid="{00000000-0010-0000-1300-000009000000}" name="Discount_Factor"/>
    <tableColumn id="10" xr3:uid="{00000000-0010-0000-1300-00000A000000}" name="Discounted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ashFlow" displayName="tbl_CashFlow" ref="A12:D17">
  <autoFilter ref="A12:D17" xr:uid="{00000000-0009-0000-0100-000015000000}"/>
  <tableColumns count="4">
    <tableColumn id="1" xr3:uid="{00000000-0010-0000-1400-000001000000}" name="Year"/>
    <tableColumn id="2" xr3:uid="{00000000-0010-0000-1400-000002000000}" name="Annual_Net"/>
    <tableColumn id="3" xr3:uid="{00000000-0010-0000-1400-000003000000}" name="Cumulative_Net"/>
    <tableColumn id="4" xr3:uid="{00000000-0010-0000-1400-000004000000}" name="Cumulative_NPV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UnitEconomics" displayName="tbl_UnitEconomics" ref="A12:D20">
  <autoFilter ref="A12:D20" xr:uid="{00000000-0009-0000-0100-000016000000}"/>
  <tableColumns count="4">
    <tableColumn id="1" xr3:uid="{00000000-0010-0000-1500-000001000000}" name="Metric"/>
    <tableColumn id="2" xr3:uid="{00000000-0010-0000-1500-000002000000}" name="Value"/>
    <tableColumn id="3" xr3:uid="{00000000-0010-0000-1500-000003000000}" name="Unit"/>
    <tableColumn id="4" xr3:uid="{00000000-0010-0000-1500-000004000000}" name="Formula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Sensitivity" displayName="tbl_Sensitivity" ref="A12:G16">
  <autoFilter ref="A12:G16" xr:uid="{00000000-0009-0000-0100-000017000000}"/>
  <tableColumns count="7">
    <tableColumn id="1" xr3:uid="{00000000-0010-0000-1600-000001000000}" name="Parameter"/>
    <tableColumn id="2" xr3:uid="{00000000-0010-0000-1600-000002000000}" name="Low"/>
    <tableColumn id="3" xr3:uid="{00000000-0010-0000-1600-000003000000}" name="Base"/>
    <tableColumn id="4" xr3:uid="{00000000-0010-0000-1600-000004000000}" name="High"/>
    <tableColumn id="5" xr3:uid="{00000000-0010-0000-1600-000005000000}" name="NPV_at_Low"/>
    <tableColumn id="6" xr3:uid="{00000000-0010-0000-1600-000006000000}" name="NPV_at_High"/>
    <tableColumn id="7" xr3:uid="{00000000-0010-0000-1600-000007000000}" name="Swing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KPIs" displayName="tbl_KPIs" ref="A12:B21">
  <autoFilter ref="A12:B21" xr:uid="{00000000-0009-0000-0100-000018000000}"/>
  <tableColumns count="2">
    <tableColumn id="1" xr3:uid="{00000000-0010-0000-1700-000001000000}" name="Metric"/>
    <tableColumn id="2" xr3:uid="{00000000-0010-0000-1700-000002000000}" name="Value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ScenarioBreakdown" displayName="tbl_ScenarioBreakdown" ref="A29:C33">
  <autoFilter ref="A29:C33" xr:uid="{00000000-0009-0000-0100-000019000000}"/>
  <tableColumns count="3">
    <tableColumn id="1" xr3:uid="{00000000-0010-0000-1800-000001000000}" name="Scenario"/>
    <tableColumn id="2" xr3:uid="{00000000-0010-0000-1800-000002000000}" name="Gated_Value"/>
    <tableColumn id="3" xr3:uid="{00000000-0010-0000-1800-000003000000}" name="Status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TreatmentKPIs" displayName="tbl_TreatmentKPIs" ref="A41:C49">
  <autoFilter ref="A41:C49" xr:uid="{00000000-0009-0000-0100-00001A000000}"/>
  <tableColumns count="3">
    <tableColumn id="1" xr3:uid="{00000000-0010-0000-1900-000001000000}" name="Metric"/>
    <tableColumn id="2" xr3:uid="{00000000-0010-0000-1900-000002000000}" name="Value"/>
    <tableColumn id="3" xr3:uid="{00000000-0010-0000-1900-000003000000}" name="Status"/>
  </tableColumns>
  <tableStyleInfo name="TableStyleMedium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OptionComparison" displayName="tbl_OptionComparison" ref="A57:D63">
  <autoFilter ref="A57:D63" xr:uid="{00000000-0009-0000-0100-00001B000000}"/>
  <tableColumns count="4">
    <tableColumn id="1" xr3:uid="{00000000-0010-0000-1A00-000001000000}" name="Metric"/>
    <tableColumn id="2" xr3:uid="{00000000-0010-0000-1A00-000002000000}" name="Monthly_HRMS"/>
    <tableColumn id="3" xr3:uid="{00000000-0010-0000-1A00-000003000000}" name="Weekly_HRMS"/>
    <tableColumn id="4" xr3:uid="{00000000-0010-0000-1A00-000004000000}" name="Daily_Biosensor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Checks" displayName="tbl_Checks" ref="A12:D26">
  <autoFilter ref="A12:D26" xr:uid="{00000000-0009-0000-0100-00001C000000}"/>
  <tableColumns count="4">
    <tableColumn id="1" xr3:uid="{00000000-0010-0000-1B00-000001000000}" name="Check_ID"/>
    <tableColumn id="2" xr3:uid="{00000000-0010-0000-1B00-000002000000}" name="Category"/>
    <tableColumn id="3" xr3:uid="{00000000-0010-0000-1B00-000003000000}" name="Description"/>
    <tableColumn id="4" xr3:uid="{00000000-0010-0000-1B00-000004000000}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4" Type="http://schemas.openxmlformats.org/officeDocument/2006/relationships/table" Target="../tables/table2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B29"/>
  <sheetViews>
    <sheetView workbookViewId="0"/>
  </sheetViews>
  <sheetFormatPr baseColWidth="10" defaultColWidth="8.83203125" defaultRowHeight="15" x14ac:dyDescent="0.2"/>
  <cols>
    <col min="1" max="1" width="20" customWidth="1"/>
    <col min="2" max="2" width="45" customWidth="1"/>
  </cols>
  <sheetData>
    <row r="1" spans="1:2" ht="26" x14ac:dyDescent="0.3">
      <c r="A1" s="1" t="s">
        <v>0</v>
      </c>
    </row>
    <row r="2" spans="1:2" ht="16" x14ac:dyDescent="0.2">
      <c r="A2" s="2" t="s">
        <v>1</v>
      </c>
    </row>
    <row r="4" spans="1:2" x14ac:dyDescent="0.2">
      <c r="A4" t="s">
        <v>2</v>
      </c>
      <c r="B4" t="s">
        <v>3</v>
      </c>
    </row>
    <row r="5" spans="1:2" x14ac:dyDescent="0.2">
      <c r="A5" t="s">
        <v>4</v>
      </c>
      <c r="B5" s="3">
        <f ca="1">TODAY()</f>
        <v>46052</v>
      </c>
    </row>
    <row r="6" spans="1:2" x14ac:dyDescent="0.2">
      <c r="A6" t="s">
        <v>5</v>
      </c>
      <c r="B6" t="s">
        <v>6</v>
      </c>
    </row>
    <row r="8" spans="1:2" ht="19" x14ac:dyDescent="0.25">
      <c r="A8" s="4" t="s">
        <v>7</v>
      </c>
    </row>
    <row r="9" spans="1:2" x14ac:dyDescent="0.2">
      <c r="A9" t="s">
        <v>8</v>
      </c>
      <c r="B9" t="str">
        <f ca="1">IF(COUNTIF('17_Checks'!D:D,"FAIL")=0, "All Checks Pass", "Review 17_Checks")</f>
        <v>All Checks Pass</v>
      </c>
    </row>
    <row r="10" spans="1:2" x14ac:dyDescent="0.2">
      <c r="A10" t="s">
        <v>9</v>
      </c>
      <c r="B10">
        <f ca="1">COUNTIF('17_Checks'!D:D,"FAIL")</f>
        <v>0</v>
      </c>
    </row>
    <row r="12" spans="1:2" ht="19" x14ac:dyDescent="0.25">
      <c r="A12" s="4" t="s">
        <v>10</v>
      </c>
    </row>
    <row r="13" spans="1:2" x14ac:dyDescent="0.2">
      <c r="A13" t="s">
        <v>11</v>
      </c>
      <c r="B13" t="s">
        <v>12</v>
      </c>
    </row>
    <row r="14" spans="1:2" x14ac:dyDescent="0.2">
      <c r="A14" t="s">
        <v>13</v>
      </c>
      <c r="B14" t="s">
        <v>14</v>
      </c>
    </row>
    <row r="15" spans="1:2" x14ac:dyDescent="0.2">
      <c r="A15" t="s">
        <v>15</v>
      </c>
      <c r="B15" t="s">
        <v>16</v>
      </c>
    </row>
    <row r="16" spans="1:2" x14ac:dyDescent="0.2">
      <c r="A16" t="s">
        <v>17</v>
      </c>
      <c r="B16" t="s">
        <v>18</v>
      </c>
    </row>
    <row r="17" spans="1:2" x14ac:dyDescent="0.2">
      <c r="A17" t="s">
        <v>19</v>
      </c>
      <c r="B17" t="s">
        <v>20</v>
      </c>
    </row>
    <row r="18" spans="1:2" x14ac:dyDescent="0.2">
      <c r="A18" t="s">
        <v>21</v>
      </c>
      <c r="B18" t="s">
        <v>22</v>
      </c>
    </row>
    <row r="19" spans="1:2" x14ac:dyDescent="0.2">
      <c r="A19" t="s">
        <v>23</v>
      </c>
      <c r="B19" t="s">
        <v>24</v>
      </c>
    </row>
    <row r="20" spans="1:2" x14ac:dyDescent="0.2">
      <c r="A20" t="s">
        <v>25</v>
      </c>
      <c r="B20" t="s">
        <v>26</v>
      </c>
    </row>
    <row r="21" spans="1:2" x14ac:dyDescent="0.2">
      <c r="A21" t="s">
        <v>27</v>
      </c>
      <c r="B21" t="s">
        <v>28</v>
      </c>
    </row>
    <row r="22" spans="1:2" x14ac:dyDescent="0.2">
      <c r="A22" t="s">
        <v>29</v>
      </c>
      <c r="B22" t="s">
        <v>30</v>
      </c>
    </row>
    <row r="23" spans="1:2" x14ac:dyDescent="0.2">
      <c r="A23" t="s">
        <v>31</v>
      </c>
      <c r="B23" t="s">
        <v>32</v>
      </c>
    </row>
    <row r="24" spans="1:2" x14ac:dyDescent="0.2">
      <c r="A24" t="s">
        <v>33</v>
      </c>
      <c r="B24" t="s">
        <v>34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37</v>
      </c>
      <c r="B26" t="s">
        <v>38</v>
      </c>
    </row>
    <row r="27" spans="1:2" x14ac:dyDescent="0.2">
      <c r="A27" t="s">
        <v>39</v>
      </c>
      <c r="B27" t="s">
        <v>40</v>
      </c>
    </row>
    <row r="28" spans="1:2" x14ac:dyDescent="0.2">
      <c r="A28" t="s">
        <v>41</v>
      </c>
      <c r="B28" t="s">
        <v>42</v>
      </c>
    </row>
    <row r="29" spans="1:2" x14ac:dyDescent="0.2">
      <c r="A29" t="s">
        <v>43</v>
      </c>
      <c r="B29" t="s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D14"/>
  <sheetViews>
    <sheetView workbookViewId="0"/>
  </sheetViews>
  <sheetFormatPr baseColWidth="10" defaultColWidth="8.83203125" defaultRowHeight="15" x14ac:dyDescent="0.2"/>
  <cols>
    <col min="1" max="1" width="20" customWidth="1"/>
    <col min="2" max="2" width="18" customWidth="1"/>
    <col min="3" max="3" width="12" customWidth="1"/>
    <col min="4" max="4" width="35" customWidth="1"/>
  </cols>
  <sheetData>
    <row r="1" spans="1:4" ht="21" x14ac:dyDescent="0.25">
      <c r="A1" s="5" t="s">
        <v>45</v>
      </c>
    </row>
    <row r="3" spans="1:4" x14ac:dyDescent="0.2">
      <c r="A3" s="6" t="s">
        <v>45</v>
      </c>
    </row>
    <row r="4" spans="1:4" ht="26" customHeight="1" x14ac:dyDescent="0.2">
      <c r="A4" s="7" t="s">
        <v>46</v>
      </c>
      <c r="B4" s="27" t="s">
        <v>47</v>
      </c>
      <c r="C4" s="28"/>
      <c r="D4" s="28"/>
    </row>
    <row r="5" spans="1:4" ht="26" customHeight="1" x14ac:dyDescent="0.2">
      <c r="A5" s="7" t="s">
        <v>48</v>
      </c>
      <c r="B5" s="27" t="s">
        <v>49</v>
      </c>
      <c r="C5" s="28"/>
      <c r="D5" s="28"/>
    </row>
    <row r="6" spans="1:4" ht="65" customHeight="1" x14ac:dyDescent="0.2">
      <c r="A6" s="7" t="s">
        <v>50</v>
      </c>
      <c r="B6" s="27" t="s">
        <v>51</v>
      </c>
      <c r="C6" s="28"/>
      <c r="D6" s="28"/>
    </row>
    <row r="7" spans="1:4" ht="26" customHeight="1" x14ac:dyDescent="0.2">
      <c r="A7" s="7" t="s">
        <v>52</v>
      </c>
      <c r="B7" s="27" t="s">
        <v>53</v>
      </c>
      <c r="C7" s="28"/>
      <c r="D7" s="28"/>
    </row>
    <row r="8" spans="1:4" ht="13" customHeight="1" x14ac:dyDescent="0.2">
      <c r="A8" s="7" t="s">
        <v>54</v>
      </c>
      <c r="B8" s="27" t="s">
        <v>55</v>
      </c>
      <c r="C8" s="28"/>
      <c r="D8" s="28"/>
    </row>
    <row r="9" spans="1:4" x14ac:dyDescent="0.2">
      <c r="A9" s="8" t="s">
        <v>56</v>
      </c>
      <c r="B9" s="8" t="s">
        <v>57</v>
      </c>
      <c r="C9" s="8" t="s">
        <v>58</v>
      </c>
      <c r="D9" s="8" t="s">
        <v>59</v>
      </c>
    </row>
    <row r="10" spans="1:4" x14ac:dyDescent="0.2">
      <c r="A10" t="s">
        <v>60</v>
      </c>
      <c r="B10" s="9" t="s">
        <v>61</v>
      </c>
      <c r="C10" t="s">
        <v>62</v>
      </c>
      <c r="D10" t="s">
        <v>63</v>
      </c>
    </row>
    <row r="11" spans="1:4" x14ac:dyDescent="0.2">
      <c r="A11" t="s">
        <v>64</v>
      </c>
      <c r="B11" s="9" t="s">
        <v>65</v>
      </c>
      <c r="C11" t="s">
        <v>62</v>
      </c>
      <c r="D11" t="s">
        <v>66</v>
      </c>
    </row>
    <row r="12" spans="1:4" x14ac:dyDescent="0.2">
      <c r="A12" t="s">
        <v>67</v>
      </c>
      <c r="B12" s="10">
        <v>4.8000000000000001E-2</v>
      </c>
      <c r="C12" t="s">
        <v>68</v>
      </c>
      <c r="D12" t="s">
        <v>69</v>
      </c>
    </row>
    <row r="13" spans="1:4" x14ac:dyDescent="0.2">
      <c r="A13" t="s">
        <v>70</v>
      </c>
      <c r="B13" s="9">
        <v>5</v>
      </c>
      <c r="C13" t="s">
        <v>71</v>
      </c>
      <c r="D13" t="s">
        <v>72</v>
      </c>
    </row>
    <row r="14" spans="1:4" x14ac:dyDescent="0.2">
      <c r="A14" t="s">
        <v>73</v>
      </c>
      <c r="B14" s="9">
        <v>2026</v>
      </c>
      <c r="C14" t="s">
        <v>74</v>
      </c>
      <c r="D14" t="s">
        <v>75</v>
      </c>
    </row>
  </sheetData>
  <mergeCells count="5">
    <mergeCell ref="B5:D5"/>
    <mergeCell ref="B8:D8"/>
    <mergeCell ref="B4:D4"/>
    <mergeCell ref="B7:D7"/>
    <mergeCell ref="B6:D6"/>
  </mergeCells>
  <dataValidations count="2">
    <dataValidation type="list" errorTitle="Invalid Input" error="Select from dropdown" sqref="B5" xr:uid="{00000000-0002-0000-0100-000000000000}">
      <formula1>List_TestingOptions</formula1>
    </dataValidation>
    <dataValidation type="list" sqref="B6" xr:uid="{00000000-0002-0000-0100-000001000000}">
      <formula1>List_Scenarios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D88"/>
  <sheetViews>
    <sheetView workbookViewId="0"/>
  </sheetViews>
  <sheetFormatPr baseColWidth="10" defaultColWidth="8.83203125" defaultRowHeight="15" x14ac:dyDescent="0.2"/>
  <cols>
    <col min="1" max="1" width="35" customWidth="1"/>
    <col min="2" max="2" width="30" customWidth="1"/>
    <col min="3" max="3" width="50" customWidth="1"/>
    <col min="4" max="4" width="15" customWidth="1"/>
  </cols>
  <sheetData>
    <row r="1" spans="1:1" ht="21" x14ac:dyDescent="0.25">
      <c r="A1" s="5" t="s">
        <v>76</v>
      </c>
    </row>
    <row r="3" spans="1:1" ht="19" x14ac:dyDescent="0.25">
      <c r="A3" s="4" t="s">
        <v>77</v>
      </c>
    </row>
    <row r="4" spans="1:1" x14ac:dyDescent="0.2">
      <c r="A4" t="s">
        <v>78</v>
      </c>
    </row>
    <row r="5" spans="1:1" x14ac:dyDescent="0.2">
      <c r="A5" t="s">
        <v>79</v>
      </c>
    </row>
    <row r="6" spans="1:1" x14ac:dyDescent="0.2">
      <c r="A6" t="s">
        <v>80</v>
      </c>
    </row>
    <row r="7" spans="1:1" x14ac:dyDescent="0.2">
      <c r="A7" t="s">
        <v>81</v>
      </c>
    </row>
    <row r="9" spans="1:1" ht="19" x14ac:dyDescent="0.25">
      <c r="A9" s="4" t="s">
        <v>82</v>
      </c>
    </row>
    <row r="10" spans="1:1" x14ac:dyDescent="0.2">
      <c r="A10" t="s">
        <v>83</v>
      </c>
    </row>
    <row r="11" spans="1:1" x14ac:dyDescent="0.2">
      <c r="A11" t="s">
        <v>84</v>
      </c>
    </row>
    <row r="12" spans="1:1" x14ac:dyDescent="0.2">
      <c r="A12" t="s">
        <v>85</v>
      </c>
    </row>
    <row r="13" spans="1:1" x14ac:dyDescent="0.2">
      <c r="A13" t="s">
        <v>86</v>
      </c>
    </row>
    <row r="14" spans="1:1" x14ac:dyDescent="0.2">
      <c r="A14" t="s">
        <v>87</v>
      </c>
    </row>
    <row r="15" spans="1:1" x14ac:dyDescent="0.2">
      <c r="A15" t="s">
        <v>88</v>
      </c>
    </row>
    <row r="16" spans="1:1" x14ac:dyDescent="0.2">
      <c r="A16" t="s">
        <v>89</v>
      </c>
    </row>
    <row r="17" spans="1:4" x14ac:dyDescent="0.2">
      <c r="A17" t="s">
        <v>90</v>
      </c>
    </row>
    <row r="19" spans="1:4" ht="19" x14ac:dyDescent="0.25">
      <c r="A19" s="4" t="s">
        <v>91</v>
      </c>
    </row>
    <row r="20" spans="1:4" x14ac:dyDescent="0.2">
      <c r="A20" t="s">
        <v>92</v>
      </c>
    </row>
    <row r="21" spans="1:4" x14ac:dyDescent="0.2">
      <c r="A21" s="8" t="s">
        <v>93</v>
      </c>
      <c r="B21" s="8" t="s">
        <v>94</v>
      </c>
      <c r="C21" s="8" t="s">
        <v>95</v>
      </c>
      <c r="D21" s="8" t="s">
        <v>96</v>
      </c>
    </row>
    <row r="22" spans="1:4" x14ac:dyDescent="0.2">
      <c r="A22" t="s">
        <v>97</v>
      </c>
      <c r="B22" t="s">
        <v>98</v>
      </c>
      <c r="C22" t="s">
        <v>99</v>
      </c>
      <c r="D22" t="s">
        <v>100</v>
      </c>
    </row>
    <row r="23" spans="1:4" x14ac:dyDescent="0.2">
      <c r="A23" t="s">
        <v>101</v>
      </c>
      <c r="B23" t="s">
        <v>98</v>
      </c>
      <c r="C23" t="s">
        <v>99</v>
      </c>
      <c r="D23" t="s">
        <v>100</v>
      </c>
    </row>
    <row r="24" spans="1:4" x14ac:dyDescent="0.2">
      <c r="A24" t="s">
        <v>102</v>
      </c>
      <c r="B24" t="s">
        <v>103</v>
      </c>
      <c r="C24" t="s">
        <v>99</v>
      </c>
      <c r="D24" t="s">
        <v>100</v>
      </c>
    </row>
    <row r="25" spans="1:4" x14ac:dyDescent="0.2">
      <c r="A25" t="s">
        <v>104</v>
      </c>
      <c r="B25" t="s">
        <v>105</v>
      </c>
      <c r="C25" t="s">
        <v>99</v>
      </c>
      <c r="D25" t="s">
        <v>100</v>
      </c>
    </row>
    <row r="27" spans="1:4" ht="19" x14ac:dyDescent="0.25">
      <c r="A27" s="4" t="s">
        <v>106</v>
      </c>
    </row>
    <row r="28" spans="1:4" x14ac:dyDescent="0.2">
      <c r="A28" s="11" t="s">
        <v>107</v>
      </c>
      <c r="B28" t="s">
        <v>108</v>
      </c>
    </row>
    <row r="29" spans="1:4" x14ac:dyDescent="0.2">
      <c r="A29" s="11" t="s">
        <v>109</v>
      </c>
      <c r="B29" t="s">
        <v>110</v>
      </c>
    </row>
    <row r="30" spans="1:4" x14ac:dyDescent="0.2">
      <c r="A30" s="11" t="s">
        <v>111</v>
      </c>
      <c r="B30" t="s">
        <v>112</v>
      </c>
    </row>
    <row r="31" spans="1:4" x14ac:dyDescent="0.2">
      <c r="A31" s="11" t="s">
        <v>113</v>
      </c>
      <c r="B31" t="s">
        <v>114</v>
      </c>
    </row>
    <row r="32" spans="1:4" x14ac:dyDescent="0.2">
      <c r="A32" s="11" t="s">
        <v>115</v>
      </c>
      <c r="B32" t="s">
        <v>116</v>
      </c>
    </row>
    <row r="33" spans="1:2" x14ac:dyDescent="0.2">
      <c r="A33" s="11" t="s">
        <v>117</v>
      </c>
      <c r="B33" t="s">
        <v>118</v>
      </c>
    </row>
    <row r="34" spans="1:2" x14ac:dyDescent="0.2">
      <c r="A34" s="11" t="s">
        <v>119</v>
      </c>
      <c r="B34" t="s">
        <v>120</v>
      </c>
    </row>
    <row r="36" spans="1:2" ht="19" x14ac:dyDescent="0.25">
      <c r="A36" s="4" t="s">
        <v>121</v>
      </c>
    </row>
    <row r="37" spans="1:2" x14ac:dyDescent="0.2">
      <c r="A37" t="s">
        <v>122</v>
      </c>
    </row>
    <row r="38" spans="1:2" x14ac:dyDescent="0.2">
      <c r="A38" t="s">
        <v>123</v>
      </c>
    </row>
    <row r="39" spans="1:2" x14ac:dyDescent="0.2">
      <c r="A39" t="s">
        <v>124</v>
      </c>
    </row>
    <row r="40" spans="1:2" x14ac:dyDescent="0.2">
      <c r="A40" t="s">
        <v>125</v>
      </c>
    </row>
    <row r="41" spans="1:2" x14ac:dyDescent="0.2">
      <c r="A41" t="s">
        <v>126</v>
      </c>
    </row>
    <row r="43" spans="1:2" ht="19" x14ac:dyDescent="0.25">
      <c r="A43" s="4" t="s">
        <v>127</v>
      </c>
    </row>
    <row r="44" spans="1:2" x14ac:dyDescent="0.2">
      <c r="A44" s="12" t="s">
        <v>128</v>
      </c>
    </row>
    <row r="45" spans="1:2" x14ac:dyDescent="0.2">
      <c r="A45" t="s">
        <v>129</v>
      </c>
    </row>
    <row r="46" spans="1:2" x14ac:dyDescent="0.2">
      <c r="A46" t="s">
        <v>130</v>
      </c>
    </row>
    <row r="47" spans="1:2" x14ac:dyDescent="0.2">
      <c r="A47" t="s">
        <v>131</v>
      </c>
    </row>
    <row r="48" spans="1:2" x14ac:dyDescent="0.2">
      <c r="A48" t="s">
        <v>132</v>
      </c>
    </row>
    <row r="50" spans="1:1" x14ac:dyDescent="0.2">
      <c r="A50" s="11" t="s">
        <v>133</v>
      </c>
    </row>
    <row r="51" spans="1:1" x14ac:dyDescent="0.2">
      <c r="A51" t="s">
        <v>134</v>
      </c>
    </row>
    <row r="52" spans="1:1" x14ac:dyDescent="0.2">
      <c r="A52" t="s">
        <v>135</v>
      </c>
    </row>
    <row r="53" spans="1:1" x14ac:dyDescent="0.2">
      <c r="A53" t="s">
        <v>136</v>
      </c>
    </row>
    <row r="55" spans="1:1" ht="19" x14ac:dyDescent="0.25">
      <c r="A55" s="4" t="s">
        <v>137</v>
      </c>
    </row>
    <row r="56" spans="1:1" x14ac:dyDescent="0.2">
      <c r="A56" s="12" t="s">
        <v>138</v>
      </c>
    </row>
    <row r="57" spans="1:1" x14ac:dyDescent="0.2">
      <c r="A57" t="s">
        <v>139</v>
      </c>
    </row>
    <row r="59" spans="1:1" x14ac:dyDescent="0.2">
      <c r="A59" s="11" t="s">
        <v>140</v>
      </c>
    </row>
    <row r="60" spans="1:1" x14ac:dyDescent="0.2">
      <c r="A60" t="s">
        <v>141</v>
      </c>
    </row>
    <row r="61" spans="1:1" x14ac:dyDescent="0.2">
      <c r="A61" t="s">
        <v>142</v>
      </c>
    </row>
    <row r="62" spans="1:1" x14ac:dyDescent="0.2">
      <c r="A62" t="s">
        <v>143</v>
      </c>
    </row>
    <row r="64" spans="1:1" x14ac:dyDescent="0.2">
      <c r="A64" s="11" t="s">
        <v>144</v>
      </c>
    </row>
    <row r="65" spans="1:1" x14ac:dyDescent="0.2">
      <c r="A65" t="s">
        <v>145</v>
      </c>
    </row>
    <row r="66" spans="1:1" x14ac:dyDescent="0.2">
      <c r="A66" t="s">
        <v>146</v>
      </c>
    </row>
    <row r="67" spans="1:1" x14ac:dyDescent="0.2">
      <c r="A67" t="s">
        <v>147</v>
      </c>
    </row>
    <row r="69" spans="1:1" x14ac:dyDescent="0.2">
      <c r="A69" s="11" t="s">
        <v>148</v>
      </c>
    </row>
    <row r="70" spans="1:1" x14ac:dyDescent="0.2">
      <c r="A70" t="s">
        <v>149</v>
      </c>
    </row>
    <row r="71" spans="1:1" x14ac:dyDescent="0.2">
      <c r="A71" t="s">
        <v>150</v>
      </c>
    </row>
    <row r="72" spans="1:1" x14ac:dyDescent="0.2">
      <c r="A72" t="s">
        <v>151</v>
      </c>
    </row>
    <row r="73" spans="1:1" x14ac:dyDescent="0.2">
      <c r="A73" t="s">
        <v>152</v>
      </c>
    </row>
    <row r="74" spans="1:1" x14ac:dyDescent="0.2">
      <c r="A74" t="s">
        <v>153</v>
      </c>
    </row>
    <row r="76" spans="1:1" x14ac:dyDescent="0.2">
      <c r="A76" s="11" t="s">
        <v>154</v>
      </c>
    </row>
    <row r="77" spans="1:1" x14ac:dyDescent="0.2">
      <c r="A77" t="s">
        <v>155</v>
      </c>
    </row>
    <row r="78" spans="1:1" x14ac:dyDescent="0.2">
      <c r="A78" t="s">
        <v>156</v>
      </c>
    </row>
    <row r="79" spans="1:1" x14ac:dyDescent="0.2">
      <c r="A79" t="s">
        <v>157</v>
      </c>
    </row>
    <row r="80" spans="1:1" x14ac:dyDescent="0.2">
      <c r="A80" t="s">
        <v>158</v>
      </c>
    </row>
    <row r="82" spans="1:3" ht="19" x14ac:dyDescent="0.25">
      <c r="A82" s="4" t="s">
        <v>159</v>
      </c>
    </row>
    <row r="83" spans="1:3" x14ac:dyDescent="0.2">
      <c r="A83" s="8" t="s">
        <v>160</v>
      </c>
      <c r="B83" s="8" t="s">
        <v>161</v>
      </c>
      <c r="C83" s="8" t="s">
        <v>162</v>
      </c>
    </row>
    <row r="84" spans="1:3" x14ac:dyDescent="0.2">
      <c r="A84" t="s">
        <v>163</v>
      </c>
      <c r="B84" t="s">
        <v>164</v>
      </c>
      <c r="C84" t="s">
        <v>165</v>
      </c>
    </row>
    <row r="85" spans="1:3" x14ac:dyDescent="0.2">
      <c r="A85" t="s">
        <v>166</v>
      </c>
      <c r="B85" t="s">
        <v>164</v>
      </c>
      <c r="C85" t="s">
        <v>167</v>
      </c>
    </row>
    <row r="86" spans="1:3" x14ac:dyDescent="0.2">
      <c r="A86" t="s">
        <v>3</v>
      </c>
      <c r="B86" t="s">
        <v>164</v>
      </c>
      <c r="C86" t="s">
        <v>168</v>
      </c>
    </row>
    <row r="87" spans="1:3" x14ac:dyDescent="0.2">
      <c r="A87" t="s">
        <v>169</v>
      </c>
      <c r="B87" t="s">
        <v>170</v>
      </c>
      <c r="C87" t="s">
        <v>171</v>
      </c>
    </row>
    <row r="88" spans="1:3" x14ac:dyDescent="0.2">
      <c r="A88" t="s">
        <v>172</v>
      </c>
      <c r="B88" t="s">
        <v>173</v>
      </c>
      <c r="C88" t="s">
        <v>174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F126"/>
  <sheetViews>
    <sheetView workbookViewId="0"/>
  </sheetViews>
  <sheetFormatPr baseColWidth="10" defaultColWidth="8.83203125" defaultRowHeight="15" x14ac:dyDescent="0.2"/>
  <cols>
    <col min="1" max="1" width="24" customWidth="1"/>
    <col min="2" max="2" width="14" customWidth="1"/>
    <col min="3" max="3" width="12" customWidth="1"/>
    <col min="4" max="4" width="42" customWidth="1"/>
    <col min="5" max="5" width="16" customWidth="1"/>
    <col min="6" max="6" width="14" customWidth="1"/>
  </cols>
  <sheetData>
    <row r="1" spans="1:4" ht="21" x14ac:dyDescent="0.25">
      <c r="A1" s="5" t="s">
        <v>175</v>
      </c>
    </row>
    <row r="3" spans="1:4" x14ac:dyDescent="0.2">
      <c r="A3" s="6" t="s">
        <v>176</v>
      </c>
    </row>
    <row r="4" spans="1:4" ht="26" customHeight="1" x14ac:dyDescent="0.2">
      <c r="A4" s="7" t="s">
        <v>46</v>
      </c>
      <c r="B4" s="27" t="s">
        <v>177</v>
      </c>
      <c r="C4" s="28"/>
      <c r="D4" s="28"/>
    </row>
    <row r="5" spans="1:4" ht="26" customHeight="1" x14ac:dyDescent="0.2">
      <c r="A5" s="7" t="s">
        <v>48</v>
      </c>
      <c r="B5" s="27" t="s">
        <v>178</v>
      </c>
      <c r="C5" s="28"/>
      <c r="D5" s="28"/>
    </row>
    <row r="6" spans="1:4" ht="39" customHeight="1" x14ac:dyDescent="0.2">
      <c r="A6" s="7" t="s">
        <v>50</v>
      </c>
      <c r="B6" s="27" t="s">
        <v>179</v>
      </c>
      <c r="C6" s="28"/>
      <c r="D6" s="28"/>
    </row>
    <row r="7" spans="1:4" ht="13" customHeight="1" x14ac:dyDescent="0.2">
      <c r="A7" s="7" t="s">
        <v>52</v>
      </c>
      <c r="B7" s="27" t="s">
        <v>180</v>
      </c>
      <c r="C7" s="28"/>
      <c r="D7" s="28"/>
    </row>
    <row r="8" spans="1:4" ht="13" customHeight="1" x14ac:dyDescent="0.2">
      <c r="A8" s="7" t="s">
        <v>54</v>
      </c>
      <c r="B8" s="27" t="s">
        <v>181</v>
      </c>
      <c r="C8" s="28"/>
      <c r="D8" s="28"/>
    </row>
    <row r="9" spans="1:4" x14ac:dyDescent="0.2">
      <c r="A9" s="8" t="s">
        <v>56</v>
      </c>
      <c r="B9" s="8" t="s">
        <v>57</v>
      </c>
      <c r="C9" s="8" t="s">
        <v>182</v>
      </c>
      <c r="D9" s="8" t="s">
        <v>183</v>
      </c>
    </row>
    <row r="10" spans="1:4" x14ac:dyDescent="0.2">
      <c r="A10" t="s">
        <v>184</v>
      </c>
      <c r="B10" s="9">
        <v>5</v>
      </c>
      <c r="C10" t="s">
        <v>185</v>
      </c>
      <c r="D10" t="s">
        <v>186</v>
      </c>
    </row>
    <row r="11" spans="1:4" x14ac:dyDescent="0.2">
      <c r="A11" t="s">
        <v>187</v>
      </c>
      <c r="B11" s="9">
        <v>15</v>
      </c>
      <c r="C11" t="s">
        <v>188</v>
      </c>
      <c r="D11" t="s">
        <v>189</v>
      </c>
    </row>
    <row r="12" spans="1:4" x14ac:dyDescent="0.2">
      <c r="A12" t="s">
        <v>190</v>
      </c>
      <c r="B12" s="9">
        <v>9</v>
      </c>
      <c r="C12" t="s">
        <v>185</v>
      </c>
      <c r="D12" t="s">
        <v>191</v>
      </c>
    </row>
    <row r="13" spans="1:4" x14ac:dyDescent="0.2">
      <c r="A13" t="s">
        <v>192</v>
      </c>
      <c r="B13" s="9">
        <v>15</v>
      </c>
      <c r="C13" t="s">
        <v>188</v>
      </c>
      <c r="D13" t="s">
        <v>193</v>
      </c>
    </row>
    <row r="14" spans="1:4" x14ac:dyDescent="0.2">
      <c r="A14" t="s">
        <v>194</v>
      </c>
      <c r="B14" s="9">
        <v>100</v>
      </c>
      <c r="C14" t="s">
        <v>195</v>
      </c>
      <c r="D14" t="s">
        <v>196</v>
      </c>
    </row>
    <row r="16" spans="1:4" x14ac:dyDescent="0.2">
      <c r="A16" s="6" t="s">
        <v>197</v>
      </c>
    </row>
    <row r="17" spans="1:4" ht="26" customHeight="1" x14ac:dyDescent="0.2">
      <c r="A17" s="7" t="s">
        <v>46</v>
      </c>
      <c r="B17" s="27" t="s">
        <v>198</v>
      </c>
      <c r="C17" s="28"/>
      <c r="D17" s="28"/>
    </row>
    <row r="18" spans="1:4" ht="26" customHeight="1" x14ac:dyDescent="0.2">
      <c r="A18" s="7" t="s">
        <v>48</v>
      </c>
      <c r="B18" s="27" t="s">
        <v>199</v>
      </c>
      <c r="C18" s="28"/>
      <c r="D18" s="28"/>
    </row>
    <row r="19" spans="1:4" ht="39" customHeight="1" x14ac:dyDescent="0.2">
      <c r="A19" s="7" t="s">
        <v>50</v>
      </c>
      <c r="B19" s="27" t="s">
        <v>200</v>
      </c>
      <c r="C19" s="28"/>
      <c r="D19" s="28"/>
    </row>
    <row r="20" spans="1:4" ht="13" customHeight="1" x14ac:dyDescent="0.2">
      <c r="A20" s="7" t="s">
        <v>52</v>
      </c>
      <c r="B20" s="27" t="s">
        <v>201</v>
      </c>
      <c r="C20" s="28"/>
      <c r="D20" s="28"/>
    </row>
    <row r="21" spans="1:4" ht="13" customHeight="1" x14ac:dyDescent="0.2">
      <c r="A21" s="7" t="s">
        <v>54</v>
      </c>
      <c r="B21" s="27" t="s">
        <v>202</v>
      </c>
      <c r="C21" s="28"/>
      <c r="D21" s="28"/>
    </row>
    <row r="22" spans="1:4" x14ac:dyDescent="0.2">
      <c r="A22" s="8" t="s">
        <v>203</v>
      </c>
      <c r="B22" s="8" t="s">
        <v>204</v>
      </c>
      <c r="C22" s="8" t="s">
        <v>205</v>
      </c>
      <c r="D22" s="8" t="s">
        <v>206</v>
      </c>
    </row>
    <row r="23" spans="1:4" x14ac:dyDescent="0.2">
      <c r="A23" t="s">
        <v>186</v>
      </c>
      <c r="B23">
        <v>5</v>
      </c>
      <c r="C23" s="9">
        <v>0.85</v>
      </c>
      <c r="D23" t="s">
        <v>207</v>
      </c>
    </row>
    <row r="24" spans="1:4" x14ac:dyDescent="0.2">
      <c r="A24" t="s">
        <v>208</v>
      </c>
      <c r="B24">
        <v>6</v>
      </c>
      <c r="C24" s="9">
        <v>1</v>
      </c>
      <c r="D24" t="s">
        <v>209</v>
      </c>
    </row>
    <row r="25" spans="1:4" x14ac:dyDescent="0.2">
      <c r="A25" t="s">
        <v>210</v>
      </c>
      <c r="B25">
        <v>7</v>
      </c>
      <c r="C25" s="9">
        <v>1</v>
      </c>
      <c r="D25" t="s">
        <v>209</v>
      </c>
    </row>
    <row r="26" spans="1:4" x14ac:dyDescent="0.2">
      <c r="A26" t="s">
        <v>211</v>
      </c>
      <c r="B26">
        <v>8</v>
      </c>
      <c r="C26" s="9">
        <v>0.95</v>
      </c>
      <c r="D26" t="s">
        <v>212</v>
      </c>
    </row>
    <row r="27" spans="1:4" x14ac:dyDescent="0.2">
      <c r="A27" t="s">
        <v>191</v>
      </c>
      <c r="B27">
        <v>9</v>
      </c>
      <c r="C27" s="9">
        <v>0.75</v>
      </c>
      <c r="D27" t="s">
        <v>213</v>
      </c>
    </row>
    <row r="30" spans="1:4" x14ac:dyDescent="0.2">
      <c r="A30" s="6" t="s">
        <v>214</v>
      </c>
    </row>
    <row r="31" spans="1:4" ht="26" customHeight="1" x14ac:dyDescent="0.2">
      <c r="A31" s="7" t="s">
        <v>46</v>
      </c>
      <c r="B31" s="27" t="s">
        <v>215</v>
      </c>
      <c r="C31" s="28"/>
      <c r="D31" s="28"/>
    </row>
    <row r="32" spans="1:4" ht="13" customHeight="1" x14ac:dyDescent="0.2">
      <c r="A32" s="7" t="s">
        <v>48</v>
      </c>
      <c r="B32" s="27" t="s">
        <v>216</v>
      </c>
      <c r="C32" s="28"/>
      <c r="D32" s="28"/>
    </row>
    <row r="33" spans="1:4" ht="26" customHeight="1" x14ac:dyDescent="0.2">
      <c r="A33" s="7" t="s">
        <v>50</v>
      </c>
      <c r="B33" s="27" t="s">
        <v>217</v>
      </c>
      <c r="C33" s="28"/>
      <c r="D33" s="28"/>
    </row>
    <row r="34" spans="1:4" ht="26" customHeight="1" x14ac:dyDescent="0.2">
      <c r="A34" s="7" t="s">
        <v>52</v>
      </c>
      <c r="B34" s="27" t="s">
        <v>218</v>
      </c>
      <c r="C34" s="28"/>
      <c r="D34" s="28"/>
    </row>
    <row r="35" spans="1:4" ht="13" customHeight="1" x14ac:dyDescent="0.2">
      <c r="A35" s="7" t="s">
        <v>54</v>
      </c>
      <c r="B35" s="27" t="s">
        <v>219</v>
      </c>
      <c r="C35" s="28"/>
      <c r="D35" s="28"/>
    </row>
    <row r="36" spans="1:4" x14ac:dyDescent="0.2">
      <c r="A36" s="8" t="s">
        <v>56</v>
      </c>
      <c r="B36" s="8" t="s">
        <v>57</v>
      </c>
      <c r="C36" s="8" t="s">
        <v>182</v>
      </c>
      <c r="D36" s="8" t="s">
        <v>220</v>
      </c>
    </row>
    <row r="37" spans="1:4" x14ac:dyDescent="0.2">
      <c r="A37" t="s">
        <v>221</v>
      </c>
      <c r="B37" s="9">
        <v>1</v>
      </c>
      <c r="C37" t="s">
        <v>222</v>
      </c>
      <c r="D37" t="s">
        <v>223</v>
      </c>
    </row>
    <row r="38" spans="1:4" x14ac:dyDescent="0.2">
      <c r="A38" t="s">
        <v>224</v>
      </c>
      <c r="B38" s="9">
        <v>5</v>
      </c>
      <c r="C38" t="s">
        <v>225</v>
      </c>
      <c r="D38" t="s">
        <v>226</v>
      </c>
    </row>
    <row r="39" spans="1:4" x14ac:dyDescent="0.2">
      <c r="A39" t="s">
        <v>227</v>
      </c>
      <c r="B39" s="9">
        <v>50000</v>
      </c>
      <c r="C39" t="s">
        <v>228</v>
      </c>
      <c r="D39" t="s">
        <v>229</v>
      </c>
    </row>
    <row r="40" spans="1:4" x14ac:dyDescent="0.2">
      <c r="A40" t="s">
        <v>230</v>
      </c>
      <c r="B40" s="13">
        <v>5</v>
      </c>
      <c r="C40" t="s">
        <v>231</v>
      </c>
      <c r="D40" t="s">
        <v>232</v>
      </c>
    </row>
    <row r="43" spans="1:4" x14ac:dyDescent="0.2">
      <c r="A43" s="6" t="s">
        <v>233</v>
      </c>
    </row>
    <row r="44" spans="1:4" ht="26" customHeight="1" x14ac:dyDescent="0.2">
      <c r="A44" s="7" t="s">
        <v>46</v>
      </c>
      <c r="B44" s="27" t="s">
        <v>234</v>
      </c>
      <c r="C44" s="28"/>
    </row>
    <row r="45" spans="1:4" ht="26" customHeight="1" x14ac:dyDescent="0.2">
      <c r="A45" s="7" t="s">
        <v>48</v>
      </c>
      <c r="B45" s="27" t="s">
        <v>235</v>
      </c>
      <c r="C45" s="28"/>
    </row>
    <row r="46" spans="1:4" ht="39" customHeight="1" x14ac:dyDescent="0.2">
      <c r="A46" s="7" t="s">
        <v>50</v>
      </c>
      <c r="B46" s="27" t="s">
        <v>236</v>
      </c>
      <c r="C46" s="28"/>
    </row>
    <row r="47" spans="1:4" ht="26" customHeight="1" x14ac:dyDescent="0.2">
      <c r="A47" s="7" t="s">
        <v>52</v>
      </c>
      <c r="B47" s="27" t="s">
        <v>237</v>
      </c>
      <c r="C47" s="28"/>
    </row>
    <row r="48" spans="1:4" ht="13" customHeight="1" x14ac:dyDescent="0.2">
      <c r="A48" s="7" t="s">
        <v>54</v>
      </c>
      <c r="B48" s="27" t="s">
        <v>238</v>
      </c>
      <c r="C48" s="28"/>
    </row>
    <row r="49" spans="1:3" x14ac:dyDescent="0.2">
      <c r="A49" s="8" t="s">
        <v>56</v>
      </c>
      <c r="B49" s="8" t="s">
        <v>57</v>
      </c>
      <c r="C49" s="8" t="s">
        <v>182</v>
      </c>
    </row>
    <row r="50" spans="1:3" x14ac:dyDescent="0.2">
      <c r="A50" t="s">
        <v>239</v>
      </c>
      <c r="B50" s="14">
        <v>1500</v>
      </c>
      <c r="C50" t="s">
        <v>240</v>
      </c>
    </row>
    <row r="51" spans="1:3" x14ac:dyDescent="0.2">
      <c r="A51" t="s">
        <v>241</v>
      </c>
      <c r="B51" s="14">
        <v>50000</v>
      </c>
      <c r="C51" t="s">
        <v>242</v>
      </c>
    </row>
    <row r="52" spans="1:3" x14ac:dyDescent="0.2">
      <c r="A52" t="s">
        <v>243</v>
      </c>
      <c r="B52" s="14">
        <v>15000</v>
      </c>
      <c r="C52" t="s">
        <v>240</v>
      </c>
    </row>
    <row r="55" spans="1:3" x14ac:dyDescent="0.2">
      <c r="A55" s="6" t="s">
        <v>244</v>
      </c>
    </row>
    <row r="56" spans="1:3" ht="39" customHeight="1" x14ac:dyDescent="0.2">
      <c r="A56" s="7" t="s">
        <v>46</v>
      </c>
      <c r="B56" s="27" t="s">
        <v>245</v>
      </c>
      <c r="C56" s="28"/>
    </row>
    <row r="57" spans="1:3" ht="26" customHeight="1" x14ac:dyDescent="0.2">
      <c r="A57" s="7" t="s">
        <v>48</v>
      </c>
      <c r="B57" s="27" t="s">
        <v>246</v>
      </c>
      <c r="C57" s="28"/>
    </row>
    <row r="58" spans="1:3" ht="39" customHeight="1" x14ac:dyDescent="0.2">
      <c r="A58" s="7" t="s">
        <v>50</v>
      </c>
      <c r="B58" s="27" t="s">
        <v>247</v>
      </c>
      <c r="C58" s="28"/>
    </row>
    <row r="59" spans="1:3" ht="26" customHeight="1" x14ac:dyDescent="0.2">
      <c r="A59" s="7" t="s">
        <v>52</v>
      </c>
      <c r="B59" s="27" t="s">
        <v>248</v>
      </c>
      <c r="C59" s="28"/>
    </row>
    <row r="60" spans="1:3" ht="13" customHeight="1" x14ac:dyDescent="0.2">
      <c r="A60" s="7" t="s">
        <v>54</v>
      </c>
      <c r="B60" s="27" t="s">
        <v>249</v>
      </c>
      <c r="C60" s="28"/>
    </row>
    <row r="61" spans="1:3" x14ac:dyDescent="0.2">
      <c r="A61" s="8" t="s">
        <v>250</v>
      </c>
      <c r="B61" s="8" t="s">
        <v>205</v>
      </c>
      <c r="C61" s="8" t="s">
        <v>183</v>
      </c>
    </row>
    <row r="62" spans="1:3" x14ac:dyDescent="0.2">
      <c r="A62">
        <v>1</v>
      </c>
      <c r="B62" s="9">
        <v>0.5</v>
      </c>
      <c r="C62" t="s">
        <v>251</v>
      </c>
    </row>
    <row r="63" spans="1:3" x14ac:dyDescent="0.2">
      <c r="A63">
        <v>2</v>
      </c>
      <c r="B63" s="9">
        <v>0.75</v>
      </c>
      <c r="C63" t="s">
        <v>252</v>
      </c>
    </row>
    <row r="64" spans="1:3" x14ac:dyDescent="0.2">
      <c r="A64">
        <v>3</v>
      </c>
      <c r="B64" s="9">
        <v>1</v>
      </c>
      <c r="C64" t="s">
        <v>253</v>
      </c>
    </row>
    <row r="65" spans="1:6" x14ac:dyDescent="0.2">
      <c r="A65">
        <v>4</v>
      </c>
      <c r="B65" s="9">
        <v>1</v>
      </c>
      <c r="C65" t="s">
        <v>254</v>
      </c>
    </row>
    <row r="66" spans="1:6" x14ac:dyDescent="0.2">
      <c r="A66">
        <v>5</v>
      </c>
      <c r="B66" s="9">
        <v>1</v>
      </c>
      <c r="C66" t="s">
        <v>254</v>
      </c>
    </row>
    <row r="69" spans="1:6" x14ac:dyDescent="0.2">
      <c r="A69" s="6" t="s">
        <v>255</v>
      </c>
    </row>
    <row r="70" spans="1:6" ht="13" customHeight="1" x14ac:dyDescent="0.2">
      <c r="A70" s="7" t="s">
        <v>46</v>
      </c>
      <c r="B70" s="27" t="s">
        <v>256</v>
      </c>
      <c r="C70" s="28"/>
      <c r="D70" s="28"/>
      <c r="E70" s="28"/>
      <c r="F70" s="28"/>
    </row>
    <row r="71" spans="1:6" ht="13" customHeight="1" x14ac:dyDescent="0.2">
      <c r="A71" s="7" t="s">
        <v>48</v>
      </c>
      <c r="B71" s="27" t="s">
        <v>257</v>
      </c>
      <c r="C71" s="28"/>
      <c r="D71" s="28"/>
      <c r="E71" s="28"/>
      <c r="F71" s="28"/>
    </row>
    <row r="72" spans="1:6" ht="26" customHeight="1" x14ac:dyDescent="0.2">
      <c r="A72" s="7" t="s">
        <v>50</v>
      </c>
      <c r="B72" s="27" t="s">
        <v>258</v>
      </c>
      <c r="C72" s="28"/>
      <c r="D72" s="28"/>
      <c r="E72" s="28"/>
      <c r="F72" s="28"/>
    </row>
    <row r="73" spans="1:6" ht="13" customHeight="1" x14ac:dyDescent="0.2">
      <c r="A73" s="7" t="s">
        <v>52</v>
      </c>
      <c r="B73" s="27" t="s">
        <v>259</v>
      </c>
      <c r="C73" s="28"/>
      <c r="D73" s="28"/>
      <c r="E73" s="28"/>
      <c r="F73" s="28"/>
    </row>
    <row r="74" spans="1:6" ht="13" customHeight="1" x14ac:dyDescent="0.2">
      <c r="A74" s="7" t="s">
        <v>54</v>
      </c>
      <c r="B74" s="27" t="s">
        <v>260</v>
      </c>
      <c r="C74" s="28"/>
      <c r="D74" s="28"/>
      <c r="E74" s="28"/>
      <c r="F74" s="28"/>
    </row>
    <row r="75" spans="1:6" x14ac:dyDescent="0.2">
      <c r="A75" s="8" t="s">
        <v>261</v>
      </c>
      <c r="B75" s="8" t="s">
        <v>262</v>
      </c>
      <c r="C75" s="8" t="s">
        <v>263</v>
      </c>
      <c r="D75" s="8" t="s">
        <v>264</v>
      </c>
      <c r="E75" s="8" t="s">
        <v>265</v>
      </c>
      <c r="F75" s="8" t="s">
        <v>266</v>
      </c>
    </row>
    <row r="76" spans="1:6" x14ac:dyDescent="0.2">
      <c r="A76" t="s">
        <v>267</v>
      </c>
      <c r="B76" t="s">
        <v>107</v>
      </c>
      <c r="C76">
        <v>30</v>
      </c>
      <c r="D76">
        <v>2</v>
      </c>
      <c r="E76" s="15">
        <v>1000</v>
      </c>
      <c r="F76">
        <v>42</v>
      </c>
    </row>
    <row r="77" spans="1:6" x14ac:dyDescent="0.2">
      <c r="A77" t="s">
        <v>268</v>
      </c>
      <c r="B77" t="s">
        <v>107</v>
      </c>
      <c r="C77">
        <v>7</v>
      </c>
      <c r="D77">
        <v>2</v>
      </c>
      <c r="E77" s="15">
        <v>1000</v>
      </c>
      <c r="F77">
        <v>42</v>
      </c>
    </row>
    <row r="78" spans="1:6" x14ac:dyDescent="0.2">
      <c r="A78" t="s">
        <v>61</v>
      </c>
      <c r="B78" t="s">
        <v>269</v>
      </c>
      <c r="C78">
        <v>1</v>
      </c>
      <c r="D78">
        <v>10</v>
      </c>
      <c r="E78" s="15">
        <v>10</v>
      </c>
      <c r="F78">
        <v>1</v>
      </c>
    </row>
    <row r="80" spans="1:6" x14ac:dyDescent="0.2">
      <c r="A80" s="6" t="s">
        <v>270</v>
      </c>
    </row>
    <row r="81" spans="1:5" ht="26" customHeight="1" x14ac:dyDescent="0.2">
      <c r="A81" s="7" t="s">
        <v>46</v>
      </c>
      <c r="B81" s="27" t="s">
        <v>271</v>
      </c>
      <c r="C81" s="28"/>
      <c r="D81" s="28"/>
      <c r="E81" s="28"/>
    </row>
    <row r="82" spans="1:5" ht="13" customHeight="1" x14ac:dyDescent="0.2">
      <c r="A82" s="7" t="s">
        <v>48</v>
      </c>
      <c r="B82" s="27" t="s">
        <v>272</v>
      </c>
      <c r="C82" s="28"/>
      <c r="D82" s="28"/>
      <c r="E82" s="28"/>
    </row>
    <row r="83" spans="1:5" ht="39" customHeight="1" x14ac:dyDescent="0.2">
      <c r="A83" s="7" t="s">
        <v>50</v>
      </c>
      <c r="B83" s="27" t="s">
        <v>273</v>
      </c>
      <c r="C83" s="28"/>
      <c r="D83" s="28"/>
      <c r="E83" s="28"/>
    </row>
    <row r="84" spans="1:5" ht="13" customHeight="1" x14ac:dyDescent="0.2">
      <c r="A84" s="7" t="s">
        <v>52</v>
      </c>
      <c r="B84" s="27" t="s">
        <v>274</v>
      </c>
      <c r="C84" s="28"/>
      <c r="D84" s="28"/>
      <c r="E84" s="28"/>
    </row>
    <row r="85" spans="1:5" ht="13" customHeight="1" x14ac:dyDescent="0.2">
      <c r="A85" s="7" t="s">
        <v>54</v>
      </c>
      <c r="B85" s="27" t="s">
        <v>275</v>
      </c>
      <c r="C85" s="28"/>
      <c r="D85" s="28"/>
      <c r="E85" s="28"/>
    </row>
    <row r="86" spans="1:5" x14ac:dyDescent="0.2">
      <c r="A86" s="8" t="s">
        <v>261</v>
      </c>
      <c r="B86" s="8" t="s">
        <v>276</v>
      </c>
      <c r="C86" s="8" t="s">
        <v>277</v>
      </c>
      <c r="D86" s="8" t="s">
        <v>278</v>
      </c>
      <c r="E86" s="8" t="s">
        <v>279</v>
      </c>
    </row>
    <row r="87" spans="1:5" x14ac:dyDescent="0.2">
      <c r="A87" t="s">
        <v>267</v>
      </c>
      <c r="B87" t="str">
        <f>IF(INDEX(TestOpt_Latency,1)&lt;=7,"ENABLED","BLOCKED")</f>
        <v>BLOCKED</v>
      </c>
      <c r="C87" t="str">
        <f>IF(INDEX(TestOpt_Latency,1)&lt;=7,"ENABLED","BLOCKED")</f>
        <v>BLOCKED</v>
      </c>
      <c r="D87" t="str">
        <f>IF(INDEX(TestOpt_Latency,1)&lt;=14,"ENABLED","BLOCKED")</f>
        <v>BLOCKED</v>
      </c>
      <c r="E87" t="str">
        <f>IF(INDEX(TestOpt_Latency,1)&lt;=3,"ENABLED","BLOCKED")</f>
        <v>BLOCKED</v>
      </c>
    </row>
    <row r="88" spans="1:5" x14ac:dyDescent="0.2">
      <c r="A88" t="s">
        <v>268</v>
      </c>
      <c r="B88" t="str">
        <f>IF(INDEX(TestOpt_Latency,2)&lt;=7,"ENABLED","BLOCKED")</f>
        <v>BLOCKED</v>
      </c>
      <c r="C88" t="str">
        <f>IF(INDEX(TestOpt_Latency,2)&lt;=7,"ENABLED","BLOCKED")</f>
        <v>BLOCKED</v>
      </c>
      <c r="D88" t="str">
        <f>IF(INDEX(TestOpt_Latency,2)&lt;=14,"ENABLED","BLOCKED")</f>
        <v>BLOCKED</v>
      </c>
      <c r="E88" t="str">
        <f>IF(INDEX(TestOpt_Latency,2)&lt;=3,"ENABLED","BLOCKED")</f>
        <v>BLOCKED</v>
      </c>
    </row>
    <row r="89" spans="1:5" x14ac:dyDescent="0.2">
      <c r="A89" t="s">
        <v>61</v>
      </c>
      <c r="B89" t="str">
        <f>IF(INDEX(TestOpt_Latency,3)&lt;=7,"ENABLED","BLOCKED")</f>
        <v>ENABLED</v>
      </c>
      <c r="C89" t="str">
        <f>IF(INDEX(TestOpt_Latency,3)&lt;=7,"ENABLED","BLOCKED")</f>
        <v>ENABLED</v>
      </c>
      <c r="D89" t="str">
        <f>IF(INDEX(TestOpt_Latency,3)&lt;=14,"ENABLED","BLOCKED")</f>
        <v>ENABLED</v>
      </c>
      <c r="E89" t="str">
        <f>IF(INDEX(TestOpt_Latency,3)&lt;=3,"ENABLED","BLOCKED")</f>
        <v>ENABLED</v>
      </c>
    </row>
    <row r="92" spans="1:5" ht="19" x14ac:dyDescent="0.25">
      <c r="A92" s="4" t="s">
        <v>280</v>
      </c>
    </row>
    <row r="93" spans="1:5" x14ac:dyDescent="0.2">
      <c r="A93" t="s">
        <v>281</v>
      </c>
      <c r="B93" t="s">
        <v>282</v>
      </c>
    </row>
    <row r="94" spans="1:5" x14ac:dyDescent="0.2">
      <c r="A94" t="s">
        <v>267</v>
      </c>
      <c r="B94" t="s">
        <v>65</v>
      </c>
    </row>
    <row r="95" spans="1:5" x14ac:dyDescent="0.2">
      <c r="A95" t="s">
        <v>268</v>
      </c>
      <c r="B95" t="s">
        <v>283</v>
      </c>
    </row>
    <row r="96" spans="1:5" x14ac:dyDescent="0.2">
      <c r="A96" t="s">
        <v>61</v>
      </c>
      <c r="B96" t="s">
        <v>284</v>
      </c>
    </row>
    <row r="98" spans="1:4" ht="19" x14ac:dyDescent="0.25">
      <c r="A98" s="4" t="s">
        <v>285</v>
      </c>
    </row>
    <row r="99" spans="1:4" x14ac:dyDescent="0.2">
      <c r="A99" t="s">
        <v>286</v>
      </c>
    </row>
    <row r="101" spans="1:4" x14ac:dyDescent="0.2">
      <c r="A101" s="6" t="s">
        <v>287</v>
      </c>
    </row>
    <row r="102" spans="1:4" ht="26" customHeight="1" x14ac:dyDescent="0.2">
      <c r="A102" s="7" t="s">
        <v>46</v>
      </c>
      <c r="B102" s="27" t="s">
        <v>288</v>
      </c>
      <c r="C102" s="28"/>
      <c r="D102" s="28"/>
    </row>
    <row r="103" spans="1:4" ht="26" customHeight="1" x14ac:dyDescent="0.2">
      <c r="A103" s="7" t="s">
        <v>48</v>
      </c>
      <c r="B103" s="27" t="s">
        <v>289</v>
      </c>
      <c r="C103" s="28"/>
      <c r="D103" s="28"/>
    </row>
    <row r="104" spans="1:4" ht="39" customHeight="1" x14ac:dyDescent="0.2">
      <c r="A104" s="7" t="s">
        <v>50</v>
      </c>
      <c r="B104" s="27" t="s">
        <v>290</v>
      </c>
      <c r="C104" s="28"/>
      <c r="D104" s="28"/>
    </row>
    <row r="105" spans="1:4" ht="26" customHeight="1" x14ac:dyDescent="0.2">
      <c r="A105" s="7" t="s">
        <v>52</v>
      </c>
      <c r="B105" s="27" t="s">
        <v>291</v>
      </c>
      <c r="C105" s="28"/>
      <c r="D105" s="28"/>
    </row>
    <row r="106" spans="1:4" ht="13" customHeight="1" x14ac:dyDescent="0.2">
      <c r="A106" s="7" t="s">
        <v>54</v>
      </c>
      <c r="B106" s="27" t="s">
        <v>292</v>
      </c>
      <c r="C106" s="28"/>
      <c r="D106" s="28"/>
    </row>
    <row r="107" spans="1:4" x14ac:dyDescent="0.2">
      <c r="A107" s="8" t="s">
        <v>56</v>
      </c>
      <c r="B107" s="8" t="s">
        <v>57</v>
      </c>
      <c r="C107" s="8" t="s">
        <v>182</v>
      </c>
      <c r="D107" s="8" t="s">
        <v>183</v>
      </c>
    </row>
    <row r="108" spans="1:4" x14ac:dyDescent="0.2">
      <c r="A108" t="s">
        <v>293</v>
      </c>
      <c r="B108" s="16">
        <v>63.1</v>
      </c>
      <c r="C108" t="s">
        <v>294</v>
      </c>
      <c r="D108" t="s">
        <v>295</v>
      </c>
    </row>
    <row r="109" spans="1:4" x14ac:dyDescent="0.2">
      <c r="A109" t="s">
        <v>296</v>
      </c>
      <c r="B109" s="16">
        <v>50</v>
      </c>
      <c r="C109" t="s">
        <v>294</v>
      </c>
      <c r="D109" t="s">
        <v>297</v>
      </c>
    </row>
    <row r="110" spans="1:4" x14ac:dyDescent="0.2">
      <c r="A110" t="s">
        <v>298</v>
      </c>
      <c r="B110" s="16">
        <v>0.53200000000000003</v>
      </c>
      <c r="C110" t="s">
        <v>299</v>
      </c>
      <c r="D110" t="s">
        <v>300</v>
      </c>
    </row>
    <row r="111" spans="1:4" x14ac:dyDescent="0.2">
      <c r="A111" t="s">
        <v>301</v>
      </c>
      <c r="B111" s="16">
        <v>0.248</v>
      </c>
      <c r="C111" t="s">
        <v>299</v>
      </c>
      <c r="D111" t="s">
        <v>302</v>
      </c>
    </row>
    <row r="112" spans="1:4" x14ac:dyDescent="0.2">
      <c r="A112" t="s">
        <v>303</v>
      </c>
      <c r="B112" s="9">
        <v>15</v>
      </c>
      <c r="C112" t="s">
        <v>195</v>
      </c>
      <c r="D112" t="s">
        <v>304</v>
      </c>
    </row>
    <row r="113" spans="1:4" x14ac:dyDescent="0.2">
      <c r="A113" t="s">
        <v>305</v>
      </c>
      <c r="B113" s="9">
        <v>14</v>
      </c>
      <c r="C113" t="s">
        <v>195</v>
      </c>
      <c r="D113" t="s">
        <v>306</v>
      </c>
    </row>
    <row r="114" spans="1:4" x14ac:dyDescent="0.2">
      <c r="A114" t="s">
        <v>307</v>
      </c>
      <c r="B114" s="9">
        <v>8772</v>
      </c>
      <c r="C114" t="s">
        <v>308</v>
      </c>
      <c r="D114" t="s">
        <v>309</v>
      </c>
    </row>
    <row r="117" spans="1:4" x14ac:dyDescent="0.2">
      <c r="A117" s="6" t="s">
        <v>310</v>
      </c>
    </row>
    <row r="118" spans="1:4" ht="26" customHeight="1" x14ac:dyDescent="0.2">
      <c r="A118" s="7" t="s">
        <v>46</v>
      </c>
      <c r="B118" s="27" t="s">
        <v>311</v>
      </c>
      <c r="C118" s="28"/>
      <c r="D118" s="28"/>
    </row>
    <row r="119" spans="1:4" ht="26" customHeight="1" x14ac:dyDescent="0.2">
      <c r="A119" s="7" t="s">
        <v>48</v>
      </c>
      <c r="B119" s="27" t="s">
        <v>312</v>
      </c>
      <c r="C119" s="28"/>
      <c r="D119" s="28"/>
    </row>
    <row r="120" spans="1:4" ht="26" customHeight="1" x14ac:dyDescent="0.2">
      <c r="A120" s="7" t="s">
        <v>50</v>
      </c>
      <c r="B120" s="27" t="s">
        <v>313</v>
      </c>
      <c r="C120" s="28"/>
      <c r="D120" s="28"/>
    </row>
    <row r="121" spans="1:4" ht="13" customHeight="1" x14ac:dyDescent="0.2">
      <c r="A121" s="7" t="s">
        <v>52</v>
      </c>
      <c r="B121" s="27" t="s">
        <v>314</v>
      </c>
      <c r="C121" s="28"/>
      <c r="D121" s="28"/>
    </row>
    <row r="122" spans="1:4" ht="13" customHeight="1" x14ac:dyDescent="0.2">
      <c r="A122" s="7" t="s">
        <v>54</v>
      </c>
      <c r="B122" s="27" t="s">
        <v>219</v>
      </c>
      <c r="C122" s="28"/>
      <c r="D122" s="28"/>
    </row>
    <row r="123" spans="1:4" x14ac:dyDescent="0.2">
      <c r="A123" s="8" t="s">
        <v>315</v>
      </c>
      <c r="B123" s="8" t="s">
        <v>316</v>
      </c>
      <c r="C123" s="8" t="s">
        <v>317</v>
      </c>
      <c r="D123" s="8" t="s">
        <v>183</v>
      </c>
    </row>
    <row r="124" spans="1:4" x14ac:dyDescent="0.2">
      <c r="A124" t="s">
        <v>318</v>
      </c>
      <c r="B124" s="9">
        <v>14</v>
      </c>
      <c r="C124" t="s">
        <v>319</v>
      </c>
      <c r="D124" t="s">
        <v>320</v>
      </c>
    </row>
    <row r="125" spans="1:4" x14ac:dyDescent="0.2">
      <c r="A125" t="s">
        <v>321</v>
      </c>
      <c r="B125" s="9">
        <v>28</v>
      </c>
      <c r="C125" t="s">
        <v>322</v>
      </c>
      <c r="D125" t="s">
        <v>323</v>
      </c>
    </row>
    <row r="126" spans="1:4" x14ac:dyDescent="0.2">
      <c r="A126" t="s">
        <v>324</v>
      </c>
      <c r="B126" s="9">
        <v>42</v>
      </c>
      <c r="C126" t="s">
        <v>325</v>
      </c>
      <c r="D126" t="s">
        <v>326</v>
      </c>
    </row>
  </sheetData>
  <mergeCells count="45">
    <mergeCell ref="B121:D121"/>
    <mergeCell ref="B31:D31"/>
    <mergeCell ref="B122:D122"/>
    <mergeCell ref="B102:D102"/>
    <mergeCell ref="B82:E82"/>
    <mergeCell ref="B45:C45"/>
    <mergeCell ref="B105:D105"/>
    <mergeCell ref="B84:E84"/>
    <mergeCell ref="B5:D5"/>
    <mergeCell ref="B73:F73"/>
    <mergeCell ref="B32:D32"/>
    <mergeCell ref="B4:D4"/>
    <mergeCell ref="B35:D35"/>
    <mergeCell ref="B7:D7"/>
    <mergeCell ref="B18:D18"/>
    <mergeCell ref="B21:D21"/>
    <mergeCell ref="B6:D6"/>
    <mergeCell ref="B20:D20"/>
    <mergeCell ref="B33:D33"/>
    <mergeCell ref="B104:D104"/>
    <mergeCell ref="B44:C44"/>
    <mergeCell ref="B74:F74"/>
    <mergeCell ref="B19:D19"/>
    <mergeCell ref="B48:C48"/>
    <mergeCell ref="B118:D118"/>
    <mergeCell ref="B60:C60"/>
    <mergeCell ref="B81:E81"/>
    <mergeCell ref="B57:C57"/>
    <mergeCell ref="B106:D106"/>
    <mergeCell ref="B47:C47"/>
    <mergeCell ref="B120:D120"/>
    <mergeCell ref="B83:E83"/>
    <mergeCell ref="B59:C59"/>
    <mergeCell ref="B8:D8"/>
    <mergeCell ref="B72:F72"/>
    <mergeCell ref="B17:D17"/>
    <mergeCell ref="B46:C46"/>
    <mergeCell ref="B119:D119"/>
    <mergeCell ref="B71:F71"/>
    <mergeCell ref="B56:C56"/>
    <mergeCell ref="B85:E85"/>
    <mergeCell ref="B103:D103"/>
    <mergeCell ref="B34:D34"/>
    <mergeCell ref="B58:C58"/>
    <mergeCell ref="B70:F70"/>
  </mergeCells>
  <pageMargins left="0.75" right="0.75" top="1" bottom="1" header="0.5" footer="0.5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25"/>
  <sheetViews>
    <sheetView workbookViewId="0"/>
  </sheetViews>
  <sheetFormatPr baseColWidth="10" defaultColWidth="8.83203125" defaultRowHeight="15" x14ac:dyDescent="0.2"/>
  <cols>
    <col min="1" max="1" width="12" customWidth="1"/>
    <col min="2" max="2" width="22" customWidth="1"/>
    <col min="3" max="3" width="14" customWidth="1"/>
    <col min="4" max="4" width="24" customWidth="1"/>
    <col min="5" max="5" width="40" customWidth="1"/>
  </cols>
  <sheetData>
    <row r="1" spans="1:5" ht="21" x14ac:dyDescent="0.25">
      <c r="A1" s="5" t="s">
        <v>327</v>
      </c>
    </row>
    <row r="3" spans="1:5" x14ac:dyDescent="0.2">
      <c r="A3" s="6" t="s">
        <v>327</v>
      </c>
    </row>
    <row r="4" spans="1:5" ht="26" customHeight="1" x14ac:dyDescent="0.2">
      <c r="A4" s="7" t="s">
        <v>46</v>
      </c>
      <c r="B4" s="27" t="s">
        <v>328</v>
      </c>
      <c r="C4" s="28"/>
      <c r="D4" s="28"/>
      <c r="E4" s="28"/>
    </row>
    <row r="5" spans="1:5" ht="26" customHeight="1" x14ac:dyDescent="0.2">
      <c r="A5" s="7" t="s">
        <v>48</v>
      </c>
      <c r="B5" s="27" t="s">
        <v>329</v>
      </c>
      <c r="C5" s="28"/>
      <c r="D5" s="28"/>
      <c r="E5" s="28"/>
    </row>
    <row r="6" spans="1:5" ht="52" customHeight="1" x14ac:dyDescent="0.2">
      <c r="A6" s="7" t="s">
        <v>50</v>
      </c>
      <c r="B6" s="27" t="s">
        <v>330</v>
      </c>
      <c r="C6" s="28"/>
      <c r="D6" s="28"/>
      <c r="E6" s="28"/>
    </row>
    <row r="7" spans="1:5" ht="13" customHeight="1" x14ac:dyDescent="0.2">
      <c r="A7" s="7" t="s">
        <v>52</v>
      </c>
      <c r="B7" s="27" t="s">
        <v>331</v>
      </c>
      <c r="C7" s="28"/>
      <c r="D7" s="28"/>
      <c r="E7" s="28"/>
    </row>
    <row r="8" spans="1:5" ht="13" customHeight="1" x14ac:dyDescent="0.2">
      <c r="A8" s="7" t="s">
        <v>54</v>
      </c>
      <c r="B8" s="27" t="s">
        <v>332</v>
      </c>
      <c r="C8" s="28"/>
      <c r="D8" s="28"/>
      <c r="E8" s="28"/>
    </row>
    <row r="9" spans="1:5" x14ac:dyDescent="0.2">
      <c r="A9" s="8" t="s">
        <v>333</v>
      </c>
      <c r="B9" s="8" t="s">
        <v>334</v>
      </c>
      <c r="C9" s="8" t="s">
        <v>335</v>
      </c>
      <c r="D9" s="8" t="s">
        <v>336</v>
      </c>
      <c r="E9" s="8" t="s">
        <v>59</v>
      </c>
    </row>
    <row r="10" spans="1:5" x14ac:dyDescent="0.2">
      <c r="A10" t="s">
        <v>337</v>
      </c>
      <c r="B10" t="s">
        <v>338</v>
      </c>
      <c r="C10" s="14">
        <v>104000</v>
      </c>
      <c r="D10">
        <v>7</v>
      </c>
      <c r="E10" t="s">
        <v>339</v>
      </c>
    </row>
    <row r="11" spans="1:5" x14ac:dyDescent="0.2">
      <c r="A11" t="s">
        <v>340</v>
      </c>
      <c r="B11" t="s">
        <v>341</v>
      </c>
      <c r="C11" s="14">
        <v>67500</v>
      </c>
      <c r="D11">
        <v>7</v>
      </c>
      <c r="E11" t="s">
        <v>342</v>
      </c>
    </row>
    <row r="12" spans="1:5" x14ac:dyDescent="0.2">
      <c r="A12" t="s">
        <v>343</v>
      </c>
      <c r="B12" t="s">
        <v>344</v>
      </c>
      <c r="C12" s="14">
        <v>78000</v>
      </c>
      <c r="D12">
        <v>14</v>
      </c>
      <c r="E12" t="s">
        <v>345</v>
      </c>
    </row>
    <row r="13" spans="1:5" x14ac:dyDescent="0.2">
      <c r="A13" t="s">
        <v>346</v>
      </c>
      <c r="B13" t="s">
        <v>347</v>
      </c>
      <c r="C13" s="14">
        <v>36000</v>
      </c>
      <c r="D13">
        <v>3</v>
      </c>
      <c r="E13" t="s">
        <v>348</v>
      </c>
    </row>
    <row r="16" spans="1:5" x14ac:dyDescent="0.2">
      <c r="A16" s="6" t="s">
        <v>349</v>
      </c>
    </row>
    <row r="17" spans="1:4" ht="26" customHeight="1" x14ac:dyDescent="0.2">
      <c r="A17" s="7" t="s">
        <v>46</v>
      </c>
      <c r="B17" s="27" t="s">
        <v>350</v>
      </c>
      <c r="C17" s="28"/>
      <c r="D17" s="28"/>
    </row>
    <row r="18" spans="1:4" ht="26" customHeight="1" x14ac:dyDescent="0.2">
      <c r="A18" s="7" t="s">
        <v>48</v>
      </c>
      <c r="B18" s="27" t="s">
        <v>351</v>
      </c>
      <c r="C18" s="28"/>
      <c r="D18" s="28"/>
    </row>
    <row r="19" spans="1:4" ht="52" customHeight="1" x14ac:dyDescent="0.2">
      <c r="A19" s="7" t="s">
        <v>50</v>
      </c>
      <c r="B19" s="27" t="s">
        <v>352</v>
      </c>
      <c r="C19" s="28"/>
      <c r="D19" s="28"/>
    </row>
    <row r="20" spans="1:4" ht="26" customHeight="1" x14ac:dyDescent="0.2">
      <c r="A20" s="7" t="s">
        <v>52</v>
      </c>
      <c r="B20" s="27" t="s">
        <v>353</v>
      </c>
      <c r="C20" s="28"/>
      <c r="D20" s="28"/>
    </row>
    <row r="21" spans="1:4" ht="13" customHeight="1" x14ac:dyDescent="0.2">
      <c r="A21" s="7" t="s">
        <v>54</v>
      </c>
      <c r="B21" s="27" t="s">
        <v>354</v>
      </c>
      <c r="C21" s="28"/>
      <c r="D21" s="28"/>
    </row>
    <row r="22" spans="1:4" x14ac:dyDescent="0.2">
      <c r="A22" s="8" t="s">
        <v>93</v>
      </c>
      <c r="B22" s="8" t="s">
        <v>355</v>
      </c>
      <c r="C22" s="8" t="s">
        <v>356</v>
      </c>
      <c r="D22" s="8" t="s">
        <v>357</v>
      </c>
    </row>
    <row r="23" spans="1:4" x14ac:dyDescent="0.2">
      <c r="A23" t="s">
        <v>65</v>
      </c>
      <c r="B23" s="10">
        <v>0</v>
      </c>
      <c r="C23" s="10">
        <v>0</v>
      </c>
      <c r="D23" s="10">
        <v>0</v>
      </c>
    </row>
    <row r="24" spans="1:4" x14ac:dyDescent="0.2">
      <c r="A24" t="s">
        <v>283</v>
      </c>
      <c r="B24" s="10">
        <v>4.0000000000000001E-3</v>
      </c>
      <c r="C24" s="10">
        <v>-0.02</v>
      </c>
      <c r="D24" s="10">
        <v>0.1</v>
      </c>
    </row>
    <row r="25" spans="1:4" x14ac:dyDescent="0.2">
      <c r="A25" t="s">
        <v>284</v>
      </c>
      <c r="B25" s="10">
        <v>-3.0000000000000001E-3</v>
      </c>
      <c r="C25" s="10">
        <v>0.01</v>
      </c>
      <c r="D25" s="10">
        <v>-0.1</v>
      </c>
    </row>
  </sheetData>
  <mergeCells count="10">
    <mergeCell ref="B21:D21"/>
    <mergeCell ref="B5:E5"/>
    <mergeCell ref="B20:D20"/>
    <mergeCell ref="B19:D19"/>
    <mergeCell ref="B8:E8"/>
    <mergeCell ref="B4:E4"/>
    <mergeCell ref="B6:E6"/>
    <mergeCell ref="B17:D17"/>
    <mergeCell ref="B18:D18"/>
    <mergeCell ref="B7:E7"/>
  </mergeCells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35"/>
  <sheetViews>
    <sheetView workbookViewId="0"/>
  </sheetViews>
  <sheetFormatPr baseColWidth="10" defaultColWidth="8.83203125" defaultRowHeight="15" x14ac:dyDescent="0.2"/>
  <cols>
    <col min="1" max="1" width="28" customWidth="1"/>
    <col min="2" max="5" width="12" customWidth="1"/>
    <col min="6" max="6" width="35" customWidth="1"/>
  </cols>
  <sheetData>
    <row r="1" spans="1:5" ht="21" x14ac:dyDescent="0.25">
      <c r="A1" s="5" t="s">
        <v>358</v>
      </c>
    </row>
    <row r="3" spans="1:5" x14ac:dyDescent="0.2">
      <c r="A3" s="6" t="s">
        <v>359</v>
      </c>
    </row>
    <row r="4" spans="1:5" ht="26" customHeight="1" x14ac:dyDescent="0.2">
      <c r="A4" s="7" t="s">
        <v>46</v>
      </c>
      <c r="B4" s="27" t="s">
        <v>360</v>
      </c>
      <c r="C4" s="28"/>
      <c r="D4" s="28"/>
      <c r="E4" s="28"/>
    </row>
    <row r="5" spans="1:5" ht="26" customHeight="1" x14ac:dyDescent="0.2">
      <c r="A5" s="7" t="s">
        <v>48</v>
      </c>
      <c r="B5" s="27" t="s">
        <v>361</v>
      </c>
      <c r="C5" s="28"/>
      <c r="D5" s="28"/>
      <c r="E5" s="28"/>
    </row>
    <row r="6" spans="1:5" ht="52" customHeight="1" x14ac:dyDescent="0.2">
      <c r="A6" s="7" t="s">
        <v>50</v>
      </c>
      <c r="B6" s="27" t="s">
        <v>362</v>
      </c>
      <c r="C6" s="28"/>
      <c r="D6" s="28"/>
      <c r="E6" s="28"/>
    </row>
    <row r="7" spans="1:5" ht="13" customHeight="1" x14ac:dyDescent="0.2">
      <c r="A7" s="7" t="s">
        <v>52</v>
      </c>
      <c r="B7" s="27" t="s">
        <v>363</v>
      </c>
      <c r="C7" s="28"/>
      <c r="D7" s="28"/>
      <c r="E7" s="28"/>
    </row>
    <row r="8" spans="1:5" ht="13" customHeight="1" x14ac:dyDescent="0.2">
      <c r="A8" s="7" t="s">
        <v>54</v>
      </c>
      <c r="B8" s="27" t="s">
        <v>364</v>
      </c>
      <c r="C8" s="28"/>
      <c r="D8" s="28"/>
      <c r="E8" s="28"/>
    </row>
    <row r="9" spans="1:5" x14ac:dyDescent="0.2">
      <c r="A9" s="8" t="s">
        <v>365</v>
      </c>
      <c r="B9" s="8" t="s">
        <v>366</v>
      </c>
      <c r="C9" s="8" t="s">
        <v>367</v>
      </c>
      <c r="D9" s="8" t="s">
        <v>368</v>
      </c>
      <c r="E9" s="8" t="s">
        <v>369</v>
      </c>
    </row>
    <row r="10" spans="1:5" x14ac:dyDescent="0.2">
      <c r="A10" t="s">
        <v>370</v>
      </c>
      <c r="B10" s="9">
        <v>14</v>
      </c>
      <c r="C10" s="9">
        <v>21</v>
      </c>
      <c r="D10" s="9">
        <v>35</v>
      </c>
      <c r="E10" t="s">
        <v>195</v>
      </c>
    </row>
    <row r="11" spans="1:5" x14ac:dyDescent="0.2">
      <c r="A11" t="s">
        <v>371</v>
      </c>
      <c r="B11" s="14">
        <v>3000</v>
      </c>
      <c r="C11" s="14">
        <v>7500</v>
      </c>
      <c r="D11" s="14">
        <v>15000</v>
      </c>
      <c r="E11" t="s">
        <v>240</v>
      </c>
    </row>
    <row r="12" spans="1:5" x14ac:dyDescent="0.2">
      <c r="A12" t="s">
        <v>372</v>
      </c>
      <c r="B12" s="9">
        <v>1</v>
      </c>
      <c r="C12" s="9">
        <v>3</v>
      </c>
      <c r="D12" s="9">
        <v>8</v>
      </c>
      <c r="E12" t="s">
        <v>373</v>
      </c>
    </row>
    <row r="13" spans="1:5" x14ac:dyDescent="0.2">
      <c r="A13" t="s">
        <v>374</v>
      </c>
      <c r="B13" s="9">
        <v>0.7</v>
      </c>
      <c r="C13" s="9">
        <v>1</v>
      </c>
      <c r="D13" s="9">
        <v>1.3</v>
      </c>
      <c r="E13" t="s">
        <v>375</v>
      </c>
    </row>
    <row r="16" spans="1:5" x14ac:dyDescent="0.2">
      <c r="A16" s="6" t="s">
        <v>376</v>
      </c>
    </row>
    <row r="17" spans="1:6" ht="13" customHeight="1" x14ac:dyDescent="0.2">
      <c r="A17" s="7" t="s">
        <v>46</v>
      </c>
      <c r="B17" s="27" t="s">
        <v>377</v>
      </c>
      <c r="C17" s="28"/>
      <c r="D17" s="28"/>
      <c r="E17" s="28"/>
      <c r="F17" s="28"/>
    </row>
    <row r="18" spans="1:6" ht="13" customHeight="1" x14ac:dyDescent="0.2">
      <c r="A18" s="7" t="s">
        <v>48</v>
      </c>
      <c r="B18" s="27" t="s">
        <v>378</v>
      </c>
      <c r="C18" s="28"/>
      <c r="D18" s="28"/>
      <c r="E18" s="28"/>
      <c r="F18" s="28"/>
    </row>
    <row r="19" spans="1:6" ht="26" customHeight="1" x14ac:dyDescent="0.2">
      <c r="A19" s="7" t="s">
        <v>50</v>
      </c>
      <c r="B19" s="27" t="s">
        <v>379</v>
      </c>
      <c r="C19" s="28"/>
      <c r="D19" s="28"/>
      <c r="E19" s="28"/>
      <c r="F19" s="28"/>
    </row>
    <row r="20" spans="1:6" ht="13" customHeight="1" x14ac:dyDescent="0.2">
      <c r="A20" s="7" t="s">
        <v>52</v>
      </c>
      <c r="B20" s="27" t="s">
        <v>380</v>
      </c>
      <c r="C20" s="28"/>
      <c r="D20" s="28"/>
      <c r="E20" s="28"/>
      <c r="F20" s="28"/>
    </row>
    <row r="21" spans="1:6" ht="13" customHeight="1" x14ac:dyDescent="0.2">
      <c r="A21" s="7" t="s">
        <v>54</v>
      </c>
      <c r="B21" s="27" t="s">
        <v>381</v>
      </c>
      <c r="C21" s="28"/>
      <c r="D21" s="28"/>
      <c r="E21" s="28"/>
      <c r="F21" s="28"/>
    </row>
    <row r="22" spans="1:6" x14ac:dyDescent="0.2">
      <c r="A22" s="8" t="s">
        <v>365</v>
      </c>
      <c r="B22" s="8" t="s">
        <v>382</v>
      </c>
      <c r="C22" s="8" t="s">
        <v>383</v>
      </c>
      <c r="D22" s="8" t="s">
        <v>366</v>
      </c>
      <c r="E22" s="8" t="s">
        <v>368</v>
      </c>
      <c r="F22" s="8" t="s">
        <v>369</v>
      </c>
    </row>
    <row r="23" spans="1:6" x14ac:dyDescent="0.2">
      <c r="A23" t="s">
        <v>384</v>
      </c>
      <c r="B23" s="9">
        <v>2</v>
      </c>
      <c r="C23" s="9">
        <v>5</v>
      </c>
      <c r="D23" s="9">
        <v>0.05</v>
      </c>
      <c r="E23" s="9">
        <v>0.4</v>
      </c>
      <c r="F23" t="s">
        <v>385</v>
      </c>
    </row>
    <row r="26" spans="1:6" x14ac:dyDescent="0.2">
      <c r="A26" s="6" t="s">
        <v>386</v>
      </c>
    </row>
    <row r="27" spans="1:6" ht="26" customHeight="1" x14ac:dyDescent="0.2">
      <c r="A27" s="7" t="s">
        <v>46</v>
      </c>
      <c r="B27" s="27" t="s">
        <v>387</v>
      </c>
      <c r="C27" s="28"/>
      <c r="D27" s="28"/>
      <c r="E27" s="28"/>
    </row>
    <row r="28" spans="1:6" ht="13" customHeight="1" x14ac:dyDescent="0.2">
      <c r="A28" s="7" t="s">
        <v>48</v>
      </c>
      <c r="B28" s="27" t="s">
        <v>388</v>
      </c>
      <c r="C28" s="28"/>
      <c r="D28" s="28"/>
      <c r="E28" s="28"/>
    </row>
    <row r="29" spans="1:6" ht="52" customHeight="1" x14ac:dyDescent="0.2">
      <c r="A29" s="7" t="s">
        <v>50</v>
      </c>
      <c r="B29" s="27" t="s">
        <v>389</v>
      </c>
      <c r="C29" s="28"/>
      <c r="D29" s="28"/>
      <c r="E29" s="28"/>
    </row>
    <row r="30" spans="1:6" ht="13" customHeight="1" x14ac:dyDescent="0.2">
      <c r="A30" s="7" t="s">
        <v>52</v>
      </c>
      <c r="B30" s="27" t="s">
        <v>390</v>
      </c>
      <c r="C30" s="28"/>
      <c r="D30" s="28"/>
      <c r="E30" s="28"/>
    </row>
    <row r="31" spans="1:6" ht="13" customHeight="1" x14ac:dyDescent="0.2">
      <c r="A31" s="7" t="s">
        <v>54</v>
      </c>
      <c r="B31" s="27" t="s">
        <v>391</v>
      </c>
      <c r="C31" s="28"/>
      <c r="D31" s="28"/>
      <c r="E31" s="28"/>
    </row>
    <row r="32" spans="1:6" x14ac:dyDescent="0.2">
      <c r="A32" s="8" t="s">
        <v>392</v>
      </c>
      <c r="B32" s="8" t="s">
        <v>393</v>
      </c>
      <c r="C32" s="8" t="s">
        <v>65</v>
      </c>
      <c r="D32" s="8" t="s">
        <v>394</v>
      </c>
      <c r="E32" s="8" t="s">
        <v>395</v>
      </c>
    </row>
    <row r="33" spans="1:5" x14ac:dyDescent="0.2">
      <c r="A33" t="s">
        <v>396</v>
      </c>
      <c r="B33" s="14">
        <v>3</v>
      </c>
      <c r="C33" s="14">
        <v>5</v>
      </c>
      <c r="D33" s="14">
        <v>8</v>
      </c>
      <c r="E33" t="s">
        <v>397</v>
      </c>
    </row>
    <row r="34" spans="1:5" x14ac:dyDescent="0.2">
      <c r="A34" t="s">
        <v>398</v>
      </c>
      <c r="B34" s="14">
        <v>10</v>
      </c>
      <c r="C34" s="14">
        <v>20</v>
      </c>
      <c r="D34" s="14">
        <v>30</v>
      </c>
      <c r="E34" t="s">
        <v>399</v>
      </c>
    </row>
    <row r="35" spans="1:5" x14ac:dyDescent="0.2">
      <c r="A35" t="s">
        <v>400</v>
      </c>
      <c r="B35" s="14">
        <v>21</v>
      </c>
      <c r="C35" s="14">
        <v>50</v>
      </c>
      <c r="D35" s="14">
        <v>93</v>
      </c>
      <c r="E35" t="s">
        <v>401</v>
      </c>
    </row>
  </sheetData>
  <mergeCells count="15">
    <mergeCell ref="B21:F21"/>
    <mergeCell ref="B31:E31"/>
    <mergeCell ref="B27:E27"/>
    <mergeCell ref="B8:E8"/>
    <mergeCell ref="B4:E4"/>
    <mergeCell ref="B20:F20"/>
    <mergeCell ref="B6:E6"/>
    <mergeCell ref="B30:E30"/>
    <mergeCell ref="B19:F19"/>
    <mergeCell ref="B29:E29"/>
    <mergeCell ref="B7:E7"/>
    <mergeCell ref="B5:E5"/>
    <mergeCell ref="B28:E28"/>
    <mergeCell ref="B17:F17"/>
    <mergeCell ref="B18:F18"/>
  </mergeCells>
  <pageMargins left="0.75" right="0.75" top="1" bottom="1" header="0.5" footer="0.5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E30"/>
  <sheetViews>
    <sheetView workbookViewId="0"/>
  </sheetViews>
  <sheetFormatPr baseColWidth="10" defaultColWidth="8.83203125" defaultRowHeight="15" x14ac:dyDescent="0.2"/>
  <cols>
    <col min="1" max="1" width="20" customWidth="1"/>
    <col min="2" max="2" width="36" customWidth="1"/>
    <col min="3" max="3" width="16" customWidth="1"/>
    <col min="4" max="4" width="12" customWidth="1"/>
    <col min="5" max="5" width="14" customWidth="1"/>
  </cols>
  <sheetData>
    <row r="1" spans="1:5" ht="21" x14ac:dyDescent="0.25">
      <c r="A1" s="5" t="s">
        <v>402</v>
      </c>
    </row>
    <row r="3" spans="1:5" x14ac:dyDescent="0.2">
      <c r="A3" s="32" t="s">
        <v>403</v>
      </c>
      <c r="B3" s="30"/>
      <c r="C3" s="30"/>
      <c r="D3" s="30"/>
      <c r="E3" s="31"/>
    </row>
    <row r="4" spans="1:5" ht="135" customHeight="1" x14ac:dyDescent="0.2">
      <c r="A4" s="29" t="s">
        <v>404</v>
      </c>
      <c r="B4" s="30"/>
      <c r="C4" s="30"/>
      <c r="D4" s="30"/>
      <c r="E4" s="31"/>
    </row>
    <row r="6" spans="1:5" x14ac:dyDescent="0.2">
      <c r="A6" s="6" t="s">
        <v>402</v>
      </c>
    </row>
    <row r="7" spans="1:5" ht="26" customHeight="1" x14ac:dyDescent="0.2">
      <c r="A7" s="7" t="s">
        <v>46</v>
      </c>
      <c r="B7" s="27" t="s">
        <v>405</v>
      </c>
      <c r="C7" s="28"/>
      <c r="D7" s="28"/>
      <c r="E7" s="28"/>
    </row>
    <row r="8" spans="1:5" ht="13" customHeight="1" x14ac:dyDescent="0.2">
      <c r="A8" s="7" t="s">
        <v>48</v>
      </c>
      <c r="B8" s="27" t="s">
        <v>406</v>
      </c>
      <c r="C8" s="28"/>
      <c r="D8" s="28"/>
      <c r="E8" s="28"/>
    </row>
    <row r="9" spans="1:5" ht="39" customHeight="1" x14ac:dyDescent="0.2">
      <c r="A9" s="7" t="s">
        <v>50</v>
      </c>
      <c r="B9" s="27" t="s">
        <v>407</v>
      </c>
      <c r="C9" s="28"/>
      <c r="D9" s="28"/>
      <c r="E9" s="28"/>
    </row>
    <row r="10" spans="1:5" ht="13" customHeight="1" x14ac:dyDescent="0.2">
      <c r="A10" s="7" t="s">
        <v>52</v>
      </c>
      <c r="B10" s="27" t="s">
        <v>408</v>
      </c>
      <c r="C10" s="28"/>
      <c r="D10" s="28"/>
      <c r="E10" s="28"/>
    </row>
    <row r="11" spans="1:5" ht="13" customHeight="1" x14ac:dyDescent="0.2">
      <c r="A11" s="7" t="s">
        <v>54</v>
      </c>
      <c r="B11" s="27" t="s">
        <v>409</v>
      </c>
      <c r="C11" s="28"/>
      <c r="D11" s="28"/>
      <c r="E11" s="28"/>
    </row>
    <row r="12" spans="1:5" x14ac:dyDescent="0.2">
      <c r="A12" s="8" t="s">
        <v>410</v>
      </c>
      <c r="B12" s="8" t="s">
        <v>411</v>
      </c>
      <c r="C12" s="8" t="s">
        <v>194</v>
      </c>
      <c r="D12" s="8" t="s">
        <v>412</v>
      </c>
      <c r="E12" s="8" t="s">
        <v>413</v>
      </c>
    </row>
    <row r="13" spans="1:5" x14ac:dyDescent="0.2">
      <c r="A13">
        <v>0</v>
      </c>
      <c r="B13">
        <f>Base_Year+0</f>
        <v>2026</v>
      </c>
      <c r="C13">
        <f t="shared" ref="C13:C18" si="0">Season_Length</f>
        <v>100</v>
      </c>
      <c r="D13">
        <v>1</v>
      </c>
      <c r="E13">
        <v>1</v>
      </c>
    </row>
    <row r="14" spans="1:5" x14ac:dyDescent="0.2">
      <c r="A14">
        <v>1</v>
      </c>
      <c r="B14">
        <f>Base_Year+1</f>
        <v>2027</v>
      </c>
      <c r="C14">
        <f t="shared" si="0"/>
        <v>100</v>
      </c>
      <c r="D14">
        <f>1/(1+Discount_Rate)^1</f>
        <v>0.95419847328244267</v>
      </c>
      <c r="E14">
        <f>INDEX(LearningCurve_Mult,1)</f>
        <v>0.5</v>
      </c>
    </row>
    <row r="15" spans="1:5" x14ac:dyDescent="0.2">
      <c r="A15">
        <v>2</v>
      </c>
      <c r="B15">
        <f>Base_Year+2</f>
        <v>2028</v>
      </c>
      <c r="C15">
        <f t="shared" si="0"/>
        <v>100</v>
      </c>
      <c r="D15">
        <f>1/(1+Discount_Rate)^2</f>
        <v>0.91049472641454443</v>
      </c>
      <c r="E15">
        <f>INDEX(LearningCurve_Mult,2)</f>
        <v>0.75</v>
      </c>
    </row>
    <row r="16" spans="1:5" x14ac:dyDescent="0.2">
      <c r="A16">
        <v>3</v>
      </c>
      <c r="B16">
        <f>Base_Year+3</f>
        <v>2029</v>
      </c>
      <c r="C16">
        <f t="shared" si="0"/>
        <v>100</v>
      </c>
      <c r="D16">
        <f>1/(1+Discount_Rate)^3</f>
        <v>0.86879267787647374</v>
      </c>
      <c r="E16">
        <f>INDEX(LearningCurve_Mult,3)</f>
        <v>1</v>
      </c>
    </row>
    <row r="17" spans="1:5" x14ac:dyDescent="0.2">
      <c r="A17">
        <v>4</v>
      </c>
      <c r="B17">
        <f>Base_Year+4</f>
        <v>2030</v>
      </c>
      <c r="C17">
        <f t="shared" si="0"/>
        <v>100</v>
      </c>
      <c r="D17">
        <f>1/(1+Discount_Rate)^4</f>
        <v>0.82900064682869612</v>
      </c>
      <c r="E17">
        <f>INDEX(LearningCurve_Mult,4)</f>
        <v>1</v>
      </c>
    </row>
    <row r="18" spans="1:5" x14ac:dyDescent="0.2">
      <c r="A18">
        <v>5</v>
      </c>
      <c r="B18">
        <f>Base_Year+5</f>
        <v>2031</v>
      </c>
      <c r="C18">
        <f t="shared" si="0"/>
        <v>100</v>
      </c>
      <c r="D18">
        <f>1/(1+Discount_Rate)^5</f>
        <v>0.79103115155409931</v>
      </c>
      <c r="E18">
        <f>INDEX(LearningCurve_Mult,5)</f>
        <v>1</v>
      </c>
    </row>
    <row r="21" spans="1:5" ht="19" x14ac:dyDescent="0.25">
      <c r="A21" s="4" t="s">
        <v>414</v>
      </c>
    </row>
    <row r="22" spans="1:5" x14ac:dyDescent="0.2">
      <c r="A22" s="17" t="s">
        <v>415</v>
      </c>
    </row>
    <row r="23" spans="1:5" x14ac:dyDescent="0.2">
      <c r="A23" s="8" t="s">
        <v>416</v>
      </c>
      <c r="B23" s="8" t="s">
        <v>417</v>
      </c>
      <c r="C23" s="8" t="s">
        <v>57</v>
      </c>
      <c r="D23" s="8" t="s">
        <v>182</v>
      </c>
    </row>
    <row r="24" spans="1:5" x14ac:dyDescent="0.2">
      <c r="A24" t="s">
        <v>418</v>
      </c>
      <c r="B24" t="s">
        <v>419</v>
      </c>
      <c r="C24" s="18">
        <f ca="1">Rapid_Phase_Rate*Stoch_TreatmentRate</f>
        <v>0.47570296023517172</v>
      </c>
      <c r="D24" t="s">
        <v>299</v>
      </c>
    </row>
    <row r="25" spans="1:5" x14ac:dyDescent="0.2">
      <c r="A25" t="s">
        <v>420</v>
      </c>
      <c r="B25" t="s">
        <v>421</v>
      </c>
      <c r="C25" s="18">
        <f ca="1">Slow_Phase_Rate*Stoch_TreatmentRate</f>
        <v>0.2217562671772981</v>
      </c>
      <c r="D25" t="s">
        <v>299</v>
      </c>
    </row>
    <row r="26" spans="1:5" x14ac:dyDescent="0.2">
      <c r="A26" t="s">
        <v>422</v>
      </c>
      <c r="B26" t="s">
        <v>423</v>
      </c>
      <c r="C26" s="19">
        <f ca="1">MAX(0,Initial_NAFC-Eff_Rapid_Rate*Rapid_Phase_Duration)</f>
        <v>55.964455596472426</v>
      </c>
      <c r="D26" t="s">
        <v>294</v>
      </c>
    </row>
    <row r="27" spans="1:5" x14ac:dyDescent="0.2">
      <c r="A27" t="s">
        <v>424</v>
      </c>
      <c r="B27" t="s">
        <v>425</v>
      </c>
      <c r="C27" s="20">
        <f ca="1">IF(Initial_NAFC&lt;=Target_NAFC,0,IF(NAFC_After_Rapid&lt;=Target_NAFC,(Initial_NAFC-Target_NAFC)/Eff_Rapid_Rate,Rapid_Phase_Duration+(NAFC_After_Rapid-Target_NAFC)/Eff_Slow_Rate))</f>
        <v>41.89644659153528</v>
      </c>
      <c r="D27" t="s">
        <v>195</v>
      </c>
    </row>
    <row r="28" spans="1:5" x14ac:dyDescent="0.2">
      <c r="A28" t="s">
        <v>426</v>
      </c>
      <c r="B28" t="s">
        <v>427</v>
      </c>
      <c r="C28" s="21">
        <f ca="1">CEILING(Days_to_Compliance/Recirculation_Cycle,1)</f>
        <v>3</v>
      </c>
      <c r="D28" t="s">
        <v>428</v>
      </c>
    </row>
    <row r="29" spans="1:5" x14ac:dyDescent="0.2">
      <c r="A29" t="s">
        <v>429</v>
      </c>
      <c r="B29" t="s">
        <v>430</v>
      </c>
      <c r="C29" s="22">
        <f>(Initial_NAFC-Target_NAFC)/Initial_NAFC</f>
        <v>0.2076069730586371</v>
      </c>
      <c r="D29" t="s">
        <v>385</v>
      </c>
    </row>
    <row r="30" spans="1:5" x14ac:dyDescent="0.2">
      <c r="A30" t="s">
        <v>431</v>
      </c>
      <c r="B30" t="s">
        <v>432</v>
      </c>
      <c r="C30" t="str">
        <f ca="1">IF(Days_to_Compliance&lt;=Season_Length,"ACHIEVABLE","EXCEEDS SEASON")</f>
        <v>ACHIEVABLE</v>
      </c>
      <c r="D30" t="s">
        <v>433</v>
      </c>
    </row>
  </sheetData>
  <mergeCells count="7">
    <mergeCell ref="A3:E3"/>
    <mergeCell ref="B9:E9"/>
    <mergeCell ref="A4:E4"/>
    <mergeCell ref="B8:E8"/>
    <mergeCell ref="B7:E7"/>
    <mergeCell ref="B11:E11"/>
    <mergeCell ref="B10:E10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C18"/>
  <sheetViews>
    <sheetView workbookViewId="0"/>
  </sheetViews>
  <sheetFormatPr baseColWidth="10" defaultColWidth="8.83203125" defaultRowHeight="15" x14ac:dyDescent="0.2"/>
  <cols>
    <col min="1" max="1" width="22" customWidth="1"/>
    <col min="2" max="2" width="12" customWidth="1"/>
    <col min="3" max="3" width="70" customWidth="1"/>
  </cols>
  <sheetData>
    <row r="1" spans="1:3" ht="21" x14ac:dyDescent="0.25">
      <c r="A1" s="5" t="s">
        <v>434</v>
      </c>
    </row>
    <row r="2" spans="1:3" x14ac:dyDescent="0.2">
      <c r="A2" s="12" t="s">
        <v>435</v>
      </c>
    </row>
    <row r="4" spans="1:3" x14ac:dyDescent="0.2">
      <c r="A4" s="32" t="s">
        <v>436</v>
      </c>
      <c r="B4" s="30"/>
      <c r="C4" s="31"/>
    </row>
    <row r="5" spans="1:3" ht="195" customHeight="1" x14ac:dyDescent="0.2">
      <c r="A5" s="29" t="s">
        <v>437</v>
      </c>
      <c r="B5" s="30"/>
      <c r="C5" s="31"/>
    </row>
    <row r="7" spans="1:3" x14ac:dyDescent="0.2">
      <c r="A7" s="6" t="s">
        <v>434</v>
      </c>
    </row>
    <row r="8" spans="1:3" ht="39" customHeight="1" x14ac:dyDescent="0.2">
      <c r="A8" s="7" t="s">
        <v>46</v>
      </c>
      <c r="B8" s="27" t="s">
        <v>438</v>
      </c>
      <c r="C8" s="28"/>
    </row>
    <row r="9" spans="1:3" ht="26" customHeight="1" x14ac:dyDescent="0.2">
      <c r="A9" s="7" t="s">
        <v>48</v>
      </c>
      <c r="B9" s="27" t="s">
        <v>439</v>
      </c>
      <c r="C9" s="28"/>
    </row>
    <row r="10" spans="1:3" ht="65" customHeight="1" x14ac:dyDescent="0.2">
      <c r="A10" s="7" t="s">
        <v>50</v>
      </c>
      <c r="B10" s="27" t="s">
        <v>440</v>
      </c>
      <c r="C10" s="28"/>
    </row>
    <row r="11" spans="1:3" ht="26" customHeight="1" x14ac:dyDescent="0.2">
      <c r="A11" s="7" t="s">
        <v>52</v>
      </c>
      <c r="B11" s="27" t="s">
        <v>441</v>
      </c>
      <c r="C11" s="28"/>
    </row>
    <row r="12" spans="1:3" ht="26" customHeight="1" x14ac:dyDescent="0.2">
      <c r="A12" s="7" t="s">
        <v>54</v>
      </c>
      <c r="B12" s="27" t="s">
        <v>442</v>
      </c>
      <c r="C12" s="28"/>
    </row>
    <row r="13" spans="1:3" x14ac:dyDescent="0.2">
      <c r="A13" s="8" t="s">
        <v>365</v>
      </c>
      <c r="B13" s="8" t="s">
        <v>443</v>
      </c>
      <c r="C13" s="8" t="s">
        <v>444</v>
      </c>
    </row>
    <row r="14" spans="1:3" x14ac:dyDescent="0.2">
      <c r="A14" t="s">
        <v>445</v>
      </c>
      <c r="B14">
        <f ca="1">RAND()</f>
        <v>0.13630084358775763</v>
      </c>
      <c r="C14">
        <f ca="1">IF(B14&lt;(Tri_Season_Extension_Days_Mode-Tri_Season_Extension_Days_Min)/(Tri_Season_Extension_Days_Max-Tri_Season_Extension_Days_Min),Tri_Season_Extension_Days_Min+SQRT(B14*(Tri_Season_Extension_Days_Max-Tri_Season_Extension_Days_Min)*(Tri_Season_Extension_Days_Mode-Tri_Season_Extension_Days_Min)),Tri_Season_Extension_Days_Max-SQRT((1-B14)*(Tri_Season_Extension_Days_Max-Tri_Season_Extension_Days_Min)*(Tri_Season_Extension_Days_Max-Tri_Season_Extension_Days_Mode)))</f>
        <v>18.47618408998115</v>
      </c>
    </row>
    <row r="15" spans="1:3" x14ac:dyDescent="0.2">
      <c r="A15" t="s">
        <v>446</v>
      </c>
      <c r="B15">
        <f ca="1">RAND()</f>
        <v>0.65714102315088496</v>
      </c>
      <c r="C15">
        <f ca="1">IF(B15&lt;(Tri_Extension_Value_Per_Day_Mode-Tri_Extension_Value_Per_Day_Min)/(Tri_Extension_Value_Per_Day_Max-Tri_Extension_Value_Per_Day_Min),Tri_Extension_Value_Per_Day_Min+SQRT(B15*(Tri_Extension_Value_Per_Day_Max-Tri_Extension_Value_Per_Day_Min)*(Tri_Extension_Value_Per_Day_Mode-Tri_Extension_Value_Per_Day_Min)),Tri_Extension_Value_Per_Day_Max-SQRT((1-B15)*(Tri_Extension_Value_Per_Day_Max-Tri_Extension_Value_Per_Day_Min)*(Tri_Extension_Value_Per_Day_Max-Tri_Extension_Value_Per_Day_Mode)))</f>
        <v>9445.0645443515423</v>
      </c>
    </row>
    <row r="16" spans="1:3" x14ac:dyDescent="0.2">
      <c r="A16" t="s">
        <v>372</v>
      </c>
      <c r="B16">
        <f ca="1">RAND()</f>
        <v>3.124102088079872E-2</v>
      </c>
      <c r="C16">
        <f ca="1">IF(B16&lt;(Tri_Interventions_Avoided_Mode-Tri_Interventions_Avoided_Min)/(Tri_Interventions_Avoided_Max-Tri_Interventions_Avoided_Min),Tri_Interventions_Avoided_Min+SQRT(B16*(Tri_Interventions_Avoided_Max-Tri_Interventions_Avoided_Min)*(Tri_Interventions_Avoided_Mode-Tri_Interventions_Avoided_Min)),Tri_Interventions_Avoided_Max-SQRT((1-B16)*(Tri_Interventions_Avoided_Max-Tri_Interventions_Avoided_Min)*(Tri_Interventions_Avoided_Max-Tri_Interventions_Avoided_Mode)))</f>
        <v>1.6613427948735677</v>
      </c>
    </row>
    <row r="17" spans="1:3" x14ac:dyDescent="0.2">
      <c r="A17" t="s">
        <v>384</v>
      </c>
      <c r="B17">
        <f ca="1">RAND()</f>
        <v>3.8392084949644745E-2</v>
      </c>
      <c r="C17">
        <f ca="1">Beta_Efficiency_Gain_Min+(Beta_Efficiency_Gain_Max-Beta_Efficiency_Gain_Min)*B17</f>
        <v>6.3437229732375672E-2</v>
      </c>
    </row>
    <row r="18" spans="1:3" x14ac:dyDescent="0.2">
      <c r="A18" t="s">
        <v>374</v>
      </c>
      <c r="B18">
        <f ca="1">RAND()</f>
        <v>0.20947382541075188</v>
      </c>
      <c r="C18">
        <f ca="1">IF(B18&lt;(Tri_Treatment_Rate_Factor_Mode-Tri_Treatment_Rate_Factor_Min)/(Tri_Treatment_Rate_Factor_Max-Tri_Treatment_Rate_Factor_Min),Tri_Treatment_Rate_Factor_Min+SQRT(B18*(Tri_Treatment_Rate_Factor_Max-Tri_Treatment_Rate_Factor_Min)*(Tri_Treatment_Rate_Factor_Mode-Tri_Treatment_Rate_Factor_Min)),Tri_Treatment_Rate_Factor_Max-SQRT((1-B18)*(Tri_Treatment_Rate_Factor_Max-Tri_Treatment_Rate_Factor_Min)*(Tri_Treatment_Rate_Factor_Max-Tri_Treatment_Rate_Factor_Mode)))</f>
        <v>0.89417849668265359</v>
      </c>
    </row>
  </sheetData>
  <mergeCells count="7">
    <mergeCell ref="B12:C12"/>
    <mergeCell ref="A5:C5"/>
    <mergeCell ref="B11:C11"/>
    <mergeCell ref="B10:C10"/>
    <mergeCell ref="B9:C9"/>
    <mergeCell ref="A4:C4"/>
    <mergeCell ref="B8:C8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E18"/>
  <sheetViews>
    <sheetView workbookViewId="0"/>
  </sheetViews>
  <sheetFormatPr baseColWidth="10" defaultColWidth="8.83203125" defaultRowHeight="15" x14ac:dyDescent="0.2"/>
  <cols>
    <col min="1" max="1" width="28" customWidth="1"/>
    <col min="2" max="5" width="14" customWidth="1"/>
  </cols>
  <sheetData>
    <row r="1" spans="1:5" ht="21" x14ac:dyDescent="0.25">
      <c r="A1" s="5" t="s">
        <v>447</v>
      </c>
    </row>
    <row r="3" spans="1:5" x14ac:dyDescent="0.2">
      <c r="A3" s="32" t="s">
        <v>448</v>
      </c>
      <c r="B3" s="30"/>
      <c r="C3" s="30"/>
      <c r="D3" s="30"/>
      <c r="E3" s="31"/>
    </row>
    <row r="4" spans="1:5" ht="225" customHeight="1" x14ac:dyDescent="0.2">
      <c r="A4" s="29" t="s">
        <v>449</v>
      </c>
      <c r="B4" s="30"/>
      <c r="C4" s="30"/>
      <c r="D4" s="30"/>
      <c r="E4" s="31"/>
    </row>
    <row r="6" spans="1:5" x14ac:dyDescent="0.2">
      <c r="A6" s="6" t="s">
        <v>447</v>
      </c>
    </row>
    <row r="7" spans="1:5" ht="13" customHeight="1" x14ac:dyDescent="0.2">
      <c r="A7" s="7" t="s">
        <v>46</v>
      </c>
      <c r="B7" s="27" t="s">
        <v>450</v>
      </c>
      <c r="C7" s="28"/>
      <c r="D7" s="28"/>
      <c r="E7" s="28"/>
    </row>
    <row r="8" spans="1:5" ht="26" customHeight="1" x14ac:dyDescent="0.2">
      <c r="A8" s="7" t="s">
        <v>48</v>
      </c>
      <c r="B8" s="27" t="s">
        <v>451</v>
      </c>
      <c r="C8" s="28"/>
      <c r="D8" s="28"/>
      <c r="E8" s="28"/>
    </row>
    <row r="9" spans="1:5" ht="52" customHeight="1" x14ac:dyDescent="0.2">
      <c r="A9" s="7" t="s">
        <v>50</v>
      </c>
      <c r="B9" s="27" t="s">
        <v>452</v>
      </c>
      <c r="C9" s="28"/>
      <c r="D9" s="28"/>
      <c r="E9" s="28"/>
    </row>
    <row r="10" spans="1:5" ht="13" customHeight="1" x14ac:dyDescent="0.2">
      <c r="A10" s="7" t="s">
        <v>52</v>
      </c>
      <c r="B10" s="27" t="s">
        <v>453</v>
      </c>
      <c r="C10" s="28"/>
      <c r="D10" s="28"/>
      <c r="E10" s="28"/>
    </row>
    <row r="11" spans="1:5" ht="13" customHeight="1" x14ac:dyDescent="0.2">
      <c r="A11" s="7" t="s">
        <v>54</v>
      </c>
      <c r="B11" s="27" t="s">
        <v>454</v>
      </c>
      <c r="C11" s="28"/>
      <c r="D11" s="28"/>
      <c r="E11" s="28"/>
    </row>
    <row r="12" spans="1:5" x14ac:dyDescent="0.2">
      <c r="A12" s="8" t="s">
        <v>93</v>
      </c>
      <c r="B12" s="8" t="s">
        <v>335</v>
      </c>
      <c r="C12" s="8" t="s">
        <v>455</v>
      </c>
      <c r="D12" s="8" t="s">
        <v>456</v>
      </c>
      <c r="E12" s="8" t="s">
        <v>457</v>
      </c>
    </row>
    <row r="13" spans="1:5" x14ac:dyDescent="0.2">
      <c r="A13" t="s">
        <v>458</v>
      </c>
      <c r="B13">
        <f>INDEX(Scenario_BaseValues,1)</f>
        <v>104000</v>
      </c>
      <c r="C13" t="str">
        <f>INDEX(Gate_S1,MATCH(Testing_Option,TestOpt_Option,0))</f>
        <v>ENABLED</v>
      </c>
      <c r="D13">
        <f ca="1">Stoch_SeasonExt/21</f>
        <v>0.87981828999910239</v>
      </c>
      <c r="E13">
        <f ca="1">IF(C13="ENABLED",B13*D13,0)</f>
        <v>91501.102159906644</v>
      </c>
    </row>
    <row r="14" spans="1:5" x14ac:dyDescent="0.2">
      <c r="A14" t="s">
        <v>459</v>
      </c>
      <c r="B14">
        <f>INDEX(Scenario_BaseValues,2)</f>
        <v>67500</v>
      </c>
      <c r="C14" t="str">
        <f>INDEX(Gate_S2,MATCH(Testing_Option,TestOpt_Option,0))</f>
        <v>ENABLED</v>
      </c>
      <c r="D14">
        <f ca="1">Stoch_Interventions/3</f>
        <v>0.55378093162452258</v>
      </c>
      <c r="E14">
        <f ca="1">IF(C14="ENABLED",B14*D14,0)</f>
        <v>37380.212884655273</v>
      </c>
    </row>
    <row r="15" spans="1:5" x14ac:dyDescent="0.2">
      <c r="A15" t="s">
        <v>460</v>
      </c>
      <c r="B15">
        <f>INDEX(Scenario_BaseValues,3)</f>
        <v>78000</v>
      </c>
      <c r="C15" t="str">
        <f>INDEX(Gate_S3,MATCH(Testing_Option,TestOpt_Option,0))</f>
        <v>ENABLED</v>
      </c>
      <c r="D15">
        <f ca="1">Stoch_Efficiency/0.15</f>
        <v>0.42291486488250452</v>
      </c>
      <c r="E15">
        <f ca="1">IF(C15="ENABLED",B15*D15,0)</f>
        <v>32987.359460835352</v>
      </c>
    </row>
    <row r="16" spans="1:5" x14ac:dyDescent="0.2">
      <c r="A16" t="s">
        <v>461</v>
      </c>
      <c r="B16">
        <f>INDEX(Scenario_BaseValues,4)</f>
        <v>36000</v>
      </c>
      <c r="C16" t="str">
        <f>INDEX(Gate_S4,MATCH(Testing_Option,TestOpt_Option,0))</f>
        <v>ENABLED</v>
      </c>
      <c r="D16">
        <f ca="1">1+Stoch_Efficiency</f>
        <v>1.0634372297323758</v>
      </c>
      <c r="E16">
        <f ca="1">IF(C16="ENABLED",B16*D16,0)</f>
        <v>38283.740270365524</v>
      </c>
    </row>
    <row r="18" spans="1:5" x14ac:dyDescent="0.2">
      <c r="A18" s="11" t="s">
        <v>462</v>
      </c>
      <c r="E18" s="15">
        <f ca="1">SUM(E13:E16)</f>
        <v>200152.41477576279</v>
      </c>
    </row>
  </sheetData>
  <mergeCells count="7">
    <mergeCell ref="A3:E3"/>
    <mergeCell ref="B9:E9"/>
    <mergeCell ref="A4:E4"/>
    <mergeCell ref="B8:E8"/>
    <mergeCell ref="B7:E7"/>
    <mergeCell ref="B11:E11"/>
    <mergeCell ref="B10:E10"/>
  </mergeCell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C19"/>
  <sheetViews>
    <sheetView workbookViewId="0"/>
  </sheetViews>
  <sheetFormatPr baseColWidth="10" defaultColWidth="8.83203125" defaultRowHeight="15" x14ac:dyDescent="0.2"/>
  <cols>
    <col min="1" max="1" width="22" customWidth="1"/>
    <col min="2" max="2" width="25" customWidth="1"/>
    <col min="3" max="3" width="18" customWidth="1"/>
  </cols>
  <sheetData>
    <row r="1" spans="1:3" ht="21" x14ac:dyDescent="0.25">
      <c r="A1" s="5" t="s">
        <v>463</v>
      </c>
    </row>
    <row r="3" spans="1:3" x14ac:dyDescent="0.2">
      <c r="A3" s="32" t="s">
        <v>464</v>
      </c>
      <c r="B3" s="30"/>
      <c r="C3" s="31"/>
    </row>
    <row r="4" spans="1:3" ht="195" customHeight="1" x14ac:dyDescent="0.2">
      <c r="A4" s="29" t="s">
        <v>465</v>
      </c>
      <c r="B4" s="30"/>
      <c r="C4" s="31"/>
    </row>
    <row r="6" spans="1:3" x14ac:dyDescent="0.2">
      <c r="A6" s="6" t="s">
        <v>466</v>
      </c>
    </row>
    <row r="7" spans="1:3" ht="26" customHeight="1" x14ac:dyDescent="0.2">
      <c r="A7" s="7" t="s">
        <v>46</v>
      </c>
      <c r="B7" s="27" t="s">
        <v>467</v>
      </c>
      <c r="C7" s="28"/>
    </row>
    <row r="8" spans="1:3" ht="26" customHeight="1" x14ac:dyDescent="0.2">
      <c r="A8" s="7" t="s">
        <v>48</v>
      </c>
      <c r="B8" s="27" t="s">
        <v>468</v>
      </c>
      <c r="C8" s="28"/>
    </row>
    <row r="9" spans="1:3" ht="52" customHeight="1" x14ac:dyDescent="0.2">
      <c r="A9" s="7" t="s">
        <v>50</v>
      </c>
      <c r="B9" s="27" t="s">
        <v>469</v>
      </c>
      <c r="C9" s="28"/>
    </row>
    <row r="10" spans="1:3" ht="26" customHeight="1" x14ac:dyDescent="0.2">
      <c r="A10" s="7" t="s">
        <v>52</v>
      </c>
      <c r="B10" s="27" t="s">
        <v>470</v>
      </c>
      <c r="C10" s="28"/>
    </row>
    <row r="11" spans="1:3" ht="26" customHeight="1" x14ac:dyDescent="0.2">
      <c r="A11" s="7" t="s">
        <v>54</v>
      </c>
      <c r="B11" s="27" t="s">
        <v>471</v>
      </c>
      <c r="C11" s="28"/>
    </row>
    <row r="12" spans="1:3" x14ac:dyDescent="0.2">
      <c r="A12" s="8" t="s">
        <v>472</v>
      </c>
      <c r="B12" s="8" t="s">
        <v>417</v>
      </c>
      <c r="C12" s="8" t="s">
        <v>57</v>
      </c>
    </row>
    <row r="13" spans="1:3" x14ac:dyDescent="0.2">
      <c r="A13" t="s">
        <v>473</v>
      </c>
      <c r="B13" t="s">
        <v>60</v>
      </c>
      <c r="C13" t="str">
        <f>Testing_Option</f>
        <v>Daily_Biosensor</v>
      </c>
    </row>
    <row r="14" spans="1:3" x14ac:dyDescent="0.2">
      <c r="A14" t="s">
        <v>474</v>
      </c>
      <c r="B14" t="s">
        <v>475</v>
      </c>
      <c r="C14">
        <f>INDEX(TestOpt_Interval,MATCH(Testing_Option,TestOpt_Option,0))</f>
        <v>1</v>
      </c>
    </row>
    <row r="15" spans="1:3" x14ac:dyDescent="0.2">
      <c r="A15" t="s">
        <v>476</v>
      </c>
      <c r="B15" t="s">
        <v>475</v>
      </c>
      <c r="C15">
        <f>INDEX(TestOpt_Points,MATCH(Testing_Option,TestOpt_Option,0))</f>
        <v>10</v>
      </c>
    </row>
    <row r="16" spans="1:3" x14ac:dyDescent="0.2">
      <c r="A16" t="s">
        <v>265</v>
      </c>
      <c r="B16" t="s">
        <v>475</v>
      </c>
      <c r="C16" s="15">
        <f>INDEX(TestOpt_Cost,MATCH(Testing_Option,TestOpt_Option,0))</f>
        <v>10</v>
      </c>
    </row>
    <row r="17" spans="1:3" x14ac:dyDescent="0.2">
      <c r="A17" t="s">
        <v>477</v>
      </c>
      <c r="B17" t="s">
        <v>478</v>
      </c>
      <c r="C17">
        <f>Season_Length/C14</f>
        <v>100</v>
      </c>
    </row>
    <row r="18" spans="1:3" x14ac:dyDescent="0.2">
      <c r="A18" t="s">
        <v>479</v>
      </c>
      <c r="B18" t="s">
        <v>480</v>
      </c>
      <c r="C18">
        <f>C17*C15</f>
        <v>1000</v>
      </c>
    </row>
    <row r="19" spans="1:3" x14ac:dyDescent="0.2">
      <c r="A19" t="s">
        <v>481</v>
      </c>
      <c r="B19" t="s">
        <v>482</v>
      </c>
      <c r="C19" s="23">
        <f>C18*C16</f>
        <v>10000</v>
      </c>
    </row>
  </sheetData>
  <mergeCells count="7">
    <mergeCell ref="B7:C7"/>
    <mergeCell ref="B11:C11"/>
    <mergeCell ref="B10:C10"/>
    <mergeCell ref="A3:C3"/>
    <mergeCell ref="B9:C9"/>
    <mergeCell ref="A4:C4"/>
    <mergeCell ref="B8:C8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I1028"/>
  <sheetViews>
    <sheetView tabSelected="1" topLeftCell="A5" workbookViewId="0">
      <selection activeCell="M27" sqref="M27"/>
    </sheetView>
  </sheetViews>
  <sheetFormatPr baseColWidth="10" defaultColWidth="8.83203125" defaultRowHeight="15" x14ac:dyDescent="0.2"/>
  <cols>
    <col min="1" max="1" width="26" customWidth="1"/>
    <col min="2" max="8" width="14" customWidth="1"/>
    <col min="9" max="9" width="18" customWidth="1"/>
    <col min="11" max="11" width="8" customWidth="1"/>
  </cols>
  <sheetData>
    <row r="1" spans="1:9" ht="21" x14ac:dyDescent="0.25">
      <c r="A1" s="5" t="s">
        <v>483</v>
      </c>
    </row>
    <row r="3" spans="1:9" x14ac:dyDescent="0.2">
      <c r="A3" s="32" t="s">
        <v>484</v>
      </c>
      <c r="B3" s="30"/>
      <c r="C3" s="30"/>
      <c r="D3" s="30"/>
      <c r="E3" s="31"/>
    </row>
    <row r="4" spans="1:9" ht="360" customHeight="1" x14ac:dyDescent="0.2">
      <c r="A4" s="29" t="s">
        <v>485</v>
      </c>
      <c r="B4" s="30"/>
      <c r="C4" s="30"/>
      <c r="D4" s="30"/>
      <c r="E4" s="31"/>
    </row>
    <row r="7" spans="1:9" x14ac:dyDescent="0.2">
      <c r="A7" s="12" t="s">
        <v>486</v>
      </c>
    </row>
    <row r="8" spans="1:9" x14ac:dyDescent="0.2">
      <c r="A8" s="12" t="s">
        <v>487</v>
      </c>
    </row>
    <row r="9" spans="1:9" x14ac:dyDescent="0.2">
      <c r="A9" s="11" t="s">
        <v>488</v>
      </c>
      <c r="B9" s="11" t="s">
        <v>113</v>
      </c>
      <c r="C9" s="11" t="s">
        <v>337</v>
      </c>
      <c r="D9" s="11" t="s">
        <v>340</v>
      </c>
      <c r="E9" s="11" t="s">
        <v>343</v>
      </c>
      <c r="F9" s="11" t="s">
        <v>346</v>
      </c>
      <c r="G9" s="11" t="s">
        <v>489</v>
      </c>
      <c r="H9" s="11" t="s">
        <v>490</v>
      </c>
      <c r="I9" s="11" t="s">
        <v>424</v>
      </c>
    </row>
    <row r="10" spans="1:9" x14ac:dyDescent="0.2">
      <c r="B10" s="15">
        <f ca="1">NPV_Total</f>
        <v>686779.90501751821</v>
      </c>
      <c r="C10" s="15">
        <f ca="1">S1_Value</f>
        <v>91501.102159906644</v>
      </c>
      <c r="D10" s="15">
        <f ca="1">S2_Value</f>
        <v>37380.212884655273</v>
      </c>
      <c r="E10" s="15">
        <f ca="1">S3_Value</f>
        <v>32987.359460835352</v>
      </c>
      <c r="F10" s="15">
        <f ca="1">S4_Value</f>
        <v>38283.740270365524</v>
      </c>
      <c r="G10" s="15">
        <f>Testing_Cost</f>
        <v>10000</v>
      </c>
      <c r="H10" s="15">
        <f ca="1">Gross_Value-Testing_Cost</f>
        <v>190152.41477576279</v>
      </c>
      <c r="I10" s="20">
        <f ca="1">Days_to_Compliance</f>
        <v>41.89644659153528</v>
      </c>
    </row>
    <row r="11" spans="1:9" x14ac:dyDescent="0.2">
      <c r="A11">
        <v>1</v>
      </c>
      <c r="B11">
        <f t="dataTable" ref="B11:I1010" dt2D="0" dtr="0" r1="P23" ca="1"/>
        <v>800866.84627971891</v>
      </c>
      <c r="C11">
        <v>118216.11278715362</v>
      </c>
      <c r="D11">
        <v>47692.515931212263</v>
      </c>
      <c r="E11">
        <v>27600.03510781307</v>
      </c>
      <c r="F11">
        <v>37910.771661310137</v>
      </c>
      <c r="G11">
        <v>10000</v>
      </c>
      <c r="H11">
        <v>221419.4354874891</v>
      </c>
      <c r="I11">
        <v>25.198384444174316</v>
      </c>
    </row>
    <row r="12" spans="1:9" x14ac:dyDescent="0.2">
      <c r="A12">
        <v>2</v>
      </c>
      <c r="B12">
        <v>1628262.8333165422</v>
      </c>
      <c r="C12">
        <v>130935.76650542289</v>
      </c>
      <c r="D12">
        <v>135452.33170079067</v>
      </c>
      <c r="E12">
        <v>145702.9205652583</v>
      </c>
      <c r="F12">
        <v>46087.125269902499</v>
      </c>
      <c r="G12">
        <v>10000</v>
      </c>
      <c r="H12">
        <v>448178.14404137438</v>
      </c>
      <c r="I12">
        <v>26.171640893291091</v>
      </c>
    </row>
    <row r="13" spans="1:9" x14ac:dyDescent="0.2">
      <c r="A13">
        <v>3</v>
      </c>
      <c r="B13">
        <v>1175770.8480536661</v>
      </c>
      <c r="C13">
        <v>100641.6071215476</v>
      </c>
      <c r="D13">
        <v>72728.536749711595</v>
      </c>
      <c r="E13">
        <v>116716.28601871659</v>
      </c>
      <c r="F13">
        <v>44080.358262834226</v>
      </c>
      <c r="G13">
        <v>10000</v>
      </c>
      <c r="H13">
        <v>324166.78815280995</v>
      </c>
      <c r="I13">
        <v>26.91192260207113</v>
      </c>
    </row>
    <row r="14" spans="1:9" x14ac:dyDescent="0.2">
      <c r="A14">
        <v>4</v>
      </c>
      <c r="B14">
        <v>1136007.4933969979</v>
      </c>
      <c r="C14">
        <v>122026.82501686536</v>
      </c>
      <c r="D14">
        <v>39630.400947509341</v>
      </c>
      <c r="E14">
        <v>117478.74975868769</v>
      </c>
      <c r="F14">
        <v>44133.144214062988</v>
      </c>
      <c r="G14">
        <v>10000</v>
      </c>
      <c r="H14">
        <v>313269.11993712542</v>
      </c>
      <c r="I14">
        <v>31.564108983418215</v>
      </c>
    </row>
    <row r="15" spans="1:9" x14ac:dyDescent="0.2">
      <c r="A15">
        <v>5</v>
      </c>
      <c r="B15">
        <v>1524208.3548309887</v>
      </c>
      <c r="C15">
        <v>119367.81676520077</v>
      </c>
      <c r="D15">
        <v>117582.80279425604</v>
      </c>
      <c r="E15">
        <v>146563.33891802421</v>
      </c>
      <c r="F15">
        <v>46146.692694324753</v>
      </c>
      <c r="G15">
        <v>10000</v>
      </c>
      <c r="H15">
        <v>419660.6511718058</v>
      </c>
      <c r="I15">
        <v>35.227190107052706</v>
      </c>
    </row>
    <row r="16" spans="1:9" x14ac:dyDescent="0.2">
      <c r="A16">
        <v>6</v>
      </c>
      <c r="B16">
        <v>809905.79132622434</v>
      </c>
      <c r="C16">
        <v>110595.94619688446</v>
      </c>
      <c r="D16">
        <v>48943.208229435848</v>
      </c>
      <c r="E16">
        <v>35873.941770860234</v>
      </c>
      <c r="F16">
        <v>38483.580584136478</v>
      </c>
      <c r="G16">
        <v>10000</v>
      </c>
      <c r="H16">
        <v>223896.67678131702</v>
      </c>
      <c r="I16">
        <v>40.471603843925223</v>
      </c>
    </row>
    <row r="17" spans="1:9" x14ac:dyDescent="0.2">
      <c r="A17">
        <v>7</v>
      </c>
      <c r="B17">
        <v>1047552.8739806332</v>
      </c>
      <c r="C17">
        <v>97184.52905457544</v>
      </c>
      <c r="D17">
        <v>74358.363980929964</v>
      </c>
      <c r="E17">
        <v>85560.650132598021</v>
      </c>
      <c r="F17">
        <v>41923.42962456448</v>
      </c>
      <c r="G17">
        <v>10000</v>
      </c>
      <c r="H17">
        <v>289026.97279266792</v>
      </c>
      <c r="I17">
        <v>36.523599703894128</v>
      </c>
    </row>
    <row r="18" spans="1:9" x14ac:dyDescent="0.2">
      <c r="A18">
        <v>8</v>
      </c>
      <c r="B18">
        <v>1278182.2153061575</v>
      </c>
      <c r="C18">
        <v>109544.87841891177</v>
      </c>
      <c r="D18">
        <v>116817.88732208082</v>
      </c>
      <c r="E18">
        <v>93404.718605518225</v>
      </c>
      <c r="F18">
        <v>42466.480518843571</v>
      </c>
      <c r="G18">
        <v>10000</v>
      </c>
      <c r="H18">
        <v>352233.96486535441</v>
      </c>
      <c r="I18">
        <v>34.271312337171821</v>
      </c>
    </row>
    <row r="19" spans="1:9" x14ac:dyDescent="0.2">
      <c r="A19">
        <v>9</v>
      </c>
      <c r="B19">
        <v>909521.85952409555</v>
      </c>
      <c r="C19">
        <v>107014.12599332194</v>
      </c>
      <c r="D19">
        <v>84654.035584145793</v>
      </c>
      <c r="E19">
        <v>31358.622066349792</v>
      </c>
      <c r="F19">
        <v>38170.981527670367</v>
      </c>
      <c r="G19">
        <v>10000</v>
      </c>
      <c r="H19">
        <v>251197.7651714879</v>
      </c>
      <c r="I19">
        <v>29.389789073597196</v>
      </c>
    </row>
    <row r="20" spans="1:9" x14ac:dyDescent="0.2">
      <c r="A20">
        <v>10</v>
      </c>
      <c r="B20">
        <v>1358812.1970398673</v>
      </c>
      <c r="C20">
        <v>145842.80809247942</v>
      </c>
      <c r="D20">
        <v>104114.92489174189</v>
      </c>
      <c r="E20">
        <v>92004.399239438615</v>
      </c>
      <c r="F20">
        <v>42369.535331961131</v>
      </c>
      <c r="G20">
        <v>10000</v>
      </c>
      <c r="H20">
        <v>374331.66755562101</v>
      </c>
      <c r="I20">
        <v>50.068962354650381</v>
      </c>
    </row>
    <row r="21" spans="1:9" x14ac:dyDescent="0.2">
      <c r="A21">
        <v>11</v>
      </c>
      <c r="B21">
        <v>1421004.4819376147</v>
      </c>
      <c r="C21">
        <v>111903.74584201562</v>
      </c>
      <c r="D21">
        <v>61171.646567822027</v>
      </c>
      <c r="E21">
        <v>179849.7490262262</v>
      </c>
      <c r="F21">
        <v>48451.136471046426</v>
      </c>
      <c r="G21">
        <v>10000</v>
      </c>
      <c r="H21">
        <v>391376.27790711023</v>
      </c>
      <c r="I21">
        <v>29.312701709138913</v>
      </c>
    </row>
    <row r="22" spans="1:9" x14ac:dyDescent="0.2">
      <c r="A22">
        <v>12</v>
      </c>
      <c r="B22">
        <v>1080383.6332631984</v>
      </c>
      <c r="C22">
        <v>118665.03562913461</v>
      </c>
      <c r="D22">
        <v>64543.5203587297</v>
      </c>
      <c r="E22">
        <v>83065.432647416601</v>
      </c>
      <c r="F22">
        <v>41750.683798667298</v>
      </c>
      <c r="G22">
        <v>10000</v>
      </c>
      <c r="H22">
        <v>298024.6724339482</v>
      </c>
      <c r="I22">
        <v>49.829630403823991</v>
      </c>
    </row>
    <row r="23" spans="1:9" x14ac:dyDescent="0.2">
      <c r="A23">
        <v>13</v>
      </c>
      <c r="B23">
        <v>1259593.2468099471</v>
      </c>
      <c r="C23">
        <v>91785.770492604221</v>
      </c>
      <c r="D23">
        <v>151427.1592163957</v>
      </c>
      <c r="E23">
        <v>72880.88509985157</v>
      </c>
      <c r="F23">
        <v>41045.599737682031</v>
      </c>
      <c r="G23">
        <v>10000</v>
      </c>
      <c r="H23">
        <v>347139.41454653355</v>
      </c>
      <c r="I23">
        <v>30.779036482460477</v>
      </c>
    </row>
    <row r="24" spans="1:9" x14ac:dyDescent="0.2">
      <c r="A24">
        <v>14</v>
      </c>
      <c r="B24">
        <v>1036133.8095748664</v>
      </c>
      <c r="C24">
        <v>107028.03635511515</v>
      </c>
      <c r="D24">
        <v>84912.602017179845</v>
      </c>
      <c r="E24">
        <v>63556.710294763529</v>
      </c>
      <c r="F24">
        <v>40400.079943483623</v>
      </c>
      <c r="G24">
        <v>10000</v>
      </c>
      <c r="H24">
        <v>285897.42861054215</v>
      </c>
      <c r="I24">
        <v>34.119161611516901</v>
      </c>
    </row>
    <row r="25" spans="1:9" x14ac:dyDescent="0.2">
      <c r="A25">
        <v>15</v>
      </c>
      <c r="B25">
        <v>1071659.7355393812</v>
      </c>
      <c r="C25">
        <v>98337.378533451774</v>
      </c>
      <c r="D25">
        <v>46831.106841386238</v>
      </c>
      <c r="E25">
        <v>116406.38503183653</v>
      </c>
      <c r="F25">
        <v>44058.903579127145</v>
      </c>
      <c r="G25">
        <v>10000</v>
      </c>
      <c r="H25">
        <v>295633.77398580167</v>
      </c>
      <c r="I25">
        <v>30.316865288671366</v>
      </c>
    </row>
    <row r="26" spans="1:9" x14ac:dyDescent="0.2">
      <c r="A26">
        <v>16</v>
      </c>
      <c r="B26">
        <v>781753.0409914183</v>
      </c>
      <c r="C26">
        <v>88743.199729826054</v>
      </c>
      <c r="D26">
        <v>64585.542631027027</v>
      </c>
      <c r="E26">
        <v>34466.183980528207</v>
      </c>
      <c r="F26">
        <v>38386.120429421186</v>
      </c>
      <c r="G26">
        <v>10000</v>
      </c>
      <c r="H26">
        <v>216181.04677080247</v>
      </c>
      <c r="I26">
        <v>28.698618090345434</v>
      </c>
    </row>
    <row r="27" spans="1:9" x14ac:dyDescent="0.2">
      <c r="A27">
        <v>17</v>
      </c>
      <c r="B27">
        <v>1754778.127569186</v>
      </c>
      <c r="C27">
        <v>161499.26780606716</v>
      </c>
      <c r="D27">
        <v>150371.54299377906</v>
      </c>
      <c r="E27">
        <v>135593.27982796927</v>
      </c>
      <c r="F27">
        <v>45387.227065013256</v>
      </c>
      <c r="G27">
        <v>10000</v>
      </c>
      <c r="H27">
        <v>482851.31769282871</v>
      </c>
      <c r="I27">
        <v>39.364004103103092</v>
      </c>
    </row>
    <row r="28" spans="1:9" x14ac:dyDescent="0.2">
      <c r="A28">
        <v>18</v>
      </c>
      <c r="B28">
        <v>1121276.9055395073</v>
      </c>
      <c r="C28">
        <v>124563.56657360423</v>
      </c>
      <c r="D28">
        <v>111087.95057412144</v>
      </c>
      <c r="E28">
        <v>44499.740931443303</v>
      </c>
      <c r="F28">
        <v>39080.751295253773</v>
      </c>
      <c r="G28">
        <v>10000</v>
      </c>
      <c r="H28">
        <v>309232.00937442272</v>
      </c>
      <c r="I28">
        <v>36.93744169156529</v>
      </c>
    </row>
    <row r="29" spans="1:9" x14ac:dyDescent="0.2">
      <c r="A29">
        <v>19</v>
      </c>
      <c r="B29">
        <v>1450295.9906533421</v>
      </c>
      <c r="C29">
        <v>136278.14558101606</v>
      </c>
      <c r="D29">
        <v>120241.18561221597</v>
      </c>
      <c r="E29">
        <v>109316.59632252164</v>
      </c>
      <c r="F29">
        <v>43568.072053097654</v>
      </c>
      <c r="G29">
        <v>10000</v>
      </c>
      <c r="H29">
        <v>399403.99956885132</v>
      </c>
      <c r="I29">
        <v>39.608259085451323</v>
      </c>
    </row>
    <row r="30" spans="1:9" x14ac:dyDescent="0.2">
      <c r="A30">
        <v>20</v>
      </c>
      <c r="B30">
        <v>1726970.5275807194</v>
      </c>
      <c r="C30">
        <v>85927.94509668478</v>
      </c>
      <c r="D30">
        <v>144556.44594816919</v>
      </c>
      <c r="E30">
        <v>204582.48668664196</v>
      </c>
      <c r="F30">
        <v>50163.40292445982</v>
      </c>
      <c r="G30">
        <v>10000</v>
      </c>
      <c r="H30">
        <v>475230.28065595572</v>
      </c>
      <c r="I30">
        <v>45.326936550762269</v>
      </c>
    </row>
    <row r="31" spans="1:9" x14ac:dyDescent="0.2">
      <c r="A31">
        <v>21</v>
      </c>
      <c r="B31">
        <v>1022168.3153071321</v>
      </c>
      <c r="C31">
        <v>96927.16444557166</v>
      </c>
      <c r="D31">
        <v>58062.619003958578</v>
      </c>
      <c r="E31">
        <v>94535.456168634526</v>
      </c>
      <c r="F31">
        <v>42544.76235013624</v>
      </c>
      <c r="G31">
        <v>10000</v>
      </c>
      <c r="H31">
        <v>282070.00196830102</v>
      </c>
      <c r="I31">
        <v>26.948952705982411</v>
      </c>
    </row>
    <row r="32" spans="1:9" x14ac:dyDescent="0.2">
      <c r="A32">
        <v>22</v>
      </c>
      <c r="B32">
        <v>1176112.4818669353</v>
      </c>
      <c r="C32">
        <v>97785.379019870656</v>
      </c>
      <c r="D32">
        <v>90949.801768792866</v>
      </c>
      <c r="E32">
        <v>102433.67450473864</v>
      </c>
      <c r="F32">
        <v>43091.562081097291</v>
      </c>
      <c r="G32">
        <v>10000</v>
      </c>
      <c r="H32">
        <v>324260.41737449943</v>
      </c>
      <c r="I32">
        <v>33.818930585268802</v>
      </c>
    </row>
    <row r="33" spans="1:9" x14ac:dyDescent="0.2">
      <c r="A33">
        <v>23</v>
      </c>
      <c r="B33">
        <v>976615.60437580978</v>
      </c>
      <c r="C33">
        <v>138390.66124718674</v>
      </c>
      <c r="D33">
        <v>38591.716327200884</v>
      </c>
      <c r="E33">
        <v>62290.862900039661</v>
      </c>
      <c r="F33">
        <v>40312.444354618136</v>
      </c>
      <c r="G33">
        <v>10000</v>
      </c>
      <c r="H33">
        <v>269585.68482904544</v>
      </c>
      <c r="I33">
        <v>34.393731348109661</v>
      </c>
    </row>
    <row r="34" spans="1:9" x14ac:dyDescent="0.2">
      <c r="A34">
        <v>24</v>
      </c>
      <c r="B34">
        <v>1560860.3972536088</v>
      </c>
      <c r="C34">
        <v>132338.55007072983</v>
      </c>
      <c r="D34">
        <v>112454.7193407493</v>
      </c>
      <c r="E34">
        <v>148623.0649877298</v>
      </c>
      <c r="F34">
        <v>46289.289114535139</v>
      </c>
      <c r="G34">
        <v>10000</v>
      </c>
      <c r="H34">
        <v>429705.62351374404</v>
      </c>
      <c r="I34">
        <v>46.267554414524419</v>
      </c>
    </row>
    <row r="35" spans="1:9" x14ac:dyDescent="0.2">
      <c r="A35">
        <v>25</v>
      </c>
      <c r="B35">
        <v>1117975.9215229668</v>
      </c>
      <c r="C35">
        <v>103882.62540917218</v>
      </c>
      <c r="D35">
        <v>35581.396312217366</v>
      </c>
      <c r="E35">
        <v>133613.16738528479</v>
      </c>
      <c r="F35">
        <v>45250.14235744279</v>
      </c>
      <c r="G35">
        <v>10000</v>
      </c>
      <c r="H35">
        <v>308327.33146411716</v>
      </c>
      <c r="I35">
        <v>29.920222110373253</v>
      </c>
    </row>
    <row r="36" spans="1:9" x14ac:dyDescent="0.2">
      <c r="A36">
        <v>26</v>
      </c>
      <c r="B36">
        <v>825074.67144043208</v>
      </c>
      <c r="C36">
        <v>105750.70426010326</v>
      </c>
      <c r="D36">
        <v>31038.910184939807</v>
      </c>
      <c r="E36">
        <v>61038.54706706899</v>
      </c>
      <c r="F36">
        <v>40225.7455661817</v>
      </c>
      <c r="G36">
        <v>10000</v>
      </c>
      <c r="H36">
        <v>228053.90707829373</v>
      </c>
      <c r="I36">
        <v>37.279648062721051</v>
      </c>
    </row>
    <row r="37" spans="1:9" x14ac:dyDescent="0.2">
      <c r="A37">
        <v>27</v>
      </c>
      <c r="B37">
        <v>1480495.3470363056</v>
      </c>
      <c r="C37">
        <v>155966.00654519937</v>
      </c>
      <c r="D37">
        <v>76356.656605609824</v>
      </c>
      <c r="E37">
        <v>139687.21245518216</v>
      </c>
      <c r="F37">
        <v>45670.653169974146</v>
      </c>
      <c r="G37">
        <v>10000</v>
      </c>
      <c r="H37">
        <v>407680.5287759655</v>
      </c>
      <c r="I37">
        <v>35.049680670444815</v>
      </c>
    </row>
    <row r="38" spans="1:9" x14ac:dyDescent="0.2">
      <c r="A38">
        <v>28</v>
      </c>
      <c r="B38">
        <v>1394699.0447219878</v>
      </c>
      <c r="C38">
        <v>112257.96074544205</v>
      </c>
      <c r="D38">
        <v>95240.176391796878</v>
      </c>
      <c r="E38">
        <v>140913.2578803052</v>
      </c>
      <c r="F38">
        <v>45755.533237867283</v>
      </c>
      <c r="G38">
        <v>10000</v>
      </c>
      <c r="H38">
        <v>384166.92825541145</v>
      </c>
      <c r="I38">
        <v>29.933075681598257</v>
      </c>
    </row>
    <row r="39" spans="1:9" x14ac:dyDescent="0.2">
      <c r="A39">
        <v>29</v>
      </c>
      <c r="B39">
        <v>1764736.6857687556</v>
      </c>
      <c r="C39">
        <v>120069.79496699835</v>
      </c>
      <c r="D39">
        <v>148559.49006318767</v>
      </c>
      <c r="E39">
        <v>178587.55236227394</v>
      </c>
      <c r="F39">
        <v>48363.753625080499</v>
      </c>
      <c r="G39">
        <v>10000</v>
      </c>
      <c r="H39">
        <v>485580.59101754049</v>
      </c>
      <c r="I39">
        <v>43.12587791547989</v>
      </c>
    </row>
    <row r="40" spans="1:9" x14ac:dyDescent="0.2">
      <c r="A40">
        <v>30</v>
      </c>
      <c r="B40">
        <v>1135117.9980325517</v>
      </c>
      <c r="C40">
        <v>124256.72577335776</v>
      </c>
      <c r="D40">
        <v>49553.559697419718</v>
      </c>
      <c r="E40">
        <v>105884.58531866455</v>
      </c>
      <c r="F40">
        <v>43330.47129129216</v>
      </c>
      <c r="G40">
        <v>10000</v>
      </c>
      <c r="H40">
        <v>313025.3420807342</v>
      </c>
      <c r="I40">
        <v>48.358404468258229</v>
      </c>
    </row>
    <row r="41" spans="1:9" x14ac:dyDescent="0.2">
      <c r="A41">
        <v>31</v>
      </c>
      <c r="B41">
        <v>764169.01037208852</v>
      </c>
      <c r="C41">
        <v>86804.936805342761</v>
      </c>
      <c r="D41">
        <v>63873.537201595806</v>
      </c>
      <c r="E41">
        <v>32437.748549955075</v>
      </c>
      <c r="F41">
        <v>38245.690284227654</v>
      </c>
      <c r="G41">
        <v>10000</v>
      </c>
      <c r="H41">
        <v>211361.91284112132</v>
      </c>
      <c r="I41">
        <v>30.823932856303024</v>
      </c>
    </row>
    <row r="42" spans="1:9" x14ac:dyDescent="0.2">
      <c r="A42">
        <v>32</v>
      </c>
      <c r="B42">
        <v>1436968.794480274</v>
      </c>
      <c r="C42">
        <v>98149.906349133671</v>
      </c>
      <c r="D42">
        <v>57828.803920358529</v>
      </c>
      <c r="E42">
        <v>199931.39251408889</v>
      </c>
      <c r="F42">
        <v>49841.404097129227</v>
      </c>
      <c r="G42">
        <v>10000</v>
      </c>
      <c r="H42">
        <v>395751.50688071037</v>
      </c>
      <c r="I42">
        <v>35.004277580733792</v>
      </c>
    </row>
    <row r="43" spans="1:9" x14ac:dyDescent="0.2">
      <c r="A43">
        <v>33</v>
      </c>
      <c r="B43">
        <v>1333231.3988693592</v>
      </c>
      <c r="C43">
        <v>92681.595546120312</v>
      </c>
      <c r="D43">
        <v>93312.964507719124</v>
      </c>
      <c r="E43">
        <v>145269.25257155279</v>
      </c>
      <c r="F43">
        <v>46057.102101107499</v>
      </c>
      <c r="G43">
        <v>10000</v>
      </c>
      <c r="H43">
        <v>367320.9147264997</v>
      </c>
      <c r="I43">
        <v>28.263212978957348</v>
      </c>
    </row>
    <row r="44" spans="1:9" x14ac:dyDescent="0.2">
      <c r="A44">
        <v>34</v>
      </c>
      <c r="B44">
        <v>1321869.9979451923</v>
      </c>
      <c r="C44">
        <v>145109.88565720103</v>
      </c>
      <c r="D44">
        <v>45637.205895380066</v>
      </c>
      <c r="E44">
        <v>137912.3073032801</v>
      </c>
      <c r="F44">
        <v>45547.775120996317</v>
      </c>
      <c r="G44">
        <v>10000</v>
      </c>
      <c r="H44">
        <v>364207.17397685745</v>
      </c>
      <c r="I44">
        <v>33.913823504359442</v>
      </c>
    </row>
    <row r="45" spans="1:9" x14ac:dyDescent="0.2">
      <c r="A45">
        <v>35</v>
      </c>
      <c r="B45">
        <v>942161.56726384629</v>
      </c>
      <c r="C45">
        <v>93297.951073268603</v>
      </c>
      <c r="D45">
        <v>73710.121171492356</v>
      </c>
      <c r="E45">
        <v>62788.159789262783</v>
      </c>
      <c r="F45">
        <v>40346.872600795112</v>
      </c>
      <c r="G45">
        <v>10000</v>
      </c>
      <c r="H45">
        <v>260143.10463481885</v>
      </c>
      <c r="I45">
        <v>34.719281871522632</v>
      </c>
    </row>
    <row r="46" spans="1:9" x14ac:dyDescent="0.2">
      <c r="A46">
        <v>36</v>
      </c>
      <c r="B46">
        <v>1195540.5638909156</v>
      </c>
      <c r="C46">
        <v>103797.07622672812</v>
      </c>
      <c r="D46">
        <v>58464.720776413291</v>
      </c>
      <c r="E46">
        <v>132172.72155938196</v>
      </c>
      <c r="F46">
        <v>45150.419184880288</v>
      </c>
      <c r="G46">
        <v>10000</v>
      </c>
      <c r="H46">
        <v>329584.93774740369</v>
      </c>
      <c r="I46">
        <v>32.670454808313721</v>
      </c>
    </row>
    <row r="47" spans="1:9" x14ac:dyDescent="0.2">
      <c r="A47">
        <v>37</v>
      </c>
      <c r="B47">
        <v>1002294.0840594721</v>
      </c>
      <c r="C47">
        <v>110071.81289537021</v>
      </c>
      <c r="D47">
        <v>98459.3500061472</v>
      </c>
      <c r="E47">
        <v>39366.661403852508</v>
      </c>
      <c r="F47">
        <v>38725.384251035946</v>
      </c>
      <c r="G47">
        <v>10000</v>
      </c>
      <c r="H47">
        <v>276623.20855640585</v>
      </c>
      <c r="I47">
        <v>30.928728557444295</v>
      </c>
    </row>
    <row r="48" spans="1:9" x14ac:dyDescent="0.2">
      <c r="A48">
        <v>38</v>
      </c>
      <c r="B48">
        <v>1331323.6759129923</v>
      </c>
      <c r="C48">
        <v>149300.88507652914</v>
      </c>
      <c r="D48">
        <v>40948.153627574233</v>
      </c>
      <c r="E48">
        <v>140801.26001675153</v>
      </c>
      <c r="F48">
        <v>45747.779539621253</v>
      </c>
      <c r="G48">
        <v>10000</v>
      </c>
      <c r="H48">
        <v>366798.07826047618</v>
      </c>
      <c r="I48">
        <v>36.120805449693478</v>
      </c>
    </row>
    <row r="49" spans="1:9" x14ac:dyDescent="0.2">
      <c r="A49">
        <v>39</v>
      </c>
      <c r="B49">
        <v>820142.71532272967</v>
      </c>
      <c r="C49">
        <v>103630.60507368082</v>
      </c>
      <c r="D49">
        <v>30573.84323998668</v>
      </c>
      <c r="E49">
        <v>62192.17918059729</v>
      </c>
      <c r="F49">
        <v>40305.612404810585</v>
      </c>
      <c r="G49">
        <v>10000</v>
      </c>
      <c r="H49">
        <v>226702.23989907539</v>
      </c>
      <c r="I49">
        <v>41.374234310124407</v>
      </c>
    </row>
    <row r="50" spans="1:9" x14ac:dyDescent="0.2">
      <c r="A50">
        <v>40</v>
      </c>
      <c r="B50">
        <v>1193050.1176249306</v>
      </c>
      <c r="C50">
        <v>119657.71316005338</v>
      </c>
      <c r="D50">
        <v>77216.05569077679</v>
      </c>
      <c r="E50">
        <v>99163.466414796974</v>
      </c>
      <c r="F50">
        <v>42865.163059485945</v>
      </c>
      <c r="G50">
        <v>10000</v>
      </c>
      <c r="H50">
        <v>328902.39832511311</v>
      </c>
      <c r="I50">
        <v>42.264459194502855</v>
      </c>
    </row>
    <row r="51" spans="1:9" x14ac:dyDescent="0.2">
      <c r="A51">
        <v>41</v>
      </c>
      <c r="B51">
        <v>1085576.6171653001</v>
      </c>
      <c r="C51">
        <v>149741.23963529911</v>
      </c>
      <c r="D51">
        <v>64300.546985785273</v>
      </c>
      <c r="E51">
        <v>55559.653524014844</v>
      </c>
      <c r="F51">
        <v>39846.437551662566</v>
      </c>
      <c r="G51">
        <v>10000</v>
      </c>
      <c r="H51">
        <v>299447.8776967618</v>
      </c>
      <c r="I51">
        <v>34.080054748667763</v>
      </c>
    </row>
    <row r="52" spans="1:9" x14ac:dyDescent="0.2">
      <c r="A52">
        <v>42</v>
      </c>
      <c r="B52">
        <v>1156235.4014224398</v>
      </c>
      <c r="C52">
        <v>92169.086252215275</v>
      </c>
      <c r="D52">
        <v>66896.774605851868</v>
      </c>
      <c r="E52">
        <v>125087.10569659607</v>
      </c>
      <c r="F52">
        <v>44659.876548225882</v>
      </c>
      <c r="G52">
        <v>10000</v>
      </c>
      <c r="H52">
        <v>318812.84310288908</v>
      </c>
      <c r="I52">
        <v>31.240548916596499</v>
      </c>
    </row>
    <row r="53" spans="1:9" x14ac:dyDescent="0.2">
      <c r="A53">
        <v>43</v>
      </c>
      <c r="B53">
        <v>1018681.3446151041</v>
      </c>
      <c r="C53">
        <v>89542.48104831652</v>
      </c>
      <c r="D53">
        <v>47726.410791458584</v>
      </c>
      <c r="E53">
        <v>110215.1785421299</v>
      </c>
      <c r="F53">
        <v>43630.281591378225</v>
      </c>
      <c r="G53">
        <v>10000</v>
      </c>
      <c r="H53">
        <v>281114.35197328322</v>
      </c>
      <c r="I53">
        <v>32.017417185882302</v>
      </c>
    </row>
    <row r="54" spans="1:9" x14ac:dyDescent="0.2">
      <c r="A54">
        <v>44</v>
      </c>
      <c r="B54">
        <v>1340808.178323332</v>
      </c>
      <c r="C54">
        <v>112787.69488591107</v>
      </c>
      <c r="D54">
        <v>55648.372430513395</v>
      </c>
      <c r="E54">
        <v>163632.92948985976</v>
      </c>
      <c r="F54">
        <v>47328.433580067212</v>
      </c>
      <c r="G54">
        <v>10000</v>
      </c>
      <c r="H54">
        <v>369397.43038635142</v>
      </c>
      <c r="I54">
        <v>54.399944555239607</v>
      </c>
    </row>
    <row r="55" spans="1:9" x14ac:dyDescent="0.2">
      <c r="A55">
        <v>45</v>
      </c>
      <c r="B55">
        <v>941113.77066179959</v>
      </c>
      <c r="C55">
        <v>107952.1235731819</v>
      </c>
      <c r="D55">
        <v>33948.533767805959</v>
      </c>
      <c r="E55">
        <v>86001.345598944186</v>
      </c>
      <c r="F55">
        <v>41953.939310696136</v>
      </c>
      <c r="G55">
        <v>10000</v>
      </c>
      <c r="H55">
        <v>259855.9422506282</v>
      </c>
      <c r="I55">
        <v>46.304432421606947</v>
      </c>
    </row>
    <row r="56" spans="1:9" x14ac:dyDescent="0.2">
      <c r="A56">
        <v>46</v>
      </c>
      <c r="B56">
        <v>1462279.6136322159</v>
      </c>
      <c r="C56">
        <v>133807.84682372209</v>
      </c>
      <c r="D56">
        <v>75009.316921698817</v>
      </c>
      <c r="E56">
        <v>157001.75257639436</v>
      </c>
      <c r="F56">
        <v>46869.352101442688</v>
      </c>
      <c r="G56">
        <v>10000</v>
      </c>
      <c r="H56">
        <v>402688.26842325798</v>
      </c>
      <c r="I56">
        <v>25.816482853247081</v>
      </c>
    </row>
    <row r="57" spans="1:9" x14ac:dyDescent="0.2">
      <c r="A57">
        <v>47</v>
      </c>
      <c r="B57">
        <v>1205897.3508574376</v>
      </c>
      <c r="C57">
        <v>94960.689304076805</v>
      </c>
      <c r="D57">
        <v>36407.760782609941</v>
      </c>
      <c r="E57">
        <v>163720.41081596244</v>
      </c>
      <c r="F57">
        <v>47334.489979566628</v>
      </c>
      <c r="G57">
        <v>10000</v>
      </c>
      <c r="H57">
        <v>332423.35088221589</v>
      </c>
      <c r="I57">
        <v>28.027199509266232</v>
      </c>
    </row>
    <row r="58" spans="1:9" x14ac:dyDescent="0.2">
      <c r="A58">
        <v>48</v>
      </c>
      <c r="B58">
        <v>1339056.8467392218</v>
      </c>
      <c r="C58">
        <v>97818.572913809185</v>
      </c>
      <c r="D58">
        <v>94822.052732891912</v>
      </c>
      <c r="E58">
        <v>140546.67495766497</v>
      </c>
      <c r="F58">
        <v>45730.154420146035</v>
      </c>
      <c r="G58">
        <v>10000</v>
      </c>
      <c r="H58">
        <v>368917.45502451208</v>
      </c>
      <c r="I58">
        <v>34.309100788199991</v>
      </c>
    </row>
    <row r="59" spans="1:9" x14ac:dyDescent="0.2">
      <c r="A59">
        <v>49</v>
      </c>
      <c r="B59">
        <v>1506380.0237774127</v>
      </c>
      <c r="C59">
        <v>156205.42763312542</v>
      </c>
      <c r="D59">
        <v>88397.828164517399</v>
      </c>
      <c r="E59">
        <v>134836.47483698296</v>
      </c>
      <c r="F59">
        <v>45334.832873329593</v>
      </c>
      <c r="G59">
        <v>10000</v>
      </c>
      <c r="H59">
        <v>414774.56350795535</v>
      </c>
      <c r="I59">
        <v>40.43213128765489</v>
      </c>
    </row>
    <row r="60" spans="1:9" x14ac:dyDescent="0.2">
      <c r="A60">
        <v>50</v>
      </c>
      <c r="B60">
        <v>1482253.3892164733</v>
      </c>
      <c r="C60">
        <v>99670.128979694389</v>
      </c>
      <c r="D60">
        <v>100252.64988592106</v>
      </c>
      <c r="E60">
        <v>170439.8803731123</v>
      </c>
      <c r="F60">
        <v>47799.684025830851</v>
      </c>
      <c r="G60">
        <v>10000</v>
      </c>
      <c r="H60">
        <v>408162.34326455859</v>
      </c>
      <c r="I60">
        <v>35.402555170225618</v>
      </c>
    </row>
    <row r="61" spans="1:9" x14ac:dyDescent="0.2">
      <c r="A61">
        <v>51</v>
      </c>
      <c r="B61">
        <v>1535814.2816195555</v>
      </c>
      <c r="C61">
        <v>109711.44750582064</v>
      </c>
      <c r="D61">
        <v>72013.067645233619</v>
      </c>
      <c r="E61">
        <v>201188.46041197458</v>
      </c>
      <c r="F61">
        <v>49928.431874675167</v>
      </c>
      <c r="G61">
        <v>10000</v>
      </c>
      <c r="H61">
        <v>422841.40743770398</v>
      </c>
      <c r="I61">
        <v>34.264224163221904</v>
      </c>
    </row>
    <row r="62" spans="1:9" x14ac:dyDescent="0.2">
      <c r="A62">
        <v>52</v>
      </c>
      <c r="B62">
        <v>1584504.0006774648</v>
      </c>
      <c r="C62">
        <v>122782.45006992648</v>
      </c>
      <c r="D62">
        <v>164780.51952777067</v>
      </c>
      <c r="E62">
        <v>114682.90726161475</v>
      </c>
      <c r="F62">
        <v>43939.58588734256</v>
      </c>
      <c r="G62">
        <v>10000</v>
      </c>
      <c r="H62">
        <v>436185.46274665446</v>
      </c>
      <c r="I62">
        <v>35.600656360853122</v>
      </c>
    </row>
    <row r="63" spans="1:9" x14ac:dyDescent="0.2">
      <c r="A63">
        <v>53</v>
      </c>
      <c r="B63">
        <v>1538465.2707828106</v>
      </c>
      <c r="C63">
        <v>133785.15436588536</v>
      </c>
      <c r="D63">
        <v>111606.26707213891</v>
      </c>
      <c r="E63">
        <v>142323.36805593979</v>
      </c>
      <c r="F63">
        <v>45853.156250026608</v>
      </c>
      <c r="G63">
        <v>10000</v>
      </c>
      <c r="H63">
        <v>423567.94574399065</v>
      </c>
      <c r="I63">
        <v>35.289928917231407</v>
      </c>
    </row>
    <row r="64" spans="1:9" x14ac:dyDescent="0.2">
      <c r="A64">
        <v>54</v>
      </c>
      <c r="B64">
        <v>993440.1114354583</v>
      </c>
      <c r="C64">
        <v>127884.52885279286</v>
      </c>
      <c r="D64">
        <v>83324.754635549034</v>
      </c>
      <c r="E64">
        <v>34592.51169533623</v>
      </c>
      <c r="F64">
        <v>38394.86619429251</v>
      </c>
      <c r="G64">
        <v>10000</v>
      </c>
      <c r="H64">
        <v>274196.66137797065</v>
      </c>
      <c r="I64">
        <v>37.604166286974667</v>
      </c>
    </row>
    <row r="65" spans="1:9" x14ac:dyDescent="0.2">
      <c r="A65">
        <v>55</v>
      </c>
      <c r="B65">
        <v>854956.58742587513</v>
      </c>
      <c r="C65">
        <v>94915.710702656273</v>
      </c>
      <c r="D65">
        <v>64835.97627894122</v>
      </c>
      <c r="E65">
        <v>47222.500565475326</v>
      </c>
      <c r="F65">
        <v>39269.25003914829</v>
      </c>
      <c r="G65">
        <v>10000</v>
      </c>
      <c r="H65">
        <v>236243.43758622112</v>
      </c>
      <c r="I65">
        <v>33.648200684484102</v>
      </c>
    </row>
    <row r="66" spans="1:9" x14ac:dyDescent="0.2">
      <c r="A66">
        <v>56</v>
      </c>
      <c r="B66">
        <v>1249905.9053916202</v>
      </c>
      <c r="C66">
        <v>124500.91572715537</v>
      </c>
      <c r="D66">
        <v>110866.36804797227</v>
      </c>
      <c r="E66">
        <v>77735.499529385692</v>
      </c>
      <c r="F66">
        <v>41381.688428957474</v>
      </c>
      <c r="G66">
        <v>10000</v>
      </c>
      <c r="H66">
        <v>344484.4717334708</v>
      </c>
      <c r="I66">
        <v>34.05555777680415</v>
      </c>
    </row>
    <row r="67" spans="1:9" x14ac:dyDescent="0.2">
      <c r="A67">
        <v>57</v>
      </c>
      <c r="B67">
        <v>1733497.267373977</v>
      </c>
      <c r="C67">
        <v>110673.06455291726</v>
      </c>
      <c r="D67">
        <v>119777.01289568059</v>
      </c>
      <c r="E67">
        <v>206287.49947225247</v>
      </c>
      <c r="F67">
        <v>50281.442271155938</v>
      </c>
      <c r="G67">
        <v>10000</v>
      </c>
      <c r="H67">
        <v>477019.01919200626</v>
      </c>
      <c r="I67">
        <v>39.659356168272872</v>
      </c>
    </row>
    <row r="68" spans="1:9" x14ac:dyDescent="0.2">
      <c r="A68">
        <v>58</v>
      </c>
      <c r="B68">
        <v>968860.77173158806</v>
      </c>
      <c r="C68">
        <v>93343.740426875316</v>
      </c>
      <c r="D68">
        <v>72910.588350641876</v>
      </c>
      <c r="E68">
        <v>70336.586587965518</v>
      </c>
      <c r="F68">
        <v>40869.455994551456</v>
      </c>
      <c r="G68">
        <v>10000</v>
      </c>
      <c r="H68">
        <v>267460.37136003416</v>
      </c>
      <c r="I68">
        <v>28.702500014934447</v>
      </c>
    </row>
    <row r="69" spans="1:9" x14ac:dyDescent="0.2">
      <c r="A69">
        <v>59</v>
      </c>
      <c r="B69">
        <v>900180.01666749641</v>
      </c>
      <c r="C69">
        <v>75928.142138565207</v>
      </c>
      <c r="D69">
        <v>54856.822726902785</v>
      </c>
      <c r="E69">
        <v>85905.258755009636</v>
      </c>
      <c r="F69">
        <v>41947.287144577589</v>
      </c>
      <c r="G69">
        <v>10000</v>
      </c>
      <c r="H69">
        <v>248637.51076505522</v>
      </c>
      <c r="I69">
        <v>33.85357585816093</v>
      </c>
    </row>
    <row r="70" spans="1:9" x14ac:dyDescent="0.2">
      <c r="A70">
        <v>60</v>
      </c>
      <c r="B70">
        <v>932390.18045005237</v>
      </c>
      <c r="C70">
        <v>113452.61411327613</v>
      </c>
      <c r="D70">
        <v>73926.316247697061</v>
      </c>
      <c r="E70">
        <v>41231.695708622552</v>
      </c>
      <c r="F70">
        <v>38854.502010596945</v>
      </c>
      <c r="G70">
        <v>10000</v>
      </c>
      <c r="H70">
        <v>257465.12808019266</v>
      </c>
      <c r="I70">
        <v>36.565222166775641</v>
      </c>
    </row>
    <row r="71" spans="1:9" x14ac:dyDescent="0.2">
      <c r="A71">
        <v>61</v>
      </c>
      <c r="B71">
        <v>1028727.8451359085</v>
      </c>
      <c r="C71">
        <v>136907.22782034546</v>
      </c>
      <c r="D71">
        <v>76862.132149506608</v>
      </c>
      <c r="E71">
        <v>41243.077118876128</v>
      </c>
      <c r="F71">
        <v>38855.289954383734</v>
      </c>
      <c r="G71">
        <v>10000</v>
      </c>
      <c r="H71">
        <v>283867.72704311193</v>
      </c>
      <c r="I71">
        <v>41.838140157605764</v>
      </c>
    </row>
    <row r="72" spans="1:9" x14ac:dyDescent="0.2">
      <c r="A72">
        <v>62</v>
      </c>
      <c r="B72">
        <v>1826190.4189804504</v>
      </c>
      <c r="C72">
        <v>140312.68436068806</v>
      </c>
      <c r="D72">
        <v>172502.60190929018</v>
      </c>
      <c r="E72">
        <v>153014.21362264332</v>
      </c>
      <c r="F72">
        <v>46593.291712336846</v>
      </c>
      <c r="G72">
        <v>10000</v>
      </c>
      <c r="H72">
        <v>502422.79160495842</v>
      </c>
      <c r="I72">
        <v>37.249848038921783</v>
      </c>
    </row>
    <row r="73" spans="1:9" x14ac:dyDescent="0.2">
      <c r="A73">
        <v>63</v>
      </c>
      <c r="B73">
        <v>1460240.8819291729</v>
      </c>
      <c r="C73">
        <v>83682.8721467531</v>
      </c>
      <c r="D73">
        <v>137666.06968230606</v>
      </c>
      <c r="E73">
        <v>144758.82093851373</v>
      </c>
      <c r="F73">
        <v>46021.764526512488</v>
      </c>
      <c r="G73">
        <v>10000</v>
      </c>
      <c r="H73">
        <v>402129.52729408536</v>
      </c>
      <c r="I73">
        <v>35.651106680585258</v>
      </c>
    </row>
    <row r="74" spans="1:9" x14ac:dyDescent="0.2">
      <c r="A74">
        <v>64</v>
      </c>
      <c r="B74">
        <v>1710420.7762773796</v>
      </c>
      <c r="C74">
        <v>111043.36745069531</v>
      </c>
      <c r="D74">
        <v>145005.73994275575</v>
      </c>
      <c r="E74">
        <v>176431.04047914696</v>
      </c>
      <c r="F74">
        <v>48214.456648556326</v>
      </c>
      <c r="G74">
        <v>10000</v>
      </c>
      <c r="H74">
        <v>470694.60452115437</v>
      </c>
      <c r="I74">
        <v>48.776637718868898</v>
      </c>
    </row>
    <row r="75" spans="1:9" x14ac:dyDescent="0.2">
      <c r="A75">
        <v>65</v>
      </c>
      <c r="B75">
        <v>1145572.3097803146</v>
      </c>
      <c r="C75">
        <v>143214.25679345281</v>
      </c>
      <c r="D75">
        <v>75872.472823571909</v>
      </c>
      <c r="E75">
        <v>66219.33784534171</v>
      </c>
      <c r="F75">
        <v>40584.41569698519</v>
      </c>
      <c r="G75">
        <v>10000</v>
      </c>
      <c r="H75">
        <v>315890.48315935163</v>
      </c>
      <c r="I75">
        <v>40.170262689942533</v>
      </c>
    </row>
    <row r="76" spans="1:9" x14ac:dyDescent="0.2">
      <c r="A76">
        <v>66</v>
      </c>
      <c r="B76">
        <v>1194291.297477134</v>
      </c>
      <c r="C76">
        <v>136092.76007943571</v>
      </c>
      <c r="D76">
        <v>135523.15576725366</v>
      </c>
      <c r="E76">
        <v>29578.875754069082</v>
      </c>
      <c r="F76">
        <v>38047.768321435549</v>
      </c>
      <c r="G76">
        <v>10000</v>
      </c>
      <c r="H76">
        <v>329242.55992219399</v>
      </c>
      <c r="I76">
        <v>35.087700675044118</v>
      </c>
    </row>
    <row r="77" spans="1:9" x14ac:dyDescent="0.2">
      <c r="A77">
        <v>67</v>
      </c>
      <c r="B77">
        <v>1329275.056846248</v>
      </c>
      <c r="C77">
        <v>130544.68225109433</v>
      </c>
      <c r="D77">
        <v>133921.90086585411</v>
      </c>
      <c r="E77">
        <v>70864.070164503399</v>
      </c>
      <c r="F77">
        <v>40905.97408831177</v>
      </c>
      <c r="G77">
        <v>10000</v>
      </c>
      <c r="H77">
        <v>366236.62736976362</v>
      </c>
      <c r="I77">
        <v>34.070339809176886</v>
      </c>
    </row>
    <row r="78" spans="1:9" x14ac:dyDescent="0.2">
      <c r="A78">
        <v>68</v>
      </c>
      <c r="B78">
        <v>1350602.9802752605</v>
      </c>
      <c r="C78">
        <v>117202.44758797239</v>
      </c>
      <c r="D78">
        <v>126231.26160821792</v>
      </c>
      <c r="E78">
        <v>96001.834144711785</v>
      </c>
      <c r="F78">
        <v>42646.280825403119</v>
      </c>
      <c r="G78">
        <v>10000</v>
      </c>
      <c r="H78">
        <v>372081.82416630519</v>
      </c>
      <c r="I78">
        <v>31.309740371696563</v>
      </c>
    </row>
    <row r="79" spans="1:9" x14ac:dyDescent="0.2">
      <c r="A79">
        <v>69</v>
      </c>
      <c r="B79">
        <v>1393260.2125162259</v>
      </c>
      <c r="C79">
        <v>89302.964090880894</v>
      </c>
      <c r="D79">
        <v>137876.43366418852</v>
      </c>
      <c r="E79">
        <v>122137.52488680562</v>
      </c>
      <c r="F79">
        <v>44455.674799855769</v>
      </c>
      <c r="G79">
        <v>10000</v>
      </c>
      <c r="H79">
        <v>383772.59744173079</v>
      </c>
      <c r="I79">
        <v>41.82353584957022</v>
      </c>
    </row>
    <row r="80" spans="1:9" x14ac:dyDescent="0.2">
      <c r="A80">
        <v>70</v>
      </c>
      <c r="B80">
        <v>940762.10080956342</v>
      </c>
      <c r="C80">
        <v>100190.51686153906</v>
      </c>
      <c r="D80">
        <v>65196.226567889265</v>
      </c>
      <c r="E80">
        <v>63945.802028083723</v>
      </c>
      <c r="F80">
        <v>40427.017063482715</v>
      </c>
      <c r="G80">
        <v>10000</v>
      </c>
      <c r="H80">
        <v>259759.56252099475</v>
      </c>
      <c r="I80">
        <v>42.279851341022095</v>
      </c>
    </row>
    <row r="81" spans="1:9" x14ac:dyDescent="0.2">
      <c r="A81">
        <v>71</v>
      </c>
      <c r="B81">
        <v>1245242.8697176357</v>
      </c>
      <c r="C81">
        <v>114315.96051081318</v>
      </c>
      <c r="D81">
        <v>158687.15691583176</v>
      </c>
      <c r="E81">
        <v>41341.298408086725</v>
      </c>
      <c r="F81">
        <v>38862.089889790615</v>
      </c>
      <c r="G81">
        <v>10000</v>
      </c>
      <c r="H81">
        <v>343206.50572452229</v>
      </c>
      <c r="I81">
        <v>38.633055631459214</v>
      </c>
    </row>
    <row r="82" spans="1:9" x14ac:dyDescent="0.2">
      <c r="A82">
        <v>72</v>
      </c>
      <c r="B82">
        <v>1356264.1325678204</v>
      </c>
      <c r="C82">
        <v>137441.72339021735</v>
      </c>
      <c r="D82">
        <v>78935.686065325339</v>
      </c>
      <c r="E82">
        <v>122757.34240989636</v>
      </c>
      <c r="F82">
        <v>44498.585243762056</v>
      </c>
      <c r="G82">
        <v>10000</v>
      </c>
      <c r="H82">
        <v>373633.33710920112</v>
      </c>
      <c r="I82">
        <v>31.011591994371617</v>
      </c>
    </row>
    <row r="83" spans="1:9" x14ac:dyDescent="0.2">
      <c r="A83">
        <v>73</v>
      </c>
      <c r="B83">
        <v>1087184.4660599381</v>
      </c>
      <c r="C83">
        <v>153374.54276450124</v>
      </c>
      <c r="D83">
        <v>78627.586134300509</v>
      </c>
      <c r="E83">
        <v>39174.331729492988</v>
      </c>
      <c r="F83">
        <v>38712.069119734137</v>
      </c>
      <c r="G83">
        <v>10000</v>
      </c>
      <c r="H83">
        <v>299888.52974802884</v>
      </c>
      <c r="I83">
        <v>28.931067249591152</v>
      </c>
    </row>
    <row r="84" spans="1:9" x14ac:dyDescent="0.2">
      <c r="A84">
        <v>74</v>
      </c>
      <c r="B84">
        <v>1268907.7658916544</v>
      </c>
      <c r="C84">
        <v>88543.386082601864</v>
      </c>
      <c r="D84">
        <v>53758.810185323986</v>
      </c>
      <c r="E84">
        <v>169645.30900761997</v>
      </c>
      <c r="F84">
        <v>47744.675238989075</v>
      </c>
      <c r="G84">
        <v>10000</v>
      </c>
      <c r="H84">
        <v>349692.18051453488</v>
      </c>
      <c r="I84">
        <v>26.093676168907788</v>
      </c>
    </row>
    <row r="85" spans="1:9" x14ac:dyDescent="0.2">
      <c r="A85">
        <v>75</v>
      </c>
      <c r="B85">
        <v>1732862.9702648306</v>
      </c>
      <c r="C85">
        <v>136442.82545628768</v>
      </c>
      <c r="D85">
        <v>124932.81823619148</v>
      </c>
      <c r="E85">
        <v>177201.72625057155</v>
      </c>
      <c r="F85">
        <v>48267.811817347261</v>
      </c>
      <c r="G85">
        <v>10000</v>
      </c>
      <c r="H85">
        <v>476845.18176039797</v>
      </c>
      <c r="I85">
        <v>45.03859544159841</v>
      </c>
    </row>
    <row r="86" spans="1:9" x14ac:dyDescent="0.2">
      <c r="A86">
        <v>76</v>
      </c>
      <c r="B86">
        <v>1492239.1621103617</v>
      </c>
      <c r="C86">
        <v>100924.06360260567</v>
      </c>
      <c r="D86">
        <v>92976.785633419786</v>
      </c>
      <c r="E86">
        <v>178631.43429189295</v>
      </c>
      <c r="F86">
        <v>48366.79160482336</v>
      </c>
      <c r="G86">
        <v>10000</v>
      </c>
      <c r="H86">
        <v>410899.07513274177</v>
      </c>
      <c r="I86">
        <v>49.625026548280267</v>
      </c>
    </row>
    <row r="87" spans="1:9" x14ac:dyDescent="0.2">
      <c r="A87">
        <v>77</v>
      </c>
      <c r="B87">
        <v>1594334.6894242209</v>
      </c>
      <c r="C87">
        <v>112986.24185734249</v>
      </c>
      <c r="D87">
        <v>99567.164484762063</v>
      </c>
      <c r="E87">
        <v>187355.51874815361</v>
      </c>
      <c r="F87">
        <v>48970.766682564477</v>
      </c>
      <c r="G87">
        <v>10000</v>
      </c>
      <c r="H87">
        <v>438879.69177282258</v>
      </c>
      <c r="I87">
        <v>38.978095967116928</v>
      </c>
    </row>
    <row r="88" spans="1:9" x14ac:dyDescent="0.2">
      <c r="A88">
        <v>78</v>
      </c>
      <c r="B88">
        <v>1329120.988541068</v>
      </c>
      <c r="C88">
        <v>88686.522573829119</v>
      </c>
      <c r="D88">
        <v>111475.42446767508</v>
      </c>
      <c r="E88">
        <v>130965.60622902856</v>
      </c>
      <c r="F88">
        <v>45066.84966200967</v>
      </c>
      <c r="G88">
        <v>10000</v>
      </c>
      <c r="H88">
        <v>366194.40293254243</v>
      </c>
      <c r="I88">
        <v>37.372574273077902</v>
      </c>
    </row>
    <row r="89" spans="1:9" x14ac:dyDescent="0.2">
      <c r="A89">
        <v>79</v>
      </c>
      <c r="B89">
        <v>1307643.7302408994</v>
      </c>
      <c r="C89">
        <v>80733.73560793807</v>
      </c>
      <c r="D89">
        <v>102692.05154113509</v>
      </c>
      <c r="E89">
        <v>141113.12183604098</v>
      </c>
      <c r="F89">
        <v>45769.36997326438</v>
      </c>
      <c r="G89">
        <v>10000</v>
      </c>
      <c r="H89">
        <v>360308.27895837853</v>
      </c>
      <c r="I89">
        <v>38.256057656353782</v>
      </c>
    </row>
    <row r="90" spans="1:9" x14ac:dyDescent="0.2">
      <c r="A90">
        <v>80</v>
      </c>
      <c r="B90">
        <v>843238.67424287554</v>
      </c>
      <c r="C90">
        <v>102113.47360239067</v>
      </c>
      <c r="D90">
        <v>55621.413586393486</v>
      </c>
      <c r="E90">
        <v>46105.204051195564</v>
      </c>
      <c r="F90">
        <v>39191.898742005847</v>
      </c>
      <c r="G90">
        <v>10000</v>
      </c>
      <c r="H90">
        <v>233031.98998198556</v>
      </c>
      <c r="I90">
        <v>35.938137207869701</v>
      </c>
    </row>
    <row r="91" spans="1:9" x14ac:dyDescent="0.2">
      <c r="A91">
        <v>81</v>
      </c>
      <c r="B91">
        <v>1137074.4689145337</v>
      </c>
      <c r="C91">
        <v>99718.912029580795</v>
      </c>
      <c r="D91">
        <v>87576.420809688512</v>
      </c>
      <c r="E91">
        <v>93774.149229918607</v>
      </c>
      <c r="F91">
        <v>42492.056485148212</v>
      </c>
      <c r="G91">
        <v>10000</v>
      </c>
      <c r="H91">
        <v>313561.53855433612</v>
      </c>
      <c r="I91">
        <v>55.548919608769779</v>
      </c>
    </row>
    <row r="92" spans="1:9" x14ac:dyDescent="0.2">
      <c r="A92">
        <v>82</v>
      </c>
      <c r="B92">
        <v>1548544.7531352681</v>
      </c>
      <c r="C92">
        <v>86468.823721128399</v>
      </c>
      <c r="D92">
        <v>139513.49678327003</v>
      </c>
      <c r="E92">
        <v>163059.31743608025</v>
      </c>
      <c r="F92">
        <v>47288.721976344015</v>
      </c>
      <c r="G92">
        <v>10000</v>
      </c>
      <c r="H92">
        <v>426330.35991682269</v>
      </c>
      <c r="I92">
        <v>38.751851391595295</v>
      </c>
    </row>
    <row r="93" spans="1:9" x14ac:dyDescent="0.2">
      <c r="A93">
        <v>83</v>
      </c>
      <c r="B93">
        <v>1407292.5780241964</v>
      </c>
      <c r="C93">
        <v>149547.01102812213</v>
      </c>
      <c r="D93">
        <v>94287.184210455074</v>
      </c>
      <c r="E93">
        <v>110157.84353969216</v>
      </c>
      <c r="F93">
        <v>43626.312245055611</v>
      </c>
      <c r="G93">
        <v>10000</v>
      </c>
      <c r="H93">
        <v>387618.351023325</v>
      </c>
      <c r="I93">
        <v>40.018224867594284</v>
      </c>
    </row>
    <row r="94" spans="1:9" x14ac:dyDescent="0.2">
      <c r="A94">
        <v>84</v>
      </c>
      <c r="B94">
        <v>1050061.7236832976</v>
      </c>
      <c r="C94">
        <v>111122.61607110829</v>
      </c>
      <c r="D94">
        <v>81768.667654184494</v>
      </c>
      <c r="E94">
        <v>66237.592698077468</v>
      </c>
      <c r="F94">
        <v>40585.679494482283</v>
      </c>
      <c r="G94">
        <v>10000</v>
      </c>
      <c r="H94">
        <v>289714.5559178525</v>
      </c>
      <c r="I94">
        <v>37.272311844230515</v>
      </c>
    </row>
    <row r="95" spans="1:9" x14ac:dyDescent="0.2">
      <c r="A95">
        <v>85</v>
      </c>
      <c r="B95">
        <v>1515641.6214573851</v>
      </c>
      <c r="C95">
        <v>162315.05410729977</v>
      </c>
      <c r="D95">
        <v>70167.338651623359</v>
      </c>
      <c r="E95">
        <v>148546.44804874208</v>
      </c>
      <c r="F95">
        <v>46283.984864912913</v>
      </c>
      <c r="G95">
        <v>10000</v>
      </c>
      <c r="H95">
        <v>417312.82567257812</v>
      </c>
      <c r="I95">
        <v>34.171379420464206</v>
      </c>
    </row>
    <row r="96" spans="1:9" x14ac:dyDescent="0.2">
      <c r="A96">
        <v>86</v>
      </c>
      <c r="B96">
        <v>1250920.5950908763</v>
      </c>
      <c r="C96">
        <v>94041.336457752375</v>
      </c>
      <c r="D96">
        <v>101767.9095887545</v>
      </c>
      <c r="E96">
        <v>114992.30870359561</v>
      </c>
      <c r="F96">
        <v>43961.005987172</v>
      </c>
      <c r="G96">
        <v>10000</v>
      </c>
      <c r="H96">
        <v>344762.56073727447</v>
      </c>
      <c r="I96">
        <v>29.63133457889446</v>
      </c>
    </row>
    <row r="97" spans="1:9" x14ac:dyDescent="0.2">
      <c r="A97">
        <v>87</v>
      </c>
      <c r="B97">
        <v>1419295.0337996681</v>
      </c>
      <c r="C97">
        <v>108810.07450645517</v>
      </c>
      <c r="D97">
        <v>64381.987521901632</v>
      </c>
      <c r="E97">
        <v>179302.47121667091</v>
      </c>
      <c r="F97">
        <v>48413.248007307986</v>
      </c>
      <c r="G97">
        <v>10000</v>
      </c>
      <c r="H97">
        <v>390907.7812523357</v>
      </c>
      <c r="I97">
        <v>25.951848270027462</v>
      </c>
    </row>
    <row r="98" spans="1:9" x14ac:dyDescent="0.2">
      <c r="A98">
        <v>88</v>
      </c>
      <c r="B98">
        <v>1288800.8745594425</v>
      </c>
      <c r="C98">
        <v>128966.78719730196</v>
      </c>
      <c r="D98">
        <v>63655.429397784741</v>
      </c>
      <c r="E98">
        <v>127682.38145057087</v>
      </c>
      <c r="F98">
        <v>44839.549485039519</v>
      </c>
      <c r="G98">
        <v>10000</v>
      </c>
      <c r="H98">
        <v>355144.14753069705</v>
      </c>
      <c r="I98">
        <v>36.85473959854415</v>
      </c>
    </row>
    <row r="99" spans="1:9" x14ac:dyDescent="0.2">
      <c r="A99">
        <v>89</v>
      </c>
      <c r="B99">
        <v>1263139.6174387191</v>
      </c>
      <c r="C99">
        <v>105525.16542483051</v>
      </c>
      <c r="D99">
        <v>74419.630187481933</v>
      </c>
      <c r="E99">
        <v>132961.51995539674</v>
      </c>
      <c r="F99">
        <v>45205.028304604391</v>
      </c>
      <c r="G99">
        <v>10000</v>
      </c>
      <c r="H99">
        <v>348111.34387231356</v>
      </c>
      <c r="I99">
        <v>29.640499238444324</v>
      </c>
    </row>
    <row r="100" spans="1:9" x14ac:dyDescent="0.2">
      <c r="A100">
        <v>90</v>
      </c>
      <c r="B100">
        <v>1401463.5395400636</v>
      </c>
      <c r="C100">
        <v>153496.5000854664</v>
      </c>
      <c r="D100">
        <v>96122.373127266823</v>
      </c>
      <c r="E100">
        <v>103253.62553598231</v>
      </c>
      <c r="F100">
        <v>43148.327921721851</v>
      </c>
      <c r="G100">
        <v>10000</v>
      </c>
      <c r="H100">
        <v>386020.82667043735</v>
      </c>
      <c r="I100">
        <v>28.435188809437861</v>
      </c>
    </row>
    <row r="101" spans="1:9" x14ac:dyDescent="0.2">
      <c r="A101">
        <v>91</v>
      </c>
      <c r="B101">
        <v>1451816.1272802474</v>
      </c>
      <c r="C101">
        <v>159022.6856855019</v>
      </c>
      <c r="D101">
        <v>104459.65046193371</v>
      </c>
      <c r="E101">
        <v>103194.07180558557</v>
      </c>
      <c r="F101">
        <v>43144.20497115593</v>
      </c>
      <c r="G101">
        <v>10000</v>
      </c>
      <c r="H101">
        <v>399820.61292417708</v>
      </c>
      <c r="I101">
        <v>40.652934296883465</v>
      </c>
    </row>
    <row r="102" spans="1:9" x14ac:dyDescent="0.2">
      <c r="A102">
        <v>92</v>
      </c>
      <c r="B102">
        <v>1383007.065535598</v>
      </c>
      <c r="C102">
        <v>138393.00789061165</v>
      </c>
      <c r="D102">
        <v>77679.444809856112</v>
      </c>
      <c r="E102">
        <v>129897.24903083098</v>
      </c>
      <c r="F102">
        <v>44992.886471365222</v>
      </c>
      <c r="G102">
        <v>10000</v>
      </c>
      <c r="H102">
        <v>380962.58820266399</v>
      </c>
      <c r="I102">
        <v>46.108326169027521</v>
      </c>
    </row>
    <row r="103" spans="1:9" x14ac:dyDescent="0.2">
      <c r="A103">
        <v>93</v>
      </c>
      <c r="B103">
        <v>827410.32622491254</v>
      </c>
      <c r="C103">
        <v>98028.793606065461</v>
      </c>
      <c r="D103">
        <v>54061.37632565113</v>
      </c>
      <c r="E103">
        <v>47327.345407490728</v>
      </c>
      <c r="F103">
        <v>39276.508528210899</v>
      </c>
      <c r="G103">
        <v>10000</v>
      </c>
      <c r="H103">
        <v>228694.0238674182</v>
      </c>
      <c r="I103">
        <v>33.395902549890721</v>
      </c>
    </row>
    <row r="104" spans="1:9" x14ac:dyDescent="0.2">
      <c r="A104">
        <v>94</v>
      </c>
      <c r="B104">
        <v>1552844.6823100061</v>
      </c>
      <c r="C104">
        <v>103618.66060270237</v>
      </c>
      <c r="D104">
        <v>109610.85111879605</v>
      </c>
      <c r="E104">
        <v>176088.55406131537</v>
      </c>
      <c r="F104">
        <v>48190.74605039876</v>
      </c>
      <c r="G104">
        <v>10000</v>
      </c>
      <c r="H104">
        <v>427508.81183321256</v>
      </c>
      <c r="I104">
        <v>35.83741038360931</v>
      </c>
    </row>
    <row r="105" spans="1:9" x14ac:dyDescent="0.2">
      <c r="A105">
        <v>95</v>
      </c>
      <c r="B105">
        <v>1681170.1345113013</v>
      </c>
      <c r="C105">
        <v>110016.98970696102</v>
      </c>
      <c r="D105">
        <v>110424.77962114816</v>
      </c>
      <c r="E105">
        <v>202235.40125930851</v>
      </c>
      <c r="F105">
        <v>50000.912394875202</v>
      </c>
      <c r="G105">
        <v>10000</v>
      </c>
      <c r="H105">
        <v>462678.08298229286</v>
      </c>
      <c r="I105">
        <v>39.313099018198571</v>
      </c>
    </row>
    <row r="106" spans="1:9" x14ac:dyDescent="0.2">
      <c r="A106">
        <v>96</v>
      </c>
      <c r="B106">
        <v>1372291.3291528793</v>
      </c>
      <c r="C106">
        <v>97952.296297977911</v>
      </c>
      <c r="D106">
        <v>43143.059787919301</v>
      </c>
      <c r="E106">
        <v>197273.07730230113</v>
      </c>
      <c r="F106">
        <v>49657.366890159305</v>
      </c>
      <c r="G106">
        <v>10000</v>
      </c>
      <c r="H106">
        <v>378025.8002783577</v>
      </c>
      <c r="I106">
        <v>48.74410208002179</v>
      </c>
    </row>
    <row r="107" spans="1:9" x14ac:dyDescent="0.2">
      <c r="A107">
        <v>97</v>
      </c>
      <c r="B107">
        <v>1138123.0310029136</v>
      </c>
      <c r="C107">
        <v>113372.7037951791</v>
      </c>
      <c r="D107">
        <v>116528.59985618497</v>
      </c>
      <c r="E107">
        <v>54195.603742687425</v>
      </c>
      <c r="F107">
        <v>39752.003336032212</v>
      </c>
      <c r="G107">
        <v>10000</v>
      </c>
      <c r="H107">
        <v>313848.91073008371</v>
      </c>
      <c r="I107">
        <v>29.408998635566874</v>
      </c>
    </row>
    <row r="108" spans="1:9" x14ac:dyDescent="0.2">
      <c r="A108">
        <v>98</v>
      </c>
      <c r="B108">
        <v>1613139.9610249097</v>
      </c>
      <c r="C108">
        <v>88334.913722298807</v>
      </c>
      <c r="D108">
        <v>159190.79102615549</v>
      </c>
      <c r="E108">
        <v>159467.74349288287</v>
      </c>
      <c r="F108">
        <v>47040.07454950727</v>
      </c>
      <c r="G108">
        <v>10000</v>
      </c>
      <c r="H108">
        <v>444033.52279084449</v>
      </c>
      <c r="I108">
        <v>27.661656243000259</v>
      </c>
    </row>
    <row r="109" spans="1:9" x14ac:dyDescent="0.2">
      <c r="A109">
        <v>99</v>
      </c>
      <c r="B109">
        <v>1617473.5414473214</v>
      </c>
      <c r="C109">
        <v>168555.20754780597</v>
      </c>
      <c r="D109">
        <v>109881.45594770834</v>
      </c>
      <c r="E109">
        <v>131668.98842448808</v>
      </c>
      <c r="F109">
        <v>45115.545352464556</v>
      </c>
      <c r="G109">
        <v>10000</v>
      </c>
      <c r="H109">
        <v>445221.19727246696</v>
      </c>
      <c r="I109">
        <v>35.214359040744974</v>
      </c>
    </row>
    <row r="110" spans="1:9" x14ac:dyDescent="0.2">
      <c r="A110">
        <v>100</v>
      </c>
      <c r="B110">
        <v>948560.49070490582</v>
      </c>
      <c r="C110">
        <v>109465.12611000247</v>
      </c>
      <c r="D110">
        <v>93477.941872711497</v>
      </c>
      <c r="E110">
        <v>30820.049694453508</v>
      </c>
      <c r="F110">
        <v>38133.695748077553</v>
      </c>
      <c r="G110">
        <v>10000</v>
      </c>
      <c r="H110">
        <v>261896.81342524505</v>
      </c>
      <c r="I110">
        <v>41.458345181427617</v>
      </c>
    </row>
    <row r="111" spans="1:9" x14ac:dyDescent="0.2">
      <c r="A111">
        <v>101</v>
      </c>
      <c r="B111">
        <v>1008363.5148171115</v>
      </c>
      <c r="C111">
        <v>90198.024454000843</v>
      </c>
      <c r="D111">
        <v>112368.59240307957</v>
      </c>
      <c r="E111">
        <v>46500.718212128719</v>
      </c>
      <c r="F111">
        <v>39219.280491608908</v>
      </c>
      <c r="G111">
        <v>10000</v>
      </c>
      <c r="H111">
        <v>278286.61556081806</v>
      </c>
      <c r="I111">
        <v>31.588140465571911</v>
      </c>
    </row>
    <row r="112" spans="1:9" x14ac:dyDescent="0.2">
      <c r="A112">
        <v>102</v>
      </c>
      <c r="B112">
        <v>1015013.9315000601</v>
      </c>
      <c r="C112">
        <v>114855.98690174708</v>
      </c>
      <c r="D112">
        <v>40007.645595588532</v>
      </c>
      <c r="E112">
        <v>92819.641678131724</v>
      </c>
      <c r="F112">
        <v>42425.975193101425</v>
      </c>
      <c r="G112">
        <v>10000</v>
      </c>
      <c r="H112">
        <v>280109.24936856877</v>
      </c>
      <c r="I112">
        <v>32.424911182314091</v>
      </c>
    </row>
    <row r="113" spans="1:9" x14ac:dyDescent="0.2">
      <c r="A113">
        <v>103</v>
      </c>
      <c r="B113">
        <v>1689682.13276421</v>
      </c>
      <c r="C113">
        <v>115076.68338866757</v>
      </c>
      <c r="D113">
        <v>130858.97775699101</v>
      </c>
      <c r="E113">
        <v>180573.97150845849</v>
      </c>
      <c r="F113">
        <v>48501.27495058559</v>
      </c>
      <c r="G113">
        <v>10000</v>
      </c>
      <c r="H113">
        <v>465010.90760470263</v>
      </c>
      <c r="I113">
        <v>33.581262183596031</v>
      </c>
    </row>
    <row r="114" spans="1:9" x14ac:dyDescent="0.2">
      <c r="A114">
        <v>104</v>
      </c>
      <c r="B114">
        <v>1127088.8553715856</v>
      </c>
      <c r="C114">
        <v>127863.33457579077</v>
      </c>
      <c r="D114">
        <v>116193.1648346077</v>
      </c>
      <c r="E114">
        <v>38128.673548458421</v>
      </c>
      <c r="F114">
        <v>38639.677399508662</v>
      </c>
      <c r="G114">
        <v>10000</v>
      </c>
      <c r="H114">
        <v>310824.85035836557</v>
      </c>
      <c r="I114">
        <v>29.769859801646255</v>
      </c>
    </row>
    <row r="115" spans="1:9" x14ac:dyDescent="0.2">
      <c r="A115">
        <v>105</v>
      </c>
      <c r="B115">
        <v>1465155.6777876345</v>
      </c>
      <c r="C115">
        <v>149438.09646762305</v>
      </c>
      <c r="D115">
        <v>62157.113050752312</v>
      </c>
      <c r="E115">
        <v>155140.76730174446</v>
      </c>
      <c r="F115">
        <v>46740.514659351538</v>
      </c>
      <c r="G115">
        <v>10000</v>
      </c>
      <c r="H115">
        <v>403476.49147947138</v>
      </c>
      <c r="I115">
        <v>35.965720429521042</v>
      </c>
    </row>
    <row r="116" spans="1:9" x14ac:dyDescent="0.2">
      <c r="A116">
        <v>106</v>
      </c>
      <c r="B116">
        <v>1331789.27846917</v>
      </c>
      <c r="C116">
        <v>82112.443920709848</v>
      </c>
      <c r="D116">
        <v>95424.641149190618</v>
      </c>
      <c r="E116">
        <v>152809.47983540397</v>
      </c>
      <c r="F116">
        <v>46579.117834758734</v>
      </c>
      <c r="G116">
        <v>10000</v>
      </c>
      <c r="H116">
        <v>366925.68274006317</v>
      </c>
      <c r="I116">
        <v>27.989244867052332</v>
      </c>
    </row>
    <row r="117" spans="1:9" x14ac:dyDescent="0.2">
      <c r="A117">
        <v>107</v>
      </c>
      <c r="B117">
        <v>1222477.5333656548</v>
      </c>
      <c r="C117">
        <v>106396.4974793716</v>
      </c>
      <c r="D117">
        <v>79402.655790218807</v>
      </c>
      <c r="E117">
        <v>117063.79709573823</v>
      </c>
      <c r="F117">
        <v>44104.416722012647</v>
      </c>
      <c r="G117">
        <v>10000</v>
      </c>
      <c r="H117">
        <v>336967.36708734126</v>
      </c>
      <c r="I117">
        <v>38.516067730009439</v>
      </c>
    </row>
    <row r="118" spans="1:9" x14ac:dyDescent="0.2">
      <c r="A118">
        <v>108</v>
      </c>
      <c r="B118">
        <v>1109032.0939166611</v>
      </c>
      <c r="C118">
        <v>126672.30270964719</v>
      </c>
      <c r="D118">
        <v>103403.06142114189</v>
      </c>
      <c r="E118">
        <v>46576.282363990016</v>
      </c>
      <c r="F118">
        <v>39224.511855968543</v>
      </c>
      <c r="G118">
        <v>10000</v>
      </c>
      <c r="H118">
        <v>305876.15835074766</v>
      </c>
      <c r="I118">
        <v>28.514692485218866</v>
      </c>
    </row>
    <row r="119" spans="1:9" x14ac:dyDescent="0.2">
      <c r="A119">
        <v>109</v>
      </c>
      <c r="B119">
        <v>1400395.3809068517</v>
      </c>
      <c r="C119">
        <v>127137.51105803519</v>
      </c>
      <c r="D119">
        <v>103308.27567460015</v>
      </c>
      <c r="E119">
        <v>120911.50085893154</v>
      </c>
      <c r="F119">
        <v>44370.796213310641</v>
      </c>
      <c r="G119">
        <v>10000</v>
      </c>
      <c r="H119">
        <v>385728.08380487753</v>
      </c>
      <c r="I119">
        <v>38.319927726644117</v>
      </c>
    </row>
    <row r="120" spans="1:9" x14ac:dyDescent="0.2">
      <c r="A120">
        <v>110</v>
      </c>
      <c r="B120">
        <v>1754433.8016228566</v>
      </c>
      <c r="C120">
        <v>143492.39196919021</v>
      </c>
      <c r="D120">
        <v>94966.077640344913</v>
      </c>
      <c r="E120">
        <v>204164.04702263032</v>
      </c>
      <c r="F120">
        <v>50134.43402464364</v>
      </c>
      <c r="G120">
        <v>10000</v>
      </c>
      <c r="H120">
        <v>482756.95065680903</v>
      </c>
      <c r="I120">
        <v>47.662834391018329</v>
      </c>
    </row>
    <row r="121" spans="1:9" x14ac:dyDescent="0.2">
      <c r="A121">
        <v>111</v>
      </c>
      <c r="B121">
        <v>1321916.8010147235</v>
      </c>
      <c r="C121">
        <v>148070.30503066955</v>
      </c>
      <c r="D121">
        <v>98183.895934668704</v>
      </c>
      <c r="E121">
        <v>86011.179861550409</v>
      </c>
      <c r="F121">
        <v>41954.620144261178</v>
      </c>
      <c r="G121">
        <v>10000</v>
      </c>
      <c r="H121">
        <v>364220.00097114983</v>
      </c>
      <c r="I121">
        <v>35.588603943508147</v>
      </c>
    </row>
    <row r="122" spans="1:9" x14ac:dyDescent="0.2">
      <c r="A122">
        <v>112</v>
      </c>
      <c r="B122">
        <v>1585873.4777687336</v>
      </c>
      <c r="C122">
        <v>109068.81663692695</v>
      </c>
      <c r="D122">
        <v>102970.06506954291</v>
      </c>
      <c r="E122">
        <v>185667.96793460826</v>
      </c>
      <c r="F122">
        <v>48853.936241626718</v>
      </c>
      <c r="G122">
        <v>10000</v>
      </c>
      <c r="H122">
        <v>436560.78588270489</v>
      </c>
      <c r="I122">
        <v>43.823629367288596</v>
      </c>
    </row>
    <row r="123" spans="1:9" x14ac:dyDescent="0.2">
      <c r="A123">
        <v>113</v>
      </c>
      <c r="B123">
        <v>1563544.3064769418</v>
      </c>
      <c r="C123">
        <v>146876.42080287612</v>
      </c>
      <c r="D123">
        <v>71619.306923156357</v>
      </c>
      <c r="E123">
        <v>173905.82240863296</v>
      </c>
      <c r="F123">
        <v>48039.633859059206</v>
      </c>
      <c r="G123">
        <v>10000</v>
      </c>
      <c r="H123">
        <v>430441.18399372464</v>
      </c>
      <c r="I123">
        <v>35.532367817265509</v>
      </c>
    </row>
    <row r="124" spans="1:9" x14ac:dyDescent="0.2">
      <c r="A124">
        <v>114</v>
      </c>
      <c r="B124">
        <v>1702850.3197920029</v>
      </c>
      <c r="C124">
        <v>113813.66161950585</v>
      </c>
      <c r="D124">
        <v>139553.53701851651</v>
      </c>
      <c r="E124">
        <v>176998.85615132772</v>
      </c>
      <c r="F124">
        <v>48253.766964322691</v>
      </c>
      <c r="G124">
        <v>10000</v>
      </c>
      <c r="H124">
        <v>468619.82175367279</v>
      </c>
      <c r="I124">
        <v>30.595047493687858</v>
      </c>
    </row>
    <row r="125" spans="1:9" x14ac:dyDescent="0.2">
      <c r="A125">
        <v>115</v>
      </c>
      <c r="B125">
        <v>1062386.2889733631</v>
      </c>
      <c r="C125">
        <v>95383.482289807682</v>
      </c>
      <c r="D125">
        <v>139921.01184586762</v>
      </c>
      <c r="E125">
        <v>29729.569385605781</v>
      </c>
      <c r="F125">
        <v>38058.200957465015</v>
      </c>
      <c r="G125">
        <v>10000</v>
      </c>
      <c r="H125">
        <v>293092.2644787461</v>
      </c>
      <c r="I125">
        <v>26.976439892496487</v>
      </c>
    </row>
    <row r="126" spans="1:9" x14ac:dyDescent="0.2">
      <c r="A126">
        <v>116</v>
      </c>
      <c r="B126">
        <v>1903651.136573951</v>
      </c>
      <c r="C126">
        <v>162914.58858360001</v>
      </c>
      <c r="D126">
        <v>125224.59374808552</v>
      </c>
      <c r="E126">
        <v>195947.16093094563</v>
      </c>
      <c r="F126">
        <v>49565.572679834702</v>
      </c>
      <c r="G126">
        <v>10000</v>
      </c>
      <c r="H126">
        <v>523651.91594246589</v>
      </c>
      <c r="I126">
        <v>45.057440400890243</v>
      </c>
    </row>
    <row r="127" spans="1:9" x14ac:dyDescent="0.2">
      <c r="A127">
        <v>117</v>
      </c>
      <c r="B127">
        <v>1523338.8781196021</v>
      </c>
      <c r="C127">
        <v>147861.77575407608</v>
      </c>
      <c r="D127">
        <v>128420.56027443563</v>
      </c>
      <c r="E127">
        <v>109555.41781245009</v>
      </c>
      <c r="F127">
        <v>43584.605848554231</v>
      </c>
      <c r="G127">
        <v>10000</v>
      </c>
      <c r="H127">
        <v>419422.35968951602</v>
      </c>
      <c r="I127">
        <v>29.747224521626094</v>
      </c>
    </row>
    <row r="128" spans="1:9" x14ac:dyDescent="0.2">
      <c r="A128">
        <v>118</v>
      </c>
      <c r="B128">
        <v>1393746.0793235095</v>
      </c>
      <c r="C128">
        <v>131326.48883642667</v>
      </c>
      <c r="D128">
        <v>79205.570770691542</v>
      </c>
      <c r="E128">
        <v>137831.5142424184</v>
      </c>
      <c r="F128">
        <v>45542.181755244354</v>
      </c>
      <c r="G128">
        <v>10000</v>
      </c>
      <c r="H128">
        <v>383905.75560478098</v>
      </c>
      <c r="I128">
        <v>34.030171200509933</v>
      </c>
    </row>
    <row r="129" spans="1:9" x14ac:dyDescent="0.2">
      <c r="A129">
        <v>119</v>
      </c>
      <c r="B129">
        <v>1020182.4376670328</v>
      </c>
      <c r="C129">
        <v>121959.52792888983</v>
      </c>
      <c r="D129">
        <v>56917.80550819276</v>
      </c>
      <c r="E129">
        <v>71685.565881619084</v>
      </c>
      <c r="F129">
        <v>40962.84686872748</v>
      </c>
      <c r="G129">
        <v>10000</v>
      </c>
      <c r="H129">
        <v>281525.74618742918</v>
      </c>
      <c r="I129">
        <v>39.173460567543451</v>
      </c>
    </row>
    <row r="130" spans="1:9" x14ac:dyDescent="0.2">
      <c r="A130">
        <v>120</v>
      </c>
      <c r="B130">
        <v>1307137.3855877772</v>
      </c>
      <c r="C130">
        <v>101163.99012101076</v>
      </c>
      <c r="D130">
        <v>48863.532706406695</v>
      </c>
      <c r="E130">
        <v>172219.12335958102</v>
      </c>
      <c r="F130">
        <v>47922.862386432527</v>
      </c>
      <c r="G130">
        <v>10000</v>
      </c>
      <c r="H130">
        <v>360169.508573431</v>
      </c>
      <c r="I130">
        <v>30.375171914198855</v>
      </c>
    </row>
    <row r="131" spans="1:9" x14ac:dyDescent="0.2">
      <c r="A131">
        <v>121</v>
      </c>
      <c r="B131">
        <v>1736127.3309088647</v>
      </c>
      <c r="C131">
        <v>152158.75510915462</v>
      </c>
      <c r="D131">
        <v>133686.58511804609</v>
      </c>
      <c r="E131">
        <v>155153.11296912606</v>
      </c>
      <c r="F131">
        <v>46741.36935940104</v>
      </c>
      <c r="G131">
        <v>10000</v>
      </c>
      <c r="H131">
        <v>477739.82255572779</v>
      </c>
      <c r="I131">
        <v>28.716911199262487</v>
      </c>
    </row>
    <row r="132" spans="1:9" x14ac:dyDescent="0.2">
      <c r="A132">
        <v>122</v>
      </c>
      <c r="B132">
        <v>1526940.2611995526</v>
      </c>
      <c r="C132">
        <v>126918.86573345408</v>
      </c>
      <c r="D132">
        <v>73051.727436081987</v>
      </c>
      <c r="E132">
        <v>181849.21190447392</v>
      </c>
      <c r="F132">
        <v>48589.560824155888</v>
      </c>
      <c r="G132">
        <v>10000</v>
      </c>
      <c r="H132">
        <v>420409.36589816585</v>
      </c>
      <c r="I132">
        <v>27.217191751194235</v>
      </c>
    </row>
    <row r="133" spans="1:9" x14ac:dyDescent="0.2">
      <c r="A133">
        <v>123</v>
      </c>
      <c r="B133">
        <v>1338104.5721699172</v>
      </c>
      <c r="C133">
        <v>147293.24622227511</v>
      </c>
      <c r="D133">
        <v>84597.869507453244</v>
      </c>
      <c r="E133">
        <v>103593.49839382648</v>
      </c>
      <c r="F133">
        <v>43171.857581111064</v>
      </c>
      <c r="G133">
        <v>10000</v>
      </c>
      <c r="H133">
        <v>368656.47170466592</v>
      </c>
      <c r="I133">
        <v>52.693463854190647</v>
      </c>
    </row>
    <row r="134" spans="1:9" x14ac:dyDescent="0.2">
      <c r="A134">
        <v>124</v>
      </c>
      <c r="B134">
        <v>1020328.954587671</v>
      </c>
      <c r="C134">
        <v>97785.215863533595</v>
      </c>
      <c r="D134">
        <v>51313.78070945193</v>
      </c>
      <c r="E134">
        <v>99573.36391694771</v>
      </c>
      <c r="F134">
        <v>42893.540578865606</v>
      </c>
      <c r="G134">
        <v>10000</v>
      </c>
      <c r="H134">
        <v>281565.90106879885</v>
      </c>
      <c r="I134">
        <v>43.693724442677635</v>
      </c>
    </row>
    <row r="135" spans="1:9" x14ac:dyDescent="0.2">
      <c r="A135">
        <v>125</v>
      </c>
      <c r="B135">
        <v>1532910.7958585517</v>
      </c>
      <c r="C135">
        <v>130518.96728336351</v>
      </c>
      <c r="D135">
        <v>89548.845988935558</v>
      </c>
      <c r="E135">
        <v>164583.60619904337</v>
      </c>
      <c r="F135">
        <v>47394.249659933768</v>
      </c>
      <c r="G135">
        <v>10000</v>
      </c>
      <c r="H135">
        <v>422045.66913127626</v>
      </c>
      <c r="I135">
        <v>30.66493662477631</v>
      </c>
    </row>
    <row r="136" spans="1:9" x14ac:dyDescent="0.2">
      <c r="A136">
        <v>126</v>
      </c>
      <c r="B136">
        <v>1285803.4719824591</v>
      </c>
      <c r="C136">
        <v>139958.16331521943</v>
      </c>
      <c r="D136">
        <v>92222.427160267966</v>
      </c>
      <c r="E136">
        <v>89917.052877448805</v>
      </c>
      <c r="F136">
        <v>42225.026737669534</v>
      </c>
      <c r="G136">
        <v>10000</v>
      </c>
      <c r="H136">
        <v>354322.67009060574</v>
      </c>
      <c r="I136">
        <v>33.256904094855642</v>
      </c>
    </row>
    <row r="137" spans="1:9" x14ac:dyDescent="0.2">
      <c r="A137">
        <v>127</v>
      </c>
      <c r="B137">
        <v>1050788.975421204</v>
      </c>
      <c r="C137">
        <v>109066.91450246565</v>
      </c>
      <c r="D137">
        <v>112996.47520074254</v>
      </c>
      <c r="E137">
        <v>39140.735830126643</v>
      </c>
      <c r="F137">
        <v>38709.743249777996</v>
      </c>
      <c r="G137">
        <v>10000</v>
      </c>
      <c r="H137">
        <v>289913.86878311285</v>
      </c>
      <c r="I137">
        <v>35.25503640943019</v>
      </c>
    </row>
    <row r="138" spans="1:9" x14ac:dyDescent="0.2">
      <c r="A138">
        <v>128</v>
      </c>
      <c r="B138">
        <v>775618.68113565736</v>
      </c>
      <c r="C138">
        <v>76546.116111214433</v>
      </c>
      <c r="D138">
        <v>33977.097741711048</v>
      </c>
      <c r="E138">
        <v>72927.784616315708</v>
      </c>
      <c r="F138">
        <v>41048.84662728339</v>
      </c>
      <c r="G138">
        <v>10000</v>
      </c>
      <c r="H138">
        <v>214499.84509652457</v>
      </c>
      <c r="I138">
        <v>34.106901032774999</v>
      </c>
    </row>
    <row r="139" spans="1:9" x14ac:dyDescent="0.2">
      <c r="A139">
        <v>129</v>
      </c>
      <c r="B139">
        <v>1072053.1601327427</v>
      </c>
      <c r="C139">
        <v>143772.09621687801</v>
      </c>
      <c r="D139">
        <v>61481.505822820487</v>
      </c>
      <c r="E139">
        <v>60312.513411762448</v>
      </c>
      <c r="F139">
        <v>40175.481697737399</v>
      </c>
      <c r="G139">
        <v>10000</v>
      </c>
      <c r="H139">
        <v>295741.59714919835</v>
      </c>
      <c r="I139">
        <v>38.490319107730336</v>
      </c>
    </row>
    <row r="140" spans="1:9" x14ac:dyDescent="0.2">
      <c r="A140">
        <v>130</v>
      </c>
      <c r="B140">
        <v>1220550.3065096601</v>
      </c>
      <c r="C140">
        <v>90025.285189321468</v>
      </c>
      <c r="D140">
        <v>92126.325261863676</v>
      </c>
      <c r="E140">
        <v>119981.18513110639</v>
      </c>
      <c r="F140">
        <v>44306.389739845828</v>
      </c>
      <c r="G140">
        <v>10000</v>
      </c>
      <c r="H140">
        <v>336439.18532213737</v>
      </c>
      <c r="I140">
        <v>24.678617751152053</v>
      </c>
    </row>
    <row r="141" spans="1:9" x14ac:dyDescent="0.2">
      <c r="A141">
        <v>131</v>
      </c>
      <c r="B141">
        <v>1464138.1410953056</v>
      </c>
      <c r="C141">
        <v>162087.57742809341</v>
      </c>
      <c r="D141">
        <v>155213.63209788178</v>
      </c>
      <c r="E141">
        <v>56018.227699375173</v>
      </c>
      <c r="F141">
        <v>39878.184994572126</v>
      </c>
      <c r="G141">
        <v>10000</v>
      </c>
      <c r="H141">
        <v>403197.62221992249</v>
      </c>
      <c r="I141">
        <v>31.535657864052041</v>
      </c>
    </row>
    <row r="142" spans="1:9" x14ac:dyDescent="0.2">
      <c r="A142">
        <v>132</v>
      </c>
      <c r="B142">
        <v>1446366.1027225121</v>
      </c>
      <c r="C142">
        <v>112876.44664752268</v>
      </c>
      <c r="D142">
        <v>66138.548091547142</v>
      </c>
      <c r="E142">
        <v>180795.36534721928</v>
      </c>
      <c r="F142">
        <v>48516.602216345949</v>
      </c>
      <c r="G142">
        <v>10000</v>
      </c>
      <c r="H142">
        <v>398326.96230263507</v>
      </c>
      <c r="I142">
        <v>47.809565788497117</v>
      </c>
    </row>
    <row r="143" spans="1:9" x14ac:dyDescent="0.2">
      <c r="A143">
        <v>133</v>
      </c>
      <c r="B143">
        <v>1205940.7220398379</v>
      </c>
      <c r="C143">
        <v>125573.84118499998</v>
      </c>
      <c r="D143">
        <v>37607.828657566948</v>
      </c>
      <c r="E143">
        <v>133978.1566362684</v>
      </c>
      <c r="F143">
        <v>45275.410844049351</v>
      </c>
      <c r="G143">
        <v>10000</v>
      </c>
      <c r="H143">
        <v>332435.23732288467</v>
      </c>
      <c r="I143">
        <v>38.320802235153465</v>
      </c>
    </row>
    <row r="144" spans="1:9" x14ac:dyDescent="0.2">
      <c r="A144">
        <v>134</v>
      </c>
      <c r="B144">
        <v>1301854.3570054555</v>
      </c>
      <c r="C144">
        <v>95362.576117062868</v>
      </c>
      <c r="D144">
        <v>108689.8101546055</v>
      </c>
      <c r="E144">
        <v>120338.13730162336</v>
      </c>
      <c r="F144">
        <v>44331.101813189307</v>
      </c>
      <c r="G144">
        <v>10000</v>
      </c>
      <c r="H144">
        <v>358721.62538648106</v>
      </c>
      <c r="I144">
        <v>47.085032658146233</v>
      </c>
    </row>
    <row r="145" spans="1:9" x14ac:dyDescent="0.2">
      <c r="A145">
        <v>135</v>
      </c>
      <c r="B145">
        <v>954072.92356363067</v>
      </c>
      <c r="C145">
        <v>117743.19415975374</v>
      </c>
      <c r="D145">
        <v>79762.331023590261</v>
      </c>
      <c r="E145">
        <v>37318.457178837823</v>
      </c>
      <c r="F145">
        <v>38583.585496996464</v>
      </c>
      <c r="G145">
        <v>10000</v>
      </c>
      <c r="H145">
        <v>263407.56785917829</v>
      </c>
      <c r="I145">
        <v>44.524794536475753</v>
      </c>
    </row>
    <row r="146" spans="1:9" x14ac:dyDescent="0.2">
      <c r="A146">
        <v>136</v>
      </c>
      <c r="B146">
        <v>1535346.6167850613</v>
      </c>
      <c r="C146">
        <v>159134.40121190855</v>
      </c>
      <c r="D146">
        <v>74688.569976675542</v>
      </c>
      <c r="E146">
        <v>152343.41478251046</v>
      </c>
      <c r="F146">
        <v>46546.851792635338</v>
      </c>
      <c r="G146">
        <v>10000</v>
      </c>
      <c r="H146">
        <v>422713.23776372994</v>
      </c>
      <c r="I146">
        <v>47.749959696979857</v>
      </c>
    </row>
    <row r="147" spans="1:9" x14ac:dyDescent="0.2">
      <c r="A147">
        <v>137</v>
      </c>
      <c r="B147">
        <v>1201507.9278505624</v>
      </c>
      <c r="C147">
        <v>78457.30661138815</v>
      </c>
      <c r="D147">
        <v>62638.89413227592</v>
      </c>
      <c r="E147">
        <v>153497.42636309788</v>
      </c>
      <c r="F147">
        <v>46626.744902060622</v>
      </c>
      <c r="G147">
        <v>10000</v>
      </c>
      <c r="H147">
        <v>331220.37200882251</v>
      </c>
      <c r="I147">
        <v>30.288484649114025</v>
      </c>
    </row>
    <row r="148" spans="1:9" x14ac:dyDescent="0.2">
      <c r="A148">
        <v>138</v>
      </c>
      <c r="B148">
        <v>1308520.1045798233</v>
      </c>
      <c r="C148">
        <v>115917.99936254558</v>
      </c>
      <c r="D148">
        <v>82498.725173045794</v>
      </c>
      <c r="E148">
        <v>127317.45120671585</v>
      </c>
      <c r="F148">
        <v>44814.285083541865</v>
      </c>
      <c r="G148">
        <v>10000</v>
      </c>
      <c r="H148">
        <v>360548.46082584909</v>
      </c>
      <c r="I148">
        <v>36.170962215243321</v>
      </c>
    </row>
    <row r="149" spans="1:9" x14ac:dyDescent="0.2">
      <c r="A149">
        <v>139</v>
      </c>
      <c r="B149">
        <v>1095749.8896625058</v>
      </c>
      <c r="C149">
        <v>99053.074250238627</v>
      </c>
      <c r="D149">
        <v>109670.01859138145</v>
      </c>
      <c r="E149">
        <v>63141.564373701614</v>
      </c>
      <c r="F149">
        <v>40371.339072025497</v>
      </c>
      <c r="G149">
        <v>10000</v>
      </c>
      <c r="H149">
        <v>302235.99628734723</v>
      </c>
      <c r="I149">
        <v>32.459118719919815</v>
      </c>
    </row>
    <row r="150" spans="1:9" x14ac:dyDescent="0.2">
      <c r="A150">
        <v>140</v>
      </c>
      <c r="B150">
        <v>1765785.9059624383</v>
      </c>
      <c r="C150">
        <v>138089.62526184911</v>
      </c>
      <c r="D150">
        <v>99587.678184909688</v>
      </c>
      <c r="E150">
        <v>207804.38283566956</v>
      </c>
      <c r="F150">
        <v>50386.457273238659</v>
      </c>
      <c r="G150">
        <v>10000</v>
      </c>
      <c r="H150">
        <v>485868.14355566702</v>
      </c>
      <c r="I150">
        <v>48.793364796863791</v>
      </c>
    </row>
    <row r="151" spans="1:9" x14ac:dyDescent="0.2">
      <c r="A151">
        <v>141</v>
      </c>
      <c r="B151">
        <v>1161649.934550694</v>
      </c>
      <c r="C151">
        <v>87277.670914161179</v>
      </c>
      <c r="D151">
        <v>72106.173029374404</v>
      </c>
      <c r="E151">
        <v>126177.55378176516</v>
      </c>
      <c r="F151">
        <v>44735.369107968356</v>
      </c>
      <c r="G151">
        <v>10000</v>
      </c>
      <c r="H151">
        <v>320296.7668332691</v>
      </c>
      <c r="I151">
        <v>38.197589336324796</v>
      </c>
    </row>
    <row r="152" spans="1:9" x14ac:dyDescent="0.2">
      <c r="A152">
        <v>142</v>
      </c>
      <c r="B152">
        <v>1453585.7497457638</v>
      </c>
      <c r="C152">
        <v>157825.0057125563</v>
      </c>
      <c r="D152">
        <v>42303.884394472465</v>
      </c>
      <c r="E152">
        <v>162899.08226260808</v>
      </c>
      <c r="F152">
        <v>47277.628772026714</v>
      </c>
      <c r="G152">
        <v>10000</v>
      </c>
      <c r="H152">
        <v>400305.60114166362</v>
      </c>
      <c r="I152">
        <v>38.037699619048297</v>
      </c>
    </row>
    <row r="153" spans="1:9" x14ac:dyDescent="0.2">
      <c r="A153">
        <v>143</v>
      </c>
      <c r="B153">
        <v>1248899.7148678231</v>
      </c>
      <c r="C153">
        <v>118211.53476453948</v>
      </c>
      <c r="D153">
        <v>83287.262611429105</v>
      </c>
      <c r="E153">
        <v>109153.15759948643</v>
      </c>
      <c r="F153">
        <v>43556.757064579833</v>
      </c>
      <c r="G153">
        <v>10000</v>
      </c>
      <c r="H153">
        <v>344208.71204003482</v>
      </c>
      <c r="I153">
        <v>34.371707977125538</v>
      </c>
    </row>
    <row r="154" spans="1:9" x14ac:dyDescent="0.2">
      <c r="A154">
        <v>144</v>
      </c>
      <c r="B154">
        <v>1226981.875640431</v>
      </c>
      <c r="C154">
        <v>90517.618736491131</v>
      </c>
      <c r="D154">
        <v>79615.243100706997</v>
      </c>
      <c r="E154">
        <v>132870.26836729955</v>
      </c>
      <c r="F154">
        <v>45198.710886966895</v>
      </c>
      <c r="G154">
        <v>10000</v>
      </c>
      <c r="H154">
        <v>338201.84109146462</v>
      </c>
      <c r="I154">
        <v>31.100137467557296</v>
      </c>
    </row>
    <row r="155" spans="1:9" x14ac:dyDescent="0.2">
      <c r="A155">
        <v>145</v>
      </c>
      <c r="B155">
        <v>1289195.5151558686</v>
      </c>
      <c r="C155">
        <v>111958.81219477576</v>
      </c>
      <c r="D155">
        <v>43059.866734626907</v>
      </c>
      <c r="E155">
        <v>162952.31117563852</v>
      </c>
      <c r="F155">
        <v>47281.313850621125</v>
      </c>
      <c r="G155">
        <v>10000</v>
      </c>
      <c r="H155">
        <v>355252.3039556623</v>
      </c>
      <c r="I155">
        <v>51.146084574966395</v>
      </c>
    </row>
    <row r="156" spans="1:9" x14ac:dyDescent="0.2">
      <c r="A156">
        <v>146</v>
      </c>
      <c r="B156">
        <v>1640152.2465684118</v>
      </c>
      <c r="C156">
        <v>117493.45448070283</v>
      </c>
      <c r="D156">
        <v>137996.18689994406</v>
      </c>
      <c r="E156">
        <v>158943.19261653058</v>
      </c>
      <c r="F156">
        <v>47003.759488836731</v>
      </c>
      <c r="G156">
        <v>10000</v>
      </c>
      <c r="H156">
        <v>451436.59348601423</v>
      </c>
      <c r="I156">
        <v>46.77907486927522</v>
      </c>
    </row>
    <row r="157" spans="1:9" x14ac:dyDescent="0.2">
      <c r="A157">
        <v>147</v>
      </c>
      <c r="B157">
        <v>1412530.2289006663</v>
      </c>
      <c r="C157">
        <v>101801.04369699363</v>
      </c>
      <c r="D157">
        <v>80934.392709642969</v>
      </c>
      <c r="E157">
        <v>168643.07185871492</v>
      </c>
      <c r="F157">
        <v>47675.289590218723</v>
      </c>
      <c r="G157">
        <v>10000</v>
      </c>
      <c r="H157">
        <v>389053.79785557027</v>
      </c>
      <c r="I157">
        <v>43.578637811163134</v>
      </c>
    </row>
    <row r="158" spans="1:9" x14ac:dyDescent="0.2">
      <c r="A158">
        <v>148</v>
      </c>
      <c r="B158">
        <v>1362760.0286584508</v>
      </c>
      <c r="C158">
        <v>87025.789024201134</v>
      </c>
      <c r="D158">
        <v>146490.13735751348</v>
      </c>
      <c r="E158">
        <v>108393.52876664864</v>
      </c>
      <c r="F158">
        <v>43504.167376152604</v>
      </c>
      <c r="G158">
        <v>10000</v>
      </c>
      <c r="H158">
        <v>375413.62252451584</v>
      </c>
      <c r="I158">
        <v>34.687906073757674</v>
      </c>
    </row>
    <row r="159" spans="1:9" x14ac:dyDescent="0.2">
      <c r="A159">
        <v>149</v>
      </c>
      <c r="B159">
        <v>1115731.1566505639</v>
      </c>
      <c r="C159">
        <v>110891.74587993631</v>
      </c>
      <c r="D159">
        <v>58941.464145747763</v>
      </c>
      <c r="E159">
        <v>104634.95574561131</v>
      </c>
      <c r="F159">
        <v>43243.95847469617</v>
      </c>
      <c r="G159">
        <v>10000</v>
      </c>
      <c r="H159">
        <v>307712.12424599152</v>
      </c>
      <c r="I159">
        <v>29.622600120283902</v>
      </c>
    </row>
    <row r="160" spans="1:9" x14ac:dyDescent="0.2">
      <c r="A160">
        <v>150</v>
      </c>
      <c r="B160">
        <v>1334414.4209127505</v>
      </c>
      <c r="C160">
        <v>109607.28423174495</v>
      </c>
      <c r="D160">
        <v>134356.51174238481</v>
      </c>
      <c r="E160">
        <v>91356.650267737539</v>
      </c>
      <c r="F160">
        <v>42324.691172381834</v>
      </c>
      <c r="G160">
        <v>10000</v>
      </c>
      <c r="H160">
        <v>367645.13741424913</v>
      </c>
      <c r="I160">
        <v>32.345646226961875</v>
      </c>
    </row>
    <row r="161" spans="1:9" x14ac:dyDescent="0.2">
      <c r="A161">
        <v>151</v>
      </c>
      <c r="B161">
        <v>1319041.5575985457</v>
      </c>
      <c r="C161">
        <v>88828.105075250569</v>
      </c>
      <c r="D161">
        <v>105199.0728300824</v>
      </c>
      <c r="E161">
        <v>134119.62045117019</v>
      </c>
      <c r="F161">
        <v>45285.204492773322</v>
      </c>
      <c r="G161">
        <v>10000</v>
      </c>
      <c r="H161">
        <v>363432.00284927647</v>
      </c>
      <c r="I161">
        <v>35.660808431489912</v>
      </c>
    </row>
    <row r="162" spans="1:9" x14ac:dyDescent="0.2">
      <c r="A162">
        <v>152</v>
      </c>
      <c r="B162">
        <v>1194668.5972505531</v>
      </c>
      <c r="C162">
        <v>123449.58911317839</v>
      </c>
      <c r="D162">
        <v>95903.09497713561</v>
      </c>
      <c r="E162">
        <v>78554.865978627204</v>
      </c>
      <c r="F162">
        <v>41438.413798520342</v>
      </c>
      <c r="G162">
        <v>10000</v>
      </c>
      <c r="H162">
        <v>329345.96386746154</v>
      </c>
      <c r="I162">
        <v>45.647994001657835</v>
      </c>
    </row>
    <row r="163" spans="1:9" x14ac:dyDescent="0.2">
      <c r="A163">
        <v>153</v>
      </c>
      <c r="B163">
        <v>1653562.2305056921</v>
      </c>
      <c r="C163">
        <v>108868.40479479489</v>
      </c>
      <c r="D163">
        <v>162785.00833090421</v>
      </c>
      <c r="E163">
        <v>147263.21637094245</v>
      </c>
      <c r="F163">
        <v>46195.145748757554</v>
      </c>
      <c r="G163">
        <v>10000</v>
      </c>
      <c r="H163">
        <v>455111.7752453991</v>
      </c>
      <c r="I163">
        <v>36.546406756546666</v>
      </c>
    </row>
    <row r="164" spans="1:9" x14ac:dyDescent="0.2">
      <c r="A164">
        <v>154</v>
      </c>
      <c r="B164">
        <v>1143859.187468986</v>
      </c>
      <c r="C164">
        <v>113642.5882392396</v>
      </c>
      <c r="D164">
        <v>86969.701731346708</v>
      </c>
      <c r="E164">
        <v>83058.486656287962</v>
      </c>
      <c r="F164">
        <v>41750.202922358389</v>
      </c>
      <c r="G164">
        <v>10000</v>
      </c>
      <c r="H164">
        <v>315420.9795492327</v>
      </c>
      <c r="I164">
        <v>51.543642306631142</v>
      </c>
    </row>
    <row r="165" spans="1:9" x14ac:dyDescent="0.2">
      <c r="A165">
        <v>155</v>
      </c>
      <c r="B165">
        <v>1468169.9384027235</v>
      </c>
      <c r="C165">
        <v>154583.0679687123</v>
      </c>
      <c r="D165">
        <v>102066.50202930385</v>
      </c>
      <c r="E165">
        <v>113776.20490218209</v>
      </c>
      <c r="F165">
        <v>43876.814185535688</v>
      </c>
      <c r="G165">
        <v>10000</v>
      </c>
      <c r="H165">
        <v>404302.58908573398</v>
      </c>
      <c r="I165">
        <v>33.77006266834718</v>
      </c>
    </row>
    <row r="166" spans="1:9" x14ac:dyDescent="0.2">
      <c r="A166">
        <v>156</v>
      </c>
      <c r="B166">
        <v>1557108.6350195133</v>
      </c>
      <c r="C166">
        <v>139100.41563769549</v>
      </c>
      <c r="D166">
        <v>49472.109692436003</v>
      </c>
      <c r="E166">
        <v>200241.97278941024</v>
      </c>
      <c r="F166">
        <v>49862.905808497628</v>
      </c>
      <c r="G166">
        <v>10000</v>
      </c>
      <c r="H166">
        <v>428677.40392803936</v>
      </c>
      <c r="I166">
        <v>46.919952653575777</v>
      </c>
    </row>
    <row r="167" spans="1:9" x14ac:dyDescent="0.2">
      <c r="A167">
        <v>157</v>
      </c>
      <c r="B167">
        <v>968361.14464442444</v>
      </c>
      <c r="C167">
        <v>122739.02821816895</v>
      </c>
      <c r="D167">
        <v>60489.197760730123</v>
      </c>
      <c r="E167">
        <v>54333.655282787062</v>
      </c>
      <c r="F167">
        <v>39761.560750346798</v>
      </c>
      <c r="G167">
        <v>10000</v>
      </c>
      <c r="H167">
        <v>267323.44201203296</v>
      </c>
      <c r="I167">
        <v>43.721679609490337</v>
      </c>
    </row>
    <row r="168" spans="1:9" x14ac:dyDescent="0.2">
      <c r="A168">
        <v>158</v>
      </c>
      <c r="B168">
        <v>1217225.2811832121</v>
      </c>
      <c r="C168">
        <v>85330.535622354771</v>
      </c>
      <c r="D168">
        <v>54087.691151242674</v>
      </c>
      <c r="E168">
        <v>159095.39521081207</v>
      </c>
      <c r="F168">
        <v>47014.296591517756</v>
      </c>
      <c r="G168">
        <v>10000</v>
      </c>
      <c r="H168">
        <v>335527.91857592727</v>
      </c>
      <c r="I168">
        <v>53.540009269176416</v>
      </c>
    </row>
    <row r="169" spans="1:9" x14ac:dyDescent="0.2">
      <c r="A169">
        <v>159</v>
      </c>
      <c r="B169">
        <v>1047236.5363976657</v>
      </c>
      <c r="C169">
        <v>93873.623459470036</v>
      </c>
      <c r="D169">
        <v>78080.715012076573</v>
      </c>
      <c r="E169">
        <v>85094.762029871636</v>
      </c>
      <c r="F169">
        <v>41891.175832837267</v>
      </c>
      <c r="G169">
        <v>10000</v>
      </c>
      <c r="H169">
        <v>288940.27633425547</v>
      </c>
      <c r="I169">
        <v>46.725590732710856</v>
      </c>
    </row>
    <row r="170" spans="1:9" x14ac:dyDescent="0.2">
      <c r="A170">
        <v>160</v>
      </c>
      <c r="B170">
        <v>1273224.0968152164</v>
      </c>
      <c r="C170">
        <v>126108.31087615695</v>
      </c>
      <c r="D170">
        <v>58735.687019440935</v>
      </c>
      <c r="E170">
        <v>130964.36585919163</v>
      </c>
      <c r="F170">
        <v>45066.763790251724</v>
      </c>
      <c r="G170">
        <v>10000</v>
      </c>
      <c r="H170">
        <v>350875.12754504126</v>
      </c>
      <c r="I170">
        <v>37.220073883958662</v>
      </c>
    </row>
    <row r="171" spans="1:9" x14ac:dyDescent="0.2">
      <c r="A171">
        <v>161</v>
      </c>
      <c r="B171">
        <v>1373074.2560300566</v>
      </c>
      <c r="C171">
        <v>97923.762267649639</v>
      </c>
      <c r="D171">
        <v>45894.040415730684</v>
      </c>
      <c r="E171">
        <v>194927.58248194115</v>
      </c>
      <c r="F171">
        <v>49494.986479519001</v>
      </c>
      <c r="G171">
        <v>10000</v>
      </c>
      <c r="H171">
        <v>378240.37164484046</v>
      </c>
      <c r="I171">
        <v>34.212458952519846</v>
      </c>
    </row>
    <row r="172" spans="1:9" x14ac:dyDescent="0.2">
      <c r="A172">
        <v>162</v>
      </c>
      <c r="B172">
        <v>1604060.729586869</v>
      </c>
      <c r="C172">
        <v>116945.15177549397</v>
      </c>
      <c r="D172">
        <v>92055.57617540675</v>
      </c>
      <c r="E172">
        <v>193171.12682923011</v>
      </c>
      <c r="F172">
        <v>49373.385703562082</v>
      </c>
      <c r="G172">
        <v>10000</v>
      </c>
      <c r="H172">
        <v>441545.24048369291</v>
      </c>
      <c r="I172">
        <v>28.401677197174269</v>
      </c>
    </row>
    <row r="173" spans="1:9" x14ac:dyDescent="0.2">
      <c r="A173">
        <v>163</v>
      </c>
      <c r="B173">
        <v>1521647.1004736526</v>
      </c>
      <c r="C173">
        <v>144277.48484810092</v>
      </c>
      <c r="D173">
        <v>127546.35477810762</v>
      </c>
      <c r="E173">
        <v>113291.60151786794</v>
      </c>
      <c r="F173">
        <v>43843.264720467785</v>
      </c>
      <c r="G173">
        <v>10000</v>
      </c>
      <c r="H173">
        <v>418958.70586454426</v>
      </c>
      <c r="I173">
        <v>37.722285684732128</v>
      </c>
    </row>
    <row r="174" spans="1:9" x14ac:dyDescent="0.2">
      <c r="A174">
        <v>164</v>
      </c>
      <c r="B174">
        <v>1423340.1430128708</v>
      </c>
      <c r="C174">
        <v>141790.08208108254</v>
      </c>
      <c r="D174">
        <v>87660.832751075606</v>
      </c>
      <c r="E174">
        <v>127723.11227668331</v>
      </c>
      <c r="F174">
        <v>44842.369311462695</v>
      </c>
      <c r="G174">
        <v>10000</v>
      </c>
      <c r="H174">
        <v>392016.39642030414</v>
      </c>
      <c r="I174">
        <v>39.92221461261466</v>
      </c>
    </row>
    <row r="175" spans="1:9" x14ac:dyDescent="0.2">
      <c r="A175">
        <v>165</v>
      </c>
      <c r="B175">
        <v>1138658.6813421813</v>
      </c>
      <c r="C175">
        <v>101019.86441008882</v>
      </c>
      <c r="D175">
        <v>42008.052919359608</v>
      </c>
      <c r="E175">
        <v>135581.39137451892</v>
      </c>
      <c r="F175">
        <v>45386.404018235924</v>
      </c>
      <c r="G175">
        <v>10000</v>
      </c>
      <c r="H175">
        <v>313995.71272220329</v>
      </c>
      <c r="I175">
        <v>37.271365076355636</v>
      </c>
    </row>
    <row r="176" spans="1:9" x14ac:dyDescent="0.2">
      <c r="A176">
        <v>166</v>
      </c>
      <c r="B176">
        <v>1564696.9536738277</v>
      </c>
      <c r="C176">
        <v>132610.40844771985</v>
      </c>
      <c r="D176">
        <v>96180.988929052764</v>
      </c>
      <c r="E176">
        <v>164572.22308213374</v>
      </c>
      <c r="F176">
        <v>47393.461597993868</v>
      </c>
      <c r="G176">
        <v>10000</v>
      </c>
      <c r="H176">
        <v>430757.0820569002</v>
      </c>
      <c r="I176">
        <v>47.527743353886621</v>
      </c>
    </row>
    <row r="177" spans="1:9" x14ac:dyDescent="0.2">
      <c r="A177">
        <v>167</v>
      </c>
      <c r="B177">
        <v>1535907.2685887776</v>
      </c>
      <c r="C177">
        <v>136778.94224264691</v>
      </c>
      <c r="D177">
        <v>85724.136588959474</v>
      </c>
      <c r="E177">
        <v>163074.06962158272</v>
      </c>
      <c r="F177">
        <v>47289.743281494186</v>
      </c>
      <c r="G177">
        <v>10000</v>
      </c>
      <c r="H177">
        <v>422866.89173468325</v>
      </c>
      <c r="I177">
        <v>34.499435219826225</v>
      </c>
    </row>
    <row r="178" spans="1:9" x14ac:dyDescent="0.2">
      <c r="A178">
        <v>168</v>
      </c>
      <c r="B178">
        <v>1256675.684825887</v>
      </c>
      <c r="C178">
        <v>104244.28289450664</v>
      </c>
      <c r="D178">
        <v>71984.153695939211</v>
      </c>
      <c r="E178">
        <v>134780.42909298241</v>
      </c>
      <c r="F178">
        <v>45330.952783360321</v>
      </c>
      <c r="G178">
        <v>10000</v>
      </c>
      <c r="H178">
        <v>346339.81846678857</v>
      </c>
      <c r="I178">
        <v>40.024978888342744</v>
      </c>
    </row>
    <row r="179" spans="1:9" x14ac:dyDescent="0.2">
      <c r="A179">
        <v>169</v>
      </c>
      <c r="B179">
        <v>736868.41164134443</v>
      </c>
      <c r="C179">
        <v>108771.48302948676</v>
      </c>
      <c r="D179">
        <v>38867.829133368847</v>
      </c>
      <c r="E179">
        <v>28282.49508680695</v>
      </c>
      <c r="F179">
        <v>37958.018890625091</v>
      </c>
      <c r="G179">
        <v>10000</v>
      </c>
      <c r="H179">
        <v>203879.82614028765</v>
      </c>
      <c r="I179">
        <v>29.13033739639619</v>
      </c>
    </row>
    <row r="180" spans="1:9" x14ac:dyDescent="0.2">
      <c r="A180">
        <v>170</v>
      </c>
      <c r="B180">
        <v>1116815.3048017717</v>
      </c>
      <c r="C180">
        <v>81514.981618811813</v>
      </c>
      <c r="D180">
        <v>42559.518960210713</v>
      </c>
      <c r="E180">
        <v>147708.75774834759</v>
      </c>
      <c r="F180">
        <v>46225.990921039447</v>
      </c>
      <c r="G180">
        <v>10000</v>
      </c>
      <c r="H180">
        <v>308009.24924840953</v>
      </c>
      <c r="I180">
        <v>42.649430323054446</v>
      </c>
    </row>
    <row r="181" spans="1:9" x14ac:dyDescent="0.2">
      <c r="A181">
        <v>171</v>
      </c>
      <c r="B181">
        <v>1514596.6334563033</v>
      </c>
      <c r="C181">
        <v>98212.03680341506</v>
      </c>
      <c r="D181">
        <v>139944.47097353183</v>
      </c>
      <c r="E181">
        <v>142971.87253159951</v>
      </c>
      <c r="F181">
        <v>45898.052713726123</v>
      </c>
      <c r="G181">
        <v>10000</v>
      </c>
      <c r="H181">
        <v>417026.43302227248</v>
      </c>
      <c r="I181">
        <v>48.969102843035323</v>
      </c>
    </row>
    <row r="182" spans="1:9" x14ac:dyDescent="0.2">
      <c r="A182">
        <v>172</v>
      </c>
      <c r="B182">
        <v>1473751.2482714648</v>
      </c>
      <c r="C182">
        <v>96556.801293744647</v>
      </c>
      <c r="D182">
        <v>71377.479370891277</v>
      </c>
      <c r="E182">
        <v>198177.92903052294</v>
      </c>
      <c r="F182">
        <v>49720.010471343892</v>
      </c>
      <c r="G182">
        <v>10000</v>
      </c>
      <c r="H182">
        <v>405832.22016650275</v>
      </c>
      <c r="I182">
        <v>36.535549107581502</v>
      </c>
    </row>
    <row r="183" spans="1:9" x14ac:dyDescent="0.2">
      <c r="A183">
        <v>173</v>
      </c>
      <c r="B183">
        <v>1021201.9968814737</v>
      </c>
      <c r="C183">
        <v>98282.837645772597</v>
      </c>
      <c r="D183">
        <v>44797.174890752874</v>
      </c>
      <c r="E183">
        <v>105426.40602292828</v>
      </c>
      <c r="F183">
        <v>43298.751186202724</v>
      </c>
      <c r="G183">
        <v>10000</v>
      </c>
      <c r="H183">
        <v>281805.16974565649</v>
      </c>
      <c r="I183">
        <v>41.005024080588157</v>
      </c>
    </row>
    <row r="184" spans="1:9" x14ac:dyDescent="0.2">
      <c r="A184">
        <v>174</v>
      </c>
      <c r="B184">
        <v>1643728.5170261632</v>
      </c>
      <c r="C184">
        <v>156063.2347921695</v>
      </c>
      <c r="D184">
        <v>82190.913728271102</v>
      </c>
      <c r="E184">
        <v>175979.38082769621</v>
      </c>
      <c r="F184">
        <v>48183.187903455888</v>
      </c>
      <c r="G184">
        <v>10000</v>
      </c>
      <c r="H184">
        <v>452416.71725159272</v>
      </c>
      <c r="I184">
        <v>37.650838665112985</v>
      </c>
    </row>
    <row r="185" spans="1:9" x14ac:dyDescent="0.2">
      <c r="A185">
        <v>175</v>
      </c>
      <c r="B185">
        <v>1138411.9683339503</v>
      </c>
      <c r="C185">
        <v>99115.704955920723</v>
      </c>
      <c r="D185">
        <v>127417.35017244134</v>
      </c>
      <c r="E185">
        <v>57419.824072531614</v>
      </c>
      <c r="F185">
        <v>39975.218589636803</v>
      </c>
      <c r="G185">
        <v>10000</v>
      </c>
      <c r="H185">
        <v>313928.09779053048</v>
      </c>
      <c r="I185">
        <v>33.903703645681603</v>
      </c>
    </row>
    <row r="186" spans="1:9" x14ac:dyDescent="0.2">
      <c r="A186">
        <v>176</v>
      </c>
      <c r="B186">
        <v>1583058.2780195556</v>
      </c>
      <c r="C186">
        <v>152184.70136272555</v>
      </c>
      <c r="D186">
        <v>40318.883977721263</v>
      </c>
      <c r="E186">
        <v>203216.80260864223</v>
      </c>
      <c r="F186">
        <v>50068.855565213693</v>
      </c>
      <c r="G186">
        <v>10000</v>
      </c>
      <c r="H186">
        <v>435789.24351430277</v>
      </c>
      <c r="I186">
        <v>35.401623737666725</v>
      </c>
    </row>
    <row r="187" spans="1:9" x14ac:dyDescent="0.2">
      <c r="A187">
        <v>177</v>
      </c>
      <c r="B187">
        <v>1515960.4593403251</v>
      </c>
      <c r="C187">
        <v>144519.912010328</v>
      </c>
      <c r="D187">
        <v>91063.256502990975</v>
      </c>
      <c r="E187">
        <v>145728.16583807231</v>
      </c>
      <c r="F187">
        <v>46088.873019558851</v>
      </c>
      <c r="G187">
        <v>10000</v>
      </c>
      <c r="H187">
        <v>417400.20737095014</v>
      </c>
      <c r="I187">
        <v>25.247253925691716</v>
      </c>
    </row>
    <row r="188" spans="1:9" x14ac:dyDescent="0.2">
      <c r="A188">
        <v>178</v>
      </c>
      <c r="B188">
        <v>1380838.6279421339</v>
      </c>
      <c r="C188">
        <v>111734.23780278039</v>
      </c>
      <c r="D188">
        <v>60184.172769232158</v>
      </c>
      <c r="E188">
        <v>170636.58674395582</v>
      </c>
      <c r="F188">
        <v>47813.302159196937</v>
      </c>
      <c r="G188">
        <v>10000</v>
      </c>
      <c r="H188">
        <v>380368.29947516532</v>
      </c>
      <c r="I188">
        <v>40.17310858597375</v>
      </c>
    </row>
    <row r="189" spans="1:9" x14ac:dyDescent="0.2">
      <c r="A189">
        <v>179</v>
      </c>
      <c r="B189">
        <v>1244439.8361420396</v>
      </c>
      <c r="C189">
        <v>100514.00826464912</v>
      </c>
      <c r="D189">
        <v>77527.390957971176</v>
      </c>
      <c r="E189">
        <v>129948.58418757857</v>
      </c>
      <c r="F189">
        <v>44996.44044375544</v>
      </c>
      <c r="G189">
        <v>10000</v>
      </c>
      <c r="H189">
        <v>342986.4238539543</v>
      </c>
      <c r="I189">
        <v>29.113102230231821</v>
      </c>
    </row>
    <row r="190" spans="1:9" x14ac:dyDescent="0.2">
      <c r="A190">
        <v>180</v>
      </c>
      <c r="B190">
        <v>1923742.4965401476</v>
      </c>
      <c r="C190">
        <v>146397.5425132121</v>
      </c>
      <c r="D190">
        <v>163518.98761442359</v>
      </c>
      <c r="E190">
        <v>180729.63457205478</v>
      </c>
      <c r="F190">
        <v>48512.051624219173</v>
      </c>
      <c r="G190">
        <v>10000</v>
      </c>
      <c r="H190">
        <v>529158.2163239097</v>
      </c>
      <c r="I190">
        <v>39.443247952030148</v>
      </c>
    </row>
    <row r="191" spans="1:9" x14ac:dyDescent="0.2">
      <c r="A191">
        <v>181</v>
      </c>
      <c r="B191">
        <v>1546849.2714183091</v>
      </c>
      <c r="C191">
        <v>114954.58569204912</v>
      </c>
      <c r="D191">
        <v>107743.4309551069</v>
      </c>
      <c r="E191">
        <v>165696.38603177582</v>
      </c>
      <c r="F191">
        <v>47471.28826373833</v>
      </c>
      <c r="G191">
        <v>10000</v>
      </c>
      <c r="H191">
        <v>425865.69094267016</v>
      </c>
      <c r="I191">
        <v>54.729070658065936</v>
      </c>
    </row>
    <row r="192" spans="1:9" x14ac:dyDescent="0.2">
      <c r="A192">
        <v>182</v>
      </c>
      <c r="B192">
        <v>1373158.5340646915</v>
      </c>
      <c r="C192">
        <v>137589.07042658303</v>
      </c>
      <c r="D192">
        <v>64190.041115357715</v>
      </c>
      <c r="E192">
        <v>140740.76610284665</v>
      </c>
      <c r="F192">
        <v>45743.591499427843</v>
      </c>
      <c r="G192">
        <v>10000</v>
      </c>
      <c r="H192">
        <v>378263.46914421528</v>
      </c>
      <c r="I192">
        <v>38.067022774143588</v>
      </c>
    </row>
    <row r="193" spans="1:9" x14ac:dyDescent="0.2">
      <c r="A193">
        <v>183</v>
      </c>
      <c r="B193">
        <v>1217355.7360860505</v>
      </c>
      <c r="C193">
        <v>149220.83963932126</v>
      </c>
      <c r="D193">
        <v>60787.743021526185</v>
      </c>
      <c r="E193">
        <v>93109.075846828331</v>
      </c>
      <c r="F193">
        <v>42446.012943241956</v>
      </c>
      <c r="G193">
        <v>10000</v>
      </c>
      <c r="H193">
        <v>335563.67145091778</v>
      </c>
      <c r="I193">
        <v>52.878329926823859</v>
      </c>
    </row>
    <row r="194" spans="1:9" x14ac:dyDescent="0.2">
      <c r="A194">
        <v>184</v>
      </c>
      <c r="B194">
        <v>1509909.3947961323</v>
      </c>
      <c r="C194">
        <v>132253.00785819377</v>
      </c>
      <c r="D194">
        <v>83633.340850618319</v>
      </c>
      <c r="E194">
        <v>162598.65518477495</v>
      </c>
      <c r="F194">
        <v>47256.829974330576</v>
      </c>
      <c r="G194">
        <v>10000</v>
      </c>
      <c r="H194">
        <v>415741.83386791759</v>
      </c>
      <c r="I194">
        <v>36.425506031035425</v>
      </c>
    </row>
    <row r="195" spans="1:9" x14ac:dyDescent="0.2">
      <c r="A195">
        <v>185</v>
      </c>
      <c r="B195">
        <v>1424975.9883125783</v>
      </c>
      <c r="C195">
        <v>115629.6680959615</v>
      </c>
      <c r="D195">
        <v>85649.971792057826</v>
      </c>
      <c r="E195">
        <v>154489.64444217464</v>
      </c>
      <c r="F195">
        <v>46695.436922919784</v>
      </c>
      <c r="G195">
        <v>10000</v>
      </c>
      <c r="H195">
        <v>392464.72125311376</v>
      </c>
      <c r="I195">
        <v>31.112339537727387</v>
      </c>
    </row>
    <row r="196" spans="1:9" x14ac:dyDescent="0.2">
      <c r="A196">
        <v>186</v>
      </c>
      <c r="B196">
        <v>1370644.7867139641</v>
      </c>
      <c r="C196">
        <v>83562.831907029409</v>
      </c>
      <c r="D196">
        <v>68709.625474899585</v>
      </c>
      <c r="E196">
        <v>186397.63473686509</v>
      </c>
      <c r="F196">
        <v>48904.451635629121</v>
      </c>
      <c r="G196">
        <v>10000</v>
      </c>
      <c r="H196">
        <v>377574.54375442321</v>
      </c>
      <c r="I196">
        <v>33.585964590770431</v>
      </c>
    </row>
    <row r="197" spans="1:9" x14ac:dyDescent="0.2">
      <c r="A197">
        <v>187</v>
      </c>
      <c r="B197">
        <v>1434760.267500869</v>
      </c>
      <c r="C197">
        <v>109983.02044353446</v>
      </c>
      <c r="D197">
        <v>66573.072627356625</v>
      </c>
      <c r="E197">
        <v>180120.27300665391</v>
      </c>
      <c r="F197">
        <v>48469.8650543068</v>
      </c>
      <c r="G197">
        <v>10000</v>
      </c>
      <c r="H197">
        <v>395146.23113185179</v>
      </c>
      <c r="I197">
        <v>49.356798824088926</v>
      </c>
    </row>
    <row r="198" spans="1:9" x14ac:dyDescent="0.2">
      <c r="A198">
        <v>188</v>
      </c>
      <c r="B198">
        <v>1505413.9160605138</v>
      </c>
      <c r="C198">
        <v>128677.75977309546</v>
      </c>
      <c r="D198">
        <v>54769.721047810483</v>
      </c>
      <c r="E198">
        <v>191784.89257228118</v>
      </c>
      <c r="F198">
        <v>49277.415639619467</v>
      </c>
      <c r="G198">
        <v>10000</v>
      </c>
      <c r="H198">
        <v>414509.78903280658</v>
      </c>
      <c r="I198">
        <v>45.856332301117149</v>
      </c>
    </row>
    <row r="199" spans="1:9" x14ac:dyDescent="0.2">
      <c r="A199">
        <v>189</v>
      </c>
      <c r="B199">
        <v>1427847.8571406151</v>
      </c>
      <c r="C199">
        <v>89531.624704892325</v>
      </c>
      <c r="D199">
        <v>65743.319782564911</v>
      </c>
      <c r="E199">
        <v>198251.73025084793</v>
      </c>
      <c r="F199">
        <v>49725.119786597163</v>
      </c>
      <c r="G199">
        <v>10000</v>
      </c>
      <c r="H199">
        <v>393251.7945249023</v>
      </c>
      <c r="I199">
        <v>31.736203057870746</v>
      </c>
    </row>
    <row r="200" spans="1:9" x14ac:dyDescent="0.2">
      <c r="A200">
        <v>190</v>
      </c>
      <c r="B200">
        <v>1462037.9032294042</v>
      </c>
      <c r="C200">
        <v>108591.11528940056</v>
      </c>
      <c r="D200">
        <v>121948.66967867354</v>
      </c>
      <c r="E200">
        <v>136623.67727983725</v>
      </c>
      <c r="F200">
        <v>45458.562273219497</v>
      </c>
      <c r="G200">
        <v>10000</v>
      </c>
      <c r="H200">
        <v>402622.02452113089</v>
      </c>
      <c r="I200">
        <v>38.839304843525454</v>
      </c>
    </row>
    <row r="201" spans="1:9" x14ac:dyDescent="0.2">
      <c r="A201">
        <v>191</v>
      </c>
      <c r="B201">
        <v>1305509.8899161096</v>
      </c>
      <c r="C201">
        <v>122759.58015235973</v>
      </c>
      <c r="D201">
        <v>144930.75711685038</v>
      </c>
      <c r="E201">
        <v>61757.608082917133</v>
      </c>
      <c r="F201">
        <v>40275.526713432722</v>
      </c>
      <c r="G201">
        <v>10000</v>
      </c>
      <c r="H201">
        <v>359723.47206556</v>
      </c>
      <c r="I201">
        <v>32.030051968867539</v>
      </c>
    </row>
    <row r="202" spans="1:9" x14ac:dyDescent="0.2">
      <c r="A202">
        <v>192</v>
      </c>
      <c r="B202">
        <v>1622973.5970560573</v>
      </c>
      <c r="C202">
        <v>105710.46942967625</v>
      </c>
      <c r="D202">
        <v>108636.05435715319</v>
      </c>
      <c r="E202">
        <v>193019.17014654775</v>
      </c>
      <c r="F202">
        <v>49362.865625530234</v>
      </c>
      <c r="G202">
        <v>10000</v>
      </c>
      <c r="H202">
        <v>446728.55955890741</v>
      </c>
      <c r="I202">
        <v>38.643101520430768</v>
      </c>
    </row>
    <row r="203" spans="1:9" x14ac:dyDescent="0.2">
      <c r="A203">
        <v>193</v>
      </c>
      <c r="B203">
        <v>1192362.6960458364</v>
      </c>
      <c r="C203">
        <v>102780.91738039981</v>
      </c>
      <c r="D203">
        <v>133454.71967433268</v>
      </c>
      <c r="E203">
        <v>62174.009853566051</v>
      </c>
      <c r="F203">
        <v>40304.354528323805</v>
      </c>
      <c r="G203">
        <v>10000</v>
      </c>
      <c r="H203">
        <v>328714.00143662235</v>
      </c>
      <c r="I203">
        <v>53.842555250032248</v>
      </c>
    </row>
    <row r="204" spans="1:9" x14ac:dyDescent="0.2">
      <c r="A204">
        <v>194</v>
      </c>
      <c r="B204">
        <v>1316798.8657992301</v>
      </c>
      <c r="C204">
        <v>104955.62137504957</v>
      </c>
      <c r="D204">
        <v>135621.17415579958</v>
      </c>
      <c r="E204">
        <v>90009.164553293711</v>
      </c>
      <c r="F204">
        <v>42231.403699843409</v>
      </c>
      <c r="G204">
        <v>10000</v>
      </c>
      <c r="H204">
        <v>362817.36378398625</v>
      </c>
      <c r="I204">
        <v>29.331431321867157</v>
      </c>
    </row>
    <row r="205" spans="1:9" x14ac:dyDescent="0.2">
      <c r="A205">
        <v>195</v>
      </c>
      <c r="B205">
        <v>894652.15386979003</v>
      </c>
      <c r="C205">
        <v>104899.24589703955</v>
      </c>
      <c r="D205">
        <v>74348.279642447218</v>
      </c>
      <c r="E205">
        <v>39163.670949033622</v>
      </c>
      <c r="F205">
        <v>38711.331065702332</v>
      </c>
      <c r="G205">
        <v>10000</v>
      </c>
      <c r="H205">
        <v>247122.52755422276</v>
      </c>
      <c r="I205">
        <v>41.945334172939212</v>
      </c>
    </row>
    <row r="206" spans="1:9" x14ac:dyDescent="0.2">
      <c r="A206">
        <v>196</v>
      </c>
      <c r="B206">
        <v>1450346.3884765711</v>
      </c>
      <c r="C206">
        <v>130590.04346226288</v>
      </c>
      <c r="D206">
        <v>52372.516097236192</v>
      </c>
      <c r="E206">
        <v>178123.61715890619</v>
      </c>
      <c r="F206">
        <v>48331.635034078121</v>
      </c>
      <c r="G206">
        <v>10000</v>
      </c>
      <c r="H206">
        <v>399417.81175248337</v>
      </c>
      <c r="I206">
        <v>31.152619464215071</v>
      </c>
    </row>
    <row r="207" spans="1:9" x14ac:dyDescent="0.2">
      <c r="A207">
        <v>197</v>
      </c>
      <c r="B207">
        <v>1119401.4053411202</v>
      </c>
      <c r="C207">
        <v>122377.79747861282</v>
      </c>
      <c r="D207">
        <v>72952.474759167497</v>
      </c>
      <c r="E207">
        <v>81729.533281583048</v>
      </c>
      <c r="F207">
        <v>41658.198457955747</v>
      </c>
      <c r="G207">
        <v>10000</v>
      </c>
      <c r="H207">
        <v>308718.00397731911</v>
      </c>
      <c r="I207">
        <v>51.754874758802451</v>
      </c>
    </row>
    <row r="208" spans="1:9" x14ac:dyDescent="0.2">
      <c r="A208">
        <v>198</v>
      </c>
      <c r="B208">
        <v>1491533.4801305868</v>
      </c>
      <c r="C208">
        <v>129706.8326128201</v>
      </c>
      <c r="D208">
        <v>89117.192579876137</v>
      </c>
      <c r="E208">
        <v>155141.11015425521</v>
      </c>
      <c r="F208">
        <v>46740.538395294585</v>
      </c>
      <c r="G208">
        <v>10000</v>
      </c>
      <c r="H208">
        <v>410705.673742246</v>
      </c>
      <c r="I208">
        <v>32.256029675984955</v>
      </c>
    </row>
    <row r="209" spans="1:9" x14ac:dyDescent="0.2">
      <c r="A209">
        <v>199</v>
      </c>
      <c r="B209">
        <v>963286.23813301953</v>
      </c>
      <c r="C209">
        <v>91738.124847006111</v>
      </c>
      <c r="D209">
        <v>93786.307851830425</v>
      </c>
      <c r="E209">
        <v>50885.333897729717</v>
      </c>
      <c r="F209">
        <v>39522.830808304367</v>
      </c>
      <c r="G209">
        <v>10000</v>
      </c>
      <c r="H209">
        <v>265932.59740487067</v>
      </c>
      <c r="I209">
        <v>31.448178377302245</v>
      </c>
    </row>
    <row r="210" spans="1:9" x14ac:dyDescent="0.2">
      <c r="A210">
        <v>200</v>
      </c>
      <c r="B210">
        <v>1478682.9811574633</v>
      </c>
      <c r="C210">
        <v>118503.37504380413</v>
      </c>
      <c r="D210">
        <v>90082.810983529591</v>
      </c>
      <c r="E210">
        <v>161422.25336723684</v>
      </c>
      <c r="F210">
        <v>47175.386771577934</v>
      </c>
      <c r="G210">
        <v>10000</v>
      </c>
      <c r="H210">
        <v>407183.82616614847</v>
      </c>
      <c r="I210">
        <v>32.63337077419331</v>
      </c>
    </row>
    <row r="211" spans="1:9" x14ac:dyDescent="0.2">
      <c r="A211">
        <v>201</v>
      </c>
      <c r="B211">
        <v>1472773.0815630886</v>
      </c>
      <c r="C211">
        <v>130496.49302208134</v>
      </c>
      <c r="D211">
        <v>37763.849802695127</v>
      </c>
      <c r="E211">
        <v>197622.25706805635</v>
      </c>
      <c r="F211">
        <v>49681.540873942358</v>
      </c>
      <c r="G211">
        <v>10000</v>
      </c>
      <c r="H211">
        <v>405564.14076677518</v>
      </c>
      <c r="I211">
        <v>31.892076392023117</v>
      </c>
    </row>
    <row r="212" spans="1:9" x14ac:dyDescent="0.2">
      <c r="A212">
        <v>202</v>
      </c>
      <c r="B212">
        <v>1198743.2327380886</v>
      </c>
      <c r="C212">
        <v>109122.75477920454</v>
      </c>
      <c r="D212">
        <v>136351.06783799236</v>
      </c>
      <c r="E212">
        <v>55169.426636427255</v>
      </c>
      <c r="F212">
        <v>39819.421844060344</v>
      </c>
      <c r="G212">
        <v>10000</v>
      </c>
      <c r="H212">
        <v>330462.67109768448</v>
      </c>
      <c r="I212">
        <v>35.816276842061967</v>
      </c>
    </row>
    <row r="213" spans="1:9" x14ac:dyDescent="0.2">
      <c r="A213">
        <v>203</v>
      </c>
      <c r="B213">
        <v>1204904.7740061625</v>
      </c>
      <c r="C213">
        <v>123617.31725627904</v>
      </c>
      <c r="D213">
        <v>85059.399036660558</v>
      </c>
      <c r="E213">
        <v>91163.300483066094</v>
      </c>
      <c r="F213">
        <v>42311.305418058422</v>
      </c>
      <c r="G213">
        <v>10000</v>
      </c>
      <c r="H213">
        <v>332151.32219406415</v>
      </c>
      <c r="I213">
        <v>39.103878619503455</v>
      </c>
    </row>
    <row r="214" spans="1:9" x14ac:dyDescent="0.2">
      <c r="A214">
        <v>204</v>
      </c>
      <c r="B214">
        <v>1306016.2525895112</v>
      </c>
      <c r="C214">
        <v>126879.04428567251</v>
      </c>
      <c r="D214">
        <v>78026.273525599579</v>
      </c>
      <c r="E214">
        <v>120607.20032468188</v>
      </c>
      <c r="F214">
        <v>44349.729253247206</v>
      </c>
      <c r="G214">
        <v>10000</v>
      </c>
      <c r="H214">
        <v>359862.24738920119</v>
      </c>
      <c r="I214">
        <v>32.678442947792007</v>
      </c>
    </row>
    <row r="215" spans="1:9" x14ac:dyDescent="0.2">
      <c r="A215">
        <v>205</v>
      </c>
      <c r="B215">
        <v>1085649.2278681386</v>
      </c>
      <c r="C215">
        <v>130570.13755497924</v>
      </c>
      <c r="D215">
        <v>41622.264740621657</v>
      </c>
      <c r="E215">
        <v>94717.976913704973</v>
      </c>
      <c r="F215">
        <v>42557.398401718041</v>
      </c>
      <c r="G215">
        <v>10000</v>
      </c>
      <c r="H215">
        <v>299467.77761102392</v>
      </c>
      <c r="I215">
        <v>34.690411963295958</v>
      </c>
    </row>
    <row r="216" spans="1:9" x14ac:dyDescent="0.2">
      <c r="A216">
        <v>206</v>
      </c>
      <c r="B216">
        <v>1348956.9931416973</v>
      </c>
      <c r="C216">
        <v>85692.859414787818</v>
      </c>
      <c r="D216">
        <v>149628.82213882342</v>
      </c>
      <c r="E216">
        <v>103166.7264465503</v>
      </c>
      <c r="F216">
        <v>43142.311830915023</v>
      </c>
      <c r="G216">
        <v>10000</v>
      </c>
      <c r="H216">
        <v>371630.71983107657</v>
      </c>
      <c r="I216">
        <v>33.70870200584082</v>
      </c>
    </row>
    <row r="217" spans="1:9" x14ac:dyDescent="0.2">
      <c r="A217">
        <v>207</v>
      </c>
      <c r="B217">
        <v>1357651.5374786737</v>
      </c>
      <c r="C217">
        <v>134804.39118553628</v>
      </c>
      <c r="D217">
        <v>146929.95442084325</v>
      </c>
      <c r="E217">
        <v>61987.767187390236</v>
      </c>
      <c r="F217">
        <v>40291.460805280862</v>
      </c>
      <c r="G217">
        <v>10000</v>
      </c>
      <c r="H217">
        <v>374013.57359905064</v>
      </c>
      <c r="I217">
        <v>36.8889041737959</v>
      </c>
    </row>
    <row r="218" spans="1:9" x14ac:dyDescent="0.2">
      <c r="A218">
        <v>208</v>
      </c>
      <c r="B218">
        <v>1525854.6528919383</v>
      </c>
      <c r="C218">
        <v>96912.430625850393</v>
      </c>
      <c r="D218">
        <v>137765.69305283335</v>
      </c>
      <c r="E218">
        <v>149110.67061488924</v>
      </c>
      <c r="F218">
        <v>46323.046427184643</v>
      </c>
      <c r="G218">
        <v>10000</v>
      </c>
      <c r="H218">
        <v>420111.84072075767</v>
      </c>
      <c r="I218">
        <v>41.171142195855424</v>
      </c>
    </row>
    <row r="219" spans="1:9" x14ac:dyDescent="0.2">
      <c r="A219">
        <v>209</v>
      </c>
      <c r="B219">
        <v>1339962.5688449945</v>
      </c>
      <c r="C219">
        <v>105438.60126519017</v>
      </c>
      <c r="D219">
        <v>114299.80091770175</v>
      </c>
      <c r="E219">
        <v>115435.58359981292</v>
      </c>
      <c r="F219">
        <v>43991.69424921782</v>
      </c>
      <c r="G219">
        <v>10000</v>
      </c>
      <c r="H219">
        <v>369165.68003192265</v>
      </c>
      <c r="I219">
        <v>42.40469325803808</v>
      </c>
    </row>
    <row r="220" spans="1:9" x14ac:dyDescent="0.2">
      <c r="A220">
        <v>210</v>
      </c>
      <c r="B220">
        <v>1259182.1064982358</v>
      </c>
      <c r="C220">
        <v>133903.0274760898</v>
      </c>
      <c r="D220">
        <v>72877.365917379037</v>
      </c>
      <c r="E220">
        <v>106849.09754999139</v>
      </c>
      <c r="F220">
        <v>43397.245214999406</v>
      </c>
      <c r="G220">
        <v>10000</v>
      </c>
      <c r="H220">
        <v>347026.73615845968</v>
      </c>
      <c r="I220">
        <v>52.256282396097653</v>
      </c>
    </row>
    <row r="221" spans="1:9" x14ac:dyDescent="0.2">
      <c r="A221">
        <v>211</v>
      </c>
      <c r="B221">
        <v>1277918.9900029521</v>
      </c>
      <c r="C221">
        <v>113553.42949101875</v>
      </c>
      <c r="D221">
        <v>64100.192993228382</v>
      </c>
      <c r="E221">
        <v>138892.56305777433</v>
      </c>
      <c r="F221">
        <v>45615.638980922835</v>
      </c>
      <c r="G221">
        <v>10000</v>
      </c>
      <c r="H221">
        <v>352161.82452294428</v>
      </c>
      <c r="I221">
        <v>31.161943452251265</v>
      </c>
    </row>
    <row r="222" spans="1:9" x14ac:dyDescent="0.2">
      <c r="A222">
        <v>212</v>
      </c>
      <c r="B222">
        <v>1010169.336620578</v>
      </c>
      <c r="C222">
        <v>109312.56974201054</v>
      </c>
      <c r="D222">
        <v>104921.23007014021</v>
      </c>
      <c r="E222">
        <v>36051.829014083618</v>
      </c>
      <c r="F222">
        <v>38495.895854821174</v>
      </c>
      <c r="G222">
        <v>10000</v>
      </c>
      <c r="H222">
        <v>278781.52468105557</v>
      </c>
      <c r="I222">
        <v>33.758064781061314</v>
      </c>
    </row>
    <row r="223" spans="1:9" x14ac:dyDescent="0.2">
      <c r="A223">
        <v>213</v>
      </c>
      <c r="B223">
        <v>888499.27242676727</v>
      </c>
      <c r="C223">
        <v>133786.96024775429</v>
      </c>
      <c r="D223">
        <v>35270.258424358231</v>
      </c>
      <c r="E223">
        <v>47117.07946869811</v>
      </c>
      <c r="F223">
        <v>39261.951655525248</v>
      </c>
      <c r="G223">
        <v>10000</v>
      </c>
      <c r="H223">
        <v>245436.24979633588</v>
      </c>
      <c r="I223">
        <v>37.803789519917501</v>
      </c>
    </row>
    <row r="224" spans="1:9" x14ac:dyDescent="0.2">
      <c r="A224">
        <v>214</v>
      </c>
      <c r="B224">
        <v>653408.09941883129</v>
      </c>
      <c r="C224">
        <v>77681.515087948646</v>
      </c>
      <c r="D224">
        <v>45132.43188832474</v>
      </c>
      <c r="E224">
        <v>30108.081673621509</v>
      </c>
      <c r="F224">
        <v>38084.405654327638</v>
      </c>
      <c r="G224">
        <v>10000</v>
      </c>
      <c r="H224">
        <v>181006.43430422252</v>
      </c>
      <c r="I224">
        <v>33.82330978133345</v>
      </c>
    </row>
    <row r="225" spans="1:9" x14ac:dyDescent="0.2">
      <c r="A225">
        <v>215</v>
      </c>
      <c r="B225">
        <v>928437.88617368555</v>
      </c>
      <c r="C225">
        <v>124606.50618404982</v>
      </c>
      <c r="D225">
        <v>73113.212505002506</v>
      </c>
      <c r="E225">
        <v>30547.410636078355</v>
      </c>
      <c r="F225">
        <v>38114.820736343885</v>
      </c>
      <c r="G225">
        <v>10000</v>
      </c>
      <c r="H225">
        <v>256381.95006147458</v>
      </c>
      <c r="I225">
        <v>30.335412594634199</v>
      </c>
    </row>
    <row r="226" spans="1:9" x14ac:dyDescent="0.2">
      <c r="A226">
        <v>216</v>
      </c>
      <c r="B226">
        <v>1358803.0725649474</v>
      </c>
      <c r="C226">
        <v>107396.83666381893</v>
      </c>
      <c r="D226">
        <v>96482.719100878254</v>
      </c>
      <c r="E226">
        <v>135096.75859119574</v>
      </c>
      <c r="F226">
        <v>45352.852517852014</v>
      </c>
      <c r="G226">
        <v>10000</v>
      </c>
      <c r="H226">
        <v>374329.16687374498</v>
      </c>
      <c r="I226">
        <v>29.2858785359048</v>
      </c>
    </row>
    <row r="227" spans="1:9" x14ac:dyDescent="0.2">
      <c r="A227">
        <v>217</v>
      </c>
      <c r="B227">
        <v>1371113.1848922595</v>
      </c>
      <c r="C227">
        <v>145746.33972148006</v>
      </c>
      <c r="D227">
        <v>116818.20464789441</v>
      </c>
      <c r="E227">
        <v>83366.820902120395</v>
      </c>
      <c r="F227">
        <v>41771.549139377566</v>
      </c>
      <c r="G227">
        <v>10000</v>
      </c>
      <c r="H227">
        <v>377702.91441087238</v>
      </c>
      <c r="I227">
        <v>37.683085846022436</v>
      </c>
    </row>
    <row r="228" spans="1:9" x14ac:dyDescent="0.2">
      <c r="A228">
        <v>218</v>
      </c>
      <c r="B228">
        <v>942480.69340011303</v>
      </c>
      <c r="C228">
        <v>107841.96636129252</v>
      </c>
      <c r="D228">
        <v>85987.163116989715</v>
      </c>
      <c r="E228">
        <v>37785.515547382318</v>
      </c>
      <c r="F228">
        <v>38615.920307126471</v>
      </c>
      <c r="G228">
        <v>10000</v>
      </c>
      <c r="H228">
        <v>260230.56533279101</v>
      </c>
      <c r="I228">
        <v>41.640687155060292</v>
      </c>
    </row>
    <row r="229" spans="1:9" x14ac:dyDescent="0.2">
      <c r="A229">
        <v>219</v>
      </c>
      <c r="B229">
        <v>1511116.7498413841</v>
      </c>
      <c r="C229">
        <v>87836.827919417527</v>
      </c>
      <c r="D229">
        <v>100133.06764710939</v>
      </c>
      <c r="E229">
        <v>189017.03503392724</v>
      </c>
      <c r="F229">
        <v>49085.79473311804</v>
      </c>
      <c r="G229">
        <v>10000</v>
      </c>
      <c r="H229">
        <v>416072.72533357219</v>
      </c>
      <c r="I229">
        <v>50.569230434718392</v>
      </c>
    </row>
    <row r="230" spans="1:9" x14ac:dyDescent="0.2">
      <c r="A230">
        <v>220</v>
      </c>
      <c r="B230">
        <v>1306104.9803225938</v>
      </c>
      <c r="C230">
        <v>87818.236884582177</v>
      </c>
      <c r="D230">
        <v>52460.507773630052</v>
      </c>
      <c r="E230">
        <v>181072.06161659319</v>
      </c>
      <c r="F230">
        <v>48535.758111917989</v>
      </c>
      <c r="G230">
        <v>10000</v>
      </c>
      <c r="H230">
        <v>359886.56438672345</v>
      </c>
      <c r="I230">
        <v>34.975609732955135</v>
      </c>
    </row>
    <row r="231" spans="1:9" x14ac:dyDescent="0.2">
      <c r="A231">
        <v>221</v>
      </c>
      <c r="B231">
        <v>1229190.0079186209</v>
      </c>
      <c r="C231">
        <v>95945.556585660859</v>
      </c>
      <c r="D231">
        <v>69201.754069988063</v>
      </c>
      <c r="E231">
        <v>138098.99814037891</v>
      </c>
      <c r="F231">
        <v>45560.699871257006</v>
      </c>
      <c r="G231">
        <v>10000</v>
      </c>
      <c r="H231">
        <v>338807.00866728486</v>
      </c>
      <c r="I231">
        <v>30.556553077217085</v>
      </c>
    </row>
    <row r="232" spans="1:9" x14ac:dyDescent="0.2">
      <c r="A232">
        <v>222</v>
      </c>
      <c r="B232">
        <v>851184.20991941472</v>
      </c>
      <c r="C232">
        <v>105267.41828287378</v>
      </c>
      <c r="D232">
        <v>36202.395162802808</v>
      </c>
      <c r="E232">
        <v>63353.727388649968</v>
      </c>
      <c r="F232">
        <v>40386.027280752685</v>
      </c>
      <c r="G232">
        <v>10000</v>
      </c>
      <c r="H232">
        <v>235209.56811507925</v>
      </c>
      <c r="I232">
        <v>36.942831781492679</v>
      </c>
    </row>
    <row r="233" spans="1:9" x14ac:dyDescent="0.2">
      <c r="A233">
        <v>223</v>
      </c>
      <c r="B233">
        <v>1482313.7427681522</v>
      </c>
      <c r="C233">
        <v>99133.123052536714</v>
      </c>
      <c r="D233">
        <v>85588.837652923787</v>
      </c>
      <c r="E233">
        <v>184671.94259905195</v>
      </c>
      <c r="F233">
        <v>48784.98064147283</v>
      </c>
      <c r="G233">
        <v>10000</v>
      </c>
      <c r="H233">
        <v>408178.88394598535</v>
      </c>
      <c r="I233">
        <v>50.173942590465366</v>
      </c>
    </row>
    <row r="234" spans="1:9" x14ac:dyDescent="0.2">
      <c r="A234">
        <v>224</v>
      </c>
      <c r="B234">
        <v>1248699.2078713898</v>
      </c>
      <c r="C234">
        <v>89739.52047853409</v>
      </c>
      <c r="D234">
        <v>159792.55303824748</v>
      </c>
      <c r="E234">
        <v>64178.556144384063</v>
      </c>
      <c r="F234">
        <v>40443.130809995819</v>
      </c>
      <c r="G234">
        <v>10000</v>
      </c>
      <c r="H234">
        <v>344153.76047116145</v>
      </c>
      <c r="I234">
        <v>25.054365383683624</v>
      </c>
    </row>
    <row r="235" spans="1:9" x14ac:dyDescent="0.2">
      <c r="A235">
        <v>225</v>
      </c>
      <c r="B235">
        <v>1352367.7827103469</v>
      </c>
      <c r="C235">
        <v>127988.68544118285</v>
      </c>
      <c r="D235">
        <v>67152.334074726867</v>
      </c>
      <c r="E235">
        <v>141620.0096676437</v>
      </c>
      <c r="F235">
        <v>45804.462207759949</v>
      </c>
      <c r="G235">
        <v>10000</v>
      </c>
      <c r="H235">
        <v>372565.49139131338</v>
      </c>
      <c r="I235">
        <v>26.851889751944455</v>
      </c>
    </row>
    <row r="236" spans="1:9" x14ac:dyDescent="0.2">
      <c r="A236">
        <v>226</v>
      </c>
      <c r="B236">
        <v>1475400.4052913492</v>
      </c>
      <c r="C236">
        <v>119940.36895686404</v>
      </c>
      <c r="D236">
        <v>107259.21932750747</v>
      </c>
      <c r="E236">
        <v>143172.65212668941</v>
      </c>
      <c r="F236">
        <v>45911.952839540034</v>
      </c>
      <c r="G236">
        <v>10000</v>
      </c>
      <c r="H236">
        <v>406284.19325060095</v>
      </c>
      <c r="I236">
        <v>32.810050289752567</v>
      </c>
    </row>
    <row r="237" spans="1:9" x14ac:dyDescent="0.2">
      <c r="A237">
        <v>227</v>
      </c>
      <c r="B237">
        <v>1152481.3771452759</v>
      </c>
      <c r="C237">
        <v>99837.147121571514</v>
      </c>
      <c r="D237">
        <v>94581.35002950253</v>
      </c>
      <c r="E237">
        <v>91061.265000467029</v>
      </c>
      <c r="F237">
        <v>42304.241423109255</v>
      </c>
      <c r="G237">
        <v>10000</v>
      </c>
      <c r="H237">
        <v>317784.00357465033</v>
      </c>
      <c r="I237">
        <v>36.79484545844727</v>
      </c>
    </row>
    <row r="238" spans="1:9" x14ac:dyDescent="0.2">
      <c r="A238">
        <v>228</v>
      </c>
      <c r="B238">
        <v>1522353.5407865448</v>
      </c>
      <c r="C238">
        <v>93839.475650986831</v>
      </c>
      <c r="D238">
        <v>129308.04224633568</v>
      </c>
      <c r="E238">
        <v>158997.29233488813</v>
      </c>
      <c r="F238">
        <v>47007.504853953797</v>
      </c>
      <c r="G238">
        <v>10000</v>
      </c>
      <c r="H238">
        <v>419152.31508616445</v>
      </c>
      <c r="I238">
        <v>37.760967961799665</v>
      </c>
    </row>
    <row r="239" spans="1:9" x14ac:dyDescent="0.2">
      <c r="A239">
        <v>229</v>
      </c>
      <c r="B239">
        <v>1397084.0087522585</v>
      </c>
      <c r="C239">
        <v>150235.73872236515</v>
      </c>
      <c r="D239">
        <v>63750.585026089488</v>
      </c>
      <c r="E239">
        <v>135456.47890866798</v>
      </c>
      <c r="F239">
        <v>45377.756232138549</v>
      </c>
      <c r="G239">
        <v>10000</v>
      </c>
      <c r="H239">
        <v>384820.55888926116</v>
      </c>
      <c r="I239">
        <v>30.754788164208094</v>
      </c>
    </row>
    <row r="240" spans="1:9" x14ac:dyDescent="0.2">
      <c r="A240">
        <v>230</v>
      </c>
      <c r="B240">
        <v>707272.40975738515</v>
      </c>
      <c r="C240">
        <v>86300.939020439168</v>
      </c>
      <c r="D240">
        <v>47192.495693519209</v>
      </c>
      <c r="E240">
        <v>33926.464208736477</v>
      </c>
      <c r="F240">
        <v>38348.75521445099</v>
      </c>
      <c r="G240">
        <v>10000</v>
      </c>
      <c r="H240">
        <v>195768.65413714584</v>
      </c>
      <c r="I240">
        <v>37.62017421016882</v>
      </c>
    </row>
    <row r="241" spans="1:9" x14ac:dyDescent="0.2">
      <c r="A241">
        <v>231</v>
      </c>
      <c r="B241">
        <v>1020218.3695501392</v>
      </c>
      <c r="C241">
        <v>100870.69503995667</v>
      </c>
      <c r="D241">
        <v>70952.517505254596</v>
      </c>
      <c r="E241">
        <v>78292.155121658536</v>
      </c>
      <c r="F241">
        <v>41420.22612380713</v>
      </c>
      <c r="G241">
        <v>10000</v>
      </c>
      <c r="H241">
        <v>281535.59379067691</v>
      </c>
      <c r="I241">
        <v>33.182207622107725</v>
      </c>
    </row>
    <row r="242" spans="1:9" x14ac:dyDescent="0.2">
      <c r="A242">
        <v>232</v>
      </c>
      <c r="B242">
        <v>1068719.3577210638</v>
      </c>
      <c r="C242">
        <v>87527.382344326921</v>
      </c>
      <c r="D242">
        <v>70170.814562135536</v>
      </c>
      <c r="E242">
        <v>103934.27800557412</v>
      </c>
      <c r="F242">
        <v>43195.450015770519</v>
      </c>
      <c r="G242">
        <v>10000</v>
      </c>
      <c r="H242">
        <v>294827.92492780706</v>
      </c>
      <c r="I242">
        <v>45.755585814834589</v>
      </c>
    </row>
    <row r="243" spans="1:9" x14ac:dyDescent="0.2">
      <c r="A243">
        <v>233</v>
      </c>
      <c r="B243">
        <v>1272778.3970671291</v>
      </c>
      <c r="C243">
        <v>101012.58714371274</v>
      </c>
      <c r="D243">
        <v>154640.58520740186</v>
      </c>
      <c r="E243">
        <v>64625.717224095344</v>
      </c>
      <c r="F243">
        <v>40474.088115514292</v>
      </c>
      <c r="G243">
        <v>10000</v>
      </c>
      <c r="H243">
        <v>350752.97769072425</v>
      </c>
      <c r="I243">
        <v>48.926529087931151</v>
      </c>
    </row>
    <row r="244" spans="1:9" x14ac:dyDescent="0.2">
      <c r="A244">
        <v>234</v>
      </c>
      <c r="B244">
        <v>1471315.8731118767</v>
      </c>
      <c r="C244">
        <v>96898.365051138331</v>
      </c>
      <c r="D244">
        <v>90607.358129736327</v>
      </c>
      <c r="E244">
        <v>179249.47171069786</v>
      </c>
      <c r="F244">
        <v>48409.578810740619</v>
      </c>
      <c r="G244">
        <v>10000</v>
      </c>
      <c r="H244">
        <v>405164.77370231313</v>
      </c>
      <c r="I244">
        <v>27.164426711491032</v>
      </c>
    </row>
    <row r="245" spans="1:9" x14ac:dyDescent="0.2">
      <c r="A245">
        <v>235</v>
      </c>
      <c r="B245">
        <v>1518550.0368650435</v>
      </c>
      <c r="C245">
        <v>139107.66069397388</v>
      </c>
      <c r="D245">
        <v>74198.362588570832</v>
      </c>
      <c r="E245">
        <v>167226.66133087207</v>
      </c>
      <c r="F245">
        <v>47577.230399829605</v>
      </c>
      <c r="G245">
        <v>10000</v>
      </c>
      <c r="H245">
        <v>418109.91501324641</v>
      </c>
      <c r="I245">
        <v>32.614805768309076</v>
      </c>
    </row>
    <row r="246" spans="1:9" x14ac:dyDescent="0.2">
      <c r="A246">
        <v>236</v>
      </c>
      <c r="B246">
        <v>1271851.6165776995</v>
      </c>
      <c r="C246">
        <v>99569.645182257475</v>
      </c>
      <c r="D246">
        <v>94558.305662257029</v>
      </c>
      <c r="E246">
        <v>121929.74076746777</v>
      </c>
      <c r="F246">
        <v>44441.289745440074</v>
      </c>
      <c r="G246">
        <v>10000</v>
      </c>
      <c r="H246">
        <v>350498.98135742237</v>
      </c>
      <c r="I246">
        <v>35.31013396684807</v>
      </c>
    </row>
    <row r="247" spans="1:9" x14ac:dyDescent="0.2">
      <c r="A247">
        <v>237</v>
      </c>
      <c r="B247">
        <v>1260018.0105404812</v>
      </c>
      <c r="C247">
        <v>96765.25641144214</v>
      </c>
      <c r="D247">
        <v>80192.939599577876</v>
      </c>
      <c r="E247">
        <v>134954.61854673733</v>
      </c>
      <c r="F247">
        <v>45343.01205323566</v>
      </c>
      <c r="G247">
        <v>10000</v>
      </c>
      <c r="H247">
        <v>347255.82661099301</v>
      </c>
      <c r="I247">
        <v>42.013326251834194</v>
      </c>
    </row>
    <row r="248" spans="1:9" x14ac:dyDescent="0.2">
      <c r="A248">
        <v>238</v>
      </c>
      <c r="B248">
        <v>1283735.0515963454</v>
      </c>
      <c r="C248">
        <v>132525.50865117955</v>
      </c>
      <c r="D248">
        <v>75256.21381312517</v>
      </c>
      <c r="E248">
        <v>112205.9646777133</v>
      </c>
      <c r="F248">
        <v>43768.105246918618</v>
      </c>
      <c r="G248">
        <v>10000</v>
      </c>
      <c r="H248">
        <v>353755.79238893662</v>
      </c>
      <c r="I248">
        <v>28.594227754756858</v>
      </c>
    </row>
    <row r="249" spans="1:9" x14ac:dyDescent="0.2">
      <c r="A249">
        <v>239</v>
      </c>
      <c r="B249">
        <v>1698681.726984198</v>
      </c>
      <c r="C249">
        <v>143251.90448891351</v>
      </c>
      <c r="D249">
        <v>90829.017670525689</v>
      </c>
      <c r="E249">
        <v>193967.89551690707</v>
      </c>
      <c r="F249">
        <v>49428.546612708953</v>
      </c>
      <c r="G249">
        <v>10000</v>
      </c>
      <c r="H249">
        <v>467477.36428905523</v>
      </c>
      <c r="I249">
        <v>32.874606393728428</v>
      </c>
    </row>
    <row r="250" spans="1:9" x14ac:dyDescent="0.2">
      <c r="A250">
        <v>240</v>
      </c>
      <c r="B250">
        <v>1521670.1754654755</v>
      </c>
      <c r="C250">
        <v>123870.79559874283</v>
      </c>
      <c r="D250">
        <v>62323.926549176802</v>
      </c>
      <c r="E250">
        <v>193382.30218454672</v>
      </c>
      <c r="F250">
        <v>49388.005535853234</v>
      </c>
      <c r="G250">
        <v>10000</v>
      </c>
      <c r="H250">
        <v>418965.02986831957</v>
      </c>
      <c r="I250">
        <v>40.311165651566</v>
      </c>
    </row>
    <row r="251" spans="1:9" x14ac:dyDescent="0.2">
      <c r="A251">
        <v>241</v>
      </c>
      <c r="B251">
        <v>1356803.1956258572</v>
      </c>
      <c r="C251">
        <v>115865.27910765748</v>
      </c>
      <c r="D251">
        <v>80254.513012667565</v>
      </c>
      <c r="E251">
        <v>141841.48702565624</v>
      </c>
      <c r="F251">
        <v>45819.795255622354</v>
      </c>
      <c r="G251">
        <v>10000</v>
      </c>
      <c r="H251">
        <v>373781.07440160366</v>
      </c>
      <c r="I251">
        <v>43.774088919130747</v>
      </c>
    </row>
    <row r="252" spans="1:9" x14ac:dyDescent="0.2">
      <c r="A252">
        <v>242</v>
      </c>
      <c r="B252">
        <v>1195726.6048593391</v>
      </c>
      <c r="C252">
        <v>85759.229464427714</v>
      </c>
      <c r="D252">
        <v>81078.026545395463</v>
      </c>
      <c r="E252">
        <v>127941.2009443006</v>
      </c>
      <c r="F252">
        <v>44857.467757682345</v>
      </c>
      <c r="G252">
        <v>10000</v>
      </c>
      <c r="H252">
        <v>329635.92471180612</v>
      </c>
      <c r="I252">
        <v>35.855050485063849</v>
      </c>
    </row>
    <row r="253" spans="1:9" x14ac:dyDescent="0.2">
      <c r="A253">
        <v>243</v>
      </c>
      <c r="B253">
        <v>1477981.2223410562</v>
      </c>
      <c r="C253">
        <v>130377.74723534324</v>
      </c>
      <c r="D253">
        <v>57710.198662389572</v>
      </c>
      <c r="E253">
        <v>180413.39589489278</v>
      </c>
      <c r="F253">
        <v>48490.15817733873</v>
      </c>
      <c r="G253">
        <v>10000</v>
      </c>
      <c r="H253">
        <v>406991.49996996432</v>
      </c>
      <c r="I253">
        <v>28.563450208429956</v>
      </c>
    </row>
    <row r="254" spans="1:9" x14ac:dyDescent="0.2">
      <c r="A254">
        <v>244</v>
      </c>
      <c r="B254">
        <v>1307106.0661733467</v>
      </c>
      <c r="C254">
        <v>92923.684958786253</v>
      </c>
      <c r="D254">
        <v>36354.631647832393</v>
      </c>
      <c r="E254">
        <v>191616.82806642665</v>
      </c>
      <c r="F254">
        <v>49265.780404598765</v>
      </c>
      <c r="G254">
        <v>10000</v>
      </c>
      <c r="H254">
        <v>360160.925077644</v>
      </c>
      <c r="I254">
        <v>42.149953481679148</v>
      </c>
    </row>
    <row r="255" spans="1:9" x14ac:dyDescent="0.2">
      <c r="A255">
        <v>245</v>
      </c>
      <c r="B255">
        <v>1782055.7471833457</v>
      </c>
      <c r="C255">
        <v>159480.24322149801</v>
      </c>
      <c r="D255">
        <v>146015.91859758476</v>
      </c>
      <c r="E255">
        <v>148546.92683501446</v>
      </c>
      <c r="F255">
        <v>46284.018011654844</v>
      </c>
      <c r="G255">
        <v>10000</v>
      </c>
      <c r="H255">
        <v>490327.10666575213</v>
      </c>
      <c r="I255">
        <v>34.072733539150725</v>
      </c>
    </row>
    <row r="256" spans="1:9" x14ac:dyDescent="0.2">
      <c r="A256">
        <v>246</v>
      </c>
      <c r="B256">
        <v>1188362.8536726213</v>
      </c>
      <c r="C256">
        <v>74292.245955653168</v>
      </c>
      <c r="D256">
        <v>153462.63731579608</v>
      </c>
      <c r="E256">
        <v>69080.418458969172</v>
      </c>
      <c r="F256">
        <v>40782.490508697869</v>
      </c>
      <c r="G256">
        <v>10000</v>
      </c>
      <c r="H256">
        <v>327617.79223911627</v>
      </c>
      <c r="I256">
        <v>30.864585218395526</v>
      </c>
    </row>
    <row r="257" spans="1:9" x14ac:dyDescent="0.2">
      <c r="A257">
        <v>247</v>
      </c>
      <c r="B257">
        <v>1399372.4588519628</v>
      </c>
      <c r="C257">
        <v>137314.202492196</v>
      </c>
      <c r="D257">
        <v>79021.917519517825</v>
      </c>
      <c r="E257">
        <v>133845.39869481945</v>
      </c>
      <c r="F257">
        <v>45266.219909641346</v>
      </c>
      <c r="G257">
        <v>10000</v>
      </c>
      <c r="H257">
        <v>385447.73861617461</v>
      </c>
      <c r="I257">
        <v>33.968241289867549</v>
      </c>
    </row>
    <row r="258" spans="1:9" x14ac:dyDescent="0.2">
      <c r="A258">
        <v>248</v>
      </c>
      <c r="B258">
        <v>1435986.7247824348</v>
      </c>
      <c r="C258">
        <v>113645.07532893826</v>
      </c>
      <c r="D258">
        <v>127075.68968136347</v>
      </c>
      <c r="E258">
        <v>120424.51125674824</v>
      </c>
      <c r="F258">
        <v>44337.081548544105</v>
      </c>
      <c r="G258">
        <v>10000</v>
      </c>
      <c r="H258">
        <v>395482.35781559406</v>
      </c>
      <c r="I258">
        <v>33.024982743761477</v>
      </c>
    </row>
    <row r="259" spans="1:9" x14ac:dyDescent="0.2">
      <c r="A259">
        <v>249</v>
      </c>
      <c r="B259">
        <v>1069637.5132245892</v>
      </c>
      <c r="C259">
        <v>117460.89375326587</v>
      </c>
      <c r="D259">
        <v>59121.722819131523</v>
      </c>
      <c r="E259">
        <v>86507.930336579942</v>
      </c>
      <c r="F259">
        <v>41989.010561763229</v>
      </c>
      <c r="G259">
        <v>10000</v>
      </c>
      <c r="H259">
        <v>295079.55747074058</v>
      </c>
      <c r="I259">
        <v>30.938521733773563</v>
      </c>
    </row>
    <row r="260" spans="1:9" x14ac:dyDescent="0.2">
      <c r="A260">
        <v>250</v>
      </c>
      <c r="B260">
        <v>1060308.9635374872</v>
      </c>
      <c r="C260">
        <v>100322.18586362569</v>
      </c>
      <c r="D260">
        <v>80260.031235368675</v>
      </c>
      <c r="E260">
        <v>80376.221490869895</v>
      </c>
      <c r="F260">
        <v>41564.507641675606</v>
      </c>
      <c r="G260">
        <v>10000</v>
      </c>
      <c r="H260">
        <v>292522.94623153983</v>
      </c>
      <c r="I260">
        <v>26.688348573289197</v>
      </c>
    </row>
    <row r="261" spans="1:9" x14ac:dyDescent="0.2">
      <c r="A261">
        <v>251</v>
      </c>
      <c r="B261">
        <v>1433771.5551729505</v>
      </c>
      <c r="C261">
        <v>116966.5079981133</v>
      </c>
      <c r="D261">
        <v>111633.95583697512</v>
      </c>
      <c r="E261">
        <v>131192.2568715238</v>
      </c>
      <c r="F261">
        <v>45082.540860336267</v>
      </c>
      <c r="G261">
        <v>10000</v>
      </c>
      <c r="H261">
        <v>394875.26156694849</v>
      </c>
      <c r="I261">
        <v>35.205892010915001</v>
      </c>
    </row>
    <row r="262" spans="1:9" x14ac:dyDescent="0.2">
      <c r="A262">
        <v>252</v>
      </c>
      <c r="B262">
        <v>1335837.0674823974</v>
      </c>
      <c r="C262">
        <v>106818.01378416622</v>
      </c>
      <c r="D262">
        <v>88039.795981749048</v>
      </c>
      <c r="E262">
        <v>137647.76212182856</v>
      </c>
      <c r="F262">
        <v>45529.460454588138</v>
      </c>
      <c r="G262">
        <v>10000</v>
      </c>
      <c r="H262">
        <v>368035.03234233195</v>
      </c>
      <c r="I262">
        <v>39.756942630241227</v>
      </c>
    </row>
    <row r="263" spans="1:9" x14ac:dyDescent="0.2">
      <c r="A263">
        <v>253</v>
      </c>
      <c r="B263">
        <v>1718076.5563506284</v>
      </c>
      <c r="C263">
        <v>169464.88418333401</v>
      </c>
      <c r="D263">
        <v>55707.913616702572</v>
      </c>
      <c r="E263">
        <v>207270.47884618369</v>
      </c>
      <c r="F263">
        <v>50349.494689351181</v>
      </c>
      <c r="G263">
        <v>10000</v>
      </c>
      <c r="H263">
        <v>472792.77133557142</v>
      </c>
      <c r="I263">
        <v>31.293903237393273</v>
      </c>
    </row>
    <row r="264" spans="1:9" x14ac:dyDescent="0.2">
      <c r="A264">
        <v>254</v>
      </c>
      <c r="B264">
        <v>1366840.7016212197</v>
      </c>
      <c r="C264">
        <v>88527.06600515639</v>
      </c>
      <c r="D264">
        <v>64585.929912093037</v>
      </c>
      <c r="E264">
        <v>184636.46405227543</v>
      </c>
      <c r="F264">
        <v>48782.524434388295</v>
      </c>
      <c r="G264">
        <v>10000</v>
      </c>
      <c r="H264">
        <v>376531.98440391314</v>
      </c>
      <c r="I264">
        <v>29.569356410496958</v>
      </c>
    </row>
    <row r="265" spans="1:9" x14ac:dyDescent="0.2">
      <c r="A265">
        <v>255</v>
      </c>
      <c r="B265">
        <v>1353847.0588408993</v>
      </c>
      <c r="C265">
        <v>103431.37313391791</v>
      </c>
      <c r="D265">
        <v>118553.6601639677</v>
      </c>
      <c r="E265">
        <v>116893.26260635212</v>
      </c>
      <c r="F265">
        <v>44092.610488132072</v>
      </c>
      <c r="G265">
        <v>10000</v>
      </c>
      <c r="H265">
        <v>372970.90639236977</v>
      </c>
      <c r="I265">
        <v>37.572354940867157</v>
      </c>
    </row>
    <row r="266" spans="1:9" x14ac:dyDescent="0.2">
      <c r="A266">
        <v>256</v>
      </c>
      <c r="B266">
        <v>1518123.1088826144</v>
      </c>
      <c r="C266">
        <v>121177.31573749115</v>
      </c>
      <c r="D266">
        <v>70482.6399482993</v>
      </c>
      <c r="E266">
        <v>187361.75565312148</v>
      </c>
      <c r="F266">
        <v>48971.198468293027</v>
      </c>
      <c r="G266">
        <v>10000</v>
      </c>
      <c r="H266">
        <v>417992.90980720491</v>
      </c>
      <c r="I266">
        <v>34.589696807099521</v>
      </c>
    </row>
    <row r="267" spans="1:9" x14ac:dyDescent="0.2">
      <c r="A267">
        <v>257</v>
      </c>
      <c r="B267">
        <v>1195011.9667700552</v>
      </c>
      <c r="C267">
        <v>80864.240926126746</v>
      </c>
      <c r="D267">
        <v>112412.48345631261</v>
      </c>
      <c r="E267">
        <v>103030.46598536972</v>
      </c>
      <c r="F267">
        <v>43132.878414371742</v>
      </c>
      <c r="G267">
        <v>10000</v>
      </c>
      <c r="H267">
        <v>329440.06878218078</v>
      </c>
      <c r="I267">
        <v>32.696301091207573</v>
      </c>
    </row>
    <row r="268" spans="1:9" x14ac:dyDescent="0.2">
      <c r="A268">
        <v>258</v>
      </c>
      <c r="B268">
        <v>1403503.8360839235</v>
      </c>
      <c r="C268">
        <v>87992.184044678303</v>
      </c>
      <c r="D268">
        <v>75229.464646890221</v>
      </c>
      <c r="E268">
        <v>184579.74990296067</v>
      </c>
      <c r="F268">
        <v>48778.598070204971</v>
      </c>
      <c r="G268">
        <v>10000</v>
      </c>
      <c r="H268">
        <v>386579.99666473415</v>
      </c>
      <c r="I268">
        <v>26.781450190238893</v>
      </c>
    </row>
    <row r="269" spans="1:9" x14ac:dyDescent="0.2">
      <c r="A269">
        <v>259</v>
      </c>
      <c r="B269">
        <v>1692792.1870338076</v>
      </c>
      <c r="C269">
        <v>156396.70028457878</v>
      </c>
      <c r="D269">
        <v>86824.734459035826</v>
      </c>
      <c r="E269">
        <v>183909.619543279</v>
      </c>
      <c r="F269">
        <v>48732.204429919315</v>
      </c>
      <c r="G269">
        <v>10000</v>
      </c>
      <c r="H269">
        <v>465863.25871681288</v>
      </c>
      <c r="I269">
        <v>39.354114517564085</v>
      </c>
    </row>
    <row r="270" spans="1:9" x14ac:dyDescent="0.2">
      <c r="A270">
        <v>260</v>
      </c>
      <c r="B270">
        <v>1494388.7031229287</v>
      </c>
      <c r="C270">
        <v>96854.123865783185</v>
      </c>
      <c r="D270">
        <v>126075.70238738896</v>
      </c>
      <c r="E270">
        <v>152032.99739352806</v>
      </c>
      <c r="F270">
        <v>46525.361358013477</v>
      </c>
      <c r="G270">
        <v>10000</v>
      </c>
      <c r="H270">
        <v>411488.18500471365</v>
      </c>
      <c r="I270">
        <v>46.4761413499577</v>
      </c>
    </row>
    <row r="271" spans="1:9" x14ac:dyDescent="0.2">
      <c r="A271">
        <v>261</v>
      </c>
      <c r="B271">
        <v>1328924.6129749222</v>
      </c>
      <c r="C271">
        <v>93501.359485324108</v>
      </c>
      <c r="D271">
        <v>79857.494071603534</v>
      </c>
      <c r="E271">
        <v>155982.91302383429</v>
      </c>
      <c r="F271">
        <v>46798.81705549622</v>
      </c>
      <c r="G271">
        <v>10000</v>
      </c>
      <c r="H271">
        <v>366140.58363625815</v>
      </c>
      <c r="I271">
        <v>50.226116839126952</v>
      </c>
    </row>
    <row r="272" spans="1:9" x14ac:dyDescent="0.2">
      <c r="A272">
        <v>262</v>
      </c>
      <c r="B272">
        <v>1260814.7306105876</v>
      </c>
      <c r="C272">
        <v>106128.10664607419</v>
      </c>
      <c r="D272">
        <v>71342.254589868797</v>
      </c>
      <c r="E272">
        <v>134679.8287991058</v>
      </c>
      <c r="F272">
        <v>45323.9881476304</v>
      </c>
      <c r="G272">
        <v>10000</v>
      </c>
      <c r="H272">
        <v>347474.17818267917</v>
      </c>
      <c r="I272">
        <v>36.767145310824617</v>
      </c>
    </row>
    <row r="273" spans="1:9" x14ac:dyDescent="0.2">
      <c r="A273">
        <v>263</v>
      </c>
      <c r="B273">
        <v>1364982.5436021308</v>
      </c>
      <c r="C273">
        <v>108220.58538592081</v>
      </c>
      <c r="D273">
        <v>161663.98686284243</v>
      </c>
      <c r="E273">
        <v>74949.357908121747</v>
      </c>
      <c r="F273">
        <v>41188.801701331504</v>
      </c>
      <c r="G273">
        <v>10000</v>
      </c>
      <c r="H273">
        <v>376022.73185821646</v>
      </c>
      <c r="I273">
        <v>34.860320870961516</v>
      </c>
    </row>
    <row r="274" spans="1:9" x14ac:dyDescent="0.2">
      <c r="A274">
        <v>264</v>
      </c>
      <c r="B274">
        <v>1344016.6552635829</v>
      </c>
      <c r="C274">
        <v>112691.45743879212</v>
      </c>
      <c r="D274">
        <v>113411.10392392952</v>
      </c>
      <c r="E274">
        <v>110522.62762969117</v>
      </c>
      <c r="F274">
        <v>43651.566528209391</v>
      </c>
      <c r="G274">
        <v>10000</v>
      </c>
      <c r="H274">
        <v>370276.75552062219</v>
      </c>
      <c r="I274">
        <v>46.886899537161781</v>
      </c>
    </row>
    <row r="275" spans="1:9" x14ac:dyDescent="0.2">
      <c r="A275">
        <v>265</v>
      </c>
      <c r="B275">
        <v>1653558.4874905914</v>
      </c>
      <c r="C275">
        <v>124851.93143988962</v>
      </c>
      <c r="D275">
        <v>85631.144904908637</v>
      </c>
      <c r="E275">
        <v>204471.92446170218</v>
      </c>
      <c r="F275">
        <v>50155.748616579382</v>
      </c>
      <c r="G275">
        <v>10000</v>
      </c>
      <c r="H275">
        <v>455110.74942307983</v>
      </c>
      <c r="I275">
        <v>27.490025497889427</v>
      </c>
    </row>
    <row r="276" spans="1:9" x14ac:dyDescent="0.2">
      <c r="A276">
        <v>266</v>
      </c>
      <c r="B276">
        <v>1268523.456420399</v>
      </c>
      <c r="C276">
        <v>122250.65280238882</v>
      </c>
      <c r="D276">
        <v>72350.777599104622</v>
      </c>
      <c r="E276">
        <v>120633.85078326442</v>
      </c>
      <c r="F276">
        <v>44351.574284995229</v>
      </c>
      <c r="G276">
        <v>10000</v>
      </c>
      <c r="H276">
        <v>349586.85546975309</v>
      </c>
      <c r="I276">
        <v>31.737533711959244</v>
      </c>
    </row>
    <row r="277" spans="1:9" x14ac:dyDescent="0.2">
      <c r="A277">
        <v>267</v>
      </c>
      <c r="B277">
        <v>1667889.8346498385</v>
      </c>
      <c r="C277">
        <v>96931.290412698829</v>
      </c>
      <c r="D277">
        <v>116563.34722590295</v>
      </c>
      <c r="E277">
        <v>205328.73868005082</v>
      </c>
      <c r="F277">
        <v>50215.066524003523</v>
      </c>
      <c r="G277">
        <v>10000</v>
      </c>
      <c r="H277">
        <v>459038.44284265611</v>
      </c>
      <c r="I277">
        <v>27.961682725034215</v>
      </c>
    </row>
    <row r="278" spans="1:9" x14ac:dyDescent="0.2">
      <c r="A278">
        <v>268</v>
      </c>
      <c r="B278">
        <v>1565421.4698735168</v>
      </c>
      <c r="C278">
        <v>116244.1358138035</v>
      </c>
      <c r="D278">
        <v>67190.701723483129</v>
      </c>
      <c r="E278">
        <v>207177.73379656786</v>
      </c>
      <c r="F278">
        <v>50343.073878223928</v>
      </c>
      <c r="G278">
        <v>10000</v>
      </c>
      <c r="H278">
        <v>430955.64521207841</v>
      </c>
      <c r="I278">
        <v>50.647355501709896</v>
      </c>
    </row>
    <row r="279" spans="1:9" x14ac:dyDescent="0.2">
      <c r="A279">
        <v>269</v>
      </c>
      <c r="B279">
        <v>1417200.0902093337</v>
      </c>
      <c r="C279">
        <v>87513.366903324131</v>
      </c>
      <c r="D279">
        <v>73677.079380731753</v>
      </c>
      <c r="E279">
        <v>189990.03216228509</v>
      </c>
      <c r="F279">
        <v>49153.156072773585</v>
      </c>
      <c r="G279">
        <v>10000</v>
      </c>
      <c r="H279">
        <v>390333.63451911457</v>
      </c>
      <c r="I279">
        <v>31.221396261444337</v>
      </c>
    </row>
    <row r="280" spans="1:9" x14ac:dyDescent="0.2">
      <c r="A280">
        <v>270</v>
      </c>
      <c r="B280">
        <v>1451405.9614021552</v>
      </c>
      <c r="C280">
        <v>109574.19125155322</v>
      </c>
      <c r="D280">
        <v>116463.49003864788</v>
      </c>
      <c r="E280">
        <v>138109.11970709343</v>
      </c>
      <c r="F280">
        <v>45561.400595106468</v>
      </c>
      <c r="G280">
        <v>10000</v>
      </c>
      <c r="H280">
        <v>399708.20159240096</v>
      </c>
      <c r="I280">
        <v>32.012138477876519</v>
      </c>
    </row>
    <row r="281" spans="1:9" x14ac:dyDescent="0.2">
      <c r="A281">
        <v>271</v>
      </c>
      <c r="B281">
        <v>878235.06406219758</v>
      </c>
      <c r="C281">
        <v>134263.82921915589</v>
      </c>
      <c r="D281">
        <v>24590.318388225311</v>
      </c>
      <c r="E281">
        <v>54028.618606143071</v>
      </c>
      <c r="F281">
        <v>39740.442826579136</v>
      </c>
      <c r="G281">
        <v>10000</v>
      </c>
      <c r="H281">
        <v>242623.20904010342</v>
      </c>
      <c r="I281">
        <v>27.240305608017906</v>
      </c>
    </row>
    <row r="282" spans="1:9" x14ac:dyDescent="0.2">
      <c r="A282">
        <v>272</v>
      </c>
      <c r="B282">
        <v>1614481.8268568395</v>
      </c>
      <c r="C282">
        <v>105362.81176876639</v>
      </c>
      <c r="D282">
        <v>102241.39044637309</v>
      </c>
      <c r="E282">
        <v>197148.34491351023</v>
      </c>
      <c r="F282">
        <v>49648.731570935321</v>
      </c>
      <c r="G282">
        <v>10000</v>
      </c>
      <c r="H282">
        <v>444401.278699585</v>
      </c>
      <c r="I282">
        <v>38.412076785778069</v>
      </c>
    </row>
    <row r="283" spans="1:9" x14ac:dyDescent="0.2">
      <c r="A283">
        <v>273</v>
      </c>
      <c r="B283">
        <v>1855081.9217268934</v>
      </c>
      <c r="C283">
        <v>162616.58292397196</v>
      </c>
      <c r="D283">
        <v>135393.19546938292</v>
      </c>
      <c r="E283">
        <v>174266.50388270832</v>
      </c>
      <c r="F283">
        <v>48064.604114956732</v>
      </c>
      <c r="G283">
        <v>10000</v>
      </c>
      <c r="H283">
        <v>510340.88639101991</v>
      </c>
      <c r="I283">
        <v>45.077400720741025</v>
      </c>
    </row>
    <row r="284" spans="1:9" x14ac:dyDescent="0.2">
      <c r="A284">
        <v>274</v>
      </c>
      <c r="B284">
        <v>1352131.897990129</v>
      </c>
      <c r="C284">
        <v>104298.54757071537</v>
      </c>
      <c r="D284">
        <v>78153.536600422391</v>
      </c>
      <c r="E284">
        <v>153426.89776940885</v>
      </c>
      <c r="F284">
        <v>46621.862153266768</v>
      </c>
      <c r="G284">
        <v>10000</v>
      </c>
      <c r="H284">
        <v>372500.84409381344</v>
      </c>
      <c r="I284">
        <v>27.475036403771295</v>
      </c>
    </row>
    <row r="285" spans="1:9" x14ac:dyDescent="0.2">
      <c r="A285">
        <v>275</v>
      </c>
      <c r="B285">
        <v>1446540.0109172876</v>
      </c>
      <c r="C285">
        <v>96190.941070035784</v>
      </c>
      <c r="D285">
        <v>81586.947443274039</v>
      </c>
      <c r="E285">
        <v>181996.94697167785</v>
      </c>
      <c r="F285">
        <v>48599.788636500773</v>
      </c>
      <c r="G285">
        <v>10000</v>
      </c>
      <c r="H285">
        <v>398374.62412148848</v>
      </c>
      <c r="I285">
        <v>30.091043363439645</v>
      </c>
    </row>
    <row r="286" spans="1:9" x14ac:dyDescent="0.2">
      <c r="A286">
        <v>276</v>
      </c>
      <c r="B286">
        <v>1572602.3405694449</v>
      </c>
      <c r="C286">
        <v>109585.96045806138</v>
      </c>
      <c r="D286">
        <v>90315.079988777827</v>
      </c>
      <c r="E286">
        <v>193618.27437192004</v>
      </c>
      <c r="F286">
        <v>49404.34207190216</v>
      </c>
      <c r="G286">
        <v>10000</v>
      </c>
      <c r="H286">
        <v>432923.6568906614</v>
      </c>
      <c r="I286">
        <v>35.735496534691521</v>
      </c>
    </row>
    <row r="287" spans="1:9" x14ac:dyDescent="0.2">
      <c r="A287">
        <v>277</v>
      </c>
      <c r="B287">
        <v>1193545.5293482249</v>
      </c>
      <c r="C287">
        <v>118764.24373959943</v>
      </c>
      <c r="D287">
        <v>81637.937098670576</v>
      </c>
      <c r="E287">
        <v>95990.495702809319</v>
      </c>
      <c r="F287">
        <v>42645.495856348331</v>
      </c>
      <c r="G287">
        <v>10000</v>
      </c>
      <c r="H287">
        <v>329038.17239742761</v>
      </c>
      <c r="I287">
        <v>34.368092427239461</v>
      </c>
    </row>
    <row r="288" spans="1:9" x14ac:dyDescent="0.2">
      <c r="A288">
        <v>278</v>
      </c>
      <c r="B288">
        <v>1390377.897719577</v>
      </c>
      <c r="C288">
        <v>148737.55014354526</v>
      </c>
      <c r="D288">
        <v>32720.826368784888</v>
      </c>
      <c r="E288">
        <v>164159.40305323948</v>
      </c>
      <c r="F288">
        <v>47364.88174983966</v>
      </c>
      <c r="G288">
        <v>10000</v>
      </c>
      <c r="H288">
        <v>382982.66131540923</v>
      </c>
      <c r="I288">
        <v>36.558912690856111</v>
      </c>
    </row>
    <row r="289" spans="1:9" x14ac:dyDescent="0.2">
      <c r="A289">
        <v>279</v>
      </c>
      <c r="B289">
        <v>1390991.8581275819</v>
      </c>
      <c r="C289">
        <v>115210.88442545585</v>
      </c>
      <c r="D289">
        <v>77381.16281064038</v>
      </c>
      <c r="E289">
        <v>153903.98659212247</v>
      </c>
      <c r="F289">
        <v>46654.891379454632</v>
      </c>
      <c r="G289">
        <v>10000</v>
      </c>
      <c r="H289">
        <v>383150.92520767334</v>
      </c>
      <c r="I289">
        <v>39.864268633771488</v>
      </c>
    </row>
    <row r="290" spans="1:9" x14ac:dyDescent="0.2">
      <c r="A290">
        <v>280</v>
      </c>
      <c r="B290">
        <v>1127739.3255376217</v>
      </c>
      <c r="C290">
        <v>111610.9138726275</v>
      </c>
      <c r="D290">
        <v>69252.682680287384</v>
      </c>
      <c r="E290">
        <v>97396.676818490538</v>
      </c>
      <c r="F290">
        <v>42742.846856664728</v>
      </c>
      <c r="G290">
        <v>10000</v>
      </c>
      <c r="H290">
        <v>311003.12022807018</v>
      </c>
      <c r="I290">
        <v>53.605130428859461</v>
      </c>
    </row>
    <row r="291" spans="1:9" x14ac:dyDescent="0.2">
      <c r="A291">
        <v>281</v>
      </c>
      <c r="B291">
        <v>899094.35526316229</v>
      </c>
      <c r="C291">
        <v>94745.356699518146</v>
      </c>
      <c r="D291">
        <v>54668.314159249516</v>
      </c>
      <c r="E291">
        <v>68204.45340297556</v>
      </c>
      <c r="F291">
        <v>40721.846774052152</v>
      </c>
      <c r="G291">
        <v>10000</v>
      </c>
      <c r="H291">
        <v>248339.97103579537</v>
      </c>
      <c r="I291">
        <v>36.703283735258026</v>
      </c>
    </row>
    <row r="292" spans="1:9" x14ac:dyDescent="0.2">
      <c r="A292">
        <v>282</v>
      </c>
      <c r="B292">
        <v>924110.47060920775</v>
      </c>
      <c r="C292">
        <v>111277.37688124541</v>
      </c>
      <c r="D292">
        <v>82496.722970808492</v>
      </c>
      <c r="E292">
        <v>33128.363218871476</v>
      </c>
      <c r="F292">
        <v>38293.502068998794</v>
      </c>
      <c r="G292">
        <v>10000</v>
      </c>
      <c r="H292">
        <v>255195.9651399242</v>
      </c>
      <c r="I292">
        <v>52.769098852792006</v>
      </c>
    </row>
    <row r="293" spans="1:9" x14ac:dyDescent="0.2">
      <c r="A293">
        <v>283</v>
      </c>
      <c r="B293">
        <v>1167189.6029125554</v>
      </c>
      <c r="C293">
        <v>107339.02078381475</v>
      </c>
      <c r="D293">
        <v>66049.353873300366</v>
      </c>
      <c r="E293">
        <v>114499.70799527633</v>
      </c>
      <c r="F293">
        <v>43926.902861211442</v>
      </c>
      <c r="G293">
        <v>10000</v>
      </c>
      <c r="H293">
        <v>321814.98551360291</v>
      </c>
      <c r="I293">
        <v>28.62574736688493</v>
      </c>
    </row>
    <row r="294" spans="1:9" x14ac:dyDescent="0.2">
      <c r="A294">
        <v>284</v>
      </c>
      <c r="B294">
        <v>1361696.218938886</v>
      </c>
      <c r="C294">
        <v>102614.43178896279</v>
      </c>
      <c r="D294">
        <v>82304.22315939446</v>
      </c>
      <c r="E294">
        <v>153571.54069320648</v>
      </c>
      <c r="F294">
        <v>46631.875894145058</v>
      </c>
      <c r="G294">
        <v>10000</v>
      </c>
      <c r="H294">
        <v>375122.07153570879</v>
      </c>
      <c r="I294">
        <v>34.201143550640708</v>
      </c>
    </row>
    <row r="295" spans="1:9" x14ac:dyDescent="0.2">
      <c r="A295">
        <v>285</v>
      </c>
      <c r="B295">
        <v>1500580.449074686</v>
      </c>
      <c r="C295">
        <v>108897.97415873216</v>
      </c>
      <c r="D295">
        <v>126604.81970274443</v>
      </c>
      <c r="E295">
        <v>141861.16280395145</v>
      </c>
      <c r="F295">
        <v>45821.157424888945</v>
      </c>
      <c r="G295">
        <v>10000</v>
      </c>
      <c r="H295">
        <v>413185.11409031693</v>
      </c>
      <c r="I295">
        <v>45.948538204079398</v>
      </c>
    </row>
    <row r="296" spans="1:9" x14ac:dyDescent="0.2">
      <c r="A296">
        <v>286</v>
      </c>
      <c r="B296">
        <v>1358350.3451597961</v>
      </c>
      <c r="C296">
        <v>102987.09490492371</v>
      </c>
      <c r="D296">
        <v>95601.615927874504</v>
      </c>
      <c r="E296">
        <v>139928.98864366912</v>
      </c>
      <c r="F296">
        <v>45687.391521484788</v>
      </c>
      <c r="G296">
        <v>10000</v>
      </c>
      <c r="H296">
        <v>374205.09099795209</v>
      </c>
      <c r="I296">
        <v>39.589979769039637</v>
      </c>
    </row>
    <row r="297" spans="1:9" x14ac:dyDescent="0.2">
      <c r="A297">
        <v>287</v>
      </c>
      <c r="B297">
        <v>1440578.7222991171</v>
      </c>
      <c r="C297">
        <v>142082.82207187609</v>
      </c>
      <c r="D297">
        <v>153000.16538484377</v>
      </c>
      <c r="E297">
        <v>70759.156589455553</v>
      </c>
      <c r="F297">
        <v>40898.71084080846</v>
      </c>
      <c r="G297">
        <v>10000</v>
      </c>
      <c r="H297">
        <v>396740.85488698387</v>
      </c>
      <c r="I297">
        <v>37.011693270299418</v>
      </c>
    </row>
    <row r="298" spans="1:9" x14ac:dyDescent="0.2">
      <c r="A298">
        <v>288</v>
      </c>
      <c r="B298">
        <v>1113448.1326340216</v>
      </c>
      <c r="C298">
        <v>155509.40333438272</v>
      </c>
      <c r="D298">
        <v>55551.566294377844</v>
      </c>
      <c r="E298">
        <v>65491.439261389824</v>
      </c>
      <c r="F298">
        <v>40534.022718096217</v>
      </c>
      <c r="G298">
        <v>10000</v>
      </c>
      <c r="H298">
        <v>307086.43160824658</v>
      </c>
      <c r="I298">
        <v>35.223937713189216</v>
      </c>
    </row>
    <row r="299" spans="1:9" x14ac:dyDescent="0.2">
      <c r="A299">
        <v>289</v>
      </c>
      <c r="B299">
        <v>1501544.3562415016</v>
      </c>
      <c r="C299">
        <v>122771.43904933748</v>
      </c>
      <c r="D299">
        <v>69558.690115498175</v>
      </c>
      <c r="E299">
        <v>182485.54187364771</v>
      </c>
      <c r="F299">
        <v>48633.614437406381</v>
      </c>
      <c r="G299">
        <v>10000</v>
      </c>
      <c r="H299">
        <v>413449.28547588974</v>
      </c>
      <c r="I299">
        <v>41.978054387253941</v>
      </c>
    </row>
    <row r="300" spans="1:9" x14ac:dyDescent="0.2">
      <c r="A300">
        <v>290</v>
      </c>
      <c r="B300">
        <v>801332.87860484864</v>
      </c>
      <c r="C300">
        <v>100312.41268837068</v>
      </c>
      <c r="D300">
        <v>53339.963985066839</v>
      </c>
      <c r="E300">
        <v>39182.169353010388</v>
      </c>
      <c r="F300">
        <v>38712.611724439179</v>
      </c>
      <c r="G300">
        <v>10000</v>
      </c>
      <c r="H300">
        <v>221547.1577508871</v>
      </c>
      <c r="I300">
        <v>39.792140410349994</v>
      </c>
    </row>
    <row r="301" spans="1:9" x14ac:dyDescent="0.2">
      <c r="A301">
        <v>291</v>
      </c>
      <c r="B301">
        <v>1576432.7443860888</v>
      </c>
      <c r="C301">
        <v>158362.09046645285</v>
      </c>
      <c r="D301">
        <v>124535.67684485491</v>
      </c>
      <c r="E301">
        <v>116977.23776775303</v>
      </c>
      <c r="F301">
        <v>44098.424153152133</v>
      </c>
      <c r="G301">
        <v>10000</v>
      </c>
      <c r="H301">
        <v>433973.42923221295</v>
      </c>
      <c r="I301">
        <v>32.935989471876077</v>
      </c>
    </row>
    <row r="302" spans="1:9" x14ac:dyDescent="0.2">
      <c r="A302">
        <v>292</v>
      </c>
      <c r="B302">
        <v>1373096.6452947478</v>
      </c>
      <c r="C302">
        <v>129772.52043797245</v>
      </c>
      <c r="D302">
        <v>101827.00632503231</v>
      </c>
      <c r="E302">
        <v>112835.30592736718</v>
      </c>
      <c r="F302">
        <v>43811.675025740806</v>
      </c>
      <c r="G302">
        <v>10000</v>
      </c>
      <c r="H302">
        <v>378246.50771611277</v>
      </c>
      <c r="I302">
        <v>26.099452029028225</v>
      </c>
    </row>
    <row r="303" spans="1:9" x14ac:dyDescent="0.2">
      <c r="A303">
        <v>293</v>
      </c>
      <c r="B303">
        <v>1193416.6715967543</v>
      </c>
      <c r="C303">
        <v>91610.394133110225</v>
      </c>
      <c r="D303">
        <v>127531.30083979906</v>
      </c>
      <c r="E303">
        <v>78431.30284224193</v>
      </c>
      <c r="F303">
        <v>41429.859427539828</v>
      </c>
      <c r="G303">
        <v>10000</v>
      </c>
      <c r="H303">
        <v>329002.85724269104</v>
      </c>
      <c r="I303">
        <v>43.331058703673804</v>
      </c>
    </row>
    <row r="304" spans="1:9" x14ac:dyDescent="0.2">
      <c r="A304">
        <v>294</v>
      </c>
      <c r="B304">
        <v>1255334.1099567278</v>
      </c>
      <c r="C304">
        <v>147669.81728823949</v>
      </c>
      <c r="D304">
        <v>71649.667057527113</v>
      </c>
      <c r="E304">
        <v>94135.579381850461</v>
      </c>
      <c r="F304">
        <v>42517.078572589642</v>
      </c>
      <c r="G304">
        <v>10000</v>
      </c>
      <c r="H304">
        <v>345972.1423002067</v>
      </c>
      <c r="I304">
        <v>27.398564891839563</v>
      </c>
    </row>
    <row r="305" spans="1:9" x14ac:dyDescent="0.2">
      <c r="A305">
        <v>295</v>
      </c>
      <c r="B305">
        <v>977496.70143557759</v>
      </c>
      <c r="C305">
        <v>89748.102570331423</v>
      </c>
      <c r="D305">
        <v>56647.870309047736</v>
      </c>
      <c r="E305">
        <v>91122.693944491315</v>
      </c>
      <c r="F305">
        <v>42308.494196157088</v>
      </c>
      <c r="G305">
        <v>10000</v>
      </c>
      <c r="H305">
        <v>269827.16102002759</v>
      </c>
      <c r="I305">
        <v>31.258751162927606</v>
      </c>
    </row>
    <row r="306" spans="1:9" x14ac:dyDescent="0.2">
      <c r="A306">
        <v>296</v>
      </c>
      <c r="B306">
        <v>1307060.7136451271</v>
      </c>
      <c r="C306">
        <v>124986.46171437336</v>
      </c>
      <c r="D306">
        <v>134980.48365880566</v>
      </c>
      <c r="E306">
        <v>69378.428291385717</v>
      </c>
      <c r="F306">
        <v>40803.121958634394</v>
      </c>
      <c r="G306">
        <v>10000</v>
      </c>
      <c r="H306">
        <v>360148.49562319915</v>
      </c>
      <c r="I306">
        <v>30.386323851993026</v>
      </c>
    </row>
    <row r="307" spans="1:9" x14ac:dyDescent="0.2">
      <c r="A307">
        <v>297</v>
      </c>
      <c r="B307">
        <v>1142513.3796418563</v>
      </c>
      <c r="C307">
        <v>119803.13647816968</v>
      </c>
      <c r="D307">
        <v>103463.79152594569</v>
      </c>
      <c r="E307">
        <v>61525.740910245593</v>
      </c>
      <c r="F307">
        <v>40259.474370709308</v>
      </c>
      <c r="G307">
        <v>10000</v>
      </c>
      <c r="H307">
        <v>315052.14328507025</v>
      </c>
      <c r="I307">
        <v>27.242557368189146</v>
      </c>
    </row>
    <row r="308" spans="1:9" x14ac:dyDescent="0.2">
      <c r="A308">
        <v>298</v>
      </c>
      <c r="B308">
        <v>1520169.8820729144</v>
      </c>
      <c r="C308">
        <v>117193.90202891496</v>
      </c>
      <c r="D308">
        <v>152053.45340610875</v>
      </c>
      <c r="E308">
        <v>115322.6253159402</v>
      </c>
      <c r="F308">
        <v>43983.874060334325</v>
      </c>
      <c r="G308">
        <v>10000</v>
      </c>
      <c r="H308">
        <v>418553.85481129825</v>
      </c>
      <c r="I308">
        <v>35.622284478997273</v>
      </c>
    </row>
    <row r="309" spans="1:9" x14ac:dyDescent="0.2">
      <c r="A309">
        <v>299</v>
      </c>
      <c r="B309">
        <v>1287426.4715284442</v>
      </c>
      <c r="C309">
        <v>125404.87436912592</v>
      </c>
      <c r="D309">
        <v>122850.28378061649</v>
      </c>
      <c r="E309">
        <v>75299.288557247084</v>
      </c>
      <c r="F309">
        <v>41213.027669347874</v>
      </c>
      <c r="G309">
        <v>10000</v>
      </c>
      <c r="H309">
        <v>354767.47437633737</v>
      </c>
      <c r="I309">
        <v>32.289691355874851</v>
      </c>
    </row>
    <row r="310" spans="1:9" x14ac:dyDescent="0.2">
      <c r="A310">
        <v>300</v>
      </c>
      <c r="B310">
        <v>1509235.7308995808</v>
      </c>
      <c r="C310">
        <v>115690.67577936704</v>
      </c>
      <c r="D310">
        <v>98430.81933414696</v>
      </c>
      <c r="E310">
        <v>164076.56549693423</v>
      </c>
      <c r="F310">
        <v>47359.146842095448</v>
      </c>
      <c r="G310">
        <v>10000</v>
      </c>
      <c r="H310">
        <v>415557.20745254366</v>
      </c>
      <c r="I310">
        <v>25.8436511501416</v>
      </c>
    </row>
    <row r="311" spans="1:9" x14ac:dyDescent="0.2">
      <c r="A311">
        <v>301</v>
      </c>
      <c r="B311">
        <v>1407358.4990685913</v>
      </c>
      <c r="C311">
        <v>107497.77362950893</v>
      </c>
      <c r="D311">
        <v>86417.429634976696</v>
      </c>
      <c r="E311">
        <v>156861.56731650917</v>
      </c>
      <c r="F311">
        <v>46859.646968066023</v>
      </c>
      <c r="G311">
        <v>10000</v>
      </c>
      <c r="H311">
        <v>387636.41754906077</v>
      </c>
      <c r="I311">
        <v>44.512931966927638</v>
      </c>
    </row>
    <row r="312" spans="1:9" x14ac:dyDescent="0.2">
      <c r="A312">
        <v>302</v>
      </c>
      <c r="B312">
        <v>1487905.1701777291</v>
      </c>
      <c r="C312">
        <v>124746.57755182227</v>
      </c>
      <c r="D312">
        <v>67852.134800422806</v>
      </c>
      <c r="E312">
        <v>178738.37998189928</v>
      </c>
      <c r="F312">
        <v>48374.195537208412</v>
      </c>
      <c r="G312">
        <v>10000</v>
      </c>
      <c r="H312">
        <v>409711.28787135275</v>
      </c>
      <c r="I312">
        <v>54.42880701070856</v>
      </c>
    </row>
    <row r="313" spans="1:9" x14ac:dyDescent="0.2">
      <c r="A313">
        <v>303</v>
      </c>
      <c r="B313">
        <v>1493528.6599862527</v>
      </c>
      <c r="C313">
        <v>108947.62722267478</v>
      </c>
      <c r="D313">
        <v>77713.498842858346</v>
      </c>
      <c r="E313">
        <v>185732.91993316344</v>
      </c>
      <c r="F313">
        <v>48858.432918449776</v>
      </c>
      <c r="G313">
        <v>10000</v>
      </c>
      <c r="H313">
        <v>411252.47891714633</v>
      </c>
      <c r="I313">
        <v>38.250035975097063</v>
      </c>
    </row>
    <row r="314" spans="1:9" x14ac:dyDescent="0.2">
      <c r="A314">
        <v>304</v>
      </c>
      <c r="B314">
        <v>874046.9005408017</v>
      </c>
      <c r="C314">
        <v>119001.68520863606</v>
      </c>
      <c r="D314">
        <v>34786.994661430777</v>
      </c>
      <c r="E314">
        <v>57692.604693162422</v>
      </c>
      <c r="F314">
        <v>39994.10340183432</v>
      </c>
      <c r="G314">
        <v>10000</v>
      </c>
      <c r="H314">
        <v>241475.38796506359</v>
      </c>
      <c r="I314">
        <v>35.519342901691815</v>
      </c>
    </row>
    <row r="315" spans="1:9" x14ac:dyDescent="0.2">
      <c r="A315">
        <v>305</v>
      </c>
      <c r="B315">
        <v>1752152.2280829081</v>
      </c>
      <c r="C315">
        <v>147471.47943930636</v>
      </c>
      <c r="D315">
        <v>107810.48395321323</v>
      </c>
      <c r="E315">
        <v>187845.03582248327</v>
      </c>
      <c r="F315">
        <v>49004.65632617192</v>
      </c>
      <c r="G315">
        <v>10000</v>
      </c>
      <c r="H315">
        <v>482131.65554117481</v>
      </c>
      <c r="I315">
        <v>28.642683009699113</v>
      </c>
    </row>
    <row r="316" spans="1:9" x14ac:dyDescent="0.2">
      <c r="A316">
        <v>306</v>
      </c>
      <c r="B316">
        <v>1156268.4518362554</v>
      </c>
      <c r="C316">
        <v>155763.1373679344</v>
      </c>
      <c r="D316">
        <v>76990.050355857544</v>
      </c>
      <c r="E316">
        <v>56179.372130447991</v>
      </c>
      <c r="F316">
        <v>39889.341147492552</v>
      </c>
      <c r="G316">
        <v>10000</v>
      </c>
      <c r="H316">
        <v>318821.90100173245</v>
      </c>
      <c r="I316">
        <v>34.503634401034461</v>
      </c>
    </row>
    <row r="317" spans="1:9" x14ac:dyDescent="0.2">
      <c r="A317">
        <v>307</v>
      </c>
      <c r="B317">
        <v>1621661.6559989573</v>
      </c>
      <c r="C317">
        <v>169291.02507051229</v>
      </c>
      <c r="D317">
        <v>151580.59433871543</v>
      </c>
      <c r="E317">
        <v>93055.108757350623</v>
      </c>
      <c r="F317">
        <v>42442.276760124274</v>
      </c>
      <c r="G317">
        <v>10000</v>
      </c>
      <c r="H317">
        <v>446369.00492670259</v>
      </c>
      <c r="I317">
        <v>33.817979791572171</v>
      </c>
    </row>
    <row r="318" spans="1:9" x14ac:dyDescent="0.2">
      <c r="A318">
        <v>308</v>
      </c>
      <c r="B318">
        <v>1796209.5364845411</v>
      </c>
      <c r="C318">
        <v>143171.40935573107</v>
      </c>
      <c r="D318">
        <v>138044.85314449092</v>
      </c>
      <c r="E318">
        <v>174882.61740049729</v>
      </c>
      <c r="F318">
        <v>48107.258127726731</v>
      </c>
      <c r="G318">
        <v>10000</v>
      </c>
      <c r="H318">
        <v>494206.138028446</v>
      </c>
      <c r="I318">
        <v>37.990620298374793</v>
      </c>
    </row>
    <row r="319" spans="1:9" x14ac:dyDescent="0.2">
      <c r="A319">
        <v>309</v>
      </c>
      <c r="B319">
        <v>1162444.3552855586</v>
      </c>
      <c r="C319">
        <v>96036.337300861458</v>
      </c>
      <c r="D319">
        <v>88624.398208023893</v>
      </c>
      <c r="E319">
        <v>102740.9198223492</v>
      </c>
      <c r="F319">
        <v>43112.832910778016</v>
      </c>
      <c r="G319">
        <v>10000</v>
      </c>
      <c r="H319">
        <v>320514.48824201257</v>
      </c>
      <c r="I319">
        <v>30.334687625970957</v>
      </c>
    </row>
    <row r="320" spans="1:9" x14ac:dyDescent="0.2">
      <c r="A320">
        <v>310</v>
      </c>
      <c r="B320">
        <v>1689072.716953123</v>
      </c>
      <c r="C320">
        <v>100759.32200008165</v>
      </c>
      <c r="D320">
        <v>120705.40838555094</v>
      </c>
      <c r="E320">
        <v>203304.24926838791</v>
      </c>
      <c r="F320">
        <v>50074.909564734553</v>
      </c>
      <c r="G320">
        <v>10000</v>
      </c>
      <c r="H320">
        <v>464843.88921875507</v>
      </c>
      <c r="I320">
        <v>41.692370925290817</v>
      </c>
    </row>
    <row r="321" spans="1:9" x14ac:dyDescent="0.2">
      <c r="A321">
        <v>311</v>
      </c>
      <c r="B321">
        <v>1589051.7350420349</v>
      </c>
      <c r="C321">
        <v>151683.55814967339</v>
      </c>
      <c r="D321">
        <v>71827.580067513671</v>
      </c>
      <c r="E321">
        <v>175753.16396796113</v>
      </c>
      <c r="F321">
        <v>48167.526736243468</v>
      </c>
      <c r="G321">
        <v>10000</v>
      </c>
      <c r="H321">
        <v>437431.82892139169</v>
      </c>
      <c r="I321">
        <v>36.329301788026918</v>
      </c>
    </row>
    <row r="322" spans="1:9" x14ac:dyDescent="0.2">
      <c r="A322">
        <v>312</v>
      </c>
      <c r="B322">
        <v>1496255.1626157707</v>
      </c>
      <c r="C322">
        <v>147551.78772046586</v>
      </c>
      <c r="D322">
        <v>69207.76236197236</v>
      </c>
      <c r="E322">
        <v>158282.16645631418</v>
      </c>
      <c r="F322">
        <v>46957.996139283285</v>
      </c>
      <c r="G322">
        <v>10000</v>
      </c>
      <c r="H322">
        <v>411999.71267803572</v>
      </c>
      <c r="I322">
        <v>43.233021070470159</v>
      </c>
    </row>
    <row r="323" spans="1:9" x14ac:dyDescent="0.2">
      <c r="A323">
        <v>313</v>
      </c>
      <c r="B323">
        <v>1307285.8668784769</v>
      </c>
      <c r="C323">
        <v>101254.83063393463</v>
      </c>
      <c r="D323">
        <v>138135.92125544729</v>
      </c>
      <c r="E323">
        <v>88680.061082586923</v>
      </c>
      <c r="F323">
        <v>42139.388844179099</v>
      </c>
      <c r="G323">
        <v>10000</v>
      </c>
      <c r="H323">
        <v>360210.20181614795</v>
      </c>
      <c r="I323">
        <v>35.6673875294575</v>
      </c>
    </row>
    <row r="324" spans="1:9" x14ac:dyDescent="0.2">
      <c r="A324">
        <v>314</v>
      </c>
      <c r="B324">
        <v>1006391.6208212801</v>
      </c>
      <c r="C324">
        <v>107586.08034600916</v>
      </c>
      <c r="D324">
        <v>71924.928615772471</v>
      </c>
      <c r="E324">
        <v>67558.085025012726</v>
      </c>
      <c r="F324">
        <v>40677.098194039339</v>
      </c>
      <c r="G324">
        <v>10000</v>
      </c>
      <c r="H324">
        <v>277746.19218083366</v>
      </c>
      <c r="I324">
        <v>37.896241374250067</v>
      </c>
    </row>
    <row r="325" spans="1:9" x14ac:dyDescent="0.2">
      <c r="A325">
        <v>315</v>
      </c>
      <c r="B325">
        <v>1238926.1213930817</v>
      </c>
      <c r="C325">
        <v>158055.66127954869</v>
      </c>
      <c r="D325">
        <v>62363.012710139301</v>
      </c>
      <c r="E325">
        <v>88901.897370488878</v>
      </c>
      <c r="F325">
        <v>42154.746741033843</v>
      </c>
      <c r="G325">
        <v>10000</v>
      </c>
      <c r="H325">
        <v>341475.31810121075</v>
      </c>
      <c r="I325">
        <v>32.016169732430178</v>
      </c>
    </row>
    <row r="326" spans="1:9" x14ac:dyDescent="0.2">
      <c r="A326">
        <v>316</v>
      </c>
      <c r="B326">
        <v>1275829.436663649</v>
      </c>
      <c r="C326">
        <v>127867.79864223127</v>
      </c>
      <c r="D326">
        <v>89345.784830738441</v>
      </c>
      <c r="E326">
        <v>101358.44824557859</v>
      </c>
      <c r="F326">
        <v>43017.12334007852</v>
      </c>
      <c r="G326">
        <v>10000</v>
      </c>
      <c r="H326">
        <v>351589.15505862678</v>
      </c>
      <c r="I326">
        <v>26.119334442778285</v>
      </c>
    </row>
    <row r="327" spans="1:9" x14ac:dyDescent="0.2">
      <c r="A327">
        <v>317</v>
      </c>
      <c r="B327">
        <v>987930.50362331385</v>
      </c>
      <c r="C327">
        <v>99980.372845905018</v>
      </c>
      <c r="D327">
        <v>69595.210084612947</v>
      </c>
      <c r="E327">
        <v>72118.293331585082</v>
      </c>
      <c r="F327">
        <v>40992.804922955889</v>
      </c>
      <c r="G327">
        <v>10000</v>
      </c>
      <c r="H327">
        <v>272686.6811850589</v>
      </c>
      <c r="I327">
        <v>30.462245682263347</v>
      </c>
    </row>
    <row r="328" spans="1:9" x14ac:dyDescent="0.2">
      <c r="A328">
        <v>318</v>
      </c>
      <c r="B328">
        <v>1183381.6069436909</v>
      </c>
      <c r="C328">
        <v>91795.286955823991</v>
      </c>
      <c r="D328">
        <v>143972.09559685006</v>
      </c>
      <c r="E328">
        <v>60309.930863602822</v>
      </c>
      <c r="F328">
        <v>40175.302905941731</v>
      </c>
      <c r="G328">
        <v>10000</v>
      </c>
      <c r="H328">
        <v>326252.61632221862</v>
      </c>
      <c r="I328">
        <v>38.235229686491529</v>
      </c>
    </row>
    <row r="329" spans="1:9" x14ac:dyDescent="0.2">
      <c r="A329">
        <v>319</v>
      </c>
      <c r="B329">
        <v>1499405.604544434</v>
      </c>
      <c r="C329">
        <v>146968.84468152639</v>
      </c>
      <c r="D329">
        <v>108977.17328320745</v>
      </c>
      <c r="E329">
        <v>122440.46688500562</v>
      </c>
      <c r="F329">
        <v>44476.647707423464</v>
      </c>
      <c r="G329">
        <v>10000</v>
      </c>
      <c r="H329">
        <v>412863.13255716296</v>
      </c>
      <c r="I329">
        <v>32.375979266066523</v>
      </c>
    </row>
    <row r="330" spans="1:9" x14ac:dyDescent="0.2">
      <c r="A330">
        <v>320</v>
      </c>
      <c r="B330">
        <v>1567465.5519936602</v>
      </c>
      <c r="C330">
        <v>162009.85804236319</v>
      </c>
      <c r="D330">
        <v>122589.62673806443</v>
      </c>
      <c r="E330">
        <v>113087.25056585003</v>
      </c>
      <c r="F330">
        <v>43829.117346866537</v>
      </c>
      <c r="G330">
        <v>10000</v>
      </c>
      <c r="H330">
        <v>431515.85269314423</v>
      </c>
      <c r="I330">
        <v>27.963512428959973</v>
      </c>
    </row>
    <row r="331" spans="1:9" x14ac:dyDescent="0.2">
      <c r="A331">
        <v>321</v>
      </c>
      <c r="B331">
        <v>1611041.1496606173</v>
      </c>
      <c r="C331">
        <v>101746.67867317187</v>
      </c>
      <c r="D331">
        <v>125129.10016737286</v>
      </c>
      <c r="E331">
        <v>178242.66069341608</v>
      </c>
      <c r="F331">
        <v>48339.876509544192</v>
      </c>
      <c r="G331">
        <v>10000</v>
      </c>
      <c r="H331">
        <v>443458.31604350504</v>
      </c>
      <c r="I331">
        <v>28.467250922869972</v>
      </c>
    </row>
    <row r="332" spans="1:9" x14ac:dyDescent="0.2">
      <c r="A332">
        <v>322</v>
      </c>
      <c r="B332">
        <v>1676384.5983455156</v>
      </c>
      <c r="C332">
        <v>115759.6544969106</v>
      </c>
      <c r="D332">
        <v>165673.93939490328</v>
      </c>
      <c r="E332">
        <v>143966.06854835001</v>
      </c>
      <c r="F332">
        <v>45966.881668731927</v>
      </c>
      <c r="G332">
        <v>10000</v>
      </c>
      <c r="H332">
        <v>461366.54410889582</v>
      </c>
      <c r="I332">
        <v>41.889855918754861</v>
      </c>
    </row>
    <row r="333" spans="1:9" x14ac:dyDescent="0.2">
      <c r="A333">
        <v>323</v>
      </c>
      <c r="B333">
        <v>1314603.3043111931</v>
      </c>
      <c r="C333">
        <v>117481.65657832104</v>
      </c>
      <c r="D333">
        <v>76553.445576138547</v>
      </c>
      <c r="E333">
        <v>132974.60504779953</v>
      </c>
      <c r="F333">
        <v>45205.934195616886</v>
      </c>
      <c r="G333">
        <v>10000</v>
      </c>
      <c r="H333">
        <v>362215.64139787597</v>
      </c>
      <c r="I333">
        <v>29.224082354319002</v>
      </c>
    </row>
    <row r="334" spans="1:9" x14ac:dyDescent="0.2">
      <c r="A334">
        <v>324</v>
      </c>
      <c r="B334">
        <v>1079895.6107912962</v>
      </c>
      <c r="C334">
        <v>97653.212871551354</v>
      </c>
      <c r="D334">
        <v>128125.13238718564</v>
      </c>
      <c r="E334">
        <v>43126.871720320225</v>
      </c>
      <c r="F334">
        <v>38985.706503714478</v>
      </c>
      <c r="G334">
        <v>10000</v>
      </c>
      <c r="H334">
        <v>297890.92348277167</v>
      </c>
      <c r="I334">
        <v>41.056660203130932</v>
      </c>
    </row>
    <row r="335" spans="1:9" x14ac:dyDescent="0.2">
      <c r="A335">
        <v>325</v>
      </c>
      <c r="B335">
        <v>1608607.320243428</v>
      </c>
      <c r="C335">
        <v>116028.05336914852</v>
      </c>
      <c r="D335">
        <v>154336.66518941298</v>
      </c>
      <c r="E335">
        <v>136945.71730015706</v>
      </c>
      <c r="F335">
        <v>45480.857351549334</v>
      </c>
      <c r="G335">
        <v>10000</v>
      </c>
      <c r="H335">
        <v>442791.2932102679</v>
      </c>
      <c r="I335">
        <v>26.274608432956143</v>
      </c>
    </row>
    <row r="336" spans="1:9" x14ac:dyDescent="0.2">
      <c r="A336">
        <v>326</v>
      </c>
      <c r="B336">
        <v>915195.430672755</v>
      </c>
      <c r="C336">
        <v>113869.48943470231</v>
      </c>
      <c r="D336">
        <v>74506.766102045498</v>
      </c>
      <c r="E336">
        <v>35891.621558400606</v>
      </c>
      <c r="F336">
        <v>38484.804569427739</v>
      </c>
      <c r="G336">
        <v>10000</v>
      </c>
      <c r="H336">
        <v>252752.68166457617</v>
      </c>
      <c r="I336">
        <v>39.607946059249869</v>
      </c>
    </row>
    <row r="337" spans="1:9" x14ac:dyDescent="0.2">
      <c r="A337">
        <v>327</v>
      </c>
      <c r="B337">
        <v>1138279.0119491636</v>
      </c>
      <c r="C337">
        <v>106767.64690000984</v>
      </c>
      <c r="D337">
        <v>43621.210185752825</v>
      </c>
      <c r="E337">
        <v>128599.74312636421</v>
      </c>
      <c r="F337">
        <v>44903.059139517522</v>
      </c>
      <c r="G337">
        <v>10000</v>
      </c>
      <c r="H337">
        <v>313891.6593516444</v>
      </c>
      <c r="I337">
        <v>29.23808771823105</v>
      </c>
    </row>
    <row r="338" spans="1:9" x14ac:dyDescent="0.2">
      <c r="A338">
        <v>328</v>
      </c>
      <c r="B338">
        <v>1072004.3142586248</v>
      </c>
      <c r="C338">
        <v>110673.95312235606</v>
      </c>
      <c r="D338">
        <v>73480.540646344103</v>
      </c>
      <c r="E338">
        <v>80032.972293168583</v>
      </c>
      <c r="F338">
        <v>41540.744235680904</v>
      </c>
      <c r="G338">
        <v>10000</v>
      </c>
      <c r="H338">
        <v>295728.21029754967</v>
      </c>
      <c r="I338">
        <v>29.007779009343182</v>
      </c>
    </row>
    <row r="339" spans="1:9" x14ac:dyDescent="0.2">
      <c r="A339">
        <v>329</v>
      </c>
      <c r="B339">
        <v>1088174.6700833316</v>
      </c>
      <c r="C339">
        <v>120963.5050841325</v>
      </c>
      <c r="D339">
        <v>34976.518949159101</v>
      </c>
      <c r="E339">
        <v>110565.35922864992</v>
      </c>
      <c r="F339">
        <v>43654.524869675763</v>
      </c>
      <c r="G339">
        <v>10000</v>
      </c>
      <c r="H339">
        <v>300159.9081316173</v>
      </c>
      <c r="I339">
        <v>32.390252529527245</v>
      </c>
    </row>
    <row r="340" spans="1:9" x14ac:dyDescent="0.2">
      <c r="A340">
        <v>330</v>
      </c>
      <c r="B340">
        <v>1746027.916841438</v>
      </c>
      <c r="C340">
        <v>99372.511646317493</v>
      </c>
      <c r="D340">
        <v>161028.66298722647</v>
      </c>
      <c r="E340">
        <v>181487.51305327183</v>
      </c>
      <c r="F340">
        <v>48564.520134457278</v>
      </c>
      <c r="G340">
        <v>10000</v>
      </c>
      <c r="H340">
        <v>480453.20782127307</v>
      </c>
      <c r="I340">
        <v>42.067296707807458</v>
      </c>
    </row>
    <row r="341" spans="1:9" x14ac:dyDescent="0.2">
      <c r="A341">
        <v>331</v>
      </c>
      <c r="B341">
        <v>1347071.7418122787</v>
      </c>
      <c r="C341">
        <v>136786.61412752129</v>
      </c>
      <c r="D341">
        <v>89353.295807230665</v>
      </c>
      <c r="E341">
        <v>111270.77100448744</v>
      </c>
      <c r="F341">
        <v>43703.361069541439</v>
      </c>
      <c r="G341">
        <v>10000</v>
      </c>
      <c r="H341">
        <v>371114.04200878082</v>
      </c>
      <c r="I341">
        <v>41.483420206062988</v>
      </c>
    </row>
    <row r="342" spans="1:9" x14ac:dyDescent="0.2">
      <c r="A342">
        <v>332</v>
      </c>
      <c r="B342">
        <v>1415675.4263102568</v>
      </c>
      <c r="C342">
        <v>161978.15880813924</v>
      </c>
      <c r="D342">
        <v>59280.94065225825</v>
      </c>
      <c r="E342">
        <v>133419.91743071444</v>
      </c>
      <c r="F342">
        <v>45236.763514434075</v>
      </c>
      <c r="G342">
        <v>10000</v>
      </c>
      <c r="H342">
        <v>389915.78040554607</v>
      </c>
      <c r="I342">
        <v>33.5006696647078</v>
      </c>
    </row>
    <row r="343" spans="1:9" x14ac:dyDescent="0.2">
      <c r="A343">
        <v>333</v>
      </c>
      <c r="B343">
        <v>1187975.1739421284</v>
      </c>
      <c r="C343">
        <v>103948.55414648772</v>
      </c>
      <c r="D343">
        <v>79883.793554307354</v>
      </c>
      <c r="E343">
        <v>110059.67955309477</v>
      </c>
      <c r="F343">
        <v>43619.516276752707</v>
      </c>
      <c r="G343">
        <v>10000</v>
      </c>
      <c r="H343">
        <v>327511.54353064252</v>
      </c>
      <c r="I343">
        <v>34.757009369175435</v>
      </c>
    </row>
    <row r="344" spans="1:9" x14ac:dyDescent="0.2">
      <c r="A344">
        <v>334</v>
      </c>
      <c r="B344">
        <v>1926003.2266815498</v>
      </c>
      <c r="C344">
        <v>163754.30809260227</v>
      </c>
      <c r="D344">
        <v>154786.93155253623</v>
      </c>
      <c r="E344">
        <v>173242.82532690631</v>
      </c>
      <c r="F344">
        <v>47993.734061093521</v>
      </c>
      <c r="G344">
        <v>10000</v>
      </c>
      <c r="H344">
        <v>529777.79903313832</v>
      </c>
      <c r="I344">
        <v>27.718990946525107</v>
      </c>
    </row>
    <row r="345" spans="1:9" x14ac:dyDescent="0.2">
      <c r="A345">
        <v>335</v>
      </c>
      <c r="B345">
        <v>1293131.9115740715</v>
      </c>
      <c r="C345">
        <v>150932.66217276931</v>
      </c>
      <c r="D345">
        <v>67489.581916805109</v>
      </c>
      <c r="E345">
        <v>104662.98210725399</v>
      </c>
      <c r="F345">
        <v>43245.898761271426</v>
      </c>
      <c r="G345">
        <v>10000</v>
      </c>
      <c r="H345">
        <v>356331.12495809986</v>
      </c>
      <c r="I345">
        <v>26.729560299133318</v>
      </c>
    </row>
    <row r="346" spans="1:9" x14ac:dyDescent="0.2">
      <c r="A346">
        <v>336</v>
      </c>
      <c r="B346">
        <v>948353.49867063039</v>
      </c>
      <c r="C346">
        <v>96823.431345467572</v>
      </c>
      <c r="D346">
        <v>75730.912838396092</v>
      </c>
      <c r="E346">
        <v>59188.102497711705</v>
      </c>
      <c r="F346">
        <v>40097.637865226199</v>
      </c>
      <c r="G346">
        <v>10000</v>
      </c>
      <c r="H346">
        <v>261840.08454680158</v>
      </c>
      <c r="I346">
        <v>40.367272126997975</v>
      </c>
    </row>
    <row r="347" spans="1:9" x14ac:dyDescent="0.2">
      <c r="A347">
        <v>337</v>
      </c>
      <c r="B347">
        <v>1276892.9973918903</v>
      </c>
      <c r="C347">
        <v>147575.23221268901</v>
      </c>
      <c r="D347">
        <v>85135.854384591177</v>
      </c>
      <c r="E347">
        <v>87136.990341054581</v>
      </c>
      <c r="F347">
        <v>42032.560869765315</v>
      </c>
      <c r="G347">
        <v>10000</v>
      </c>
      <c r="H347">
        <v>351880.63780810003</v>
      </c>
      <c r="I347">
        <v>32.321502816031128</v>
      </c>
    </row>
    <row r="348" spans="1:9" x14ac:dyDescent="0.2">
      <c r="A348">
        <v>338</v>
      </c>
      <c r="B348">
        <v>1046297.2582963828</v>
      </c>
      <c r="C348">
        <v>129618.48772991577</v>
      </c>
      <c r="D348">
        <v>48267.629308089294</v>
      </c>
      <c r="E348">
        <v>79306.301566419599</v>
      </c>
      <c r="F348">
        <v>41490.43626229059</v>
      </c>
      <c r="G348">
        <v>10000</v>
      </c>
      <c r="H348">
        <v>288682.85486671526</v>
      </c>
      <c r="I348">
        <v>45.541702766836593</v>
      </c>
    </row>
    <row r="349" spans="1:9" x14ac:dyDescent="0.2">
      <c r="A349">
        <v>339</v>
      </c>
      <c r="B349">
        <v>1473933.800063858</v>
      </c>
      <c r="C349">
        <v>123834.75377204701</v>
      </c>
      <c r="D349">
        <v>129082.13065670976</v>
      </c>
      <c r="E349">
        <v>118744.58732523529</v>
      </c>
      <c r="F349">
        <v>44220.779122516287</v>
      </c>
      <c r="G349">
        <v>10000</v>
      </c>
      <c r="H349">
        <v>405882.25087650836</v>
      </c>
      <c r="I349">
        <v>34.410971004916881</v>
      </c>
    </row>
    <row r="350" spans="1:9" x14ac:dyDescent="0.2">
      <c r="A350">
        <v>340</v>
      </c>
      <c r="B350">
        <v>1380768.8749990545</v>
      </c>
      <c r="C350">
        <v>118107.91155051417</v>
      </c>
      <c r="D350">
        <v>173871.37587881737</v>
      </c>
      <c r="E350">
        <v>58331.556790999013</v>
      </c>
      <c r="F350">
        <v>40038.338547069165</v>
      </c>
      <c r="G350">
        <v>10000</v>
      </c>
      <c r="H350">
        <v>380349.18276739976</v>
      </c>
      <c r="I350">
        <v>38.670994913132454</v>
      </c>
    </row>
    <row r="351" spans="1:9" x14ac:dyDescent="0.2">
      <c r="A351">
        <v>341</v>
      </c>
      <c r="B351">
        <v>1093955.4335509487</v>
      </c>
      <c r="C351">
        <v>79021.974669122879</v>
      </c>
      <c r="D351">
        <v>148977.35237675888</v>
      </c>
      <c r="E351">
        <v>44653.480251346526</v>
      </c>
      <c r="F351">
        <v>39091.394786631681</v>
      </c>
      <c r="G351">
        <v>10000</v>
      </c>
      <c r="H351">
        <v>301744.20208386</v>
      </c>
      <c r="I351">
        <v>31.28674098702588</v>
      </c>
    </row>
    <row r="352" spans="1:9" x14ac:dyDescent="0.2">
      <c r="A352">
        <v>342</v>
      </c>
      <c r="B352">
        <v>1612755.4062234669</v>
      </c>
      <c r="C352">
        <v>145347.12288400638</v>
      </c>
      <c r="D352">
        <v>62372.513283440647</v>
      </c>
      <c r="E352">
        <v>196597.87240680819</v>
      </c>
      <c r="F352">
        <v>49610.621935855954</v>
      </c>
      <c r="G352">
        <v>10000</v>
      </c>
      <c r="H352">
        <v>443928.13051011116</v>
      </c>
      <c r="I352">
        <v>40.269734045966771</v>
      </c>
    </row>
    <row r="353" spans="1:9" x14ac:dyDescent="0.2">
      <c r="A353">
        <v>343</v>
      </c>
      <c r="B353">
        <v>1173785.5610303888</v>
      </c>
      <c r="C353">
        <v>84459.75292262694</v>
      </c>
      <c r="D353">
        <v>78219.477495244122</v>
      </c>
      <c r="E353">
        <v>126206.11724204823</v>
      </c>
      <c r="F353">
        <v>44737.346578295648</v>
      </c>
      <c r="G353">
        <v>10000</v>
      </c>
      <c r="H353">
        <v>323622.69423821493</v>
      </c>
      <c r="I353">
        <v>33.370178357791076</v>
      </c>
    </row>
    <row r="354" spans="1:9" x14ac:dyDescent="0.2">
      <c r="A354">
        <v>344</v>
      </c>
      <c r="B354">
        <v>1339805.8704403369</v>
      </c>
      <c r="C354">
        <v>94482.991126752589</v>
      </c>
      <c r="D354">
        <v>46912.97600089242</v>
      </c>
      <c r="E354">
        <v>188665.32226618333</v>
      </c>
      <c r="F354">
        <v>49061.445387658845</v>
      </c>
      <c r="G354">
        <v>10000</v>
      </c>
      <c r="H354">
        <v>369122.7347814872</v>
      </c>
      <c r="I354">
        <v>28.322771503638656</v>
      </c>
    </row>
    <row r="355" spans="1:9" x14ac:dyDescent="0.2">
      <c r="A355">
        <v>345</v>
      </c>
      <c r="B355">
        <v>1239954.495288335</v>
      </c>
      <c r="C355">
        <v>105468.60627997789</v>
      </c>
      <c r="D355">
        <v>91672.603488456953</v>
      </c>
      <c r="E355">
        <v>110935.77839616541</v>
      </c>
      <c r="F355">
        <v>43680.169273580679</v>
      </c>
      <c r="G355">
        <v>10000</v>
      </c>
      <c r="H355">
        <v>341757.15743818088</v>
      </c>
      <c r="I355">
        <v>28.779727684219971</v>
      </c>
    </row>
    <row r="356" spans="1:9" x14ac:dyDescent="0.2">
      <c r="A356">
        <v>346</v>
      </c>
      <c r="B356">
        <v>1272361.9062227081</v>
      </c>
      <c r="C356">
        <v>104700.65535624848</v>
      </c>
      <c r="D356">
        <v>61846.531418451828</v>
      </c>
      <c r="E356">
        <v>147855.49639401759</v>
      </c>
      <c r="F356">
        <v>46236.149750355071</v>
      </c>
      <c r="G356">
        <v>10000</v>
      </c>
      <c r="H356">
        <v>350638.83291907294</v>
      </c>
      <c r="I356">
        <v>39.948724932633418</v>
      </c>
    </row>
    <row r="357" spans="1:9" x14ac:dyDescent="0.2">
      <c r="A357">
        <v>347</v>
      </c>
      <c r="B357">
        <v>850162.18672560225</v>
      </c>
      <c r="C357">
        <v>90845.494976856513</v>
      </c>
      <c r="D357">
        <v>79290.341174722329</v>
      </c>
      <c r="E357">
        <v>36281.815147686968</v>
      </c>
      <c r="F357">
        <v>38511.817971762946</v>
      </c>
      <c r="G357">
        <v>10000</v>
      </c>
      <c r="H357">
        <v>234929.46927102873</v>
      </c>
      <c r="I357">
        <v>42.689697989138836</v>
      </c>
    </row>
    <row r="358" spans="1:9" x14ac:dyDescent="0.2">
      <c r="A358">
        <v>348</v>
      </c>
      <c r="B358">
        <v>1422225.8008755327</v>
      </c>
      <c r="C358">
        <v>124973.03826413886</v>
      </c>
      <c r="D358">
        <v>125837.22784796135</v>
      </c>
      <c r="E358">
        <v>107461.11462077484</v>
      </c>
      <c r="F358">
        <v>43439.615627592102</v>
      </c>
      <c r="G358">
        <v>10000</v>
      </c>
      <c r="H358">
        <v>391710.99636046716</v>
      </c>
      <c r="I358">
        <v>52.063059132471999</v>
      </c>
    </row>
    <row r="359" spans="1:9" x14ac:dyDescent="0.2">
      <c r="A359">
        <v>349</v>
      </c>
      <c r="B359">
        <v>1534162.5202375681</v>
      </c>
      <c r="C359">
        <v>106832.71242294119</v>
      </c>
      <c r="D359">
        <v>88017.989368004448</v>
      </c>
      <c r="E359">
        <v>188488.79456406011</v>
      </c>
      <c r="F359">
        <v>49049.224239050316</v>
      </c>
      <c r="G359">
        <v>10000</v>
      </c>
      <c r="H359">
        <v>422388.72059405607</v>
      </c>
      <c r="I359">
        <v>35.303901178315265</v>
      </c>
    </row>
    <row r="360" spans="1:9" x14ac:dyDescent="0.2">
      <c r="A360">
        <v>350</v>
      </c>
      <c r="B360">
        <v>1111075.4956702064</v>
      </c>
      <c r="C360">
        <v>98197.817286863006</v>
      </c>
      <c r="D360">
        <v>116249.9889365462</v>
      </c>
      <c r="E360">
        <v>61715.744668009611</v>
      </c>
      <c r="F360">
        <v>40272.628477016049</v>
      </c>
      <c r="G360">
        <v>10000</v>
      </c>
      <c r="H360">
        <v>306436.17936843488</v>
      </c>
      <c r="I360">
        <v>35.697854769312578</v>
      </c>
    </row>
    <row r="361" spans="1:9" x14ac:dyDescent="0.2">
      <c r="A361">
        <v>351</v>
      </c>
      <c r="B361">
        <v>1442415.2599579766</v>
      </c>
      <c r="C361">
        <v>92032.832656250801</v>
      </c>
      <c r="D361">
        <v>90723.396534075917</v>
      </c>
      <c r="E361">
        <v>176283.69695629334</v>
      </c>
      <c r="F361">
        <v>48204.255943128002</v>
      </c>
      <c r="G361">
        <v>10000</v>
      </c>
      <c r="H361">
        <v>397244.18208974809</v>
      </c>
      <c r="I361">
        <v>31.28236491048726</v>
      </c>
    </row>
    <row r="362" spans="1:9" x14ac:dyDescent="0.2">
      <c r="A362">
        <v>352</v>
      </c>
      <c r="B362">
        <v>1683521.0135470515</v>
      </c>
      <c r="C362">
        <v>117589.92660881957</v>
      </c>
      <c r="D362">
        <v>124225.42535717491</v>
      </c>
      <c r="E362">
        <v>182848.29228358518</v>
      </c>
      <c r="F362">
        <v>48658.727927325126</v>
      </c>
      <c r="G362">
        <v>10000</v>
      </c>
      <c r="H362">
        <v>463322.37217690476</v>
      </c>
      <c r="I362">
        <v>37.834408228880186</v>
      </c>
    </row>
    <row r="363" spans="1:9" x14ac:dyDescent="0.2">
      <c r="A363">
        <v>353</v>
      </c>
      <c r="B363">
        <v>1416047.2319440336</v>
      </c>
      <c r="C363">
        <v>136784.16753828785</v>
      </c>
      <c r="D363">
        <v>122698.69513998725</v>
      </c>
      <c r="E363">
        <v>97766.374612287953</v>
      </c>
      <c r="F363">
        <v>42768.441319312245</v>
      </c>
      <c r="G363">
        <v>10000</v>
      </c>
      <c r="H363">
        <v>390017.67860987532</v>
      </c>
      <c r="I363">
        <v>39.237172788641381</v>
      </c>
    </row>
    <row r="364" spans="1:9" x14ac:dyDescent="0.2">
      <c r="A364">
        <v>354</v>
      </c>
      <c r="B364">
        <v>973579.28667091415</v>
      </c>
      <c r="C364">
        <v>155007.21927198561</v>
      </c>
      <c r="D364">
        <v>31165.007346853396</v>
      </c>
      <c r="E364">
        <v>52917.777151377624</v>
      </c>
      <c r="F364">
        <v>39663.538418172298</v>
      </c>
      <c r="G364">
        <v>10000</v>
      </c>
      <c r="H364">
        <v>268753.54218838894</v>
      </c>
      <c r="I364">
        <v>34.64700131742115</v>
      </c>
    </row>
    <row r="365" spans="1:9" x14ac:dyDescent="0.2">
      <c r="A365">
        <v>355</v>
      </c>
      <c r="B365">
        <v>1374721.5077674668</v>
      </c>
      <c r="C365">
        <v>99335.002053101474</v>
      </c>
      <c r="D365">
        <v>81229.125949474706</v>
      </c>
      <c r="E365">
        <v>160982.73591824851</v>
      </c>
      <c r="F365">
        <v>47144.958640494129</v>
      </c>
      <c r="G365">
        <v>10000</v>
      </c>
      <c r="H365">
        <v>378691.82256131887</v>
      </c>
      <c r="I365">
        <v>44.794899582683001</v>
      </c>
    </row>
    <row r="366" spans="1:9" x14ac:dyDescent="0.2">
      <c r="A366">
        <v>356</v>
      </c>
      <c r="B366">
        <v>1537086.3344918061</v>
      </c>
      <c r="C366">
        <v>132863.92080189229</v>
      </c>
      <c r="D366">
        <v>144382.99058773933</v>
      </c>
      <c r="E366">
        <v>112177.01758339976</v>
      </c>
      <c r="F366">
        <v>43766.101217312287</v>
      </c>
      <c r="G366">
        <v>10000</v>
      </c>
      <c r="H366">
        <v>423190.03019034368</v>
      </c>
      <c r="I366">
        <v>29.166539351952853</v>
      </c>
    </row>
    <row r="367" spans="1:9" x14ac:dyDescent="0.2">
      <c r="A367">
        <v>357</v>
      </c>
      <c r="B367">
        <v>1469905.2372197392</v>
      </c>
      <c r="C367">
        <v>103895.76807806645</v>
      </c>
      <c r="D367">
        <v>136544.76609366917</v>
      </c>
      <c r="E367">
        <v>129380.52314517753</v>
      </c>
      <c r="F367">
        <v>44957.11314081998</v>
      </c>
      <c r="G367">
        <v>10000</v>
      </c>
      <c r="H367">
        <v>404778.17045773315</v>
      </c>
      <c r="I367">
        <v>25.502710573006027</v>
      </c>
    </row>
    <row r="368" spans="1:9" x14ac:dyDescent="0.2">
      <c r="A368">
        <v>358</v>
      </c>
      <c r="B368">
        <v>1167131.5482640846</v>
      </c>
      <c r="C368">
        <v>140104.28758827568</v>
      </c>
      <c r="D368">
        <v>80757.244535247359</v>
      </c>
      <c r="E368">
        <v>70085.471639675321</v>
      </c>
      <c r="F368">
        <v>40852.071113515987</v>
      </c>
      <c r="G368">
        <v>10000</v>
      </c>
      <c r="H368">
        <v>321799.07487671438</v>
      </c>
      <c r="I368">
        <v>36.503318745866935</v>
      </c>
    </row>
    <row r="369" spans="1:9" x14ac:dyDescent="0.2">
      <c r="A369">
        <v>359</v>
      </c>
      <c r="B369">
        <v>1267829.292386476</v>
      </c>
      <c r="C369">
        <v>94629.796328490076</v>
      </c>
      <c r="D369">
        <v>75045.414427415875</v>
      </c>
      <c r="E369">
        <v>143768.21579674524</v>
      </c>
      <c r="F369">
        <v>45953.1841705439</v>
      </c>
      <c r="G369">
        <v>10000</v>
      </c>
      <c r="H369">
        <v>349396.61072319513</v>
      </c>
      <c r="I369">
        <v>29.145213315088732</v>
      </c>
    </row>
    <row r="370" spans="1:9" x14ac:dyDescent="0.2">
      <c r="A370">
        <v>360</v>
      </c>
      <c r="B370">
        <v>1553349.3583265115</v>
      </c>
      <c r="C370">
        <v>116464.1045692909</v>
      </c>
      <c r="D370">
        <v>122494.54358496274</v>
      </c>
      <c r="E370">
        <v>152154.69048765377</v>
      </c>
      <c r="F370">
        <v>46533.786264529881</v>
      </c>
      <c r="G370">
        <v>10000</v>
      </c>
      <c r="H370">
        <v>427647.1249064373</v>
      </c>
      <c r="I370">
        <v>47.587294047046747</v>
      </c>
    </row>
    <row r="371" spans="1:9" x14ac:dyDescent="0.2">
      <c r="A371">
        <v>361</v>
      </c>
      <c r="B371">
        <v>1103713.2713988833</v>
      </c>
      <c r="C371">
        <v>116013.06250041741</v>
      </c>
      <c r="D371">
        <v>70697.769233748317</v>
      </c>
      <c r="E371">
        <v>85769.729296811682</v>
      </c>
      <c r="F371">
        <v>41937.904335933112</v>
      </c>
      <c r="G371">
        <v>10000</v>
      </c>
      <c r="H371">
        <v>304418.4653669105</v>
      </c>
      <c r="I371">
        <v>43.298955684817606</v>
      </c>
    </row>
    <row r="372" spans="1:9" x14ac:dyDescent="0.2">
      <c r="A372">
        <v>362</v>
      </c>
      <c r="B372">
        <v>1162926.0826878329</v>
      </c>
      <c r="C372">
        <v>99789.436774392321</v>
      </c>
      <c r="D372">
        <v>98363.105238816715</v>
      </c>
      <c r="E372">
        <v>90246.158930786827</v>
      </c>
      <c r="F372">
        <v>42247.811002900627</v>
      </c>
      <c r="G372">
        <v>10000</v>
      </c>
      <c r="H372">
        <v>320646.5119468965</v>
      </c>
      <c r="I372">
        <v>37.316577734672109</v>
      </c>
    </row>
    <row r="373" spans="1:9" x14ac:dyDescent="0.2">
      <c r="A373">
        <v>363</v>
      </c>
      <c r="B373">
        <v>1128989.2779006884</v>
      </c>
      <c r="C373">
        <v>93122.769517849854</v>
      </c>
      <c r="D373">
        <v>60357.167461211902</v>
      </c>
      <c r="E373">
        <v>123327.67898409108</v>
      </c>
      <c r="F373">
        <v>44538.070083513994</v>
      </c>
      <c r="G373">
        <v>10000</v>
      </c>
      <c r="H373">
        <v>311345.68604666681</v>
      </c>
      <c r="I373">
        <v>42.000840737830373</v>
      </c>
    </row>
    <row r="374" spans="1:9" x14ac:dyDescent="0.2">
      <c r="A374">
        <v>364</v>
      </c>
      <c r="B374">
        <v>1075821.5854945804</v>
      </c>
      <c r="C374">
        <v>162665.03513844375</v>
      </c>
      <c r="D374">
        <v>40145.879975363481</v>
      </c>
      <c r="E374">
        <v>63562.956029055771</v>
      </c>
      <c r="F374">
        <v>40400.512340473098</v>
      </c>
      <c r="G374">
        <v>10000</v>
      </c>
      <c r="H374">
        <v>296774.38348333607</v>
      </c>
      <c r="I374">
        <v>25.894816963268092</v>
      </c>
    </row>
    <row r="375" spans="1:9" x14ac:dyDescent="0.2">
      <c r="A375">
        <v>365</v>
      </c>
      <c r="B375">
        <v>1115536.7755621816</v>
      </c>
      <c r="C375">
        <v>115602.82887508208</v>
      </c>
      <c r="D375">
        <v>60825.657040621598</v>
      </c>
      <c r="E375">
        <v>98416.8887343807</v>
      </c>
      <c r="F375">
        <v>42813.476912380203</v>
      </c>
      <c r="G375">
        <v>10000</v>
      </c>
      <c r="H375">
        <v>307658.85156246455</v>
      </c>
      <c r="I375">
        <v>48.690281735988727</v>
      </c>
    </row>
    <row r="376" spans="1:9" x14ac:dyDescent="0.2">
      <c r="A376">
        <v>366</v>
      </c>
      <c r="B376">
        <v>1529111.6155256799</v>
      </c>
      <c r="C376">
        <v>134549.20649462289</v>
      </c>
      <c r="D376">
        <v>140936.5978012729</v>
      </c>
      <c r="E376">
        <v>111780.03209218055</v>
      </c>
      <c r="F376">
        <v>43738.617606381733</v>
      </c>
      <c r="G376">
        <v>10000</v>
      </c>
      <c r="H376">
        <v>421004.45399445808</v>
      </c>
      <c r="I376">
        <v>35.754483592015106</v>
      </c>
    </row>
    <row r="377" spans="1:9" x14ac:dyDescent="0.2">
      <c r="A377">
        <v>367</v>
      </c>
      <c r="B377">
        <v>1324518.0978953631</v>
      </c>
      <c r="C377">
        <v>92729.555300864755</v>
      </c>
      <c r="D377">
        <v>121684.42091471681</v>
      </c>
      <c r="E377">
        <v>116456.56655620936</v>
      </c>
      <c r="F377">
        <v>44062.377684660642</v>
      </c>
      <c r="G377">
        <v>10000</v>
      </c>
      <c r="H377">
        <v>364932.9204564516</v>
      </c>
      <c r="I377">
        <v>34.825055106550487</v>
      </c>
    </row>
    <row r="378" spans="1:9" x14ac:dyDescent="0.2">
      <c r="A378">
        <v>368</v>
      </c>
      <c r="B378">
        <v>1725621.1750158714</v>
      </c>
      <c r="C378">
        <v>138907.89502040402</v>
      </c>
      <c r="D378">
        <v>162243.60330567491</v>
      </c>
      <c r="E378">
        <v>138145.08414322432</v>
      </c>
      <c r="F378">
        <v>45563.890440684758</v>
      </c>
      <c r="G378">
        <v>10000</v>
      </c>
      <c r="H378">
        <v>474860.47290998802</v>
      </c>
      <c r="I378">
        <v>31.364714118919839</v>
      </c>
    </row>
    <row r="379" spans="1:9" x14ac:dyDescent="0.2">
      <c r="A379">
        <v>369</v>
      </c>
      <c r="B379">
        <v>1217054.7832668701</v>
      </c>
      <c r="C379">
        <v>151414.40871476484</v>
      </c>
      <c r="D379">
        <v>91922.669076499413</v>
      </c>
      <c r="E379">
        <v>61861.401206095339</v>
      </c>
      <c r="F379">
        <v>40282.712391191213</v>
      </c>
      <c r="G379">
        <v>10000</v>
      </c>
      <c r="H379">
        <v>335481.1913885508</v>
      </c>
      <c r="I379">
        <v>33.515860325200542</v>
      </c>
    </row>
    <row r="380" spans="1:9" x14ac:dyDescent="0.2">
      <c r="A380">
        <v>370</v>
      </c>
      <c r="B380">
        <v>1422198.7241975348</v>
      </c>
      <c r="C380">
        <v>92097.47217029077</v>
      </c>
      <c r="D380">
        <v>80130.171384802117</v>
      </c>
      <c r="E380">
        <v>180948.71346273995</v>
      </c>
      <c r="F380">
        <v>48527.218624343535</v>
      </c>
      <c r="G380">
        <v>10000</v>
      </c>
      <c r="H380">
        <v>391703.57564217632</v>
      </c>
      <c r="I380">
        <v>43.1707737545157</v>
      </c>
    </row>
    <row r="381" spans="1:9" x14ac:dyDescent="0.2">
      <c r="A381">
        <v>371</v>
      </c>
      <c r="B381">
        <v>938786.73884579423</v>
      </c>
      <c r="C381">
        <v>92197.633493816174</v>
      </c>
      <c r="D381">
        <v>42206.101548195853</v>
      </c>
      <c r="E381">
        <v>92416.39550650664</v>
      </c>
      <c r="F381">
        <v>42398.058150450459</v>
      </c>
      <c r="G381">
        <v>10000</v>
      </c>
      <c r="H381">
        <v>259218.18869896914</v>
      </c>
      <c r="I381">
        <v>35.130644609032871</v>
      </c>
    </row>
    <row r="382" spans="1:9" x14ac:dyDescent="0.2">
      <c r="A382">
        <v>372</v>
      </c>
      <c r="B382">
        <v>1226957.8708592111</v>
      </c>
      <c r="C382">
        <v>104333.18819161253</v>
      </c>
      <c r="D382">
        <v>72049.390603972075</v>
      </c>
      <c r="E382">
        <v>127019.05648380081</v>
      </c>
      <c r="F382">
        <v>44793.62698734006</v>
      </c>
      <c r="G382">
        <v>10000</v>
      </c>
      <c r="H382">
        <v>338195.26226672548</v>
      </c>
      <c r="I382">
        <v>45.141938819669321</v>
      </c>
    </row>
    <row r="383" spans="1:9" x14ac:dyDescent="0.2">
      <c r="A383">
        <v>373</v>
      </c>
      <c r="B383">
        <v>1281577.6050783456</v>
      </c>
      <c r="C383">
        <v>86804.807527323603</v>
      </c>
      <c r="D383">
        <v>28298.841785160097</v>
      </c>
      <c r="E383">
        <v>198330.30688943074</v>
      </c>
      <c r="F383">
        <v>49730.559707729815</v>
      </c>
      <c r="G383">
        <v>10000</v>
      </c>
      <c r="H383">
        <v>353164.51590964431</v>
      </c>
      <c r="I383">
        <v>46.102010696117304</v>
      </c>
    </row>
    <row r="384" spans="1:9" x14ac:dyDescent="0.2">
      <c r="A384">
        <v>374</v>
      </c>
      <c r="B384">
        <v>1255403.9905175231</v>
      </c>
      <c r="C384">
        <v>104210.30968646391</v>
      </c>
      <c r="D384">
        <v>63928.776641118231</v>
      </c>
      <c r="E384">
        <v>142020.05032547194</v>
      </c>
      <c r="F384">
        <v>45832.157330224974</v>
      </c>
      <c r="G384">
        <v>10000</v>
      </c>
      <c r="H384">
        <v>345991.29398327903</v>
      </c>
      <c r="I384">
        <v>31.846356949364743</v>
      </c>
    </row>
    <row r="385" spans="1:9" x14ac:dyDescent="0.2">
      <c r="A385">
        <v>375</v>
      </c>
      <c r="B385">
        <v>1230431.1979613984</v>
      </c>
      <c r="C385">
        <v>117286.55485424677</v>
      </c>
      <c r="D385">
        <v>103505.31281791667</v>
      </c>
      <c r="E385">
        <v>86375.465468044174</v>
      </c>
      <c r="F385">
        <v>41979.839917018442</v>
      </c>
      <c r="G385">
        <v>10000</v>
      </c>
      <c r="H385">
        <v>339147.17305722606</v>
      </c>
      <c r="I385">
        <v>40.540870206419314</v>
      </c>
    </row>
    <row r="386" spans="1:9" x14ac:dyDescent="0.2">
      <c r="A386">
        <v>376</v>
      </c>
      <c r="B386">
        <v>1271560.8696994064</v>
      </c>
      <c r="C386">
        <v>75182.097655818696</v>
      </c>
      <c r="D386">
        <v>68368.159801992457</v>
      </c>
      <c r="E386">
        <v>169158.09581420547</v>
      </c>
      <c r="F386">
        <v>47710.945094829614</v>
      </c>
      <c r="G386">
        <v>10000</v>
      </c>
      <c r="H386">
        <v>350419.29836684623</v>
      </c>
      <c r="I386">
        <v>33.561100392355939</v>
      </c>
    </row>
    <row r="387" spans="1:9" x14ac:dyDescent="0.2">
      <c r="A387">
        <v>377</v>
      </c>
      <c r="B387">
        <v>1156807.3060619768</v>
      </c>
      <c r="C387">
        <v>109798.40928623086</v>
      </c>
      <c r="D387">
        <v>154829.60279765498</v>
      </c>
      <c r="E387">
        <v>26506.503359800532</v>
      </c>
      <c r="F387">
        <v>37835.065617216962</v>
      </c>
      <c r="G387">
        <v>10000</v>
      </c>
      <c r="H387">
        <v>318969.58106090338</v>
      </c>
      <c r="I387">
        <v>32.645384101762907</v>
      </c>
    </row>
    <row r="388" spans="1:9" x14ac:dyDescent="0.2">
      <c r="A388">
        <v>378</v>
      </c>
      <c r="B388">
        <v>841271.59234898235</v>
      </c>
      <c r="C388">
        <v>130446.59300317451</v>
      </c>
      <c r="D388">
        <v>41902.989284842661</v>
      </c>
      <c r="E388">
        <v>31932.585664476268</v>
      </c>
      <c r="F388">
        <v>38210.717469079129</v>
      </c>
      <c r="G388">
        <v>10000</v>
      </c>
      <c r="H388">
        <v>232492.88542157257</v>
      </c>
      <c r="I388">
        <v>35.213249677087774</v>
      </c>
    </row>
    <row r="389" spans="1:9" x14ac:dyDescent="0.2">
      <c r="A389">
        <v>379</v>
      </c>
      <c r="B389">
        <v>1287436.4399244201</v>
      </c>
      <c r="C389">
        <v>78243.896546061325</v>
      </c>
      <c r="D389">
        <v>71979.062517590675</v>
      </c>
      <c r="E389">
        <v>166986.63414880287</v>
      </c>
      <c r="F389">
        <v>47560.613133378662</v>
      </c>
      <c r="G389">
        <v>10000</v>
      </c>
      <c r="H389">
        <v>354770.20634583355</v>
      </c>
      <c r="I389">
        <v>55.157264393796062</v>
      </c>
    </row>
    <row r="390" spans="1:9" x14ac:dyDescent="0.2">
      <c r="A390">
        <v>380</v>
      </c>
      <c r="B390">
        <v>1076655.5025266081</v>
      </c>
      <c r="C390">
        <v>121889.25949588585</v>
      </c>
      <c r="D390">
        <v>73991.284726372847</v>
      </c>
      <c r="E390">
        <v>70258.34582133939</v>
      </c>
      <c r="F390">
        <v>40864.03932609273</v>
      </c>
      <c r="G390">
        <v>10000</v>
      </c>
      <c r="H390">
        <v>297002.92936969083</v>
      </c>
      <c r="I390">
        <v>47.606971370893753</v>
      </c>
    </row>
    <row r="391" spans="1:9" x14ac:dyDescent="0.2">
      <c r="A391">
        <v>381</v>
      </c>
      <c r="B391">
        <v>1732100.4132181602</v>
      </c>
      <c r="C391">
        <v>125658.127596723</v>
      </c>
      <c r="D391">
        <v>104033.47928449615</v>
      </c>
      <c r="E391">
        <v>206638.82156190652</v>
      </c>
      <c r="F391">
        <v>50305.764569670449</v>
      </c>
      <c r="G391">
        <v>10000</v>
      </c>
      <c r="H391">
        <v>476636.19301279611</v>
      </c>
      <c r="I391">
        <v>29.371056069046908</v>
      </c>
    </row>
    <row r="392" spans="1:9" x14ac:dyDescent="0.2">
      <c r="A392">
        <v>382</v>
      </c>
      <c r="B392">
        <v>1104939.4379437834</v>
      </c>
      <c r="C392">
        <v>107339.25503601329</v>
      </c>
      <c r="D392">
        <v>127115.94151890019</v>
      </c>
      <c r="E392">
        <v>41431.014791519316</v>
      </c>
      <c r="F392">
        <v>38868.30102402826</v>
      </c>
      <c r="G392">
        <v>10000</v>
      </c>
      <c r="H392">
        <v>304754.51237046107</v>
      </c>
      <c r="I392">
        <v>25.208358333237268</v>
      </c>
    </row>
    <row r="393" spans="1:9" x14ac:dyDescent="0.2">
      <c r="A393">
        <v>383</v>
      </c>
      <c r="B393">
        <v>1160083.5222337255</v>
      </c>
      <c r="C393">
        <v>114910.54069590199</v>
      </c>
      <c r="D393">
        <v>34421.165271517893</v>
      </c>
      <c r="E393">
        <v>135177.33422081108</v>
      </c>
      <c r="F393">
        <v>45358.430830671532</v>
      </c>
      <c r="G393">
        <v>10000</v>
      </c>
      <c r="H393">
        <v>319867.47101890249</v>
      </c>
      <c r="I393">
        <v>44.205207387132255</v>
      </c>
    </row>
    <row r="394" spans="1:9" x14ac:dyDescent="0.2">
      <c r="A394">
        <v>384</v>
      </c>
      <c r="B394">
        <v>1280027.1798887125</v>
      </c>
      <c r="C394">
        <v>153019.23334466352</v>
      </c>
      <c r="D394">
        <v>145303.92957537106</v>
      </c>
      <c r="E394">
        <v>26576.525362577184</v>
      </c>
      <c r="F394">
        <v>37839.913294332269</v>
      </c>
      <c r="G394">
        <v>10000</v>
      </c>
      <c r="H394">
        <v>352739.60157694406</v>
      </c>
      <c r="I394">
        <v>35.88799562728299</v>
      </c>
    </row>
    <row r="395" spans="1:9" x14ac:dyDescent="0.2">
      <c r="A395">
        <v>385</v>
      </c>
      <c r="B395">
        <v>1523569.8434055638</v>
      </c>
      <c r="C395">
        <v>77395.089532692713</v>
      </c>
      <c r="D395">
        <v>132661.92478326618</v>
      </c>
      <c r="E395">
        <v>171551.96961608296</v>
      </c>
      <c r="F395">
        <v>47876.674819574975</v>
      </c>
      <c r="G395">
        <v>10000</v>
      </c>
      <c r="H395">
        <v>419485.65875161684</v>
      </c>
      <c r="I395">
        <v>35.536008244824444</v>
      </c>
    </row>
    <row r="396" spans="1:9" x14ac:dyDescent="0.2">
      <c r="A396">
        <v>386</v>
      </c>
      <c r="B396">
        <v>1363936.4884758831</v>
      </c>
      <c r="C396">
        <v>132599.35441491971</v>
      </c>
      <c r="D396">
        <v>99184.894467380203</v>
      </c>
      <c r="E396">
        <v>110314.6310976799</v>
      </c>
      <c r="F396">
        <v>43637.166768300922</v>
      </c>
      <c r="G396">
        <v>10000</v>
      </c>
      <c r="H396">
        <v>375736.04674828076</v>
      </c>
      <c r="I396">
        <v>34.502623484810307</v>
      </c>
    </row>
    <row r="397" spans="1:9" x14ac:dyDescent="0.2">
      <c r="A397">
        <v>387</v>
      </c>
      <c r="B397">
        <v>1297771.2075103875</v>
      </c>
      <c r="C397">
        <v>77396.466553280363</v>
      </c>
      <c r="D397">
        <v>57392.285878078801</v>
      </c>
      <c r="E397">
        <v>184070.49068668293</v>
      </c>
      <c r="F397">
        <v>48743.341662924206</v>
      </c>
      <c r="G397">
        <v>10000</v>
      </c>
      <c r="H397">
        <v>357602.58478096634</v>
      </c>
      <c r="I397">
        <v>25.969074674922815</v>
      </c>
    </row>
    <row r="398" spans="1:9" x14ac:dyDescent="0.2">
      <c r="A398">
        <v>388</v>
      </c>
      <c r="B398">
        <v>1635145.5051553999</v>
      </c>
      <c r="C398">
        <v>130021.31274004417</v>
      </c>
      <c r="D398">
        <v>87642.559971417126</v>
      </c>
      <c r="E398">
        <v>193036.49281811237</v>
      </c>
      <c r="F398">
        <v>49364.064887407781</v>
      </c>
      <c r="G398">
        <v>10000</v>
      </c>
      <c r="H398">
        <v>450064.4304169814</v>
      </c>
      <c r="I398">
        <v>37.613373795799049</v>
      </c>
    </row>
    <row r="399" spans="1:9" x14ac:dyDescent="0.2">
      <c r="A399">
        <v>389</v>
      </c>
      <c r="B399">
        <v>1258986.2174265145</v>
      </c>
      <c r="C399">
        <v>118896.46726957036</v>
      </c>
      <c r="D399">
        <v>75245.970653482553</v>
      </c>
      <c r="E399">
        <v>118618.55823746756</v>
      </c>
      <c r="F399">
        <v>44212.054031824679</v>
      </c>
      <c r="G399">
        <v>10000</v>
      </c>
      <c r="H399">
        <v>346973.05019234517</v>
      </c>
      <c r="I399">
        <v>54.248059717123922</v>
      </c>
    </row>
    <row r="400" spans="1:9" x14ac:dyDescent="0.2">
      <c r="A400">
        <v>390</v>
      </c>
      <c r="B400">
        <v>1135076.5085956161</v>
      </c>
      <c r="C400">
        <v>126881.73621038831</v>
      </c>
      <c r="D400">
        <v>89990.623413365145</v>
      </c>
      <c r="E400">
        <v>65600.06852755243</v>
      </c>
      <c r="F400">
        <v>40541.543205753631</v>
      </c>
      <c r="G400">
        <v>10000</v>
      </c>
      <c r="H400">
        <v>313013.97135705949</v>
      </c>
      <c r="I400">
        <v>25.497105169625343</v>
      </c>
    </row>
    <row r="401" spans="1:9" x14ac:dyDescent="0.2">
      <c r="A401">
        <v>391</v>
      </c>
      <c r="B401">
        <v>1232983.4242141887</v>
      </c>
      <c r="C401">
        <v>127286.07924103811</v>
      </c>
      <c r="D401">
        <v>128106.29673625044</v>
      </c>
      <c r="E401">
        <v>54669.459389893855</v>
      </c>
      <c r="F401">
        <v>39784.808726992647</v>
      </c>
      <c r="G401">
        <v>10000</v>
      </c>
      <c r="H401">
        <v>339846.64409417502</v>
      </c>
      <c r="I401">
        <v>30.547384297579612</v>
      </c>
    </row>
    <row r="402" spans="1:9" x14ac:dyDescent="0.2">
      <c r="A402">
        <v>392</v>
      </c>
      <c r="B402">
        <v>1707863.503664522</v>
      </c>
      <c r="C402">
        <v>147879.10950631095</v>
      </c>
      <c r="D402">
        <v>140163.44073219245</v>
      </c>
      <c r="E402">
        <v>145853.64049784775</v>
      </c>
      <c r="F402">
        <v>46097.559726774074</v>
      </c>
      <c r="G402">
        <v>10000</v>
      </c>
      <c r="H402">
        <v>469993.75046312518</v>
      </c>
      <c r="I402">
        <v>36.339359662199861</v>
      </c>
    </row>
    <row r="403" spans="1:9" x14ac:dyDescent="0.2">
      <c r="A403">
        <v>393</v>
      </c>
      <c r="B403">
        <v>1616187.7308165219</v>
      </c>
      <c r="C403">
        <v>132632.09470235519</v>
      </c>
      <c r="D403">
        <v>91042.348335996779</v>
      </c>
      <c r="E403">
        <v>182555.87718258012</v>
      </c>
      <c r="F403">
        <v>48638.483804947849</v>
      </c>
      <c r="G403">
        <v>10000</v>
      </c>
      <c r="H403">
        <v>444868.80402587994</v>
      </c>
      <c r="I403">
        <v>32.448634619912546</v>
      </c>
    </row>
    <row r="404" spans="1:9" x14ac:dyDescent="0.2">
      <c r="A404">
        <v>394</v>
      </c>
      <c r="B404">
        <v>1362684.4670482944</v>
      </c>
      <c r="C404">
        <v>161630.93906029378</v>
      </c>
      <c r="D404">
        <v>78583.352221860303</v>
      </c>
      <c r="E404">
        <v>102109.50314480768</v>
      </c>
      <c r="F404">
        <v>43069.119448486679</v>
      </c>
      <c r="G404">
        <v>10000</v>
      </c>
      <c r="H404">
        <v>375392.91387544846</v>
      </c>
      <c r="I404">
        <v>30.16031717380281</v>
      </c>
    </row>
    <row r="405" spans="1:9" x14ac:dyDescent="0.2">
      <c r="A405">
        <v>395</v>
      </c>
      <c r="B405">
        <v>1554263.46682299</v>
      </c>
      <c r="C405">
        <v>99003.651401487688</v>
      </c>
      <c r="D405">
        <v>122473.33125573059</v>
      </c>
      <c r="E405">
        <v>168738.75205317687</v>
      </c>
      <c r="F405">
        <v>47681.913603681474</v>
      </c>
      <c r="G405">
        <v>10000</v>
      </c>
      <c r="H405">
        <v>427897.64831407665</v>
      </c>
      <c r="I405">
        <v>40.93020245523067</v>
      </c>
    </row>
    <row r="406" spans="1:9" x14ac:dyDescent="0.2">
      <c r="A406">
        <v>396</v>
      </c>
      <c r="B406">
        <v>1294753.2417834597</v>
      </c>
      <c r="C406">
        <v>146744.85562840305</v>
      </c>
      <c r="D406">
        <v>57548.507897202115</v>
      </c>
      <c r="E406">
        <v>118292.61919357131</v>
      </c>
      <c r="F406">
        <v>44189.489021093395</v>
      </c>
      <c r="G406">
        <v>10000</v>
      </c>
      <c r="H406">
        <v>356775.47174026992</v>
      </c>
      <c r="I406">
        <v>31.345600063772185</v>
      </c>
    </row>
    <row r="407" spans="1:9" x14ac:dyDescent="0.2">
      <c r="A407">
        <v>397</v>
      </c>
      <c r="B407">
        <v>1163248.4707379825</v>
      </c>
      <c r="C407">
        <v>130433.96473034391</v>
      </c>
      <c r="D407">
        <v>124000.4382311839</v>
      </c>
      <c r="E407">
        <v>37691.081114849003</v>
      </c>
      <c r="F407">
        <v>38609.382538720318</v>
      </c>
      <c r="G407">
        <v>10000</v>
      </c>
      <c r="H407">
        <v>320734.86661509715</v>
      </c>
      <c r="I407">
        <v>27.488027022230678</v>
      </c>
    </row>
    <row r="408" spans="1:9" x14ac:dyDescent="0.2">
      <c r="A408">
        <v>398</v>
      </c>
      <c r="B408">
        <v>1992484.364825272</v>
      </c>
      <c r="C408">
        <v>171918.55865702548</v>
      </c>
      <c r="D408">
        <v>138012.65317177968</v>
      </c>
      <c r="E408">
        <v>198335.68212913821</v>
      </c>
      <c r="F408">
        <v>49730.93183970957</v>
      </c>
      <c r="G408">
        <v>10000</v>
      </c>
      <c r="H408">
        <v>547997.82579765294</v>
      </c>
      <c r="I408">
        <v>44.156272792557893</v>
      </c>
    </row>
    <row r="409" spans="1:9" x14ac:dyDescent="0.2">
      <c r="A409">
        <v>399</v>
      </c>
      <c r="B409">
        <v>1607713.5380686698</v>
      </c>
      <c r="C409">
        <v>132153.64529564322</v>
      </c>
      <c r="D409">
        <v>92428.190641213179</v>
      </c>
      <c r="E409">
        <v>179535.14815010809</v>
      </c>
      <c r="F409">
        <v>48429.356410392094</v>
      </c>
      <c r="G409">
        <v>10000</v>
      </c>
      <c r="H409">
        <v>442546.34049735661</v>
      </c>
      <c r="I409">
        <v>44.476432218161605</v>
      </c>
    </row>
    <row r="410" spans="1:9" x14ac:dyDescent="0.2">
      <c r="A410">
        <v>400</v>
      </c>
      <c r="B410">
        <v>2092812.3590494581</v>
      </c>
      <c r="C410">
        <v>165786.44239028674</v>
      </c>
      <c r="D410">
        <v>165480.15114730247</v>
      </c>
      <c r="E410">
        <v>204097.59949246081</v>
      </c>
      <c r="F410">
        <v>50129.833811016513</v>
      </c>
      <c r="G410">
        <v>10000</v>
      </c>
      <c r="H410">
        <v>575494.02684106654</v>
      </c>
      <c r="I410">
        <v>34.150071566145698</v>
      </c>
    </row>
    <row r="411" spans="1:9" x14ac:dyDescent="0.2">
      <c r="A411">
        <v>401</v>
      </c>
      <c r="B411">
        <v>1363745.7001284447</v>
      </c>
      <c r="C411">
        <v>101011.74959409283</v>
      </c>
      <c r="D411">
        <v>65593.792454675262</v>
      </c>
      <c r="E411">
        <v>171224.23140274451</v>
      </c>
      <c r="F411">
        <v>47853.985250959238</v>
      </c>
      <c r="G411">
        <v>10000</v>
      </c>
      <c r="H411">
        <v>375683.75870247179</v>
      </c>
      <c r="I411">
        <v>37.213793940757469</v>
      </c>
    </row>
    <row r="412" spans="1:9" x14ac:dyDescent="0.2">
      <c r="A412">
        <v>402</v>
      </c>
      <c r="B412">
        <v>1075707.9503087278</v>
      </c>
      <c r="C412">
        <v>72414.862641184474</v>
      </c>
      <c r="D412">
        <v>126037.87389667587</v>
      </c>
      <c r="E412">
        <v>67609.82363635044</v>
      </c>
      <c r="F412">
        <v>40680.680097901182</v>
      </c>
      <c r="G412">
        <v>10000</v>
      </c>
      <c r="H412">
        <v>296743.24027211202</v>
      </c>
      <c r="I412">
        <v>39.437188519196823</v>
      </c>
    </row>
    <row r="413" spans="1:9" x14ac:dyDescent="0.2">
      <c r="A413">
        <v>403</v>
      </c>
      <c r="B413">
        <v>1042436.5163832023</v>
      </c>
      <c r="C413">
        <v>142873.49706827593</v>
      </c>
      <c r="D413">
        <v>47406.694921490991</v>
      </c>
      <c r="E413">
        <v>66725.143005340316</v>
      </c>
      <c r="F413">
        <v>40619.432977292789</v>
      </c>
      <c r="G413">
        <v>10000</v>
      </c>
      <c r="H413">
        <v>287624.76797240006</v>
      </c>
      <c r="I413">
        <v>44.034774576488488</v>
      </c>
    </row>
    <row r="414" spans="1:9" x14ac:dyDescent="0.2">
      <c r="A414">
        <v>404</v>
      </c>
      <c r="B414">
        <v>1554509.7758692703</v>
      </c>
      <c r="C414">
        <v>162080.06265887883</v>
      </c>
      <c r="D414">
        <v>89241.731268567222</v>
      </c>
      <c r="E414">
        <v>140889.47207871295</v>
      </c>
      <c r="F414">
        <v>45753.88652852628</v>
      </c>
      <c r="G414">
        <v>10000</v>
      </c>
      <c r="H414">
        <v>427965.15253468527</v>
      </c>
      <c r="I414">
        <v>32.324305817106918</v>
      </c>
    </row>
    <row r="415" spans="1:9" x14ac:dyDescent="0.2">
      <c r="A415">
        <v>405</v>
      </c>
      <c r="B415">
        <v>1124628.4810947166</v>
      </c>
      <c r="C415">
        <v>93155.006486575716</v>
      </c>
      <c r="D415">
        <v>70286.925880606272</v>
      </c>
      <c r="E415">
        <v>112892.95413587186</v>
      </c>
      <c r="F415">
        <v>43815.666055560359</v>
      </c>
      <c r="G415">
        <v>10000</v>
      </c>
      <c r="H415">
        <v>310150.55255861417</v>
      </c>
      <c r="I415">
        <v>30.566647625478076</v>
      </c>
    </row>
    <row r="416" spans="1:9" x14ac:dyDescent="0.2">
      <c r="A416">
        <v>406</v>
      </c>
      <c r="B416">
        <v>1292534.2060986361</v>
      </c>
      <c r="C416">
        <v>139875.79490721424</v>
      </c>
      <c r="D416">
        <v>88042.895647408863</v>
      </c>
      <c r="E416">
        <v>95628.210794917439</v>
      </c>
      <c r="F416">
        <v>42620.414593494286</v>
      </c>
      <c r="G416">
        <v>10000</v>
      </c>
      <c r="H416">
        <v>356167.31594303477</v>
      </c>
      <c r="I416">
        <v>31.156130444567466</v>
      </c>
    </row>
    <row r="417" spans="1:9" x14ac:dyDescent="0.2">
      <c r="A417">
        <v>407</v>
      </c>
      <c r="B417">
        <v>1399080.8680568626</v>
      </c>
      <c r="C417">
        <v>83175.078877248321</v>
      </c>
      <c r="D417">
        <v>61780.419278508787</v>
      </c>
      <c r="E417">
        <v>200529.51369669157</v>
      </c>
      <c r="F417">
        <v>49882.812486694027</v>
      </c>
      <c r="G417">
        <v>10000</v>
      </c>
      <c r="H417">
        <v>385367.82433914271</v>
      </c>
      <c r="I417">
        <v>34.030948021340386</v>
      </c>
    </row>
    <row r="418" spans="1:9" x14ac:dyDescent="0.2">
      <c r="A418">
        <v>408</v>
      </c>
      <c r="B418">
        <v>1355873.0258238222</v>
      </c>
      <c r="C418">
        <v>113799.00885764106</v>
      </c>
      <c r="D418">
        <v>52133.425600454422</v>
      </c>
      <c r="E418">
        <v>169835.84830366622</v>
      </c>
      <c r="F418">
        <v>47757.866421023042</v>
      </c>
      <c r="G418">
        <v>10000</v>
      </c>
      <c r="H418">
        <v>373526.14918278472</v>
      </c>
      <c r="I418">
        <v>38.882422426339609</v>
      </c>
    </row>
    <row r="419" spans="1:9" x14ac:dyDescent="0.2">
      <c r="A419">
        <v>409</v>
      </c>
      <c r="B419">
        <v>1098617.9342207382</v>
      </c>
      <c r="C419">
        <v>102512.75840156249</v>
      </c>
      <c r="D419">
        <v>83903.424944117694</v>
      </c>
      <c r="E419">
        <v>84739.273063947185</v>
      </c>
      <c r="F419">
        <v>41866.565058273263</v>
      </c>
      <c r="G419">
        <v>10000</v>
      </c>
      <c r="H419">
        <v>303022.0214679006</v>
      </c>
      <c r="I419">
        <v>24.319315760566976</v>
      </c>
    </row>
    <row r="420" spans="1:9" x14ac:dyDescent="0.2">
      <c r="A420">
        <v>410</v>
      </c>
      <c r="B420">
        <v>1012626.756995697</v>
      </c>
      <c r="C420">
        <v>113398.03382070347</v>
      </c>
      <c r="D420">
        <v>71789.212104483726</v>
      </c>
      <c r="E420">
        <v>63847.5518706449</v>
      </c>
      <c r="F420">
        <v>40420.215129506192</v>
      </c>
      <c r="G420">
        <v>10000</v>
      </c>
      <c r="H420">
        <v>279455.01292533829</v>
      </c>
      <c r="I420">
        <v>26.75808892104595</v>
      </c>
    </row>
    <row r="421" spans="1:9" x14ac:dyDescent="0.2">
      <c r="A421">
        <v>411</v>
      </c>
      <c r="B421">
        <v>1089241.7776481707</v>
      </c>
      <c r="C421">
        <v>86733.313874803047</v>
      </c>
      <c r="D421">
        <v>78524.530796590116</v>
      </c>
      <c r="E421">
        <v>102124.36960197586</v>
      </c>
      <c r="F421">
        <v>43070.148664752174</v>
      </c>
      <c r="G421">
        <v>10000</v>
      </c>
      <c r="H421">
        <v>300452.36293812125</v>
      </c>
      <c r="I421">
        <v>29.380897938908667</v>
      </c>
    </row>
    <row r="422" spans="1:9" x14ac:dyDescent="0.2">
      <c r="A422">
        <v>412</v>
      </c>
      <c r="B422">
        <v>1753955.2044510646</v>
      </c>
      <c r="C422">
        <v>144926.35241551846</v>
      </c>
      <c r="D422">
        <v>127333.65149219497</v>
      </c>
      <c r="E422">
        <v>172428.42820312435</v>
      </c>
      <c r="F422">
        <v>47937.352721754767</v>
      </c>
      <c r="G422">
        <v>10000</v>
      </c>
      <c r="H422">
        <v>482625.78483259253</v>
      </c>
      <c r="I422">
        <v>38.37160499396574</v>
      </c>
    </row>
    <row r="423" spans="1:9" x14ac:dyDescent="0.2">
      <c r="A423">
        <v>413</v>
      </c>
      <c r="B423">
        <v>1130387.9289974119</v>
      </c>
      <c r="C423">
        <v>121078.17885802116</v>
      </c>
      <c r="D423">
        <v>104357.88643669072</v>
      </c>
      <c r="E423">
        <v>56389.080020336034</v>
      </c>
      <c r="F423">
        <v>39903.859386023265</v>
      </c>
      <c r="G423">
        <v>10000</v>
      </c>
      <c r="H423">
        <v>311729.00470107119</v>
      </c>
      <c r="I423">
        <v>41.874849759178552</v>
      </c>
    </row>
    <row r="424" spans="1:9" x14ac:dyDescent="0.2">
      <c r="A424">
        <v>414</v>
      </c>
      <c r="B424">
        <v>955749.930701404</v>
      </c>
      <c r="C424">
        <v>87765.45750824397</v>
      </c>
      <c r="D424">
        <v>79728.677997445993</v>
      </c>
      <c r="E424">
        <v>65816.51047868657</v>
      </c>
      <c r="F424">
        <v>40556.527648524454</v>
      </c>
      <c r="G424">
        <v>10000</v>
      </c>
      <c r="H424">
        <v>263867.17363290099</v>
      </c>
      <c r="I424">
        <v>41.079293478115957</v>
      </c>
    </row>
    <row r="425" spans="1:9" x14ac:dyDescent="0.2">
      <c r="A425">
        <v>415</v>
      </c>
      <c r="B425">
        <v>1281605.1996262814</v>
      </c>
      <c r="C425">
        <v>87866.037188215589</v>
      </c>
      <c r="D425">
        <v>58179.922679589356</v>
      </c>
      <c r="E425">
        <v>169398.52827044716</v>
      </c>
      <c r="F425">
        <v>47727.590418723266</v>
      </c>
      <c r="G425">
        <v>10000</v>
      </c>
      <c r="H425">
        <v>353172.07855697535</v>
      </c>
      <c r="I425">
        <v>33.472443922674834</v>
      </c>
    </row>
    <row r="426" spans="1:9" x14ac:dyDescent="0.2">
      <c r="A426">
        <v>416</v>
      </c>
      <c r="B426">
        <v>1078851.9649866747</v>
      </c>
      <c r="C426">
        <v>83376.069655728497</v>
      </c>
      <c r="D426">
        <v>129180.09202586743</v>
      </c>
      <c r="E426">
        <v>55225.437479575303</v>
      </c>
      <c r="F426">
        <v>39823.299517816748</v>
      </c>
      <c r="G426">
        <v>10000</v>
      </c>
      <c r="H426">
        <v>297604.89867898799</v>
      </c>
      <c r="I426">
        <v>50.352823125138819</v>
      </c>
    </row>
    <row r="427" spans="1:9" x14ac:dyDescent="0.2">
      <c r="A427">
        <v>417</v>
      </c>
      <c r="B427">
        <v>1437939.4040359149</v>
      </c>
      <c r="C427">
        <v>142802.45872723902</v>
      </c>
      <c r="D427">
        <v>61287.188444561398</v>
      </c>
      <c r="E427">
        <v>155184.33695217123</v>
      </c>
      <c r="F427">
        <v>46743.531019765702</v>
      </c>
      <c r="G427">
        <v>10000</v>
      </c>
      <c r="H427">
        <v>396017.51514373737</v>
      </c>
      <c r="I427">
        <v>41.775614725398967</v>
      </c>
    </row>
    <row r="428" spans="1:9" x14ac:dyDescent="0.2">
      <c r="A428">
        <v>418</v>
      </c>
      <c r="B428">
        <v>1031023.2881592716</v>
      </c>
      <c r="C428">
        <v>109090.45453424903</v>
      </c>
      <c r="D428">
        <v>56866.91001185833</v>
      </c>
      <c r="E428">
        <v>86547.695211599756</v>
      </c>
      <c r="F428">
        <v>41991.763514649218</v>
      </c>
      <c r="G428">
        <v>10000</v>
      </c>
      <c r="H428">
        <v>284496.82327235636</v>
      </c>
      <c r="I428">
        <v>32.983290043167834</v>
      </c>
    </row>
    <row r="429" spans="1:9" x14ac:dyDescent="0.2">
      <c r="A429">
        <v>419</v>
      </c>
      <c r="B429">
        <v>1449807.4493979216</v>
      </c>
      <c r="C429">
        <v>110228.44553186309</v>
      </c>
      <c r="D429">
        <v>112718.51521537347</v>
      </c>
      <c r="E429">
        <v>140589.99424339939</v>
      </c>
      <c r="F429">
        <v>45733.153447619959</v>
      </c>
      <c r="G429">
        <v>10000</v>
      </c>
      <c r="H429">
        <v>399270.10843825596</v>
      </c>
      <c r="I429">
        <v>24.372573038497237</v>
      </c>
    </row>
    <row r="430" spans="1:9" x14ac:dyDescent="0.2">
      <c r="A430">
        <v>420</v>
      </c>
      <c r="B430">
        <v>1200373.0864781053</v>
      </c>
      <c r="C430">
        <v>84939.396234095766</v>
      </c>
      <c r="D430">
        <v>152454.78413025883</v>
      </c>
      <c r="E430">
        <v>63143.687446717355</v>
      </c>
      <c r="F430">
        <v>40371.486054003515</v>
      </c>
      <c r="G430">
        <v>10000</v>
      </c>
      <c r="H430">
        <v>330909.35386507551</v>
      </c>
      <c r="I430">
        <v>37.832816653796975</v>
      </c>
    </row>
    <row r="431" spans="1:9" x14ac:dyDescent="0.2">
      <c r="A431">
        <v>421</v>
      </c>
      <c r="B431">
        <v>1476484.9400872041</v>
      </c>
      <c r="C431">
        <v>133910.31844406336</v>
      </c>
      <c r="D431">
        <v>89789.369953809917</v>
      </c>
      <c r="E431">
        <v>146723.925587215</v>
      </c>
      <c r="F431">
        <v>46157.810232961041</v>
      </c>
      <c r="G431">
        <v>10000</v>
      </c>
      <c r="H431">
        <v>406581.42421804933</v>
      </c>
      <c r="I431">
        <v>25.586491513100704</v>
      </c>
    </row>
    <row r="432" spans="1:9" x14ac:dyDescent="0.2">
      <c r="A432">
        <v>422</v>
      </c>
      <c r="B432">
        <v>1394546.9150419515</v>
      </c>
      <c r="C432">
        <v>85607.887222769539</v>
      </c>
      <c r="D432">
        <v>79213.831461178925</v>
      </c>
      <c r="E432">
        <v>180787.46141857133</v>
      </c>
      <c r="F432">
        <v>48516.055021285705</v>
      </c>
      <c r="G432">
        <v>10000</v>
      </c>
      <c r="H432">
        <v>384125.23512380553</v>
      </c>
      <c r="I432">
        <v>40.093882546699149</v>
      </c>
    </row>
    <row r="433" spans="1:9" x14ac:dyDescent="0.2">
      <c r="A433">
        <v>423</v>
      </c>
      <c r="B433">
        <v>1805216.5750810206</v>
      </c>
      <c r="C433">
        <v>150659.72366191246</v>
      </c>
      <c r="D433">
        <v>111775.82637443308</v>
      </c>
      <c r="E433">
        <v>194755.97868845359</v>
      </c>
      <c r="F433">
        <v>49483.106216892935</v>
      </c>
      <c r="G433">
        <v>10000</v>
      </c>
      <c r="H433">
        <v>496674.63494169211</v>
      </c>
      <c r="I433">
        <v>54.360179467459041</v>
      </c>
    </row>
    <row r="434" spans="1:9" x14ac:dyDescent="0.2">
      <c r="A434">
        <v>424</v>
      </c>
      <c r="B434">
        <v>1770251.2296008719</v>
      </c>
      <c r="C434">
        <v>122339.46750566881</v>
      </c>
      <c r="D434">
        <v>157240.19076236544</v>
      </c>
      <c r="E434">
        <v>169759.67297867229</v>
      </c>
      <c r="F434">
        <v>47752.592744677313</v>
      </c>
      <c r="G434">
        <v>10000</v>
      </c>
      <c r="H434">
        <v>487091.92399138387</v>
      </c>
      <c r="I434">
        <v>34.648682092482552</v>
      </c>
    </row>
    <row r="435" spans="1:9" x14ac:dyDescent="0.2">
      <c r="A435">
        <v>425</v>
      </c>
      <c r="B435">
        <v>779438.26317160856</v>
      </c>
      <c r="C435">
        <v>99670.798804632796</v>
      </c>
      <c r="D435">
        <v>26828.060585598123</v>
      </c>
      <c r="E435">
        <v>58965.561047636897</v>
      </c>
      <c r="F435">
        <v>40082.231149451785</v>
      </c>
      <c r="G435">
        <v>10000</v>
      </c>
      <c r="H435">
        <v>215546.65158731959</v>
      </c>
      <c r="I435">
        <v>30.932919125950843</v>
      </c>
    </row>
    <row r="436" spans="1:9" x14ac:dyDescent="0.2">
      <c r="A436">
        <v>426</v>
      </c>
      <c r="B436">
        <v>1395387.9271619096</v>
      </c>
      <c r="C436">
        <v>104486.89404430959</v>
      </c>
      <c r="D436">
        <v>73010.864683424472</v>
      </c>
      <c r="E436">
        <v>169147.73871904929</v>
      </c>
      <c r="F436">
        <v>47710.228065164956</v>
      </c>
      <c r="G436">
        <v>10000</v>
      </c>
      <c r="H436">
        <v>384355.72551194829</v>
      </c>
      <c r="I436">
        <v>32.438257097464593</v>
      </c>
    </row>
    <row r="437" spans="1:9" x14ac:dyDescent="0.2">
      <c r="A437">
        <v>427</v>
      </c>
      <c r="B437">
        <v>1314919.2768381757</v>
      </c>
      <c r="C437">
        <v>99009.26868139318</v>
      </c>
      <c r="D437">
        <v>25134.730325425284</v>
      </c>
      <c r="E437">
        <v>198421.37441829056</v>
      </c>
      <c r="F437">
        <v>49736.864382804735</v>
      </c>
      <c r="G437">
        <v>10000</v>
      </c>
      <c r="H437">
        <v>362302.23780791374</v>
      </c>
      <c r="I437">
        <v>41.261382491094494</v>
      </c>
    </row>
    <row r="438" spans="1:9" x14ac:dyDescent="0.2">
      <c r="A438">
        <v>428</v>
      </c>
      <c r="B438">
        <v>1056529.0565039921</v>
      </c>
      <c r="C438">
        <v>101578.12312197685</v>
      </c>
      <c r="D438">
        <v>66269.094453433732</v>
      </c>
      <c r="E438">
        <v>91317.794464254359</v>
      </c>
      <c r="F438">
        <v>42322.001155217615</v>
      </c>
      <c r="G438">
        <v>10000</v>
      </c>
      <c r="H438">
        <v>291487.01319488254</v>
      </c>
      <c r="I438">
        <v>34.309729014800055</v>
      </c>
    </row>
    <row r="439" spans="1:9" x14ac:dyDescent="0.2">
      <c r="A439">
        <v>429</v>
      </c>
      <c r="B439">
        <v>1521525.6643266594</v>
      </c>
      <c r="C439">
        <v>104570.81671839852</v>
      </c>
      <c r="D439">
        <v>106376.80956703887</v>
      </c>
      <c r="E439">
        <v>170195.06326329772</v>
      </c>
      <c r="F439">
        <v>47782.735148997534</v>
      </c>
      <c r="G439">
        <v>10000</v>
      </c>
      <c r="H439">
        <v>418925.42469773261</v>
      </c>
      <c r="I439">
        <v>33.007939980489411</v>
      </c>
    </row>
    <row r="440" spans="1:9" x14ac:dyDescent="0.2">
      <c r="A440">
        <v>430</v>
      </c>
      <c r="B440">
        <v>1368207.1152035687</v>
      </c>
      <c r="C440">
        <v>75700.442043211049</v>
      </c>
      <c r="D440">
        <v>100864.42269957527</v>
      </c>
      <c r="E440">
        <v>163053.29795910529</v>
      </c>
      <c r="F440">
        <v>47288.305243322677</v>
      </c>
      <c r="G440">
        <v>10000</v>
      </c>
      <c r="H440">
        <v>376906.4679452143</v>
      </c>
      <c r="I440">
        <v>45.024641007517559</v>
      </c>
    </row>
    <row r="441" spans="1:9" x14ac:dyDescent="0.2">
      <c r="A441">
        <v>431</v>
      </c>
      <c r="B441">
        <v>1139880.0171316173</v>
      </c>
      <c r="C441">
        <v>128748.07993527758</v>
      </c>
      <c r="D441">
        <v>127907.41847505511</v>
      </c>
      <c r="E441">
        <v>29624.042157330121</v>
      </c>
      <c r="F441">
        <v>38050.895226276705</v>
      </c>
      <c r="G441">
        <v>10000</v>
      </c>
      <c r="H441">
        <v>314330.43579393951</v>
      </c>
      <c r="I441">
        <v>33.286205745602764</v>
      </c>
    </row>
    <row r="442" spans="1:9" x14ac:dyDescent="0.2">
      <c r="A442">
        <v>432</v>
      </c>
      <c r="B442">
        <v>1091704.4748693369</v>
      </c>
      <c r="C442">
        <v>142148.44859526699</v>
      </c>
      <c r="D442">
        <v>66667.687272431227</v>
      </c>
      <c r="E442">
        <v>62017.63306081605</v>
      </c>
      <c r="F442">
        <v>40293.528442671879</v>
      </c>
      <c r="G442">
        <v>10000</v>
      </c>
      <c r="H442">
        <v>301127.29737118614</v>
      </c>
      <c r="I442">
        <v>30.72872056053599</v>
      </c>
    </row>
    <row r="443" spans="1:9" x14ac:dyDescent="0.2">
      <c r="A443">
        <v>433</v>
      </c>
      <c r="B443">
        <v>1479554.0149129217</v>
      </c>
      <c r="C443">
        <v>165171.62657475466</v>
      </c>
      <c r="D443">
        <v>102106.72635271632</v>
      </c>
      <c r="E443">
        <v>106753.56034825814</v>
      </c>
      <c r="F443">
        <v>43390.63110103325</v>
      </c>
      <c r="G443">
        <v>10000</v>
      </c>
      <c r="H443">
        <v>407422.54437676235</v>
      </c>
      <c r="I443">
        <v>42.29555777681567</v>
      </c>
    </row>
    <row r="444" spans="1:9" x14ac:dyDescent="0.2">
      <c r="A444">
        <v>434</v>
      </c>
      <c r="B444">
        <v>942699.36863279715</v>
      </c>
      <c r="C444">
        <v>87489.024082528296</v>
      </c>
      <c r="D444">
        <v>31239.815370685035</v>
      </c>
      <c r="E444">
        <v>108079.24726551281</v>
      </c>
      <c r="F444">
        <v>43482.409426073966</v>
      </c>
      <c r="G444">
        <v>10000</v>
      </c>
      <c r="H444">
        <v>260290.4961448001</v>
      </c>
      <c r="I444">
        <v>32.680362019883034</v>
      </c>
    </row>
    <row r="445" spans="1:9" x14ac:dyDescent="0.2">
      <c r="A445">
        <v>435</v>
      </c>
      <c r="B445">
        <v>1086612.1861557362</v>
      </c>
      <c r="C445">
        <v>119821.96430380629</v>
      </c>
      <c r="D445">
        <v>61701.351286987563</v>
      </c>
      <c r="E445">
        <v>86238.047020813392</v>
      </c>
      <c r="F445">
        <v>41970.326332210156</v>
      </c>
      <c r="G445">
        <v>10000</v>
      </c>
      <c r="H445">
        <v>299731.6889438174</v>
      </c>
      <c r="I445">
        <v>34.261961121572092</v>
      </c>
    </row>
    <row r="446" spans="1:9" x14ac:dyDescent="0.2">
      <c r="A446">
        <v>436</v>
      </c>
      <c r="B446">
        <v>1181115.8264899794</v>
      </c>
      <c r="C446">
        <v>87327.223834537712</v>
      </c>
      <c r="D446">
        <v>125904.47439227666</v>
      </c>
      <c r="E446">
        <v>80805.709832022287</v>
      </c>
      <c r="F446">
        <v>41594.241449909241</v>
      </c>
      <c r="G446">
        <v>10000</v>
      </c>
      <c r="H446">
        <v>325631.64950874593</v>
      </c>
      <c r="I446">
        <v>31.503315590000447</v>
      </c>
    </row>
    <row r="447" spans="1:9" x14ac:dyDescent="0.2">
      <c r="A447">
        <v>437</v>
      </c>
      <c r="B447">
        <v>1641783.4523914421</v>
      </c>
      <c r="C447">
        <v>134715.33567721795</v>
      </c>
      <c r="D447">
        <v>140970.4658456147</v>
      </c>
      <c r="E447">
        <v>140472.80494433385</v>
      </c>
      <c r="F447">
        <v>45725.040342300039</v>
      </c>
      <c r="G447">
        <v>10000</v>
      </c>
      <c r="H447">
        <v>451883.64680946653</v>
      </c>
      <c r="I447">
        <v>45.921276724302373</v>
      </c>
    </row>
    <row r="448" spans="1:9" x14ac:dyDescent="0.2">
      <c r="A448">
        <v>438</v>
      </c>
      <c r="B448">
        <v>1632281.495415759</v>
      </c>
      <c r="C448">
        <v>118491.34702613369</v>
      </c>
      <c r="D448">
        <v>104851.9506342255</v>
      </c>
      <c r="E448">
        <v>186990.70315269372</v>
      </c>
      <c r="F448">
        <v>48945.510218263407</v>
      </c>
      <c r="G448">
        <v>10000</v>
      </c>
      <c r="H448">
        <v>449279.5110313163</v>
      </c>
      <c r="I448">
        <v>26.725694929905139</v>
      </c>
    </row>
    <row r="449" spans="1:9" x14ac:dyDescent="0.2">
      <c r="A449">
        <v>439</v>
      </c>
      <c r="B449">
        <v>1209928.4418423038</v>
      </c>
      <c r="C449">
        <v>119150.73307607675</v>
      </c>
      <c r="D449">
        <v>86296.040232021289</v>
      </c>
      <c r="E449">
        <v>95471.766994155594</v>
      </c>
      <c r="F449">
        <v>42609.583868826157</v>
      </c>
      <c r="G449">
        <v>10000</v>
      </c>
      <c r="H449">
        <v>333528.12417107978</v>
      </c>
      <c r="I449">
        <v>45.042004746526871</v>
      </c>
    </row>
    <row r="450" spans="1:9" x14ac:dyDescent="0.2">
      <c r="A450">
        <v>440</v>
      </c>
      <c r="B450">
        <v>1304980.6639582273</v>
      </c>
      <c r="C450">
        <v>135748.66635367609</v>
      </c>
      <c r="D450">
        <v>125839.2992078781</v>
      </c>
      <c r="E450">
        <v>67329.212055458833</v>
      </c>
      <c r="F450">
        <v>40661.253142300993</v>
      </c>
      <c r="G450">
        <v>10000</v>
      </c>
      <c r="H450">
        <v>359578.43075931398</v>
      </c>
      <c r="I450">
        <v>41.177885828758875</v>
      </c>
    </row>
    <row r="451" spans="1:9" x14ac:dyDescent="0.2">
      <c r="A451">
        <v>441</v>
      </c>
      <c r="B451">
        <v>1625287.0572543908</v>
      </c>
      <c r="C451">
        <v>134538.83706719844</v>
      </c>
      <c r="D451">
        <v>131858.34506099953</v>
      </c>
      <c r="E451">
        <v>144931.67982273162</v>
      </c>
      <c r="F451">
        <v>46033.731680035271</v>
      </c>
      <c r="G451">
        <v>10000</v>
      </c>
      <c r="H451">
        <v>447362.59363096487</v>
      </c>
      <c r="I451">
        <v>36.064835243566137</v>
      </c>
    </row>
    <row r="452" spans="1:9" x14ac:dyDescent="0.2">
      <c r="A452">
        <v>442</v>
      </c>
      <c r="B452">
        <v>1189637.2099877426</v>
      </c>
      <c r="C452">
        <v>122864.646427286</v>
      </c>
      <c r="D452">
        <v>93516.480017812297</v>
      </c>
      <c r="E452">
        <v>80044.385457521465</v>
      </c>
      <c r="F452">
        <v>41541.534377828415</v>
      </c>
      <c r="G452">
        <v>10000</v>
      </c>
      <c r="H452">
        <v>327967.04628044821</v>
      </c>
      <c r="I452">
        <v>40.039282787184916</v>
      </c>
    </row>
    <row r="453" spans="1:9" x14ac:dyDescent="0.2">
      <c r="A453">
        <v>443</v>
      </c>
      <c r="B453">
        <v>911397.57467269257</v>
      </c>
      <c r="C453">
        <v>112906.0418149466</v>
      </c>
      <c r="D453">
        <v>62606.214144203346</v>
      </c>
      <c r="E453">
        <v>46949.241420986356</v>
      </c>
      <c r="F453">
        <v>39250.332098375977</v>
      </c>
      <c r="G453">
        <v>10000</v>
      </c>
      <c r="H453">
        <v>251711.82947851229</v>
      </c>
      <c r="I453">
        <v>34.253587789495498</v>
      </c>
    </row>
    <row r="454" spans="1:9" x14ac:dyDescent="0.2">
      <c r="A454">
        <v>444</v>
      </c>
      <c r="B454">
        <v>1744094.3518819732</v>
      </c>
      <c r="C454">
        <v>118504.6306581622</v>
      </c>
      <c r="D454">
        <v>161548.00890762088</v>
      </c>
      <c r="E454">
        <v>162612.83761511298</v>
      </c>
      <c r="F454">
        <v>47257.81183489244</v>
      </c>
      <c r="G454">
        <v>10000</v>
      </c>
      <c r="H454">
        <v>479923.28901578853</v>
      </c>
      <c r="I454">
        <v>34.557157093914633</v>
      </c>
    </row>
    <row r="455" spans="1:9" x14ac:dyDescent="0.2">
      <c r="A455">
        <v>445</v>
      </c>
      <c r="B455">
        <v>1324744.0335265324</v>
      </c>
      <c r="C455">
        <v>115326.63282553136</v>
      </c>
      <c r="D455">
        <v>72175.853712828961</v>
      </c>
      <c r="E455">
        <v>141683.49704937753</v>
      </c>
      <c r="F455">
        <v>45808.857488033827</v>
      </c>
      <c r="G455">
        <v>10000</v>
      </c>
      <c r="H455">
        <v>364994.84107577166</v>
      </c>
      <c r="I455">
        <v>45.985665819604094</v>
      </c>
    </row>
    <row r="456" spans="1:9" x14ac:dyDescent="0.2">
      <c r="A456">
        <v>446</v>
      </c>
      <c r="B456">
        <v>1489387.3335990682</v>
      </c>
      <c r="C456">
        <v>103526.47276335635</v>
      </c>
      <c r="D456">
        <v>117625.54302524865</v>
      </c>
      <c r="E456">
        <v>152413.75676170184</v>
      </c>
      <c r="F456">
        <v>46551.721621963967</v>
      </c>
      <c r="G456">
        <v>10000</v>
      </c>
      <c r="H456">
        <v>410117.49417227082</v>
      </c>
      <c r="I456">
        <v>43.842473744589128</v>
      </c>
    </row>
    <row r="457" spans="1:9" x14ac:dyDescent="0.2">
      <c r="A457">
        <v>447</v>
      </c>
      <c r="B457">
        <v>1848895.6948596076</v>
      </c>
      <c r="C457">
        <v>95092.951847743665</v>
      </c>
      <c r="D457">
        <v>177659.12793249908</v>
      </c>
      <c r="E457">
        <v>196303.1705995253</v>
      </c>
      <c r="F457">
        <v>49590.219503044056</v>
      </c>
      <c r="G457">
        <v>10000</v>
      </c>
      <c r="H457">
        <v>508645.46988281212</v>
      </c>
      <c r="I457">
        <v>26.020662752204117</v>
      </c>
    </row>
    <row r="458" spans="1:9" x14ac:dyDescent="0.2">
      <c r="A458">
        <v>448</v>
      </c>
      <c r="B458">
        <v>1407718.7843053206</v>
      </c>
      <c r="C458">
        <v>153265.01650894177</v>
      </c>
      <c r="D458">
        <v>70029.441459978378</v>
      </c>
      <c r="E458">
        <v>129476.91410746401</v>
      </c>
      <c r="F458">
        <v>44963.786361285973</v>
      </c>
      <c r="G458">
        <v>10000</v>
      </c>
      <c r="H458">
        <v>387735.15843767009</v>
      </c>
      <c r="I458">
        <v>41.309095941907131</v>
      </c>
    </row>
    <row r="459" spans="1:9" x14ac:dyDescent="0.2">
      <c r="A459">
        <v>449</v>
      </c>
      <c r="B459">
        <v>1594335.4038692771</v>
      </c>
      <c r="C459">
        <v>126036.64739617196</v>
      </c>
      <c r="D459">
        <v>102146.78784721621</v>
      </c>
      <c r="E459">
        <v>172737.68923179782</v>
      </c>
      <c r="F459">
        <v>47958.763100662924</v>
      </c>
      <c r="G459">
        <v>10000</v>
      </c>
      <c r="H459">
        <v>438879.8875758489</v>
      </c>
      <c r="I459">
        <v>35.858476315168978</v>
      </c>
    </row>
    <row r="460" spans="1:9" x14ac:dyDescent="0.2">
      <c r="A460">
        <v>450</v>
      </c>
      <c r="B460">
        <v>689508.72768111154</v>
      </c>
      <c r="C460">
        <v>81358.275617963169</v>
      </c>
      <c r="D460">
        <v>47608.984743013672</v>
      </c>
      <c r="E460">
        <v>33606.425334407068</v>
      </c>
      <c r="F460">
        <v>38326.598676997412</v>
      </c>
      <c r="G460">
        <v>10000</v>
      </c>
      <c r="H460">
        <v>190900.28437238131</v>
      </c>
      <c r="I460">
        <v>31.25713293773472</v>
      </c>
    </row>
    <row r="461" spans="1:9" x14ac:dyDescent="0.2">
      <c r="A461">
        <v>451</v>
      </c>
      <c r="B461">
        <v>1446802.5739775563</v>
      </c>
      <c r="C461">
        <v>119344.10664671136</v>
      </c>
      <c r="D461">
        <v>121554.43539665845</v>
      </c>
      <c r="E461">
        <v>123030.54187153251</v>
      </c>
      <c r="F461">
        <v>44517.499052644554</v>
      </c>
      <c r="G461">
        <v>10000</v>
      </c>
      <c r="H461">
        <v>398446.58296754683</v>
      </c>
      <c r="I461">
        <v>39.146791620382842</v>
      </c>
    </row>
    <row r="462" spans="1:9" x14ac:dyDescent="0.2">
      <c r="A462">
        <v>452</v>
      </c>
      <c r="B462">
        <v>1562917.96101105</v>
      </c>
      <c r="C462">
        <v>143427.11647807909</v>
      </c>
      <c r="D462">
        <v>151095.51112318572</v>
      </c>
      <c r="E462">
        <v>102640.98394007223</v>
      </c>
      <c r="F462">
        <v>43105.914272774229</v>
      </c>
      <c r="G462">
        <v>10000</v>
      </c>
      <c r="H462">
        <v>430269.52581411129</v>
      </c>
      <c r="I462">
        <v>36.083269915183834</v>
      </c>
    </row>
    <row r="463" spans="1:9" x14ac:dyDescent="0.2">
      <c r="A463">
        <v>453</v>
      </c>
      <c r="B463">
        <v>1529959.3370330054</v>
      </c>
      <c r="C463">
        <v>110305.02237572608</v>
      </c>
      <c r="D463">
        <v>63594.445922798564</v>
      </c>
      <c r="E463">
        <v>207006.12182981599</v>
      </c>
      <c r="F463">
        <v>50331.19304975649</v>
      </c>
      <c r="G463">
        <v>10000</v>
      </c>
      <c r="H463">
        <v>421236.7831780971</v>
      </c>
      <c r="I463">
        <v>24.624493518296696</v>
      </c>
    </row>
    <row r="464" spans="1:9" x14ac:dyDescent="0.2">
      <c r="A464">
        <v>454</v>
      </c>
      <c r="B464">
        <v>1668572.3239774427</v>
      </c>
      <c r="C464">
        <v>153044.33028068556</v>
      </c>
      <c r="D464">
        <v>64092.660240714235</v>
      </c>
      <c r="E464">
        <v>202097.15589935426</v>
      </c>
      <c r="F464">
        <v>49991.341562262991</v>
      </c>
      <c r="G464">
        <v>10000</v>
      </c>
      <c r="H464">
        <v>459225.487983017</v>
      </c>
      <c r="I464">
        <v>31.919658033490155</v>
      </c>
    </row>
    <row r="465" spans="1:9" x14ac:dyDescent="0.2">
      <c r="A465">
        <v>455</v>
      </c>
      <c r="B465">
        <v>1057589.474645881</v>
      </c>
      <c r="C465">
        <v>120240.125451239</v>
      </c>
      <c r="D465">
        <v>103447.23465913301</v>
      </c>
      <c r="E465">
        <v>39365.004990745758</v>
      </c>
      <c r="F465">
        <v>38725.269576282393</v>
      </c>
      <c r="G465">
        <v>10000</v>
      </c>
      <c r="H465">
        <v>291777.63467740017</v>
      </c>
      <c r="I465">
        <v>33.168854107483298</v>
      </c>
    </row>
    <row r="466" spans="1:9" x14ac:dyDescent="0.2">
      <c r="A466">
        <v>456</v>
      </c>
      <c r="B466">
        <v>1400619.4184363703</v>
      </c>
      <c r="C466">
        <v>137524.51847128756</v>
      </c>
      <c r="D466">
        <v>61648.26944098861</v>
      </c>
      <c r="E466">
        <v>150217.05410502903</v>
      </c>
      <c r="F466">
        <v>46399.642207271238</v>
      </c>
      <c r="G466">
        <v>10000</v>
      </c>
      <c r="H466">
        <v>385789.48422457644</v>
      </c>
      <c r="I466">
        <v>35.424004632482678</v>
      </c>
    </row>
    <row r="467" spans="1:9" x14ac:dyDescent="0.2">
      <c r="A467">
        <v>457</v>
      </c>
      <c r="B467">
        <v>1250275.178142986</v>
      </c>
      <c r="C467">
        <v>121992.97578489043</v>
      </c>
      <c r="D467">
        <v>65594.060065051322</v>
      </c>
      <c r="E467">
        <v>122516.71359261221</v>
      </c>
      <c r="F467">
        <v>44481.92632564238</v>
      </c>
      <c r="G467">
        <v>10000</v>
      </c>
      <c r="H467">
        <v>344585.67576819635</v>
      </c>
      <c r="I467">
        <v>39.138948451873041</v>
      </c>
    </row>
    <row r="468" spans="1:9" x14ac:dyDescent="0.2">
      <c r="A468">
        <v>458</v>
      </c>
      <c r="B468">
        <v>1058804.0121186913</v>
      </c>
      <c r="C468">
        <v>107380.91222362235</v>
      </c>
      <c r="D468">
        <v>100796.93782711875</v>
      </c>
      <c r="E468">
        <v>54181.609992713769</v>
      </c>
      <c r="F468">
        <v>39751.034537957101</v>
      </c>
      <c r="G468">
        <v>10000</v>
      </c>
      <c r="H468">
        <v>292110.494581412</v>
      </c>
      <c r="I468">
        <v>56.372224880046033</v>
      </c>
    </row>
    <row r="469" spans="1:9" x14ac:dyDescent="0.2">
      <c r="A469">
        <v>459</v>
      </c>
      <c r="B469">
        <v>902491.91236287053</v>
      </c>
      <c r="C469">
        <v>100246.07987843844</v>
      </c>
      <c r="D469">
        <v>52013.348088459112</v>
      </c>
      <c r="E469">
        <v>66413.809012223559</v>
      </c>
      <c r="F469">
        <v>40597.879085461631</v>
      </c>
      <c r="G469">
        <v>10000</v>
      </c>
      <c r="H469">
        <v>249271.11606458275</v>
      </c>
      <c r="I469">
        <v>43.371128189509321</v>
      </c>
    </row>
    <row r="470" spans="1:9" x14ac:dyDescent="0.2">
      <c r="A470">
        <v>460</v>
      </c>
      <c r="B470">
        <v>1133193.7360530633</v>
      </c>
      <c r="C470">
        <v>99102.260132233219</v>
      </c>
      <c r="D470">
        <v>115252.2389440914</v>
      </c>
      <c r="E470">
        <v>67472.313628190677</v>
      </c>
      <c r="F470">
        <v>40671.160174259356</v>
      </c>
      <c r="G470">
        <v>10000</v>
      </c>
      <c r="H470">
        <v>312497.97287877463</v>
      </c>
      <c r="I470">
        <v>33.559166208866046</v>
      </c>
    </row>
    <row r="471" spans="1:9" x14ac:dyDescent="0.2">
      <c r="A471">
        <v>461</v>
      </c>
      <c r="B471">
        <v>1099339.5716042765</v>
      </c>
      <c r="C471">
        <v>131929.00586547103</v>
      </c>
      <c r="D471">
        <v>76913.703706214175</v>
      </c>
      <c r="E471">
        <v>63949.792731188638</v>
      </c>
      <c r="F471">
        <v>40427.293342928446</v>
      </c>
      <c r="G471">
        <v>10000</v>
      </c>
      <c r="H471">
        <v>303219.79564580228</v>
      </c>
      <c r="I471">
        <v>49.187058570999156</v>
      </c>
    </row>
    <row r="472" spans="1:9" x14ac:dyDescent="0.2">
      <c r="A472">
        <v>462</v>
      </c>
      <c r="B472">
        <v>1134568.7534992266</v>
      </c>
      <c r="C472">
        <v>169112.86514025202</v>
      </c>
      <c r="D472">
        <v>47446.909300225787</v>
      </c>
      <c r="E472">
        <v>65762.267608298745</v>
      </c>
      <c r="F472">
        <v>40552.772372882217</v>
      </c>
      <c r="G472">
        <v>10000</v>
      </c>
      <c r="H472">
        <v>312874.81442165875</v>
      </c>
      <c r="I472">
        <v>35.464392091772162</v>
      </c>
    </row>
    <row r="473" spans="1:9" x14ac:dyDescent="0.2">
      <c r="A473">
        <v>463</v>
      </c>
      <c r="B473">
        <v>1044629.1239526079</v>
      </c>
      <c r="C473">
        <v>124388.73517076109</v>
      </c>
      <c r="D473">
        <v>66270.013427911836</v>
      </c>
      <c r="E473">
        <v>66933.102057312921</v>
      </c>
      <c r="F473">
        <v>40633.83014242936</v>
      </c>
      <c r="G473">
        <v>10000</v>
      </c>
      <c r="H473">
        <v>288225.68079841521</v>
      </c>
      <c r="I473">
        <v>48.32580976185249</v>
      </c>
    </row>
    <row r="474" spans="1:9" x14ac:dyDescent="0.2">
      <c r="A474">
        <v>464</v>
      </c>
      <c r="B474">
        <v>1209331.8149577565</v>
      </c>
      <c r="C474">
        <v>102486.79381651268</v>
      </c>
      <c r="D474">
        <v>72934.004346686314</v>
      </c>
      <c r="E474">
        <v>123400.688038281</v>
      </c>
      <c r="F474">
        <v>44543.124556496376</v>
      </c>
      <c r="G474">
        <v>10000</v>
      </c>
      <c r="H474">
        <v>333364.61075797636</v>
      </c>
      <c r="I474">
        <v>30.820181898822344</v>
      </c>
    </row>
    <row r="475" spans="1:9" x14ac:dyDescent="0.2">
      <c r="A475">
        <v>465</v>
      </c>
      <c r="B475">
        <v>891953.61620218912</v>
      </c>
      <c r="C475">
        <v>101126.5497647625</v>
      </c>
      <c r="D475">
        <v>76750.71714051778</v>
      </c>
      <c r="E475">
        <v>39753.524005643296</v>
      </c>
      <c r="F475">
        <v>38752.167046544535</v>
      </c>
      <c r="G475">
        <v>10000</v>
      </c>
      <c r="H475">
        <v>246382.95795746811</v>
      </c>
      <c r="I475">
        <v>38.0447202559576</v>
      </c>
    </row>
    <row r="476" spans="1:9" x14ac:dyDescent="0.2">
      <c r="A476">
        <v>466</v>
      </c>
      <c r="B476">
        <v>1205661.9630028629</v>
      </c>
      <c r="C476">
        <v>88776.168621177014</v>
      </c>
      <c r="D476">
        <v>100274.84644555701</v>
      </c>
      <c r="E476">
        <v>109712.35402710507</v>
      </c>
      <c r="F476">
        <v>43595.47066341497</v>
      </c>
      <c r="G476">
        <v>10000</v>
      </c>
      <c r="H476">
        <v>332358.83975725406</v>
      </c>
      <c r="I476">
        <v>35.869655073887259</v>
      </c>
    </row>
    <row r="477" spans="1:9" x14ac:dyDescent="0.2">
      <c r="A477">
        <v>467</v>
      </c>
      <c r="B477">
        <v>981247.24520450365</v>
      </c>
      <c r="C477">
        <v>116358.88104920309</v>
      </c>
      <c r="D477">
        <v>76906.505115688546</v>
      </c>
      <c r="E477">
        <v>48249.322773992761</v>
      </c>
      <c r="F477">
        <v>39340.337730507184</v>
      </c>
      <c r="G477">
        <v>10000</v>
      </c>
      <c r="H477">
        <v>270855.04666939157</v>
      </c>
      <c r="I477">
        <v>39.059248383056861</v>
      </c>
    </row>
    <row r="478" spans="1:9" x14ac:dyDescent="0.2">
      <c r="A478">
        <v>468</v>
      </c>
      <c r="B478">
        <v>1365406.1885153023</v>
      </c>
      <c r="C478">
        <v>126252.27679711161</v>
      </c>
      <c r="D478">
        <v>94905.310894964496</v>
      </c>
      <c r="E478">
        <v>120629.94567284871</v>
      </c>
      <c r="F478">
        <v>44351.303931197217</v>
      </c>
      <c r="G478">
        <v>10000</v>
      </c>
      <c r="H478">
        <v>376138.83729612204</v>
      </c>
      <c r="I478">
        <v>40.728654368097025</v>
      </c>
    </row>
    <row r="479" spans="1:9" x14ac:dyDescent="0.2">
      <c r="A479">
        <v>469</v>
      </c>
      <c r="B479">
        <v>1546613.6399435021</v>
      </c>
      <c r="C479">
        <v>120091.88707601742</v>
      </c>
      <c r="D479">
        <v>89513.995347101561</v>
      </c>
      <c r="E479">
        <v>177880.43152191048</v>
      </c>
      <c r="F479">
        <v>48314.799105363032</v>
      </c>
      <c r="G479">
        <v>10000</v>
      </c>
      <c r="H479">
        <v>425801.11305039248</v>
      </c>
      <c r="I479">
        <v>35.70718789986919</v>
      </c>
    </row>
    <row r="480" spans="1:9" x14ac:dyDescent="0.2">
      <c r="A480">
        <v>470</v>
      </c>
      <c r="B480">
        <v>1150618.6410668876</v>
      </c>
      <c r="C480">
        <v>153657.34549501943</v>
      </c>
      <c r="D480">
        <v>75891.317485048276</v>
      </c>
      <c r="E480">
        <v>57728.261426831181</v>
      </c>
      <c r="F480">
        <v>39996.571944934469</v>
      </c>
      <c r="G480">
        <v>10000</v>
      </c>
      <c r="H480">
        <v>317273.4963518334</v>
      </c>
      <c r="I480">
        <v>36.58155878919014</v>
      </c>
    </row>
    <row r="481" spans="1:9" x14ac:dyDescent="0.2">
      <c r="A481">
        <v>471</v>
      </c>
      <c r="B481">
        <v>972747.25382858654</v>
      </c>
      <c r="C481">
        <v>74767.666482391272</v>
      </c>
      <c r="D481">
        <v>92382.45346001799</v>
      </c>
      <c r="E481">
        <v>70494.971633411391</v>
      </c>
      <c r="F481">
        <v>40880.421113082331</v>
      </c>
      <c r="G481">
        <v>10000</v>
      </c>
      <c r="H481">
        <v>268525.51268890302</v>
      </c>
      <c r="I481">
        <v>34.320549436069527</v>
      </c>
    </row>
    <row r="482" spans="1:9" x14ac:dyDescent="0.2">
      <c r="A482">
        <v>472</v>
      </c>
      <c r="B482">
        <v>942906.75651934091</v>
      </c>
      <c r="C482">
        <v>125652.63522121307</v>
      </c>
      <c r="D482">
        <v>76438.275921084307</v>
      </c>
      <c r="E482">
        <v>30167.877036172282</v>
      </c>
      <c r="F482">
        <v>38088.545333273469</v>
      </c>
      <c r="G482">
        <v>10000</v>
      </c>
      <c r="H482">
        <v>260347.33351174311</v>
      </c>
      <c r="I482">
        <v>24.428224807909722</v>
      </c>
    </row>
    <row r="483" spans="1:9" x14ac:dyDescent="0.2">
      <c r="A483">
        <v>473</v>
      </c>
      <c r="B483">
        <v>1569568.676284414</v>
      </c>
      <c r="C483">
        <v>137554.19332850329</v>
      </c>
      <c r="D483">
        <v>62509.056401406269</v>
      </c>
      <c r="E483">
        <v>192688.9850661419</v>
      </c>
      <c r="F483">
        <v>49340.006658425213</v>
      </c>
      <c r="G483">
        <v>10000</v>
      </c>
      <c r="H483">
        <v>432092.24145447667</v>
      </c>
      <c r="I483">
        <v>51.090787215503347</v>
      </c>
    </row>
    <row r="484" spans="1:9" x14ac:dyDescent="0.2">
      <c r="A484">
        <v>474</v>
      </c>
      <c r="B484">
        <v>1056106.2809153057</v>
      </c>
      <c r="C484">
        <v>130926.78638295106</v>
      </c>
      <c r="D484">
        <v>86706.797876057171</v>
      </c>
      <c r="E484">
        <v>44646.640483489813</v>
      </c>
      <c r="F484">
        <v>39090.921264241602</v>
      </c>
      <c r="G484">
        <v>10000</v>
      </c>
      <c r="H484">
        <v>291371.14600673964</v>
      </c>
      <c r="I484">
        <v>33.196774447113825</v>
      </c>
    </row>
    <row r="485" spans="1:9" x14ac:dyDescent="0.2">
      <c r="A485">
        <v>475</v>
      </c>
      <c r="B485">
        <v>1051620.7346559102</v>
      </c>
      <c r="C485">
        <v>80549.640078215409</v>
      </c>
      <c r="D485">
        <v>112413.02599888798</v>
      </c>
      <c r="E485">
        <v>66570.434809831204</v>
      </c>
      <c r="F485">
        <v>40608.722409911388</v>
      </c>
      <c r="G485">
        <v>10000</v>
      </c>
      <c r="H485">
        <v>290141.82329684601</v>
      </c>
      <c r="I485">
        <v>40.106225652699692</v>
      </c>
    </row>
    <row r="486" spans="1:9" x14ac:dyDescent="0.2">
      <c r="A486">
        <v>476</v>
      </c>
      <c r="B486">
        <v>1397966.3490507365</v>
      </c>
      <c r="C486">
        <v>126073.32772205594</v>
      </c>
      <c r="D486">
        <v>71307.624956666477</v>
      </c>
      <c r="E486">
        <v>151212.8417738041</v>
      </c>
      <c r="F486">
        <v>46468.581353571055</v>
      </c>
      <c r="G486">
        <v>10000</v>
      </c>
      <c r="H486">
        <v>385062.37580609752</v>
      </c>
      <c r="I486">
        <v>37.599655402251926</v>
      </c>
    </row>
    <row r="487" spans="1:9" x14ac:dyDescent="0.2">
      <c r="A487">
        <v>477</v>
      </c>
      <c r="B487">
        <v>1023533.2432175271</v>
      </c>
      <c r="C487">
        <v>76853.630799991079</v>
      </c>
      <c r="D487">
        <v>27010.617676006677</v>
      </c>
      <c r="E487">
        <v>142700.56030609171</v>
      </c>
      <c r="F487">
        <v>45879.269559652508</v>
      </c>
      <c r="G487">
        <v>10000</v>
      </c>
      <c r="H487">
        <v>282444.07834174193</v>
      </c>
      <c r="I487">
        <v>39.199543271043666</v>
      </c>
    </row>
    <row r="488" spans="1:9" x14ac:dyDescent="0.2">
      <c r="A488">
        <v>478</v>
      </c>
      <c r="B488">
        <v>1545354.7770374457</v>
      </c>
      <c r="C488">
        <v>100290.51158170348</v>
      </c>
      <c r="D488">
        <v>82534.952336501286</v>
      </c>
      <c r="E488">
        <v>202604.1968642674</v>
      </c>
      <c r="F488">
        <v>50026.444398295433</v>
      </c>
      <c r="G488">
        <v>10000</v>
      </c>
      <c r="H488">
        <v>425456.1051807676</v>
      </c>
      <c r="I488">
        <v>39.455431443114463</v>
      </c>
    </row>
    <row r="489" spans="1:9" x14ac:dyDescent="0.2">
      <c r="A489">
        <v>479</v>
      </c>
      <c r="B489">
        <v>1359262.986922689</v>
      </c>
      <c r="C489">
        <v>87061.550495667718</v>
      </c>
      <c r="D489">
        <v>75852.630057076705</v>
      </c>
      <c r="E489">
        <v>173527.58376826122</v>
      </c>
      <c r="F489">
        <v>48013.448107033466</v>
      </c>
      <c r="G489">
        <v>10000</v>
      </c>
      <c r="H489">
        <v>374455.21242803911</v>
      </c>
      <c r="I489">
        <v>31.781941320391343</v>
      </c>
    </row>
    <row r="490" spans="1:9" x14ac:dyDescent="0.2">
      <c r="A490">
        <v>480</v>
      </c>
      <c r="B490">
        <v>1601404.7959201257</v>
      </c>
      <c r="C490">
        <v>110481.06680500068</v>
      </c>
      <c r="D490">
        <v>98886.911450210813</v>
      </c>
      <c r="E490">
        <v>192146.89169864581</v>
      </c>
      <c r="F490">
        <v>49302.477117598559</v>
      </c>
      <c r="G490">
        <v>10000</v>
      </c>
      <c r="H490">
        <v>440817.34707145585</v>
      </c>
      <c r="I490">
        <v>44.950343228125966</v>
      </c>
    </row>
    <row r="491" spans="1:9" x14ac:dyDescent="0.2">
      <c r="A491">
        <v>481</v>
      </c>
      <c r="B491">
        <v>1672722.0308855202</v>
      </c>
      <c r="C491">
        <v>152524.33862733759</v>
      </c>
      <c r="D491">
        <v>116060.26945632524</v>
      </c>
      <c r="E491">
        <v>155044.3236449548</v>
      </c>
      <c r="F491">
        <v>46733.837790804566</v>
      </c>
      <c r="G491">
        <v>10000</v>
      </c>
      <c r="H491">
        <v>460362.7695194222</v>
      </c>
      <c r="I491">
        <v>36.089651147066618</v>
      </c>
    </row>
    <row r="492" spans="1:9" x14ac:dyDescent="0.2">
      <c r="A492">
        <v>482</v>
      </c>
      <c r="B492">
        <v>1534411.477520901</v>
      </c>
      <c r="C492">
        <v>128584.01149415234</v>
      </c>
      <c r="D492">
        <v>61387.444763095016</v>
      </c>
      <c r="E492">
        <v>193115.92995964974</v>
      </c>
      <c r="F492">
        <v>49369.564381821903</v>
      </c>
      <c r="G492">
        <v>10000</v>
      </c>
      <c r="H492">
        <v>422456.95059871901</v>
      </c>
      <c r="I492">
        <v>46.505625177810927</v>
      </c>
    </row>
    <row r="493" spans="1:9" x14ac:dyDescent="0.2">
      <c r="A493">
        <v>483</v>
      </c>
      <c r="B493">
        <v>1546591.0855749289</v>
      </c>
      <c r="C493">
        <v>105227.17153269611</v>
      </c>
      <c r="D493">
        <v>82955.454761397588</v>
      </c>
      <c r="E493">
        <v>197910.78925682619</v>
      </c>
      <c r="F493">
        <v>49701.516179318736</v>
      </c>
      <c r="G493">
        <v>10000</v>
      </c>
      <c r="H493">
        <v>425794.9317302386</v>
      </c>
      <c r="I493">
        <v>33.732449918236256</v>
      </c>
    </row>
    <row r="494" spans="1:9" x14ac:dyDescent="0.2">
      <c r="A494">
        <v>484</v>
      </c>
      <c r="B494">
        <v>1307001.2620510282</v>
      </c>
      <c r="C494">
        <v>148199.83061006505</v>
      </c>
      <c r="D494">
        <v>105682.04064272363</v>
      </c>
      <c r="E494">
        <v>75054.266292773769</v>
      </c>
      <c r="F494">
        <v>41196.064589499721</v>
      </c>
      <c r="G494">
        <v>10000</v>
      </c>
      <c r="H494">
        <v>360132.20213506219</v>
      </c>
      <c r="I494">
        <v>33.143638637339897</v>
      </c>
    </row>
    <row r="495" spans="1:9" x14ac:dyDescent="0.2">
      <c r="A495">
        <v>485</v>
      </c>
      <c r="B495">
        <v>1378553.0617794776</v>
      </c>
      <c r="C495">
        <v>95041.009632256988</v>
      </c>
      <c r="D495">
        <v>109106.45111554986</v>
      </c>
      <c r="E495">
        <v>139908.47783850491</v>
      </c>
      <c r="F495">
        <v>45685.97154266572</v>
      </c>
      <c r="G495">
        <v>10000</v>
      </c>
      <c r="H495">
        <v>379741.9101289775</v>
      </c>
      <c r="I495">
        <v>45.206648269253748</v>
      </c>
    </row>
    <row r="496" spans="1:9" x14ac:dyDescent="0.2">
      <c r="A496">
        <v>486</v>
      </c>
      <c r="B496">
        <v>1586887.7753738696</v>
      </c>
      <c r="C496">
        <v>139949.43758441164</v>
      </c>
      <c r="D496">
        <v>60517.465438837426</v>
      </c>
      <c r="E496">
        <v>196750.66455118606</v>
      </c>
      <c r="F496">
        <v>49621.199853543651</v>
      </c>
      <c r="G496">
        <v>10000</v>
      </c>
      <c r="H496">
        <v>436838.7674279788</v>
      </c>
      <c r="I496">
        <v>35.079903159366182</v>
      </c>
    </row>
    <row r="497" spans="1:9" x14ac:dyDescent="0.2">
      <c r="A497">
        <v>487</v>
      </c>
      <c r="B497">
        <v>933104.54299717757</v>
      </c>
      <c r="C497">
        <v>85597.773773165172</v>
      </c>
      <c r="D497">
        <v>39988.323375011336</v>
      </c>
      <c r="E497">
        <v>99206.658093104081</v>
      </c>
      <c r="F497">
        <v>42868.153252599514</v>
      </c>
      <c r="G497">
        <v>10000</v>
      </c>
      <c r="H497">
        <v>257660.90849388012</v>
      </c>
      <c r="I497">
        <v>39.648303670326179</v>
      </c>
    </row>
    <row r="498" spans="1:9" x14ac:dyDescent="0.2">
      <c r="A498">
        <v>488</v>
      </c>
      <c r="B498">
        <v>1156896.2285221533</v>
      </c>
      <c r="C498">
        <v>153674.51383064713</v>
      </c>
      <c r="D498">
        <v>47853.131108358626</v>
      </c>
      <c r="E498">
        <v>85544.027649647513</v>
      </c>
      <c r="F498">
        <v>41922.278837283287</v>
      </c>
      <c r="G498">
        <v>10000</v>
      </c>
      <c r="H498">
        <v>318993.95142593654</v>
      </c>
      <c r="I498">
        <v>31.944309943904646</v>
      </c>
    </row>
    <row r="499" spans="1:9" x14ac:dyDescent="0.2">
      <c r="A499">
        <v>489</v>
      </c>
      <c r="B499">
        <v>1128892.9389866518</v>
      </c>
      <c r="C499">
        <v>154757.45020916295</v>
      </c>
      <c r="D499">
        <v>101959.71934965825</v>
      </c>
      <c r="E499">
        <v>26750.178136997354</v>
      </c>
      <c r="F499">
        <v>37851.935409484431</v>
      </c>
      <c r="G499">
        <v>10000</v>
      </c>
      <c r="H499">
        <v>311319.28310530295</v>
      </c>
      <c r="I499">
        <v>36.298817134434287</v>
      </c>
    </row>
    <row r="500" spans="1:9" x14ac:dyDescent="0.2">
      <c r="A500">
        <v>490</v>
      </c>
      <c r="B500">
        <v>784146.87565099937</v>
      </c>
      <c r="C500">
        <v>99843.904042018432</v>
      </c>
      <c r="D500">
        <v>53668.484122904469</v>
      </c>
      <c r="E500">
        <v>34908.01183989799</v>
      </c>
      <c r="F500">
        <v>38416.70851199294</v>
      </c>
      <c r="G500">
        <v>10000</v>
      </c>
      <c r="H500">
        <v>216837.10851681381</v>
      </c>
      <c r="I500">
        <v>41.029528358414133</v>
      </c>
    </row>
    <row r="501" spans="1:9" x14ac:dyDescent="0.2">
      <c r="A501">
        <v>491</v>
      </c>
      <c r="B501">
        <v>1108609.0383314271</v>
      </c>
      <c r="C501">
        <v>113056.43302360101</v>
      </c>
      <c r="D501">
        <v>109877.55537571477</v>
      </c>
      <c r="E501">
        <v>53146.830096789658</v>
      </c>
      <c r="F501">
        <v>39679.395929777747</v>
      </c>
      <c r="G501">
        <v>10000</v>
      </c>
      <c r="H501">
        <v>305760.2144258832</v>
      </c>
      <c r="I501">
        <v>27.872910529277398</v>
      </c>
    </row>
    <row r="502" spans="1:9" x14ac:dyDescent="0.2">
      <c r="A502">
        <v>492</v>
      </c>
      <c r="B502">
        <v>1399346.9184243819</v>
      </c>
      <c r="C502">
        <v>104526.40159709187</v>
      </c>
      <c r="D502">
        <v>102902.19042608871</v>
      </c>
      <c r="E502">
        <v>142169.63379534538</v>
      </c>
      <c r="F502">
        <v>45842.513108908519</v>
      </c>
      <c r="G502">
        <v>10000</v>
      </c>
      <c r="H502">
        <v>385440.73892743443</v>
      </c>
      <c r="I502">
        <v>34.082907966346042</v>
      </c>
    </row>
    <row r="503" spans="1:9" x14ac:dyDescent="0.2">
      <c r="A503">
        <v>493</v>
      </c>
      <c r="B503">
        <v>1499392.6198646883</v>
      </c>
      <c r="C503">
        <v>122900.3908133442</v>
      </c>
      <c r="D503">
        <v>72977.755209019757</v>
      </c>
      <c r="E503">
        <v>178615.72394762002</v>
      </c>
      <c r="F503">
        <v>48365.703965604465</v>
      </c>
      <c r="G503">
        <v>10000</v>
      </c>
      <c r="H503">
        <v>412859.57393558847</v>
      </c>
      <c r="I503">
        <v>45.711210427176567</v>
      </c>
    </row>
    <row r="504" spans="1:9" x14ac:dyDescent="0.2">
      <c r="A504">
        <v>494</v>
      </c>
      <c r="B504">
        <v>1544393.2615452749</v>
      </c>
      <c r="C504">
        <v>90485.922211595447</v>
      </c>
      <c r="D504">
        <v>97207.275333535101</v>
      </c>
      <c r="E504">
        <v>197805.18650056035</v>
      </c>
      <c r="F504">
        <v>49694.205219269563</v>
      </c>
      <c r="G504">
        <v>10000</v>
      </c>
      <c r="H504">
        <v>425192.58926496044</v>
      </c>
      <c r="I504">
        <v>34.181110426946788</v>
      </c>
    </row>
    <row r="505" spans="1:9" x14ac:dyDescent="0.2">
      <c r="A505">
        <v>495</v>
      </c>
      <c r="B505">
        <v>1493314.7497965945</v>
      </c>
      <c r="C505">
        <v>124781.02762480652</v>
      </c>
      <c r="D505">
        <v>144592.18453643215</v>
      </c>
      <c r="E505">
        <v>108321.46361601884</v>
      </c>
      <c r="F505">
        <v>43499.17825033977</v>
      </c>
      <c r="G505">
        <v>10000</v>
      </c>
      <c r="H505">
        <v>411193.85402759723</v>
      </c>
      <c r="I505">
        <v>38.912613140540522</v>
      </c>
    </row>
    <row r="506" spans="1:9" x14ac:dyDescent="0.2">
      <c r="A506">
        <v>496</v>
      </c>
      <c r="B506">
        <v>1457835.822547697</v>
      </c>
      <c r="C506">
        <v>103632.74830682293</v>
      </c>
      <c r="D506">
        <v>89395.402489523694</v>
      </c>
      <c r="E506">
        <v>170629.43166226835</v>
      </c>
      <c r="F506">
        <v>47812.806807387809</v>
      </c>
      <c r="G506">
        <v>10000</v>
      </c>
      <c r="H506">
        <v>401470.38926600275</v>
      </c>
      <c r="I506">
        <v>24.747598773531543</v>
      </c>
    </row>
    <row r="507" spans="1:9" x14ac:dyDescent="0.2">
      <c r="A507">
        <v>497</v>
      </c>
      <c r="B507">
        <v>983924.22038312047</v>
      </c>
      <c r="C507">
        <v>92130.008857480105</v>
      </c>
      <c r="D507">
        <v>78592.115601616155</v>
      </c>
      <c r="E507">
        <v>70019.105771106042</v>
      </c>
      <c r="F507">
        <v>40847.476553384258</v>
      </c>
      <c r="G507">
        <v>10000</v>
      </c>
      <c r="H507">
        <v>271588.70678358659</v>
      </c>
      <c r="I507">
        <v>34.908901746769018</v>
      </c>
    </row>
    <row r="508" spans="1:9" x14ac:dyDescent="0.2">
      <c r="A508">
        <v>498</v>
      </c>
      <c r="B508">
        <v>1609674.4236850441</v>
      </c>
      <c r="C508">
        <v>148569.26219533812</v>
      </c>
      <c r="D508">
        <v>111083.6684576322</v>
      </c>
      <c r="E508">
        <v>147237.45403159125</v>
      </c>
      <c r="F508">
        <v>46193.362202187091</v>
      </c>
      <c r="G508">
        <v>10000</v>
      </c>
      <c r="H508">
        <v>443083.74688674865</v>
      </c>
      <c r="I508">
        <v>31.879611154738182</v>
      </c>
    </row>
    <row r="509" spans="1:9" x14ac:dyDescent="0.2">
      <c r="A509">
        <v>499</v>
      </c>
      <c r="B509">
        <v>1208664.8259847395</v>
      </c>
      <c r="C509">
        <v>120439.71210856072</v>
      </c>
      <c r="D509">
        <v>92720.055312598619</v>
      </c>
      <c r="E509">
        <v>87934.287879983371</v>
      </c>
      <c r="F509">
        <v>42087.758391691154</v>
      </c>
      <c r="G509">
        <v>10000</v>
      </c>
      <c r="H509">
        <v>333181.81369283388</v>
      </c>
      <c r="I509">
        <v>28.01254305729595</v>
      </c>
    </row>
    <row r="510" spans="1:9" x14ac:dyDescent="0.2">
      <c r="A510">
        <v>500</v>
      </c>
      <c r="B510">
        <v>1394713.7683001044</v>
      </c>
      <c r="C510">
        <v>121150.86481251246</v>
      </c>
      <c r="D510">
        <v>68487.436937109174</v>
      </c>
      <c r="E510">
        <v>157620.47496677237</v>
      </c>
      <c r="F510">
        <v>46912.186728468856</v>
      </c>
      <c r="G510">
        <v>10000</v>
      </c>
      <c r="H510">
        <v>384170.96344486286</v>
      </c>
      <c r="I510">
        <v>42.359924483271151</v>
      </c>
    </row>
    <row r="511" spans="1:9" x14ac:dyDescent="0.2">
      <c r="A511">
        <v>501</v>
      </c>
      <c r="B511">
        <v>1084133.1656245566</v>
      </c>
      <c r="C511">
        <v>94659.791847358691</v>
      </c>
      <c r="D511">
        <v>44274.990667739352</v>
      </c>
      <c r="E511">
        <v>125433.63157722143</v>
      </c>
      <c r="F511">
        <v>44683.866801499949</v>
      </c>
      <c r="G511">
        <v>10000</v>
      </c>
      <c r="H511">
        <v>299052.28089381946</v>
      </c>
      <c r="I511">
        <v>30.327345820943208</v>
      </c>
    </row>
    <row r="512" spans="1:9" x14ac:dyDescent="0.2">
      <c r="A512">
        <v>502</v>
      </c>
      <c r="B512">
        <v>1455725.5606546986</v>
      </c>
      <c r="C512">
        <v>97885.711245185914</v>
      </c>
      <c r="D512">
        <v>144654.43850761457</v>
      </c>
      <c r="E512">
        <v>123782.34746620161</v>
      </c>
      <c r="F512">
        <v>44569.547132275489</v>
      </c>
      <c r="G512">
        <v>10000</v>
      </c>
      <c r="H512">
        <v>400892.04435127758</v>
      </c>
      <c r="I512">
        <v>33.301811121463956</v>
      </c>
    </row>
    <row r="513" spans="1:9" x14ac:dyDescent="0.2">
      <c r="A513">
        <v>503</v>
      </c>
      <c r="B513">
        <v>1421403.0553628383</v>
      </c>
      <c r="C513">
        <v>103963.384660148</v>
      </c>
      <c r="D513">
        <v>96383.200061550859</v>
      </c>
      <c r="E513">
        <v>154446.47891346304</v>
      </c>
      <c r="F513">
        <v>46692.448540162826</v>
      </c>
      <c r="G513">
        <v>10000</v>
      </c>
      <c r="H513">
        <v>391485.51217532472</v>
      </c>
      <c r="I513">
        <v>28.22509326327938</v>
      </c>
    </row>
    <row r="514" spans="1:9" x14ac:dyDescent="0.2">
      <c r="A514">
        <v>504</v>
      </c>
      <c r="B514">
        <v>875007.55303063476</v>
      </c>
      <c r="C514">
        <v>81483.729229474222</v>
      </c>
      <c r="D514">
        <v>63169.704790592928</v>
      </c>
      <c r="E514">
        <v>66482.592335842186</v>
      </c>
      <c r="F514">
        <v>40602.641007865997</v>
      </c>
      <c r="G514">
        <v>10000</v>
      </c>
      <c r="H514">
        <v>241738.66736377537</v>
      </c>
      <c r="I514">
        <v>39.432690011562045</v>
      </c>
    </row>
    <row r="515" spans="1:9" x14ac:dyDescent="0.2">
      <c r="A515">
        <v>505</v>
      </c>
      <c r="B515">
        <v>1054882.8115076844</v>
      </c>
      <c r="C515">
        <v>98248.732686460455</v>
      </c>
      <c r="D515">
        <v>86521.761569815761</v>
      </c>
      <c r="E515">
        <v>75068.307275200787</v>
      </c>
      <c r="F515">
        <v>41197.036657513898</v>
      </c>
      <c r="G515">
        <v>10000</v>
      </c>
      <c r="H515">
        <v>291035.83818899089</v>
      </c>
      <c r="I515">
        <v>35.632990302928533</v>
      </c>
    </row>
    <row r="516" spans="1:9" x14ac:dyDescent="0.2">
      <c r="A516">
        <v>506</v>
      </c>
      <c r="B516">
        <v>1049581.9068744008</v>
      </c>
      <c r="C516">
        <v>128382.38508896864</v>
      </c>
      <c r="D516">
        <v>87689.117385957696</v>
      </c>
      <c r="E516">
        <v>44435.265733482134</v>
      </c>
      <c r="F516">
        <v>39076.287627702608</v>
      </c>
      <c r="G516">
        <v>10000</v>
      </c>
      <c r="H516">
        <v>289583.05583611107</v>
      </c>
      <c r="I516">
        <v>31.796110356013653</v>
      </c>
    </row>
    <row r="517" spans="1:9" x14ac:dyDescent="0.2">
      <c r="A517">
        <v>507</v>
      </c>
      <c r="B517">
        <v>1112573.2173809325</v>
      </c>
      <c r="C517">
        <v>87521.247706960843</v>
      </c>
      <c r="D517">
        <v>70007.795684115612</v>
      </c>
      <c r="E517">
        <v>115333.01302206573</v>
      </c>
      <c r="F517">
        <v>43984.593209219929</v>
      </c>
      <c r="G517">
        <v>10000</v>
      </c>
      <c r="H517">
        <v>306846.64962236211</v>
      </c>
      <c r="I517">
        <v>35.220812716922396</v>
      </c>
    </row>
    <row r="518" spans="1:9" x14ac:dyDescent="0.2">
      <c r="A518">
        <v>508</v>
      </c>
      <c r="B518">
        <v>1536425.4835701531</v>
      </c>
      <c r="C518">
        <v>129327.9641518742</v>
      </c>
      <c r="D518">
        <v>54317.547890878835</v>
      </c>
      <c r="E518">
        <v>199548.50667955194</v>
      </c>
      <c r="F518">
        <v>49814.896616276674</v>
      </c>
      <c r="G518">
        <v>10000</v>
      </c>
      <c r="H518">
        <v>423008.91533858166</v>
      </c>
      <c r="I518">
        <v>31.181709100886163</v>
      </c>
    </row>
    <row r="519" spans="1:9" x14ac:dyDescent="0.2">
      <c r="A519">
        <v>509</v>
      </c>
      <c r="B519">
        <v>1802337.3365420802</v>
      </c>
      <c r="C519">
        <v>92996.94858584342</v>
      </c>
      <c r="D519">
        <v>160326.67010748215</v>
      </c>
      <c r="E519">
        <v>202539.92818273167</v>
      </c>
      <c r="F519">
        <v>50021.995028035271</v>
      </c>
      <c r="G519">
        <v>10000</v>
      </c>
      <c r="H519">
        <v>495885.54190409248</v>
      </c>
      <c r="I519">
        <v>38.008226233670328</v>
      </c>
    </row>
    <row r="520" spans="1:9" x14ac:dyDescent="0.2">
      <c r="A520">
        <v>510</v>
      </c>
      <c r="B520">
        <v>1258155.9493751819</v>
      </c>
      <c r="C520">
        <v>112209.92683279084</v>
      </c>
      <c r="D520">
        <v>45951.657849310803</v>
      </c>
      <c r="E520">
        <v>152056.90329302277</v>
      </c>
      <c r="F520">
        <v>46527.016381824651</v>
      </c>
      <c r="G520">
        <v>10000</v>
      </c>
      <c r="H520">
        <v>346745.50435694901</v>
      </c>
      <c r="I520">
        <v>36.73488703165588</v>
      </c>
    </row>
    <row r="521" spans="1:9" x14ac:dyDescent="0.2">
      <c r="A521">
        <v>511</v>
      </c>
      <c r="B521">
        <v>1336519.8113240162</v>
      </c>
      <c r="C521">
        <v>107359.17807439757</v>
      </c>
      <c r="D521">
        <v>101901.32578960668</v>
      </c>
      <c r="E521">
        <v>124352.61610292424</v>
      </c>
      <c r="F521">
        <v>44609.027268663987</v>
      </c>
      <c r="G521">
        <v>10000</v>
      </c>
      <c r="H521">
        <v>368222.14723559248</v>
      </c>
      <c r="I521">
        <v>38.681865904706882</v>
      </c>
    </row>
    <row r="522" spans="1:9" x14ac:dyDescent="0.2">
      <c r="A522">
        <v>512</v>
      </c>
      <c r="B522">
        <v>1219200.9774170306</v>
      </c>
      <c r="C522">
        <v>126389.51922062763</v>
      </c>
      <c r="D522">
        <v>129612.07740390139</v>
      </c>
      <c r="E522">
        <v>50566.995395584527</v>
      </c>
      <c r="F522">
        <v>39500.791988925084</v>
      </c>
      <c r="G522">
        <v>10000</v>
      </c>
      <c r="H522">
        <v>336069.38400903862</v>
      </c>
      <c r="I522">
        <v>45.639880055483424</v>
      </c>
    </row>
    <row r="523" spans="1:9" x14ac:dyDescent="0.2">
      <c r="A523">
        <v>513</v>
      </c>
      <c r="B523">
        <v>1004701.008510249</v>
      </c>
      <c r="C523">
        <v>131300.40541808467</v>
      </c>
      <c r="D523">
        <v>72589.490181816102</v>
      </c>
      <c r="E523">
        <v>44324.353072402097</v>
      </c>
      <c r="F523">
        <v>39068.609058858608</v>
      </c>
      <c r="G523">
        <v>10000</v>
      </c>
      <c r="H523">
        <v>277282.85773116146</v>
      </c>
      <c r="I523">
        <v>38.947493673483663</v>
      </c>
    </row>
    <row r="524" spans="1:9" x14ac:dyDescent="0.2">
      <c r="A524">
        <v>514</v>
      </c>
      <c r="B524">
        <v>1388591.2653982993</v>
      </c>
      <c r="C524">
        <v>131459.31117079855</v>
      </c>
      <c r="D524">
        <v>147903.90301097621</v>
      </c>
      <c r="E524">
        <v>72135.78150004847</v>
      </c>
      <c r="F524">
        <v>40994.015642311046</v>
      </c>
      <c r="G524">
        <v>10000</v>
      </c>
      <c r="H524">
        <v>382493.01132413431</v>
      </c>
      <c r="I524">
        <v>31.664925111569829</v>
      </c>
    </row>
    <row r="525" spans="1:9" x14ac:dyDescent="0.2">
      <c r="A525">
        <v>515</v>
      </c>
      <c r="B525">
        <v>1411656.4599325289</v>
      </c>
      <c r="C525">
        <v>129891.42586079422</v>
      </c>
      <c r="D525">
        <v>117029.0511643581</v>
      </c>
      <c r="E525">
        <v>108389.93445944018</v>
      </c>
      <c r="F525">
        <v>43503.918539499704</v>
      </c>
      <c r="G525">
        <v>10000</v>
      </c>
      <c r="H525">
        <v>388814.33002409217</v>
      </c>
      <c r="I525">
        <v>24.878992672877452</v>
      </c>
    </row>
    <row r="526" spans="1:9" x14ac:dyDescent="0.2">
      <c r="A526">
        <v>516</v>
      </c>
      <c r="B526">
        <v>1563401.4173082141</v>
      </c>
      <c r="C526">
        <v>98881.808269116809</v>
      </c>
      <c r="D526">
        <v>87461.860445247454</v>
      </c>
      <c r="E526">
        <v>203939.46835985588</v>
      </c>
      <c r="F526">
        <v>50118.886271066949</v>
      </c>
      <c r="G526">
        <v>10000</v>
      </c>
      <c r="H526">
        <v>430402.02334528707</v>
      </c>
      <c r="I526">
        <v>37.009635212257628</v>
      </c>
    </row>
    <row r="527" spans="1:9" x14ac:dyDescent="0.2">
      <c r="A527">
        <v>517</v>
      </c>
      <c r="B527">
        <v>1217234.3894219738</v>
      </c>
      <c r="C527">
        <v>87722.638530189681</v>
      </c>
      <c r="D527">
        <v>61420.239637167375</v>
      </c>
      <c r="E527">
        <v>150002.73211002068</v>
      </c>
      <c r="F527">
        <v>46384.804530693742</v>
      </c>
      <c r="G527">
        <v>10000</v>
      </c>
      <c r="H527">
        <v>335530.41480807151</v>
      </c>
      <c r="I527">
        <v>34.543458519356179</v>
      </c>
    </row>
    <row r="528" spans="1:9" x14ac:dyDescent="0.2">
      <c r="A528">
        <v>518</v>
      </c>
      <c r="B528">
        <v>1320711.1820974043</v>
      </c>
      <c r="C528">
        <v>89873.05742259507</v>
      </c>
      <c r="D528">
        <v>56377.456392355183</v>
      </c>
      <c r="E528">
        <v>179230.78629416629</v>
      </c>
      <c r="F528">
        <v>48408.285204980748</v>
      </c>
      <c r="G528">
        <v>10000</v>
      </c>
      <c r="H528">
        <v>363889.58531409729</v>
      </c>
      <c r="I528">
        <v>34.146289984964142</v>
      </c>
    </row>
    <row r="529" spans="1:9" x14ac:dyDescent="0.2">
      <c r="A529">
        <v>519</v>
      </c>
      <c r="B529">
        <v>1094299.277762529</v>
      </c>
      <c r="C529">
        <v>102823.27113608462</v>
      </c>
      <c r="D529">
        <v>105097.56791219146</v>
      </c>
      <c r="E529">
        <v>63520.055726367478</v>
      </c>
      <c r="F529">
        <v>40397.542319517743</v>
      </c>
      <c r="G529">
        <v>10000</v>
      </c>
      <c r="H529">
        <v>301838.43709416129</v>
      </c>
      <c r="I529">
        <v>44.067953167206454</v>
      </c>
    </row>
    <row r="530" spans="1:9" x14ac:dyDescent="0.2">
      <c r="A530">
        <v>520</v>
      </c>
      <c r="B530">
        <v>916017.37650549854</v>
      </c>
      <c r="C530">
        <v>75761.184378551567</v>
      </c>
      <c r="D530">
        <v>50561.581102887285</v>
      </c>
      <c r="E530">
        <v>94137.939256955477</v>
      </c>
      <c r="F530">
        <v>42517.241948558461</v>
      </c>
      <c r="G530">
        <v>10000</v>
      </c>
      <c r="H530">
        <v>252977.94668695278</v>
      </c>
      <c r="I530">
        <v>37.290624835744708</v>
      </c>
    </row>
    <row r="531" spans="1:9" x14ac:dyDescent="0.2">
      <c r="A531">
        <v>521</v>
      </c>
      <c r="B531">
        <v>1153661.99252629</v>
      </c>
      <c r="C531">
        <v>105343.03888169154</v>
      </c>
      <c r="D531">
        <v>67439.860838662644</v>
      </c>
      <c r="E531">
        <v>111598.60939144187</v>
      </c>
      <c r="F531">
        <v>43726.057573253667</v>
      </c>
      <c r="G531">
        <v>10000</v>
      </c>
      <c r="H531">
        <v>318107.56668504968</v>
      </c>
      <c r="I531">
        <v>29.530721958691103</v>
      </c>
    </row>
    <row r="532" spans="1:9" x14ac:dyDescent="0.2">
      <c r="A532">
        <v>522</v>
      </c>
      <c r="B532">
        <v>895186.4570985185</v>
      </c>
      <c r="C532">
        <v>108096.56993947686</v>
      </c>
      <c r="D532">
        <v>67915.794621977562</v>
      </c>
      <c r="E532">
        <v>42326.312610847475</v>
      </c>
      <c r="F532">
        <v>38930.283180750979</v>
      </c>
      <c r="G532">
        <v>10000</v>
      </c>
      <c r="H532">
        <v>247268.96035305288</v>
      </c>
      <c r="I532">
        <v>38.453264471355524</v>
      </c>
    </row>
    <row r="533" spans="1:9" x14ac:dyDescent="0.2">
      <c r="A533">
        <v>523</v>
      </c>
      <c r="B533">
        <v>844642.03482659091</v>
      </c>
      <c r="C533">
        <v>82234.291973455809</v>
      </c>
      <c r="D533">
        <v>89925.323020205033</v>
      </c>
      <c r="E533">
        <v>32974.158015200854</v>
      </c>
      <c r="F533">
        <v>38282.826324129288</v>
      </c>
      <c r="G533">
        <v>10000</v>
      </c>
      <c r="H533">
        <v>233416.599332991</v>
      </c>
      <c r="I533">
        <v>28.40293977214565</v>
      </c>
    </row>
    <row r="534" spans="1:9" x14ac:dyDescent="0.2">
      <c r="A534">
        <v>524</v>
      </c>
      <c r="B534">
        <v>1232632.4794734218</v>
      </c>
      <c r="C534">
        <v>92594.323900325719</v>
      </c>
      <c r="D534">
        <v>77557.746211121019</v>
      </c>
      <c r="E534">
        <v>134300.65530446684</v>
      </c>
      <c r="F534">
        <v>45297.737674924625</v>
      </c>
      <c r="G534">
        <v>10000</v>
      </c>
      <c r="H534">
        <v>339750.46309083817</v>
      </c>
      <c r="I534">
        <v>31.769844145490779</v>
      </c>
    </row>
    <row r="535" spans="1:9" x14ac:dyDescent="0.2">
      <c r="A535">
        <v>525</v>
      </c>
      <c r="B535">
        <v>1593774.016198043</v>
      </c>
      <c r="C535">
        <v>91592.801156885122</v>
      </c>
      <c r="D535">
        <v>109252.10343056462</v>
      </c>
      <c r="E535">
        <v>198162.20542899796</v>
      </c>
      <c r="F535">
        <v>49718.921914315244</v>
      </c>
      <c r="G535">
        <v>10000</v>
      </c>
      <c r="H535">
        <v>438726.03193076298</v>
      </c>
      <c r="I535">
        <v>31.272189328069796</v>
      </c>
    </row>
    <row r="536" spans="1:9" x14ac:dyDescent="0.2">
      <c r="A536">
        <v>526</v>
      </c>
      <c r="B536">
        <v>850956.53609126818</v>
      </c>
      <c r="C536">
        <v>99546.902342159432</v>
      </c>
      <c r="D536">
        <v>38696.28598751688</v>
      </c>
      <c r="E536">
        <v>66313.077429900528</v>
      </c>
      <c r="F536">
        <v>40590.905360531571</v>
      </c>
      <c r="G536">
        <v>10000</v>
      </c>
      <c r="H536">
        <v>235147.1711201084</v>
      </c>
      <c r="I536">
        <v>44.37722635738902</v>
      </c>
    </row>
    <row r="537" spans="1:9" x14ac:dyDescent="0.2">
      <c r="A537">
        <v>527</v>
      </c>
      <c r="B537">
        <v>1414133.7271413582</v>
      </c>
      <c r="C537">
        <v>100562.50299624846</v>
      </c>
      <c r="D537">
        <v>68719.564743187904</v>
      </c>
      <c r="E537">
        <v>181636.36457396072</v>
      </c>
      <c r="F537">
        <v>48574.825239735743</v>
      </c>
      <c r="G537">
        <v>10000</v>
      </c>
      <c r="H537">
        <v>389493.25755313283</v>
      </c>
      <c r="I537">
        <v>40.239949206776011</v>
      </c>
    </row>
    <row r="538" spans="1:9" x14ac:dyDescent="0.2">
      <c r="A538">
        <v>528</v>
      </c>
      <c r="B538">
        <v>868455.63931162283</v>
      </c>
      <c r="C538">
        <v>100976.61655341055</v>
      </c>
      <c r="D538">
        <v>69013.854426582271</v>
      </c>
      <c r="E538">
        <v>41106.709485398445</v>
      </c>
      <c r="F538">
        <v>38845.849118219892</v>
      </c>
      <c r="G538">
        <v>10000</v>
      </c>
      <c r="H538">
        <v>239943.02958361115</v>
      </c>
      <c r="I538">
        <v>39.046246425031882</v>
      </c>
    </row>
    <row r="539" spans="1:9" x14ac:dyDescent="0.2">
      <c r="A539">
        <v>529</v>
      </c>
      <c r="B539">
        <v>1546642.1484930764</v>
      </c>
      <c r="C539">
        <v>118583.4770201254</v>
      </c>
      <c r="D539">
        <v>102567.00467103736</v>
      </c>
      <c r="E539">
        <v>167090.63154740093</v>
      </c>
      <c r="F539">
        <v>47567.812953281602</v>
      </c>
      <c r="G539">
        <v>10000</v>
      </c>
      <c r="H539">
        <v>425808.92619184527</v>
      </c>
      <c r="I539">
        <v>35.481104579175295</v>
      </c>
    </row>
    <row r="540" spans="1:9" x14ac:dyDescent="0.2">
      <c r="A540">
        <v>530</v>
      </c>
      <c r="B540">
        <v>1417110.2505427464</v>
      </c>
      <c r="C540">
        <v>110217.8279064903</v>
      </c>
      <c r="D540">
        <v>146374.38498400126</v>
      </c>
      <c r="E540">
        <v>100742.33083345728</v>
      </c>
      <c r="F540">
        <v>42974.469057700888</v>
      </c>
      <c r="G540">
        <v>10000</v>
      </c>
      <c r="H540">
        <v>390309.01278164971</v>
      </c>
      <c r="I540">
        <v>31.321815029351203</v>
      </c>
    </row>
    <row r="541" spans="1:9" x14ac:dyDescent="0.2">
      <c r="A541">
        <v>531</v>
      </c>
      <c r="B541">
        <v>1388278.2709184866</v>
      </c>
      <c r="C541">
        <v>86977.797744711599</v>
      </c>
      <c r="D541">
        <v>94547.483899431638</v>
      </c>
      <c r="E541">
        <v>163558.65775225015</v>
      </c>
      <c r="F541">
        <v>47323.291690540391</v>
      </c>
      <c r="G541">
        <v>10000</v>
      </c>
      <c r="H541">
        <v>382407.23108693375</v>
      </c>
      <c r="I541">
        <v>46.848997861757127</v>
      </c>
    </row>
    <row r="542" spans="1:9" x14ac:dyDescent="0.2">
      <c r="A542">
        <v>532</v>
      </c>
      <c r="B542">
        <v>1053874.4579967132</v>
      </c>
      <c r="C542">
        <v>88321.79767649743</v>
      </c>
      <c r="D542">
        <v>44943.496209313089</v>
      </c>
      <c r="E542">
        <v>122980.17939511409</v>
      </c>
      <c r="F542">
        <v>44514.012419661747</v>
      </c>
      <c r="G542">
        <v>10000</v>
      </c>
      <c r="H542">
        <v>290759.48570058635</v>
      </c>
      <c r="I542">
        <v>40.865388799129605</v>
      </c>
    </row>
    <row r="543" spans="1:9" x14ac:dyDescent="0.2">
      <c r="A543">
        <v>533</v>
      </c>
      <c r="B543">
        <v>1710487.2035132463</v>
      </c>
      <c r="C543">
        <v>118869.04060399822</v>
      </c>
      <c r="D543">
        <v>114675.06770258468</v>
      </c>
      <c r="E543">
        <v>197495.90784843467</v>
      </c>
      <c r="F543">
        <v>49672.79362027625</v>
      </c>
      <c r="G543">
        <v>10000</v>
      </c>
      <c r="H543">
        <v>470712.8097752938</v>
      </c>
      <c r="I543">
        <v>34.726266219210054</v>
      </c>
    </row>
    <row r="544" spans="1:9" x14ac:dyDescent="0.2">
      <c r="A544">
        <v>534</v>
      </c>
      <c r="B544">
        <v>1573233.4234156935</v>
      </c>
      <c r="C544">
        <v>83394.844948414568</v>
      </c>
      <c r="D544">
        <v>108489.42911647304</v>
      </c>
      <c r="E544">
        <v>201277.72744639529</v>
      </c>
      <c r="F544">
        <v>49934.611900135053</v>
      </c>
      <c r="G544">
        <v>10000</v>
      </c>
      <c r="H544">
        <v>433096.61341141793</v>
      </c>
      <c r="I544">
        <v>36.017509456421621</v>
      </c>
    </row>
    <row r="545" spans="1:9" x14ac:dyDescent="0.2">
      <c r="A545">
        <v>535</v>
      </c>
      <c r="B545">
        <v>1711965.6543290527</v>
      </c>
      <c r="C545">
        <v>90805.319465303517</v>
      </c>
      <c r="D545">
        <v>152671.02419272173</v>
      </c>
      <c r="E545">
        <v>188585.72043813681</v>
      </c>
      <c r="F545">
        <v>49055.934491871005</v>
      </c>
      <c r="G545">
        <v>10000</v>
      </c>
      <c r="H545">
        <v>471117.99858803308</v>
      </c>
      <c r="I545">
        <v>27.839069911946176</v>
      </c>
    </row>
    <row r="546" spans="1:9" x14ac:dyDescent="0.2">
      <c r="A546">
        <v>536</v>
      </c>
      <c r="B546">
        <v>1326449.2131836254</v>
      </c>
      <c r="C546">
        <v>102885.1473882336</v>
      </c>
      <c r="D546">
        <v>132685.90257072792</v>
      </c>
      <c r="E546">
        <v>97164.354906503984</v>
      </c>
      <c r="F546">
        <v>42726.763031988739</v>
      </c>
      <c r="G546">
        <v>10000</v>
      </c>
      <c r="H546">
        <v>365462.16789745423</v>
      </c>
      <c r="I546">
        <v>41.63669214210266</v>
      </c>
    </row>
    <row r="547" spans="1:9" x14ac:dyDescent="0.2">
      <c r="A547">
        <v>537</v>
      </c>
      <c r="B547">
        <v>1217544.7650291636</v>
      </c>
      <c r="C547">
        <v>130190.98965480582</v>
      </c>
      <c r="D547">
        <v>105952.81575398803</v>
      </c>
      <c r="E547">
        <v>68714.513287891852</v>
      </c>
      <c r="F547">
        <v>40757.158612238665</v>
      </c>
      <c r="G547">
        <v>10000</v>
      </c>
      <c r="H547">
        <v>335615.47730892437</v>
      </c>
      <c r="I547">
        <v>29.320116444396234</v>
      </c>
    </row>
    <row r="548" spans="1:9" x14ac:dyDescent="0.2">
      <c r="A548">
        <v>538</v>
      </c>
      <c r="B548">
        <v>1296544.5216057468</v>
      </c>
      <c r="C548">
        <v>108561.778362974</v>
      </c>
      <c r="D548">
        <v>132469.16399687505</v>
      </c>
      <c r="E548">
        <v>84392.869787262258</v>
      </c>
      <c r="F548">
        <v>41842.583292964315</v>
      </c>
      <c r="G548">
        <v>10000</v>
      </c>
      <c r="H548">
        <v>357266.3954400756</v>
      </c>
      <c r="I548">
        <v>31.611440332295395</v>
      </c>
    </row>
    <row r="549" spans="1:9" x14ac:dyDescent="0.2">
      <c r="A549">
        <v>539</v>
      </c>
      <c r="B549">
        <v>1320383.5598585524</v>
      </c>
      <c r="C549">
        <v>131349.85222226541</v>
      </c>
      <c r="D549">
        <v>62121.094501563428</v>
      </c>
      <c r="E549">
        <v>134983.8160081415</v>
      </c>
      <c r="F549">
        <v>45345.033415948252</v>
      </c>
      <c r="G549">
        <v>10000</v>
      </c>
      <c r="H549">
        <v>363799.79614791862</v>
      </c>
      <c r="I549">
        <v>41.357269375600701</v>
      </c>
    </row>
    <row r="550" spans="1:9" x14ac:dyDescent="0.2">
      <c r="A550">
        <v>540</v>
      </c>
      <c r="B550">
        <v>1305896.3297501416</v>
      </c>
      <c r="C550">
        <v>103494.04304938023</v>
      </c>
      <c r="D550">
        <v>83269.436017726213</v>
      </c>
      <c r="E550">
        <v>137543.64925624366</v>
      </c>
      <c r="F550">
        <v>45522.252640816871</v>
      </c>
      <c r="G550">
        <v>10000</v>
      </c>
      <c r="H550">
        <v>359829.38096416695</v>
      </c>
      <c r="I550">
        <v>47.088547703671615</v>
      </c>
    </row>
    <row r="551" spans="1:9" x14ac:dyDescent="0.2">
      <c r="A551">
        <v>541</v>
      </c>
      <c r="B551">
        <v>1536507.8821409908</v>
      </c>
      <c r="C551">
        <v>109616.80450416656</v>
      </c>
      <c r="D551">
        <v>92128.756064808273</v>
      </c>
      <c r="E551">
        <v>182641.52397877755</v>
      </c>
      <c r="F551">
        <v>48644.413198530754</v>
      </c>
      <c r="G551">
        <v>10000</v>
      </c>
      <c r="H551">
        <v>423031.49774628313</v>
      </c>
      <c r="I551">
        <v>47.298005448402243</v>
      </c>
    </row>
    <row r="552" spans="1:9" x14ac:dyDescent="0.2">
      <c r="A552">
        <v>542</v>
      </c>
      <c r="B552">
        <v>1487567.8373651793</v>
      </c>
      <c r="C552">
        <v>106522.08858894226</v>
      </c>
      <c r="D552">
        <v>75906.894995257375</v>
      </c>
      <c r="E552">
        <v>188163.1726290404</v>
      </c>
      <c r="F552">
        <v>49026.681182010492</v>
      </c>
      <c r="G552">
        <v>10000</v>
      </c>
      <c r="H552">
        <v>409618.83739525051</v>
      </c>
      <c r="I552">
        <v>30.291923292002892</v>
      </c>
    </row>
    <row r="553" spans="1:9" x14ac:dyDescent="0.2">
      <c r="A553">
        <v>543</v>
      </c>
      <c r="B553">
        <v>1478845.5671083243</v>
      </c>
      <c r="C553">
        <v>140955.11664373719</v>
      </c>
      <c r="D553">
        <v>132962.62634465849</v>
      </c>
      <c r="E553">
        <v>100362.47092341898</v>
      </c>
      <c r="F553">
        <v>42948.17106392901</v>
      </c>
      <c r="G553">
        <v>10000</v>
      </c>
      <c r="H553">
        <v>407228.38497574371</v>
      </c>
      <c r="I553">
        <v>39.54264435914245</v>
      </c>
    </row>
    <row r="554" spans="1:9" x14ac:dyDescent="0.2">
      <c r="A554">
        <v>544</v>
      </c>
      <c r="B554">
        <v>1515056.0126813091</v>
      </c>
      <c r="C554">
        <v>117915.21000029295</v>
      </c>
      <c r="D554">
        <v>115857.49471229735</v>
      </c>
      <c r="E554">
        <v>147189.57939927516</v>
      </c>
      <c r="F554">
        <v>46190.047804565205</v>
      </c>
      <c r="G554">
        <v>10000</v>
      </c>
      <c r="H554">
        <v>417152.33191643067</v>
      </c>
      <c r="I554">
        <v>36.193849143374059</v>
      </c>
    </row>
    <row r="555" spans="1:9" x14ac:dyDescent="0.2">
      <c r="A555">
        <v>545</v>
      </c>
      <c r="B555">
        <v>1176752.7422949038</v>
      </c>
      <c r="C555">
        <v>104694.92845110528</v>
      </c>
      <c r="D555">
        <v>59705.578310912933</v>
      </c>
      <c r="E555">
        <v>125356.83243211976</v>
      </c>
      <c r="F555">
        <v>44678.549937608295</v>
      </c>
      <c r="G555">
        <v>10000</v>
      </c>
      <c r="H555">
        <v>324435.88913174625</v>
      </c>
      <c r="I555">
        <v>31.24547106500475</v>
      </c>
    </row>
    <row r="556" spans="1:9" x14ac:dyDescent="0.2">
      <c r="A556">
        <v>546</v>
      </c>
      <c r="B556">
        <v>1261086.900030009</v>
      </c>
      <c r="C556">
        <v>146575.11738268909</v>
      </c>
      <c r="D556">
        <v>122235.75511676182</v>
      </c>
      <c r="E556">
        <v>49323.2132814414</v>
      </c>
      <c r="F556">
        <v>39414.683996407482</v>
      </c>
      <c r="G556">
        <v>10000</v>
      </c>
      <c r="H556">
        <v>347548.76977729984</v>
      </c>
      <c r="I556">
        <v>33.745196680891311</v>
      </c>
    </row>
    <row r="557" spans="1:9" x14ac:dyDescent="0.2">
      <c r="A557">
        <v>547</v>
      </c>
      <c r="B557">
        <v>1450762.7142499452</v>
      </c>
      <c r="C557">
        <v>94984.803649270398</v>
      </c>
      <c r="D557">
        <v>68499.03641546164</v>
      </c>
      <c r="E557">
        <v>196447.83639235661</v>
      </c>
      <c r="F557">
        <v>49600.234827163149</v>
      </c>
      <c r="G557">
        <v>10000</v>
      </c>
      <c r="H557">
        <v>399531.91128425184</v>
      </c>
      <c r="I557">
        <v>29.320905077378491</v>
      </c>
    </row>
    <row r="558" spans="1:9" x14ac:dyDescent="0.2">
      <c r="A558">
        <v>548</v>
      </c>
      <c r="B558">
        <v>1530628.3480962415</v>
      </c>
      <c r="C558">
        <v>104829.9642969764</v>
      </c>
      <c r="D558">
        <v>129980.60288852466</v>
      </c>
      <c r="E558">
        <v>150210.38662551541</v>
      </c>
      <c r="F558">
        <v>46399.180612535682</v>
      </c>
      <c r="G558">
        <v>10000</v>
      </c>
      <c r="H558">
        <v>421420.13442355214</v>
      </c>
      <c r="I558">
        <v>35.570870141962502</v>
      </c>
    </row>
    <row r="559" spans="1:9" x14ac:dyDescent="0.2">
      <c r="A559">
        <v>549</v>
      </c>
      <c r="B559">
        <v>1470671.4542816994</v>
      </c>
      <c r="C559">
        <v>127794.57423011292</v>
      </c>
      <c r="D559">
        <v>120834.64622918142</v>
      </c>
      <c r="E559">
        <v>121918.43479678188</v>
      </c>
      <c r="F559">
        <v>44440.507024392595</v>
      </c>
      <c r="G559">
        <v>10000</v>
      </c>
      <c r="H559">
        <v>404988.16228046879</v>
      </c>
      <c r="I559">
        <v>34.242451513215101</v>
      </c>
    </row>
    <row r="560" spans="1:9" x14ac:dyDescent="0.2">
      <c r="A560">
        <v>550</v>
      </c>
      <c r="B560">
        <v>1356928.3683154806</v>
      </c>
      <c r="C560">
        <v>140858.52603508686</v>
      </c>
      <c r="D560">
        <v>94533.626086676028</v>
      </c>
      <c r="E560">
        <v>105144.0257148477</v>
      </c>
      <c r="F560">
        <v>43279.201780258692</v>
      </c>
      <c r="G560">
        <v>10000</v>
      </c>
      <c r="H560">
        <v>373815.37961686926</v>
      </c>
      <c r="I560">
        <v>52.651461202863956</v>
      </c>
    </row>
    <row r="561" spans="1:9" x14ac:dyDescent="0.2">
      <c r="A561">
        <v>551</v>
      </c>
      <c r="B561">
        <v>1524200.821383039</v>
      </c>
      <c r="C561">
        <v>145706.17406740115</v>
      </c>
      <c r="D561">
        <v>71276.668790658805</v>
      </c>
      <c r="E561">
        <v>165236.30703291233</v>
      </c>
      <c r="F561">
        <v>47439.436640740081</v>
      </c>
      <c r="G561">
        <v>10000</v>
      </c>
      <c r="H561">
        <v>419658.58653171238</v>
      </c>
      <c r="I561">
        <v>44.019785938856302</v>
      </c>
    </row>
    <row r="562" spans="1:9" x14ac:dyDescent="0.2">
      <c r="A562">
        <v>552</v>
      </c>
      <c r="B562">
        <v>1206359.1002901364</v>
      </c>
      <c r="C562">
        <v>92610.402597689143</v>
      </c>
      <c r="D562">
        <v>30636.339358298297</v>
      </c>
      <c r="E562">
        <v>171434.60764669694</v>
      </c>
      <c r="F562">
        <v>47868.54976015594</v>
      </c>
      <c r="G562">
        <v>10000</v>
      </c>
      <c r="H562">
        <v>332549.89936284034</v>
      </c>
      <c r="I562">
        <v>36.998828507209609</v>
      </c>
    </row>
    <row r="563" spans="1:9" x14ac:dyDescent="0.2">
      <c r="A563">
        <v>553</v>
      </c>
      <c r="B563">
        <v>1763716.994134495</v>
      </c>
      <c r="C563">
        <v>123800.75192453545</v>
      </c>
      <c r="D563">
        <v>145243.11031447456</v>
      </c>
      <c r="E563">
        <v>177938.45295510214</v>
      </c>
      <c r="F563">
        <v>48318.815973814766</v>
      </c>
      <c r="G563">
        <v>10000</v>
      </c>
      <c r="H563">
        <v>485301.13116792688</v>
      </c>
      <c r="I563">
        <v>37.217894938498119</v>
      </c>
    </row>
    <row r="564" spans="1:9" x14ac:dyDescent="0.2">
      <c r="A564">
        <v>554</v>
      </c>
      <c r="B564">
        <v>972932.07255247643</v>
      </c>
      <c r="C564">
        <v>80525.527486369305</v>
      </c>
      <c r="D564">
        <v>122482.08312293193</v>
      </c>
      <c r="E564">
        <v>37006.561362189292</v>
      </c>
      <c r="F564">
        <v>38561.992709690028</v>
      </c>
      <c r="G564">
        <v>10000</v>
      </c>
      <c r="H564">
        <v>268576.16468118055</v>
      </c>
      <c r="I564">
        <v>36.057043267872508</v>
      </c>
    </row>
    <row r="565" spans="1:9" x14ac:dyDescent="0.2">
      <c r="A565">
        <v>555</v>
      </c>
      <c r="B565">
        <v>1573299.8448191287</v>
      </c>
      <c r="C565">
        <v>136505.93710598588</v>
      </c>
      <c r="D565">
        <v>86561.926596600868</v>
      </c>
      <c r="E565">
        <v>172130.24415386419</v>
      </c>
      <c r="F565">
        <v>47916.70921065213</v>
      </c>
      <c r="G565">
        <v>10000</v>
      </c>
      <c r="H565">
        <v>433114.81706710311</v>
      </c>
      <c r="I565">
        <v>25.80170292279076</v>
      </c>
    </row>
    <row r="566" spans="1:9" x14ac:dyDescent="0.2">
      <c r="A566">
        <v>556</v>
      </c>
      <c r="B566">
        <v>1100900.8873224384</v>
      </c>
      <c r="C566">
        <v>109047.61961867556</v>
      </c>
      <c r="D566">
        <v>129750.08555424395</v>
      </c>
      <c r="E566">
        <v>36334.522551697861</v>
      </c>
      <c r="F566">
        <v>38515.466945886772</v>
      </c>
      <c r="G566">
        <v>10000</v>
      </c>
      <c r="H566">
        <v>303647.69467050413</v>
      </c>
      <c r="I566">
        <v>32.142603892766985</v>
      </c>
    </row>
    <row r="567" spans="1:9" x14ac:dyDescent="0.2">
      <c r="A567">
        <v>557</v>
      </c>
      <c r="B567">
        <v>1412611.3147752509</v>
      </c>
      <c r="C567">
        <v>114851.6972590478</v>
      </c>
      <c r="D567">
        <v>83095.507807253758</v>
      </c>
      <c r="E567">
        <v>154437.02163019901</v>
      </c>
      <c r="F567">
        <v>46691.793805167625</v>
      </c>
      <c r="G567">
        <v>10000</v>
      </c>
      <c r="H567">
        <v>389076.02050166816</v>
      </c>
      <c r="I567">
        <v>35.62550720210789</v>
      </c>
    </row>
    <row r="568" spans="1:9" x14ac:dyDescent="0.2">
      <c r="A568">
        <v>558</v>
      </c>
      <c r="B568">
        <v>880013.10239808867</v>
      </c>
      <c r="C568">
        <v>124527.87186685394</v>
      </c>
      <c r="D568">
        <v>52857.14868047426</v>
      </c>
      <c r="E568">
        <v>37153.329601952377</v>
      </c>
      <c r="F568">
        <v>38572.153587827474</v>
      </c>
      <c r="G568">
        <v>10000</v>
      </c>
      <c r="H568">
        <v>243110.50373710803</v>
      </c>
      <c r="I568">
        <v>46.529643353601415</v>
      </c>
    </row>
    <row r="569" spans="1:9" x14ac:dyDescent="0.2">
      <c r="A569">
        <v>559</v>
      </c>
      <c r="B569">
        <v>1435474.8911410186</v>
      </c>
      <c r="C569">
        <v>136443.03435659045</v>
      </c>
      <c r="D569">
        <v>102672.08923762257</v>
      </c>
      <c r="E569">
        <v>121794.99810034277</v>
      </c>
      <c r="F569">
        <v>44431.961406946801</v>
      </c>
      <c r="G569">
        <v>10000</v>
      </c>
      <c r="H569">
        <v>395342.08310150262</v>
      </c>
      <c r="I569">
        <v>51.030709501067271</v>
      </c>
    </row>
    <row r="570" spans="1:9" x14ac:dyDescent="0.2">
      <c r="A570">
        <v>560</v>
      </c>
      <c r="B570">
        <v>1413891.6935402027</v>
      </c>
      <c r="C570">
        <v>140264.18901705116</v>
      </c>
      <c r="D570">
        <v>143890.88587925109</v>
      </c>
      <c r="E570">
        <v>74139.140454210647</v>
      </c>
      <c r="F570">
        <v>41132.709723753047</v>
      </c>
      <c r="G570">
        <v>10000</v>
      </c>
      <c r="H570">
        <v>389426.92507426592</v>
      </c>
      <c r="I570">
        <v>24.601926046756297</v>
      </c>
    </row>
    <row r="571" spans="1:9" x14ac:dyDescent="0.2">
      <c r="A571">
        <v>561</v>
      </c>
      <c r="B571">
        <v>1144763.5970809173</v>
      </c>
      <c r="C571">
        <v>133721.03465343246</v>
      </c>
      <c r="D571">
        <v>31850.27181949075</v>
      </c>
      <c r="E571">
        <v>116062.44596465265</v>
      </c>
      <c r="F571">
        <v>44035.092412937491</v>
      </c>
      <c r="G571">
        <v>10000</v>
      </c>
      <c r="H571">
        <v>315668.84485051333</v>
      </c>
      <c r="I571">
        <v>33.333858060392352</v>
      </c>
    </row>
    <row r="572" spans="1:9" x14ac:dyDescent="0.2">
      <c r="A572">
        <v>562</v>
      </c>
      <c r="B572">
        <v>1266787.2305810491</v>
      </c>
      <c r="C572">
        <v>101332.4147763599</v>
      </c>
      <c r="D572">
        <v>75123.881823556585</v>
      </c>
      <c r="E572">
        <v>137159.09386028093</v>
      </c>
      <c r="F572">
        <v>45495.629574942526</v>
      </c>
      <c r="G572">
        <v>10000</v>
      </c>
      <c r="H572">
        <v>349111.02003513993</v>
      </c>
      <c r="I572">
        <v>24.039192436195552</v>
      </c>
    </row>
    <row r="573" spans="1:9" x14ac:dyDescent="0.2">
      <c r="A573">
        <v>563</v>
      </c>
      <c r="B573">
        <v>1393510.4243229404</v>
      </c>
      <c r="C573">
        <v>152684.03115841359</v>
      </c>
      <c r="D573">
        <v>121277.79489293061</v>
      </c>
      <c r="E573">
        <v>78448.308473165715</v>
      </c>
      <c r="F573">
        <v>41431.036740449934</v>
      </c>
      <c r="G573">
        <v>10000</v>
      </c>
      <c r="H573">
        <v>383841.17126495991</v>
      </c>
      <c r="I573">
        <v>42.382414166404246</v>
      </c>
    </row>
    <row r="574" spans="1:9" x14ac:dyDescent="0.2">
      <c r="A574">
        <v>564</v>
      </c>
      <c r="B574">
        <v>1324445.0359978552</v>
      </c>
      <c r="C574">
        <v>86531.749492982184</v>
      </c>
      <c r="D574">
        <v>112384.62138431788</v>
      </c>
      <c r="E574">
        <v>130932.00274230501</v>
      </c>
      <c r="F574">
        <v>45064.523266774959</v>
      </c>
      <c r="G574">
        <v>10000</v>
      </c>
      <c r="H574">
        <v>364912.89688638004</v>
      </c>
      <c r="I574">
        <v>29.412019304461325</v>
      </c>
    </row>
    <row r="575" spans="1:9" x14ac:dyDescent="0.2">
      <c r="A575">
        <v>565</v>
      </c>
      <c r="B575">
        <v>1404894.9802793167</v>
      </c>
      <c r="C575">
        <v>99470.703157028518</v>
      </c>
      <c r="D575">
        <v>90467.947099547571</v>
      </c>
      <c r="E575">
        <v>159949.20144409567</v>
      </c>
      <c r="F575">
        <v>47073.40625382201</v>
      </c>
      <c r="G575">
        <v>10000</v>
      </c>
      <c r="H575">
        <v>386961.25795449375</v>
      </c>
      <c r="I575">
        <v>28.944278644470131</v>
      </c>
    </row>
    <row r="576" spans="1:9" x14ac:dyDescent="0.2">
      <c r="A576">
        <v>566</v>
      </c>
      <c r="B576">
        <v>1161537.6135912363</v>
      </c>
      <c r="C576">
        <v>92762.490421892886</v>
      </c>
      <c r="D576">
        <v>92570.29298139688</v>
      </c>
      <c r="E576">
        <v>101879.97159685504</v>
      </c>
      <c r="F576">
        <v>43053.228802859201</v>
      </c>
      <c r="G576">
        <v>10000</v>
      </c>
      <c r="H576">
        <v>320265.98380300403</v>
      </c>
      <c r="I576">
        <v>30.09941283462723</v>
      </c>
    </row>
    <row r="577" spans="1:9" x14ac:dyDescent="0.2">
      <c r="A577">
        <v>567</v>
      </c>
      <c r="B577">
        <v>1325242.6936239398</v>
      </c>
      <c r="C577">
        <v>107307.18865545849</v>
      </c>
      <c r="D577">
        <v>54439.895542632992</v>
      </c>
      <c r="E577">
        <v>165899.09897288735</v>
      </c>
      <c r="F577">
        <v>47485.322236584507</v>
      </c>
      <c r="G577">
        <v>10000</v>
      </c>
      <c r="H577">
        <v>365131.50540756329</v>
      </c>
      <c r="I577">
        <v>27.867039141738076</v>
      </c>
    </row>
    <row r="578" spans="1:9" x14ac:dyDescent="0.2">
      <c r="A578">
        <v>568</v>
      </c>
      <c r="B578">
        <v>1538295.7635352495</v>
      </c>
      <c r="C578">
        <v>154858.98132938516</v>
      </c>
      <c r="D578">
        <v>141056.64211020601</v>
      </c>
      <c r="E578">
        <v>95027.069503318926</v>
      </c>
      <c r="F578">
        <v>42578.797119460542</v>
      </c>
      <c r="G578">
        <v>10000</v>
      </c>
      <c r="H578">
        <v>423521.49006237061</v>
      </c>
      <c r="I578">
        <v>27.258229590806785</v>
      </c>
    </row>
    <row r="579" spans="1:9" x14ac:dyDescent="0.2">
      <c r="A579">
        <v>569</v>
      </c>
      <c r="B579">
        <v>767376.30367231299</v>
      </c>
      <c r="C579">
        <v>84132.287206113106</v>
      </c>
      <c r="D579">
        <v>46703.534902340114</v>
      </c>
      <c r="E579">
        <v>51817.71145133103</v>
      </c>
      <c r="F579">
        <v>39587.380023553691</v>
      </c>
      <c r="G579">
        <v>10000</v>
      </c>
      <c r="H579">
        <v>212240.91358333797</v>
      </c>
      <c r="I579">
        <v>29.442790530592873</v>
      </c>
    </row>
    <row r="580" spans="1:9" x14ac:dyDescent="0.2">
      <c r="A580">
        <v>570</v>
      </c>
      <c r="B580">
        <v>1182557.3423969341</v>
      </c>
      <c r="C580">
        <v>105858.56632101939</v>
      </c>
      <c r="D580">
        <v>69736.474292183673</v>
      </c>
      <c r="E580">
        <v>116374.94804064535</v>
      </c>
      <c r="F580">
        <v>44056.727172044681</v>
      </c>
      <c r="G580">
        <v>10000</v>
      </c>
      <c r="H580">
        <v>326026.7158258931</v>
      </c>
      <c r="I580">
        <v>54.213131531384185</v>
      </c>
    </row>
    <row r="581" spans="1:9" x14ac:dyDescent="0.2">
      <c r="A581">
        <v>571</v>
      </c>
      <c r="B581">
        <v>1166424.0568839202</v>
      </c>
      <c r="C581">
        <v>114182.56320501059</v>
      </c>
      <c r="D581">
        <v>52236.28141415101</v>
      </c>
      <c r="E581">
        <v>120821.75026642582</v>
      </c>
      <c r="F581">
        <v>44364.582710752555</v>
      </c>
      <c r="G581">
        <v>10000</v>
      </c>
      <c r="H581">
        <v>321605.17759633996</v>
      </c>
      <c r="I581">
        <v>33.654507299178015</v>
      </c>
    </row>
    <row r="582" spans="1:9" x14ac:dyDescent="0.2">
      <c r="A582">
        <v>572</v>
      </c>
      <c r="B582">
        <v>1067845.9493220721</v>
      </c>
      <c r="C582">
        <v>91950.11255249384</v>
      </c>
      <c r="D582">
        <v>82856.253671230661</v>
      </c>
      <c r="E582">
        <v>87709.961581793425</v>
      </c>
      <c r="F582">
        <v>42072.228109508775</v>
      </c>
      <c r="G582">
        <v>10000</v>
      </c>
      <c r="H582">
        <v>294588.55591502669</v>
      </c>
      <c r="I582">
        <v>34.702723693964913</v>
      </c>
    </row>
    <row r="583" spans="1:9" x14ac:dyDescent="0.2">
      <c r="A583">
        <v>573</v>
      </c>
      <c r="B583">
        <v>1015519.1018937656</v>
      </c>
      <c r="C583">
        <v>95625.410104846975</v>
      </c>
      <c r="D583">
        <v>87850.129775381894</v>
      </c>
      <c r="E583">
        <v>66189.788106292122</v>
      </c>
      <c r="F583">
        <v>40582.369945820225</v>
      </c>
      <c r="G583">
        <v>10000</v>
      </c>
      <c r="H583">
        <v>280247.69793234125</v>
      </c>
      <c r="I583">
        <v>37.407126901615101</v>
      </c>
    </row>
    <row r="584" spans="1:9" x14ac:dyDescent="0.2">
      <c r="A584">
        <v>574</v>
      </c>
      <c r="B584">
        <v>1510087.5689664872</v>
      </c>
      <c r="C584">
        <v>130333.33817634177</v>
      </c>
      <c r="D584">
        <v>105884.23111596794</v>
      </c>
      <c r="E584">
        <v>143629.51381527711</v>
      </c>
      <c r="F584">
        <v>45943.58172567303</v>
      </c>
      <c r="G584">
        <v>10000</v>
      </c>
      <c r="H584">
        <v>415790.66483325989</v>
      </c>
      <c r="I584">
        <v>27.098623885023652</v>
      </c>
    </row>
    <row r="585" spans="1:9" x14ac:dyDescent="0.2">
      <c r="A585">
        <v>575</v>
      </c>
      <c r="B585">
        <v>1213199.1074143827</v>
      </c>
      <c r="C585">
        <v>123403.36547692709</v>
      </c>
      <c r="D585">
        <v>114510.18198290563</v>
      </c>
      <c r="E585">
        <v>65945.488554753145</v>
      </c>
      <c r="F585">
        <v>40565.456899944445</v>
      </c>
      <c r="G585">
        <v>10000</v>
      </c>
      <c r="H585">
        <v>334424.49291453033</v>
      </c>
      <c r="I585">
        <v>51.864118848339039</v>
      </c>
    </row>
    <row r="586" spans="1:9" x14ac:dyDescent="0.2">
      <c r="A586">
        <v>576</v>
      </c>
      <c r="B586">
        <v>1559294.7784618554</v>
      </c>
      <c r="C586">
        <v>93495.829197196086</v>
      </c>
      <c r="D586">
        <v>134339.47216447815</v>
      </c>
      <c r="E586">
        <v>164081.73881855246</v>
      </c>
      <c r="F586">
        <v>47359.504995130555</v>
      </c>
      <c r="G586">
        <v>10000</v>
      </c>
      <c r="H586">
        <v>429276.54517535726</v>
      </c>
      <c r="I586">
        <v>38.473814800480952</v>
      </c>
    </row>
    <row r="587" spans="1:9" x14ac:dyDescent="0.2">
      <c r="A587">
        <v>577</v>
      </c>
      <c r="B587">
        <v>1470063.1665556822</v>
      </c>
      <c r="C587">
        <v>107009.26894942149</v>
      </c>
      <c r="D587">
        <v>55153.92984930145</v>
      </c>
      <c r="E587">
        <v>202630.02197192484</v>
      </c>
      <c r="F587">
        <v>50028.232290364023</v>
      </c>
      <c r="G587">
        <v>10000</v>
      </c>
      <c r="H587">
        <v>404821.45306101179</v>
      </c>
      <c r="I587">
        <v>28.506956474631721</v>
      </c>
    </row>
    <row r="588" spans="1:9" x14ac:dyDescent="0.2">
      <c r="A588">
        <v>578</v>
      </c>
      <c r="B588">
        <v>1454879.976187425</v>
      </c>
      <c r="C588">
        <v>155468.70133954566</v>
      </c>
      <c r="D588">
        <v>45431.760690238705</v>
      </c>
      <c r="E588">
        <v>162509.20177566647</v>
      </c>
      <c r="F588">
        <v>47250.637046007672</v>
      </c>
      <c r="G588">
        <v>10000</v>
      </c>
      <c r="H588">
        <v>400660.30085145851</v>
      </c>
      <c r="I588">
        <v>36.290471373127772</v>
      </c>
    </row>
    <row r="589" spans="1:9" x14ac:dyDescent="0.2">
      <c r="A589">
        <v>579</v>
      </c>
      <c r="B589">
        <v>1454731.0730098095</v>
      </c>
      <c r="C589">
        <v>93968.744376768736</v>
      </c>
      <c r="D589">
        <v>119188.36519606548</v>
      </c>
      <c r="E589">
        <v>151007.98355104541</v>
      </c>
      <c r="F589">
        <v>46454.398861226218</v>
      </c>
      <c r="G589">
        <v>10000</v>
      </c>
      <c r="H589">
        <v>400619.49198510585</v>
      </c>
      <c r="I589">
        <v>36.330026409876851</v>
      </c>
    </row>
    <row r="590" spans="1:9" x14ac:dyDescent="0.2">
      <c r="A590">
        <v>580</v>
      </c>
      <c r="B590">
        <v>1032467.8093144805</v>
      </c>
      <c r="C590">
        <v>102039.27805713275</v>
      </c>
      <c r="D590">
        <v>25512.285790584774</v>
      </c>
      <c r="E590">
        <v>122837.04617285437</v>
      </c>
      <c r="F590">
        <v>44504.103196582226</v>
      </c>
      <c r="G590">
        <v>10000</v>
      </c>
      <c r="H590">
        <v>284892.71321715415</v>
      </c>
      <c r="I590">
        <v>29.034811094209921</v>
      </c>
    </row>
    <row r="591" spans="1:9" x14ac:dyDescent="0.2">
      <c r="A591">
        <v>581</v>
      </c>
      <c r="B591">
        <v>1200289.7190944937</v>
      </c>
      <c r="C591">
        <v>99260.132530275863</v>
      </c>
      <c r="D591">
        <v>79606.056818770303</v>
      </c>
      <c r="E591">
        <v>117860.72774837799</v>
      </c>
      <c r="F591">
        <v>44159.58884411848</v>
      </c>
      <c r="G591">
        <v>10000</v>
      </c>
      <c r="H591">
        <v>330886.50594154262</v>
      </c>
      <c r="I591">
        <v>33.946214939456574</v>
      </c>
    </row>
    <row r="592" spans="1:9" x14ac:dyDescent="0.2">
      <c r="A592">
        <v>582</v>
      </c>
      <c r="B592">
        <v>1715667.3163829627</v>
      </c>
      <c r="C592">
        <v>152460.83970886972</v>
      </c>
      <c r="D592">
        <v>95545.265294062468</v>
      </c>
      <c r="E592">
        <v>185298.05563179357</v>
      </c>
      <c r="F592">
        <v>48828.326928354945</v>
      </c>
      <c r="G592">
        <v>10000</v>
      </c>
      <c r="H592">
        <v>472132.48756308074</v>
      </c>
      <c r="I592">
        <v>40.02228676599816</v>
      </c>
    </row>
    <row r="593" spans="1:9" x14ac:dyDescent="0.2">
      <c r="A593">
        <v>583</v>
      </c>
      <c r="B593">
        <v>1479368.9847227414</v>
      </c>
      <c r="C593">
        <v>123172.87675292447</v>
      </c>
      <c r="D593">
        <v>126971.55713884145</v>
      </c>
      <c r="E593">
        <v>122730.66237330617</v>
      </c>
      <c r="F593">
        <v>44496.738164305818</v>
      </c>
      <c r="G593">
        <v>10000</v>
      </c>
      <c r="H593">
        <v>407371.83442937792</v>
      </c>
      <c r="I593">
        <v>52.734100144478653</v>
      </c>
    </row>
    <row r="594" spans="1:9" x14ac:dyDescent="0.2">
      <c r="A594">
        <v>584</v>
      </c>
      <c r="B594">
        <v>1586016.4208310461</v>
      </c>
      <c r="C594">
        <v>130313.68169122531</v>
      </c>
      <c r="D594">
        <v>119229.3475612933</v>
      </c>
      <c r="E594">
        <v>150628.78536944377</v>
      </c>
      <c r="F594">
        <v>46428.146679423029</v>
      </c>
      <c r="G594">
        <v>10000</v>
      </c>
      <c r="H594">
        <v>436599.96130138543</v>
      </c>
      <c r="I594">
        <v>47.242083437464011</v>
      </c>
    </row>
    <row r="595" spans="1:9" x14ac:dyDescent="0.2">
      <c r="A595">
        <v>585</v>
      </c>
      <c r="B595">
        <v>1310170.1244917396</v>
      </c>
      <c r="C595">
        <v>117266.12663266246</v>
      </c>
      <c r="D595">
        <v>107014.82810024662</v>
      </c>
      <c r="E595">
        <v>103550.81321084447</v>
      </c>
      <c r="F595">
        <v>43168.902453058465</v>
      </c>
      <c r="G595">
        <v>10000</v>
      </c>
      <c r="H595">
        <v>361000.67039681203</v>
      </c>
      <c r="I595">
        <v>49.040376195790401</v>
      </c>
    </row>
    <row r="596" spans="1:9" x14ac:dyDescent="0.2">
      <c r="A596">
        <v>586</v>
      </c>
      <c r="B596">
        <v>1468164.4730396019</v>
      </c>
      <c r="C596">
        <v>98828.883114864337</v>
      </c>
      <c r="D596">
        <v>163673.72174183643</v>
      </c>
      <c r="E596">
        <v>108300.74265257595</v>
      </c>
      <c r="F596">
        <v>43497.743722101412</v>
      </c>
      <c r="G596">
        <v>10000</v>
      </c>
      <c r="H596">
        <v>404301.09123137814</v>
      </c>
      <c r="I596">
        <v>40.325025935349103</v>
      </c>
    </row>
    <row r="597" spans="1:9" x14ac:dyDescent="0.2">
      <c r="A597">
        <v>587</v>
      </c>
      <c r="B597">
        <v>1477435.2306278215</v>
      </c>
      <c r="C597">
        <v>101213.04140319624</v>
      </c>
      <c r="D597">
        <v>141238.27429165581</v>
      </c>
      <c r="E597">
        <v>129430.00900876979</v>
      </c>
      <c r="F597">
        <v>44960.539085222517</v>
      </c>
      <c r="G597">
        <v>10000</v>
      </c>
      <c r="H597">
        <v>406841.86378884432</v>
      </c>
      <c r="I597">
        <v>37.213767120671164</v>
      </c>
    </row>
    <row r="598" spans="1:9" x14ac:dyDescent="0.2">
      <c r="A598">
        <v>588</v>
      </c>
      <c r="B598">
        <v>1473055.4649073384</v>
      </c>
      <c r="C598">
        <v>99227.191122156277</v>
      </c>
      <c r="D598">
        <v>100782.93768737052</v>
      </c>
      <c r="E598">
        <v>168000.59255776447</v>
      </c>
      <c r="F598">
        <v>47630.810253999072</v>
      </c>
      <c r="G598">
        <v>10000</v>
      </c>
      <c r="H598">
        <v>405641.53162129037</v>
      </c>
      <c r="I598">
        <v>28.152492676270221</v>
      </c>
    </row>
    <row r="599" spans="1:9" x14ac:dyDescent="0.2">
      <c r="A599">
        <v>589</v>
      </c>
      <c r="B599">
        <v>925890.18532636156</v>
      </c>
      <c r="C599">
        <v>85401.944300501404</v>
      </c>
      <c r="D599">
        <v>102604.23610386721</v>
      </c>
      <c r="E599">
        <v>38978.993184781328</v>
      </c>
      <c r="F599">
        <v>38698.545682023323</v>
      </c>
      <c r="G599">
        <v>10000</v>
      </c>
      <c r="H599">
        <v>255683.71927117329</v>
      </c>
      <c r="I599">
        <v>44.397040060148484</v>
      </c>
    </row>
    <row r="600" spans="1:9" x14ac:dyDescent="0.2">
      <c r="A600">
        <v>590</v>
      </c>
      <c r="B600">
        <v>1164297.0402743311</v>
      </c>
      <c r="C600">
        <v>94421.285502587911</v>
      </c>
      <c r="D600">
        <v>97538.894382637169</v>
      </c>
      <c r="E600">
        <v>96388.977863944543</v>
      </c>
      <c r="F600">
        <v>42673.083082888465</v>
      </c>
      <c r="G600">
        <v>10000</v>
      </c>
      <c r="H600">
        <v>321022.24083205807</v>
      </c>
      <c r="I600">
        <v>26.879657208363433</v>
      </c>
    </row>
    <row r="601" spans="1:9" x14ac:dyDescent="0.2">
      <c r="A601">
        <v>591</v>
      </c>
      <c r="B601">
        <v>1228199.0029060384</v>
      </c>
      <c r="C601">
        <v>108075.21033186451</v>
      </c>
      <c r="D601">
        <v>125572.3767311212</v>
      </c>
      <c r="E601">
        <v>73779.978999187442</v>
      </c>
      <c r="F601">
        <v>41107.844699943751</v>
      </c>
      <c r="G601">
        <v>10000</v>
      </c>
      <c r="H601">
        <v>338535.41076211684</v>
      </c>
      <c r="I601">
        <v>31.935901560854333</v>
      </c>
    </row>
    <row r="602" spans="1:9" x14ac:dyDescent="0.2">
      <c r="A602">
        <v>592</v>
      </c>
      <c r="B602">
        <v>1548177.9883930099</v>
      </c>
      <c r="C602">
        <v>99324.964996802868</v>
      </c>
      <c r="D602">
        <v>153350.06880770775</v>
      </c>
      <c r="E602">
        <v>138000.90090606935</v>
      </c>
      <c r="F602">
        <v>45553.908524266342</v>
      </c>
      <c r="G602">
        <v>10000</v>
      </c>
      <c r="H602">
        <v>426229.84323484625</v>
      </c>
      <c r="I602">
        <v>39.263835147283331</v>
      </c>
    </row>
    <row r="603" spans="1:9" x14ac:dyDescent="0.2">
      <c r="A603">
        <v>593</v>
      </c>
      <c r="B603">
        <v>1804911.995081536</v>
      </c>
      <c r="C603">
        <v>150719.85476065369</v>
      </c>
      <c r="D603">
        <v>114660.25804027951</v>
      </c>
      <c r="E603">
        <v>191924.00172859782</v>
      </c>
      <c r="F603">
        <v>49287.04627351831</v>
      </c>
      <c r="G603">
        <v>10000</v>
      </c>
      <c r="H603">
        <v>496591.16080304928</v>
      </c>
      <c r="I603">
        <v>32.683464263577051</v>
      </c>
    </row>
    <row r="604" spans="1:9" x14ac:dyDescent="0.2">
      <c r="A604">
        <v>594</v>
      </c>
      <c r="B604">
        <v>1275883.7537533513</v>
      </c>
      <c r="C604">
        <v>87296.619657656498</v>
      </c>
      <c r="D604">
        <v>71250.29759837882</v>
      </c>
      <c r="E604">
        <v>156240.47578870656</v>
      </c>
      <c r="F604">
        <v>46816.648323833535</v>
      </c>
      <c r="G604">
        <v>10000</v>
      </c>
      <c r="H604">
        <v>351604.04136857542</v>
      </c>
      <c r="I604">
        <v>34.424042744172951</v>
      </c>
    </row>
    <row r="605" spans="1:9" x14ac:dyDescent="0.2">
      <c r="A605">
        <v>595</v>
      </c>
      <c r="B605">
        <v>1092830.4893336797</v>
      </c>
      <c r="C605">
        <v>101104.70900072994</v>
      </c>
      <c r="D605">
        <v>74096.180033938464</v>
      </c>
      <c r="E605">
        <v>93744.970903316978</v>
      </c>
      <c r="F605">
        <v>42490.036447152714</v>
      </c>
      <c r="G605">
        <v>10000</v>
      </c>
      <c r="H605">
        <v>301435.8963851381</v>
      </c>
      <c r="I605">
        <v>53.174096404371923</v>
      </c>
    </row>
    <row r="606" spans="1:9" x14ac:dyDescent="0.2">
      <c r="A606">
        <v>596</v>
      </c>
      <c r="B606">
        <v>924182.73868575052</v>
      </c>
      <c r="C606">
        <v>97430.373968880594</v>
      </c>
      <c r="D606">
        <v>90768.580113585485</v>
      </c>
      <c r="E606">
        <v>38361.051936434858</v>
      </c>
      <c r="F606">
        <v>38655.765134060879</v>
      </c>
      <c r="G606">
        <v>10000</v>
      </c>
      <c r="H606">
        <v>255215.77115296182</v>
      </c>
      <c r="I606">
        <v>42.445647651199565</v>
      </c>
    </row>
    <row r="607" spans="1:9" x14ac:dyDescent="0.2">
      <c r="A607">
        <v>597</v>
      </c>
      <c r="B607">
        <v>925015.59511467058</v>
      </c>
      <c r="C607">
        <v>122227.14903393702</v>
      </c>
      <c r="D607">
        <v>69637.787965177617</v>
      </c>
      <c r="E607">
        <v>35145.910919737602</v>
      </c>
      <c r="F607">
        <v>38433.178448289531</v>
      </c>
      <c r="G607">
        <v>10000</v>
      </c>
      <c r="H607">
        <v>255444.02636714175</v>
      </c>
      <c r="I607">
        <v>28.747508698823587</v>
      </c>
    </row>
    <row r="608" spans="1:9" x14ac:dyDescent="0.2">
      <c r="A608">
        <v>598</v>
      </c>
      <c r="B608">
        <v>1326396.9980355843</v>
      </c>
      <c r="C608">
        <v>93654.729146733705</v>
      </c>
      <c r="D608">
        <v>141095.07014591675</v>
      </c>
      <c r="E608">
        <v>97919.047386583989</v>
      </c>
      <c r="F608">
        <v>42779.010972917356</v>
      </c>
      <c r="G608">
        <v>10000</v>
      </c>
      <c r="H608">
        <v>365447.85765215178</v>
      </c>
      <c r="I608">
        <v>24.335945906630034</v>
      </c>
    </row>
    <row r="609" spans="1:9" x14ac:dyDescent="0.2">
      <c r="A609">
        <v>599</v>
      </c>
      <c r="B609">
        <v>1139714.8433014299</v>
      </c>
      <c r="C609">
        <v>148921.94052291583</v>
      </c>
      <c r="D609">
        <v>45699.038728258078</v>
      </c>
      <c r="E609">
        <v>87599.600746923694</v>
      </c>
      <c r="F609">
        <v>42064.587744017794</v>
      </c>
      <c r="G609">
        <v>10000</v>
      </c>
      <c r="H609">
        <v>314285.16774211539</v>
      </c>
      <c r="I609">
        <v>42.476226124556064</v>
      </c>
    </row>
    <row r="610" spans="1:9" x14ac:dyDescent="0.2">
      <c r="A610">
        <v>600</v>
      </c>
      <c r="B610">
        <v>1340972.0085242696</v>
      </c>
      <c r="C610">
        <v>104166.67760295188</v>
      </c>
      <c r="D610">
        <v>99971.320475380242</v>
      </c>
      <c r="E610">
        <v>130284.62716319493</v>
      </c>
      <c r="F610">
        <v>45019.704957451955</v>
      </c>
      <c r="G610">
        <v>10000</v>
      </c>
      <c r="H610">
        <v>369442.33019897901</v>
      </c>
      <c r="I610">
        <v>40.093031627528745</v>
      </c>
    </row>
    <row r="611" spans="1:9" x14ac:dyDescent="0.2">
      <c r="A611">
        <v>601</v>
      </c>
      <c r="B611">
        <v>931109.69029166095</v>
      </c>
      <c r="C611">
        <v>83040.893311202628</v>
      </c>
      <c r="D611">
        <v>73322.946024650708</v>
      </c>
      <c r="E611">
        <v>69910.402687613925</v>
      </c>
      <c r="F611">
        <v>40839.95095529635</v>
      </c>
      <c r="G611">
        <v>10000</v>
      </c>
      <c r="H611">
        <v>257114.1929787636</v>
      </c>
      <c r="I611">
        <v>37.509796718940009</v>
      </c>
    </row>
    <row r="612" spans="1:9" x14ac:dyDescent="0.2">
      <c r="A612">
        <v>602</v>
      </c>
      <c r="B612">
        <v>1145971.2894376633</v>
      </c>
      <c r="C612">
        <v>106501.87849444056</v>
      </c>
      <c r="D612">
        <v>100785.10979336311</v>
      </c>
      <c r="E612">
        <v>77357.332816472728</v>
      </c>
      <c r="F612">
        <v>41355.507656525027</v>
      </c>
      <c r="G612">
        <v>10000</v>
      </c>
      <c r="H612">
        <v>315999.82876080141</v>
      </c>
      <c r="I612">
        <v>44.908527625545112</v>
      </c>
    </row>
    <row r="613" spans="1:9" x14ac:dyDescent="0.2">
      <c r="A613">
        <v>603</v>
      </c>
      <c r="B613">
        <v>1772082.7545702104</v>
      </c>
      <c r="C613">
        <v>122091.32908694092</v>
      </c>
      <c r="D613">
        <v>117679.82008302232</v>
      </c>
      <c r="E613">
        <v>207460.10553974571</v>
      </c>
      <c r="F613">
        <v>50362.622691213161</v>
      </c>
      <c r="G613">
        <v>10000</v>
      </c>
      <c r="H613">
        <v>487593.87740092212</v>
      </c>
      <c r="I613">
        <v>30.802768894852512</v>
      </c>
    </row>
    <row r="614" spans="1:9" x14ac:dyDescent="0.2">
      <c r="A614">
        <v>604</v>
      </c>
      <c r="B614">
        <v>1388950.1193510573</v>
      </c>
      <c r="C614">
        <v>141614.5696014534</v>
      </c>
      <c r="D614">
        <v>106170.12290004424</v>
      </c>
      <c r="E614">
        <v>101761.63142723906</v>
      </c>
      <c r="F614">
        <v>43045.036021885775</v>
      </c>
      <c r="G614">
        <v>10000</v>
      </c>
      <c r="H614">
        <v>382591.35995062243</v>
      </c>
      <c r="I614">
        <v>27.281863335902848</v>
      </c>
    </row>
    <row r="615" spans="1:9" x14ac:dyDescent="0.2">
      <c r="A615">
        <v>605</v>
      </c>
      <c r="B615">
        <v>1351280.1721277344</v>
      </c>
      <c r="C615">
        <v>95579.635728206282</v>
      </c>
      <c r="D615">
        <v>76682.581854347445</v>
      </c>
      <c r="E615">
        <v>162738.67614831487</v>
      </c>
      <c r="F615">
        <v>47266.523733344875</v>
      </c>
      <c r="G615">
        <v>10000</v>
      </c>
      <c r="H615">
        <v>372267.41746421345</v>
      </c>
      <c r="I615">
        <v>29.910643748004262</v>
      </c>
    </row>
    <row r="616" spans="1:9" x14ac:dyDescent="0.2">
      <c r="A616">
        <v>606</v>
      </c>
      <c r="B616">
        <v>1542815.894403165</v>
      </c>
      <c r="C616">
        <v>99924.407014836281</v>
      </c>
      <c r="D616">
        <v>129708.69303356828</v>
      </c>
      <c r="E616">
        <v>158176.50965145056</v>
      </c>
      <c r="F616">
        <v>46950.681437408115</v>
      </c>
      <c r="G616">
        <v>10000</v>
      </c>
      <c r="H616">
        <v>424760.29113726318</v>
      </c>
      <c r="I616">
        <v>41.093788890603051</v>
      </c>
    </row>
    <row r="617" spans="1:9" x14ac:dyDescent="0.2">
      <c r="A617">
        <v>607</v>
      </c>
      <c r="B617">
        <v>1406908.5503189543</v>
      </c>
      <c r="C617">
        <v>80394.285177716869</v>
      </c>
      <c r="D617">
        <v>66753.342129258672</v>
      </c>
      <c r="E617">
        <v>200485.69687856469</v>
      </c>
      <c r="F617">
        <v>49879.779014669868</v>
      </c>
      <c r="G617">
        <v>10000</v>
      </c>
      <c r="H617">
        <v>387513.10320021008</v>
      </c>
      <c r="I617">
        <v>31.961279048121728</v>
      </c>
    </row>
    <row r="618" spans="1:9" x14ac:dyDescent="0.2">
      <c r="A618">
        <v>608</v>
      </c>
      <c r="B618">
        <v>1328809.8339382219</v>
      </c>
      <c r="C618">
        <v>90774.916401450566</v>
      </c>
      <c r="D618">
        <v>62876.344921779819</v>
      </c>
      <c r="E618">
        <v>174385.05417183007</v>
      </c>
      <c r="F618">
        <v>48072.811442665152</v>
      </c>
      <c r="G618">
        <v>10000</v>
      </c>
      <c r="H618">
        <v>366109.12693772564</v>
      </c>
      <c r="I618">
        <v>40.937561417543165</v>
      </c>
    </row>
    <row r="619" spans="1:9" x14ac:dyDescent="0.2">
      <c r="A619">
        <v>609</v>
      </c>
      <c r="B619">
        <v>1237947.2149754171</v>
      </c>
      <c r="C619">
        <v>155971.42310185535</v>
      </c>
      <c r="D619">
        <v>62559.299871489049</v>
      </c>
      <c r="E619">
        <v>90416.695612557014</v>
      </c>
      <c r="F619">
        <v>42259.617388561637</v>
      </c>
      <c r="G619">
        <v>10000</v>
      </c>
      <c r="H619">
        <v>341207.0359744631</v>
      </c>
      <c r="I619">
        <v>46.730513801348678</v>
      </c>
    </row>
    <row r="620" spans="1:9" x14ac:dyDescent="0.2">
      <c r="A620">
        <v>610</v>
      </c>
      <c r="B620">
        <v>1550032.989015237</v>
      </c>
      <c r="C620">
        <v>132430.36734137402</v>
      </c>
      <c r="D620">
        <v>116628.53644475827</v>
      </c>
      <c r="E620">
        <v>141858.3630712037</v>
      </c>
      <c r="F620">
        <v>45820.963597237176</v>
      </c>
      <c r="G620">
        <v>10000</v>
      </c>
      <c r="H620">
        <v>426738.23045457317</v>
      </c>
      <c r="I620">
        <v>32.946218268776292</v>
      </c>
    </row>
    <row r="621" spans="1:9" x14ac:dyDescent="0.2">
      <c r="A621">
        <v>611</v>
      </c>
      <c r="B621">
        <v>1492967.6851321959</v>
      </c>
      <c r="C621">
        <v>100645.30960474125</v>
      </c>
      <c r="D621">
        <v>134375.96900919935</v>
      </c>
      <c r="E621">
        <v>140360.21232726422</v>
      </c>
      <c r="F621">
        <v>45717.245468810601</v>
      </c>
      <c r="G621">
        <v>10000</v>
      </c>
      <c r="H621">
        <v>411098.73641001544</v>
      </c>
      <c r="I621">
        <v>28.757230543365726</v>
      </c>
    </row>
    <row r="622" spans="1:9" x14ac:dyDescent="0.2">
      <c r="A622">
        <v>612</v>
      </c>
      <c r="B622">
        <v>1454095.7358873938</v>
      </c>
      <c r="C622">
        <v>161519.49166584093</v>
      </c>
      <c r="D622">
        <v>117056.76744553667</v>
      </c>
      <c r="E622">
        <v>89661.757940084979</v>
      </c>
      <c r="F622">
        <v>42207.352472775114</v>
      </c>
      <c r="G622">
        <v>10000</v>
      </c>
      <c r="H622">
        <v>400445.36952423764</v>
      </c>
      <c r="I622">
        <v>26.820330251299168</v>
      </c>
    </row>
    <row r="623" spans="1:9" x14ac:dyDescent="0.2">
      <c r="A623">
        <v>613</v>
      </c>
      <c r="B623">
        <v>1456868.3035637517</v>
      </c>
      <c r="C623">
        <v>130367.7004066783</v>
      </c>
      <c r="D623">
        <v>120618.15985166129</v>
      </c>
      <c r="E623">
        <v>116176.38711020273</v>
      </c>
      <c r="F623">
        <v>44042.98064609096</v>
      </c>
      <c r="G623">
        <v>10000</v>
      </c>
      <c r="H623">
        <v>401205.22801463329</v>
      </c>
      <c r="I623">
        <v>31.553437833834373</v>
      </c>
    </row>
    <row r="624" spans="1:9" x14ac:dyDescent="0.2">
      <c r="A624">
        <v>614</v>
      </c>
      <c r="B624">
        <v>1400232.9565270671</v>
      </c>
      <c r="C624">
        <v>111374.49669363053</v>
      </c>
      <c r="D624">
        <v>115230.0456135952</v>
      </c>
      <c r="E624">
        <v>124462.39932326943</v>
      </c>
      <c r="F624">
        <v>44616.627645457113</v>
      </c>
      <c r="G624">
        <v>10000</v>
      </c>
      <c r="H624">
        <v>385683.56927595224</v>
      </c>
      <c r="I624">
        <v>40.107565316952254</v>
      </c>
    </row>
    <row r="625" spans="1:9" x14ac:dyDescent="0.2">
      <c r="A625">
        <v>615</v>
      </c>
      <c r="B625">
        <v>1397144.4420344878</v>
      </c>
      <c r="C625">
        <v>117326.7925264798</v>
      </c>
      <c r="D625">
        <v>90602.883450482666</v>
      </c>
      <c r="E625">
        <v>141136.45976863708</v>
      </c>
      <c r="F625">
        <v>45770.985676290264</v>
      </c>
      <c r="G625">
        <v>10000</v>
      </c>
      <c r="H625">
        <v>384837.12142188975</v>
      </c>
      <c r="I625">
        <v>27.503647950362215</v>
      </c>
    </row>
    <row r="626" spans="1:9" x14ac:dyDescent="0.2">
      <c r="A626">
        <v>616</v>
      </c>
      <c r="B626">
        <v>1587855.1932855288</v>
      </c>
      <c r="C626">
        <v>139312.90342352379</v>
      </c>
      <c r="D626">
        <v>92380.012932079946</v>
      </c>
      <c r="E626">
        <v>167794.44605081217</v>
      </c>
      <c r="F626">
        <v>47616.538572748534</v>
      </c>
      <c r="G626">
        <v>10000</v>
      </c>
      <c r="H626">
        <v>437103.90097916441</v>
      </c>
      <c r="I626">
        <v>35.059249182229529</v>
      </c>
    </row>
    <row r="627" spans="1:9" x14ac:dyDescent="0.2">
      <c r="A627">
        <v>617</v>
      </c>
      <c r="B627">
        <v>1062821.2652526328</v>
      </c>
      <c r="C627">
        <v>146100.82100844552</v>
      </c>
      <c r="D627">
        <v>90833.881821759613</v>
      </c>
      <c r="E627">
        <v>28316.406024810258</v>
      </c>
      <c r="F627">
        <v>37960.366570948398</v>
      </c>
      <c r="G627">
        <v>10000</v>
      </c>
      <c r="H627">
        <v>293211.47542596381</v>
      </c>
      <c r="I627">
        <v>39.743062967258865</v>
      </c>
    </row>
    <row r="628" spans="1:9" x14ac:dyDescent="0.2">
      <c r="A628">
        <v>618</v>
      </c>
      <c r="B628">
        <v>1814891.7323590596</v>
      </c>
      <c r="C628">
        <v>165614.2310115812</v>
      </c>
      <c r="D628">
        <v>92287.452076935646</v>
      </c>
      <c r="E628">
        <v>201476.20293229143</v>
      </c>
      <c r="F628">
        <v>49948.352510697099</v>
      </c>
      <c r="G628">
        <v>10000</v>
      </c>
      <c r="H628">
        <v>499326.23853150534</v>
      </c>
      <c r="I628">
        <v>36.74605266895707</v>
      </c>
    </row>
    <row r="629" spans="1:9" x14ac:dyDescent="0.2">
      <c r="A629">
        <v>619</v>
      </c>
      <c r="B629">
        <v>1127344.3610009435</v>
      </c>
      <c r="C629">
        <v>137769.27587042016</v>
      </c>
      <c r="D629">
        <v>86774.851268467872</v>
      </c>
      <c r="E629">
        <v>56443.14550315938</v>
      </c>
      <c r="F629">
        <v>39907.602380987955</v>
      </c>
      <c r="G629">
        <v>10000</v>
      </c>
      <c r="H629">
        <v>310894.87502303533</v>
      </c>
      <c r="I629">
        <v>39.599824431048091</v>
      </c>
    </row>
    <row r="630" spans="1:9" x14ac:dyDescent="0.2">
      <c r="A630">
        <v>620</v>
      </c>
      <c r="B630">
        <v>1027616.6255314547</v>
      </c>
      <c r="C630">
        <v>84178.682327007496</v>
      </c>
      <c r="D630">
        <v>110445.20857352254</v>
      </c>
      <c r="E630">
        <v>58864.085906417422</v>
      </c>
      <c r="F630">
        <v>40075.205947367358</v>
      </c>
      <c r="G630">
        <v>10000</v>
      </c>
      <c r="H630">
        <v>283563.18275431485</v>
      </c>
      <c r="I630">
        <v>26.156018280309702</v>
      </c>
    </row>
    <row r="631" spans="1:9" x14ac:dyDescent="0.2">
      <c r="A631">
        <v>621</v>
      </c>
      <c r="B631">
        <v>1518882.2563583977</v>
      </c>
      <c r="C631">
        <v>150040.63517360101</v>
      </c>
      <c r="D631">
        <v>83242.227454313324</v>
      </c>
      <c r="E631">
        <v>148628.44024181744</v>
      </c>
      <c r="F631">
        <v>46289.661247510441</v>
      </c>
      <c r="G631">
        <v>10000</v>
      </c>
      <c r="H631">
        <v>418200.96411724226</v>
      </c>
      <c r="I631">
        <v>42.911583933136605</v>
      </c>
    </row>
    <row r="632" spans="1:9" x14ac:dyDescent="0.2">
      <c r="A632">
        <v>622</v>
      </c>
      <c r="B632">
        <v>1704070.9321812717</v>
      </c>
      <c r="C632">
        <v>140402.92257484538</v>
      </c>
      <c r="D632">
        <v>113494.13244596384</v>
      </c>
      <c r="E632">
        <v>176816.17195071958</v>
      </c>
      <c r="F632">
        <v>48241.11959658828</v>
      </c>
      <c r="G632">
        <v>10000</v>
      </c>
      <c r="H632">
        <v>468954.34656811715</v>
      </c>
      <c r="I632">
        <v>33.896211926923669</v>
      </c>
    </row>
    <row r="633" spans="1:9" x14ac:dyDescent="0.2">
      <c r="A633">
        <v>623</v>
      </c>
      <c r="B633">
        <v>1083804.9467274719</v>
      </c>
      <c r="C633">
        <v>76616.537700735251</v>
      </c>
      <c r="D633">
        <v>38058.340479706327</v>
      </c>
      <c r="E633">
        <v>148038.62232572172</v>
      </c>
      <c r="F633">
        <v>46248.82769947304</v>
      </c>
      <c r="G633">
        <v>10000</v>
      </c>
      <c r="H633">
        <v>298962.32820563635</v>
      </c>
      <c r="I633">
        <v>32.810379147509622</v>
      </c>
    </row>
    <row r="634" spans="1:9" x14ac:dyDescent="0.2">
      <c r="A634">
        <v>624</v>
      </c>
      <c r="B634">
        <v>1362499.7544603567</v>
      </c>
      <c r="C634">
        <v>127285.07388929174</v>
      </c>
      <c r="D634">
        <v>60437.234460573614</v>
      </c>
      <c r="E634">
        <v>151155.37942994942</v>
      </c>
      <c r="F634">
        <v>46464.603191304188</v>
      </c>
      <c r="G634">
        <v>10000</v>
      </c>
      <c r="H634">
        <v>375342.29097111902</v>
      </c>
      <c r="I634">
        <v>37.730631559913988</v>
      </c>
    </row>
    <row r="635" spans="1:9" x14ac:dyDescent="0.2">
      <c r="A635">
        <v>625</v>
      </c>
      <c r="B635">
        <v>1048865.9943168389</v>
      </c>
      <c r="C635">
        <v>118382.29231994289</v>
      </c>
      <c r="D635">
        <v>60797.168816657504</v>
      </c>
      <c r="E635">
        <v>78755.11246813435</v>
      </c>
      <c r="F635">
        <v>41452.277017024688</v>
      </c>
      <c r="G635">
        <v>10000</v>
      </c>
      <c r="H635">
        <v>289386.85062175943</v>
      </c>
      <c r="I635">
        <v>37.678850492170611</v>
      </c>
    </row>
    <row r="636" spans="1:9" x14ac:dyDescent="0.2">
      <c r="A636">
        <v>626</v>
      </c>
      <c r="B636">
        <v>972750.0072799793</v>
      </c>
      <c r="C636">
        <v>113804.71274829727</v>
      </c>
      <c r="D636">
        <v>54174.414136474363</v>
      </c>
      <c r="E636">
        <v>69720.347158719451</v>
      </c>
      <c r="F636">
        <v>40826.793264834421</v>
      </c>
      <c r="G636">
        <v>10000</v>
      </c>
      <c r="H636">
        <v>268526.26730832551</v>
      </c>
      <c r="I636">
        <v>28.30879874544538</v>
      </c>
    </row>
    <row r="637" spans="1:9" x14ac:dyDescent="0.2">
      <c r="A637">
        <v>627</v>
      </c>
      <c r="B637">
        <v>880964.13794808218</v>
      </c>
      <c r="C637">
        <v>94546.479911577888</v>
      </c>
      <c r="D637">
        <v>51100.308418806271</v>
      </c>
      <c r="E637">
        <v>67080.335902321429</v>
      </c>
      <c r="F637">
        <v>40644.023254776097</v>
      </c>
      <c r="G637">
        <v>10000</v>
      </c>
      <c r="H637">
        <v>243371.14748748165</v>
      </c>
      <c r="I637">
        <v>34.845733527076618</v>
      </c>
    </row>
    <row r="638" spans="1:9" x14ac:dyDescent="0.2">
      <c r="A638">
        <v>628</v>
      </c>
      <c r="B638">
        <v>1449170.3255874249</v>
      </c>
      <c r="C638">
        <v>107757.50979562347</v>
      </c>
      <c r="D638">
        <v>62800.832152389106</v>
      </c>
      <c r="E638">
        <v>189423.23789448407</v>
      </c>
      <c r="F638">
        <v>49113.916469618132</v>
      </c>
      <c r="G638">
        <v>10000</v>
      </c>
      <c r="H638">
        <v>399095.49631211482</v>
      </c>
      <c r="I638">
        <v>44.587469607127872</v>
      </c>
    </row>
    <row r="639" spans="1:9" x14ac:dyDescent="0.2">
      <c r="A639">
        <v>629</v>
      </c>
      <c r="B639">
        <v>1668923.0556219735</v>
      </c>
      <c r="C639">
        <v>159236.60057110904</v>
      </c>
      <c r="D639">
        <v>80246.114139416764</v>
      </c>
      <c r="E639">
        <v>181288.17599727842</v>
      </c>
      <c r="F639">
        <v>48550.719876734656</v>
      </c>
      <c r="G639">
        <v>10000</v>
      </c>
      <c r="H639">
        <v>459321.6105845389</v>
      </c>
      <c r="I639">
        <v>42.738002089261101</v>
      </c>
    </row>
    <row r="640" spans="1:9" x14ac:dyDescent="0.2">
      <c r="A640">
        <v>630</v>
      </c>
      <c r="B640">
        <v>1070657.8193523162</v>
      </c>
      <c r="C640">
        <v>91191.399613074376</v>
      </c>
      <c r="D640">
        <v>85662.042356381862</v>
      </c>
      <c r="E640">
        <v>86516.163229601661</v>
      </c>
      <c r="F640">
        <v>41989.580531280117</v>
      </c>
      <c r="G640">
        <v>10000</v>
      </c>
      <c r="H640">
        <v>295359.18573033804</v>
      </c>
      <c r="I640">
        <v>36.998049769242435</v>
      </c>
    </row>
    <row r="641" spans="1:9" x14ac:dyDescent="0.2">
      <c r="A641">
        <v>631</v>
      </c>
      <c r="B641">
        <v>1607106.0853813172</v>
      </c>
      <c r="C641">
        <v>138153.62947129805</v>
      </c>
      <c r="D641">
        <v>165310.98513445139</v>
      </c>
      <c r="E641">
        <v>105604.18646263659</v>
      </c>
      <c r="F641">
        <v>43311.059062797918</v>
      </c>
      <c r="G641">
        <v>10000</v>
      </c>
      <c r="H641">
        <v>442379.86013118393</v>
      </c>
      <c r="I641">
        <v>27.110203045605253</v>
      </c>
    </row>
    <row r="642" spans="1:9" x14ac:dyDescent="0.2">
      <c r="A642">
        <v>632</v>
      </c>
      <c r="B642">
        <v>1277134.4846747958</v>
      </c>
      <c r="C642">
        <v>97979.299960596632</v>
      </c>
      <c r="D642">
        <v>40698.86355536685</v>
      </c>
      <c r="E642">
        <v>175143.34831577688</v>
      </c>
      <c r="F642">
        <v>48125.308729553784</v>
      </c>
      <c r="G642">
        <v>10000</v>
      </c>
      <c r="H642">
        <v>351946.82056129415</v>
      </c>
      <c r="I642">
        <v>35.293685454765296</v>
      </c>
    </row>
    <row r="643" spans="1:9" x14ac:dyDescent="0.2">
      <c r="A643">
        <v>633</v>
      </c>
      <c r="B643">
        <v>1552423.4741418494</v>
      </c>
      <c r="C643">
        <v>155389.2046488261</v>
      </c>
      <c r="D643">
        <v>69948.473473382473</v>
      </c>
      <c r="E643">
        <v>164656.40641977426</v>
      </c>
      <c r="F643">
        <v>47399.289675215143</v>
      </c>
      <c r="G643">
        <v>10000</v>
      </c>
      <c r="H643">
        <v>427393.374217198</v>
      </c>
      <c r="I643">
        <v>49.86108316099326</v>
      </c>
    </row>
    <row r="644" spans="1:9" x14ac:dyDescent="0.2">
      <c r="A644">
        <v>634</v>
      </c>
      <c r="B644">
        <v>1040775.2075045422</v>
      </c>
      <c r="C644">
        <v>107469.85966188184</v>
      </c>
      <c r="D644">
        <v>101593.14490915566</v>
      </c>
      <c r="E644">
        <v>48732.66037664879</v>
      </c>
      <c r="F644">
        <v>39373.799564537221</v>
      </c>
      <c r="G644">
        <v>10000</v>
      </c>
      <c r="H644">
        <v>287169.46451222349</v>
      </c>
      <c r="I644">
        <v>35.083683385150792</v>
      </c>
    </row>
    <row r="645" spans="1:9" x14ac:dyDescent="0.2">
      <c r="A645">
        <v>635</v>
      </c>
      <c r="B645">
        <v>1769164.0201488195</v>
      </c>
      <c r="C645">
        <v>118536.42315427956</v>
      </c>
      <c r="D645">
        <v>158209.63369417502</v>
      </c>
      <c r="E645">
        <v>172131.13244330077</v>
      </c>
      <c r="F645">
        <v>47916.770707613126</v>
      </c>
      <c r="G645">
        <v>10000</v>
      </c>
      <c r="H645">
        <v>486793.95999936847</v>
      </c>
      <c r="I645">
        <v>32.117387906609579</v>
      </c>
    </row>
    <row r="646" spans="1:9" x14ac:dyDescent="0.2">
      <c r="A646">
        <v>636</v>
      </c>
      <c r="B646">
        <v>1380477.1503721587</v>
      </c>
      <c r="C646">
        <v>94214.555724001795</v>
      </c>
      <c r="D646">
        <v>46871.272453751306</v>
      </c>
      <c r="E646">
        <v>199380.16167232773</v>
      </c>
      <c r="F646">
        <v>49803.241961930384</v>
      </c>
      <c r="G646">
        <v>10000</v>
      </c>
      <c r="H646">
        <v>380269.23181201122</v>
      </c>
      <c r="I646">
        <v>28.948525469404402</v>
      </c>
    </row>
    <row r="647" spans="1:9" x14ac:dyDescent="0.2">
      <c r="A647">
        <v>637</v>
      </c>
      <c r="B647">
        <v>1299519.3753343702</v>
      </c>
      <c r="C647">
        <v>111999.92651816219</v>
      </c>
      <c r="D647">
        <v>88593.337545986331</v>
      </c>
      <c r="E647">
        <v>122974.78972041482</v>
      </c>
      <c r="F647">
        <v>44513.63928833641</v>
      </c>
      <c r="G647">
        <v>10000</v>
      </c>
      <c r="H647">
        <v>358081.69307289971</v>
      </c>
      <c r="I647">
        <v>30.174293031146718</v>
      </c>
    </row>
    <row r="648" spans="1:9" x14ac:dyDescent="0.2">
      <c r="A648">
        <v>638</v>
      </c>
      <c r="B648">
        <v>1343715.4752546872</v>
      </c>
      <c r="C648">
        <v>87694.529696482452</v>
      </c>
      <c r="D648">
        <v>60617.638015667595</v>
      </c>
      <c r="E648">
        <v>183199.03534267904</v>
      </c>
      <c r="F648">
        <v>48683.010139108548</v>
      </c>
      <c r="G648">
        <v>10000</v>
      </c>
      <c r="H648">
        <v>370194.21319393767</v>
      </c>
      <c r="I648">
        <v>38.274154253924038</v>
      </c>
    </row>
    <row r="649" spans="1:9" x14ac:dyDescent="0.2">
      <c r="A649">
        <v>639</v>
      </c>
      <c r="B649">
        <v>1066183.9705492761</v>
      </c>
      <c r="C649">
        <v>144991.78508583817</v>
      </c>
      <c r="D649">
        <v>35404.175574843532</v>
      </c>
      <c r="E649">
        <v>82056.288245451011</v>
      </c>
      <c r="F649">
        <v>41680.819955454303</v>
      </c>
      <c r="G649">
        <v>10000</v>
      </c>
      <c r="H649">
        <v>294133.06886158703</v>
      </c>
      <c r="I649">
        <v>25.067353024055244</v>
      </c>
    </row>
    <row r="650" spans="1:9" x14ac:dyDescent="0.2">
      <c r="A650">
        <v>640</v>
      </c>
      <c r="B650">
        <v>1051014.7572443956</v>
      </c>
      <c r="C650">
        <v>111398.91415350353</v>
      </c>
      <c r="D650">
        <v>121092.3240206918</v>
      </c>
      <c r="E650">
        <v>29445.943739345661</v>
      </c>
      <c r="F650">
        <v>38038.565335800857</v>
      </c>
      <c r="G650">
        <v>10000</v>
      </c>
      <c r="H650">
        <v>289975.74724934186</v>
      </c>
      <c r="I650">
        <v>41.182460666599226</v>
      </c>
    </row>
    <row r="651" spans="1:9" x14ac:dyDescent="0.2">
      <c r="A651">
        <v>641</v>
      </c>
      <c r="B651">
        <v>1317991.764302932</v>
      </c>
      <c r="C651">
        <v>139313.21615319874</v>
      </c>
      <c r="D651">
        <v>60774.060763978145</v>
      </c>
      <c r="E651">
        <v>128182.82102607639</v>
      </c>
      <c r="F651">
        <v>44874.195301805288</v>
      </c>
      <c r="G651">
        <v>10000</v>
      </c>
      <c r="H651">
        <v>363144.29324505851</v>
      </c>
      <c r="I651">
        <v>29.003520744393498</v>
      </c>
    </row>
    <row r="652" spans="1:9" x14ac:dyDescent="0.2">
      <c r="A652">
        <v>642</v>
      </c>
      <c r="B652">
        <v>1619053.1211093424</v>
      </c>
      <c r="C652">
        <v>147436.26966368713</v>
      </c>
      <c r="D652">
        <v>51922.741070123855</v>
      </c>
      <c r="E652">
        <v>206031.3801060018</v>
      </c>
      <c r="F652">
        <v>50263.710930415509</v>
      </c>
      <c r="G652">
        <v>10000</v>
      </c>
      <c r="H652">
        <v>445654.1017702283</v>
      </c>
      <c r="I652">
        <v>32.918281300967848</v>
      </c>
    </row>
    <row r="653" spans="1:9" x14ac:dyDescent="0.2">
      <c r="A653">
        <v>643</v>
      </c>
      <c r="B653">
        <v>1493579.5617292009</v>
      </c>
      <c r="C653">
        <v>113911.58444716487</v>
      </c>
      <c r="D653">
        <v>65280.444198450474</v>
      </c>
      <c r="E653">
        <v>192731.45376205185</v>
      </c>
      <c r="F653">
        <v>49342.946798911275</v>
      </c>
      <c r="G653">
        <v>10000</v>
      </c>
      <c r="H653">
        <v>411266.42920657847</v>
      </c>
      <c r="I653">
        <v>48.454777306262223</v>
      </c>
    </row>
    <row r="654" spans="1:9" x14ac:dyDescent="0.2">
      <c r="A654">
        <v>644</v>
      </c>
      <c r="B654">
        <v>1006906.6564339047</v>
      </c>
      <c r="C654">
        <v>144733.61181522859</v>
      </c>
      <c r="D654">
        <v>77455.043892054746</v>
      </c>
      <c r="E654">
        <v>27775.752049448543</v>
      </c>
      <c r="F654">
        <v>37922.936680346436</v>
      </c>
      <c r="G654">
        <v>10000</v>
      </c>
      <c r="H654">
        <v>277887.34443707834</v>
      </c>
      <c r="I654">
        <v>44.922789039356445</v>
      </c>
    </row>
    <row r="655" spans="1:9" x14ac:dyDescent="0.2">
      <c r="A655">
        <v>645</v>
      </c>
      <c r="B655">
        <v>816386.97239392181</v>
      </c>
      <c r="C655">
        <v>77062.981333338204</v>
      </c>
      <c r="D655">
        <v>45904.820855365506</v>
      </c>
      <c r="E655">
        <v>71738.608138185504</v>
      </c>
      <c r="F655">
        <v>40966.519024951303</v>
      </c>
      <c r="G655">
        <v>10000</v>
      </c>
      <c r="H655">
        <v>225672.92935184049</v>
      </c>
      <c r="I655">
        <v>30.391141772441074</v>
      </c>
    </row>
    <row r="656" spans="1:9" x14ac:dyDescent="0.2">
      <c r="A656">
        <v>646</v>
      </c>
      <c r="B656">
        <v>1073543.3152103343</v>
      </c>
      <c r="C656">
        <v>102100.07087543505</v>
      </c>
      <c r="D656">
        <v>105257.32101073919</v>
      </c>
      <c r="E656">
        <v>58726.893752971358</v>
      </c>
      <c r="F656">
        <v>40065.708029051864</v>
      </c>
      <c r="G656">
        <v>10000</v>
      </c>
      <c r="H656">
        <v>296149.99366819742</v>
      </c>
      <c r="I656">
        <v>45.131655072802531</v>
      </c>
    </row>
    <row r="657" spans="1:9" x14ac:dyDescent="0.2">
      <c r="A657">
        <v>647</v>
      </c>
      <c r="B657">
        <v>1440419.0912149202</v>
      </c>
      <c r="C657">
        <v>127387.07755978573</v>
      </c>
      <c r="D657">
        <v>78501.993485163679</v>
      </c>
      <c r="E657">
        <v>154137.01101299407</v>
      </c>
      <c r="F657">
        <v>46671.023839361129</v>
      </c>
      <c r="G657">
        <v>10000</v>
      </c>
      <c r="H657">
        <v>396697.1058973046</v>
      </c>
      <c r="I657">
        <v>39.457576832144852</v>
      </c>
    </row>
    <row r="658" spans="1:9" x14ac:dyDescent="0.2">
      <c r="A658">
        <v>648</v>
      </c>
      <c r="B658">
        <v>1272776.7500783696</v>
      </c>
      <c r="C658">
        <v>126382.42971095502</v>
      </c>
      <c r="D658">
        <v>95328.058564893799</v>
      </c>
      <c r="E658">
        <v>96370.251400604902</v>
      </c>
      <c r="F658">
        <v>42671.786635426499</v>
      </c>
      <c r="G658">
        <v>10000</v>
      </c>
      <c r="H658">
        <v>350752.52631188027</v>
      </c>
      <c r="I658">
        <v>40.773616861064667</v>
      </c>
    </row>
    <row r="659" spans="1:9" x14ac:dyDescent="0.2">
      <c r="A659">
        <v>649</v>
      </c>
      <c r="B659">
        <v>1003303.9646968951</v>
      </c>
      <c r="C659">
        <v>131693.9747463433</v>
      </c>
      <c r="D659">
        <v>56896.661872384153</v>
      </c>
      <c r="E659">
        <v>58274.925065912837</v>
      </c>
      <c r="F659">
        <v>40034.417889178585</v>
      </c>
      <c r="G659">
        <v>10000</v>
      </c>
      <c r="H659">
        <v>276899.97957381885</v>
      </c>
      <c r="I659">
        <v>43.73454633127006</v>
      </c>
    </row>
    <row r="660" spans="1:9" x14ac:dyDescent="0.2">
      <c r="A660">
        <v>650</v>
      </c>
      <c r="B660">
        <v>1447716.4998654523</v>
      </c>
      <c r="C660">
        <v>114702.63461483186</v>
      </c>
      <c r="D660">
        <v>62051.971177415362</v>
      </c>
      <c r="E660">
        <v>183255.52927889524</v>
      </c>
      <c r="F660">
        <v>48686.921257769667</v>
      </c>
      <c r="G660">
        <v>10000</v>
      </c>
      <c r="H660">
        <v>398697.05632891215</v>
      </c>
      <c r="I660">
        <v>29.482457692565678</v>
      </c>
    </row>
    <row r="661" spans="1:9" x14ac:dyDescent="0.2">
      <c r="A661">
        <v>651</v>
      </c>
      <c r="B661">
        <v>1093464.4755012158</v>
      </c>
      <c r="C661">
        <v>75731.645579553267</v>
      </c>
      <c r="D661">
        <v>74124.488817616715</v>
      </c>
      <c r="E661">
        <v>117611.20033276365</v>
      </c>
      <c r="F661">
        <v>44142.313869191334</v>
      </c>
      <c r="G661">
        <v>10000</v>
      </c>
      <c r="H661">
        <v>301609.64859912498</v>
      </c>
      <c r="I661">
        <v>37.958965522737046</v>
      </c>
    </row>
    <row r="662" spans="1:9" x14ac:dyDescent="0.2">
      <c r="A662">
        <v>652</v>
      </c>
      <c r="B662">
        <v>1188641.0332433956</v>
      </c>
      <c r="C662">
        <v>116374.80429121955</v>
      </c>
      <c r="D662">
        <v>66363.109311548775</v>
      </c>
      <c r="E662">
        <v>111253.92274041614</v>
      </c>
      <c r="F662">
        <v>43702.194651259575</v>
      </c>
      <c r="G662">
        <v>10000</v>
      </c>
      <c r="H662">
        <v>327694.03099444404</v>
      </c>
      <c r="I662">
        <v>38.256173811661611</v>
      </c>
    </row>
    <row r="663" spans="1:9" x14ac:dyDescent="0.2">
      <c r="A663">
        <v>653</v>
      </c>
      <c r="B663">
        <v>1872110.6309936345</v>
      </c>
      <c r="C663">
        <v>163864.80339246505</v>
      </c>
      <c r="D663">
        <v>169314.18254272125</v>
      </c>
      <c r="E663">
        <v>145739.2040883982</v>
      </c>
      <c r="F663">
        <v>46089.637206119871</v>
      </c>
      <c r="G663">
        <v>10000</v>
      </c>
      <c r="H663">
        <v>515007.82722970436</v>
      </c>
      <c r="I663">
        <v>33.14393397293783</v>
      </c>
    </row>
    <row r="664" spans="1:9" x14ac:dyDescent="0.2">
      <c r="A664">
        <v>654</v>
      </c>
      <c r="B664">
        <v>962031.84902491805</v>
      </c>
      <c r="C664">
        <v>104505.64630166463</v>
      </c>
      <c r="D664">
        <v>65689.352411518557</v>
      </c>
      <c r="E664">
        <v>64900.692088125536</v>
      </c>
      <c r="F664">
        <v>40493.124836870229</v>
      </c>
      <c r="G664">
        <v>10000</v>
      </c>
      <c r="H664">
        <v>265588.81563817896</v>
      </c>
      <c r="I664">
        <v>39.593553808520497</v>
      </c>
    </row>
    <row r="665" spans="1:9" x14ac:dyDescent="0.2">
      <c r="A665">
        <v>655</v>
      </c>
      <c r="B665">
        <v>1063891.9461880836</v>
      </c>
      <c r="C665">
        <v>123300.87628498071</v>
      </c>
      <c r="D665">
        <v>115259.64265609237</v>
      </c>
      <c r="E665">
        <v>27070.29338600377</v>
      </c>
      <c r="F665">
        <v>37874.097234415647</v>
      </c>
      <c r="G665">
        <v>10000</v>
      </c>
      <c r="H665">
        <v>293504.9095614925</v>
      </c>
      <c r="I665">
        <v>31.546928856948018</v>
      </c>
    </row>
    <row r="666" spans="1:9" x14ac:dyDescent="0.2">
      <c r="A666">
        <v>656</v>
      </c>
      <c r="B666">
        <v>1438575.3509545326</v>
      </c>
      <c r="C666">
        <v>113666.27868360636</v>
      </c>
      <c r="D666">
        <v>93602.691169656595</v>
      </c>
      <c r="E666">
        <v>152373.87434257093</v>
      </c>
      <c r="F666">
        <v>46548.960531408753</v>
      </c>
      <c r="G666">
        <v>10000</v>
      </c>
      <c r="H666">
        <v>396191.80472724268</v>
      </c>
      <c r="I666">
        <v>38.408700364413846</v>
      </c>
    </row>
    <row r="667" spans="1:9" x14ac:dyDescent="0.2">
      <c r="A667">
        <v>657</v>
      </c>
      <c r="B667">
        <v>943361.95751564787</v>
      </c>
      <c r="C667">
        <v>97646.919281980183</v>
      </c>
      <c r="D667">
        <v>64658.897716810658</v>
      </c>
      <c r="E667">
        <v>67493.634101758827</v>
      </c>
      <c r="F667">
        <v>40672.636207044845</v>
      </c>
      <c r="G667">
        <v>10000</v>
      </c>
      <c r="H667">
        <v>260472.08730759448</v>
      </c>
      <c r="I667">
        <v>32.567294314868356</v>
      </c>
    </row>
    <row r="668" spans="1:9" x14ac:dyDescent="0.2">
      <c r="A668">
        <v>658</v>
      </c>
      <c r="B668">
        <v>945827.4617832168</v>
      </c>
      <c r="C668">
        <v>87985.218402376995</v>
      </c>
      <c r="D668">
        <v>37478.085829514057</v>
      </c>
      <c r="E668">
        <v>102582.61356948702</v>
      </c>
      <c r="F668">
        <v>43101.873247118332</v>
      </c>
      <c r="G668">
        <v>10000</v>
      </c>
      <c r="H668">
        <v>261147.79104849638</v>
      </c>
      <c r="I668">
        <v>32.807401767475611</v>
      </c>
    </row>
    <row r="669" spans="1:9" x14ac:dyDescent="0.2">
      <c r="A669">
        <v>659</v>
      </c>
      <c r="B669">
        <v>1094972.8183183265</v>
      </c>
      <c r="C669">
        <v>98397.993874985201</v>
      </c>
      <c r="D669">
        <v>53725.919520994146</v>
      </c>
      <c r="E669">
        <v>115876.87136944494</v>
      </c>
      <c r="F669">
        <v>44022.244940961573</v>
      </c>
      <c r="G669">
        <v>10000</v>
      </c>
      <c r="H669">
        <v>302023.02970638592</v>
      </c>
      <c r="I669">
        <v>32.134546775469246</v>
      </c>
    </row>
    <row r="670" spans="1:9" x14ac:dyDescent="0.2">
      <c r="A670">
        <v>660</v>
      </c>
      <c r="B670">
        <v>986972.72791611683</v>
      </c>
      <c r="C670">
        <v>104502.01816761965</v>
      </c>
      <c r="D670">
        <v>50888.937697963775</v>
      </c>
      <c r="E670">
        <v>85138.996146005433</v>
      </c>
      <c r="F670">
        <v>41894.238194723453</v>
      </c>
      <c r="G670">
        <v>10000</v>
      </c>
      <c r="H670">
        <v>272424.19020631234</v>
      </c>
      <c r="I670">
        <v>47.831521474066093</v>
      </c>
    </row>
    <row r="671" spans="1:9" x14ac:dyDescent="0.2">
      <c r="A671">
        <v>661</v>
      </c>
      <c r="B671">
        <v>1200933.9593913495</v>
      </c>
      <c r="C671">
        <v>88137.984417092899</v>
      </c>
      <c r="D671">
        <v>96232.107181493266</v>
      </c>
      <c r="E671">
        <v>112878.32365901215</v>
      </c>
      <c r="F671">
        <v>43814.653176393149</v>
      </c>
      <c r="G671">
        <v>10000</v>
      </c>
      <c r="H671">
        <v>331063.06843399146</v>
      </c>
      <c r="I671">
        <v>48.021679517164173</v>
      </c>
    </row>
    <row r="672" spans="1:9" x14ac:dyDescent="0.2">
      <c r="A672">
        <v>662</v>
      </c>
      <c r="B672">
        <v>1695168.4968262925</v>
      </c>
      <c r="C672">
        <v>131023.66374400834</v>
      </c>
      <c r="D672">
        <v>92818.640345016276</v>
      </c>
      <c r="E672">
        <v>202643.07733146119</v>
      </c>
      <c r="F672">
        <v>50029.136122947311</v>
      </c>
      <c r="G672">
        <v>10000</v>
      </c>
      <c r="H672">
        <v>466514.51754343312</v>
      </c>
      <c r="I672">
        <v>30.796806898269633</v>
      </c>
    </row>
    <row r="673" spans="1:9" x14ac:dyDescent="0.2">
      <c r="A673">
        <v>663</v>
      </c>
      <c r="B673">
        <v>1298526.5307528367</v>
      </c>
      <c r="C673">
        <v>106633.83773636013</v>
      </c>
      <c r="D673">
        <v>29778.293258535468</v>
      </c>
      <c r="E673">
        <v>182745.82591318592</v>
      </c>
      <c r="F673">
        <v>48651.634101682102</v>
      </c>
      <c r="G673">
        <v>10000</v>
      </c>
      <c r="H673">
        <v>357809.59100976365</v>
      </c>
      <c r="I673">
        <v>35.434747169823154</v>
      </c>
    </row>
    <row r="674" spans="1:9" x14ac:dyDescent="0.2">
      <c r="A674">
        <v>664</v>
      </c>
      <c r="B674">
        <v>1390511.238581155</v>
      </c>
      <c r="C674">
        <v>102194.58136523518</v>
      </c>
      <c r="D674">
        <v>86169.685263777996</v>
      </c>
      <c r="E674">
        <v>157734.83456477567</v>
      </c>
      <c r="F674">
        <v>46920.103931407539</v>
      </c>
      <c r="G674">
        <v>10000</v>
      </c>
      <c r="H674">
        <v>383019.20512519637</v>
      </c>
      <c r="I674">
        <v>28.650457816618449</v>
      </c>
    </row>
    <row r="675" spans="1:9" x14ac:dyDescent="0.2">
      <c r="A675">
        <v>665</v>
      </c>
      <c r="B675">
        <v>1178646.8402224751</v>
      </c>
      <c r="C675">
        <v>119574.49088780351</v>
      </c>
      <c r="D675">
        <v>82558.50636817023</v>
      </c>
      <c r="E675">
        <v>90552.944238438271</v>
      </c>
      <c r="F675">
        <v>42269.049985738035</v>
      </c>
      <c r="G675">
        <v>10000</v>
      </c>
      <c r="H675">
        <v>324954.99148015003</v>
      </c>
      <c r="I675">
        <v>42.946588664562711</v>
      </c>
    </row>
    <row r="676" spans="1:9" x14ac:dyDescent="0.2">
      <c r="A676">
        <v>666</v>
      </c>
      <c r="B676">
        <v>1268027.6184424153</v>
      </c>
      <c r="C676">
        <v>82385.471937395385</v>
      </c>
      <c r="D676">
        <v>110017.13158298073</v>
      </c>
      <c r="E676">
        <v>122563.21537647165</v>
      </c>
      <c r="F676">
        <v>44485.145679909576</v>
      </c>
      <c r="G676">
        <v>10000</v>
      </c>
      <c r="H676">
        <v>349450.96457675734</v>
      </c>
      <c r="I676">
        <v>34.805686949648845</v>
      </c>
    </row>
    <row r="677" spans="1:9" x14ac:dyDescent="0.2">
      <c r="A677">
        <v>667</v>
      </c>
      <c r="B677">
        <v>1477916.10939153</v>
      </c>
      <c r="C677">
        <v>102715.69455482168</v>
      </c>
      <c r="D677">
        <v>70213.241124764521</v>
      </c>
      <c r="E677">
        <v>194574.19784439899</v>
      </c>
      <c r="F677">
        <v>49470.521389227622</v>
      </c>
      <c r="G677">
        <v>10000</v>
      </c>
      <c r="H677">
        <v>406973.65491321275</v>
      </c>
      <c r="I677">
        <v>38.523470909758544</v>
      </c>
    </row>
    <row r="678" spans="1:9" x14ac:dyDescent="0.2">
      <c r="A678">
        <v>668</v>
      </c>
      <c r="B678">
        <v>1260222.3496631871</v>
      </c>
      <c r="C678">
        <v>96403.721015502058</v>
      </c>
      <c r="D678">
        <v>66993.810232632124</v>
      </c>
      <c r="E678">
        <v>147689.63045250074</v>
      </c>
      <c r="F678">
        <v>46224.666723634662</v>
      </c>
      <c r="G678">
        <v>10000</v>
      </c>
      <c r="H678">
        <v>347311.82842426957</v>
      </c>
      <c r="I678">
        <v>51.484763115940851</v>
      </c>
    </row>
    <row r="679" spans="1:9" x14ac:dyDescent="0.2">
      <c r="A679">
        <v>669</v>
      </c>
      <c r="B679">
        <v>880000.67958636303</v>
      </c>
      <c r="C679">
        <v>77283.93832527721</v>
      </c>
      <c r="D679">
        <v>108034.14633073329</v>
      </c>
      <c r="E679">
        <v>29730.732935869266</v>
      </c>
      <c r="F679">
        <v>38058.281510944791</v>
      </c>
      <c r="G679">
        <v>10000</v>
      </c>
      <c r="H679">
        <v>243107.09910282455</v>
      </c>
      <c r="I679">
        <v>46.00306743455539</v>
      </c>
    </row>
    <row r="680" spans="1:9" x14ac:dyDescent="0.2">
      <c r="A680">
        <v>670</v>
      </c>
      <c r="B680">
        <v>1643651.6616388077</v>
      </c>
      <c r="C680">
        <v>126709.24800265176</v>
      </c>
      <c r="D680">
        <v>130819.75413731266</v>
      </c>
      <c r="E680">
        <v>157932.83989335506</v>
      </c>
      <c r="F680">
        <v>46933.811992616887</v>
      </c>
      <c r="G680">
        <v>10000</v>
      </c>
      <c r="H680">
        <v>452395.65402593638</v>
      </c>
      <c r="I680">
        <v>48.25430807432928</v>
      </c>
    </row>
    <row r="681" spans="1:9" x14ac:dyDescent="0.2">
      <c r="A681">
        <v>671</v>
      </c>
      <c r="B681">
        <v>1597213.3497418547</v>
      </c>
      <c r="C681">
        <v>129744.72540384573</v>
      </c>
      <c r="D681">
        <v>103949.87636442036</v>
      </c>
      <c r="E681">
        <v>168321.03017621778</v>
      </c>
      <c r="F681">
        <v>47652.994396815076</v>
      </c>
      <c r="G681">
        <v>10000</v>
      </c>
      <c r="H681">
        <v>439668.62634129892</v>
      </c>
      <c r="I681">
        <v>27.722030195686962</v>
      </c>
    </row>
    <row r="682" spans="1:9" x14ac:dyDescent="0.2">
      <c r="A682">
        <v>672</v>
      </c>
      <c r="B682">
        <v>1761493.8662979021</v>
      </c>
      <c r="C682">
        <v>126105.1602499913</v>
      </c>
      <c r="D682">
        <v>148525.56189116996</v>
      </c>
      <c r="E682">
        <v>172143.50448795242</v>
      </c>
      <c r="F682">
        <v>47917.627233781321</v>
      </c>
      <c r="G682">
        <v>10000</v>
      </c>
      <c r="H682">
        <v>484691.85386289499</v>
      </c>
      <c r="I682">
        <v>36.043332627949127</v>
      </c>
    </row>
    <row r="683" spans="1:9" x14ac:dyDescent="0.2">
      <c r="A683">
        <v>673</v>
      </c>
      <c r="B683">
        <v>1805825.8859434358</v>
      </c>
      <c r="C683">
        <v>111397.39828866626</v>
      </c>
      <c r="D683">
        <v>160166.41469392253</v>
      </c>
      <c r="E683">
        <v>186374.9316958565</v>
      </c>
      <c r="F683">
        <v>48902.879886636219</v>
      </c>
      <c r="G683">
        <v>10000</v>
      </c>
      <c r="H683">
        <v>496841.6245650815</v>
      </c>
      <c r="I683">
        <v>36.147852977177564</v>
      </c>
    </row>
    <row r="684" spans="1:9" x14ac:dyDescent="0.2">
      <c r="A684">
        <v>674</v>
      </c>
      <c r="B684">
        <v>1450282.7784332382</v>
      </c>
      <c r="C684">
        <v>74877.755681019058</v>
      </c>
      <c r="D684">
        <v>110976.38851649358</v>
      </c>
      <c r="E684">
        <v>175402.9530260094</v>
      </c>
      <c r="F684">
        <v>48143.281363339105</v>
      </c>
      <c r="G684">
        <v>10000</v>
      </c>
      <c r="H684">
        <v>399400.37858686113</v>
      </c>
      <c r="I684">
        <v>27.814962223383858</v>
      </c>
    </row>
    <row r="685" spans="1:9" x14ac:dyDescent="0.2">
      <c r="A685">
        <v>675</v>
      </c>
      <c r="B685">
        <v>1318869.4658150135</v>
      </c>
      <c r="C685">
        <v>91667.841016654216</v>
      </c>
      <c r="D685">
        <v>116349.57878756631</v>
      </c>
      <c r="E685">
        <v>120991.11133003366</v>
      </c>
      <c r="F685">
        <v>44376.307707463864</v>
      </c>
      <c r="G685">
        <v>10000</v>
      </c>
      <c r="H685">
        <v>363384.83884171804</v>
      </c>
      <c r="I685">
        <v>26.195905950865182</v>
      </c>
    </row>
    <row r="686" spans="1:9" x14ac:dyDescent="0.2">
      <c r="A686">
        <v>676</v>
      </c>
      <c r="B686">
        <v>1878578.8301645136</v>
      </c>
      <c r="C686">
        <v>126269.08420788313</v>
      </c>
      <c r="D686">
        <v>151316.40482802581</v>
      </c>
      <c r="E686">
        <v>199391.03796911851</v>
      </c>
      <c r="F686">
        <v>49803.994936323586</v>
      </c>
      <c r="G686">
        <v>10000</v>
      </c>
      <c r="H686">
        <v>516780.52194135101</v>
      </c>
      <c r="I686">
        <v>25.298229214768238</v>
      </c>
    </row>
    <row r="687" spans="1:9" x14ac:dyDescent="0.2">
      <c r="A687">
        <v>677</v>
      </c>
      <c r="B687">
        <v>1363881.9111685823</v>
      </c>
      <c r="C687">
        <v>166539.08935432619</v>
      </c>
      <c r="D687">
        <v>124352.70410697479</v>
      </c>
      <c r="E687">
        <v>55020.204575026102</v>
      </c>
      <c r="F687">
        <v>39809.091085963344</v>
      </c>
      <c r="G687">
        <v>10000</v>
      </c>
      <c r="H687">
        <v>375721.08912229049</v>
      </c>
      <c r="I687">
        <v>26.413344770831763</v>
      </c>
    </row>
    <row r="688" spans="1:9" x14ac:dyDescent="0.2">
      <c r="A688">
        <v>678</v>
      </c>
      <c r="B688">
        <v>989897.64932707557</v>
      </c>
      <c r="C688">
        <v>114029.77817134702</v>
      </c>
      <c r="D688">
        <v>26270.259115121684</v>
      </c>
      <c r="E688">
        <v>100002.51491439826</v>
      </c>
      <c r="F688">
        <v>42923.251032535263</v>
      </c>
      <c r="G688">
        <v>10000</v>
      </c>
      <c r="H688">
        <v>273225.8032334022</v>
      </c>
      <c r="I688">
        <v>31.974411016944401</v>
      </c>
    </row>
    <row r="689" spans="1:9" x14ac:dyDescent="0.2">
      <c r="A689">
        <v>679</v>
      </c>
      <c r="B689">
        <v>1475073.136188719</v>
      </c>
      <c r="C689">
        <v>82658.049660538323</v>
      </c>
      <c r="D689">
        <v>106015.99660246503</v>
      </c>
      <c r="E689">
        <v>179119.84962872972</v>
      </c>
      <c r="F689">
        <v>48400.604974296672</v>
      </c>
      <c r="G689">
        <v>10000</v>
      </c>
      <c r="H689">
        <v>406194.50086602976</v>
      </c>
      <c r="I689">
        <v>43.985401619938955</v>
      </c>
    </row>
    <row r="690" spans="1:9" x14ac:dyDescent="0.2">
      <c r="A690">
        <v>680</v>
      </c>
      <c r="B690">
        <v>1301235.6864094832</v>
      </c>
      <c r="C690">
        <v>131202.3047882689</v>
      </c>
      <c r="D690">
        <v>96162.396217538131</v>
      </c>
      <c r="E690">
        <v>98376.676604033506</v>
      </c>
      <c r="F690">
        <v>42810.692995663856</v>
      </c>
      <c r="G690">
        <v>10000</v>
      </c>
      <c r="H690">
        <v>358552.07060550438</v>
      </c>
      <c r="I690">
        <v>33.553017984288864</v>
      </c>
    </row>
    <row r="691" spans="1:9" x14ac:dyDescent="0.2">
      <c r="A691">
        <v>681</v>
      </c>
      <c r="B691">
        <v>1081059.2335631058</v>
      </c>
      <c r="C691">
        <v>93758.966131918191</v>
      </c>
      <c r="D691">
        <v>89481.734162655426</v>
      </c>
      <c r="E691">
        <v>83208.538148841631</v>
      </c>
      <c r="F691">
        <v>41760.59110261211</v>
      </c>
      <c r="G691">
        <v>10000</v>
      </c>
      <c r="H691">
        <v>298209.82954602735</v>
      </c>
      <c r="I691">
        <v>33.396833538562994</v>
      </c>
    </row>
    <row r="692" spans="1:9" x14ac:dyDescent="0.2">
      <c r="A692">
        <v>682</v>
      </c>
      <c r="B692">
        <v>1559364.9696286591</v>
      </c>
      <c r="C692">
        <v>114608.89769648045</v>
      </c>
      <c r="D692">
        <v>78495.645986555988</v>
      </c>
      <c r="E692">
        <v>196581.73366284164</v>
      </c>
      <c r="F692">
        <v>49609.504638196726</v>
      </c>
      <c r="G692">
        <v>10000</v>
      </c>
      <c r="H692">
        <v>429295.7819840748</v>
      </c>
      <c r="I692">
        <v>31.066265792294054</v>
      </c>
    </row>
    <row r="693" spans="1:9" x14ac:dyDescent="0.2">
      <c r="A693">
        <v>683</v>
      </c>
      <c r="B693">
        <v>1539868.6939338828</v>
      </c>
      <c r="C693">
        <v>156362.06429036809</v>
      </c>
      <c r="D693">
        <v>165019.73761649375</v>
      </c>
      <c r="E693">
        <v>71612.950673524625</v>
      </c>
      <c r="F693">
        <v>40957.819662013244</v>
      </c>
      <c r="G693">
        <v>10000</v>
      </c>
      <c r="H693">
        <v>423952.57224239974</v>
      </c>
      <c r="I693">
        <v>32.790167452222434</v>
      </c>
    </row>
    <row r="694" spans="1:9" x14ac:dyDescent="0.2">
      <c r="A694">
        <v>684</v>
      </c>
      <c r="B694">
        <v>1472213.7758279643</v>
      </c>
      <c r="C694">
        <v>131549.07856911991</v>
      </c>
      <c r="D694">
        <v>80841.754280840556</v>
      </c>
      <c r="E694">
        <v>156205.77676954598</v>
      </c>
      <c r="F694">
        <v>46814.246084045488</v>
      </c>
      <c r="G694">
        <v>10000</v>
      </c>
      <c r="H694">
        <v>405410.85570355196</v>
      </c>
      <c r="I694">
        <v>47.011660146621558</v>
      </c>
    </row>
    <row r="695" spans="1:9" x14ac:dyDescent="0.2">
      <c r="A695">
        <v>685</v>
      </c>
      <c r="B695">
        <v>928956.1531499509</v>
      </c>
      <c r="C695">
        <v>131355.66447885151</v>
      </c>
      <c r="D695">
        <v>68296.332128406997</v>
      </c>
      <c r="E695">
        <v>28873.085395966613</v>
      </c>
      <c r="F695">
        <v>37998.905912028458</v>
      </c>
      <c r="G695">
        <v>10000</v>
      </c>
      <c r="H695">
        <v>256523.98791525356</v>
      </c>
      <c r="I695">
        <v>26.069264694512896</v>
      </c>
    </row>
    <row r="696" spans="1:9" x14ac:dyDescent="0.2">
      <c r="A696">
        <v>686</v>
      </c>
      <c r="B696">
        <v>1044316.8339724466</v>
      </c>
      <c r="C696">
        <v>97910.54209456878</v>
      </c>
      <c r="D696">
        <v>82201.407597098281</v>
      </c>
      <c r="E696">
        <v>76716.969158976382</v>
      </c>
      <c r="F696">
        <v>41311.174787929136</v>
      </c>
      <c r="G696">
        <v>10000</v>
      </c>
      <c r="H696">
        <v>288140.09363857261</v>
      </c>
      <c r="I696">
        <v>42.021996620160039</v>
      </c>
    </row>
    <row r="697" spans="1:9" x14ac:dyDescent="0.2">
      <c r="A697">
        <v>687</v>
      </c>
      <c r="B697">
        <v>1482028.2786116495</v>
      </c>
      <c r="C697">
        <v>104024.63434789165</v>
      </c>
      <c r="D697">
        <v>121772.11130491564</v>
      </c>
      <c r="E697">
        <v>146183.50649800073</v>
      </c>
      <c r="F697">
        <v>46120.396603707748</v>
      </c>
      <c r="G697">
        <v>10000</v>
      </c>
      <c r="H697">
        <v>408100.64875451574</v>
      </c>
      <c r="I697">
        <v>30.14464364853297</v>
      </c>
    </row>
    <row r="698" spans="1:9" x14ac:dyDescent="0.2">
      <c r="A698">
        <v>688</v>
      </c>
      <c r="B698">
        <v>1210068.043484502</v>
      </c>
      <c r="C698">
        <v>92289.967601593933</v>
      </c>
      <c r="D698">
        <v>88536.801874109326</v>
      </c>
      <c r="E698">
        <v>118533.45227362285</v>
      </c>
      <c r="F698">
        <v>44206.162080481583</v>
      </c>
      <c r="G698">
        <v>10000</v>
      </c>
      <c r="H698">
        <v>333566.38382980769</v>
      </c>
      <c r="I698">
        <v>53.874520280760393</v>
      </c>
    </row>
    <row r="699" spans="1:9" x14ac:dyDescent="0.2">
      <c r="A699">
        <v>689</v>
      </c>
      <c r="B699">
        <v>1447472.7068236643</v>
      </c>
      <c r="C699">
        <v>103752.31779947461</v>
      </c>
      <c r="D699">
        <v>77282.232834078604</v>
      </c>
      <c r="E699">
        <v>179190.21462184249</v>
      </c>
      <c r="F699">
        <v>48405.476396896782</v>
      </c>
      <c r="G699">
        <v>10000</v>
      </c>
      <c r="H699">
        <v>398630.24165229243</v>
      </c>
      <c r="I699">
        <v>36.415082628034405</v>
      </c>
    </row>
    <row r="700" spans="1:9" x14ac:dyDescent="0.2">
      <c r="A700">
        <v>690</v>
      </c>
      <c r="B700">
        <v>1208668.7700206623</v>
      </c>
      <c r="C700">
        <v>125595.49479727539</v>
      </c>
      <c r="D700">
        <v>52646.096672658867</v>
      </c>
      <c r="E700">
        <v>120592.58566826679</v>
      </c>
      <c r="F700">
        <v>44348.717469341551</v>
      </c>
      <c r="G700">
        <v>10000</v>
      </c>
      <c r="H700">
        <v>333182.89460754261</v>
      </c>
      <c r="I700">
        <v>39.383425491594828</v>
      </c>
    </row>
    <row r="701" spans="1:9" x14ac:dyDescent="0.2">
      <c r="A701">
        <v>691</v>
      </c>
      <c r="B701">
        <v>1327765.4069928103</v>
      </c>
      <c r="C701">
        <v>126952.71007134276</v>
      </c>
      <c r="D701">
        <v>100221.85849329192</v>
      </c>
      <c r="E701">
        <v>105354.54340552069</v>
      </c>
      <c r="F701">
        <v>43293.776081920667</v>
      </c>
      <c r="G701">
        <v>10000</v>
      </c>
      <c r="H701">
        <v>365822.88805207604</v>
      </c>
      <c r="I701">
        <v>39.184333471142047</v>
      </c>
    </row>
    <row r="702" spans="1:9" x14ac:dyDescent="0.2">
      <c r="A702">
        <v>692</v>
      </c>
      <c r="B702">
        <v>1093121.8605856171</v>
      </c>
      <c r="C702">
        <v>99928.420436624088</v>
      </c>
      <c r="D702">
        <v>135537.80418470301</v>
      </c>
      <c r="E702">
        <v>37456.391103462061</v>
      </c>
      <c r="F702">
        <v>38593.134768701217</v>
      </c>
      <c r="G702">
        <v>10000</v>
      </c>
      <c r="H702">
        <v>301515.75049349037</v>
      </c>
      <c r="I702">
        <v>35.41781344860668</v>
      </c>
    </row>
    <row r="703" spans="1:9" x14ac:dyDescent="0.2">
      <c r="A703">
        <v>693</v>
      </c>
      <c r="B703">
        <v>967626.79019243421</v>
      </c>
      <c r="C703">
        <v>87568.890553393649</v>
      </c>
      <c r="D703">
        <v>59882.340286422754</v>
      </c>
      <c r="E703">
        <v>87605.926064501633</v>
      </c>
      <c r="F703">
        <v>42065.025650619347</v>
      </c>
      <c r="G703">
        <v>10000</v>
      </c>
      <c r="H703">
        <v>267122.18255493738</v>
      </c>
      <c r="I703">
        <v>29.934286905284303</v>
      </c>
    </row>
    <row r="704" spans="1:9" x14ac:dyDescent="0.2">
      <c r="A704">
        <v>694</v>
      </c>
      <c r="B704">
        <v>1539171.1819648843</v>
      </c>
      <c r="C704">
        <v>92712.289952598658</v>
      </c>
      <c r="D704">
        <v>122847.93255811989</v>
      </c>
      <c r="E704">
        <v>170403.98825291957</v>
      </c>
      <c r="F704">
        <v>47797.199186740581</v>
      </c>
      <c r="G704">
        <v>10000</v>
      </c>
      <c r="H704">
        <v>423761.4099503787</v>
      </c>
      <c r="I704">
        <v>30.217592773612473</v>
      </c>
    </row>
    <row r="705" spans="1:9" x14ac:dyDescent="0.2">
      <c r="A705">
        <v>695</v>
      </c>
      <c r="B705">
        <v>1098737.3351608168</v>
      </c>
      <c r="C705">
        <v>134713.73299821455</v>
      </c>
      <c r="D705">
        <v>55961.667192105604</v>
      </c>
      <c r="E705">
        <v>80786.437460475368</v>
      </c>
      <c r="F705">
        <v>41592.907208802135</v>
      </c>
      <c r="G705">
        <v>10000</v>
      </c>
      <c r="H705">
        <v>303054.74485959765</v>
      </c>
      <c r="I705">
        <v>45.63061167375804</v>
      </c>
    </row>
    <row r="706" spans="1:9" x14ac:dyDescent="0.2">
      <c r="A706">
        <v>696</v>
      </c>
      <c r="B706">
        <v>1261404.0901075723</v>
      </c>
      <c r="C706">
        <v>138963.39704877694</v>
      </c>
      <c r="D706">
        <v>105191.93092509522</v>
      </c>
      <c r="E706">
        <v>72463.657171868079</v>
      </c>
      <c r="F706">
        <v>41016.714727283172</v>
      </c>
      <c r="G706">
        <v>10000</v>
      </c>
      <c r="H706">
        <v>347635.69987302338</v>
      </c>
      <c r="I706">
        <v>35.984775193775491</v>
      </c>
    </row>
    <row r="707" spans="1:9" x14ac:dyDescent="0.2">
      <c r="A707">
        <v>697</v>
      </c>
      <c r="B707">
        <v>1606496.3674269803</v>
      </c>
      <c r="C707">
        <v>94429.154647881674</v>
      </c>
      <c r="D707">
        <v>143476.38856471123</v>
      </c>
      <c r="E707">
        <v>166762.14420447935</v>
      </c>
      <c r="F707">
        <v>47545.071521848571</v>
      </c>
      <c r="G707">
        <v>10000</v>
      </c>
      <c r="H707">
        <v>442212.7589389208</v>
      </c>
      <c r="I707">
        <v>41.61325679303927</v>
      </c>
    </row>
    <row r="708" spans="1:9" x14ac:dyDescent="0.2">
      <c r="A708">
        <v>698</v>
      </c>
      <c r="B708">
        <v>1684208.1505180185</v>
      </c>
      <c r="C708">
        <v>135286.58332568884</v>
      </c>
      <c r="D708">
        <v>85555.872974887796</v>
      </c>
      <c r="E708">
        <v>202639.35625431917</v>
      </c>
      <c r="F708">
        <v>50028.878509914408</v>
      </c>
      <c r="G708">
        <v>10000</v>
      </c>
      <c r="H708">
        <v>463510.69106481015</v>
      </c>
      <c r="I708">
        <v>50.778536293016096</v>
      </c>
    </row>
    <row r="709" spans="1:9" x14ac:dyDescent="0.2">
      <c r="A709">
        <v>699</v>
      </c>
      <c r="B709">
        <v>1329801.42685758</v>
      </c>
      <c r="C709">
        <v>106741.93701368671</v>
      </c>
      <c r="D709">
        <v>73525.974163791951</v>
      </c>
      <c r="E709">
        <v>149745.94764435853</v>
      </c>
      <c r="F709">
        <v>46367.027144609434</v>
      </c>
      <c r="G709">
        <v>10000</v>
      </c>
      <c r="H709">
        <v>366380.88596644666</v>
      </c>
      <c r="I709">
        <v>42.009771851808615</v>
      </c>
    </row>
    <row r="710" spans="1:9" x14ac:dyDescent="0.2">
      <c r="A710">
        <v>700</v>
      </c>
      <c r="B710">
        <v>1428909.4016098962</v>
      </c>
      <c r="C710">
        <v>118103.4942581824</v>
      </c>
      <c r="D710">
        <v>49714.538421697114</v>
      </c>
      <c r="E710">
        <v>186792.87742159097</v>
      </c>
      <c r="F710">
        <v>48931.814590725524</v>
      </c>
      <c r="G710">
        <v>10000</v>
      </c>
      <c r="H710">
        <v>393542.724692196</v>
      </c>
      <c r="I710">
        <v>31.284545362752802</v>
      </c>
    </row>
    <row r="711" spans="1:9" x14ac:dyDescent="0.2">
      <c r="A711">
        <v>701</v>
      </c>
      <c r="B711">
        <v>1594501.9575385819</v>
      </c>
      <c r="C711">
        <v>161331.69532378195</v>
      </c>
      <c r="D711">
        <v>61342.852822596789</v>
      </c>
      <c r="E711">
        <v>177932.57650184393</v>
      </c>
      <c r="F711">
        <v>48318.409142435346</v>
      </c>
      <c r="G711">
        <v>10000</v>
      </c>
      <c r="H711">
        <v>438925.53379065805</v>
      </c>
      <c r="I711">
        <v>44.178289303284856</v>
      </c>
    </row>
    <row r="712" spans="1:9" x14ac:dyDescent="0.2">
      <c r="A712">
        <v>702</v>
      </c>
      <c r="B712">
        <v>1406894.3173477785</v>
      </c>
      <c r="C712">
        <v>134378.84462933196</v>
      </c>
      <c r="D712">
        <v>155141.78064139106</v>
      </c>
      <c r="E712">
        <v>67327.446299627874</v>
      </c>
      <c r="F712">
        <v>40661.130897666546</v>
      </c>
      <c r="G712">
        <v>10000</v>
      </c>
      <c r="H712">
        <v>387509.20246801747</v>
      </c>
      <c r="I712">
        <v>34.920952982440923</v>
      </c>
    </row>
    <row r="713" spans="1:9" x14ac:dyDescent="0.2">
      <c r="A713">
        <v>703</v>
      </c>
      <c r="B713">
        <v>1504149.3665373153</v>
      </c>
      <c r="C713">
        <v>81489.96560578137</v>
      </c>
      <c r="D713">
        <v>91120.377033566314</v>
      </c>
      <c r="E713">
        <v>201596.21873488498</v>
      </c>
      <c r="F713">
        <v>49956.6612970305</v>
      </c>
      <c r="G713">
        <v>10000</v>
      </c>
      <c r="H713">
        <v>414163.22267126315</v>
      </c>
      <c r="I713">
        <v>38.293076137424549</v>
      </c>
    </row>
    <row r="714" spans="1:9" x14ac:dyDescent="0.2">
      <c r="A714">
        <v>704</v>
      </c>
      <c r="B714">
        <v>1256380.5084317357</v>
      </c>
      <c r="C714">
        <v>113028.48149491771</v>
      </c>
      <c r="D714">
        <v>126083.66872627004</v>
      </c>
      <c r="E714">
        <v>75892.663794700842</v>
      </c>
      <c r="F714">
        <v>41254.107493479285</v>
      </c>
      <c r="G714">
        <v>10000</v>
      </c>
      <c r="H714">
        <v>346258.92150936788</v>
      </c>
      <c r="I714">
        <v>42.969538969862747</v>
      </c>
    </row>
    <row r="715" spans="1:9" x14ac:dyDescent="0.2">
      <c r="A715">
        <v>705</v>
      </c>
      <c r="B715">
        <v>1026300.5447610092</v>
      </c>
      <c r="C715">
        <v>113132.12271310065</v>
      </c>
      <c r="D715">
        <v>111415.44341599781</v>
      </c>
      <c r="E715">
        <v>30540.579629816126</v>
      </c>
      <c r="F715">
        <v>38114.347820525727</v>
      </c>
      <c r="G715">
        <v>10000</v>
      </c>
      <c r="H715">
        <v>283202.49357944028</v>
      </c>
      <c r="I715">
        <v>36.257921257235097</v>
      </c>
    </row>
    <row r="716" spans="1:9" x14ac:dyDescent="0.2">
      <c r="A716">
        <v>706</v>
      </c>
      <c r="B716">
        <v>1262011.3393840573</v>
      </c>
      <c r="C716">
        <v>114464.8450862833</v>
      </c>
      <c r="D716">
        <v>97780.103676357292</v>
      </c>
      <c r="E716">
        <v>102463.54564596075</v>
      </c>
      <c r="F716">
        <v>43093.630083181895</v>
      </c>
      <c r="G716">
        <v>10000</v>
      </c>
      <c r="H716">
        <v>347802.12449178321</v>
      </c>
      <c r="I716">
        <v>32.280498052919164</v>
      </c>
    </row>
    <row r="717" spans="1:9" x14ac:dyDescent="0.2">
      <c r="A717">
        <v>707</v>
      </c>
      <c r="B717">
        <v>1659871.179920902</v>
      </c>
      <c r="C717">
        <v>153380.73967706464</v>
      </c>
      <c r="D717">
        <v>91904.411436445313</v>
      </c>
      <c r="E717">
        <v>173541.27818022668</v>
      </c>
      <c r="F717">
        <v>48014.396181707998</v>
      </c>
      <c r="G717">
        <v>10000</v>
      </c>
      <c r="H717">
        <v>456840.82547544467</v>
      </c>
      <c r="I717">
        <v>36.132178613465825</v>
      </c>
    </row>
    <row r="718" spans="1:9" x14ac:dyDescent="0.2">
      <c r="A718">
        <v>708</v>
      </c>
      <c r="B718">
        <v>1205896.8290573896</v>
      </c>
      <c r="C718">
        <v>101719.14536081209</v>
      </c>
      <c r="D718">
        <v>83070.411021949214</v>
      </c>
      <c r="E718">
        <v>113758.09132468422</v>
      </c>
      <c r="F718">
        <v>43875.560168631986</v>
      </c>
      <c r="G718">
        <v>10000</v>
      </c>
      <c r="H718">
        <v>332423.2078760775</v>
      </c>
      <c r="I718">
        <v>35.752617539767371</v>
      </c>
    </row>
    <row r="719" spans="1:9" x14ac:dyDescent="0.2">
      <c r="A719">
        <v>709</v>
      </c>
      <c r="B719">
        <v>1206879.3444693151</v>
      </c>
      <c r="C719">
        <v>149129.12265911361</v>
      </c>
      <c r="D719">
        <v>101566.33890721027</v>
      </c>
      <c r="E719">
        <v>52371.311357733823</v>
      </c>
      <c r="F719">
        <v>39625.706170920035</v>
      </c>
      <c r="G719">
        <v>10000</v>
      </c>
      <c r="H719">
        <v>332692.47909497772</v>
      </c>
      <c r="I719">
        <v>38.052430409205158</v>
      </c>
    </row>
    <row r="720" spans="1:9" x14ac:dyDescent="0.2">
      <c r="A720">
        <v>710</v>
      </c>
      <c r="B720">
        <v>1548167.9781367113</v>
      </c>
      <c r="C720">
        <v>86655.441518852851</v>
      </c>
      <c r="D720">
        <v>96858.945209115205</v>
      </c>
      <c r="E720">
        <v>202680.95466511938</v>
      </c>
      <c r="F720">
        <v>50031.758399892882</v>
      </c>
      <c r="G720">
        <v>10000</v>
      </c>
      <c r="H720">
        <v>426227.0997929803</v>
      </c>
      <c r="I720">
        <v>27.429579903283184</v>
      </c>
    </row>
    <row r="721" spans="1:9" x14ac:dyDescent="0.2">
      <c r="A721">
        <v>711</v>
      </c>
      <c r="B721">
        <v>1087870.9178608691</v>
      </c>
      <c r="C721">
        <v>118084.59366297032</v>
      </c>
      <c r="D721">
        <v>96049.641091660174</v>
      </c>
      <c r="E721">
        <v>56061.261821528118</v>
      </c>
      <c r="F721">
        <v>39881.164279951947</v>
      </c>
      <c r="G721">
        <v>10000</v>
      </c>
      <c r="H721">
        <v>300076.66085611057</v>
      </c>
      <c r="I721">
        <v>30.754195554152346</v>
      </c>
    </row>
    <row r="722" spans="1:9" x14ac:dyDescent="0.2">
      <c r="A722">
        <v>712</v>
      </c>
      <c r="B722">
        <v>1005122.1406854514</v>
      </c>
      <c r="C722">
        <v>91508.021566006195</v>
      </c>
      <c r="D722">
        <v>105521.1629612059</v>
      </c>
      <c r="E722">
        <v>50848.789202179243</v>
      </c>
      <c r="F722">
        <v>39520.300790920097</v>
      </c>
      <c r="G722">
        <v>10000</v>
      </c>
      <c r="H722">
        <v>277398.27452031145</v>
      </c>
      <c r="I722">
        <v>39.743813114963032</v>
      </c>
    </row>
    <row r="723" spans="1:9" x14ac:dyDescent="0.2">
      <c r="A723">
        <v>713</v>
      </c>
      <c r="B723">
        <v>1232231.0668078936</v>
      </c>
      <c r="C723">
        <v>128379.84640881518</v>
      </c>
      <c r="D723">
        <v>79187.331208650838</v>
      </c>
      <c r="E723">
        <v>99205.219421876274</v>
      </c>
      <c r="F723">
        <v>42868.053652283743</v>
      </c>
      <c r="G723">
        <v>10000</v>
      </c>
      <c r="H723">
        <v>339640.45069162606</v>
      </c>
      <c r="I723">
        <v>44.646450894976127</v>
      </c>
    </row>
    <row r="724" spans="1:9" x14ac:dyDescent="0.2">
      <c r="A724">
        <v>714</v>
      </c>
      <c r="B724">
        <v>1120699.8426743473</v>
      </c>
      <c r="C724">
        <v>96745.523067978545</v>
      </c>
      <c r="D724">
        <v>67683.04454220146</v>
      </c>
      <c r="E724">
        <v>110963.22098201836</v>
      </c>
      <c r="F724">
        <v>43682.069144908965</v>
      </c>
      <c r="G724">
        <v>10000</v>
      </c>
      <c r="H724">
        <v>309073.85773710738</v>
      </c>
      <c r="I724">
        <v>41.129453477664555</v>
      </c>
    </row>
    <row r="725" spans="1:9" x14ac:dyDescent="0.2">
      <c r="A725">
        <v>715</v>
      </c>
      <c r="B725">
        <v>1033392.9157851266</v>
      </c>
      <c r="C725">
        <v>139839.0136457746</v>
      </c>
      <c r="D725">
        <v>30296.64199647955</v>
      </c>
      <c r="E725">
        <v>83247.319178311853</v>
      </c>
      <c r="F725">
        <v>41763.275943113898</v>
      </c>
      <c r="G725">
        <v>10000</v>
      </c>
      <c r="H725">
        <v>285146.25076367991</v>
      </c>
      <c r="I725">
        <v>36.957857013715952</v>
      </c>
    </row>
    <row r="726" spans="1:9" x14ac:dyDescent="0.2">
      <c r="A726">
        <v>716</v>
      </c>
      <c r="B726">
        <v>1133118.3564039152</v>
      </c>
      <c r="C726">
        <v>105575.22932679101</v>
      </c>
      <c r="D726">
        <v>28523.120444899483</v>
      </c>
      <c r="E726">
        <v>142512.70044953897</v>
      </c>
      <c r="F726">
        <v>45866.263877275771</v>
      </c>
      <c r="G726">
        <v>10000</v>
      </c>
      <c r="H726">
        <v>312477.31409850519</v>
      </c>
      <c r="I726">
        <v>28.851940779370864</v>
      </c>
    </row>
    <row r="727" spans="1:9" x14ac:dyDescent="0.2">
      <c r="A727">
        <v>717</v>
      </c>
      <c r="B727">
        <v>1097337.551285564</v>
      </c>
      <c r="C727">
        <v>115983.86418500374</v>
      </c>
      <c r="D727">
        <v>52780.06624226136</v>
      </c>
      <c r="E727">
        <v>100920.38915300269</v>
      </c>
      <c r="F727">
        <v>42986.796172130955</v>
      </c>
      <c r="G727">
        <v>10000</v>
      </c>
      <c r="H727">
        <v>302671.11575239873</v>
      </c>
      <c r="I727">
        <v>31.190918251869636</v>
      </c>
    </row>
    <row r="728" spans="1:9" x14ac:dyDescent="0.2">
      <c r="A728">
        <v>718</v>
      </c>
      <c r="B728">
        <v>1420190.0911524859</v>
      </c>
      <c r="C728">
        <v>122033.6686488581</v>
      </c>
      <c r="D728">
        <v>54478.431921018593</v>
      </c>
      <c r="E728">
        <v>176426.81851583309</v>
      </c>
      <c r="F728">
        <v>48214.164358788446</v>
      </c>
      <c r="G728">
        <v>10000</v>
      </c>
      <c r="H728">
        <v>391153.08344449825</v>
      </c>
      <c r="I728">
        <v>39.465320376623744</v>
      </c>
    </row>
    <row r="729" spans="1:9" x14ac:dyDescent="0.2">
      <c r="A729">
        <v>719</v>
      </c>
      <c r="B729">
        <v>1542918.0500447308</v>
      </c>
      <c r="C729">
        <v>118440.92049678006</v>
      </c>
      <c r="D729">
        <v>83193.095100787468</v>
      </c>
      <c r="E729">
        <v>184388.88807256409</v>
      </c>
      <c r="F729">
        <v>48765.384558869817</v>
      </c>
      <c r="G729">
        <v>10000</v>
      </c>
      <c r="H729">
        <v>424788.28822900145</v>
      </c>
      <c r="I729">
        <v>42.29444563944304</v>
      </c>
    </row>
    <row r="730" spans="1:9" x14ac:dyDescent="0.2">
      <c r="A730">
        <v>720</v>
      </c>
      <c r="B730">
        <v>1052472.6140873658</v>
      </c>
      <c r="C730">
        <v>78951.054029426115</v>
      </c>
      <c r="D730">
        <v>110631.14761547756</v>
      </c>
      <c r="E730">
        <v>69950.372287699036</v>
      </c>
      <c r="F730">
        <v>40842.718081456092</v>
      </c>
      <c r="G730">
        <v>10000</v>
      </c>
      <c r="H730">
        <v>290375.2920140588</v>
      </c>
      <c r="I730">
        <v>28.876266337590458</v>
      </c>
    </row>
    <row r="731" spans="1:9" x14ac:dyDescent="0.2">
      <c r="A731">
        <v>721</v>
      </c>
      <c r="B731">
        <v>1494677.4010133133</v>
      </c>
      <c r="C731">
        <v>94318.670316910342</v>
      </c>
      <c r="D731">
        <v>95394.811979598162</v>
      </c>
      <c r="E731">
        <v>183172.64128837845</v>
      </c>
      <c r="F731">
        <v>48681.182858426197</v>
      </c>
      <c r="G731">
        <v>10000</v>
      </c>
      <c r="H731">
        <v>411567.30644331314</v>
      </c>
      <c r="I731">
        <v>34.761144262044382</v>
      </c>
    </row>
    <row r="732" spans="1:9" x14ac:dyDescent="0.2">
      <c r="A732">
        <v>722</v>
      </c>
      <c r="B732">
        <v>1579734.5610483384</v>
      </c>
      <c r="C732">
        <v>146932.29715558144</v>
      </c>
      <c r="D732">
        <v>77520.012179570011</v>
      </c>
      <c r="E732">
        <v>172484.7725225036</v>
      </c>
      <c r="F732">
        <v>47941.253482327171</v>
      </c>
      <c r="G732">
        <v>10000</v>
      </c>
      <c r="H732">
        <v>434878.33533998224</v>
      </c>
      <c r="I732">
        <v>36.040674044607762</v>
      </c>
    </row>
    <row r="733" spans="1:9" x14ac:dyDescent="0.2">
      <c r="A733">
        <v>723</v>
      </c>
      <c r="B733">
        <v>1222284.0918384078</v>
      </c>
      <c r="C733">
        <v>137516.60114711183</v>
      </c>
      <c r="D733">
        <v>74122.137605063297</v>
      </c>
      <c r="E733">
        <v>92847.695752430678</v>
      </c>
      <c r="F733">
        <v>42427.917398245205</v>
      </c>
      <c r="G733">
        <v>10000</v>
      </c>
      <c r="H733">
        <v>336914.35190285102</v>
      </c>
      <c r="I733">
        <v>38.574932367389906</v>
      </c>
    </row>
    <row r="734" spans="1:9" x14ac:dyDescent="0.2">
      <c r="A734">
        <v>724</v>
      </c>
      <c r="B734">
        <v>1334780.4840108962</v>
      </c>
      <c r="C734">
        <v>170492.24996165707</v>
      </c>
      <c r="D734">
        <v>137076.33412968175</v>
      </c>
      <c r="E734">
        <v>31963.986347600454</v>
      </c>
      <c r="F734">
        <v>38212.891362526192</v>
      </c>
      <c r="G734">
        <v>10000</v>
      </c>
      <c r="H734">
        <v>367745.46180146548</v>
      </c>
      <c r="I734">
        <v>44.577769726371351</v>
      </c>
    </row>
    <row r="735" spans="1:9" x14ac:dyDescent="0.2">
      <c r="A735">
        <v>725</v>
      </c>
      <c r="B735">
        <v>1549656.7579367161</v>
      </c>
      <c r="C735">
        <v>159896.34601699715</v>
      </c>
      <c r="D735">
        <v>72788.268452512304</v>
      </c>
      <c r="E735">
        <v>157076.01180469195</v>
      </c>
      <c r="F735">
        <v>46874.493124940207</v>
      </c>
      <c r="G735">
        <v>10000</v>
      </c>
      <c r="H735">
        <v>426635.11939914164</v>
      </c>
      <c r="I735">
        <v>35.966376656018056</v>
      </c>
    </row>
    <row r="736" spans="1:9" x14ac:dyDescent="0.2">
      <c r="A736">
        <v>726</v>
      </c>
      <c r="B736">
        <v>1366460.7887494231</v>
      </c>
      <c r="C736">
        <v>90448.376827111977</v>
      </c>
      <c r="D736">
        <v>54485.855325283526</v>
      </c>
      <c r="E736">
        <v>192188.28906340495</v>
      </c>
      <c r="F736">
        <v>49305.343089004957</v>
      </c>
      <c r="G736">
        <v>10000</v>
      </c>
      <c r="H736">
        <v>376427.86430480541</v>
      </c>
      <c r="I736">
        <v>28.431581946975633</v>
      </c>
    </row>
    <row r="737" spans="1:9" x14ac:dyDescent="0.2">
      <c r="A737">
        <v>727</v>
      </c>
      <c r="B737">
        <v>1660494.0953370575</v>
      </c>
      <c r="C737">
        <v>127387.13793287857</v>
      </c>
      <c r="D737">
        <v>147027.52342018636</v>
      </c>
      <c r="E737">
        <v>146457.51577518787</v>
      </c>
      <c r="F737">
        <v>46139.36647674378</v>
      </c>
      <c r="G737">
        <v>10000</v>
      </c>
      <c r="H737">
        <v>457011.54360499658</v>
      </c>
      <c r="I737">
        <v>31.647549632826713</v>
      </c>
    </row>
    <row r="738" spans="1:9" x14ac:dyDescent="0.2">
      <c r="A738">
        <v>728</v>
      </c>
      <c r="B738">
        <v>863576.33695784223</v>
      </c>
      <c r="C738">
        <v>97121.760768562526</v>
      </c>
      <c r="D738">
        <v>70997.702439777611</v>
      </c>
      <c r="E738">
        <v>41605.919816343616</v>
      </c>
      <c r="F738">
        <v>38880.409833439175</v>
      </c>
      <c r="G738">
        <v>10000</v>
      </c>
      <c r="H738">
        <v>238605.79285812291</v>
      </c>
      <c r="I738">
        <v>43.020698953693739</v>
      </c>
    </row>
    <row r="739" spans="1:9" x14ac:dyDescent="0.2">
      <c r="A739">
        <v>729</v>
      </c>
      <c r="B739">
        <v>1485745.0050490459</v>
      </c>
      <c r="C739">
        <v>96563.881353797973</v>
      </c>
      <c r="D739">
        <v>150813.10881757792</v>
      </c>
      <c r="E739">
        <v>126953.2079098988</v>
      </c>
      <c r="F739">
        <v>44789.068239916072</v>
      </c>
      <c r="G739">
        <v>10000</v>
      </c>
      <c r="H739">
        <v>409119.26632119075</v>
      </c>
      <c r="I739">
        <v>35.144524765037758</v>
      </c>
    </row>
    <row r="740" spans="1:9" x14ac:dyDescent="0.2">
      <c r="A740">
        <v>730</v>
      </c>
      <c r="B740">
        <v>1126615.255413142</v>
      </c>
      <c r="C740">
        <v>157939.00527895382</v>
      </c>
      <c r="D740">
        <v>88029.716464819547</v>
      </c>
      <c r="E740">
        <v>36218.871974676207</v>
      </c>
      <c r="F740">
        <v>38507.460367477586</v>
      </c>
      <c r="G740">
        <v>10000</v>
      </c>
      <c r="H740">
        <v>310695.0540859272</v>
      </c>
      <c r="I740">
        <v>29.746181124535831</v>
      </c>
    </row>
    <row r="741" spans="1:9" x14ac:dyDescent="0.2">
      <c r="A741">
        <v>731</v>
      </c>
      <c r="B741">
        <v>1291074.1280361062</v>
      </c>
      <c r="C741">
        <v>103576.1115754248</v>
      </c>
      <c r="D741">
        <v>61101.557060059647</v>
      </c>
      <c r="E741">
        <v>154400.24598926015</v>
      </c>
      <c r="F741">
        <v>46689.247799256475</v>
      </c>
      <c r="G741">
        <v>10000</v>
      </c>
      <c r="H741">
        <v>355767.16242400103</v>
      </c>
      <c r="I741">
        <v>32.391244835278755</v>
      </c>
    </row>
    <row r="742" spans="1:9" x14ac:dyDescent="0.2">
      <c r="A742">
        <v>732</v>
      </c>
      <c r="B742">
        <v>916360.52034257946</v>
      </c>
      <c r="C742">
        <v>124638.40402474647</v>
      </c>
      <c r="D742">
        <v>69975.351671664423</v>
      </c>
      <c r="E742">
        <v>30356.621777157136</v>
      </c>
      <c r="F742">
        <v>38101.612276880107</v>
      </c>
      <c r="G742">
        <v>10000</v>
      </c>
      <c r="H742">
        <v>253071.98975044815</v>
      </c>
      <c r="I742">
        <v>44.22394960562589</v>
      </c>
    </row>
    <row r="743" spans="1:9" x14ac:dyDescent="0.2">
      <c r="A743">
        <v>733</v>
      </c>
      <c r="B743">
        <v>1219640.0829572612</v>
      </c>
      <c r="C743">
        <v>95468.748471000072</v>
      </c>
      <c r="D743">
        <v>103148.33976842072</v>
      </c>
      <c r="E743">
        <v>104348.51072903597</v>
      </c>
      <c r="F743">
        <v>43224.127665856337</v>
      </c>
      <c r="G743">
        <v>10000</v>
      </c>
      <c r="H743">
        <v>336189.72663431306</v>
      </c>
      <c r="I743">
        <v>34.66783505232582</v>
      </c>
    </row>
    <row r="744" spans="1:9" x14ac:dyDescent="0.2">
      <c r="A744">
        <v>734</v>
      </c>
      <c r="B744">
        <v>1064102.5141242349</v>
      </c>
      <c r="C744">
        <v>106478.13605932175</v>
      </c>
      <c r="D744">
        <v>107354.93803185603</v>
      </c>
      <c r="E744">
        <v>50250.653009325106</v>
      </c>
      <c r="F744">
        <v>39478.89136218404</v>
      </c>
      <c r="G744">
        <v>10000</v>
      </c>
      <c r="H744">
        <v>293562.61846268689</v>
      </c>
      <c r="I744">
        <v>28.496890202317005</v>
      </c>
    </row>
    <row r="745" spans="1:9" x14ac:dyDescent="0.2">
      <c r="A745">
        <v>735</v>
      </c>
      <c r="B745">
        <v>1824685.5248142025</v>
      </c>
      <c r="C745">
        <v>122696.00632265827</v>
      </c>
      <c r="D745">
        <v>138608.43840448043</v>
      </c>
      <c r="E745">
        <v>200804.08934823982</v>
      </c>
      <c r="F745">
        <v>49901.821570262757</v>
      </c>
      <c r="G745">
        <v>10000</v>
      </c>
      <c r="H745">
        <v>502010.35564564134</v>
      </c>
      <c r="I745">
        <v>27.223568021626097</v>
      </c>
    </row>
    <row r="746" spans="1:9" x14ac:dyDescent="0.2">
      <c r="A746">
        <v>736</v>
      </c>
      <c r="B746">
        <v>1291276.3909975323</v>
      </c>
      <c r="C746">
        <v>109555.93252838196</v>
      </c>
      <c r="D746">
        <v>79425.688302506009</v>
      </c>
      <c r="E746">
        <v>131721.77462543384</v>
      </c>
      <c r="F746">
        <v>45119.199781760806</v>
      </c>
      <c r="G746">
        <v>10000</v>
      </c>
      <c r="H746">
        <v>355822.59523808263</v>
      </c>
      <c r="I746">
        <v>28.72980944133111</v>
      </c>
    </row>
    <row r="747" spans="1:9" x14ac:dyDescent="0.2">
      <c r="A747">
        <v>737</v>
      </c>
      <c r="B747">
        <v>1247360.378310672</v>
      </c>
      <c r="C747">
        <v>133661.33750273124</v>
      </c>
      <c r="D747">
        <v>96610.196055441338</v>
      </c>
      <c r="E747">
        <v>81848.844657835303</v>
      </c>
      <c r="F747">
        <v>41666.458476311673</v>
      </c>
      <c r="G747">
        <v>10000</v>
      </c>
      <c r="H747">
        <v>343786.8366923196</v>
      </c>
      <c r="I747">
        <v>29.962405853980052</v>
      </c>
    </row>
    <row r="748" spans="1:9" x14ac:dyDescent="0.2">
      <c r="A748">
        <v>738</v>
      </c>
      <c r="B748">
        <v>1615668.577349158</v>
      </c>
      <c r="C748">
        <v>148576.67380120009</v>
      </c>
      <c r="D748">
        <v>74248.033804560691</v>
      </c>
      <c r="E748">
        <v>183217.52539237044</v>
      </c>
      <c r="F748">
        <v>48684.290219471797</v>
      </c>
      <c r="G748">
        <v>10000</v>
      </c>
      <c r="H748">
        <v>444726.52321760298</v>
      </c>
      <c r="I748">
        <v>38.357560477354269</v>
      </c>
    </row>
    <row r="749" spans="1:9" x14ac:dyDescent="0.2">
      <c r="A749">
        <v>739</v>
      </c>
      <c r="B749">
        <v>1212948.0795192011</v>
      </c>
      <c r="C749">
        <v>121190.30372600986</v>
      </c>
      <c r="D749">
        <v>86929.809303506132</v>
      </c>
      <c r="E749">
        <v>93745.508721342398</v>
      </c>
      <c r="F749">
        <v>42490.073680708316</v>
      </c>
      <c r="G749">
        <v>10000</v>
      </c>
      <c r="H749">
        <v>334355.69543156668</v>
      </c>
      <c r="I749">
        <v>43.617423254210792</v>
      </c>
    </row>
    <row r="750" spans="1:9" x14ac:dyDescent="0.2">
      <c r="A750">
        <v>740</v>
      </c>
      <c r="B750">
        <v>1563229.719629524</v>
      </c>
      <c r="C750">
        <v>94600.217695808416</v>
      </c>
      <c r="D750">
        <v>137973.37662296667</v>
      </c>
      <c r="E750">
        <v>160658.83808425348</v>
      </c>
      <c r="F750">
        <v>47122.534944294472</v>
      </c>
      <c r="G750">
        <v>10000</v>
      </c>
      <c r="H750">
        <v>430354.96734732308</v>
      </c>
      <c r="I750">
        <v>42.801264998405401</v>
      </c>
    </row>
    <row r="751" spans="1:9" x14ac:dyDescent="0.2">
      <c r="A751">
        <v>741</v>
      </c>
      <c r="B751">
        <v>1504757.2845864547</v>
      </c>
      <c r="C751">
        <v>92569.465689867604</v>
      </c>
      <c r="D751">
        <v>116085.14471339317</v>
      </c>
      <c r="E751">
        <v>168041.57282335919</v>
      </c>
      <c r="F751">
        <v>47633.647349309482</v>
      </c>
      <c r="G751">
        <v>10000</v>
      </c>
      <c r="H751">
        <v>414329.83057592943</v>
      </c>
      <c r="I751">
        <v>36.671909629570024</v>
      </c>
    </row>
    <row r="752" spans="1:9" x14ac:dyDescent="0.2">
      <c r="A752">
        <v>742</v>
      </c>
      <c r="B752">
        <v>1122318.1809829157</v>
      </c>
      <c r="C752">
        <v>114736.74247145932</v>
      </c>
      <c r="D752">
        <v>126600.74545349051</v>
      </c>
      <c r="E752">
        <v>39448.824181389165</v>
      </c>
      <c r="F752">
        <v>38731.072443326942</v>
      </c>
      <c r="G752">
        <v>10000</v>
      </c>
      <c r="H752">
        <v>309517.38454966596</v>
      </c>
      <c r="I752">
        <v>25.388232237984703</v>
      </c>
    </row>
    <row r="753" spans="1:9" x14ac:dyDescent="0.2">
      <c r="A753">
        <v>743</v>
      </c>
      <c r="B753">
        <v>1293406.7364211928</v>
      </c>
      <c r="C753">
        <v>101838.45647563289</v>
      </c>
      <c r="D753">
        <v>36012.616098982428</v>
      </c>
      <c r="E753">
        <v>180087.75773575954</v>
      </c>
      <c r="F753">
        <v>48467.613997091044</v>
      </c>
      <c r="G753">
        <v>10000</v>
      </c>
      <c r="H753">
        <v>356406.44430746592</v>
      </c>
      <c r="I753">
        <v>54.19072209010222</v>
      </c>
    </row>
    <row r="754" spans="1:9" x14ac:dyDescent="0.2">
      <c r="A754">
        <v>744</v>
      </c>
      <c r="B754">
        <v>1067256.0694011459</v>
      </c>
      <c r="C754">
        <v>107570.41606593752</v>
      </c>
      <c r="D754">
        <v>86549.530693108391</v>
      </c>
      <c r="E754">
        <v>69495.703804050121</v>
      </c>
      <c r="F754">
        <v>40811.241032588085</v>
      </c>
      <c r="G754">
        <v>10000</v>
      </c>
      <c r="H754">
        <v>294426.89159568411</v>
      </c>
      <c r="I754">
        <v>32.001077449026226</v>
      </c>
    </row>
    <row r="755" spans="1:9" x14ac:dyDescent="0.2">
      <c r="A755">
        <v>745</v>
      </c>
      <c r="B755">
        <v>1666681.2512310459</v>
      </c>
      <c r="C755">
        <v>105121.70082625818</v>
      </c>
      <c r="D755">
        <v>105329.05966106575</v>
      </c>
      <c r="E755">
        <v>207865.74856774337</v>
      </c>
      <c r="F755">
        <v>50390.705670074545</v>
      </c>
      <c r="G755">
        <v>10000</v>
      </c>
      <c r="H755">
        <v>458707.21472514188</v>
      </c>
      <c r="I755">
        <v>34.776203312425864</v>
      </c>
    </row>
    <row r="756" spans="1:9" x14ac:dyDescent="0.2">
      <c r="A756">
        <v>746</v>
      </c>
      <c r="B756">
        <v>1261428.4566212369</v>
      </c>
      <c r="C756">
        <v>103838.21601254026</v>
      </c>
      <c r="D756">
        <v>92736.763862236403</v>
      </c>
      <c r="E756">
        <v>116969.50888392149</v>
      </c>
      <c r="F756">
        <v>44097.88907657918</v>
      </c>
      <c r="G756">
        <v>10000</v>
      </c>
      <c r="H756">
        <v>347642.37783527735</v>
      </c>
      <c r="I756">
        <v>32.948156624488959</v>
      </c>
    </row>
    <row r="757" spans="1:9" x14ac:dyDescent="0.2">
      <c r="A757">
        <v>747</v>
      </c>
      <c r="B757">
        <v>1597878.7408567781</v>
      </c>
      <c r="C757">
        <v>107144.23172257688</v>
      </c>
      <c r="D757">
        <v>144244.79531055654</v>
      </c>
      <c r="E757">
        <v>151942.83884688967</v>
      </c>
      <c r="F757">
        <v>46519.119612476978</v>
      </c>
      <c r="G757">
        <v>10000</v>
      </c>
      <c r="H757">
        <v>439850.98549250007</v>
      </c>
      <c r="I757">
        <v>28.578598586609843</v>
      </c>
    </row>
    <row r="758" spans="1:9" x14ac:dyDescent="0.2">
      <c r="A758">
        <v>748</v>
      </c>
      <c r="B758">
        <v>1302587.2155988482</v>
      </c>
      <c r="C758">
        <v>107285.42596091161</v>
      </c>
      <c r="D758">
        <v>95322.811074970654</v>
      </c>
      <c r="E758">
        <v>121876.62532551528</v>
      </c>
      <c r="F758">
        <v>44437.612522535674</v>
      </c>
      <c r="G758">
        <v>10000</v>
      </c>
      <c r="H758">
        <v>358922.4748839332</v>
      </c>
      <c r="I758">
        <v>42.06355793125902</v>
      </c>
    </row>
    <row r="759" spans="1:9" x14ac:dyDescent="0.2">
      <c r="A759">
        <v>749</v>
      </c>
      <c r="B759">
        <v>1035227.3702962719</v>
      </c>
      <c r="C759">
        <v>130904.64494532508</v>
      </c>
      <c r="D759">
        <v>76272.961936247477</v>
      </c>
      <c r="E759">
        <v>49073.971382905373</v>
      </c>
      <c r="F759">
        <v>39397.428788047291</v>
      </c>
      <c r="G759">
        <v>10000</v>
      </c>
      <c r="H759">
        <v>285649.00705252524</v>
      </c>
      <c r="I759">
        <v>33.550214416259962</v>
      </c>
    </row>
    <row r="760" spans="1:9" x14ac:dyDescent="0.2">
      <c r="A760">
        <v>750</v>
      </c>
      <c r="B760">
        <v>891243.8168382427</v>
      </c>
      <c r="C760">
        <v>107276.34981008343</v>
      </c>
      <c r="D760">
        <v>74599.723789710726</v>
      </c>
      <c r="E760">
        <v>35831.69849449247</v>
      </c>
      <c r="F760">
        <v>38480.656049618708</v>
      </c>
      <c r="G760">
        <v>10000</v>
      </c>
      <c r="H760">
        <v>246188.42814390533</v>
      </c>
      <c r="I760">
        <v>32.546885588549458</v>
      </c>
    </row>
    <row r="761" spans="1:9" x14ac:dyDescent="0.2">
      <c r="A761">
        <v>751</v>
      </c>
      <c r="B761">
        <v>882779.37826199853</v>
      </c>
      <c r="C761">
        <v>112699.43321086899</v>
      </c>
      <c r="D761">
        <v>62298.4128617061</v>
      </c>
      <c r="E761">
        <v>40094.9851379147</v>
      </c>
      <c r="F761">
        <v>38775.806663394091</v>
      </c>
      <c r="G761">
        <v>10000</v>
      </c>
      <c r="H761">
        <v>243868.63787388388</v>
      </c>
      <c r="I761">
        <v>29.481800129568775</v>
      </c>
    </row>
    <row r="762" spans="1:9" x14ac:dyDescent="0.2">
      <c r="A762">
        <v>752</v>
      </c>
      <c r="B762">
        <v>1454074.4028985645</v>
      </c>
      <c r="C762">
        <v>105201.20693320356</v>
      </c>
      <c r="D762">
        <v>103094.51210164378</v>
      </c>
      <c r="E762">
        <v>155386.2914213388</v>
      </c>
      <c r="F762">
        <v>46757.512483015766</v>
      </c>
      <c r="G762">
        <v>10000</v>
      </c>
      <c r="H762">
        <v>400439.52293920191</v>
      </c>
      <c r="I762">
        <v>42.486771169576961</v>
      </c>
    </row>
    <row r="763" spans="1:9" x14ac:dyDescent="0.2">
      <c r="A763">
        <v>753</v>
      </c>
      <c r="B763">
        <v>989283.04424275458</v>
      </c>
      <c r="C763">
        <v>93718.796068526659</v>
      </c>
      <c r="D763">
        <v>70796.286817090484</v>
      </c>
      <c r="E763">
        <v>77197.815615533371</v>
      </c>
      <c r="F763">
        <v>41344.464157998467</v>
      </c>
      <c r="G763">
        <v>10000</v>
      </c>
      <c r="H763">
        <v>273057.36265914899</v>
      </c>
      <c r="I763">
        <v>30.263807063615722</v>
      </c>
    </row>
    <row r="764" spans="1:9" x14ac:dyDescent="0.2">
      <c r="A764">
        <v>754</v>
      </c>
      <c r="B764">
        <v>1402966.8528000782</v>
      </c>
      <c r="C764">
        <v>120233.80014650384</v>
      </c>
      <c r="D764">
        <v>39478.916771331897</v>
      </c>
      <c r="E764">
        <v>187723.84617051348</v>
      </c>
      <c r="F764">
        <v>48996.266273343237</v>
      </c>
      <c r="G764">
        <v>10000</v>
      </c>
      <c r="H764">
        <v>386432.82936169242</v>
      </c>
      <c r="I764">
        <v>38.905307330385945</v>
      </c>
    </row>
    <row r="765" spans="1:9" x14ac:dyDescent="0.2">
      <c r="A765">
        <v>755</v>
      </c>
      <c r="B765">
        <v>1667531.1374197197</v>
      </c>
      <c r="C765">
        <v>96578.948375325141</v>
      </c>
      <c r="D765">
        <v>123508.63383911896</v>
      </c>
      <c r="E765">
        <v>199070.73484870567</v>
      </c>
      <c r="F765">
        <v>49781.820104910395</v>
      </c>
      <c r="G765">
        <v>10000</v>
      </c>
      <c r="H765">
        <v>458940.13716806017</v>
      </c>
      <c r="I765">
        <v>31.74737384267199</v>
      </c>
    </row>
    <row r="766" spans="1:9" x14ac:dyDescent="0.2">
      <c r="A766">
        <v>756</v>
      </c>
      <c r="B766">
        <v>1406817.8243782944</v>
      </c>
      <c r="C766">
        <v>141615.04876895613</v>
      </c>
      <c r="D766">
        <v>99669.712541100977</v>
      </c>
      <c r="E766">
        <v>112420.51829853943</v>
      </c>
      <c r="F766">
        <v>43782.958959129654</v>
      </c>
      <c r="G766">
        <v>10000</v>
      </c>
      <c r="H766">
        <v>387488.23856772616</v>
      </c>
      <c r="I766">
        <v>31.481790695091451</v>
      </c>
    </row>
    <row r="767" spans="1:9" x14ac:dyDescent="0.2">
      <c r="A767">
        <v>757</v>
      </c>
      <c r="B767">
        <v>1698931.8128262623</v>
      </c>
      <c r="C767">
        <v>105226.00388719475</v>
      </c>
      <c r="D767">
        <v>172874.45278162297</v>
      </c>
      <c r="E767">
        <v>152862.64819968739</v>
      </c>
      <c r="F767">
        <v>46582.798721516818</v>
      </c>
      <c r="G767">
        <v>10000</v>
      </c>
      <c r="H767">
        <v>467545.90359002195</v>
      </c>
      <c r="I767">
        <v>28.115774954726692</v>
      </c>
    </row>
    <row r="768" spans="1:9" x14ac:dyDescent="0.2">
      <c r="A768">
        <v>758</v>
      </c>
      <c r="B768">
        <v>1583333.9503984428</v>
      </c>
      <c r="C768">
        <v>129186.39270959441</v>
      </c>
      <c r="D768">
        <v>77424.879898887579</v>
      </c>
      <c r="E768">
        <v>190093.22251228796</v>
      </c>
      <c r="F768">
        <v>49160.300020081479</v>
      </c>
      <c r="G768">
        <v>10000</v>
      </c>
      <c r="H768">
        <v>435864.79514085141</v>
      </c>
      <c r="I768">
        <v>49.126525270818341</v>
      </c>
    </row>
    <row r="769" spans="1:9" x14ac:dyDescent="0.2">
      <c r="A769">
        <v>759</v>
      </c>
      <c r="B769">
        <v>1273698.6645300689</v>
      </c>
      <c r="C769">
        <v>116398.85779710993</v>
      </c>
      <c r="D769">
        <v>134636.99500300421</v>
      </c>
      <c r="E769">
        <v>69179.954760282111</v>
      </c>
      <c r="F769">
        <v>40789.381483404148</v>
      </c>
      <c r="G769">
        <v>10000</v>
      </c>
      <c r="H769">
        <v>351005.1890438004</v>
      </c>
      <c r="I769">
        <v>38.592089457285255</v>
      </c>
    </row>
    <row r="770" spans="1:9" x14ac:dyDescent="0.2">
      <c r="A770">
        <v>760</v>
      </c>
      <c r="B770">
        <v>1317287.5047470098</v>
      </c>
      <c r="C770">
        <v>156904.99901880379</v>
      </c>
      <c r="D770">
        <v>148989.78353154784</v>
      </c>
      <c r="E770">
        <v>29045.646675921558</v>
      </c>
      <c r="F770">
        <v>38010.852462179188</v>
      </c>
      <c r="G770">
        <v>10000</v>
      </c>
      <c r="H770">
        <v>362951.28168845241</v>
      </c>
      <c r="I770">
        <v>25.094417722816871</v>
      </c>
    </row>
    <row r="771" spans="1:9" x14ac:dyDescent="0.2">
      <c r="A771">
        <v>761</v>
      </c>
      <c r="B771">
        <v>1411159.1450379863</v>
      </c>
      <c r="C771">
        <v>110803.81814405406</v>
      </c>
      <c r="D771">
        <v>98294.272627102662</v>
      </c>
      <c r="E771">
        <v>143635.91846697356</v>
      </c>
      <c r="F771">
        <v>45944.025124636632</v>
      </c>
      <c r="G771">
        <v>10000</v>
      </c>
      <c r="H771">
        <v>388678.03436276695</v>
      </c>
      <c r="I771">
        <v>43.358008792037701</v>
      </c>
    </row>
    <row r="772" spans="1:9" x14ac:dyDescent="0.2">
      <c r="A772">
        <v>762</v>
      </c>
      <c r="B772">
        <v>1356985.9554520671</v>
      </c>
      <c r="C772">
        <v>121237.79580792785</v>
      </c>
      <c r="D772">
        <v>75279.142319360326</v>
      </c>
      <c r="E772">
        <v>141516.90014268184</v>
      </c>
      <c r="F772">
        <v>45797.32385603182</v>
      </c>
      <c r="G772">
        <v>10000</v>
      </c>
      <c r="H772">
        <v>373831.16212600184</v>
      </c>
      <c r="I772">
        <v>51.015770211780229</v>
      </c>
    </row>
    <row r="773" spans="1:9" x14ac:dyDescent="0.2">
      <c r="A773">
        <v>763</v>
      </c>
      <c r="B773">
        <v>1334938.7331829127</v>
      </c>
      <c r="C773">
        <v>103731.42212220255</v>
      </c>
      <c r="D773">
        <v>57852.93042052583</v>
      </c>
      <c r="E773">
        <v>168536.56357731341</v>
      </c>
      <c r="F773">
        <v>47667.915939967854</v>
      </c>
      <c r="G773">
        <v>10000</v>
      </c>
      <c r="H773">
        <v>367788.83206000965</v>
      </c>
      <c r="I773">
        <v>36.832967486355727</v>
      </c>
    </row>
    <row r="774" spans="1:9" x14ac:dyDescent="0.2">
      <c r="A774">
        <v>764</v>
      </c>
      <c r="B774">
        <v>1823766.1210354245</v>
      </c>
      <c r="C774">
        <v>143410.57197932724</v>
      </c>
      <c r="D774">
        <v>137600.95448457313</v>
      </c>
      <c r="E774">
        <v>182137.34596576248</v>
      </c>
      <c r="F774">
        <v>48609.508566860481</v>
      </c>
      <c r="G774">
        <v>10000</v>
      </c>
      <c r="H774">
        <v>501758.38099652331</v>
      </c>
      <c r="I774">
        <v>32.607234837079275</v>
      </c>
    </row>
    <row r="775" spans="1:9" x14ac:dyDescent="0.2">
      <c r="A775">
        <v>765</v>
      </c>
      <c r="B775">
        <v>1792355.8874180566</v>
      </c>
      <c r="C775">
        <v>132236.3631166917</v>
      </c>
      <c r="D775">
        <v>141680.74753637891</v>
      </c>
      <c r="E775">
        <v>180721.40264689998</v>
      </c>
      <c r="F775">
        <v>48511.481721708464</v>
      </c>
      <c r="G775">
        <v>10000</v>
      </c>
      <c r="H775">
        <v>493149.99502167909</v>
      </c>
      <c r="I775">
        <v>28.855449123468539</v>
      </c>
    </row>
    <row r="776" spans="1:9" x14ac:dyDescent="0.2">
      <c r="A776">
        <v>766</v>
      </c>
      <c r="B776">
        <v>1274868.316513991</v>
      </c>
      <c r="C776">
        <v>112845.84830354594</v>
      </c>
      <c r="D776">
        <v>82365.977986506521</v>
      </c>
      <c r="E776">
        <v>121689.27882160428</v>
      </c>
      <c r="F776">
        <v>44424.642379957222</v>
      </c>
      <c r="G776">
        <v>10000</v>
      </c>
      <c r="H776">
        <v>351325.74749161396</v>
      </c>
      <c r="I776">
        <v>40.429780158429637</v>
      </c>
    </row>
    <row r="777" spans="1:9" x14ac:dyDescent="0.2">
      <c r="A777">
        <v>767</v>
      </c>
      <c r="B777">
        <v>1466826.5284397821</v>
      </c>
      <c r="C777">
        <v>125771.83787496199</v>
      </c>
      <c r="D777">
        <v>73966.228978350176</v>
      </c>
      <c r="E777">
        <v>166658.45041342138</v>
      </c>
      <c r="F777">
        <v>47537.892720929172</v>
      </c>
      <c r="G777">
        <v>10000</v>
      </c>
      <c r="H777">
        <v>403934.40998766274</v>
      </c>
      <c r="I777">
        <v>43.957251911463018</v>
      </c>
    </row>
    <row r="778" spans="1:9" x14ac:dyDescent="0.2">
      <c r="A778">
        <v>768</v>
      </c>
      <c r="B778">
        <v>1239505.2062153453</v>
      </c>
      <c r="C778">
        <v>98833.076717628152</v>
      </c>
      <c r="D778">
        <v>86952.584382533241</v>
      </c>
      <c r="E778">
        <v>121440.91483226896</v>
      </c>
      <c r="F778">
        <v>44407.447949926311</v>
      </c>
      <c r="G778">
        <v>10000</v>
      </c>
      <c r="H778">
        <v>341634.02388235665</v>
      </c>
      <c r="I778">
        <v>30.738031475104588</v>
      </c>
    </row>
    <row r="779" spans="1:9" x14ac:dyDescent="0.2">
      <c r="A779">
        <v>769</v>
      </c>
      <c r="B779">
        <v>1329713.4075874155</v>
      </c>
      <c r="C779">
        <v>126581.69535423786</v>
      </c>
      <c r="D779">
        <v>109545.79231594288</v>
      </c>
      <c r="E779">
        <v>97480.617338829397</v>
      </c>
      <c r="F779">
        <v>42748.658123457419</v>
      </c>
      <c r="G779">
        <v>10000</v>
      </c>
      <c r="H779">
        <v>366356.76313246752</v>
      </c>
      <c r="I779">
        <v>28.92447335261469</v>
      </c>
    </row>
    <row r="780" spans="1:9" x14ac:dyDescent="0.2">
      <c r="A780">
        <v>770</v>
      </c>
      <c r="B780">
        <v>1521486.5122045786</v>
      </c>
      <c r="C780">
        <v>105133.89997480929</v>
      </c>
      <c r="D780">
        <v>67893.491512820037</v>
      </c>
      <c r="E780">
        <v>205649.99566592541</v>
      </c>
      <c r="F780">
        <v>50237.307392256378</v>
      </c>
      <c r="G780">
        <v>10000</v>
      </c>
      <c r="H780">
        <v>418914.6945458111</v>
      </c>
      <c r="I780">
        <v>36.753184416478085</v>
      </c>
    </row>
    <row r="781" spans="1:9" x14ac:dyDescent="0.2">
      <c r="A781">
        <v>771</v>
      </c>
      <c r="B781">
        <v>877624.64160155226</v>
      </c>
      <c r="C781">
        <v>84031.209367755102</v>
      </c>
      <c r="D781">
        <v>88080.28903007973</v>
      </c>
      <c r="E781">
        <v>41473.195166956888</v>
      </c>
      <c r="F781">
        <v>38871.221203866247</v>
      </c>
      <c r="G781">
        <v>10000</v>
      </c>
      <c r="H781">
        <v>242455.91476865797</v>
      </c>
      <c r="I781">
        <v>45.892832719035837</v>
      </c>
    </row>
    <row r="782" spans="1:9" x14ac:dyDescent="0.2">
      <c r="A782">
        <v>772</v>
      </c>
      <c r="B782">
        <v>1835525.719683602</v>
      </c>
      <c r="C782">
        <v>143860.63531110974</v>
      </c>
      <c r="D782">
        <v>121934.00619961425</v>
      </c>
      <c r="E782">
        <v>199383.16186990106</v>
      </c>
      <c r="F782">
        <v>49803.449667916226</v>
      </c>
      <c r="G782">
        <v>10000</v>
      </c>
      <c r="H782">
        <v>504981.25304854126</v>
      </c>
      <c r="I782">
        <v>35.722453496840274</v>
      </c>
    </row>
    <row r="783" spans="1:9" x14ac:dyDescent="0.2">
      <c r="A783">
        <v>773</v>
      </c>
      <c r="B783">
        <v>1132020.2769026363</v>
      </c>
      <c r="C783">
        <v>113220.2160686173</v>
      </c>
      <c r="D783">
        <v>45589.965784635548</v>
      </c>
      <c r="E783">
        <v>119119.45750072904</v>
      </c>
      <c r="F783">
        <v>44246.731673127397</v>
      </c>
      <c r="G783">
        <v>10000</v>
      </c>
      <c r="H783">
        <v>312176.37102710927</v>
      </c>
      <c r="I783">
        <v>35.172041575827208</v>
      </c>
    </row>
    <row r="784" spans="1:9" x14ac:dyDescent="0.2">
      <c r="A784">
        <v>774</v>
      </c>
      <c r="B784">
        <v>980953.57909768692</v>
      </c>
      <c r="C784">
        <v>115950.33126930399</v>
      </c>
      <c r="D784">
        <v>30150.136651486573</v>
      </c>
      <c r="E784">
        <v>92285.125479690993</v>
      </c>
      <c r="F784">
        <v>42388.970225517063</v>
      </c>
      <c r="G784">
        <v>10000</v>
      </c>
      <c r="H784">
        <v>270774.56362599862</v>
      </c>
      <c r="I784">
        <v>39.471369856705422</v>
      </c>
    </row>
    <row r="785" spans="1:9" x14ac:dyDescent="0.2">
      <c r="A785">
        <v>775</v>
      </c>
      <c r="B785">
        <v>1513824.9797262971</v>
      </c>
      <c r="C785">
        <v>98438.377968613029</v>
      </c>
      <c r="D785">
        <v>78836.922093935558</v>
      </c>
      <c r="E785">
        <v>199713.34279925318</v>
      </c>
      <c r="F785">
        <v>49826.308347640603</v>
      </c>
      <c r="G785">
        <v>10000</v>
      </c>
      <c r="H785">
        <v>416814.9512094424</v>
      </c>
      <c r="I785">
        <v>32.753380643157215</v>
      </c>
    </row>
    <row r="786" spans="1:9" x14ac:dyDescent="0.2">
      <c r="A786">
        <v>776</v>
      </c>
      <c r="B786">
        <v>1325578.5313173388</v>
      </c>
      <c r="C786">
        <v>146802.45558407239</v>
      </c>
      <c r="D786">
        <v>75162.299489875324</v>
      </c>
      <c r="E786">
        <v>109666.49522917156</v>
      </c>
      <c r="F786">
        <v>43592.295823558037</v>
      </c>
      <c r="G786">
        <v>10000</v>
      </c>
      <c r="H786">
        <v>365223.54612667736</v>
      </c>
      <c r="I786">
        <v>38.900711748086792</v>
      </c>
    </row>
    <row r="787" spans="1:9" x14ac:dyDescent="0.2">
      <c r="A787">
        <v>777</v>
      </c>
      <c r="B787">
        <v>1227485.1763500604</v>
      </c>
      <c r="C787">
        <v>122801.3731127783</v>
      </c>
      <c r="D787">
        <v>62153.865117271627</v>
      </c>
      <c r="E787">
        <v>119136.61922151574</v>
      </c>
      <c r="F787">
        <v>44247.919792258777</v>
      </c>
      <c r="G787">
        <v>10000</v>
      </c>
      <c r="H787">
        <v>338339.77724382444</v>
      </c>
      <c r="I787">
        <v>40.5192409731482</v>
      </c>
    </row>
    <row r="788" spans="1:9" x14ac:dyDescent="0.2">
      <c r="A788">
        <v>778</v>
      </c>
      <c r="B788">
        <v>1210064.6437108396</v>
      </c>
      <c r="C788">
        <v>138849.85299724012</v>
      </c>
      <c r="D788">
        <v>100407.99251218092</v>
      </c>
      <c r="E788">
        <v>63884.811898017091</v>
      </c>
      <c r="F788">
        <v>40422.79466986272</v>
      </c>
      <c r="G788">
        <v>10000</v>
      </c>
      <c r="H788">
        <v>333565.45207730081</v>
      </c>
      <c r="I788">
        <v>40.490957711875211</v>
      </c>
    </row>
    <row r="789" spans="1:9" x14ac:dyDescent="0.2">
      <c r="A789">
        <v>779</v>
      </c>
      <c r="B789">
        <v>975797.0712329353</v>
      </c>
      <c r="C789">
        <v>111937.77593657358</v>
      </c>
      <c r="D789">
        <v>61300.388113131463</v>
      </c>
      <c r="E789">
        <v>65582.840549729575</v>
      </c>
      <c r="F789">
        <v>40540.350499596665</v>
      </c>
      <c r="G789">
        <v>10000</v>
      </c>
      <c r="H789">
        <v>269361.35509903129</v>
      </c>
      <c r="I789">
        <v>27.87899545835911</v>
      </c>
    </row>
    <row r="790" spans="1:9" x14ac:dyDescent="0.2">
      <c r="A790">
        <v>780</v>
      </c>
      <c r="B790">
        <v>1281395.6514595659</v>
      </c>
      <c r="C790">
        <v>109416.90411784618</v>
      </c>
      <c r="D790">
        <v>137433.71357942681</v>
      </c>
      <c r="E790">
        <v>75067.079763729678</v>
      </c>
      <c r="F790">
        <v>41196.951675950513</v>
      </c>
      <c r="G790">
        <v>10000</v>
      </c>
      <c r="H790">
        <v>353114.64913695311</v>
      </c>
      <c r="I790">
        <v>27.007646992525686</v>
      </c>
    </row>
    <row r="791" spans="1:9" x14ac:dyDescent="0.2">
      <c r="A791">
        <v>781</v>
      </c>
      <c r="B791">
        <v>1483712.1534850355</v>
      </c>
      <c r="C791">
        <v>131541.34678431769</v>
      </c>
      <c r="D791">
        <v>67420.177546118692</v>
      </c>
      <c r="E791">
        <v>171712.80295533966</v>
      </c>
      <c r="F791">
        <v>47887.809435369665</v>
      </c>
      <c r="G791">
        <v>10000</v>
      </c>
      <c r="H791">
        <v>408562.13672114571</v>
      </c>
      <c r="I791">
        <v>33.207301433343332</v>
      </c>
    </row>
    <row r="792" spans="1:9" x14ac:dyDescent="0.2">
      <c r="A792">
        <v>782</v>
      </c>
      <c r="B792">
        <v>1005555.868193506</v>
      </c>
      <c r="C792">
        <v>117528.18377210449</v>
      </c>
      <c r="D792">
        <v>52689.014913967549</v>
      </c>
      <c r="E792">
        <v>76035.919353346661</v>
      </c>
      <c r="F792">
        <v>41264.025186000923</v>
      </c>
      <c r="G792">
        <v>10000</v>
      </c>
      <c r="H792">
        <v>277517.14322541963</v>
      </c>
      <c r="I792">
        <v>34.240330548736083</v>
      </c>
    </row>
    <row r="793" spans="1:9" x14ac:dyDescent="0.2">
      <c r="A793">
        <v>783</v>
      </c>
      <c r="B793">
        <v>1440027.3470018255</v>
      </c>
      <c r="C793">
        <v>92313.598613047914</v>
      </c>
      <c r="D793">
        <v>164105.91398157956</v>
      </c>
      <c r="E793">
        <v>106777.91357579549</v>
      </c>
      <c r="F793">
        <v>43392.317093708916</v>
      </c>
      <c r="G793">
        <v>10000</v>
      </c>
      <c r="H793">
        <v>396589.74326413189</v>
      </c>
      <c r="I793">
        <v>24.921584478361929</v>
      </c>
    </row>
    <row r="794" spans="1:9" x14ac:dyDescent="0.2">
      <c r="A794">
        <v>784</v>
      </c>
      <c r="B794">
        <v>1449839.5451252328</v>
      </c>
      <c r="C794">
        <v>132004.24003363866</v>
      </c>
      <c r="D794">
        <v>40142.375543597162</v>
      </c>
      <c r="E794">
        <v>188109.33514401267</v>
      </c>
      <c r="F794">
        <v>49022.953971508578</v>
      </c>
      <c r="G794">
        <v>10000</v>
      </c>
      <c r="H794">
        <v>399278.90469275712</v>
      </c>
      <c r="I794">
        <v>31.602217644864886</v>
      </c>
    </row>
    <row r="795" spans="1:9" x14ac:dyDescent="0.2">
      <c r="A795">
        <v>785</v>
      </c>
      <c r="B795">
        <v>867953.87683018891</v>
      </c>
      <c r="C795">
        <v>108237.26175605203</v>
      </c>
      <c r="D795">
        <v>49957.347763680598</v>
      </c>
      <c r="E795">
        <v>52010.19937268849</v>
      </c>
      <c r="F795">
        <v>39600.70611041689</v>
      </c>
      <c r="G795">
        <v>10000</v>
      </c>
      <c r="H795">
        <v>239805.51500283799</v>
      </c>
      <c r="I795">
        <v>44.990371977012586</v>
      </c>
    </row>
    <row r="796" spans="1:9" x14ac:dyDescent="0.2">
      <c r="A796">
        <v>786</v>
      </c>
      <c r="B796">
        <v>1360664.8879231859</v>
      </c>
      <c r="C796">
        <v>96696.147208082242</v>
      </c>
      <c r="D796">
        <v>164393.30068919953</v>
      </c>
      <c r="E796">
        <v>82068.320879871229</v>
      </c>
      <c r="F796">
        <v>41681.652983991087</v>
      </c>
      <c r="G796">
        <v>10000</v>
      </c>
      <c r="H796">
        <v>374839.42176114407</v>
      </c>
      <c r="I796">
        <v>38.612055797355907</v>
      </c>
    </row>
    <row r="797" spans="1:9" x14ac:dyDescent="0.2">
      <c r="A797">
        <v>787</v>
      </c>
      <c r="B797">
        <v>789984.63184133091</v>
      </c>
      <c r="C797">
        <v>112144.25538258252</v>
      </c>
      <c r="D797">
        <v>35079.20970995324</v>
      </c>
      <c r="E797">
        <v>42286.060483718597</v>
      </c>
      <c r="F797">
        <v>38927.496495026673</v>
      </c>
      <c r="G797">
        <v>10000</v>
      </c>
      <c r="H797">
        <v>218437.02207128104</v>
      </c>
      <c r="I797">
        <v>41.823823757252981</v>
      </c>
    </row>
    <row r="798" spans="1:9" x14ac:dyDescent="0.2">
      <c r="A798">
        <v>788</v>
      </c>
      <c r="B798">
        <v>1724009.3170580918</v>
      </c>
      <c r="C798">
        <v>162682.58668256397</v>
      </c>
      <c r="D798">
        <v>75238.701304575647</v>
      </c>
      <c r="E798">
        <v>196868.10386755754</v>
      </c>
      <c r="F798">
        <v>49629.330267753983</v>
      </c>
      <c r="G798">
        <v>10000</v>
      </c>
      <c r="H798">
        <v>474418.72212245112</v>
      </c>
      <c r="I798">
        <v>32.968038892209876</v>
      </c>
    </row>
    <row r="799" spans="1:9" x14ac:dyDescent="0.2">
      <c r="A799">
        <v>789</v>
      </c>
      <c r="B799">
        <v>1132053.8700885251</v>
      </c>
      <c r="C799">
        <v>106379.70401474088</v>
      </c>
      <c r="D799">
        <v>41133.63624238965</v>
      </c>
      <c r="E799">
        <v>129693.45946000308</v>
      </c>
      <c r="F799">
        <v>44978.777962615597</v>
      </c>
      <c r="G799">
        <v>10000</v>
      </c>
      <c r="H799">
        <v>312185.57767974923</v>
      </c>
      <c r="I799">
        <v>27.792980840153504</v>
      </c>
    </row>
    <row r="800" spans="1:9" x14ac:dyDescent="0.2">
      <c r="A800">
        <v>790</v>
      </c>
      <c r="B800">
        <v>1485238.0877557502</v>
      </c>
      <c r="C800">
        <v>94942.079517587918</v>
      </c>
      <c r="D800">
        <v>72467.141179245649</v>
      </c>
      <c r="E800">
        <v>201613.27610779114</v>
      </c>
      <c r="F800">
        <v>49957.842192077849</v>
      </c>
      <c r="G800">
        <v>10000</v>
      </c>
      <c r="H800">
        <v>408980.33899670251</v>
      </c>
      <c r="I800">
        <v>43.291482359060566</v>
      </c>
    </row>
    <row r="801" spans="1:9" x14ac:dyDescent="0.2">
      <c r="A801">
        <v>791</v>
      </c>
      <c r="B801">
        <v>1505783.7070427425</v>
      </c>
      <c r="C801">
        <v>133209.88626922396</v>
      </c>
      <c r="D801">
        <v>73290.547411850304</v>
      </c>
      <c r="E801">
        <v>170319.36103506363</v>
      </c>
      <c r="F801">
        <v>47791.340379350557</v>
      </c>
      <c r="G801">
        <v>10000</v>
      </c>
      <c r="H801">
        <v>414611.13509548851</v>
      </c>
      <c r="I801">
        <v>32.115764103056037</v>
      </c>
    </row>
    <row r="802" spans="1:9" x14ac:dyDescent="0.2">
      <c r="A802">
        <v>792</v>
      </c>
      <c r="B802">
        <v>862515.56340507569</v>
      </c>
      <c r="C802">
        <v>92279.731436874863</v>
      </c>
      <c r="D802">
        <v>69618.566847880444</v>
      </c>
      <c r="E802">
        <v>47152.380137838969</v>
      </c>
      <c r="F802">
        <v>39264.395548004242</v>
      </c>
      <c r="G802">
        <v>10000</v>
      </c>
      <c r="H802">
        <v>238315.07397059855</v>
      </c>
      <c r="I802">
        <v>33.475747354224929</v>
      </c>
    </row>
    <row r="803" spans="1:9" x14ac:dyDescent="0.2">
      <c r="A803">
        <v>793</v>
      </c>
      <c r="B803">
        <v>1337200.0141422525</v>
      </c>
      <c r="C803">
        <v>110033.19200131865</v>
      </c>
      <c r="D803">
        <v>117894.90459218659</v>
      </c>
      <c r="E803">
        <v>107068.06465826293</v>
      </c>
      <c r="F803">
        <v>43412.404476341282</v>
      </c>
      <c r="G803">
        <v>10000</v>
      </c>
      <c r="H803">
        <v>368408.56572810945</v>
      </c>
      <c r="I803">
        <v>26.792992758690453</v>
      </c>
    </row>
    <row r="804" spans="1:9" x14ac:dyDescent="0.2">
      <c r="A804">
        <v>794</v>
      </c>
      <c r="B804">
        <v>1219193.2254365825</v>
      </c>
      <c r="C804">
        <v>115884.91367827142</v>
      </c>
      <c r="D804">
        <v>47135.601294769491</v>
      </c>
      <c r="E804">
        <v>137525.73227012486</v>
      </c>
      <c r="F804">
        <v>45521.012234085567</v>
      </c>
      <c r="G804">
        <v>10000</v>
      </c>
      <c r="H804">
        <v>336067.25947725133</v>
      </c>
      <c r="I804">
        <v>25.596980846419612</v>
      </c>
    </row>
    <row r="805" spans="1:9" x14ac:dyDescent="0.2">
      <c r="A805">
        <v>795</v>
      </c>
      <c r="B805">
        <v>1177811.5179250813</v>
      </c>
      <c r="C805">
        <v>93689.78732669288</v>
      </c>
      <c r="D805">
        <v>105352.93781282437</v>
      </c>
      <c r="E805">
        <v>93229.018647313234</v>
      </c>
      <c r="F805">
        <v>42454.316675583221</v>
      </c>
      <c r="G805">
        <v>10000</v>
      </c>
      <c r="H805">
        <v>324726.0604624137</v>
      </c>
      <c r="I805">
        <v>38.134475580421906</v>
      </c>
    </row>
    <row r="806" spans="1:9" x14ac:dyDescent="0.2">
      <c r="A806">
        <v>796</v>
      </c>
      <c r="B806">
        <v>791081.62170434929</v>
      </c>
      <c r="C806">
        <v>102573.61273877308</v>
      </c>
      <c r="D806">
        <v>45774.393790393508</v>
      </c>
      <c r="E806">
        <v>41515.509337433825</v>
      </c>
      <c r="F806">
        <v>38874.150646437731</v>
      </c>
      <c r="G806">
        <v>10000</v>
      </c>
      <c r="H806">
        <v>218737.66651303816</v>
      </c>
      <c r="I806">
        <v>48.239898373838827</v>
      </c>
    </row>
    <row r="807" spans="1:9" x14ac:dyDescent="0.2">
      <c r="A807">
        <v>797</v>
      </c>
      <c r="B807">
        <v>1733235.060642323</v>
      </c>
      <c r="C807">
        <v>145293.6495370449</v>
      </c>
      <c r="D807">
        <v>111341.80264929889</v>
      </c>
      <c r="E807">
        <v>181730.37234601961</v>
      </c>
      <c r="F807">
        <v>48581.33347010905</v>
      </c>
      <c r="G807">
        <v>10000</v>
      </c>
      <c r="H807">
        <v>476947.15800247242</v>
      </c>
      <c r="I807">
        <v>43.301896525065843</v>
      </c>
    </row>
    <row r="808" spans="1:9" x14ac:dyDescent="0.2">
      <c r="A808">
        <v>798</v>
      </c>
      <c r="B808">
        <v>1662713.974644185</v>
      </c>
      <c r="C808">
        <v>98581.753892895795</v>
      </c>
      <c r="D808">
        <v>164630.98649551687</v>
      </c>
      <c r="E808">
        <v>157503.12754347568</v>
      </c>
      <c r="F808">
        <v>46904.062676086782</v>
      </c>
      <c r="G808">
        <v>10000</v>
      </c>
      <c r="H808">
        <v>457619.93060797511</v>
      </c>
      <c r="I808">
        <v>30.495857204696858</v>
      </c>
    </row>
    <row r="809" spans="1:9" x14ac:dyDescent="0.2">
      <c r="A809">
        <v>799</v>
      </c>
      <c r="B809">
        <v>971891.29624041426</v>
      </c>
      <c r="C809">
        <v>89992.128159027037</v>
      </c>
      <c r="D809">
        <v>85573.574612404831</v>
      </c>
      <c r="E809">
        <v>62404.885313946688</v>
      </c>
      <c r="F809">
        <v>40320.338214042466</v>
      </c>
      <c r="G809">
        <v>10000</v>
      </c>
      <c r="H809">
        <v>268290.92629942106</v>
      </c>
      <c r="I809">
        <v>36.673460956792404</v>
      </c>
    </row>
    <row r="810" spans="1:9" x14ac:dyDescent="0.2">
      <c r="A810">
        <v>800</v>
      </c>
      <c r="B810">
        <v>874079.35721147992</v>
      </c>
      <c r="C810">
        <v>120876.00834094826</v>
      </c>
      <c r="D810">
        <v>51819.07452553117</v>
      </c>
      <c r="E810">
        <v>40018.676515572712</v>
      </c>
      <c r="F810">
        <v>38770.523758770418</v>
      </c>
      <c r="G810">
        <v>10000</v>
      </c>
      <c r="H810">
        <v>241484.28314082255</v>
      </c>
      <c r="I810">
        <v>31.871668260836817</v>
      </c>
    </row>
    <row r="811" spans="1:9" x14ac:dyDescent="0.2">
      <c r="A811">
        <v>801</v>
      </c>
      <c r="B811">
        <v>1253497.8741216145</v>
      </c>
      <c r="C811">
        <v>78278.297578211132</v>
      </c>
      <c r="D811">
        <v>153584.11330799627</v>
      </c>
      <c r="E811">
        <v>81934.124466893816</v>
      </c>
      <c r="F811">
        <v>41672.36246309265</v>
      </c>
      <c r="G811">
        <v>10000</v>
      </c>
      <c r="H811">
        <v>345468.89781619387</v>
      </c>
      <c r="I811">
        <v>36.94983944545087</v>
      </c>
    </row>
    <row r="812" spans="1:9" x14ac:dyDescent="0.2">
      <c r="A812">
        <v>802</v>
      </c>
      <c r="B812">
        <v>1418791.7838624166</v>
      </c>
      <c r="C812">
        <v>123866.91308028357</v>
      </c>
      <c r="D812">
        <v>45125.428336396049</v>
      </c>
      <c r="E812">
        <v>183101.2754514899</v>
      </c>
      <c r="F812">
        <v>48676.242146641605</v>
      </c>
      <c r="G812">
        <v>10000</v>
      </c>
      <c r="H812">
        <v>390769.85901481111</v>
      </c>
      <c r="I812">
        <v>38.275333620132827</v>
      </c>
    </row>
    <row r="813" spans="1:9" x14ac:dyDescent="0.2">
      <c r="A813">
        <v>803</v>
      </c>
      <c r="B813">
        <v>1467434.3138365301</v>
      </c>
      <c r="C813">
        <v>128249.94439382214</v>
      </c>
      <c r="D813">
        <v>111504.38260602167</v>
      </c>
      <c r="E813">
        <v>129388.95748098379</v>
      </c>
      <c r="F813">
        <v>44957.6970563758</v>
      </c>
      <c r="G813">
        <v>10000</v>
      </c>
      <c r="H813">
        <v>404100.98153720342</v>
      </c>
      <c r="I813">
        <v>28.594204206576883</v>
      </c>
    </row>
    <row r="814" spans="1:9" x14ac:dyDescent="0.2">
      <c r="A814">
        <v>804</v>
      </c>
      <c r="B814">
        <v>1281375.6378141949</v>
      </c>
      <c r="C814">
        <v>121786.92799770703</v>
      </c>
      <c r="D814">
        <v>82973.214299508807</v>
      </c>
      <c r="E814">
        <v>114427.14272624189</v>
      </c>
      <c r="F814">
        <v>43921.87911181675</v>
      </c>
      <c r="G814">
        <v>10000</v>
      </c>
      <c r="H814">
        <v>353109.16413527448</v>
      </c>
      <c r="I814">
        <v>33.887753740568975</v>
      </c>
    </row>
    <row r="815" spans="1:9" x14ac:dyDescent="0.2">
      <c r="A815">
        <v>805</v>
      </c>
      <c r="B815">
        <v>1546965.0537094057</v>
      </c>
      <c r="C815">
        <v>148905.04985816663</v>
      </c>
      <c r="D815">
        <v>118822.70276725724</v>
      </c>
      <c r="E815">
        <v>123611.92155541325</v>
      </c>
      <c r="F815">
        <v>44557.748415374765</v>
      </c>
      <c r="G815">
        <v>10000</v>
      </c>
      <c r="H815">
        <v>425897.42259621189</v>
      </c>
      <c r="I815">
        <v>36.568458928087765</v>
      </c>
    </row>
    <row r="816" spans="1:9" x14ac:dyDescent="0.2">
      <c r="A816">
        <v>806</v>
      </c>
      <c r="B816">
        <v>990432.74584244646</v>
      </c>
      <c r="C816">
        <v>101113.19576653792</v>
      </c>
      <c r="D816">
        <v>59272.522766930415</v>
      </c>
      <c r="E816">
        <v>81354.500274940918</v>
      </c>
      <c r="F816">
        <v>41632.234634418986</v>
      </c>
      <c r="G816">
        <v>10000</v>
      </c>
      <c r="H816">
        <v>273372.45344282821</v>
      </c>
      <c r="I816">
        <v>42.532713794393132</v>
      </c>
    </row>
    <row r="817" spans="1:9" x14ac:dyDescent="0.2">
      <c r="A817">
        <v>807</v>
      </c>
      <c r="B817">
        <v>1088569.8607633926</v>
      </c>
      <c r="C817">
        <v>92521.123052897936</v>
      </c>
      <c r="D817">
        <v>63169.538695008465</v>
      </c>
      <c r="E817">
        <v>110899.87024186517</v>
      </c>
      <c r="F817">
        <v>43677.683324436817</v>
      </c>
      <c r="G817">
        <v>10000</v>
      </c>
      <c r="H817">
        <v>300268.21531420841</v>
      </c>
      <c r="I817">
        <v>38.645037238297235</v>
      </c>
    </row>
    <row r="818" spans="1:9" x14ac:dyDescent="0.2">
      <c r="A818">
        <v>808</v>
      </c>
      <c r="B818">
        <v>1483918.335558654</v>
      </c>
      <c r="C818">
        <v>132300.32427214948</v>
      </c>
      <c r="D818">
        <v>108995.75360993312</v>
      </c>
      <c r="E818">
        <v>132172.18378297277</v>
      </c>
      <c r="F818">
        <v>45150.381954205805</v>
      </c>
      <c r="G818">
        <v>10000</v>
      </c>
      <c r="H818">
        <v>408618.64361926122</v>
      </c>
      <c r="I818">
        <v>33.519927209562994</v>
      </c>
    </row>
    <row r="819" spans="1:9" x14ac:dyDescent="0.2">
      <c r="A819">
        <v>809</v>
      </c>
      <c r="B819">
        <v>1320473.653219135</v>
      </c>
      <c r="C819">
        <v>92207.791332441499</v>
      </c>
      <c r="D819">
        <v>69584.084936922081</v>
      </c>
      <c r="E819">
        <v>164634.81617801241</v>
      </c>
      <c r="F819">
        <v>47397.794966170091</v>
      </c>
      <c r="G819">
        <v>10000</v>
      </c>
      <c r="H819">
        <v>363824.48741354607</v>
      </c>
      <c r="I819">
        <v>46.529183316251007</v>
      </c>
    </row>
    <row r="820" spans="1:9" x14ac:dyDescent="0.2">
      <c r="A820">
        <v>810</v>
      </c>
      <c r="B820">
        <v>1444662.1303316476</v>
      </c>
      <c r="C820">
        <v>147322.03352192417</v>
      </c>
      <c r="D820">
        <v>69838.732661988121</v>
      </c>
      <c r="E820">
        <v>144682.70518950638</v>
      </c>
      <c r="F820">
        <v>46016.494974658133</v>
      </c>
      <c r="G820">
        <v>10000</v>
      </c>
      <c r="H820">
        <v>397859.96634807682</v>
      </c>
      <c r="I820">
        <v>31.636319300945789</v>
      </c>
    </row>
    <row r="821" spans="1:9" x14ac:dyDescent="0.2">
      <c r="A821">
        <v>811</v>
      </c>
      <c r="B821">
        <v>1157156.568059837</v>
      </c>
      <c r="C821">
        <v>115871.06905976546</v>
      </c>
      <c r="D821">
        <v>32848.348530240437</v>
      </c>
      <c r="E821">
        <v>134999.74696794775</v>
      </c>
      <c r="F821">
        <v>45346.13632855023</v>
      </c>
      <c r="G821">
        <v>10000</v>
      </c>
      <c r="H821">
        <v>319065.30088650389</v>
      </c>
      <c r="I821">
        <v>27.692319641134929</v>
      </c>
    </row>
    <row r="822" spans="1:9" x14ac:dyDescent="0.2">
      <c r="A822">
        <v>812</v>
      </c>
      <c r="B822">
        <v>1359196.6953256109</v>
      </c>
      <c r="C822">
        <v>138418.85809465693</v>
      </c>
      <c r="D822">
        <v>85333.508875153595</v>
      </c>
      <c r="E822">
        <v>116611.56877048836</v>
      </c>
      <c r="F822">
        <v>44073.108607187656</v>
      </c>
      <c r="G822">
        <v>10000</v>
      </c>
      <c r="H822">
        <v>374437.04434748652</v>
      </c>
      <c r="I822">
        <v>30.588353901014198</v>
      </c>
    </row>
    <row r="823" spans="1:9" x14ac:dyDescent="0.2">
      <c r="A823">
        <v>813</v>
      </c>
      <c r="B823">
        <v>1765721.5904510086</v>
      </c>
      <c r="C823">
        <v>101544.73019839391</v>
      </c>
      <c r="D823">
        <v>140290.01937056339</v>
      </c>
      <c r="E823">
        <v>203899.63864878318</v>
      </c>
      <c r="F823">
        <v>50116.128829531146</v>
      </c>
      <c r="G823">
        <v>10000</v>
      </c>
      <c r="H823">
        <v>485850.5170472716</v>
      </c>
      <c r="I823">
        <v>26.86011562036159</v>
      </c>
    </row>
    <row r="824" spans="1:9" x14ac:dyDescent="0.2">
      <c r="A824">
        <v>814</v>
      </c>
      <c r="B824">
        <v>907981.77101417794</v>
      </c>
      <c r="C824">
        <v>95907.075827138746</v>
      </c>
      <c r="D824">
        <v>63506.71983096507</v>
      </c>
      <c r="E824">
        <v>61129.823387130971</v>
      </c>
      <c r="F824">
        <v>40232.064696032139</v>
      </c>
      <c r="G824">
        <v>10000</v>
      </c>
      <c r="H824">
        <v>250775.68374126696</v>
      </c>
      <c r="I824">
        <v>37.486736340613746</v>
      </c>
    </row>
    <row r="825" spans="1:9" x14ac:dyDescent="0.2">
      <c r="A825">
        <v>815</v>
      </c>
      <c r="B825">
        <v>1519434.0089014908</v>
      </c>
      <c r="C825">
        <v>112240.77127674044</v>
      </c>
      <c r="D825">
        <v>69228.432370521754</v>
      </c>
      <c r="E825">
        <v>197228.68210545418</v>
      </c>
      <c r="F825">
        <v>49654.293376531445</v>
      </c>
      <c r="G825">
        <v>10000</v>
      </c>
      <c r="H825">
        <v>418352.17912924779</v>
      </c>
      <c r="I825">
        <v>44.242397672544556</v>
      </c>
    </row>
    <row r="826" spans="1:9" x14ac:dyDescent="0.2">
      <c r="A826">
        <v>816</v>
      </c>
      <c r="B826">
        <v>771793.44692780427</v>
      </c>
      <c r="C826">
        <v>92727.806613702342</v>
      </c>
      <c r="D826">
        <v>63875.805670763359</v>
      </c>
      <c r="E826">
        <v>28850.53269810721</v>
      </c>
      <c r="F826">
        <v>37997.344571407419</v>
      </c>
      <c r="G826">
        <v>10000</v>
      </c>
      <c r="H826">
        <v>213451.48955398033</v>
      </c>
      <c r="I826">
        <v>32.364189089642778</v>
      </c>
    </row>
    <row r="827" spans="1:9" x14ac:dyDescent="0.2">
      <c r="A827">
        <v>817</v>
      </c>
      <c r="B827">
        <v>1033161.6324446802</v>
      </c>
      <c r="C827">
        <v>97876.052278031319</v>
      </c>
      <c r="D827">
        <v>65425.821208171466</v>
      </c>
      <c r="E827">
        <v>89579.344145965428</v>
      </c>
      <c r="F827">
        <v>42201.646902412991</v>
      </c>
      <c r="G827">
        <v>10000</v>
      </c>
      <c r="H827">
        <v>285082.8645345812</v>
      </c>
      <c r="I827">
        <v>47.207070210929089</v>
      </c>
    </row>
    <row r="828" spans="1:9" x14ac:dyDescent="0.2">
      <c r="A828">
        <v>818</v>
      </c>
      <c r="B828">
        <v>1173188.4302048609</v>
      </c>
      <c r="C828">
        <v>116416.94495351592</v>
      </c>
      <c r="D828">
        <v>62411.234199581006</v>
      </c>
      <c r="E828">
        <v>110949.72850971494</v>
      </c>
      <c r="F828">
        <v>43681.135050672572</v>
      </c>
      <c r="G828">
        <v>10000</v>
      </c>
      <c r="H828">
        <v>323459.04271348444</v>
      </c>
      <c r="I828">
        <v>25.11358161432711</v>
      </c>
    </row>
    <row r="829" spans="1:9" x14ac:dyDescent="0.2">
      <c r="A829">
        <v>819</v>
      </c>
      <c r="B829">
        <v>1284257.8914320394</v>
      </c>
      <c r="C829">
        <v>114590.19073880929</v>
      </c>
      <c r="D829">
        <v>130731.36603742575</v>
      </c>
      <c r="E829">
        <v>77230.780384216399</v>
      </c>
      <c r="F829">
        <v>41346.746334291907</v>
      </c>
      <c r="G829">
        <v>10000</v>
      </c>
      <c r="H829">
        <v>353899.08349474333</v>
      </c>
      <c r="I829">
        <v>35.175066855622347</v>
      </c>
    </row>
    <row r="830" spans="1:9" x14ac:dyDescent="0.2">
      <c r="A830">
        <v>820</v>
      </c>
      <c r="B830">
        <v>1462293.0509379106</v>
      </c>
      <c r="C830">
        <v>154204.25795459232</v>
      </c>
      <c r="D830">
        <v>92846.264044593045</v>
      </c>
      <c r="E830">
        <v>121247.37972793721</v>
      </c>
      <c r="F830">
        <v>44394.049365780265</v>
      </c>
      <c r="G830">
        <v>10000</v>
      </c>
      <c r="H830">
        <v>402691.95109290286</v>
      </c>
      <c r="I830">
        <v>34.189858176175598</v>
      </c>
    </row>
    <row r="831" spans="1:9" x14ac:dyDescent="0.2">
      <c r="A831">
        <v>821</v>
      </c>
      <c r="B831">
        <v>1176016.0338626313</v>
      </c>
      <c r="C831">
        <v>106092.03207926173</v>
      </c>
      <c r="D831">
        <v>43347.779234957183</v>
      </c>
      <c r="E831">
        <v>139160.01812064019</v>
      </c>
      <c r="F831">
        <v>45634.155100659707</v>
      </c>
      <c r="G831">
        <v>10000</v>
      </c>
      <c r="H831">
        <v>324233.9845355188</v>
      </c>
      <c r="I831">
        <v>32.239032028699981</v>
      </c>
    </row>
    <row r="832" spans="1:9" x14ac:dyDescent="0.2">
      <c r="A832">
        <v>822</v>
      </c>
      <c r="B832">
        <v>1382160.893095199</v>
      </c>
      <c r="C832">
        <v>106714.23651844379</v>
      </c>
      <c r="D832">
        <v>66122.527719186517</v>
      </c>
      <c r="E832">
        <v>170116.61519461928</v>
      </c>
      <c r="F832">
        <v>47777.304128858254</v>
      </c>
      <c r="G832">
        <v>10000</v>
      </c>
      <c r="H832">
        <v>380730.68356110784</v>
      </c>
      <c r="I832">
        <v>34.940956994785395</v>
      </c>
    </row>
    <row r="833" spans="1:9" x14ac:dyDescent="0.2">
      <c r="A833">
        <v>823</v>
      </c>
      <c r="B833">
        <v>1156555.4323710704</v>
      </c>
      <c r="C833">
        <v>84263.765198461333</v>
      </c>
      <c r="D833">
        <v>99154.877574338301</v>
      </c>
      <c r="E833">
        <v>102393.15230565834</v>
      </c>
      <c r="F833">
        <v>43088.756698084042</v>
      </c>
      <c r="G833">
        <v>10000</v>
      </c>
      <c r="H833">
        <v>318900.55177654204</v>
      </c>
      <c r="I833">
        <v>33.983246873446312</v>
      </c>
    </row>
    <row r="834" spans="1:9" x14ac:dyDescent="0.2">
      <c r="A834">
        <v>824</v>
      </c>
      <c r="B834">
        <v>1449610.2136113211</v>
      </c>
      <c r="C834">
        <v>117377.47068136463</v>
      </c>
      <c r="D834">
        <v>69715.903630445682</v>
      </c>
      <c r="E834">
        <v>174071.57035836022</v>
      </c>
      <c r="F834">
        <v>48051.108717117248</v>
      </c>
      <c r="G834">
        <v>10000</v>
      </c>
      <c r="H834">
        <v>399216.05338728777</v>
      </c>
      <c r="I834">
        <v>32.269195615534493</v>
      </c>
    </row>
    <row r="835" spans="1:9" x14ac:dyDescent="0.2">
      <c r="A835">
        <v>825</v>
      </c>
      <c r="B835">
        <v>1248683.5316160908</v>
      </c>
      <c r="C835">
        <v>104194.47816597235</v>
      </c>
      <c r="D835">
        <v>163459.13700845791</v>
      </c>
      <c r="E835">
        <v>47226.33360985911</v>
      </c>
      <c r="F835">
        <v>39269.515403759469</v>
      </c>
      <c r="G835">
        <v>10000</v>
      </c>
      <c r="H835">
        <v>344149.46418804885</v>
      </c>
      <c r="I835">
        <v>32.927082489484839</v>
      </c>
    </row>
    <row r="836" spans="1:9" x14ac:dyDescent="0.2">
      <c r="A836">
        <v>826</v>
      </c>
      <c r="B836">
        <v>1704442.0246245631</v>
      </c>
      <c r="C836">
        <v>87906.489861569557</v>
      </c>
      <c r="D836">
        <v>160193.42212003429</v>
      </c>
      <c r="E836">
        <v>182333.07807995833</v>
      </c>
      <c r="F836">
        <v>48623.059251689418</v>
      </c>
      <c r="G836">
        <v>10000</v>
      </c>
      <c r="H836">
        <v>469056.04931325157</v>
      </c>
      <c r="I836">
        <v>45.643764290445674</v>
      </c>
    </row>
    <row r="837" spans="1:9" x14ac:dyDescent="0.2">
      <c r="A837">
        <v>827</v>
      </c>
      <c r="B837">
        <v>1753771.3579393092</v>
      </c>
      <c r="C837">
        <v>162210.91960346999</v>
      </c>
      <c r="D837">
        <v>106120.31061784041</v>
      </c>
      <c r="E837">
        <v>176055.69768807045</v>
      </c>
      <c r="F837">
        <v>48188.471378404873</v>
      </c>
      <c r="G837">
        <v>10000</v>
      </c>
      <c r="H837">
        <v>482575.39928778575</v>
      </c>
      <c r="I837">
        <v>28.022815214860891</v>
      </c>
    </row>
    <row r="838" spans="1:9" x14ac:dyDescent="0.2">
      <c r="A838">
        <v>828</v>
      </c>
      <c r="B838">
        <v>1150729.5355656119</v>
      </c>
      <c r="C838">
        <v>108354.86571260917</v>
      </c>
      <c r="D838">
        <v>84320.43853364719</v>
      </c>
      <c r="E838">
        <v>92242.560758467764</v>
      </c>
      <c r="F838">
        <v>42386.023437124684</v>
      </c>
      <c r="G838">
        <v>10000</v>
      </c>
      <c r="H838">
        <v>317303.8884418488</v>
      </c>
      <c r="I838">
        <v>36.915837693349445</v>
      </c>
    </row>
    <row r="839" spans="1:9" x14ac:dyDescent="0.2">
      <c r="A839">
        <v>829</v>
      </c>
      <c r="B839">
        <v>1328784.5390436139</v>
      </c>
      <c r="C839">
        <v>105203.8733436441</v>
      </c>
      <c r="D839">
        <v>64149.283966538198</v>
      </c>
      <c r="E839">
        <v>159693.34417225167</v>
      </c>
      <c r="F839">
        <v>47055.693058078963</v>
      </c>
      <c r="G839">
        <v>10000</v>
      </c>
      <c r="H839">
        <v>366102.19454051298</v>
      </c>
      <c r="I839">
        <v>45.124428685034019</v>
      </c>
    </row>
    <row r="840" spans="1:9" x14ac:dyDescent="0.2">
      <c r="A840">
        <v>830</v>
      </c>
      <c r="B840">
        <v>1275886.595746255</v>
      </c>
      <c r="C840">
        <v>138897.08870359947</v>
      </c>
      <c r="D840">
        <v>42500.801003689347</v>
      </c>
      <c r="E840">
        <v>134869.79115875607</v>
      </c>
      <c r="F840">
        <v>45337.139387913885</v>
      </c>
      <c r="G840">
        <v>10000</v>
      </c>
      <c r="H840">
        <v>351604.82025395875</v>
      </c>
      <c r="I840">
        <v>32.55799464201867</v>
      </c>
    </row>
    <row r="841" spans="1:9" x14ac:dyDescent="0.2">
      <c r="A841">
        <v>831</v>
      </c>
      <c r="B841">
        <v>1489403.741802322</v>
      </c>
      <c r="C841">
        <v>106971.8146788006</v>
      </c>
      <c r="D841">
        <v>145620.99491273722</v>
      </c>
      <c r="E841">
        <v>123012.90352726748</v>
      </c>
      <c r="F841">
        <v>44516.277936503138</v>
      </c>
      <c r="G841">
        <v>10000</v>
      </c>
      <c r="H841">
        <v>410121.99105530843</v>
      </c>
      <c r="I841">
        <v>47.517846458359244</v>
      </c>
    </row>
    <row r="842" spans="1:9" x14ac:dyDescent="0.2">
      <c r="A842">
        <v>832</v>
      </c>
      <c r="B842">
        <v>1262734.7553913109</v>
      </c>
      <c r="C842">
        <v>150067.42163388513</v>
      </c>
      <c r="D842">
        <v>66239.287237874974</v>
      </c>
      <c r="E842">
        <v>98850.201747459345</v>
      </c>
      <c r="F842">
        <v>42843.475505593335</v>
      </c>
      <c r="G842">
        <v>10000</v>
      </c>
      <c r="H842">
        <v>348000.38612481282</v>
      </c>
      <c r="I842">
        <v>44.725066276178637</v>
      </c>
    </row>
    <row r="843" spans="1:9" x14ac:dyDescent="0.2">
      <c r="A843">
        <v>833</v>
      </c>
      <c r="B843">
        <v>827215.26585251407</v>
      </c>
      <c r="C843">
        <v>84862.518348466823</v>
      </c>
      <c r="D843">
        <v>74380.145965784788</v>
      </c>
      <c r="E843">
        <v>40587.964686218649</v>
      </c>
      <c r="F843">
        <v>38809.936016738218</v>
      </c>
      <c r="G843">
        <v>10000</v>
      </c>
      <c r="H843">
        <v>228640.56501720849</v>
      </c>
      <c r="I843">
        <v>26.415509367776814</v>
      </c>
    </row>
    <row r="844" spans="1:9" x14ac:dyDescent="0.2">
      <c r="A844">
        <v>834</v>
      </c>
      <c r="B844">
        <v>1236933.2698066339</v>
      </c>
      <c r="C844">
        <v>78603.892744173092</v>
      </c>
      <c r="D844">
        <v>134061.01563835994</v>
      </c>
      <c r="E844">
        <v>95642.816854238758</v>
      </c>
      <c r="F844">
        <v>42621.425782216524</v>
      </c>
      <c r="G844">
        <v>10000</v>
      </c>
      <c r="H844">
        <v>340929.15101898834</v>
      </c>
      <c r="I844">
        <v>36.859119780936723</v>
      </c>
    </row>
    <row r="845" spans="1:9" x14ac:dyDescent="0.2">
      <c r="A845">
        <v>835</v>
      </c>
      <c r="B845">
        <v>1222568.6815013306</v>
      </c>
      <c r="C845">
        <v>117147.64676591675</v>
      </c>
      <c r="D845">
        <v>76983.862983980725</v>
      </c>
      <c r="E845">
        <v>109294.30861971441</v>
      </c>
      <c r="F845">
        <v>43566.529058287924</v>
      </c>
      <c r="G845">
        <v>10000</v>
      </c>
      <c r="H845">
        <v>336992.34742789977</v>
      </c>
      <c r="I845">
        <v>33.614486527984027</v>
      </c>
    </row>
    <row r="846" spans="1:9" x14ac:dyDescent="0.2">
      <c r="A846">
        <v>836</v>
      </c>
      <c r="B846">
        <v>1285267.0819277791</v>
      </c>
      <c r="C846">
        <v>124349.23332554476</v>
      </c>
      <c r="D846">
        <v>88003.335479222078</v>
      </c>
      <c r="E846">
        <v>108323.75937735751</v>
      </c>
      <c r="F846">
        <v>43499.337187663215</v>
      </c>
      <c r="G846">
        <v>10000</v>
      </c>
      <c r="H846">
        <v>354175.6653697876</v>
      </c>
      <c r="I846">
        <v>26.532507915859121</v>
      </c>
    </row>
    <row r="847" spans="1:9" x14ac:dyDescent="0.2">
      <c r="A847">
        <v>837</v>
      </c>
      <c r="B847">
        <v>1180537.5880329702</v>
      </c>
      <c r="C847">
        <v>147303.05080974812</v>
      </c>
      <c r="D847">
        <v>66444.176313809017</v>
      </c>
      <c r="E847">
        <v>80175.347575529551</v>
      </c>
      <c r="F847">
        <v>41550.6009859982</v>
      </c>
      <c r="G847">
        <v>10000</v>
      </c>
      <c r="H847">
        <v>325473.17568508489</v>
      </c>
      <c r="I847">
        <v>38.185367148515972</v>
      </c>
    </row>
    <row r="848" spans="1:9" x14ac:dyDescent="0.2">
      <c r="A848">
        <v>838</v>
      </c>
      <c r="B848">
        <v>836043.6785860887</v>
      </c>
      <c r="C848">
        <v>113308.14085150232</v>
      </c>
      <c r="D848">
        <v>60519.869710814375</v>
      </c>
      <c r="E848">
        <v>29209.874527839038</v>
      </c>
      <c r="F848">
        <v>38022.222082696542</v>
      </c>
      <c r="G848">
        <v>10000</v>
      </c>
      <c r="H848">
        <v>231060.10717285227</v>
      </c>
      <c r="I848">
        <v>30.514089613296512</v>
      </c>
    </row>
    <row r="849" spans="1:9" x14ac:dyDescent="0.2">
      <c r="A849">
        <v>839</v>
      </c>
      <c r="B849">
        <v>1088477.7023575888</v>
      </c>
      <c r="C849">
        <v>120090.4197057382</v>
      </c>
      <c r="D849">
        <v>99676.93990018162</v>
      </c>
      <c r="E849">
        <v>50948.401465437419</v>
      </c>
      <c r="F849">
        <v>39527.19702453028</v>
      </c>
      <c r="G849">
        <v>10000</v>
      </c>
      <c r="H849">
        <v>300242.9580958875</v>
      </c>
      <c r="I849">
        <v>34.149677517301157</v>
      </c>
    </row>
    <row r="850" spans="1:9" x14ac:dyDescent="0.2">
      <c r="A850">
        <v>840</v>
      </c>
      <c r="B850">
        <v>1221018.9807803512</v>
      </c>
      <c r="C850">
        <v>92078.682320339838</v>
      </c>
      <c r="D850">
        <v>114944.01865134227</v>
      </c>
      <c r="E850">
        <v>96840.582644413444</v>
      </c>
      <c r="F850">
        <v>42704.348029228626</v>
      </c>
      <c r="G850">
        <v>10000</v>
      </c>
      <c r="H850">
        <v>336567.63164532417</v>
      </c>
      <c r="I850">
        <v>35.631347726421154</v>
      </c>
    </row>
    <row r="851" spans="1:9" x14ac:dyDescent="0.2">
      <c r="A851">
        <v>841</v>
      </c>
      <c r="B851">
        <v>1264016.7934465562</v>
      </c>
      <c r="C851">
        <v>113751.57318486867</v>
      </c>
      <c r="D851">
        <v>71704.26889789218</v>
      </c>
      <c r="E851">
        <v>128032.13983766707</v>
      </c>
      <c r="F851">
        <v>44863.763527223105</v>
      </c>
      <c r="G851">
        <v>10000</v>
      </c>
      <c r="H851">
        <v>348351.74544765102</v>
      </c>
      <c r="I851">
        <v>48.444879115749991</v>
      </c>
    </row>
    <row r="852" spans="1:9" x14ac:dyDescent="0.2">
      <c r="A852">
        <v>842</v>
      </c>
      <c r="B852">
        <v>1456846.7873501407</v>
      </c>
      <c r="C852">
        <v>126444.62587504004</v>
      </c>
      <c r="D852">
        <v>136612.66363578444</v>
      </c>
      <c r="E852">
        <v>104881.0461976315</v>
      </c>
      <c r="F852">
        <v>43260.995505989871</v>
      </c>
      <c r="G852">
        <v>10000</v>
      </c>
      <c r="H852">
        <v>401199.33121444588</v>
      </c>
      <c r="I852">
        <v>42.723646944205214</v>
      </c>
    </row>
    <row r="853" spans="1:9" x14ac:dyDescent="0.2">
      <c r="A853">
        <v>843</v>
      </c>
      <c r="B853">
        <v>1479193.179035834</v>
      </c>
      <c r="C853">
        <v>135278.50753423068</v>
      </c>
      <c r="D853">
        <v>56485.325271978174</v>
      </c>
      <c r="E853">
        <v>177286.16237644834</v>
      </c>
      <c r="F853">
        <v>48273.657395292576</v>
      </c>
      <c r="G853">
        <v>10000</v>
      </c>
      <c r="H853">
        <v>407323.6525779498</v>
      </c>
      <c r="I853">
        <v>32.299812220397143</v>
      </c>
    </row>
    <row r="854" spans="1:9" x14ac:dyDescent="0.2">
      <c r="A854">
        <v>844</v>
      </c>
      <c r="B854">
        <v>1735082.1790248784</v>
      </c>
      <c r="C854">
        <v>99092.508160103665</v>
      </c>
      <c r="D854">
        <v>154380.99573985004</v>
      </c>
      <c r="E854">
        <v>185161.03986947861</v>
      </c>
      <c r="F854">
        <v>48818.841221733135</v>
      </c>
      <c r="G854">
        <v>10000</v>
      </c>
      <c r="H854">
        <v>477453.38499116548</v>
      </c>
      <c r="I854">
        <v>28.929512254171851</v>
      </c>
    </row>
    <row r="855" spans="1:9" x14ac:dyDescent="0.2">
      <c r="A855">
        <v>845</v>
      </c>
      <c r="B855">
        <v>998403.65949324449</v>
      </c>
      <c r="C855">
        <v>115665.21077786054</v>
      </c>
      <c r="D855">
        <v>82262.750691852183</v>
      </c>
      <c r="E855">
        <v>48286.138744053984</v>
      </c>
      <c r="F855">
        <v>39342.886528434508</v>
      </c>
      <c r="G855">
        <v>10000</v>
      </c>
      <c r="H855">
        <v>275556.9867422012</v>
      </c>
      <c r="I855">
        <v>31.903440873795127</v>
      </c>
    </row>
    <row r="856" spans="1:9" x14ac:dyDescent="0.2">
      <c r="A856">
        <v>846</v>
      </c>
      <c r="B856">
        <v>1193063.740304006</v>
      </c>
      <c r="C856">
        <v>118278.84213957995</v>
      </c>
      <c r="D856">
        <v>97903.39398017936</v>
      </c>
      <c r="E856">
        <v>81108.679412016194</v>
      </c>
      <c r="F856">
        <v>41615.216266985735</v>
      </c>
      <c r="G856">
        <v>10000</v>
      </c>
      <c r="H856">
        <v>328906.13179876126</v>
      </c>
      <c r="I856">
        <v>35.897151552151882</v>
      </c>
    </row>
    <row r="857" spans="1:9" x14ac:dyDescent="0.2">
      <c r="A857">
        <v>847</v>
      </c>
      <c r="B857">
        <v>1408202.2449547227</v>
      </c>
      <c r="C857">
        <v>91466.884726884702</v>
      </c>
      <c r="D857">
        <v>144731.04761490124</v>
      </c>
      <c r="E857">
        <v>117532.83616244759</v>
      </c>
      <c r="F857">
        <v>44136.888657400217</v>
      </c>
      <c r="G857">
        <v>10000</v>
      </c>
      <c r="H857">
        <v>387867.65716163372</v>
      </c>
      <c r="I857">
        <v>36.203342872734098</v>
      </c>
    </row>
    <row r="858" spans="1:9" x14ac:dyDescent="0.2">
      <c r="A858">
        <v>848</v>
      </c>
      <c r="B858">
        <v>1485901.3660103772</v>
      </c>
      <c r="C858">
        <v>103594.47751594894</v>
      </c>
      <c r="D858">
        <v>152214.3101146885</v>
      </c>
      <c r="E858">
        <v>119107.43230092984</v>
      </c>
      <c r="F858">
        <v>44245.899159295142</v>
      </c>
      <c r="G858">
        <v>10000</v>
      </c>
      <c r="H858">
        <v>409162.1190908624</v>
      </c>
      <c r="I858">
        <v>32.387301694154459</v>
      </c>
    </row>
    <row r="859" spans="1:9" x14ac:dyDescent="0.2">
      <c r="A859">
        <v>849</v>
      </c>
      <c r="B859">
        <v>1496439.5815829795</v>
      </c>
      <c r="C859">
        <v>93926.855624531614</v>
      </c>
      <c r="D859">
        <v>73066.686171572277</v>
      </c>
      <c r="E859">
        <v>204873.18511536025</v>
      </c>
      <c r="F859">
        <v>50183.528200294175</v>
      </c>
      <c r="G859">
        <v>10000</v>
      </c>
      <c r="H859">
        <v>412050.25511175831</v>
      </c>
      <c r="I859">
        <v>41.773133649608042</v>
      </c>
    </row>
    <row r="860" spans="1:9" x14ac:dyDescent="0.2">
      <c r="A860">
        <v>850</v>
      </c>
      <c r="B860">
        <v>1137029.0629219946</v>
      </c>
      <c r="C860">
        <v>130756.67579800761</v>
      </c>
      <c r="D860">
        <v>28542.497579261133</v>
      </c>
      <c r="E860">
        <v>119945.96934606695</v>
      </c>
      <c r="F860">
        <v>44303.951723958482</v>
      </c>
      <c r="G860">
        <v>10000</v>
      </c>
      <c r="H860">
        <v>313549.09444729419</v>
      </c>
      <c r="I860">
        <v>43.761328954405286</v>
      </c>
    </row>
    <row r="861" spans="1:9" x14ac:dyDescent="0.2">
      <c r="A861">
        <v>851</v>
      </c>
      <c r="B861">
        <v>1453220.3537581749</v>
      </c>
      <c r="C861">
        <v>113728.61257365177</v>
      </c>
      <c r="D861">
        <v>56167.375412543726</v>
      </c>
      <c r="E861">
        <v>191080.80077570514</v>
      </c>
      <c r="F861">
        <v>49228.670822933433</v>
      </c>
      <c r="G861">
        <v>10000</v>
      </c>
      <c r="H861">
        <v>400205.45958483405</v>
      </c>
      <c r="I861">
        <v>37.479605121068765</v>
      </c>
    </row>
    <row r="862" spans="1:9" x14ac:dyDescent="0.2">
      <c r="A862">
        <v>852</v>
      </c>
      <c r="B862">
        <v>950892.01886151056</v>
      </c>
      <c r="C862">
        <v>86329.532157855196</v>
      </c>
      <c r="D862">
        <v>109323.88024325737</v>
      </c>
      <c r="E862">
        <v>38235.325837324577</v>
      </c>
      <c r="F862">
        <v>38647.061019507091</v>
      </c>
      <c r="G862">
        <v>10000</v>
      </c>
      <c r="H862">
        <v>262535.79925794422</v>
      </c>
      <c r="I862">
        <v>31.379450969042896</v>
      </c>
    </row>
    <row r="863" spans="1:9" x14ac:dyDescent="0.2">
      <c r="A863">
        <v>853</v>
      </c>
      <c r="B863">
        <v>1631095.5215626529</v>
      </c>
      <c r="C863">
        <v>110410.63547387533</v>
      </c>
      <c r="D863">
        <v>111909.36454667273</v>
      </c>
      <c r="E863">
        <v>187643.75765695664</v>
      </c>
      <c r="F863">
        <v>48990.721683943149</v>
      </c>
      <c r="G863">
        <v>10000</v>
      </c>
      <c r="H863">
        <v>448954.47936144785</v>
      </c>
      <c r="I863">
        <v>28.688306274875501</v>
      </c>
    </row>
    <row r="864" spans="1:9" x14ac:dyDescent="0.2">
      <c r="A864">
        <v>854</v>
      </c>
      <c r="B864">
        <v>1782796.9075405917</v>
      </c>
      <c r="C864">
        <v>158735.5148256929</v>
      </c>
      <c r="D864">
        <v>85259.260655610458</v>
      </c>
      <c r="E864">
        <v>206256.18176672087</v>
      </c>
      <c r="F864">
        <v>50279.274122311443</v>
      </c>
      <c r="G864">
        <v>10000</v>
      </c>
      <c r="H864">
        <v>490530.23137033562</v>
      </c>
      <c r="I864">
        <v>36.651915992419987</v>
      </c>
    </row>
    <row r="865" spans="1:9" x14ac:dyDescent="0.2">
      <c r="A865">
        <v>855</v>
      </c>
      <c r="B865">
        <v>1593635.3457367495</v>
      </c>
      <c r="C865">
        <v>99321.438559277172</v>
      </c>
      <c r="D865">
        <v>95567.412973843748</v>
      </c>
      <c r="E865">
        <v>203697.07102418027</v>
      </c>
      <c r="F865">
        <v>50102.104917058634</v>
      </c>
      <c r="G865">
        <v>10000</v>
      </c>
      <c r="H865">
        <v>438688.02747435984</v>
      </c>
      <c r="I865">
        <v>40.58712203735449</v>
      </c>
    </row>
    <row r="866" spans="1:9" x14ac:dyDescent="0.2">
      <c r="A866">
        <v>856</v>
      </c>
      <c r="B866">
        <v>827899.9653602927</v>
      </c>
      <c r="C866">
        <v>110201.53019316288</v>
      </c>
      <c r="D866">
        <v>28788.235700848076</v>
      </c>
      <c r="E866">
        <v>59705.025172736052</v>
      </c>
      <c r="F866">
        <v>40133.424819650958</v>
      </c>
      <c r="G866">
        <v>10000</v>
      </c>
      <c r="H866">
        <v>228828.21588639799</v>
      </c>
      <c r="I866">
        <v>26.260996125998926</v>
      </c>
    </row>
    <row r="867" spans="1:9" x14ac:dyDescent="0.2">
      <c r="A867">
        <v>857</v>
      </c>
      <c r="B867">
        <v>1270349.1303014082</v>
      </c>
      <c r="C867">
        <v>86265.855400795757</v>
      </c>
      <c r="D867">
        <v>153925.83291561672</v>
      </c>
      <c r="E867">
        <v>78463.433161237554</v>
      </c>
      <c r="F867">
        <v>41432.083834239522</v>
      </c>
      <c r="G867">
        <v>10000</v>
      </c>
      <c r="H867">
        <v>350087.20531188953</v>
      </c>
      <c r="I867">
        <v>35.598204412692276</v>
      </c>
    </row>
    <row r="868" spans="1:9" x14ac:dyDescent="0.2">
      <c r="A868">
        <v>858</v>
      </c>
      <c r="B868">
        <v>1259187.712151512</v>
      </c>
      <c r="C868">
        <v>149309.30453913947</v>
      </c>
      <c r="D868">
        <v>85809.402259022696</v>
      </c>
      <c r="E868">
        <v>80347.075799935585</v>
      </c>
      <c r="F868">
        <v>41562.489863072464</v>
      </c>
      <c r="G868">
        <v>10000</v>
      </c>
      <c r="H868">
        <v>347028.27246117021</v>
      </c>
      <c r="I868">
        <v>34.595841121420079</v>
      </c>
    </row>
    <row r="869" spans="1:9" x14ac:dyDescent="0.2">
      <c r="A869">
        <v>859</v>
      </c>
      <c r="B869">
        <v>1561866.3787989155</v>
      </c>
      <c r="C869">
        <v>114788.58980663095</v>
      </c>
      <c r="D869">
        <v>74187.363000215933</v>
      </c>
      <c r="E869">
        <v>201084.1619173759</v>
      </c>
      <c r="F869">
        <v>49921.211209664485</v>
      </c>
      <c r="G869">
        <v>10000</v>
      </c>
      <c r="H869">
        <v>429981.32593388727</v>
      </c>
      <c r="I869">
        <v>25.828337967554869</v>
      </c>
    </row>
    <row r="870" spans="1:9" x14ac:dyDescent="0.2">
      <c r="A870">
        <v>860</v>
      </c>
      <c r="B870">
        <v>1087631.733139243</v>
      </c>
      <c r="C870">
        <v>105635.73488947953</v>
      </c>
      <c r="D870">
        <v>103715.49717592107</v>
      </c>
      <c r="E870">
        <v>60473.266338111775</v>
      </c>
      <c r="F870">
        <v>40186.610746484665</v>
      </c>
      <c r="G870">
        <v>10000</v>
      </c>
      <c r="H870">
        <v>300011.10914999706</v>
      </c>
      <c r="I870">
        <v>51.157805383601698</v>
      </c>
    </row>
    <row r="871" spans="1:9" x14ac:dyDescent="0.2">
      <c r="A871">
        <v>861</v>
      </c>
      <c r="B871">
        <v>1266978.0893395708</v>
      </c>
      <c r="C871">
        <v>134901.38769473572</v>
      </c>
      <c r="D871">
        <v>34355.839045597779</v>
      </c>
      <c r="E871">
        <v>143940.95743093776</v>
      </c>
      <c r="F871">
        <v>45965.143206757224</v>
      </c>
      <c r="G871">
        <v>10000</v>
      </c>
      <c r="H871">
        <v>349163.32737802848</v>
      </c>
      <c r="I871">
        <v>29.383721521132323</v>
      </c>
    </row>
    <row r="872" spans="1:9" x14ac:dyDescent="0.2">
      <c r="A872">
        <v>862</v>
      </c>
      <c r="B872">
        <v>1132046.5347519957</v>
      </c>
      <c r="C872">
        <v>91214.394052467702</v>
      </c>
      <c r="D872">
        <v>132787.4373103609</v>
      </c>
      <c r="E872">
        <v>58155.580405333909</v>
      </c>
      <c r="F872">
        <v>40026.155566523114</v>
      </c>
      <c r="G872">
        <v>10000</v>
      </c>
      <c r="H872">
        <v>312183.56733468559</v>
      </c>
      <c r="I872">
        <v>35.182718588871417</v>
      </c>
    </row>
    <row r="873" spans="1:9" x14ac:dyDescent="0.2">
      <c r="A873">
        <v>863</v>
      </c>
      <c r="B873">
        <v>1297917.2505603102</v>
      </c>
      <c r="C873">
        <v>121720.19350081001</v>
      </c>
      <c r="D873">
        <v>133481.09995916937</v>
      </c>
      <c r="E873">
        <v>71491.878583772428</v>
      </c>
      <c r="F873">
        <v>40949.437748107324</v>
      </c>
      <c r="G873">
        <v>10000</v>
      </c>
      <c r="H873">
        <v>357642.60979185911</v>
      </c>
      <c r="I873">
        <v>34.801077847178945</v>
      </c>
    </row>
    <row r="874" spans="1:9" x14ac:dyDescent="0.2">
      <c r="A874">
        <v>864</v>
      </c>
      <c r="B874">
        <v>1305181.7153786796</v>
      </c>
      <c r="C874">
        <v>115282.98236752456</v>
      </c>
      <c r="D874">
        <v>111928.56180953006</v>
      </c>
      <c r="E874">
        <v>99531.355082709837</v>
      </c>
      <c r="F874">
        <v>42890.632274956835</v>
      </c>
      <c r="G874">
        <v>10000</v>
      </c>
      <c r="H874">
        <v>359633.53153472132</v>
      </c>
      <c r="I874">
        <v>34.891374922159443</v>
      </c>
    </row>
    <row r="875" spans="1:9" x14ac:dyDescent="0.2">
      <c r="A875">
        <v>865</v>
      </c>
      <c r="B875">
        <v>1273213.4703222527</v>
      </c>
      <c r="C875">
        <v>116826.41913433485</v>
      </c>
      <c r="D875">
        <v>110334.90699100924</v>
      </c>
      <c r="E875">
        <v>91384.284760526003</v>
      </c>
      <c r="F875">
        <v>42326.604329574875</v>
      </c>
      <c r="G875">
        <v>10000</v>
      </c>
      <c r="H875">
        <v>350872.21521544491</v>
      </c>
      <c r="I875">
        <v>40.475269201138929</v>
      </c>
    </row>
    <row r="876" spans="1:9" x14ac:dyDescent="0.2">
      <c r="A876">
        <v>866</v>
      </c>
      <c r="B876">
        <v>1936709.5940653007</v>
      </c>
      <c r="C876">
        <v>110627.35598902045</v>
      </c>
      <c r="D876">
        <v>177064.40854469352</v>
      </c>
      <c r="E876">
        <v>204839.08715459495</v>
      </c>
      <c r="F876">
        <v>50181.167572241189</v>
      </c>
      <c r="G876">
        <v>10000</v>
      </c>
      <c r="H876">
        <v>532712.01926055015</v>
      </c>
      <c r="I876">
        <v>28.602256817153481</v>
      </c>
    </row>
    <row r="877" spans="1:9" x14ac:dyDescent="0.2">
      <c r="A877">
        <v>867</v>
      </c>
      <c r="B877">
        <v>1099975.3482926099</v>
      </c>
      <c r="C877">
        <v>97677.026269275317</v>
      </c>
      <c r="D877">
        <v>92372.944293884619</v>
      </c>
      <c r="E877">
        <v>81688.696702158864</v>
      </c>
      <c r="F877">
        <v>41655.371310149465</v>
      </c>
      <c r="G877">
        <v>10000</v>
      </c>
      <c r="H877">
        <v>303394.03857546824</v>
      </c>
      <c r="I877">
        <v>48.309348167786474</v>
      </c>
    </row>
    <row r="878" spans="1:9" x14ac:dyDescent="0.2">
      <c r="A878">
        <v>868</v>
      </c>
      <c r="B878">
        <v>1599005.1158734597</v>
      </c>
      <c r="C878">
        <v>98615.531026383207</v>
      </c>
      <c r="D878">
        <v>161053.89108960348</v>
      </c>
      <c r="E878">
        <v>144487.29465174372</v>
      </c>
      <c r="F878">
        <v>46002.966552813028</v>
      </c>
      <c r="G878">
        <v>10000</v>
      </c>
      <c r="H878">
        <v>440159.68332054344</v>
      </c>
      <c r="I878">
        <v>37.093650910727312</v>
      </c>
    </row>
    <row r="879" spans="1:9" x14ac:dyDescent="0.2">
      <c r="A879">
        <v>869</v>
      </c>
      <c r="B879">
        <v>1099301.7664052001</v>
      </c>
      <c r="C879">
        <v>123541.22685192245</v>
      </c>
      <c r="D879">
        <v>80598.55113108721</v>
      </c>
      <c r="E879">
        <v>68338.527804743586</v>
      </c>
      <c r="F879">
        <v>40731.128848020715</v>
      </c>
      <c r="G879">
        <v>10000</v>
      </c>
      <c r="H879">
        <v>303209.43463577388</v>
      </c>
      <c r="I879">
        <v>30.066114698734715</v>
      </c>
    </row>
    <row r="880" spans="1:9" x14ac:dyDescent="0.2">
      <c r="A880">
        <v>870</v>
      </c>
      <c r="B880">
        <v>1233569.7215591168</v>
      </c>
      <c r="C880">
        <v>98998.651924968392</v>
      </c>
      <c r="D880">
        <v>54264.184398513891</v>
      </c>
      <c r="E880">
        <v>150336.57360402879</v>
      </c>
      <c r="F880">
        <v>46407.916634125068</v>
      </c>
      <c r="G880">
        <v>10000</v>
      </c>
      <c r="H880">
        <v>340007.32656163612</v>
      </c>
      <c r="I880">
        <v>29.265427953028521</v>
      </c>
    </row>
    <row r="881" spans="1:9" x14ac:dyDescent="0.2">
      <c r="A881">
        <v>871</v>
      </c>
      <c r="B881">
        <v>1366922.4345534723</v>
      </c>
      <c r="C881">
        <v>74992.431355365567</v>
      </c>
      <c r="D881">
        <v>59238.444650379046</v>
      </c>
      <c r="E881">
        <v>202316.95028242105</v>
      </c>
      <c r="F881">
        <v>50006.558096475303</v>
      </c>
      <c r="G881">
        <v>10000</v>
      </c>
      <c r="H881">
        <v>376554.38438464096</v>
      </c>
      <c r="I881">
        <v>51.31124770136929</v>
      </c>
    </row>
    <row r="882" spans="1:9" x14ac:dyDescent="0.2">
      <c r="A882">
        <v>872</v>
      </c>
      <c r="B882">
        <v>1325672.1149585622</v>
      </c>
      <c r="C882">
        <v>84760.426763328491</v>
      </c>
      <c r="D882">
        <v>56055.138949532207</v>
      </c>
      <c r="E882">
        <v>185585.4077032705</v>
      </c>
      <c r="F882">
        <v>48848.220533303342</v>
      </c>
      <c r="G882">
        <v>10000</v>
      </c>
      <c r="H882">
        <v>365249.19394943456</v>
      </c>
      <c r="I882">
        <v>46.022536476173684</v>
      </c>
    </row>
    <row r="883" spans="1:9" x14ac:dyDescent="0.2">
      <c r="A883">
        <v>873</v>
      </c>
      <c r="B883">
        <v>1056839.1316382673</v>
      </c>
      <c r="C883">
        <v>127699.33725473813</v>
      </c>
      <c r="D883">
        <v>72763.754537094675</v>
      </c>
      <c r="E883">
        <v>60893.217281995479</v>
      </c>
      <c r="F883">
        <v>40215.684273368912</v>
      </c>
      <c r="G883">
        <v>10000</v>
      </c>
      <c r="H883">
        <v>291571.99334719719</v>
      </c>
      <c r="I883">
        <v>32.607538362572768</v>
      </c>
    </row>
    <row r="884" spans="1:9" x14ac:dyDescent="0.2">
      <c r="A884">
        <v>874</v>
      </c>
      <c r="B884">
        <v>1455482.289606174</v>
      </c>
      <c r="C884">
        <v>117682.77434513239</v>
      </c>
      <c r="D884">
        <v>89115.446325075667</v>
      </c>
      <c r="E884">
        <v>157147.69617453511</v>
      </c>
      <c r="F884">
        <v>46879.455889006276</v>
      </c>
      <c r="G884">
        <v>10000</v>
      </c>
      <c r="H884">
        <v>400825.37273374945</v>
      </c>
      <c r="I884">
        <v>50.633848307154665</v>
      </c>
    </row>
    <row r="885" spans="1:9" x14ac:dyDescent="0.2">
      <c r="A885">
        <v>875</v>
      </c>
      <c r="B885">
        <v>1179337.76295207</v>
      </c>
      <c r="C885">
        <v>105841.99159447555</v>
      </c>
      <c r="D885">
        <v>100279.9755297497</v>
      </c>
      <c r="E885">
        <v>86999.348931471046</v>
      </c>
      <c r="F885">
        <v>42023.031849101841</v>
      </c>
      <c r="G885">
        <v>10000</v>
      </c>
      <c r="H885">
        <v>325144.34790479811</v>
      </c>
      <c r="I885">
        <v>36.205352644322225</v>
      </c>
    </row>
    <row r="886" spans="1:9" x14ac:dyDescent="0.2">
      <c r="A886">
        <v>876</v>
      </c>
      <c r="B886">
        <v>1811975.0662376988</v>
      </c>
      <c r="C886">
        <v>99333.60883420131</v>
      </c>
      <c r="D886">
        <v>150929.12489951926</v>
      </c>
      <c r="E886">
        <v>207872.95000951938</v>
      </c>
      <c r="F886">
        <v>50391.204231428266</v>
      </c>
      <c r="G886">
        <v>10000</v>
      </c>
      <c r="H886">
        <v>498526.88797466824</v>
      </c>
      <c r="I886">
        <v>36.685731141786306</v>
      </c>
    </row>
    <row r="887" spans="1:9" x14ac:dyDescent="0.2">
      <c r="A887">
        <v>877</v>
      </c>
      <c r="B887">
        <v>757166.02883007785</v>
      </c>
      <c r="C887">
        <v>102356.93433503386</v>
      </c>
      <c r="D887">
        <v>51828.912116400679</v>
      </c>
      <c r="E887">
        <v>27362.481894349228</v>
      </c>
      <c r="F887">
        <v>37894.325669608792</v>
      </c>
      <c r="G887">
        <v>10000</v>
      </c>
      <c r="H887">
        <v>209442.65401539253</v>
      </c>
      <c r="I887">
        <v>47.90913403629721</v>
      </c>
    </row>
    <row r="888" spans="1:9" x14ac:dyDescent="0.2">
      <c r="A888">
        <v>878</v>
      </c>
      <c r="B888">
        <v>1167356.526636319</v>
      </c>
      <c r="C888">
        <v>164814.30391100119</v>
      </c>
      <c r="D888">
        <v>87129.844516526151</v>
      </c>
      <c r="E888">
        <v>41073.064845254303</v>
      </c>
      <c r="F888">
        <v>38843.519873902223</v>
      </c>
      <c r="G888">
        <v>10000</v>
      </c>
      <c r="H888">
        <v>321860.73314668384</v>
      </c>
      <c r="I888">
        <v>44.875580288129981</v>
      </c>
    </row>
    <row r="889" spans="1:9" x14ac:dyDescent="0.2">
      <c r="A889">
        <v>879</v>
      </c>
      <c r="B889">
        <v>974730.39614007552</v>
      </c>
      <c r="C889">
        <v>123146.05645241724</v>
      </c>
      <c r="D889">
        <v>58580.52903429143</v>
      </c>
      <c r="E889">
        <v>57370.621100401848</v>
      </c>
      <c r="F889">
        <v>39971.812230027826</v>
      </c>
      <c r="G889">
        <v>10000</v>
      </c>
      <c r="H889">
        <v>269069.01881713833</v>
      </c>
      <c r="I889">
        <v>51.521211748791409</v>
      </c>
    </row>
    <row r="890" spans="1:9" x14ac:dyDescent="0.2">
      <c r="A890">
        <v>880</v>
      </c>
      <c r="B890">
        <v>1417557.3610746441</v>
      </c>
      <c r="C890">
        <v>105806.39914634211</v>
      </c>
      <c r="D890">
        <v>84615.839504033807</v>
      </c>
      <c r="E890">
        <v>162742.52073250845</v>
      </c>
      <c r="F890">
        <v>47266.789896865972</v>
      </c>
      <c r="G890">
        <v>10000</v>
      </c>
      <c r="H890">
        <v>390431.54927975032</v>
      </c>
      <c r="I890">
        <v>33.876977299897803</v>
      </c>
    </row>
    <row r="891" spans="1:9" x14ac:dyDescent="0.2">
      <c r="A891">
        <v>881</v>
      </c>
      <c r="B891">
        <v>1205603.0555109472</v>
      </c>
      <c r="C891">
        <v>111444.05781593196</v>
      </c>
      <c r="D891">
        <v>40873.566855721409</v>
      </c>
      <c r="E891">
        <v>144052.22441045521</v>
      </c>
      <c r="F891">
        <v>45972.846305339204</v>
      </c>
      <c r="G891">
        <v>10000</v>
      </c>
      <c r="H891">
        <v>332342.69538744778</v>
      </c>
      <c r="I891">
        <v>27.348535768288034</v>
      </c>
    </row>
    <row r="892" spans="1:9" x14ac:dyDescent="0.2">
      <c r="A892">
        <v>882</v>
      </c>
      <c r="B892">
        <v>1253221.5305915058</v>
      </c>
      <c r="C892">
        <v>95479.015030191265</v>
      </c>
      <c r="D892">
        <v>61234.438515099391</v>
      </c>
      <c r="E892">
        <v>152146.49015722438</v>
      </c>
      <c r="F892">
        <v>46533.218549346304</v>
      </c>
      <c r="G892">
        <v>10000</v>
      </c>
      <c r="H892">
        <v>345393.16225186136</v>
      </c>
      <c r="I892">
        <v>44.576407595918269</v>
      </c>
    </row>
    <row r="893" spans="1:9" x14ac:dyDescent="0.2">
      <c r="A893">
        <v>883</v>
      </c>
      <c r="B893">
        <v>1730571.4267777179</v>
      </c>
      <c r="C893">
        <v>142423.46516397485</v>
      </c>
      <c r="D893">
        <v>106762.28295457587</v>
      </c>
      <c r="E893">
        <v>188014.98415184993</v>
      </c>
      <c r="F893">
        <v>49016.421979743456</v>
      </c>
      <c r="G893">
        <v>10000</v>
      </c>
      <c r="H893">
        <v>476217.15425014409</v>
      </c>
      <c r="I893">
        <v>24.9157417719025</v>
      </c>
    </row>
    <row r="894" spans="1:9" x14ac:dyDescent="0.2">
      <c r="A894">
        <v>884</v>
      </c>
      <c r="B894">
        <v>1344521.9011667401</v>
      </c>
      <c r="C894">
        <v>114782.51855884222</v>
      </c>
      <c r="D894">
        <v>108378.55676191914</v>
      </c>
      <c r="E894">
        <v>113403.16136358553</v>
      </c>
      <c r="F894">
        <v>43850.98809440207</v>
      </c>
      <c r="G894">
        <v>10000</v>
      </c>
      <c r="H894">
        <v>370415.22477874899</v>
      </c>
      <c r="I894">
        <v>33.803189736145661</v>
      </c>
    </row>
    <row r="895" spans="1:9" x14ac:dyDescent="0.2">
      <c r="A895">
        <v>885</v>
      </c>
      <c r="B895">
        <v>1299218.6415131551</v>
      </c>
      <c r="C895">
        <v>133576.38329846199</v>
      </c>
      <c r="D895">
        <v>104608.8604073999</v>
      </c>
      <c r="E895">
        <v>87739.739655475962</v>
      </c>
      <c r="F895">
        <v>42074.289668456033</v>
      </c>
      <c r="G895">
        <v>10000</v>
      </c>
      <c r="H895">
        <v>357999.27302979387</v>
      </c>
      <c r="I895">
        <v>33.17369493654386</v>
      </c>
    </row>
    <row r="896" spans="1:9" x14ac:dyDescent="0.2">
      <c r="A896">
        <v>886</v>
      </c>
      <c r="B896">
        <v>1834949.9087252712</v>
      </c>
      <c r="C896">
        <v>149964.08248024774</v>
      </c>
      <c r="D896">
        <v>143848.31112804124</v>
      </c>
      <c r="E896">
        <v>173031.9181120311</v>
      </c>
      <c r="F896">
        <v>47979.132792371383</v>
      </c>
      <c r="G896">
        <v>10000</v>
      </c>
      <c r="H896">
        <v>504823.44451269141</v>
      </c>
      <c r="I896">
        <v>39.879953314036328</v>
      </c>
    </row>
    <row r="897" spans="1:9" x14ac:dyDescent="0.2">
      <c r="A897">
        <v>887</v>
      </c>
      <c r="B897">
        <v>1100047.6256243747</v>
      </c>
      <c r="C897">
        <v>89288.39737995858</v>
      </c>
      <c r="D897">
        <v>65051.68580702637</v>
      </c>
      <c r="E897">
        <v>115104.95907873845</v>
      </c>
      <c r="F897">
        <v>43968.804859297277</v>
      </c>
      <c r="G897">
        <v>10000</v>
      </c>
      <c r="H897">
        <v>303413.84712502069</v>
      </c>
      <c r="I897">
        <v>33.085194337887913</v>
      </c>
    </row>
    <row r="898" spans="1:9" x14ac:dyDescent="0.2">
      <c r="A898">
        <v>888</v>
      </c>
      <c r="B898">
        <v>1279532.2045622515</v>
      </c>
      <c r="C898">
        <v>93394.481777073946</v>
      </c>
      <c r="D898">
        <v>69265.561163036546</v>
      </c>
      <c r="E898">
        <v>153328.83123325469</v>
      </c>
      <c r="F898">
        <v>46615.072931533017</v>
      </c>
      <c r="G898">
        <v>10000</v>
      </c>
      <c r="H898">
        <v>352603.94710489822</v>
      </c>
      <c r="I898">
        <v>32.717467690287023</v>
      </c>
    </row>
    <row r="899" spans="1:9" x14ac:dyDescent="0.2">
      <c r="A899">
        <v>889</v>
      </c>
      <c r="B899">
        <v>928832.63814744866</v>
      </c>
      <c r="C899">
        <v>89935.788107647182</v>
      </c>
      <c r="D899">
        <v>79171.671187936256</v>
      </c>
      <c r="E899">
        <v>57408.259733710052</v>
      </c>
      <c r="F899">
        <v>39974.41798156454</v>
      </c>
      <c r="G899">
        <v>10000</v>
      </c>
      <c r="H899">
        <v>256490.13701085804</v>
      </c>
      <c r="I899">
        <v>45.151868070931968</v>
      </c>
    </row>
    <row r="900" spans="1:9" x14ac:dyDescent="0.2">
      <c r="A900">
        <v>890</v>
      </c>
      <c r="B900">
        <v>1410949.7359737616</v>
      </c>
      <c r="C900">
        <v>136861.58706392552</v>
      </c>
      <c r="D900">
        <v>72534.925380461893</v>
      </c>
      <c r="E900">
        <v>143303.14374646192</v>
      </c>
      <c r="F900">
        <v>45920.98687475505</v>
      </c>
      <c r="G900">
        <v>10000</v>
      </c>
      <c r="H900">
        <v>388620.64306560444</v>
      </c>
      <c r="I900">
        <v>39.77631081864353</v>
      </c>
    </row>
    <row r="901" spans="1:9" x14ac:dyDescent="0.2">
      <c r="A901">
        <v>891</v>
      </c>
      <c r="B901">
        <v>1173065.1793490183</v>
      </c>
      <c r="C901">
        <v>129776.36794392379</v>
      </c>
      <c r="D901">
        <v>62557.548796818359</v>
      </c>
      <c r="E901">
        <v>98286.87172630112</v>
      </c>
      <c r="F901">
        <v>42804.475734897766</v>
      </c>
      <c r="G901">
        <v>10000</v>
      </c>
      <c r="H901">
        <v>323425.26420194109</v>
      </c>
      <c r="I901">
        <v>51.675588026987647</v>
      </c>
    </row>
    <row r="902" spans="1:9" x14ac:dyDescent="0.2">
      <c r="A902">
        <v>892</v>
      </c>
      <c r="B902">
        <v>1079754.8336646494</v>
      </c>
      <c r="C902">
        <v>156927.84114235491</v>
      </c>
      <c r="D902">
        <v>67671.304924393015</v>
      </c>
      <c r="E902">
        <v>44193.636173021667</v>
      </c>
      <c r="F902">
        <v>39059.559427363034</v>
      </c>
      <c r="G902">
        <v>10000</v>
      </c>
      <c r="H902">
        <v>297852.34166713263</v>
      </c>
      <c r="I902">
        <v>45.925416870738637</v>
      </c>
    </row>
    <row r="903" spans="1:9" x14ac:dyDescent="0.2">
      <c r="A903">
        <v>893</v>
      </c>
      <c r="B903">
        <v>1567769.8913546868</v>
      </c>
      <c r="C903">
        <v>114529.19305501414</v>
      </c>
      <c r="D903">
        <v>99668.02607047568</v>
      </c>
      <c r="E903">
        <v>179009.1038007398</v>
      </c>
      <c r="F903">
        <v>48392.937955435831</v>
      </c>
      <c r="G903">
        <v>10000</v>
      </c>
      <c r="H903">
        <v>431599.26088166545</v>
      </c>
      <c r="I903">
        <v>35.410121720202554</v>
      </c>
    </row>
    <row r="904" spans="1:9" x14ac:dyDescent="0.2">
      <c r="A904">
        <v>894</v>
      </c>
      <c r="B904">
        <v>1373529.5831874344</v>
      </c>
      <c r="C904">
        <v>117924.33381615498</v>
      </c>
      <c r="D904">
        <v>90732.785558084826</v>
      </c>
      <c r="E904">
        <v>134403.20347864021</v>
      </c>
      <c r="F904">
        <v>45304.837163905861</v>
      </c>
      <c r="G904">
        <v>10000</v>
      </c>
      <c r="H904">
        <v>378365.16001678584</v>
      </c>
      <c r="I904">
        <v>29.699405907885122</v>
      </c>
    </row>
    <row r="905" spans="1:9" x14ac:dyDescent="0.2">
      <c r="A905">
        <v>895</v>
      </c>
      <c r="B905">
        <v>951056.86848577089</v>
      </c>
      <c r="C905">
        <v>129729.67200245212</v>
      </c>
      <c r="D905">
        <v>56166.004392219416</v>
      </c>
      <c r="E905">
        <v>47403.519914302342</v>
      </c>
      <c r="F905">
        <v>39281.782147913233</v>
      </c>
      <c r="G905">
        <v>10000</v>
      </c>
      <c r="H905">
        <v>262580.97845688713</v>
      </c>
      <c r="I905">
        <v>36.001143135212409</v>
      </c>
    </row>
    <row r="906" spans="1:9" x14ac:dyDescent="0.2">
      <c r="A906">
        <v>896</v>
      </c>
      <c r="B906">
        <v>1109574.0381779899</v>
      </c>
      <c r="C906">
        <v>102408.28550610229</v>
      </c>
      <c r="D906">
        <v>90371.440497019357</v>
      </c>
      <c r="E906">
        <v>81596.005074095112</v>
      </c>
      <c r="F906">
        <v>41648.95419743735</v>
      </c>
      <c r="G906">
        <v>10000</v>
      </c>
      <c r="H906">
        <v>306024.68527465407</v>
      </c>
      <c r="I906">
        <v>28.227117477001876</v>
      </c>
    </row>
    <row r="907" spans="1:9" x14ac:dyDescent="0.2">
      <c r="A907">
        <v>897</v>
      </c>
      <c r="B907">
        <v>1413904.6777165236</v>
      </c>
      <c r="C907">
        <v>137302.36884300192</v>
      </c>
      <c r="D907">
        <v>26405.832373837467</v>
      </c>
      <c r="E907">
        <v>186790.62377218716</v>
      </c>
      <c r="F907">
        <v>48931.658568843726</v>
      </c>
      <c r="G907">
        <v>10000</v>
      </c>
      <c r="H907">
        <v>389430.48355787026</v>
      </c>
      <c r="I907">
        <v>24.7179258366785</v>
      </c>
    </row>
    <row r="908" spans="1:9" x14ac:dyDescent="0.2">
      <c r="A908">
        <v>898</v>
      </c>
      <c r="B908">
        <v>1187594.0498948512</v>
      </c>
      <c r="C908">
        <v>136550.72000646661</v>
      </c>
      <c r="D908">
        <v>80753.636812402823</v>
      </c>
      <c r="E908">
        <v>78657.23386791884</v>
      </c>
      <c r="F908">
        <v>41445.50080624054</v>
      </c>
      <c r="G908">
        <v>10000</v>
      </c>
      <c r="H908">
        <v>327407.0914930288</v>
      </c>
      <c r="I908">
        <v>25.873683980415983</v>
      </c>
    </row>
    <row r="909" spans="1:9" x14ac:dyDescent="0.2">
      <c r="A909">
        <v>899</v>
      </c>
      <c r="B909">
        <v>1538541.3758786661</v>
      </c>
      <c r="C909">
        <v>115135.32261623703</v>
      </c>
      <c r="D909">
        <v>135321.22400188877</v>
      </c>
      <c r="E909">
        <v>137605.70772776945</v>
      </c>
      <c r="F909">
        <v>45526.548996537887</v>
      </c>
      <c r="G909">
        <v>10000</v>
      </c>
      <c r="H909">
        <v>423588.80334243312</v>
      </c>
      <c r="I909">
        <v>27.109359149014189</v>
      </c>
    </row>
    <row r="910" spans="1:9" x14ac:dyDescent="0.2">
      <c r="A910">
        <v>900</v>
      </c>
      <c r="B910">
        <v>1471940.4798020443</v>
      </c>
      <c r="C910">
        <v>118212.99082256292</v>
      </c>
      <c r="D910">
        <v>38786.838811389061</v>
      </c>
      <c r="E910">
        <v>207940.26145886609</v>
      </c>
      <c r="F910">
        <v>50395.864254844571</v>
      </c>
      <c r="G910">
        <v>10000</v>
      </c>
      <c r="H910">
        <v>405335.95534766262</v>
      </c>
      <c r="I910">
        <v>32.975994801924685</v>
      </c>
    </row>
    <row r="911" spans="1:9" x14ac:dyDescent="0.2">
      <c r="A911">
        <v>901</v>
      </c>
      <c r="B911">
        <v>1314228.9712240384</v>
      </c>
      <c r="C911">
        <v>91000.613256425888</v>
      </c>
      <c r="D911">
        <v>84542.093261213595</v>
      </c>
      <c r="E911">
        <v>150173.70301615933</v>
      </c>
      <c r="F911">
        <v>46396.640978041796</v>
      </c>
      <c r="G911">
        <v>10000</v>
      </c>
      <c r="H911">
        <v>362113.05051184061</v>
      </c>
      <c r="I911">
        <v>50.730409770686187</v>
      </c>
    </row>
    <row r="912" spans="1:9" x14ac:dyDescent="0.2">
      <c r="A912">
        <v>902</v>
      </c>
      <c r="B912">
        <v>1205708.5075518251</v>
      </c>
      <c r="C912">
        <v>109372.13589557966</v>
      </c>
      <c r="D912">
        <v>75653.014713537705</v>
      </c>
      <c r="E912">
        <v>113489.48120785967</v>
      </c>
      <c r="F912">
        <v>43856.964083621053</v>
      </c>
      <c r="G912">
        <v>10000</v>
      </c>
      <c r="H912">
        <v>332371.5959005981</v>
      </c>
      <c r="I912">
        <v>41.232474344988262</v>
      </c>
    </row>
    <row r="913" spans="1:9" x14ac:dyDescent="0.2">
      <c r="A913">
        <v>903</v>
      </c>
      <c r="B913">
        <v>1516822.2245233089</v>
      </c>
      <c r="C913">
        <v>126549.77325533907</v>
      </c>
      <c r="D913">
        <v>43701.708808119889</v>
      </c>
      <c r="E913">
        <v>207050.62902714292</v>
      </c>
      <c r="F913">
        <v>50334.274317263742</v>
      </c>
      <c r="G913">
        <v>10000</v>
      </c>
      <c r="H913">
        <v>417636.38540786563</v>
      </c>
      <c r="I913">
        <v>32.535262622754516</v>
      </c>
    </row>
    <row r="914" spans="1:9" x14ac:dyDescent="0.2">
      <c r="A914">
        <v>904</v>
      </c>
      <c r="B914">
        <v>1586295.4691837295</v>
      </c>
      <c r="C914">
        <v>160944.78799110549</v>
      </c>
      <c r="D914">
        <v>158017.05590089184</v>
      </c>
      <c r="E914">
        <v>85776.23924137553</v>
      </c>
      <c r="F914">
        <v>41938.355024402917</v>
      </c>
      <c r="G914">
        <v>10000</v>
      </c>
      <c r="H914">
        <v>436676.43815777579</v>
      </c>
      <c r="I914">
        <v>46.722954126456145</v>
      </c>
    </row>
    <row r="915" spans="1:9" x14ac:dyDescent="0.2">
      <c r="A915">
        <v>905</v>
      </c>
      <c r="B915">
        <v>1616147.5584515473</v>
      </c>
      <c r="C915">
        <v>123720.58149434542</v>
      </c>
      <c r="D915">
        <v>92463.444020722862</v>
      </c>
      <c r="E915">
        <v>189551.00674269701</v>
      </c>
      <c r="F915">
        <v>49122.762005263641</v>
      </c>
      <c r="G915">
        <v>10000</v>
      </c>
      <c r="H915">
        <v>444857.79426302895</v>
      </c>
      <c r="I915">
        <v>39.481255892472959</v>
      </c>
    </row>
    <row r="916" spans="1:9" x14ac:dyDescent="0.2">
      <c r="A916">
        <v>906</v>
      </c>
      <c r="B916">
        <v>1460053.8158636992</v>
      </c>
      <c r="C916">
        <v>159226.77632929938</v>
      </c>
      <c r="D916">
        <v>81175.828182141966</v>
      </c>
      <c r="E916">
        <v>126890.90024464524</v>
      </c>
      <c r="F916">
        <v>44784.754632321594</v>
      </c>
      <c r="G916">
        <v>10000</v>
      </c>
      <c r="H916">
        <v>402078.25938840816</v>
      </c>
      <c r="I916">
        <v>46.090269777141181</v>
      </c>
    </row>
    <row r="917" spans="1:9" x14ac:dyDescent="0.2">
      <c r="A917">
        <v>907</v>
      </c>
      <c r="B917">
        <v>928868.13980587083</v>
      </c>
      <c r="C917">
        <v>101713.5379440322</v>
      </c>
      <c r="D917">
        <v>68372.918799113104</v>
      </c>
      <c r="E917">
        <v>56501.750324406632</v>
      </c>
      <c r="F917">
        <v>39911.659637843535</v>
      </c>
      <c r="G917">
        <v>10000</v>
      </c>
      <c r="H917">
        <v>256499.86670539546</v>
      </c>
      <c r="I917">
        <v>47.050446300020695</v>
      </c>
    </row>
    <row r="918" spans="1:9" x14ac:dyDescent="0.2">
      <c r="A918">
        <v>908</v>
      </c>
      <c r="B918">
        <v>1673103.7294444926</v>
      </c>
      <c r="C918">
        <v>134805.45288129078</v>
      </c>
      <c r="D918">
        <v>139345.37731492118</v>
      </c>
      <c r="E918">
        <v>149936.34061673659</v>
      </c>
      <c r="F918">
        <v>46380.208196543303</v>
      </c>
      <c r="G918">
        <v>10000</v>
      </c>
      <c r="H918">
        <v>460467.37900949176</v>
      </c>
      <c r="I918">
        <v>44.373121235601374</v>
      </c>
    </row>
    <row r="919" spans="1:9" x14ac:dyDescent="0.2">
      <c r="A919">
        <v>909</v>
      </c>
      <c r="B919">
        <v>1096807.0071576445</v>
      </c>
      <c r="C919">
        <v>127859.53721005344</v>
      </c>
      <c r="D919">
        <v>65061.007687109952</v>
      </c>
      <c r="E919">
        <v>78191.884009633519</v>
      </c>
      <c r="F919">
        <v>41413.284277590014</v>
      </c>
      <c r="G919">
        <v>10000</v>
      </c>
      <c r="H919">
        <v>302525.7131843869</v>
      </c>
      <c r="I919">
        <v>41.658736199528946</v>
      </c>
    </row>
    <row r="920" spans="1:9" x14ac:dyDescent="0.2">
      <c r="A920">
        <v>910</v>
      </c>
      <c r="B920">
        <v>1161922.3266959623</v>
      </c>
      <c r="C920">
        <v>109432.79886365499</v>
      </c>
      <c r="D920">
        <v>72470.552271595763</v>
      </c>
      <c r="E920">
        <v>105185.96318967448</v>
      </c>
      <c r="F920">
        <v>43282.105143900539</v>
      </c>
      <c r="G920">
        <v>10000</v>
      </c>
      <c r="H920">
        <v>320371.4194688258</v>
      </c>
      <c r="I920">
        <v>32.359879632382913</v>
      </c>
    </row>
    <row r="921" spans="1:9" x14ac:dyDescent="0.2">
      <c r="A921">
        <v>911</v>
      </c>
      <c r="B921">
        <v>1829304.2726421505</v>
      </c>
      <c r="C921">
        <v>137626.69058202617</v>
      </c>
      <c r="D921">
        <v>142891.09049876875</v>
      </c>
      <c r="E921">
        <v>184018.65020308172</v>
      </c>
      <c r="F921">
        <v>48739.752706367188</v>
      </c>
      <c r="G921">
        <v>10000</v>
      </c>
      <c r="H921">
        <v>503276.18399024382</v>
      </c>
      <c r="I921">
        <v>34.717983133057004</v>
      </c>
    </row>
    <row r="922" spans="1:9" x14ac:dyDescent="0.2">
      <c r="A922">
        <v>912</v>
      </c>
      <c r="B922">
        <v>1179541.7484268229</v>
      </c>
      <c r="C922">
        <v>128214.57269689091</v>
      </c>
      <c r="D922">
        <v>90324.108075513868</v>
      </c>
      <c r="E922">
        <v>75438.880310043591</v>
      </c>
      <c r="F922">
        <v>41222.691713772248</v>
      </c>
      <c r="G922">
        <v>10000</v>
      </c>
      <c r="H922">
        <v>325200.25279622059</v>
      </c>
      <c r="I922">
        <v>46.074967861903957</v>
      </c>
    </row>
    <row r="923" spans="1:9" x14ac:dyDescent="0.2">
      <c r="A923">
        <v>913</v>
      </c>
      <c r="B923">
        <v>1904192.422455905</v>
      </c>
      <c r="C923">
        <v>131062.71888440287</v>
      </c>
      <c r="D923">
        <v>170223.54506065813</v>
      </c>
      <c r="E923">
        <v>183790.0705244354</v>
      </c>
      <c r="F923">
        <v>48723.927959383982</v>
      </c>
      <c r="G923">
        <v>10000</v>
      </c>
      <c r="H923">
        <v>523800.26242888032</v>
      </c>
      <c r="I923">
        <v>30.310322292940484</v>
      </c>
    </row>
    <row r="924" spans="1:9" x14ac:dyDescent="0.2">
      <c r="A924">
        <v>914</v>
      </c>
      <c r="B924">
        <v>1624046.6876221609</v>
      </c>
      <c r="C924">
        <v>124597.80802210546</v>
      </c>
      <c r="D924">
        <v>96364.016075323234</v>
      </c>
      <c r="E924">
        <v>187107.25106777559</v>
      </c>
      <c r="F924">
        <v>48953.578920076769</v>
      </c>
      <c r="G924">
        <v>10000</v>
      </c>
      <c r="H924">
        <v>447022.65408528107</v>
      </c>
      <c r="I924">
        <v>41.682797550864038</v>
      </c>
    </row>
    <row r="925" spans="1:9" x14ac:dyDescent="0.2">
      <c r="A925">
        <v>915</v>
      </c>
      <c r="B925">
        <v>1584665.2713987366</v>
      </c>
      <c r="C925">
        <v>98803.80119710484</v>
      </c>
      <c r="D925">
        <v>102962.25294359094</v>
      </c>
      <c r="E925">
        <v>194965.96334356352</v>
      </c>
      <c r="F925">
        <v>49497.643616092857</v>
      </c>
      <c r="G925">
        <v>10000</v>
      </c>
      <c r="H925">
        <v>436229.66110035218</v>
      </c>
      <c r="I925">
        <v>26.079185318615377</v>
      </c>
    </row>
    <row r="926" spans="1:9" x14ac:dyDescent="0.2">
      <c r="A926">
        <v>916</v>
      </c>
      <c r="B926">
        <v>1787957.1208040821</v>
      </c>
      <c r="C926">
        <v>111662.83142829388</v>
      </c>
      <c r="D926">
        <v>133201.37058673895</v>
      </c>
      <c r="E926">
        <v>206765.70461433992</v>
      </c>
      <c r="F926">
        <v>50314.548780992758</v>
      </c>
      <c r="G926">
        <v>10000</v>
      </c>
      <c r="H926">
        <v>491944.45541036548</v>
      </c>
      <c r="I926">
        <v>33.584795217892307</v>
      </c>
    </row>
    <row r="927" spans="1:9" x14ac:dyDescent="0.2">
      <c r="A927">
        <v>917</v>
      </c>
      <c r="B927">
        <v>1565640.802290496</v>
      </c>
      <c r="C927">
        <v>129499.86238977288</v>
      </c>
      <c r="D927">
        <v>91248.344506213863</v>
      </c>
      <c r="E927">
        <v>172336.55684135616</v>
      </c>
      <c r="F927">
        <v>47930.992396709269</v>
      </c>
      <c r="G927">
        <v>10000</v>
      </c>
      <c r="H927">
        <v>431015.75613405218</v>
      </c>
      <c r="I927">
        <v>34.913112830214743</v>
      </c>
    </row>
    <row r="928" spans="1:9" x14ac:dyDescent="0.2">
      <c r="A928">
        <v>918</v>
      </c>
      <c r="B928">
        <v>1036306.0849115129</v>
      </c>
      <c r="C928">
        <v>110118.30366152701</v>
      </c>
      <c r="D928">
        <v>70553.202315471382</v>
      </c>
      <c r="E928">
        <v>74140.343906553215</v>
      </c>
      <c r="F928">
        <v>41132.793039684446</v>
      </c>
      <c r="G928">
        <v>10000</v>
      </c>
      <c r="H928">
        <v>285944.64292323601</v>
      </c>
      <c r="I928">
        <v>27.355117529734244</v>
      </c>
    </row>
    <row r="929" spans="1:9" x14ac:dyDescent="0.2">
      <c r="A929">
        <v>919</v>
      </c>
      <c r="B929">
        <v>1471199.9136199127</v>
      </c>
      <c r="C929">
        <v>90331.834144266541</v>
      </c>
      <c r="D929">
        <v>154148.09544290046</v>
      </c>
      <c r="E929">
        <v>125934.52019179937</v>
      </c>
      <c r="F929">
        <v>44718.543705586111</v>
      </c>
      <c r="G929">
        <v>10000</v>
      </c>
      <c r="H929">
        <v>405132.99348455248</v>
      </c>
      <c r="I929">
        <v>53.989619191525236</v>
      </c>
    </row>
    <row r="930" spans="1:9" x14ac:dyDescent="0.2">
      <c r="A930">
        <v>920</v>
      </c>
      <c r="B930">
        <v>1491412.8579501479</v>
      </c>
      <c r="C930">
        <v>149935.70015870419</v>
      </c>
      <c r="D930">
        <v>62095.522253477822</v>
      </c>
      <c r="E930">
        <v>161463.17353516805</v>
      </c>
      <c r="F930">
        <v>47178.219706280863</v>
      </c>
      <c r="G930">
        <v>10000</v>
      </c>
      <c r="H930">
        <v>410672.61565363093</v>
      </c>
      <c r="I930">
        <v>40.824605953613009</v>
      </c>
    </row>
    <row r="931" spans="1:9" x14ac:dyDescent="0.2">
      <c r="A931">
        <v>921</v>
      </c>
      <c r="B931">
        <v>1159949.9847915084</v>
      </c>
      <c r="C931">
        <v>143767.33517389826</v>
      </c>
      <c r="D931">
        <v>69293.612420914826</v>
      </c>
      <c r="E931">
        <v>75540.218316866216</v>
      </c>
      <c r="F931">
        <v>41229.707421936888</v>
      </c>
      <c r="G931">
        <v>10000</v>
      </c>
      <c r="H931">
        <v>319830.87333361618</v>
      </c>
      <c r="I931">
        <v>34.718777461408763</v>
      </c>
    </row>
    <row r="932" spans="1:9" x14ac:dyDescent="0.2">
      <c r="A932">
        <v>922</v>
      </c>
      <c r="B932">
        <v>1383228.6254476204</v>
      </c>
      <c r="C932">
        <v>78344.965780794897</v>
      </c>
      <c r="D932">
        <v>128189.16883113865</v>
      </c>
      <c r="E932">
        <v>138874.76797335918</v>
      </c>
      <c r="F932">
        <v>45614.407013540251</v>
      </c>
      <c r="G932">
        <v>10000</v>
      </c>
      <c r="H932">
        <v>381023.30959883297</v>
      </c>
      <c r="I932">
        <v>45.938235356532452</v>
      </c>
    </row>
    <row r="933" spans="1:9" x14ac:dyDescent="0.2">
      <c r="A933">
        <v>923</v>
      </c>
      <c r="B933">
        <v>1064862.1552917815</v>
      </c>
      <c r="C933">
        <v>87600.16255513241</v>
      </c>
      <c r="D933">
        <v>64752.561838019588</v>
      </c>
      <c r="E933">
        <v>107944.97035032162</v>
      </c>
      <c r="F933">
        <v>43473.113331945344</v>
      </c>
      <c r="G933">
        <v>10000</v>
      </c>
      <c r="H933">
        <v>293770.80807541893</v>
      </c>
      <c r="I933">
        <v>39.91098417071845</v>
      </c>
    </row>
    <row r="934" spans="1:9" x14ac:dyDescent="0.2">
      <c r="A934">
        <v>924</v>
      </c>
      <c r="B934">
        <v>1431022.8051889595</v>
      </c>
      <c r="C934">
        <v>126278.62051466039</v>
      </c>
      <c r="D934">
        <v>42500.37219582808</v>
      </c>
      <c r="E934">
        <v>186435.84121701319</v>
      </c>
      <c r="F934">
        <v>48907.096699639376</v>
      </c>
      <c r="G934">
        <v>10000</v>
      </c>
      <c r="H934">
        <v>394121.93062714109</v>
      </c>
      <c r="I934">
        <v>38.914374522686686</v>
      </c>
    </row>
    <row r="935" spans="1:9" x14ac:dyDescent="0.2">
      <c r="A935">
        <v>925</v>
      </c>
      <c r="B935">
        <v>1279300.2865623781</v>
      </c>
      <c r="C935">
        <v>91807.8211737401</v>
      </c>
      <c r="D935">
        <v>108664.27647677209</v>
      </c>
      <c r="E935">
        <v>117905.59429865115</v>
      </c>
      <c r="F935">
        <v>44162.694989906617</v>
      </c>
      <c r="G935">
        <v>10000</v>
      </c>
      <c r="H935">
        <v>352540.38693906995</v>
      </c>
      <c r="I935">
        <v>31.20371513521112</v>
      </c>
    </row>
    <row r="936" spans="1:9" x14ac:dyDescent="0.2">
      <c r="A936">
        <v>926</v>
      </c>
      <c r="B936">
        <v>1269150.5847436278</v>
      </c>
      <c r="C936">
        <v>82124.714586710557</v>
      </c>
      <c r="D936">
        <v>100816.04553576195</v>
      </c>
      <c r="E936">
        <v>131700.25791580058</v>
      </c>
      <c r="F936">
        <v>45117.710163401578</v>
      </c>
      <c r="G936">
        <v>10000</v>
      </c>
      <c r="H936">
        <v>349758.72820167465</v>
      </c>
      <c r="I936">
        <v>34.613195297835745</v>
      </c>
    </row>
    <row r="937" spans="1:9" x14ac:dyDescent="0.2">
      <c r="A937">
        <v>927</v>
      </c>
      <c r="B937">
        <v>1680738.2648983109</v>
      </c>
      <c r="C937">
        <v>137657.50791912826</v>
      </c>
      <c r="D937">
        <v>81115.329902245314</v>
      </c>
      <c r="E937">
        <v>203685.57649437251</v>
      </c>
      <c r="F937">
        <v>50101.309141918093</v>
      </c>
      <c r="G937">
        <v>10000</v>
      </c>
      <c r="H937">
        <v>462559.72345766413</v>
      </c>
      <c r="I937">
        <v>48.023613497704886</v>
      </c>
    </row>
    <row r="938" spans="1:9" x14ac:dyDescent="0.2">
      <c r="A938">
        <v>928</v>
      </c>
      <c r="B938">
        <v>1419724.7226579494</v>
      </c>
      <c r="C938">
        <v>134171.94439214334</v>
      </c>
      <c r="D938">
        <v>94444.997882645228</v>
      </c>
      <c r="E938">
        <v>127576.38927274517</v>
      </c>
      <c r="F938">
        <v>44832.211565036203</v>
      </c>
      <c r="G938">
        <v>10000</v>
      </c>
      <c r="H938">
        <v>391025.54311256995</v>
      </c>
      <c r="I938">
        <v>28.064339235882386</v>
      </c>
    </row>
    <row r="939" spans="1:9" x14ac:dyDescent="0.2">
      <c r="A939">
        <v>929</v>
      </c>
      <c r="B939">
        <v>850393.79674133973</v>
      </c>
      <c r="C939">
        <v>115343.75849970653</v>
      </c>
      <c r="D939">
        <v>51763.857743153152</v>
      </c>
      <c r="E939">
        <v>39173.329081283198</v>
      </c>
      <c r="F939">
        <v>38711.999705627291</v>
      </c>
      <c r="G939">
        <v>10000</v>
      </c>
      <c r="H939">
        <v>234992.94502977017</v>
      </c>
      <c r="I939">
        <v>32.57604183234514</v>
      </c>
    </row>
    <row r="940" spans="1:9" x14ac:dyDescent="0.2">
      <c r="A940">
        <v>930</v>
      </c>
      <c r="B940">
        <v>1571461.1441300213</v>
      </c>
      <c r="C940">
        <v>126054.76011462664</v>
      </c>
      <c r="D940">
        <v>134218.15897952966</v>
      </c>
      <c r="E940">
        <v>136862.85708808032</v>
      </c>
      <c r="F940">
        <v>45475.120875328634</v>
      </c>
      <c r="G940">
        <v>10000</v>
      </c>
      <c r="H940">
        <v>432610.89705756528</v>
      </c>
      <c r="I940">
        <v>36.201781292885116</v>
      </c>
    </row>
    <row r="941" spans="1:9" x14ac:dyDescent="0.2">
      <c r="A941">
        <v>931</v>
      </c>
      <c r="B941">
        <v>1260265.2943620521</v>
      </c>
      <c r="C941">
        <v>112192.19905024937</v>
      </c>
      <c r="D941">
        <v>75101.069423373061</v>
      </c>
      <c r="E941">
        <v>125352.1067340227</v>
      </c>
      <c r="F941">
        <v>44678.222773893875</v>
      </c>
      <c r="G941">
        <v>10000</v>
      </c>
      <c r="H941">
        <v>347323.59798153897</v>
      </c>
      <c r="I941">
        <v>46.422535219083841</v>
      </c>
    </row>
    <row r="942" spans="1:9" x14ac:dyDescent="0.2">
      <c r="A942">
        <v>932</v>
      </c>
      <c r="B942">
        <v>1573311.2090279562</v>
      </c>
      <c r="C942">
        <v>153536.15402660004</v>
      </c>
      <c r="D942">
        <v>107132.12122375262</v>
      </c>
      <c r="E942">
        <v>136967.30447852914</v>
      </c>
      <c r="F942">
        <v>45482.351848513557</v>
      </c>
      <c r="G942">
        <v>10000</v>
      </c>
      <c r="H942">
        <v>433117.93157739541</v>
      </c>
      <c r="I942">
        <v>34.223392377284057</v>
      </c>
    </row>
    <row r="943" spans="1:9" x14ac:dyDescent="0.2">
      <c r="A943">
        <v>933</v>
      </c>
      <c r="B943">
        <v>1345510.4616345491</v>
      </c>
      <c r="C943">
        <v>78977.023710738576</v>
      </c>
      <c r="D943">
        <v>68513.745479853853</v>
      </c>
      <c r="E943">
        <v>184427.3371179495</v>
      </c>
      <c r="F943">
        <v>48768.046415858036</v>
      </c>
      <c r="G943">
        <v>10000</v>
      </c>
      <c r="H943">
        <v>370686.15272439999</v>
      </c>
      <c r="I943">
        <v>37.219011160029687</v>
      </c>
    </row>
    <row r="944" spans="1:9" x14ac:dyDescent="0.2">
      <c r="A944">
        <v>934</v>
      </c>
      <c r="B944">
        <v>1214543.5388780423</v>
      </c>
      <c r="C944">
        <v>102850.94941398561</v>
      </c>
      <c r="D944">
        <v>120085.98273985471</v>
      </c>
      <c r="E944">
        <v>80296.996948732587</v>
      </c>
      <c r="F944">
        <v>41559.022865681487</v>
      </c>
      <c r="G944">
        <v>10000</v>
      </c>
      <c r="H944">
        <v>334792.95196825441</v>
      </c>
      <c r="I944">
        <v>33.074179949113315</v>
      </c>
    </row>
    <row r="945" spans="1:9" x14ac:dyDescent="0.2">
      <c r="A945">
        <v>935</v>
      </c>
      <c r="B945">
        <v>895537.87526132376</v>
      </c>
      <c r="C945">
        <v>96578.291192272241</v>
      </c>
      <c r="D945">
        <v>47562.74140519787</v>
      </c>
      <c r="E945">
        <v>72224.107955654632</v>
      </c>
      <c r="F945">
        <v>41000.130550776092</v>
      </c>
      <c r="G945">
        <v>10000</v>
      </c>
      <c r="H945">
        <v>247365.2711039008</v>
      </c>
      <c r="I945">
        <v>37.25944564133637</v>
      </c>
    </row>
    <row r="946" spans="1:9" x14ac:dyDescent="0.2">
      <c r="A946">
        <v>936</v>
      </c>
      <c r="B946">
        <v>1237079.2366459165</v>
      </c>
      <c r="C946">
        <v>113357.95799192406</v>
      </c>
      <c r="D946">
        <v>68798.240829984788</v>
      </c>
      <c r="E946">
        <v>124213.55627185786</v>
      </c>
      <c r="F946">
        <v>44599.400049590164</v>
      </c>
      <c r="G946">
        <v>10000</v>
      </c>
      <c r="H946">
        <v>340969.15514335688</v>
      </c>
      <c r="I946">
        <v>32.264744949655395</v>
      </c>
    </row>
    <row r="947" spans="1:9" x14ac:dyDescent="0.2">
      <c r="A947">
        <v>937</v>
      </c>
      <c r="B947">
        <v>1208708.5710890372</v>
      </c>
      <c r="C947">
        <v>90174.941746477285</v>
      </c>
      <c r="D947">
        <v>89619.472868025754</v>
      </c>
      <c r="E947">
        <v>119150.5067599654</v>
      </c>
      <c r="F947">
        <v>44248.881237228372</v>
      </c>
      <c r="G947">
        <v>10000</v>
      </c>
      <c r="H947">
        <v>333193.80261169677</v>
      </c>
      <c r="I947">
        <v>35.535503771080371</v>
      </c>
    </row>
    <row r="948" spans="1:9" x14ac:dyDescent="0.2">
      <c r="A948">
        <v>938</v>
      </c>
      <c r="B948">
        <v>788613.6228564406</v>
      </c>
      <c r="C948">
        <v>129356.02406106556</v>
      </c>
      <c r="D948">
        <v>28392.375772642157</v>
      </c>
      <c r="E948">
        <v>32091.182047346672</v>
      </c>
      <c r="F948">
        <v>38221.697218662463</v>
      </c>
      <c r="G948">
        <v>10000</v>
      </c>
      <c r="H948">
        <v>218061.27909971686</v>
      </c>
      <c r="I948">
        <v>35.160977959495348</v>
      </c>
    </row>
    <row r="949" spans="1:9" x14ac:dyDescent="0.2">
      <c r="A949">
        <v>939</v>
      </c>
      <c r="B949">
        <v>1349134.0723679871</v>
      </c>
      <c r="C949">
        <v>92726.981965808096</v>
      </c>
      <c r="D949">
        <v>122422.90100056</v>
      </c>
      <c r="E949">
        <v>122077.82594976459</v>
      </c>
      <c r="F949">
        <v>44451.541796522157</v>
      </c>
      <c r="G949">
        <v>10000</v>
      </c>
      <c r="H949">
        <v>371679.25071265484</v>
      </c>
      <c r="I949">
        <v>31.518553751597924</v>
      </c>
    </row>
    <row r="950" spans="1:9" x14ac:dyDescent="0.2">
      <c r="A950">
        <v>940</v>
      </c>
      <c r="B950">
        <v>1375577.1371507789</v>
      </c>
      <c r="C950">
        <v>96222.028231790391</v>
      </c>
      <c r="D950">
        <v>44480.805971549598</v>
      </c>
      <c r="E950">
        <v>198482.39585482405</v>
      </c>
      <c r="F950">
        <v>49741.088943795512</v>
      </c>
      <c r="G950">
        <v>10000</v>
      </c>
      <c r="H950">
        <v>378926.31900195958</v>
      </c>
      <c r="I950">
        <v>37.491784785689795</v>
      </c>
    </row>
    <row r="951" spans="1:9" x14ac:dyDescent="0.2">
      <c r="A951">
        <v>941</v>
      </c>
      <c r="B951">
        <v>1642692.643168306</v>
      </c>
      <c r="C951">
        <v>124563.67063056323</v>
      </c>
      <c r="D951">
        <v>80057.805052075651</v>
      </c>
      <c r="E951">
        <v>207168.88546739882</v>
      </c>
      <c r="F951">
        <v>50342.461301589152</v>
      </c>
      <c r="G951">
        <v>10000</v>
      </c>
      <c r="H951">
        <v>452132.82245162688</v>
      </c>
      <c r="I951">
        <v>25.953633276154584</v>
      </c>
    </row>
    <row r="952" spans="1:9" x14ac:dyDescent="0.2">
      <c r="A952">
        <v>942</v>
      </c>
      <c r="B952">
        <v>1337529.9128046152</v>
      </c>
      <c r="C952">
        <v>102583.9893838461</v>
      </c>
      <c r="D952">
        <v>92645.710430250125</v>
      </c>
      <c r="E952">
        <v>137733.85802376762</v>
      </c>
      <c r="F952">
        <v>45535.420940106989</v>
      </c>
      <c r="G952">
        <v>10000</v>
      </c>
      <c r="H952">
        <v>368498.97877797077</v>
      </c>
      <c r="I952">
        <v>33.851258400354808</v>
      </c>
    </row>
    <row r="953" spans="1:9" x14ac:dyDescent="0.2">
      <c r="A953">
        <v>943</v>
      </c>
      <c r="B953">
        <v>1034466.9369469208</v>
      </c>
      <c r="C953">
        <v>127668.11292597084</v>
      </c>
      <c r="D953">
        <v>97911.463906352772</v>
      </c>
      <c r="E953">
        <v>31668.583129186842</v>
      </c>
      <c r="F953">
        <v>38192.440370482167</v>
      </c>
      <c r="G953">
        <v>10000</v>
      </c>
      <c r="H953">
        <v>285440.60033199267</v>
      </c>
      <c r="I953">
        <v>33.493454008224674</v>
      </c>
    </row>
    <row r="954" spans="1:9" x14ac:dyDescent="0.2">
      <c r="A954">
        <v>944</v>
      </c>
      <c r="B954">
        <v>1382391.6334303448</v>
      </c>
      <c r="C954">
        <v>101854.38904040631</v>
      </c>
      <c r="D954">
        <v>119158.85331587185</v>
      </c>
      <c r="E954">
        <v>125118.62028854422</v>
      </c>
      <c r="F954">
        <v>44662.058327668448</v>
      </c>
      <c r="G954">
        <v>10000</v>
      </c>
      <c r="H954">
        <v>380793.92097249086</v>
      </c>
      <c r="I954">
        <v>30.81708669820673</v>
      </c>
    </row>
    <row r="955" spans="1:9" x14ac:dyDescent="0.2">
      <c r="A955">
        <v>945</v>
      </c>
      <c r="B955">
        <v>1496363.2203571794</v>
      </c>
      <c r="C955">
        <v>106348.55702855271</v>
      </c>
      <c r="D955">
        <v>78410.121195052445</v>
      </c>
      <c r="E955">
        <v>188238.73656268165</v>
      </c>
      <c r="F955">
        <v>49031.912531262577</v>
      </c>
      <c r="G955">
        <v>10000</v>
      </c>
      <c r="H955">
        <v>412029.32731754932</v>
      </c>
      <c r="I955">
        <v>30.509487004199173</v>
      </c>
    </row>
    <row r="956" spans="1:9" x14ac:dyDescent="0.2">
      <c r="A956">
        <v>946</v>
      </c>
      <c r="B956">
        <v>1231169.127822832</v>
      </c>
      <c r="C956">
        <v>139676.99380371178</v>
      </c>
      <c r="D956">
        <v>72644.47000786745</v>
      </c>
      <c r="E956">
        <v>94486.570624242057</v>
      </c>
      <c r="F956">
        <v>42541.377966293679</v>
      </c>
      <c r="G956">
        <v>10000</v>
      </c>
      <c r="H956">
        <v>339349.41240211495</v>
      </c>
      <c r="I956">
        <v>29.662793086302926</v>
      </c>
    </row>
    <row r="957" spans="1:9" x14ac:dyDescent="0.2">
      <c r="A957">
        <v>947</v>
      </c>
      <c r="B957">
        <v>1793464.7187839313</v>
      </c>
      <c r="C957">
        <v>86284.023175688722</v>
      </c>
      <c r="D957">
        <v>164316.13707027878</v>
      </c>
      <c r="E957">
        <v>202812.83589739175</v>
      </c>
      <c r="F957">
        <v>50040.888639050194</v>
      </c>
      <c r="G957">
        <v>10000</v>
      </c>
      <c r="H957">
        <v>493453.88478240941</v>
      </c>
      <c r="I957">
        <v>34.853180763143953</v>
      </c>
    </row>
    <row r="958" spans="1:9" x14ac:dyDescent="0.2">
      <c r="A958">
        <v>948</v>
      </c>
      <c r="B958">
        <v>1052803.2497967284</v>
      </c>
      <c r="C958">
        <v>120317.28311087059</v>
      </c>
      <c r="D958">
        <v>91337.118353922197</v>
      </c>
      <c r="E958">
        <v>49392.055593860554</v>
      </c>
      <c r="F958">
        <v>39419.450002651887</v>
      </c>
      <c r="G958">
        <v>10000</v>
      </c>
      <c r="H958">
        <v>290465.90706130525</v>
      </c>
      <c r="I958">
        <v>48.040170905210132</v>
      </c>
    </row>
    <row r="959" spans="1:9" x14ac:dyDescent="0.2">
      <c r="A959">
        <v>949</v>
      </c>
      <c r="B959">
        <v>933926.10932504747</v>
      </c>
      <c r="C959">
        <v>114421.17124384573</v>
      </c>
      <c r="D959">
        <v>71326.393928881342</v>
      </c>
      <c r="E959">
        <v>43151.119162461953</v>
      </c>
      <c r="F959">
        <v>38987.385172785827</v>
      </c>
      <c r="G959">
        <v>10000</v>
      </c>
      <c r="H959">
        <v>257886.06950797484</v>
      </c>
      <c r="I959">
        <v>34.321656767655291</v>
      </c>
    </row>
    <row r="960" spans="1:9" x14ac:dyDescent="0.2">
      <c r="A960">
        <v>950</v>
      </c>
      <c r="B960">
        <v>1339575.466466777</v>
      </c>
      <c r="C960">
        <v>125779.660058195</v>
      </c>
      <c r="D960">
        <v>60414.267723208824</v>
      </c>
      <c r="E960">
        <v>146708.89230568253</v>
      </c>
      <c r="F960">
        <v>46156.769467316481</v>
      </c>
      <c r="G960">
        <v>10000</v>
      </c>
      <c r="H960">
        <v>369059.58955440286</v>
      </c>
      <c r="I960">
        <v>25.238474915782824</v>
      </c>
    </row>
    <row r="961" spans="1:9" x14ac:dyDescent="0.2">
      <c r="A961">
        <v>951</v>
      </c>
      <c r="B961">
        <v>1440242.7504201324</v>
      </c>
      <c r="C961">
        <v>81428.405637275631</v>
      </c>
      <c r="D961">
        <v>78490.877438375828</v>
      </c>
      <c r="E961">
        <v>197085.13856976351</v>
      </c>
      <c r="F961">
        <v>49644.355747137473</v>
      </c>
      <c r="G961">
        <v>10000</v>
      </c>
      <c r="H961">
        <v>396648.77739255241</v>
      </c>
      <c r="I961">
        <v>34.89519856543339</v>
      </c>
    </row>
    <row r="962" spans="1:9" x14ac:dyDescent="0.2">
      <c r="A962">
        <v>952</v>
      </c>
      <c r="B962">
        <v>1236119.9822402899</v>
      </c>
      <c r="C962">
        <v>108079.46157449899</v>
      </c>
      <c r="D962">
        <v>77593.245743273903</v>
      </c>
      <c r="E962">
        <v>120678.86119943284</v>
      </c>
      <c r="F962">
        <v>44354.690390729964</v>
      </c>
      <c r="G962">
        <v>10000</v>
      </c>
      <c r="H962">
        <v>340706.25890793576</v>
      </c>
      <c r="I962">
        <v>36.998604930867998</v>
      </c>
    </row>
    <row r="963" spans="1:9" x14ac:dyDescent="0.2">
      <c r="A963">
        <v>953</v>
      </c>
      <c r="B963">
        <v>1586754.5422155552</v>
      </c>
      <c r="C963">
        <v>102463.22267548049</v>
      </c>
      <c r="D963">
        <v>128349.36217518698</v>
      </c>
      <c r="E963">
        <v>168335.66098598481</v>
      </c>
      <c r="F963">
        <v>47654.007299029719</v>
      </c>
      <c r="G963">
        <v>10000</v>
      </c>
      <c r="H963">
        <v>436802.25313568197</v>
      </c>
      <c r="I963">
        <v>41.636705769823891</v>
      </c>
    </row>
    <row r="964" spans="1:9" x14ac:dyDescent="0.2">
      <c r="A964">
        <v>954</v>
      </c>
      <c r="B964">
        <v>1262550.9490703014</v>
      </c>
      <c r="C964">
        <v>93625.080055146638</v>
      </c>
      <c r="D964">
        <v>72553.073251167836</v>
      </c>
      <c r="E964">
        <v>145685.91062952482</v>
      </c>
      <c r="F964">
        <v>46085.947658967103</v>
      </c>
      <c r="G964">
        <v>10000</v>
      </c>
      <c r="H964">
        <v>347950.01159480645</v>
      </c>
      <c r="I964">
        <v>34.861034107692298</v>
      </c>
    </row>
    <row r="965" spans="1:9" x14ac:dyDescent="0.2">
      <c r="A965">
        <v>955</v>
      </c>
      <c r="B965">
        <v>1439991.5737912392</v>
      </c>
      <c r="C965">
        <v>140443.16740931396</v>
      </c>
      <c r="D965">
        <v>80364.937561318991</v>
      </c>
      <c r="E965">
        <v>140074.37728740575</v>
      </c>
      <c r="F965">
        <v>45697.456889128094</v>
      </c>
      <c r="G965">
        <v>10000</v>
      </c>
      <c r="H965">
        <v>396579.93914716679</v>
      </c>
      <c r="I965">
        <v>31.784580624025953</v>
      </c>
    </row>
    <row r="966" spans="1:9" x14ac:dyDescent="0.2">
      <c r="A966">
        <v>956</v>
      </c>
      <c r="B966">
        <v>1126027.4613938807</v>
      </c>
      <c r="C966">
        <v>122012.86360654361</v>
      </c>
      <c r="D966">
        <v>35588.2910354587</v>
      </c>
      <c r="E966">
        <v>118714.13584980906</v>
      </c>
      <c r="F966">
        <v>44218.67094344832</v>
      </c>
      <c r="G966">
        <v>10000</v>
      </c>
      <c r="H966">
        <v>310533.96143525967</v>
      </c>
      <c r="I966">
        <v>54.961919794569432</v>
      </c>
    </row>
    <row r="967" spans="1:9" x14ac:dyDescent="0.2">
      <c r="A967">
        <v>957</v>
      </c>
      <c r="B967">
        <v>1424684.6563690742</v>
      </c>
      <c r="C967">
        <v>124727.50205153151</v>
      </c>
      <c r="D967">
        <v>98526.760398155631</v>
      </c>
      <c r="E967">
        <v>133863.1655456727</v>
      </c>
      <c r="F967">
        <v>45267.449922392727</v>
      </c>
      <c r="G967">
        <v>10000</v>
      </c>
      <c r="H967">
        <v>392384.8779177526</v>
      </c>
      <c r="I967">
        <v>29.319583285105516</v>
      </c>
    </row>
    <row r="968" spans="1:9" x14ac:dyDescent="0.2">
      <c r="A968">
        <v>958</v>
      </c>
      <c r="B968">
        <v>1765956.1541996214</v>
      </c>
      <c r="C968">
        <v>149700.04015178414</v>
      </c>
      <c r="D968">
        <v>171210.55247027607</v>
      </c>
      <c r="E968">
        <v>130003.93712307974</v>
      </c>
      <c r="F968">
        <v>45000.272570059373</v>
      </c>
      <c r="G968">
        <v>10000</v>
      </c>
      <c r="H968">
        <v>485914.80231519928</v>
      </c>
      <c r="I968">
        <v>49.444116368388407</v>
      </c>
    </row>
    <row r="969" spans="1:9" x14ac:dyDescent="0.2">
      <c r="A969">
        <v>959</v>
      </c>
      <c r="B969">
        <v>1461301.4309943756</v>
      </c>
      <c r="C969">
        <v>116916.37867502005</v>
      </c>
      <c r="D969">
        <v>107975.20612829122</v>
      </c>
      <c r="E969">
        <v>141717.39554741239</v>
      </c>
      <c r="F969">
        <v>45811.204307128552</v>
      </c>
      <c r="G969">
        <v>10000</v>
      </c>
      <c r="H969">
        <v>402420.18465785222</v>
      </c>
      <c r="I969">
        <v>30.776396554595241</v>
      </c>
    </row>
    <row r="970" spans="1:9" x14ac:dyDescent="0.2">
      <c r="A970">
        <v>960</v>
      </c>
      <c r="B970">
        <v>1229214.2743989171</v>
      </c>
      <c r="C970">
        <v>113685.95740434814</v>
      </c>
      <c r="D970">
        <v>128058.34348541693</v>
      </c>
      <c r="E970">
        <v>66467.745195406067</v>
      </c>
      <c r="F970">
        <v>40601.61312891273</v>
      </c>
      <c r="G970">
        <v>10000</v>
      </c>
      <c r="H970">
        <v>338813.65921408392</v>
      </c>
      <c r="I970">
        <v>32.895640297897756</v>
      </c>
    </row>
    <row r="971" spans="1:9" x14ac:dyDescent="0.2">
      <c r="A971">
        <v>961</v>
      </c>
      <c r="B971">
        <v>1742752.1409577501</v>
      </c>
      <c r="C971">
        <v>136085.74545431961</v>
      </c>
      <c r="D971">
        <v>109363.49686984296</v>
      </c>
      <c r="E971">
        <v>194631.69429321485</v>
      </c>
      <c r="F971">
        <v>49474.501912607186</v>
      </c>
      <c r="G971">
        <v>10000</v>
      </c>
      <c r="H971">
        <v>479555.43852998462</v>
      </c>
      <c r="I971">
        <v>26.925358953378577</v>
      </c>
    </row>
    <row r="972" spans="1:9" x14ac:dyDescent="0.2">
      <c r="A972">
        <v>962</v>
      </c>
      <c r="B972">
        <v>1355434.5269195107</v>
      </c>
      <c r="C972">
        <v>129772.1699391694</v>
      </c>
      <c r="D972">
        <v>87014.721383648852</v>
      </c>
      <c r="E972">
        <v>122161.73089106174</v>
      </c>
      <c r="F972">
        <v>44457.350600150421</v>
      </c>
      <c r="G972">
        <v>10000</v>
      </c>
      <c r="H972">
        <v>373405.97281403036</v>
      </c>
      <c r="I972">
        <v>29.127511709046267</v>
      </c>
    </row>
    <row r="973" spans="1:9" x14ac:dyDescent="0.2">
      <c r="A973">
        <v>963</v>
      </c>
      <c r="B973">
        <v>1430978.2214821326</v>
      </c>
      <c r="C973">
        <v>131622.07805736383</v>
      </c>
      <c r="D973">
        <v>107394.70383745244</v>
      </c>
      <c r="E973">
        <v>120734.39494855376</v>
      </c>
      <c r="F973">
        <v>44358.535034899869</v>
      </c>
      <c r="G973">
        <v>10000</v>
      </c>
      <c r="H973">
        <v>394109.71187826991</v>
      </c>
      <c r="I973">
        <v>37.694829120504508</v>
      </c>
    </row>
    <row r="974" spans="1:9" x14ac:dyDescent="0.2">
      <c r="A974">
        <v>964</v>
      </c>
      <c r="B974">
        <v>1213514.5991971458</v>
      </c>
      <c r="C974">
        <v>106759.67447471239</v>
      </c>
      <c r="D974">
        <v>106731.88289817936</v>
      </c>
      <c r="E974">
        <v>88867.064932844165</v>
      </c>
      <c r="F974">
        <v>42152.335264581518</v>
      </c>
      <c r="G974">
        <v>10000</v>
      </c>
      <c r="H974">
        <v>334510.95757031743</v>
      </c>
      <c r="I974">
        <v>52.20709605211546</v>
      </c>
    </row>
    <row r="975" spans="1:9" x14ac:dyDescent="0.2">
      <c r="A975">
        <v>965</v>
      </c>
      <c r="B975">
        <v>1873910.6803913703</v>
      </c>
      <c r="C975">
        <v>117092.94173298127</v>
      </c>
      <c r="D975">
        <v>159543.93826856863</v>
      </c>
      <c r="E975">
        <v>199081.69543056353</v>
      </c>
      <c r="F975">
        <v>49782.578914423633</v>
      </c>
      <c r="G975">
        <v>10000</v>
      </c>
      <c r="H975">
        <v>515501.15434653708</v>
      </c>
      <c r="I975">
        <v>38.393918190362022</v>
      </c>
    </row>
    <row r="976" spans="1:9" x14ac:dyDescent="0.2">
      <c r="A976">
        <v>966</v>
      </c>
      <c r="B976">
        <v>912708.09775474947</v>
      </c>
      <c r="C976">
        <v>95567.994319176112</v>
      </c>
      <c r="D976">
        <v>51336.231350334267</v>
      </c>
      <c r="E976">
        <v>74040.863866577929</v>
      </c>
      <c r="F976">
        <v>41125.905959993856</v>
      </c>
      <c r="G976">
        <v>10000</v>
      </c>
      <c r="H976">
        <v>252070.99549608215</v>
      </c>
      <c r="I976">
        <v>44.758994367410615</v>
      </c>
    </row>
    <row r="977" spans="1:9" x14ac:dyDescent="0.2">
      <c r="A977">
        <v>967</v>
      </c>
      <c r="B977">
        <v>949834.27704584505</v>
      </c>
      <c r="C977">
        <v>75982.672842298212</v>
      </c>
      <c r="D977">
        <v>61333.312898088305</v>
      </c>
      <c r="E977">
        <v>92524.390771575141</v>
      </c>
      <c r="F977">
        <v>42405.534745724428</v>
      </c>
      <c r="G977">
        <v>10000</v>
      </c>
      <c r="H977">
        <v>262245.91125768609</v>
      </c>
      <c r="I977">
        <v>50.43201863078319</v>
      </c>
    </row>
    <row r="978" spans="1:9" x14ac:dyDescent="0.2">
      <c r="A978">
        <v>968</v>
      </c>
      <c r="B978">
        <v>1630323.6852667762</v>
      </c>
      <c r="C978">
        <v>114394.82112998846</v>
      </c>
      <c r="D978">
        <v>107390.993309379</v>
      </c>
      <c r="E978">
        <v>187945.52014178887</v>
      </c>
      <c r="F978">
        <v>49011.612932893077</v>
      </c>
      <c r="G978">
        <v>10000</v>
      </c>
      <c r="H978">
        <v>448742.94751404942</v>
      </c>
      <c r="I978">
        <v>33.248864103655066</v>
      </c>
    </row>
    <row r="979" spans="1:9" x14ac:dyDescent="0.2">
      <c r="A979">
        <v>969</v>
      </c>
      <c r="B979">
        <v>1214695.9170314751</v>
      </c>
      <c r="C979">
        <v>95714.665001577654</v>
      </c>
      <c r="D979">
        <v>79687.202963642179</v>
      </c>
      <c r="E979">
        <v>124793.30849038744</v>
      </c>
      <c r="F979">
        <v>44639.536741642209</v>
      </c>
      <c r="G979">
        <v>10000</v>
      </c>
      <c r="H979">
        <v>334834.71319724951</v>
      </c>
      <c r="I979">
        <v>31.738489385401483</v>
      </c>
    </row>
    <row r="980" spans="1:9" x14ac:dyDescent="0.2">
      <c r="A980">
        <v>970</v>
      </c>
      <c r="B980">
        <v>1113746.7955617877</v>
      </c>
      <c r="C980">
        <v>101901.3546479939</v>
      </c>
      <c r="D980">
        <v>72622.059525495381</v>
      </c>
      <c r="E980">
        <v>99739.806402231741</v>
      </c>
      <c r="F980">
        <v>42905.063520154501</v>
      </c>
      <c r="G980">
        <v>10000</v>
      </c>
      <c r="H980">
        <v>307168.28409587551</v>
      </c>
      <c r="I980">
        <v>34.616065717875387</v>
      </c>
    </row>
    <row r="981" spans="1:9" x14ac:dyDescent="0.2">
      <c r="A981">
        <v>971</v>
      </c>
      <c r="B981">
        <v>1804016.6977107206</v>
      </c>
      <c r="C981">
        <v>131338.8989832201</v>
      </c>
      <c r="D981">
        <v>161426.44289038042</v>
      </c>
      <c r="E981">
        <v>166082.43614703085</v>
      </c>
      <c r="F981">
        <v>47498.014810179062</v>
      </c>
      <c r="G981">
        <v>10000</v>
      </c>
      <c r="H981">
        <v>496345.79283081042</v>
      </c>
      <c r="I981">
        <v>52.888339182946922</v>
      </c>
    </row>
    <row r="982" spans="1:9" x14ac:dyDescent="0.2">
      <c r="A982">
        <v>972</v>
      </c>
      <c r="B982">
        <v>1226483.3368069988</v>
      </c>
      <c r="C982">
        <v>112383.0227508266</v>
      </c>
      <c r="D982">
        <v>149261.01876863476</v>
      </c>
      <c r="E982">
        <v>47156.488501043343</v>
      </c>
      <c r="F982">
        <v>39264.679973149156</v>
      </c>
      <c r="G982">
        <v>10000</v>
      </c>
      <c r="H982">
        <v>338065.20999365387</v>
      </c>
      <c r="I982">
        <v>33.12474796627248</v>
      </c>
    </row>
    <row r="983" spans="1:9" x14ac:dyDescent="0.2">
      <c r="A983">
        <v>973</v>
      </c>
      <c r="B983">
        <v>1383501.2398978884</v>
      </c>
      <c r="C983">
        <v>100497.75646920716</v>
      </c>
      <c r="D983">
        <v>129385.17395339813</v>
      </c>
      <c r="E983">
        <v>117107.64068963726</v>
      </c>
      <c r="F983">
        <v>44107.452047744118</v>
      </c>
      <c r="G983">
        <v>10000</v>
      </c>
      <c r="H983">
        <v>381098.02315998671</v>
      </c>
      <c r="I983">
        <v>34.578248547711965</v>
      </c>
    </row>
    <row r="984" spans="1:9" x14ac:dyDescent="0.2">
      <c r="A984">
        <v>974</v>
      </c>
      <c r="B984">
        <v>1308313.3507557802</v>
      </c>
      <c r="C984">
        <v>93008.678165304751</v>
      </c>
      <c r="D984">
        <v>137240.27520181061</v>
      </c>
      <c r="E984">
        <v>97493.307211800246</v>
      </c>
      <c r="F984">
        <v>42749.536653124633</v>
      </c>
      <c r="G984">
        <v>10000</v>
      </c>
      <c r="H984">
        <v>360491.7972320402</v>
      </c>
      <c r="I984">
        <v>31.15176800091524</v>
      </c>
    </row>
    <row r="985" spans="1:9" x14ac:dyDescent="0.2">
      <c r="A985">
        <v>975</v>
      </c>
      <c r="B985">
        <v>1171191.6847777765</v>
      </c>
      <c r="C985">
        <v>88552.586800484642</v>
      </c>
      <c r="D985">
        <v>96579.177211532064</v>
      </c>
      <c r="E985">
        <v>104542.48762559418</v>
      </c>
      <c r="F985">
        <v>43237.556835618059</v>
      </c>
      <c r="G985">
        <v>10000</v>
      </c>
      <c r="H985">
        <v>322911.80847322894</v>
      </c>
      <c r="I985">
        <v>49.615036941075047</v>
      </c>
    </row>
    <row r="986" spans="1:9" x14ac:dyDescent="0.2">
      <c r="A986">
        <v>976</v>
      </c>
      <c r="B986">
        <v>829583.9703645769</v>
      </c>
      <c r="C986">
        <v>96246.239247273494</v>
      </c>
      <c r="D986">
        <v>51729.016246401981</v>
      </c>
      <c r="E986">
        <v>51732.970669394657</v>
      </c>
      <c r="F986">
        <v>39581.513354035014</v>
      </c>
      <c r="G986">
        <v>10000</v>
      </c>
      <c r="H986">
        <v>229289.73951710513</v>
      </c>
      <c r="I986">
        <v>28.190139411774162</v>
      </c>
    </row>
    <row r="987" spans="1:9" x14ac:dyDescent="0.2">
      <c r="A987">
        <v>977</v>
      </c>
      <c r="B987">
        <v>1507739.7485740157</v>
      </c>
      <c r="C987">
        <v>125835.62586509672</v>
      </c>
      <c r="D987">
        <v>66209.4443341609</v>
      </c>
      <c r="E987">
        <v>184340.1343962884</v>
      </c>
      <c r="F987">
        <v>48762.009304358427</v>
      </c>
      <c r="G987">
        <v>10000</v>
      </c>
      <c r="H987">
        <v>415147.21389990445</v>
      </c>
      <c r="I987">
        <v>30.877547998716409</v>
      </c>
    </row>
    <row r="988" spans="1:9" x14ac:dyDescent="0.2">
      <c r="A988">
        <v>978</v>
      </c>
      <c r="B988">
        <v>1303295.7188760748</v>
      </c>
      <c r="C988">
        <v>126457.74909358875</v>
      </c>
      <c r="D988">
        <v>77373.91915493815</v>
      </c>
      <c r="E988">
        <v>120914.01123111758</v>
      </c>
      <c r="F988">
        <v>44370.970008308141</v>
      </c>
      <c r="G988">
        <v>10000</v>
      </c>
      <c r="H988">
        <v>359116.64948795259</v>
      </c>
      <c r="I988">
        <v>46.591721624106839</v>
      </c>
    </row>
    <row r="989" spans="1:9" x14ac:dyDescent="0.2">
      <c r="A989">
        <v>979</v>
      </c>
      <c r="B989">
        <v>1424332.2760557912</v>
      </c>
      <c r="C989">
        <v>89257.785783110972</v>
      </c>
      <c r="D989">
        <v>100950.02768028558</v>
      </c>
      <c r="E989">
        <v>164679.59497671653</v>
      </c>
      <c r="F989">
        <v>47400.895036849601</v>
      </c>
      <c r="G989">
        <v>10000</v>
      </c>
      <c r="H989">
        <v>392288.30347696267</v>
      </c>
      <c r="I989">
        <v>25.826107229374866</v>
      </c>
    </row>
    <row r="990" spans="1:9" x14ac:dyDescent="0.2">
      <c r="A990">
        <v>980</v>
      </c>
      <c r="B990">
        <v>1338595.620737907</v>
      </c>
      <c r="C990">
        <v>110540.12961773216</v>
      </c>
      <c r="D990">
        <v>110610.32289868571</v>
      </c>
      <c r="E990">
        <v>113764.58757187494</v>
      </c>
      <c r="F990">
        <v>43876.00990882211</v>
      </c>
      <c r="G990">
        <v>10000</v>
      </c>
      <c r="H990">
        <v>368791.04999711498</v>
      </c>
      <c r="I990">
        <v>34.969724712693989</v>
      </c>
    </row>
    <row r="991" spans="1:9" x14ac:dyDescent="0.2">
      <c r="A991">
        <v>981</v>
      </c>
      <c r="B991">
        <v>1465205.6190227426</v>
      </c>
      <c r="C991">
        <v>130652.40275780973</v>
      </c>
      <c r="D991">
        <v>141000.27614583334</v>
      </c>
      <c r="E991">
        <v>98984.711879968527</v>
      </c>
      <c r="F991">
        <v>42852.787745536283</v>
      </c>
      <c r="G991">
        <v>10000</v>
      </c>
      <c r="H991">
        <v>403490.17852914787</v>
      </c>
      <c r="I991">
        <v>35.887617192197318</v>
      </c>
    </row>
    <row r="992" spans="1:9" x14ac:dyDescent="0.2">
      <c r="A992">
        <v>982</v>
      </c>
      <c r="B992">
        <v>1475285.2620444263</v>
      </c>
      <c r="C992">
        <v>115804.91445778773</v>
      </c>
      <c r="D992">
        <v>113423.5172209139</v>
      </c>
      <c r="E992">
        <v>141245.65940562569</v>
      </c>
      <c r="F992">
        <v>45778.545651158704</v>
      </c>
      <c r="G992">
        <v>10000</v>
      </c>
      <c r="H992">
        <v>406252.63673548604</v>
      </c>
      <c r="I992">
        <v>38.908036912830013</v>
      </c>
    </row>
    <row r="993" spans="1:9" x14ac:dyDescent="0.2">
      <c r="A993">
        <v>983</v>
      </c>
      <c r="B993">
        <v>1248498.6866284292</v>
      </c>
      <c r="C993">
        <v>103652.43554555168</v>
      </c>
      <c r="D993">
        <v>74442.159434202084</v>
      </c>
      <c r="E993">
        <v>130939.18922554886</v>
      </c>
      <c r="F993">
        <v>45065.020792537995</v>
      </c>
      <c r="G993">
        <v>10000</v>
      </c>
      <c r="H993">
        <v>344098.80499784066</v>
      </c>
      <c r="I993">
        <v>31.223212666323342</v>
      </c>
    </row>
    <row r="994" spans="1:9" x14ac:dyDescent="0.2">
      <c r="A994">
        <v>984</v>
      </c>
      <c r="B994">
        <v>1332599.8736051733</v>
      </c>
      <c r="C994">
        <v>113693.2201852548</v>
      </c>
      <c r="D994">
        <v>112926.80024638679</v>
      </c>
      <c r="E994">
        <v>107112.34638904431</v>
      </c>
      <c r="F994">
        <v>43415.470134626143</v>
      </c>
      <c r="G994">
        <v>10000</v>
      </c>
      <c r="H994">
        <v>367147.83695531206</v>
      </c>
      <c r="I994">
        <v>41.192542324027393</v>
      </c>
    </row>
    <row r="995" spans="1:9" x14ac:dyDescent="0.2">
      <c r="A995">
        <v>985</v>
      </c>
      <c r="B995">
        <v>987695.5551835486</v>
      </c>
      <c r="C995">
        <v>110264.69340732602</v>
      </c>
      <c r="D995">
        <v>89734.378916878821</v>
      </c>
      <c r="E995">
        <v>43604.448641913521</v>
      </c>
      <c r="F995">
        <v>39018.76952136324</v>
      </c>
      <c r="G995">
        <v>10000</v>
      </c>
      <c r="H995">
        <v>272622.29048748163</v>
      </c>
      <c r="I995">
        <v>28.64410571449968</v>
      </c>
    </row>
    <row r="996" spans="1:9" x14ac:dyDescent="0.2">
      <c r="A996">
        <v>986</v>
      </c>
      <c r="B996">
        <v>1658329.1027447819</v>
      </c>
      <c r="C996">
        <v>141716.44361029286</v>
      </c>
      <c r="D996">
        <v>69808.494792231853</v>
      </c>
      <c r="E996">
        <v>204720.3156902726</v>
      </c>
      <c r="F996">
        <v>50172.944932403487</v>
      </c>
      <c r="G996">
        <v>10000</v>
      </c>
      <c r="H996">
        <v>456418.1990252008</v>
      </c>
      <c r="I996">
        <v>27.283594383961514</v>
      </c>
    </row>
    <row r="997" spans="1:9" x14ac:dyDescent="0.2">
      <c r="A997">
        <v>987</v>
      </c>
      <c r="B997">
        <v>877677.14165143762</v>
      </c>
      <c r="C997">
        <v>126127.09536433984</v>
      </c>
      <c r="D997">
        <v>29334.481202591382</v>
      </c>
      <c r="E997">
        <v>57058.521213341795</v>
      </c>
      <c r="F997">
        <v>39950.205314769817</v>
      </c>
      <c r="G997">
        <v>10000</v>
      </c>
      <c r="H997">
        <v>242470.30309504282</v>
      </c>
      <c r="I997">
        <v>33.279857359057644</v>
      </c>
    </row>
    <row r="998" spans="1:9" x14ac:dyDescent="0.2">
      <c r="A998">
        <v>988</v>
      </c>
      <c r="B998">
        <v>1284661.7697813981</v>
      </c>
      <c r="C998">
        <v>125457.63633621026</v>
      </c>
      <c r="D998">
        <v>120183.95709709947</v>
      </c>
      <c r="E998">
        <v>77034.986818473073</v>
      </c>
      <c r="F998">
        <v>41333.191395125061</v>
      </c>
      <c r="G998">
        <v>10000</v>
      </c>
      <c r="H998">
        <v>354009.77164690784</v>
      </c>
      <c r="I998">
        <v>35.53542842100299</v>
      </c>
    </row>
    <row r="999" spans="1:9" x14ac:dyDescent="0.2">
      <c r="A999">
        <v>989</v>
      </c>
      <c r="B999">
        <v>1249998.5091515095</v>
      </c>
      <c r="C999">
        <v>98599.319913907428</v>
      </c>
      <c r="D999">
        <v>64696.348692504966</v>
      </c>
      <c r="E999">
        <v>145164.34325226652</v>
      </c>
      <c r="F999">
        <v>46049.839148233834</v>
      </c>
      <c r="G999">
        <v>10000</v>
      </c>
      <c r="H999">
        <v>344509.85100691271</v>
      </c>
      <c r="I999">
        <v>40.667127302777175</v>
      </c>
    </row>
    <row r="1000" spans="1:9" x14ac:dyDescent="0.2">
      <c r="A1000">
        <v>990</v>
      </c>
      <c r="B1000">
        <v>1843326.1785529626</v>
      </c>
      <c r="C1000">
        <v>124133.26161586859</v>
      </c>
      <c r="D1000">
        <v>140725.33455895787</v>
      </c>
      <c r="E1000">
        <v>202257.99802130644</v>
      </c>
      <c r="F1000">
        <v>50002.476786090447</v>
      </c>
      <c r="G1000">
        <v>10000</v>
      </c>
      <c r="H1000">
        <v>507119.07098222332</v>
      </c>
      <c r="I1000">
        <v>34.337673907071981</v>
      </c>
    </row>
    <row r="1001" spans="1:9" x14ac:dyDescent="0.2">
      <c r="A1001">
        <v>991</v>
      </c>
      <c r="B1001">
        <v>1811925.9464734227</v>
      </c>
      <c r="C1001">
        <v>152002.56528374541</v>
      </c>
      <c r="D1001">
        <v>147668.42699108209</v>
      </c>
      <c r="E1001">
        <v>161651.19706511399</v>
      </c>
      <c r="F1001">
        <v>47191.236719892506</v>
      </c>
      <c r="G1001">
        <v>10000</v>
      </c>
      <c r="H1001">
        <v>498513.42605983396</v>
      </c>
      <c r="I1001">
        <v>39.044237307693308</v>
      </c>
    </row>
    <row r="1002" spans="1:9" x14ac:dyDescent="0.2">
      <c r="A1002">
        <v>992</v>
      </c>
      <c r="B1002">
        <v>1352329.7663236319</v>
      </c>
      <c r="C1002">
        <v>132311.56719608669</v>
      </c>
      <c r="D1002">
        <v>56935.763335879354</v>
      </c>
      <c r="E1002">
        <v>147122.34860557845</v>
      </c>
      <c r="F1002">
        <v>46185.39336500159</v>
      </c>
      <c r="G1002">
        <v>10000</v>
      </c>
      <c r="H1002">
        <v>372555.07250254607</v>
      </c>
      <c r="I1002">
        <v>35.168494427058555</v>
      </c>
    </row>
    <row r="1003" spans="1:9" x14ac:dyDescent="0.2">
      <c r="A1003">
        <v>993</v>
      </c>
      <c r="B1003">
        <v>1585464.7565491195</v>
      </c>
      <c r="C1003">
        <v>119805.39450749714</v>
      </c>
      <c r="D1003">
        <v>147872.6158387982</v>
      </c>
      <c r="E1003">
        <v>133526.61019559525</v>
      </c>
      <c r="F1003">
        <v>45244.149936618131</v>
      </c>
      <c r="G1003">
        <v>10000</v>
      </c>
      <c r="H1003">
        <v>436448.77047850867</v>
      </c>
      <c r="I1003">
        <v>41.230545468383681</v>
      </c>
    </row>
    <row r="1004" spans="1:9" x14ac:dyDescent="0.2">
      <c r="A1004">
        <v>994</v>
      </c>
      <c r="B1004">
        <v>1783397.4522515242</v>
      </c>
      <c r="C1004">
        <v>145281.05431335248</v>
      </c>
      <c r="D1004">
        <v>134016.1611554586</v>
      </c>
      <c r="E1004">
        <v>173393.44169794998</v>
      </c>
      <c r="F1004">
        <v>48004.16134831962</v>
      </c>
      <c r="G1004">
        <v>10000</v>
      </c>
      <c r="H1004">
        <v>490694.81851508073</v>
      </c>
      <c r="I1004">
        <v>35.58459734533659</v>
      </c>
    </row>
    <row r="1005" spans="1:9" x14ac:dyDescent="0.2">
      <c r="A1005">
        <v>995</v>
      </c>
      <c r="B1005">
        <v>1044381.1745883779</v>
      </c>
      <c r="C1005">
        <v>128753.04477517058</v>
      </c>
      <c r="D1005">
        <v>67610.514025535333</v>
      </c>
      <c r="E1005">
        <v>61534.114168649932</v>
      </c>
      <c r="F1005">
        <v>40260.054057829606</v>
      </c>
      <c r="G1005">
        <v>10000</v>
      </c>
      <c r="H1005">
        <v>288157.72702718544</v>
      </c>
      <c r="I1005">
        <v>26.297006145467545</v>
      </c>
    </row>
    <row r="1006" spans="1:9" x14ac:dyDescent="0.2">
      <c r="A1006">
        <v>996</v>
      </c>
      <c r="B1006">
        <v>1256176.6225112667</v>
      </c>
      <c r="C1006">
        <v>114203.7944891302</v>
      </c>
      <c r="D1006">
        <v>57585.320623538348</v>
      </c>
      <c r="E1006">
        <v>138804.39383184336</v>
      </c>
      <c r="F1006">
        <v>45609.534957589152</v>
      </c>
      <c r="G1006">
        <v>10000</v>
      </c>
      <c r="H1006">
        <v>346203.04390210105</v>
      </c>
      <c r="I1006">
        <v>37.841472344009645</v>
      </c>
    </row>
    <row r="1007" spans="1:9" x14ac:dyDescent="0.2">
      <c r="A1007">
        <v>997</v>
      </c>
      <c r="B1007">
        <v>1228476.8089710183</v>
      </c>
      <c r="C1007">
        <v>170431.36018175742</v>
      </c>
      <c r="D1007">
        <v>57645.216656210447</v>
      </c>
      <c r="E1007">
        <v>79061.483028717572</v>
      </c>
      <c r="F1007">
        <v>41473.487286603529</v>
      </c>
      <c r="G1007">
        <v>10000</v>
      </c>
      <c r="H1007">
        <v>338611.54715328896</v>
      </c>
      <c r="I1007">
        <v>38.021835983915686</v>
      </c>
    </row>
    <row r="1008" spans="1:9" x14ac:dyDescent="0.2">
      <c r="A1008">
        <v>998</v>
      </c>
      <c r="B1008">
        <v>1615980.4177018199</v>
      </c>
      <c r="C1008">
        <v>105464.47998840999</v>
      </c>
      <c r="D1008">
        <v>103962.06423344351</v>
      </c>
      <c r="E1008">
        <v>195828.11209213815</v>
      </c>
      <c r="F1008">
        <v>49557.330837148023</v>
      </c>
      <c r="G1008">
        <v>10000</v>
      </c>
      <c r="H1008">
        <v>444811.98715113965</v>
      </c>
      <c r="I1008">
        <v>43.847277461488346</v>
      </c>
    </row>
    <row r="1009" spans="1:9" x14ac:dyDescent="0.2">
      <c r="A1009">
        <v>999</v>
      </c>
      <c r="B1009">
        <v>1858437.8562590191</v>
      </c>
      <c r="C1009">
        <v>107249.24570247713</v>
      </c>
      <c r="D1009">
        <v>156951.9320209838</v>
      </c>
      <c r="E1009">
        <v>206746.24491540724</v>
      </c>
      <c r="F1009">
        <v>50313.20157106666</v>
      </c>
      <c r="G1009">
        <v>10000</v>
      </c>
      <c r="H1009">
        <v>511260.62420993485</v>
      </c>
      <c r="I1009">
        <v>33.732413467645074</v>
      </c>
    </row>
    <row r="1010" spans="1:9" x14ac:dyDescent="0.2">
      <c r="A1010">
        <v>1000</v>
      </c>
      <c r="B1010">
        <v>1056752.8850209219</v>
      </c>
      <c r="C1010">
        <v>142780.76244373564</v>
      </c>
      <c r="D1010">
        <v>44537.560163704657</v>
      </c>
      <c r="E1010">
        <v>73164.779742341154</v>
      </c>
      <c r="F1010">
        <v>41065.253982162081</v>
      </c>
      <c r="G1010">
        <v>10000</v>
      </c>
      <c r="H1010">
        <v>291548.35633194353</v>
      </c>
      <c r="I1010">
        <v>37.687937115161347</v>
      </c>
    </row>
    <row r="1015" spans="1:9" ht="19" x14ac:dyDescent="0.25">
      <c r="A1015" s="4" t="s">
        <v>491</v>
      </c>
    </row>
    <row r="1016" spans="1:9" x14ac:dyDescent="0.2">
      <c r="A1016" t="s">
        <v>492</v>
      </c>
      <c r="B1016" s="15">
        <f>AVERAGE(B11:B1010)</f>
        <v>1314744.1749288575</v>
      </c>
    </row>
    <row r="1017" spans="1:9" x14ac:dyDescent="0.2">
      <c r="A1017" t="s">
        <v>493</v>
      </c>
      <c r="B1017" s="15">
        <f>PERCENTILE(B11:B1010,0.1)</f>
        <v>972913.86602522677</v>
      </c>
    </row>
    <row r="1018" spans="1:9" x14ac:dyDescent="0.2">
      <c r="A1018" t="s">
        <v>494</v>
      </c>
      <c r="B1018" s="15">
        <f>PERCENTILE(B11:B1010,0.5)</f>
        <v>1319712.5587285492</v>
      </c>
    </row>
    <row r="1019" spans="1:9" x14ac:dyDescent="0.2">
      <c r="A1019" t="s">
        <v>495</v>
      </c>
      <c r="B1019" s="15">
        <f>PERCENTILE(B11:B1010,0.9)</f>
        <v>1635646.1792967012</v>
      </c>
    </row>
    <row r="1020" spans="1:9" x14ac:dyDescent="0.2">
      <c r="A1020" t="s">
        <v>496</v>
      </c>
      <c r="B1020" s="15">
        <f>STDEV(B11:B1010)</f>
        <v>252922.18722638913</v>
      </c>
    </row>
    <row r="1021" spans="1:9" x14ac:dyDescent="0.2">
      <c r="A1021" t="s">
        <v>497</v>
      </c>
      <c r="B1021" s="22">
        <f>COUNTIF(B11:B1010,"&gt;0")/1000</f>
        <v>1</v>
      </c>
    </row>
    <row r="1023" spans="1:9" ht="19" x14ac:dyDescent="0.25">
      <c r="A1023" s="4" t="s">
        <v>498</v>
      </c>
    </row>
    <row r="1024" spans="1:9" x14ac:dyDescent="0.2">
      <c r="A1024" t="s">
        <v>499</v>
      </c>
      <c r="B1024" s="20">
        <f>IFERROR(AVERAGE(I11:I1010),"Run MC")</f>
        <v>36.414726220601054</v>
      </c>
    </row>
    <row r="1025" spans="1:2" x14ac:dyDescent="0.2">
      <c r="A1025" t="s">
        <v>500</v>
      </c>
      <c r="B1025" s="20">
        <f>IFERROR(PERCENTILE(I11:I1010,0.1),"Run MC")</f>
        <v>28.021787999104397</v>
      </c>
    </row>
    <row r="1026" spans="1:2" x14ac:dyDescent="0.2">
      <c r="A1026" t="s">
        <v>501</v>
      </c>
      <c r="B1026" s="20">
        <f>IFERROR(PERCENTILE(I11:I1010,0.5),"Run MC")</f>
        <v>35.307017572581671</v>
      </c>
    </row>
    <row r="1027" spans="1:2" x14ac:dyDescent="0.2">
      <c r="A1027" t="s">
        <v>502</v>
      </c>
      <c r="B1027" s="20">
        <f>IFERROR(PERCENTILE(I11:I1010,0.9),"Run MC")</f>
        <v>46.47908973274302</v>
      </c>
    </row>
    <row r="1028" spans="1:2" x14ac:dyDescent="0.2">
      <c r="A1028" t="s">
        <v>503</v>
      </c>
      <c r="B1028" s="22">
        <f>IFERROR(COUNTIF(I11:I1010,"&lt;="&amp;Season_Length)/1000,"Run MC")</f>
        <v>1</v>
      </c>
    </row>
  </sheetData>
  <mergeCells count="2">
    <mergeCell ref="A4:E4"/>
    <mergeCell ref="A3:E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D4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4" ht="21" x14ac:dyDescent="0.25">
      <c r="A1" s="5" t="s">
        <v>504</v>
      </c>
    </row>
    <row r="3" spans="1:4" x14ac:dyDescent="0.2">
      <c r="A3" s="32" t="s">
        <v>505</v>
      </c>
      <c r="B3" s="30"/>
      <c r="C3" s="30"/>
      <c r="D3" s="31"/>
    </row>
    <row r="4" spans="1:4" ht="300" customHeight="1" x14ac:dyDescent="0.2">
      <c r="A4" s="29" t="s">
        <v>506</v>
      </c>
      <c r="B4" s="30"/>
      <c r="C4" s="30"/>
      <c r="D4" s="31"/>
    </row>
  </sheetData>
  <mergeCells count="2">
    <mergeCell ref="A4:D4"/>
    <mergeCell ref="A3:D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472C4"/>
  </sheetPr>
  <dimension ref="A1:J23"/>
  <sheetViews>
    <sheetView workbookViewId="0"/>
  </sheetViews>
  <sheetFormatPr baseColWidth="10" defaultColWidth="8.83203125" defaultRowHeight="15" x14ac:dyDescent="0.2"/>
  <cols>
    <col min="1" max="5" width="12" customWidth="1"/>
    <col min="6" max="6" width="14" customWidth="1"/>
    <col min="7" max="7" width="12" customWidth="1"/>
    <col min="8" max="8" width="14" customWidth="1"/>
    <col min="9" max="9" width="16" customWidth="1"/>
    <col min="10" max="10" width="14" customWidth="1"/>
  </cols>
  <sheetData>
    <row r="1" spans="1:10" ht="21" x14ac:dyDescent="0.25">
      <c r="A1" s="5" t="s">
        <v>507</v>
      </c>
    </row>
    <row r="3" spans="1:10" x14ac:dyDescent="0.2">
      <c r="A3" s="32" t="s">
        <v>508</v>
      </c>
      <c r="B3" s="30"/>
      <c r="C3" s="30"/>
      <c r="D3" s="30"/>
      <c r="E3" s="30"/>
      <c r="F3" s="30"/>
      <c r="G3" s="30"/>
      <c r="H3" s="30"/>
      <c r="I3" s="30"/>
      <c r="J3" s="31"/>
    </row>
    <row r="4" spans="1:10" ht="240" customHeight="1" x14ac:dyDescent="0.2">
      <c r="A4" s="29" t="s">
        <v>509</v>
      </c>
      <c r="B4" s="30"/>
      <c r="C4" s="30"/>
      <c r="D4" s="30"/>
      <c r="E4" s="30"/>
      <c r="F4" s="30"/>
      <c r="G4" s="30"/>
      <c r="H4" s="30"/>
      <c r="I4" s="30"/>
      <c r="J4" s="31"/>
    </row>
    <row r="6" spans="1:10" x14ac:dyDescent="0.2">
      <c r="A6" s="6" t="s">
        <v>507</v>
      </c>
    </row>
    <row r="7" spans="1:10" ht="13" customHeight="1" x14ac:dyDescent="0.2">
      <c r="A7" s="7" t="s">
        <v>46</v>
      </c>
      <c r="B7" s="27" t="s">
        <v>510</v>
      </c>
      <c r="C7" s="28"/>
      <c r="D7" s="28"/>
      <c r="E7" s="28"/>
      <c r="F7" s="28"/>
      <c r="G7" s="28"/>
      <c r="H7" s="28"/>
      <c r="I7" s="28"/>
      <c r="J7" s="28"/>
    </row>
    <row r="8" spans="1:10" ht="13" customHeight="1" x14ac:dyDescent="0.2">
      <c r="A8" s="7" t="s">
        <v>48</v>
      </c>
      <c r="B8" s="27" t="s">
        <v>511</v>
      </c>
      <c r="C8" s="28"/>
      <c r="D8" s="28"/>
      <c r="E8" s="28"/>
      <c r="F8" s="28"/>
      <c r="G8" s="28"/>
      <c r="H8" s="28"/>
      <c r="I8" s="28"/>
      <c r="J8" s="28"/>
    </row>
    <row r="9" spans="1:10" ht="26" customHeight="1" x14ac:dyDescent="0.2">
      <c r="A9" s="7" t="s">
        <v>50</v>
      </c>
      <c r="B9" s="27" t="s">
        <v>512</v>
      </c>
      <c r="C9" s="28"/>
      <c r="D9" s="28"/>
      <c r="E9" s="28"/>
      <c r="F9" s="28"/>
      <c r="G9" s="28"/>
      <c r="H9" s="28"/>
      <c r="I9" s="28"/>
      <c r="J9" s="28"/>
    </row>
    <row r="10" spans="1:10" ht="13" customHeight="1" x14ac:dyDescent="0.2">
      <c r="A10" s="7" t="s">
        <v>52</v>
      </c>
      <c r="B10" s="27" t="s">
        <v>513</v>
      </c>
      <c r="C10" s="28"/>
      <c r="D10" s="28"/>
      <c r="E10" s="28"/>
      <c r="F10" s="28"/>
      <c r="G10" s="28"/>
      <c r="H10" s="28"/>
      <c r="I10" s="28"/>
      <c r="J10" s="28"/>
    </row>
    <row r="11" spans="1:10" ht="13" customHeight="1" x14ac:dyDescent="0.2">
      <c r="A11" s="7" t="s">
        <v>54</v>
      </c>
      <c r="B11" s="27" t="s">
        <v>514</v>
      </c>
      <c r="C11" s="28"/>
      <c r="D11" s="28"/>
      <c r="E11" s="28"/>
      <c r="F11" s="28"/>
      <c r="G11" s="28"/>
      <c r="H11" s="28"/>
      <c r="I11" s="28"/>
      <c r="J11" s="28"/>
    </row>
    <row r="12" spans="1:10" x14ac:dyDescent="0.2">
      <c r="A12" s="8" t="s">
        <v>250</v>
      </c>
      <c r="B12" s="8" t="s">
        <v>515</v>
      </c>
      <c r="C12" s="8" t="s">
        <v>516</v>
      </c>
      <c r="D12" s="8" t="s">
        <v>517</v>
      </c>
      <c r="E12" s="8" t="s">
        <v>518</v>
      </c>
      <c r="F12" s="8" t="s">
        <v>519</v>
      </c>
      <c r="G12" s="8" t="s">
        <v>520</v>
      </c>
      <c r="H12" s="8" t="s">
        <v>521</v>
      </c>
      <c r="I12" s="8" t="s">
        <v>412</v>
      </c>
      <c r="J12" s="8" t="s">
        <v>522</v>
      </c>
    </row>
    <row r="13" spans="1:10" x14ac:dyDescent="0.2">
      <c r="A13">
        <f>Base_Year+0</f>
        <v>2026</v>
      </c>
      <c r="B13" s="15">
        <f ca="1">S1_Value*INDEX(Timeline_LearningMult,2)</f>
        <v>45750.551079953322</v>
      </c>
      <c r="C13" s="15">
        <f ca="1">S2_Value*INDEX(Timeline_LearningMult,2)</f>
        <v>18690.106442327637</v>
      </c>
      <c r="D13" s="15">
        <f ca="1">S3_Value*INDEX(Timeline_LearningMult,2)</f>
        <v>16493.679730417676</v>
      </c>
      <c r="E13" s="15">
        <f ca="1">S4_Value*INDEX(Timeline_LearningMult,2)</f>
        <v>19141.870135182762</v>
      </c>
      <c r="F13" s="15">
        <f ca="1">SUM(B13:E13)</f>
        <v>100076.2073878814</v>
      </c>
      <c r="G13" s="15">
        <f>Testing_Cost</f>
        <v>10000</v>
      </c>
      <c r="H13" s="15">
        <f ca="1">F13-G13</f>
        <v>90076.207387881397</v>
      </c>
      <c r="I13">
        <f>INDEX(Timeline_DiscountFactor,2)</f>
        <v>0.95419847328244267</v>
      </c>
      <c r="J13" s="15">
        <f ca="1">H13*I13</f>
        <v>85950.579568589106</v>
      </c>
    </row>
    <row r="14" spans="1:10" x14ac:dyDescent="0.2">
      <c r="A14">
        <f>Base_Year+1</f>
        <v>2027</v>
      </c>
      <c r="B14" s="15">
        <f ca="1">S1_Value*INDEX(Timeline_LearningMult,3)</f>
        <v>68625.826619929983</v>
      </c>
      <c r="C14" s="15">
        <f ca="1">S2_Value*INDEX(Timeline_LearningMult,3)</f>
        <v>28035.159663491453</v>
      </c>
      <c r="D14" s="15">
        <f ca="1">S3_Value*INDEX(Timeline_LearningMult,3)</f>
        <v>24740.519595626516</v>
      </c>
      <c r="E14" s="15">
        <f ca="1">S4_Value*INDEX(Timeline_LearningMult,3)</f>
        <v>28712.805202774143</v>
      </c>
      <c r="F14" s="15">
        <f ca="1">SUM(B14:E14)</f>
        <v>150114.31108182209</v>
      </c>
      <c r="G14" s="15">
        <f>Testing_Cost</f>
        <v>10000</v>
      </c>
      <c r="H14" s="15">
        <f ca="1">F14-G14</f>
        <v>140114.31108182209</v>
      </c>
      <c r="I14">
        <f>INDEX(Timeline_DiscountFactor,3)</f>
        <v>0.91049472641454443</v>
      </c>
      <c r="J14" s="15">
        <f ca="1">H14*I14</f>
        <v>127573.34133520597</v>
      </c>
    </row>
    <row r="15" spans="1:10" x14ac:dyDescent="0.2">
      <c r="A15">
        <f>Base_Year+2</f>
        <v>2028</v>
      </c>
      <c r="B15" s="15">
        <f ca="1">S1_Value*INDEX(Timeline_LearningMult,4)</f>
        <v>91501.102159906644</v>
      </c>
      <c r="C15" s="15">
        <f ca="1">S2_Value*INDEX(Timeline_LearningMult,4)</f>
        <v>37380.212884655273</v>
      </c>
      <c r="D15" s="15">
        <f ca="1">S3_Value*INDEX(Timeline_LearningMult,4)</f>
        <v>32987.359460835352</v>
      </c>
      <c r="E15" s="15">
        <f ca="1">S4_Value*INDEX(Timeline_LearningMult,4)</f>
        <v>38283.740270365524</v>
      </c>
      <c r="F15" s="15">
        <f ca="1">SUM(B15:E15)</f>
        <v>200152.41477576279</v>
      </c>
      <c r="G15" s="15">
        <f>Testing_Cost</f>
        <v>10000</v>
      </c>
      <c r="H15" s="15">
        <f ca="1">F15-G15</f>
        <v>190152.41477576279</v>
      </c>
      <c r="I15">
        <f>INDEX(Timeline_DiscountFactor,4)</f>
        <v>0.86879267787647374</v>
      </c>
      <c r="J15" s="15">
        <f ca="1">H15*I15</f>
        <v>165203.02563771291</v>
      </c>
    </row>
    <row r="16" spans="1:10" x14ac:dyDescent="0.2">
      <c r="A16">
        <f>Base_Year+3</f>
        <v>2029</v>
      </c>
      <c r="B16" s="15">
        <f ca="1">S1_Value*INDEX(Timeline_LearningMult,5)</f>
        <v>91501.102159906644</v>
      </c>
      <c r="C16" s="15">
        <f ca="1">S2_Value*INDEX(Timeline_LearningMult,5)</f>
        <v>37380.212884655273</v>
      </c>
      <c r="D16" s="15">
        <f ca="1">S3_Value*INDEX(Timeline_LearningMult,5)</f>
        <v>32987.359460835352</v>
      </c>
      <c r="E16" s="15">
        <f ca="1">S4_Value*INDEX(Timeline_LearningMult,5)</f>
        <v>38283.740270365524</v>
      </c>
      <c r="F16" s="15">
        <f ca="1">SUM(B16:E16)</f>
        <v>200152.41477576279</v>
      </c>
      <c r="G16" s="15">
        <f>Testing_Cost</f>
        <v>10000</v>
      </c>
      <c r="H16" s="15">
        <f ca="1">F16-G16</f>
        <v>190152.41477576279</v>
      </c>
      <c r="I16">
        <f>INDEX(Timeline_DiscountFactor,5)</f>
        <v>0.82900064682869612</v>
      </c>
      <c r="J16" s="15">
        <f ca="1">H16*I16</f>
        <v>157636.47484514586</v>
      </c>
    </row>
    <row r="17" spans="1:10" x14ac:dyDescent="0.2">
      <c r="A17">
        <f>Base_Year+4</f>
        <v>2030</v>
      </c>
      <c r="B17" s="15">
        <f ca="1">S1_Value*INDEX(Timeline_LearningMult,6)</f>
        <v>91501.102159906644</v>
      </c>
      <c r="C17" s="15">
        <f ca="1">S2_Value*INDEX(Timeline_LearningMult,6)</f>
        <v>37380.212884655273</v>
      </c>
      <c r="D17" s="15">
        <f ca="1">S3_Value*INDEX(Timeline_LearningMult,6)</f>
        <v>32987.359460835352</v>
      </c>
      <c r="E17" s="15">
        <f ca="1">S4_Value*INDEX(Timeline_LearningMult,6)</f>
        <v>38283.740270365524</v>
      </c>
      <c r="F17" s="15">
        <f ca="1">SUM(B17:E17)</f>
        <v>200152.41477576279</v>
      </c>
      <c r="G17" s="15">
        <f>Testing_Cost</f>
        <v>10000</v>
      </c>
      <c r="H17" s="15">
        <f ca="1">F17-G17</f>
        <v>190152.41477576279</v>
      </c>
      <c r="I17">
        <f>INDEX(Timeline_DiscountFactor,6)</f>
        <v>0.79103115155409931</v>
      </c>
      <c r="J17" s="15">
        <f ca="1">H17*I17</f>
        <v>150416.48363086439</v>
      </c>
    </row>
    <row r="20" spans="1:10" ht="19" x14ac:dyDescent="0.25">
      <c r="A20" s="4" t="s">
        <v>523</v>
      </c>
    </row>
    <row r="21" spans="1:10" x14ac:dyDescent="0.2">
      <c r="A21" t="s">
        <v>524</v>
      </c>
      <c r="B21" s="15">
        <f ca="1">SUM(J13:J17)</f>
        <v>686779.90501751821</v>
      </c>
    </row>
    <row r="22" spans="1:10" x14ac:dyDescent="0.2">
      <c r="A22" t="s">
        <v>525</v>
      </c>
      <c r="B22" s="15">
        <f ca="1">SUM(F13:F17)</f>
        <v>850647.76279699197</v>
      </c>
    </row>
    <row r="23" spans="1:10" x14ac:dyDescent="0.2">
      <c r="A23" t="s">
        <v>526</v>
      </c>
      <c r="B23" s="15">
        <f ca="1">SUM(H13:H17)</f>
        <v>800647.76279699197</v>
      </c>
    </row>
  </sheetData>
  <mergeCells count="7">
    <mergeCell ref="B7:J7"/>
    <mergeCell ref="B11:J11"/>
    <mergeCell ref="B10:J10"/>
    <mergeCell ref="A3:J3"/>
    <mergeCell ref="B9:J9"/>
    <mergeCell ref="A4:J4"/>
    <mergeCell ref="B8:J8"/>
  </mergeCells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472C4"/>
  </sheetPr>
  <dimension ref="A1:D17"/>
  <sheetViews>
    <sheetView workbookViewId="0"/>
  </sheetViews>
  <sheetFormatPr baseColWidth="10" defaultColWidth="8.83203125" defaultRowHeight="15" x14ac:dyDescent="0.2"/>
  <cols>
    <col min="1" max="1" width="12" customWidth="1"/>
    <col min="2" max="4" width="16" customWidth="1"/>
  </cols>
  <sheetData>
    <row r="1" spans="1:4" ht="21" x14ac:dyDescent="0.25">
      <c r="A1" s="5" t="s">
        <v>527</v>
      </c>
    </row>
    <row r="3" spans="1:4" x14ac:dyDescent="0.2">
      <c r="A3" s="32" t="s">
        <v>528</v>
      </c>
      <c r="B3" s="30"/>
      <c r="C3" s="30"/>
      <c r="D3" s="31"/>
    </row>
    <row r="4" spans="1:4" ht="240" customHeight="1" x14ac:dyDescent="0.2">
      <c r="A4" s="29" t="s">
        <v>529</v>
      </c>
      <c r="B4" s="30"/>
      <c r="C4" s="30"/>
      <c r="D4" s="31"/>
    </row>
    <row r="6" spans="1:4" x14ac:dyDescent="0.2">
      <c r="A6" s="6" t="s">
        <v>530</v>
      </c>
    </row>
    <row r="7" spans="1:4" ht="13" customHeight="1" x14ac:dyDescent="0.2">
      <c r="A7" s="7" t="s">
        <v>46</v>
      </c>
      <c r="B7" s="27" t="s">
        <v>531</v>
      </c>
      <c r="C7" s="28"/>
      <c r="D7" s="28"/>
    </row>
    <row r="8" spans="1:4" ht="26" customHeight="1" x14ac:dyDescent="0.2">
      <c r="A8" s="7" t="s">
        <v>48</v>
      </c>
      <c r="B8" s="27" t="s">
        <v>532</v>
      </c>
      <c r="C8" s="28"/>
      <c r="D8" s="28"/>
    </row>
    <row r="9" spans="1:4" ht="39" customHeight="1" x14ac:dyDescent="0.2">
      <c r="A9" s="7" t="s">
        <v>50</v>
      </c>
      <c r="B9" s="27" t="s">
        <v>533</v>
      </c>
      <c r="C9" s="28"/>
      <c r="D9" s="28"/>
    </row>
    <row r="10" spans="1:4" ht="13" customHeight="1" x14ac:dyDescent="0.2">
      <c r="A10" s="7" t="s">
        <v>52</v>
      </c>
      <c r="B10" s="27" t="s">
        <v>534</v>
      </c>
      <c r="C10" s="28"/>
      <c r="D10" s="28"/>
    </row>
    <row r="11" spans="1:4" ht="13" customHeight="1" x14ac:dyDescent="0.2">
      <c r="A11" s="7" t="s">
        <v>54</v>
      </c>
      <c r="B11" s="27" t="s">
        <v>535</v>
      </c>
      <c r="C11" s="28"/>
      <c r="D11" s="28"/>
    </row>
    <row r="12" spans="1:4" x14ac:dyDescent="0.2">
      <c r="A12" s="8" t="s">
        <v>250</v>
      </c>
      <c r="B12" s="8" t="s">
        <v>536</v>
      </c>
      <c r="C12" s="8" t="s">
        <v>537</v>
      </c>
      <c r="D12" s="8" t="s">
        <v>538</v>
      </c>
    </row>
    <row r="13" spans="1:4" x14ac:dyDescent="0.2">
      <c r="A13">
        <f>Base_Year+0</f>
        <v>2026</v>
      </c>
      <c r="B13" s="15">
        <f ca="1">INDEX(tbl_Annual[Net_Annual],1)</f>
        <v>90076.207387881397</v>
      </c>
      <c r="C13" s="15">
        <f ca="1">B13</f>
        <v>90076.207387881397</v>
      </c>
      <c r="D13" s="15">
        <f ca="1">INDEX(tbl_Annual[Discounted],1)</f>
        <v>85950.579568589106</v>
      </c>
    </row>
    <row r="14" spans="1:4" x14ac:dyDescent="0.2">
      <c r="A14">
        <f>Base_Year+1</f>
        <v>2027</v>
      </c>
      <c r="B14" s="15">
        <f ca="1">INDEX(tbl_Annual[Net_Annual],2)</f>
        <v>140114.31108182209</v>
      </c>
      <c r="C14" s="15">
        <f ca="1">C13+B14</f>
        <v>230190.5184697035</v>
      </c>
      <c r="D14" s="15">
        <f ca="1">D13+INDEX(tbl_Annual[Discounted],2)</f>
        <v>213523.92090379508</v>
      </c>
    </row>
    <row r="15" spans="1:4" x14ac:dyDescent="0.2">
      <c r="A15">
        <f>Base_Year+2</f>
        <v>2028</v>
      </c>
      <c r="B15" s="15">
        <f ca="1">INDEX(tbl_Annual[Net_Annual],3)</f>
        <v>190152.41477576279</v>
      </c>
      <c r="C15" s="15">
        <f ca="1">C14+B15</f>
        <v>420342.93324546632</v>
      </c>
      <c r="D15" s="15">
        <f ca="1">D14+INDEX(tbl_Annual[Discounted],3)</f>
        <v>378726.94654150796</v>
      </c>
    </row>
    <row r="16" spans="1:4" x14ac:dyDescent="0.2">
      <c r="A16">
        <f>Base_Year+3</f>
        <v>2029</v>
      </c>
      <c r="B16" s="15">
        <f ca="1">INDEX(tbl_Annual[Net_Annual],4)</f>
        <v>190152.41477576279</v>
      </c>
      <c r="C16" s="15">
        <f ca="1">C15+B16</f>
        <v>610495.34802122915</v>
      </c>
      <c r="D16" s="15">
        <f ca="1">D15+INDEX(tbl_Annual[Discounted],4)</f>
        <v>536363.42138665379</v>
      </c>
    </row>
    <row r="17" spans="1:4" x14ac:dyDescent="0.2">
      <c r="A17">
        <f>Base_Year+4</f>
        <v>2030</v>
      </c>
      <c r="B17" s="15">
        <f ca="1">INDEX(tbl_Annual[Net_Annual],5)</f>
        <v>190152.41477576279</v>
      </c>
      <c r="C17" s="15">
        <f ca="1">C16+B17</f>
        <v>800647.76279699197</v>
      </c>
      <c r="D17" s="15">
        <f ca="1">D16+INDEX(tbl_Annual[Discounted],5)</f>
        <v>686779.90501751821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472C4"/>
  </sheetPr>
  <dimension ref="A1:D26"/>
  <sheetViews>
    <sheetView workbookViewId="0"/>
  </sheetViews>
  <sheetFormatPr baseColWidth="10" defaultColWidth="8.83203125" defaultRowHeight="15" x14ac:dyDescent="0.2"/>
  <cols>
    <col min="1" max="1" width="28" customWidth="1"/>
    <col min="2" max="2" width="18" customWidth="1"/>
    <col min="3" max="3" width="10" customWidth="1"/>
    <col min="4" max="4" width="25" customWidth="1"/>
  </cols>
  <sheetData>
    <row r="1" spans="1:4" ht="21" x14ac:dyDescent="0.25">
      <c r="A1" s="5" t="s">
        <v>539</v>
      </c>
    </row>
    <row r="3" spans="1:4" x14ac:dyDescent="0.2">
      <c r="A3" s="32" t="s">
        <v>540</v>
      </c>
      <c r="B3" s="30"/>
      <c r="C3" s="30"/>
      <c r="D3" s="31"/>
    </row>
    <row r="4" spans="1:4" ht="315" customHeight="1" x14ac:dyDescent="0.2">
      <c r="A4" s="29" t="s">
        <v>541</v>
      </c>
      <c r="B4" s="30"/>
      <c r="C4" s="30"/>
      <c r="D4" s="31"/>
    </row>
    <row r="6" spans="1:4" x14ac:dyDescent="0.2">
      <c r="A6" s="6" t="s">
        <v>539</v>
      </c>
    </row>
    <row r="7" spans="1:4" ht="26" customHeight="1" x14ac:dyDescent="0.2">
      <c r="A7" s="7" t="s">
        <v>46</v>
      </c>
      <c r="B7" s="27" t="s">
        <v>542</v>
      </c>
      <c r="C7" s="28"/>
      <c r="D7" s="28"/>
    </row>
    <row r="8" spans="1:4" ht="26" customHeight="1" x14ac:dyDescent="0.2">
      <c r="A8" s="7" t="s">
        <v>48</v>
      </c>
      <c r="B8" s="27" t="s">
        <v>543</v>
      </c>
      <c r="C8" s="28"/>
      <c r="D8" s="28"/>
    </row>
    <row r="9" spans="1:4" ht="39" customHeight="1" x14ac:dyDescent="0.2">
      <c r="A9" s="7" t="s">
        <v>50</v>
      </c>
      <c r="B9" s="27" t="s">
        <v>544</v>
      </c>
      <c r="C9" s="28"/>
      <c r="D9" s="28"/>
    </row>
    <row r="10" spans="1:4" ht="13" customHeight="1" x14ac:dyDescent="0.2">
      <c r="A10" s="7" t="s">
        <v>52</v>
      </c>
      <c r="B10" s="27" t="s">
        <v>545</v>
      </c>
      <c r="C10" s="28"/>
      <c r="D10" s="28"/>
    </row>
    <row r="11" spans="1:4" ht="13" customHeight="1" x14ac:dyDescent="0.2">
      <c r="A11" s="7" t="s">
        <v>54</v>
      </c>
      <c r="B11" s="27" t="s">
        <v>546</v>
      </c>
      <c r="C11" s="28"/>
      <c r="D11" s="28"/>
    </row>
    <row r="12" spans="1:4" x14ac:dyDescent="0.2">
      <c r="A12" s="8" t="s">
        <v>416</v>
      </c>
      <c r="B12" s="8" t="s">
        <v>57</v>
      </c>
      <c r="C12" s="8" t="s">
        <v>182</v>
      </c>
      <c r="D12" s="8" t="s">
        <v>417</v>
      </c>
    </row>
    <row r="13" spans="1:4" x14ac:dyDescent="0.2">
      <c r="A13" t="s">
        <v>547</v>
      </c>
      <c r="B13">
        <f>Annual_Throughput</f>
        <v>50000</v>
      </c>
      <c r="C13" t="s">
        <v>228</v>
      </c>
      <c r="D13" t="s">
        <v>548</v>
      </c>
    </row>
    <row r="14" spans="1:4" x14ac:dyDescent="0.2">
      <c r="A14" t="s">
        <v>549</v>
      </c>
      <c r="B14" s="24">
        <f ca="1">Gross_Value</f>
        <v>200152.41477576279</v>
      </c>
      <c r="C14" t="s">
        <v>242</v>
      </c>
      <c r="D14" t="s">
        <v>550</v>
      </c>
    </row>
    <row r="15" spans="1:4" x14ac:dyDescent="0.2">
      <c r="A15" t="s">
        <v>551</v>
      </c>
      <c r="B15" s="24">
        <f>Testing_Cost</f>
        <v>10000</v>
      </c>
      <c r="C15" t="s">
        <v>242</v>
      </c>
      <c r="D15" t="s">
        <v>552</v>
      </c>
    </row>
    <row r="16" spans="1:4" x14ac:dyDescent="0.2">
      <c r="A16" t="s">
        <v>553</v>
      </c>
      <c r="B16" s="24">
        <f ca="1">Gross_Value-Testing_Cost</f>
        <v>190152.41477576279</v>
      </c>
      <c r="C16" t="s">
        <v>242</v>
      </c>
      <c r="D16" t="s">
        <v>554</v>
      </c>
    </row>
    <row r="17" spans="1:4" x14ac:dyDescent="0.2">
      <c r="A17" t="s">
        <v>555</v>
      </c>
      <c r="B17" s="24">
        <f ca="1">Gross_Value/Annual_Throughput</f>
        <v>4.0030482955152555</v>
      </c>
      <c r="C17" t="s">
        <v>231</v>
      </c>
      <c r="D17" t="s">
        <v>556</v>
      </c>
    </row>
    <row r="18" spans="1:4" x14ac:dyDescent="0.2">
      <c r="A18" t="s">
        <v>557</v>
      </c>
      <c r="B18" s="24">
        <f ca="1">(Gross_Value-Testing_Cost)/Annual_Throughput</f>
        <v>3.8030482955152558</v>
      </c>
      <c r="C18" t="s">
        <v>231</v>
      </c>
      <c r="D18" t="s">
        <v>558</v>
      </c>
    </row>
    <row r="19" spans="1:4" x14ac:dyDescent="0.2">
      <c r="A19" t="s">
        <v>559</v>
      </c>
      <c r="B19" s="24">
        <f>Testing_Cost/Annual_Throughput</f>
        <v>0.2</v>
      </c>
      <c r="C19" t="s">
        <v>231</v>
      </c>
      <c r="D19" t="s">
        <v>560</v>
      </c>
    </row>
    <row r="20" spans="1:4" x14ac:dyDescent="0.2">
      <c r="A20" t="s">
        <v>561</v>
      </c>
      <c r="B20" s="24">
        <f ca="1">NPV_Total/(Annual_Throughput*5)</f>
        <v>2.7471196200700727</v>
      </c>
      <c r="C20" t="s">
        <v>231</v>
      </c>
      <c r="D20" t="s">
        <v>562</v>
      </c>
    </row>
    <row r="23" spans="1:4" ht="19" x14ac:dyDescent="0.25">
      <c r="A23" s="4" t="s">
        <v>563</v>
      </c>
    </row>
    <row r="24" spans="1:4" x14ac:dyDescent="0.2">
      <c r="A24" t="s">
        <v>564</v>
      </c>
      <c r="B24" s="15">
        <f>INDEX(TestOpt_Cost,MATCH(Testing_Option,TestOpt_Option,0))</f>
        <v>10</v>
      </c>
    </row>
    <row r="25" spans="1:4" x14ac:dyDescent="0.2">
      <c r="A25" t="s">
        <v>565</v>
      </c>
      <c r="B25">
        <f>Testing_Cost/INDEX(TestOpt_Cost,MATCH(Testing_Option,TestOpt_Option,0))</f>
        <v>1000</v>
      </c>
    </row>
    <row r="26" spans="1:4" x14ac:dyDescent="0.2">
      <c r="A26" t="s">
        <v>566</v>
      </c>
      <c r="B26" s="24">
        <f ca="1">(Gross_Value-Testing_Cost)/(Testing_Cost/INDEX(TestOpt_Cost,MATCH(Testing_Option,TestOpt_Option,0)))</f>
        <v>190.15241477576279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472C4"/>
  </sheetPr>
  <dimension ref="A1:G27"/>
  <sheetViews>
    <sheetView workbookViewId="0"/>
  </sheetViews>
  <sheetFormatPr baseColWidth="10" defaultColWidth="8.83203125" defaultRowHeight="15" x14ac:dyDescent="0.2"/>
  <cols>
    <col min="1" max="1" width="18" customWidth="1"/>
    <col min="2" max="4" width="12" customWidth="1"/>
    <col min="5" max="7" width="15" customWidth="1"/>
  </cols>
  <sheetData>
    <row r="1" spans="1:7" ht="21" x14ac:dyDescent="0.25">
      <c r="A1" s="5" t="s">
        <v>567</v>
      </c>
    </row>
    <row r="3" spans="1:7" x14ac:dyDescent="0.2">
      <c r="A3" s="32" t="s">
        <v>568</v>
      </c>
      <c r="B3" s="30"/>
      <c r="C3" s="30"/>
      <c r="D3" s="30"/>
      <c r="E3" s="30"/>
      <c r="F3" s="30"/>
      <c r="G3" s="31"/>
    </row>
    <row r="4" spans="1:7" ht="360" customHeight="1" x14ac:dyDescent="0.2">
      <c r="A4" s="29" t="s">
        <v>569</v>
      </c>
      <c r="B4" s="30"/>
      <c r="C4" s="30"/>
      <c r="D4" s="30"/>
      <c r="E4" s="30"/>
      <c r="F4" s="30"/>
      <c r="G4" s="31"/>
    </row>
    <row r="6" spans="1:7" x14ac:dyDescent="0.2">
      <c r="A6" s="6" t="s">
        <v>567</v>
      </c>
    </row>
    <row r="7" spans="1:7" ht="13" customHeight="1" x14ac:dyDescent="0.2">
      <c r="A7" s="7" t="s">
        <v>46</v>
      </c>
      <c r="B7" s="27" t="s">
        <v>570</v>
      </c>
      <c r="C7" s="28"/>
      <c r="D7" s="28"/>
      <c r="E7" s="28"/>
      <c r="F7" s="28"/>
      <c r="G7" s="28"/>
    </row>
    <row r="8" spans="1:7" ht="13" customHeight="1" x14ac:dyDescent="0.2">
      <c r="A8" s="7" t="s">
        <v>48</v>
      </c>
      <c r="B8" s="27" t="s">
        <v>571</v>
      </c>
      <c r="C8" s="28"/>
      <c r="D8" s="28"/>
      <c r="E8" s="28"/>
      <c r="F8" s="28"/>
      <c r="G8" s="28"/>
    </row>
    <row r="9" spans="1:7" ht="26" customHeight="1" x14ac:dyDescent="0.2">
      <c r="A9" s="7" t="s">
        <v>50</v>
      </c>
      <c r="B9" s="27" t="s">
        <v>572</v>
      </c>
      <c r="C9" s="28"/>
      <c r="D9" s="28"/>
      <c r="E9" s="28"/>
      <c r="F9" s="28"/>
      <c r="G9" s="28"/>
    </row>
    <row r="10" spans="1:7" ht="13" customHeight="1" x14ac:dyDescent="0.2">
      <c r="A10" s="7" t="s">
        <v>52</v>
      </c>
      <c r="B10" s="27" t="s">
        <v>573</v>
      </c>
      <c r="C10" s="28"/>
      <c r="D10" s="28"/>
      <c r="E10" s="28"/>
      <c r="F10" s="28"/>
      <c r="G10" s="28"/>
    </row>
    <row r="11" spans="1:7" ht="13" customHeight="1" x14ac:dyDescent="0.2">
      <c r="A11" s="7" t="s">
        <v>54</v>
      </c>
      <c r="B11" s="27" t="s">
        <v>574</v>
      </c>
      <c r="C11" s="28"/>
      <c r="D11" s="28"/>
      <c r="E11" s="28"/>
      <c r="F11" s="28"/>
      <c r="G11" s="28"/>
    </row>
    <row r="12" spans="1:7" x14ac:dyDescent="0.2">
      <c r="A12" s="8" t="s">
        <v>56</v>
      </c>
      <c r="B12" s="8" t="s">
        <v>393</v>
      </c>
      <c r="C12" s="8" t="s">
        <v>65</v>
      </c>
      <c r="D12" s="8" t="s">
        <v>394</v>
      </c>
      <c r="E12" s="8" t="s">
        <v>575</v>
      </c>
      <c r="F12" s="8" t="s">
        <v>576</v>
      </c>
      <c r="G12" s="8" t="s">
        <v>577</v>
      </c>
    </row>
    <row r="13" spans="1:7" x14ac:dyDescent="0.2">
      <c r="A13" t="s">
        <v>578</v>
      </c>
      <c r="B13">
        <v>3</v>
      </c>
      <c r="C13">
        <v>5</v>
      </c>
      <c r="D13">
        <v>10</v>
      </c>
      <c r="E13" s="15">
        <f ca="1">NPV_Total*(B13/C13)</f>
        <v>412067.94301051093</v>
      </c>
      <c r="F13" s="15">
        <f ca="1">NPV_Total*(D13/C13)</f>
        <v>1373559.8100350364</v>
      </c>
      <c r="G13" s="15">
        <f ca="1">ABS(F13-E13)</f>
        <v>961491.86702452553</v>
      </c>
    </row>
    <row r="14" spans="1:7" x14ac:dyDescent="0.2">
      <c r="A14" t="s">
        <v>67</v>
      </c>
      <c r="B14">
        <v>0.04</v>
      </c>
      <c r="C14">
        <v>4.8000000000000001E-2</v>
      </c>
      <c r="D14">
        <v>0.06</v>
      </c>
      <c r="E14" s="15">
        <f ca="1">NPV_Total*((1+C14)/(1+B14))^2.5</f>
        <v>700063.50447207841</v>
      </c>
      <c r="F14" s="15">
        <f ca="1">NPV_Total*((1+C14)/(1+D14))^2.5</f>
        <v>667507.45862111589</v>
      </c>
      <c r="G14" s="15">
        <f ca="1">ABS(F14-E14)</f>
        <v>32556.045850962517</v>
      </c>
    </row>
    <row r="15" spans="1:7" x14ac:dyDescent="0.2">
      <c r="A15" t="s">
        <v>579</v>
      </c>
      <c r="B15">
        <v>80</v>
      </c>
      <c r="C15">
        <v>100</v>
      </c>
      <c r="D15">
        <v>120</v>
      </c>
      <c r="E15" s="15">
        <f ca="1">NPV_Total*(B15/C15)</f>
        <v>549423.92401401454</v>
      </c>
      <c r="F15" s="15">
        <f ca="1">NPV_Total*(D15/C15)</f>
        <v>824135.88602102187</v>
      </c>
      <c r="G15" s="15">
        <f ca="1">ABS(F15-E15)</f>
        <v>274711.96200700733</v>
      </c>
    </row>
    <row r="16" spans="1:7" x14ac:dyDescent="0.2">
      <c r="A16" t="s">
        <v>580</v>
      </c>
      <c r="B16">
        <v>0.5</v>
      </c>
      <c r="C16">
        <v>1</v>
      </c>
      <c r="D16">
        <v>2</v>
      </c>
      <c r="E16" s="15">
        <f ca="1">NPV_Total*(B16/C16)</f>
        <v>343389.9525087591</v>
      </c>
      <c r="F16" s="15">
        <f ca="1">NPV_Total*(D16/C16)</f>
        <v>1373559.8100350364</v>
      </c>
      <c r="G16" s="15">
        <f ca="1">ABS(F16-E16)</f>
        <v>1030169.8575262773</v>
      </c>
    </row>
    <row r="19" spans="1:1" ht="19" x14ac:dyDescent="0.25">
      <c r="A19" s="4" t="s">
        <v>581</v>
      </c>
    </row>
    <row r="20" spans="1:1" x14ac:dyDescent="0.2">
      <c r="A20" t="s">
        <v>582</v>
      </c>
    </row>
    <row r="21" spans="1:1" x14ac:dyDescent="0.2">
      <c r="A21" t="s">
        <v>583</v>
      </c>
    </row>
    <row r="22" spans="1:1" x14ac:dyDescent="0.2">
      <c r="A22" t="s">
        <v>584</v>
      </c>
    </row>
    <row r="24" spans="1:1" ht="19" x14ac:dyDescent="0.25">
      <c r="A24" s="4" t="s">
        <v>585</v>
      </c>
    </row>
    <row r="25" spans="1:1" x14ac:dyDescent="0.2">
      <c r="A25" t="s">
        <v>586</v>
      </c>
    </row>
    <row r="26" spans="1:1" x14ac:dyDescent="0.2">
      <c r="A26" t="s">
        <v>587</v>
      </c>
    </row>
    <row r="27" spans="1:1" x14ac:dyDescent="0.2">
      <c r="A27" t="s">
        <v>588</v>
      </c>
    </row>
  </sheetData>
  <mergeCells count="7">
    <mergeCell ref="B11:G11"/>
    <mergeCell ref="B10:G10"/>
    <mergeCell ref="A3:G3"/>
    <mergeCell ref="B9:G9"/>
    <mergeCell ref="A4:G4"/>
    <mergeCell ref="B8:G8"/>
    <mergeCell ref="B7:G7"/>
  </mergeCells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D67"/>
  <sheetViews>
    <sheetView topLeftCell="A36" workbookViewId="0">
      <selection activeCell="I16" sqref="I16"/>
    </sheetView>
  </sheetViews>
  <sheetFormatPr baseColWidth="10" defaultColWidth="8.83203125" defaultRowHeight="15" x14ac:dyDescent="0.2"/>
  <cols>
    <col min="1" max="1" width="30" customWidth="1"/>
    <col min="2" max="2" width="18" customWidth="1"/>
    <col min="3" max="3" width="16" customWidth="1"/>
    <col min="4" max="4" width="18" customWidth="1"/>
  </cols>
  <sheetData>
    <row r="1" spans="1:4" ht="21" x14ac:dyDescent="0.25">
      <c r="A1" s="5" t="s">
        <v>589</v>
      </c>
    </row>
    <row r="3" spans="1:4" x14ac:dyDescent="0.2">
      <c r="A3" s="32" t="s">
        <v>590</v>
      </c>
      <c r="B3" s="30"/>
      <c r="C3" s="30"/>
      <c r="D3" s="31"/>
    </row>
    <row r="4" spans="1:4" ht="270" customHeight="1" x14ac:dyDescent="0.2">
      <c r="A4" s="29" t="s">
        <v>591</v>
      </c>
      <c r="B4" s="30"/>
      <c r="C4" s="30"/>
      <c r="D4" s="31"/>
    </row>
    <row r="6" spans="1:4" x14ac:dyDescent="0.2">
      <c r="A6" s="6" t="s">
        <v>592</v>
      </c>
    </row>
    <row r="7" spans="1:4" ht="26" customHeight="1" x14ac:dyDescent="0.2">
      <c r="A7" s="7" t="s">
        <v>46</v>
      </c>
      <c r="B7" s="27" t="s">
        <v>593</v>
      </c>
      <c r="C7" s="28"/>
      <c r="D7" s="28"/>
    </row>
    <row r="8" spans="1:4" ht="26" customHeight="1" x14ac:dyDescent="0.2">
      <c r="A8" s="7" t="s">
        <v>48</v>
      </c>
      <c r="B8" s="27" t="s">
        <v>594</v>
      </c>
      <c r="C8" s="28"/>
      <c r="D8" s="28"/>
    </row>
    <row r="9" spans="1:4" ht="52" customHeight="1" x14ac:dyDescent="0.2">
      <c r="A9" s="7" t="s">
        <v>50</v>
      </c>
      <c r="B9" s="27" t="s">
        <v>595</v>
      </c>
      <c r="C9" s="28"/>
      <c r="D9" s="28"/>
    </row>
    <row r="10" spans="1:4" ht="13" customHeight="1" x14ac:dyDescent="0.2">
      <c r="A10" s="7" t="s">
        <v>52</v>
      </c>
      <c r="B10" s="27" t="s">
        <v>596</v>
      </c>
      <c r="C10" s="28"/>
      <c r="D10" s="28"/>
    </row>
    <row r="11" spans="1:4" ht="13" customHeight="1" x14ac:dyDescent="0.2">
      <c r="A11" s="7" t="s">
        <v>54</v>
      </c>
      <c r="B11" s="27" t="s">
        <v>597</v>
      </c>
      <c r="C11" s="28"/>
      <c r="D11" s="28"/>
    </row>
    <row r="12" spans="1:4" x14ac:dyDescent="0.2">
      <c r="A12" s="8" t="s">
        <v>416</v>
      </c>
      <c r="B12" s="8" t="s">
        <v>57</v>
      </c>
    </row>
    <row r="13" spans="1:4" x14ac:dyDescent="0.2">
      <c r="A13" t="s">
        <v>598</v>
      </c>
      <c r="B13" t="str">
        <f>Testing_Option</f>
        <v>Daily_Biosensor</v>
      </c>
    </row>
    <row r="14" spans="1:4" x14ac:dyDescent="0.2">
      <c r="A14" t="s">
        <v>599</v>
      </c>
      <c r="B14" s="15">
        <f ca="1">NPV_Total</f>
        <v>686779.90501751821</v>
      </c>
    </row>
    <row r="15" spans="1:4" x14ac:dyDescent="0.2">
      <c r="A15" t="s">
        <v>600</v>
      </c>
      <c r="B15" s="15">
        <f>MC_P10</f>
        <v>972913.86602522677</v>
      </c>
    </row>
    <row r="16" spans="1:4" x14ac:dyDescent="0.2">
      <c r="A16" t="s">
        <v>601</v>
      </c>
      <c r="B16" s="15">
        <f>MC_P50</f>
        <v>1319712.5587285492</v>
      </c>
    </row>
    <row r="17" spans="1:4" x14ac:dyDescent="0.2">
      <c r="A17" t="s">
        <v>602</v>
      </c>
      <c r="B17" s="15">
        <f>MC_P90</f>
        <v>1635646.1792967012</v>
      </c>
    </row>
    <row r="18" spans="1:4" x14ac:dyDescent="0.2">
      <c r="A18" t="s">
        <v>603</v>
      </c>
      <c r="B18" s="22">
        <f>MC_Prob_Positive</f>
        <v>1</v>
      </c>
    </row>
    <row r="19" spans="1:4" x14ac:dyDescent="0.2">
      <c r="A19" t="s">
        <v>604</v>
      </c>
      <c r="B19" s="15">
        <f>Testing_Cost</f>
        <v>10000</v>
      </c>
    </row>
    <row r="20" spans="1:4" x14ac:dyDescent="0.2">
      <c r="A20" t="s">
        <v>605</v>
      </c>
      <c r="B20" s="15">
        <f ca="1">Year1_Gross_Value</f>
        <v>100076.2073878814</v>
      </c>
    </row>
    <row r="21" spans="1:4" x14ac:dyDescent="0.2">
      <c r="A21" t="s">
        <v>606</v>
      </c>
      <c r="B21" s="15">
        <f ca="1">Year1_Net_Value</f>
        <v>90076.207387881397</v>
      </c>
    </row>
    <row r="23" spans="1:4" x14ac:dyDescent="0.2">
      <c r="A23" s="6" t="s">
        <v>607</v>
      </c>
    </row>
    <row r="24" spans="1:4" ht="26" customHeight="1" x14ac:dyDescent="0.2">
      <c r="A24" s="7" t="s">
        <v>46</v>
      </c>
      <c r="B24" s="27" t="s">
        <v>608</v>
      </c>
      <c r="C24" s="28"/>
      <c r="D24" s="28"/>
    </row>
    <row r="25" spans="1:4" ht="26" customHeight="1" x14ac:dyDescent="0.2">
      <c r="A25" s="7" t="s">
        <v>48</v>
      </c>
      <c r="B25" s="27" t="s">
        <v>609</v>
      </c>
      <c r="C25" s="28"/>
      <c r="D25" s="28"/>
    </row>
    <row r="26" spans="1:4" ht="65" customHeight="1" x14ac:dyDescent="0.2">
      <c r="A26" s="7" t="s">
        <v>50</v>
      </c>
      <c r="B26" s="27" t="s">
        <v>610</v>
      </c>
      <c r="C26" s="28"/>
      <c r="D26" s="28"/>
    </row>
    <row r="27" spans="1:4" ht="26" customHeight="1" x14ac:dyDescent="0.2">
      <c r="A27" s="7" t="s">
        <v>52</v>
      </c>
      <c r="B27" s="27" t="s">
        <v>611</v>
      </c>
      <c r="C27" s="28"/>
      <c r="D27" s="28"/>
    </row>
    <row r="28" spans="1:4" ht="13" customHeight="1" x14ac:dyDescent="0.2">
      <c r="A28" s="7" t="s">
        <v>54</v>
      </c>
      <c r="B28" s="27" t="s">
        <v>612</v>
      </c>
      <c r="C28" s="28"/>
      <c r="D28" s="28"/>
    </row>
    <row r="29" spans="1:4" x14ac:dyDescent="0.2">
      <c r="A29" s="8" t="s">
        <v>93</v>
      </c>
      <c r="B29" s="8" t="s">
        <v>457</v>
      </c>
      <c r="C29" s="8" t="s">
        <v>613</v>
      </c>
    </row>
    <row r="30" spans="1:4" x14ac:dyDescent="0.2">
      <c r="A30" t="s">
        <v>97</v>
      </c>
      <c r="B30" s="15">
        <f ca="1">S1_Value</f>
        <v>91501.102159906644</v>
      </c>
      <c r="C30" t="str">
        <f>INDEX(Gate_S1,MATCH(Testing_Option,TestOpt_Option,0))</f>
        <v>ENABLED</v>
      </c>
    </row>
    <row r="31" spans="1:4" x14ac:dyDescent="0.2">
      <c r="A31" t="s">
        <v>101</v>
      </c>
      <c r="B31" s="15">
        <f ca="1">S2_Value</f>
        <v>37380.212884655273</v>
      </c>
      <c r="C31" t="str">
        <f>INDEX(Gate_S2,MATCH(Testing_Option,TestOpt_Option,0))</f>
        <v>ENABLED</v>
      </c>
    </row>
    <row r="32" spans="1:4" x14ac:dyDescent="0.2">
      <c r="A32" t="s">
        <v>102</v>
      </c>
      <c r="B32" s="15">
        <f ca="1">S3_Value</f>
        <v>32987.359460835352</v>
      </c>
      <c r="C32" t="str">
        <f>INDEX(Gate_S3,MATCH(Testing_Option,TestOpt_Option,0))</f>
        <v>ENABLED</v>
      </c>
    </row>
    <row r="33" spans="1:4" x14ac:dyDescent="0.2">
      <c r="A33" t="s">
        <v>104</v>
      </c>
      <c r="B33" s="15">
        <f ca="1">S4_Value</f>
        <v>38283.740270365524</v>
      </c>
      <c r="C33" t="str">
        <f>INDEX(Gate_S4,MATCH(Testing_Option,TestOpt_Option,0))</f>
        <v>ENABLED</v>
      </c>
    </row>
    <row r="35" spans="1:4" x14ac:dyDescent="0.2">
      <c r="A35" s="6" t="s">
        <v>414</v>
      </c>
    </row>
    <row r="36" spans="1:4" ht="26" customHeight="1" x14ac:dyDescent="0.2">
      <c r="A36" s="7" t="s">
        <v>46</v>
      </c>
      <c r="B36" s="27" t="s">
        <v>614</v>
      </c>
      <c r="C36" s="28"/>
      <c r="D36" s="28"/>
    </row>
    <row r="37" spans="1:4" ht="26" customHeight="1" x14ac:dyDescent="0.2">
      <c r="A37" s="7" t="s">
        <v>48</v>
      </c>
      <c r="B37" s="27" t="s">
        <v>615</v>
      </c>
      <c r="C37" s="28"/>
      <c r="D37" s="28"/>
    </row>
    <row r="38" spans="1:4" ht="65" customHeight="1" x14ac:dyDescent="0.2">
      <c r="A38" s="7" t="s">
        <v>50</v>
      </c>
      <c r="B38" s="27" t="s">
        <v>616</v>
      </c>
      <c r="C38" s="28"/>
      <c r="D38" s="28"/>
    </row>
    <row r="39" spans="1:4" ht="13" customHeight="1" x14ac:dyDescent="0.2">
      <c r="A39" s="7" t="s">
        <v>52</v>
      </c>
      <c r="B39" s="27" t="s">
        <v>617</v>
      </c>
      <c r="C39" s="28"/>
      <c r="D39" s="28"/>
    </row>
    <row r="40" spans="1:4" ht="13" customHeight="1" x14ac:dyDescent="0.2">
      <c r="A40" s="7" t="s">
        <v>54</v>
      </c>
      <c r="B40" s="27" t="s">
        <v>618</v>
      </c>
      <c r="C40" s="28"/>
      <c r="D40" s="28"/>
    </row>
    <row r="41" spans="1:4" x14ac:dyDescent="0.2">
      <c r="A41" s="8" t="s">
        <v>416</v>
      </c>
      <c r="B41" s="8" t="s">
        <v>57</v>
      </c>
      <c r="C41" s="8" t="s">
        <v>613</v>
      </c>
    </row>
    <row r="42" spans="1:4" x14ac:dyDescent="0.2">
      <c r="A42" t="s">
        <v>619</v>
      </c>
      <c r="B42" s="25">
        <f>Initial_NAFC</f>
        <v>63.1</v>
      </c>
      <c r="C42" t="str">
        <f>IF(Initial_NAFC&gt;Target_NAFC,"Above Target","At/Below Target")</f>
        <v>Above Target</v>
      </c>
    </row>
    <row r="43" spans="1:4" x14ac:dyDescent="0.2">
      <c r="A43" t="s">
        <v>620</v>
      </c>
      <c r="B43" s="25">
        <f>Target_NAFC</f>
        <v>50</v>
      </c>
      <c r="C43" t="s">
        <v>621</v>
      </c>
    </row>
    <row r="44" spans="1:4" x14ac:dyDescent="0.2">
      <c r="A44" t="s">
        <v>622</v>
      </c>
      <c r="B44" s="26">
        <f ca="1">Days_to_Compliance</f>
        <v>41.89644659153528</v>
      </c>
      <c r="C44" t="str">
        <f ca="1">Compliance_Status</f>
        <v>ACHIEVABLE</v>
      </c>
    </row>
    <row r="45" spans="1:4" x14ac:dyDescent="0.2">
      <c r="A45" t="s">
        <v>623</v>
      </c>
      <c r="B45" s="21">
        <f ca="1">Circulation_Cycles</f>
        <v>3</v>
      </c>
      <c r="C45" t="str">
        <f ca="1">IF(Circulation_Cycles&lt;=3,"Standard","Extended")</f>
        <v>Standard</v>
      </c>
    </row>
    <row r="46" spans="1:4" x14ac:dyDescent="0.2">
      <c r="A46" t="s">
        <v>624</v>
      </c>
      <c r="B46" s="22">
        <f>Treatment_Efficiency</f>
        <v>0.2076069730586371</v>
      </c>
      <c r="C46" t="str">
        <f>IF(Treatment_Efficiency&gt;0.2,"Good","Low")</f>
        <v>Good</v>
      </c>
    </row>
    <row r="47" spans="1:4" x14ac:dyDescent="0.2">
      <c r="A47" t="s">
        <v>625</v>
      </c>
      <c r="B47" s="26">
        <f>MC_Expected_Days</f>
        <v>36.414726220601054</v>
      </c>
      <c r="C47" t="str">
        <f>IF(MC_Expected_Days&lt;=Season_Length,"Achievable","Risk")</f>
        <v>Achievable</v>
      </c>
    </row>
    <row r="48" spans="1:4" x14ac:dyDescent="0.2">
      <c r="A48" t="s">
        <v>626</v>
      </c>
      <c r="B48" s="26">
        <f>MC_P90_Days</f>
        <v>46.47908973274302</v>
      </c>
      <c r="C48" t="str">
        <f>IF(MC_P90_Days&lt;=Season_Length,"Low Risk","High Risk")</f>
        <v>Low Risk</v>
      </c>
    </row>
    <row r="49" spans="1:4" x14ac:dyDescent="0.2">
      <c r="A49" t="s">
        <v>627</v>
      </c>
      <c r="B49" s="22">
        <f>MC_Prob_Achievable</f>
        <v>1</v>
      </c>
      <c r="C49" t="str">
        <f>IF(MC_Prob_Achievable&gt;=0.9,"High Confidence","Review Required")</f>
        <v>High Confidence</v>
      </c>
    </row>
    <row r="51" spans="1:4" x14ac:dyDescent="0.2">
      <c r="A51" s="6" t="s">
        <v>628</v>
      </c>
    </row>
    <row r="52" spans="1:4" ht="26" customHeight="1" x14ac:dyDescent="0.2">
      <c r="A52" s="7" t="s">
        <v>46</v>
      </c>
      <c r="B52" s="27" t="s">
        <v>629</v>
      </c>
      <c r="C52" s="28"/>
      <c r="D52" s="28"/>
    </row>
    <row r="53" spans="1:4" ht="26" customHeight="1" x14ac:dyDescent="0.2">
      <c r="A53" s="7" t="s">
        <v>48</v>
      </c>
      <c r="B53" s="27" t="s">
        <v>630</v>
      </c>
      <c r="C53" s="28"/>
      <c r="D53" s="28"/>
    </row>
    <row r="54" spans="1:4" ht="52" customHeight="1" x14ac:dyDescent="0.2">
      <c r="A54" s="7" t="s">
        <v>50</v>
      </c>
      <c r="B54" s="27" t="s">
        <v>631</v>
      </c>
      <c r="C54" s="28"/>
      <c r="D54" s="28"/>
    </row>
    <row r="55" spans="1:4" ht="13" customHeight="1" x14ac:dyDescent="0.2">
      <c r="A55" s="7" t="s">
        <v>52</v>
      </c>
      <c r="B55" s="27" t="s">
        <v>632</v>
      </c>
      <c r="C55" s="28"/>
      <c r="D55" s="28"/>
    </row>
    <row r="56" spans="1:4" ht="13" customHeight="1" x14ac:dyDescent="0.2">
      <c r="A56" s="7" t="s">
        <v>54</v>
      </c>
      <c r="B56" s="27" t="s">
        <v>633</v>
      </c>
      <c r="C56" s="28"/>
      <c r="D56" s="28"/>
    </row>
    <row r="57" spans="1:4" x14ac:dyDescent="0.2">
      <c r="A57" s="8" t="s">
        <v>416</v>
      </c>
      <c r="B57" s="8" t="s">
        <v>267</v>
      </c>
      <c r="C57" s="8" t="s">
        <v>268</v>
      </c>
      <c r="D57" s="8" t="s">
        <v>61</v>
      </c>
    </row>
    <row r="58" spans="1:4" x14ac:dyDescent="0.2">
      <c r="A58" t="s">
        <v>634</v>
      </c>
      <c r="B58" t="s">
        <v>99</v>
      </c>
      <c r="C58" t="s">
        <v>99</v>
      </c>
      <c r="D58" t="s">
        <v>100</v>
      </c>
    </row>
    <row r="59" spans="1:4" x14ac:dyDescent="0.2">
      <c r="A59" t="s">
        <v>635</v>
      </c>
      <c r="B59" t="s">
        <v>99</v>
      </c>
      <c r="C59" t="s">
        <v>99</v>
      </c>
      <c r="D59" t="s">
        <v>100</v>
      </c>
    </row>
    <row r="60" spans="1:4" x14ac:dyDescent="0.2">
      <c r="A60" t="s">
        <v>636</v>
      </c>
      <c r="B60" t="s">
        <v>99</v>
      </c>
      <c r="C60" t="s">
        <v>100</v>
      </c>
      <c r="D60" t="s">
        <v>100</v>
      </c>
    </row>
    <row r="61" spans="1:4" x14ac:dyDescent="0.2">
      <c r="A61" t="s">
        <v>637</v>
      </c>
      <c r="B61" t="s">
        <v>99</v>
      </c>
      <c r="C61" t="s">
        <v>99</v>
      </c>
      <c r="D61" t="s">
        <v>100</v>
      </c>
    </row>
    <row r="62" spans="1:4" x14ac:dyDescent="0.2">
      <c r="A62" t="s">
        <v>638</v>
      </c>
      <c r="B62" t="s">
        <v>639</v>
      </c>
      <c r="C62" t="s">
        <v>640</v>
      </c>
      <c r="D62" t="s">
        <v>641</v>
      </c>
    </row>
    <row r="63" spans="1:4" x14ac:dyDescent="0.2">
      <c r="A63" t="s">
        <v>642</v>
      </c>
      <c r="B63" t="s">
        <v>643</v>
      </c>
      <c r="C63" t="s">
        <v>644</v>
      </c>
      <c r="D63" t="s">
        <v>645</v>
      </c>
    </row>
    <row r="65" spans="1:2" ht="19" x14ac:dyDescent="0.25">
      <c r="A65" s="4" t="s">
        <v>646</v>
      </c>
    </row>
    <row r="66" spans="1:2" x14ac:dyDescent="0.2">
      <c r="A66" t="s">
        <v>647</v>
      </c>
      <c r="B66" t="str">
        <f ca="1">IF(COUNTIF('17_Checks'!D:D,"FAIL")=0,"HEALTHY","REVIEW REQUIRED")</f>
        <v>HEALTHY</v>
      </c>
    </row>
    <row r="67" spans="1:2" x14ac:dyDescent="0.2">
      <c r="A67" t="s">
        <v>648</v>
      </c>
      <c r="B67">
        <f ca="1">COUNTIF('17_Checks'!D:D,"FAIL")</f>
        <v>0</v>
      </c>
    </row>
  </sheetData>
  <mergeCells count="22">
    <mergeCell ref="A3:D3"/>
    <mergeCell ref="B27:D27"/>
    <mergeCell ref="B56:D56"/>
    <mergeCell ref="B52:D52"/>
    <mergeCell ref="B39:D39"/>
    <mergeCell ref="B55:D55"/>
    <mergeCell ref="B24:D24"/>
    <mergeCell ref="B36:D36"/>
    <mergeCell ref="B26:D26"/>
    <mergeCell ref="B7:D7"/>
    <mergeCell ref="B25:D25"/>
    <mergeCell ref="B54:D54"/>
    <mergeCell ref="B11:D11"/>
    <mergeCell ref="A4:D4"/>
    <mergeCell ref="B8:D8"/>
    <mergeCell ref="B53:D53"/>
    <mergeCell ref="B38:D38"/>
    <mergeCell ref="B10:D10"/>
    <mergeCell ref="B28:D28"/>
    <mergeCell ref="B37:D37"/>
    <mergeCell ref="B40:D40"/>
    <mergeCell ref="B9:D9"/>
  </mergeCells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D33"/>
  <sheetViews>
    <sheetView workbookViewId="0"/>
  </sheetViews>
  <sheetFormatPr baseColWidth="10" defaultColWidth="8.83203125" defaultRowHeight="15" x14ac:dyDescent="0.2"/>
  <cols>
    <col min="1" max="2" width="12" customWidth="1"/>
    <col min="3" max="3" width="40" customWidth="1"/>
    <col min="4" max="4" width="12" customWidth="1"/>
  </cols>
  <sheetData>
    <row r="1" spans="1:4" ht="21" x14ac:dyDescent="0.25">
      <c r="A1" s="5" t="s">
        <v>649</v>
      </c>
    </row>
    <row r="3" spans="1:4" x14ac:dyDescent="0.2">
      <c r="A3" s="32" t="s">
        <v>650</v>
      </c>
      <c r="B3" s="30"/>
      <c r="C3" s="30"/>
      <c r="D3" s="31"/>
    </row>
    <row r="4" spans="1:4" ht="330" customHeight="1" x14ac:dyDescent="0.2">
      <c r="A4" s="29" t="s">
        <v>651</v>
      </c>
      <c r="B4" s="30"/>
      <c r="C4" s="30"/>
      <c r="D4" s="31"/>
    </row>
    <row r="6" spans="1:4" x14ac:dyDescent="0.2">
      <c r="A6" s="6" t="s">
        <v>649</v>
      </c>
    </row>
    <row r="7" spans="1:4" ht="26" customHeight="1" x14ac:dyDescent="0.2">
      <c r="A7" s="7" t="s">
        <v>46</v>
      </c>
      <c r="B7" s="27" t="s">
        <v>652</v>
      </c>
      <c r="C7" s="28"/>
      <c r="D7" s="28"/>
    </row>
    <row r="8" spans="1:4" ht="26" customHeight="1" x14ac:dyDescent="0.2">
      <c r="A8" s="7" t="s">
        <v>48</v>
      </c>
      <c r="B8" s="27" t="s">
        <v>653</v>
      </c>
      <c r="C8" s="28"/>
      <c r="D8" s="28"/>
    </row>
    <row r="9" spans="1:4" ht="65" customHeight="1" x14ac:dyDescent="0.2">
      <c r="A9" s="7" t="s">
        <v>50</v>
      </c>
      <c r="B9" s="27" t="s">
        <v>654</v>
      </c>
      <c r="C9" s="28"/>
      <c r="D9" s="28"/>
    </row>
    <row r="10" spans="1:4" ht="26" customHeight="1" x14ac:dyDescent="0.2">
      <c r="A10" s="7" t="s">
        <v>52</v>
      </c>
      <c r="B10" s="27" t="s">
        <v>655</v>
      </c>
      <c r="C10" s="28"/>
      <c r="D10" s="28"/>
    </row>
    <row r="11" spans="1:4" ht="13" customHeight="1" x14ac:dyDescent="0.2">
      <c r="A11" s="7" t="s">
        <v>54</v>
      </c>
      <c r="B11" s="27" t="s">
        <v>656</v>
      </c>
      <c r="C11" s="28"/>
      <c r="D11" s="28"/>
    </row>
    <row r="12" spans="1:4" x14ac:dyDescent="0.2">
      <c r="A12" s="8" t="s">
        <v>657</v>
      </c>
      <c r="B12" s="8" t="s">
        <v>658</v>
      </c>
      <c r="C12" s="8" t="s">
        <v>59</v>
      </c>
      <c r="D12" s="8" t="s">
        <v>613</v>
      </c>
    </row>
    <row r="13" spans="1:4" x14ac:dyDescent="0.2">
      <c r="A13" t="s">
        <v>659</v>
      </c>
      <c r="B13" t="s">
        <v>660</v>
      </c>
      <c r="C13" t="s">
        <v>661</v>
      </c>
      <c r="D13" t="str">
        <f>IF(AND(Discount_Rate&gt;=0,Discount_Rate&lt;=0.15),"PASS","FAIL")</f>
        <v>PASS</v>
      </c>
    </row>
    <row r="14" spans="1:4" x14ac:dyDescent="0.2">
      <c r="A14" t="s">
        <v>662</v>
      </c>
      <c r="B14" t="s">
        <v>660</v>
      </c>
      <c r="C14" t="s">
        <v>663</v>
      </c>
      <c r="D14" t="str">
        <f>IF(AND(Season_Length&gt;=60,Season_Length&lt;=150),"PASS","FAIL")</f>
        <v>PASS</v>
      </c>
    </row>
    <row r="15" spans="1:4" x14ac:dyDescent="0.2">
      <c r="A15" t="s">
        <v>664</v>
      </c>
      <c r="B15" t="s">
        <v>660</v>
      </c>
      <c r="C15" t="s">
        <v>665</v>
      </c>
      <c r="D15" t="str">
        <f>IF(AND(Projection_Years&gt;=1,Projection_Years&lt;=10),"PASS","FAIL")</f>
        <v>PASS</v>
      </c>
    </row>
    <row r="16" spans="1:4" x14ac:dyDescent="0.2">
      <c r="A16" t="s">
        <v>666</v>
      </c>
      <c r="B16" t="s">
        <v>660</v>
      </c>
      <c r="C16" t="s">
        <v>667</v>
      </c>
      <c r="D16" t="str">
        <f>IF(Value_Per_M3&gt;0,"PASS","FAIL")</f>
        <v>PASS</v>
      </c>
    </row>
    <row r="17" spans="1:4" x14ac:dyDescent="0.2">
      <c r="A17" t="s">
        <v>668</v>
      </c>
      <c r="B17" t="s">
        <v>669</v>
      </c>
      <c r="C17" t="s">
        <v>670</v>
      </c>
      <c r="D17" t="str">
        <f>IF(COUNTIF(List_TestingOptions,Testing_Option)=1,"PASS","FAIL")</f>
        <v>PASS</v>
      </c>
    </row>
    <row r="18" spans="1:4" x14ac:dyDescent="0.2">
      <c r="A18" t="s">
        <v>671</v>
      </c>
      <c r="B18" t="s">
        <v>669</v>
      </c>
      <c r="C18" t="s">
        <v>672</v>
      </c>
      <c r="D18" t="str">
        <f>IF(COUNTIF(List_Scenarios,Scenario_Select)=1,"PASS","FAIL")</f>
        <v>PASS</v>
      </c>
    </row>
    <row r="19" spans="1:4" x14ac:dyDescent="0.2">
      <c r="A19" t="s">
        <v>673</v>
      </c>
      <c r="B19" t="s">
        <v>674</v>
      </c>
      <c r="C19" t="s">
        <v>675</v>
      </c>
      <c r="D19" t="str">
        <f ca="1">IF(AND(NPV_Total&gt;-1000000,NPV_Total&lt;10000000),"PASS","FAIL")</f>
        <v>PASS</v>
      </c>
    </row>
    <row r="20" spans="1:4" x14ac:dyDescent="0.2">
      <c r="A20" t="s">
        <v>676</v>
      </c>
      <c r="B20" t="s">
        <v>674</v>
      </c>
      <c r="C20" t="s">
        <v>677</v>
      </c>
      <c r="D20" t="str">
        <f>IF(Testing_Cost&gt;0,"PASS","FAIL")</f>
        <v>PASS</v>
      </c>
    </row>
    <row r="21" spans="1:4" x14ac:dyDescent="0.2">
      <c r="A21" t="s">
        <v>678</v>
      </c>
      <c r="B21" t="s">
        <v>674</v>
      </c>
      <c r="C21" t="s">
        <v>679</v>
      </c>
      <c r="D21" t="str">
        <f ca="1">IF(Gross_Value&gt;=0,"PASS","FAIL")</f>
        <v>PASS</v>
      </c>
    </row>
    <row r="22" spans="1:4" x14ac:dyDescent="0.2">
      <c r="A22" t="s">
        <v>680</v>
      </c>
      <c r="B22" t="s">
        <v>681</v>
      </c>
      <c r="C22" t="s">
        <v>682</v>
      </c>
      <c r="D22" t="str">
        <f>IF(ISERROR(Testing_Option),"FAIL","PASS")</f>
        <v>PASS</v>
      </c>
    </row>
    <row r="23" spans="1:4" x14ac:dyDescent="0.2">
      <c r="A23" t="s">
        <v>683</v>
      </c>
      <c r="B23" t="s">
        <v>660</v>
      </c>
      <c r="C23" t="s">
        <v>684</v>
      </c>
      <c r="D23" t="str">
        <f>IF(AND(Initial_NAFC&gt;=40,Initial_NAFC&lt;=100),"PASS","FAIL")</f>
        <v>PASS</v>
      </c>
    </row>
    <row r="24" spans="1:4" x14ac:dyDescent="0.2">
      <c r="A24" t="s">
        <v>685</v>
      </c>
      <c r="B24" t="s">
        <v>669</v>
      </c>
      <c r="C24" t="s">
        <v>686</v>
      </c>
      <c r="D24" t="str">
        <f>IF(Target_NAFC&lt;Initial_NAFC,"PASS","FAIL")</f>
        <v>PASS</v>
      </c>
    </row>
    <row r="25" spans="1:4" x14ac:dyDescent="0.2">
      <c r="A25" t="s">
        <v>687</v>
      </c>
      <c r="B25" t="s">
        <v>674</v>
      </c>
      <c r="C25" t="s">
        <v>688</v>
      </c>
      <c r="D25" t="str">
        <f ca="1">IF(Days_to_Compliance&lt;=Season_Length,"PASS","FAIL")</f>
        <v>PASS</v>
      </c>
    </row>
    <row r="26" spans="1:4" x14ac:dyDescent="0.2">
      <c r="A26" t="s">
        <v>689</v>
      </c>
      <c r="B26" t="s">
        <v>660</v>
      </c>
      <c r="C26" t="s">
        <v>690</v>
      </c>
      <c r="D26" t="str">
        <f ca="1">IF(AND(Eff_Rapid_Rate&gt;0,Eff_Slow_Rate&gt;0),"PASS","FAIL")</f>
        <v>PASS</v>
      </c>
    </row>
    <row r="29" spans="1:4" ht="19" x14ac:dyDescent="0.25">
      <c r="A29" s="4" t="s">
        <v>691</v>
      </c>
    </row>
    <row r="30" spans="1:4" x14ac:dyDescent="0.2">
      <c r="A30" t="s">
        <v>692</v>
      </c>
      <c r="B30">
        <f>COUNTA(tbl_Checks[Check_ID])</f>
        <v>14</v>
      </c>
    </row>
    <row r="31" spans="1:4" x14ac:dyDescent="0.2">
      <c r="A31" t="s">
        <v>693</v>
      </c>
      <c r="B31">
        <f ca="1">COUNTIF(tbl_Checks[Status],"PASS")</f>
        <v>14</v>
      </c>
    </row>
    <row r="32" spans="1:4" x14ac:dyDescent="0.2">
      <c r="A32" t="s">
        <v>694</v>
      </c>
      <c r="B32">
        <f ca="1">COUNTIF(tbl_Checks[Status],"FAIL")</f>
        <v>0</v>
      </c>
    </row>
    <row r="33" spans="1:2" x14ac:dyDescent="0.2">
      <c r="A33" t="s">
        <v>695</v>
      </c>
      <c r="B33" t="str">
        <f ca="1">IF(COUNTIF(tbl_Checks[Status],"FAIL")=0,"HEALTHY","REVIEW REQUIRED")</f>
        <v>HEALTHY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97</vt:i4>
      </vt:variant>
    </vt:vector>
  </HeadingPairs>
  <TitlesOfParts>
    <vt:vector size="115" baseType="lpstr">
      <vt:lpstr>0_Cover</vt:lpstr>
      <vt:lpstr>1_TOC</vt:lpstr>
      <vt:lpstr>2_Instructions</vt:lpstr>
      <vt:lpstr>3_Assumptions</vt:lpstr>
      <vt:lpstr>4_Scenarios</vt:lpstr>
      <vt:lpstr>5_ServiceModels</vt:lpstr>
      <vt:lpstr>6_Calc_Timeline</vt:lpstr>
      <vt:lpstr>7_Calc_Stochastic</vt:lpstr>
      <vt:lpstr>8_Calc_Value</vt:lpstr>
      <vt:lpstr>9_Calc_Costs</vt:lpstr>
      <vt:lpstr>10_Calc_Sim</vt:lpstr>
      <vt:lpstr>11_PL_Monthly</vt:lpstr>
      <vt:lpstr>12_PL_Annual</vt:lpstr>
      <vt:lpstr>13_CashFlow</vt:lpstr>
      <vt:lpstr>14_UnitEconomics</vt:lpstr>
      <vt:lpstr>15_Sensitivity</vt:lpstr>
      <vt:lpstr>16_Dashboard</vt:lpstr>
      <vt:lpstr>17_Checks</vt:lpstr>
      <vt:lpstr>Annual_Throughput</vt:lpstr>
      <vt:lpstr>AnnualThroughput_M3</vt:lpstr>
      <vt:lpstr>Base_Year</vt:lpstr>
      <vt:lpstr>Beta_Efficiency_Gain_Alpha</vt:lpstr>
      <vt:lpstr>Beta_Efficiency_Gain_Beta</vt:lpstr>
      <vt:lpstr>Beta_Efficiency_Gain_Max</vt:lpstr>
      <vt:lpstr>Beta_Efficiency_Gain_Min</vt:lpstr>
      <vt:lpstr>Circulation_Cycles</vt:lpstr>
      <vt:lpstr>Compliance_Status</vt:lpstr>
      <vt:lpstr>Day_80_Survival</vt:lpstr>
      <vt:lpstr>Day_LC50</vt:lpstr>
      <vt:lpstr>Day_Nontoxic</vt:lpstr>
      <vt:lpstr>Days_to_Compliance</vt:lpstr>
      <vt:lpstr>Discount_Rate</vt:lpstr>
      <vt:lpstr>DowntimeCostPerDay</vt:lpstr>
      <vt:lpstr>Eff_Rapid_Rate</vt:lpstr>
      <vt:lpstr>Eff_Slow_Rate</vt:lpstr>
      <vt:lpstr>Gate_S1</vt:lpstr>
      <vt:lpstr>Gate_S2</vt:lpstr>
      <vt:lpstr>Gate_S3</vt:lpstr>
      <vt:lpstr>Gate_S4</vt:lpstr>
      <vt:lpstr>Gross_Value</vt:lpstr>
      <vt:lpstr>Initial_NAFC</vt:lpstr>
      <vt:lpstr>LaborPerDay</vt:lpstr>
      <vt:lpstr>LearningCurve_Mult</vt:lpstr>
      <vt:lpstr>List_Scenarios</vt:lpstr>
      <vt:lpstr>List_TestingOptions</vt:lpstr>
      <vt:lpstr>MC_Anchor</vt:lpstr>
      <vt:lpstr>MC_Expected_Days</vt:lpstr>
      <vt:lpstr>MC_Expected_NPV</vt:lpstr>
      <vt:lpstr>MC_P10</vt:lpstr>
      <vt:lpstr>MC_P10_Days</vt:lpstr>
      <vt:lpstr>MC_P50</vt:lpstr>
      <vt:lpstr>MC_P50_Days</vt:lpstr>
      <vt:lpstr>MC_P90</vt:lpstr>
      <vt:lpstr>MC_P90_Days</vt:lpstr>
      <vt:lpstr>MC_Prob_Achievable</vt:lpstr>
      <vt:lpstr>MC_Prob_Positive</vt:lpstr>
      <vt:lpstr>MC_StdDev</vt:lpstr>
      <vt:lpstr>NAFC_After_Rapid</vt:lpstr>
      <vt:lpstr>NPV_Total</vt:lpstr>
      <vt:lpstr>Projection_Years</vt:lpstr>
      <vt:lpstr>Rapid_Phase_Duration</vt:lpstr>
      <vt:lpstr>Rapid_Phase_Rate</vt:lpstr>
      <vt:lpstr>Recirculation_Cycle</vt:lpstr>
      <vt:lpstr>RegulatoryPenalty</vt:lpstr>
      <vt:lpstr>S1_Value</vt:lpstr>
      <vt:lpstr>S2_Value</vt:lpstr>
      <vt:lpstr>S3_Value</vt:lpstr>
      <vt:lpstr>S4_Value</vt:lpstr>
      <vt:lpstr>Scenario_BaseValues</vt:lpstr>
      <vt:lpstr>Scenario_Select</vt:lpstr>
      <vt:lpstr>Season_End_Day</vt:lpstr>
      <vt:lpstr>Season_End_Month</vt:lpstr>
      <vt:lpstr>Season_Length</vt:lpstr>
      <vt:lpstr>Season_Start_Day</vt:lpstr>
      <vt:lpstr>Season_Start_Month</vt:lpstr>
      <vt:lpstr>Slow_Phase_Rate</vt:lpstr>
      <vt:lpstr>Stoch_Efficiency</vt:lpstr>
      <vt:lpstr>Stoch_ExtValue</vt:lpstr>
      <vt:lpstr>Stoch_Interventions</vt:lpstr>
      <vt:lpstr>Stoch_SeasonExt</vt:lpstr>
      <vt:lpstr>Stoch_TreatmentRate</vt:lpstr>
      <vt:lpstr>System_Capacity</vt:lpstr>
      <vt:lpstr>Target_NAFC</vt:lpstr>
      <vt:lpstr>Testing_Cost</vt:lpstr>
      <vt:lpstr>Testing_Option</vt:lpstr>
      <vt:lpstr>TestOpt_Cost</vt:lpstr>
      <vt:lpstr>TestOpt_Interval</vt:lpstr>
      <vt:lpstr>TestOpt_Latency</vt:lpstr>
      <vt:lpstr>TestOpt_Method</vt:lpstr>
      <vt:lpstr>TestOpt_Option</vt:lpstr>
      <vt:lpstr>TestOpt_Points</vt:lpstr>
      <vt:lpstr>Timeline_DiscountFactor</vt:lpstr>
      <vt:lpstr>Timeline_LearningMult</vt:lpstr>
      <vt:lpstr>Treatment_Cells</vt:lpstr>
      <vt:lpstr>Treatment_Days</vt:lpstr>
      <vt:lpstr>Treatment_Efficiency</vt:lpstr>
      <vt:lpstr>TreatmentCells</vt:lpstr>
      <vt:lpstr>Tri_Extension_Value_Per_Day_Max</vt:lpstr>
      <vt:lpstr>Tri_Extension_Value_Per_Day_Min</vt:lpstr>
      <vt:lpstr>Tri_Extension_Value_Per_Day_Mode</vt:lpstr>
      <vt:lpstr>Tri_Interventions_Avoided_Max</vt:lpstr>
      <vt:lpstr>Tri_Interventions_Avoided_Min</vt:lpstr>
      <vt:lpstr>Tri_Interventions_Avoided_Mode</vt:lpstr>
      <vt:lpstr>Tri_Season_Extension_Days_Max</vt:lpstr>
      <vt:lpstr>Tri_Season_Extension_Days_Min</vt:lpstr>
      <vt:lpstr>Tri_Season_Extension_Days_Mode</vt:lpstr>
      <vt:lpstr>Tri_Treatment_Rate_Factor_Max</vt:lpstr>
      <vt:lpstr>Tri_Treatment_Rate_Factor_Min</vt:lpstr>
      <vt:lpstr>Tri_Treatment_Rate_Factor_Mode</vt:lpstr>
      <vt:lpstr>Value_Per_M3</vt:lpstr>
      <vt:lpstr>ValuePer_M3</vt:lpstr>
      <vt:lpstr>Wetland_Area</vt:lpstr>
      <vt:lpstr>WetlandArea_Ha</vt:lpstr>
      <vt:lpstr>Year1_Gross_Value</vt:lpstr>
      <vt:lpstr>Year1_Net_Value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Greg Saunders</cp:lastModifiedBy>
  <dcterms:created xsi:type="dcterms:W3CDTF">2026-01-31T00:10:15Z</dcterms:created>
  <dcterms:modified xsi:type="dcterms:W3CDTF">2026-01-31T00:11:26Z</dcterms:modified>
</cp:coreProperties>
</file>