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greg/Luminous Dropbox/Obsidian/utils/financial_modeling/"/>
    </mc:Choice>
  </mc:AlternateContent>
  <xr:revisionPtr revIDLastSave="0" documentId="13_ncr:1_{0D8D6DD6-139E-C14E-97E9-8E96A37A8A32}" xr6:coauthVersionLast="47" xr6:coauthVersionMax="47" xr10:uidLastSave="{00000000-0000-0000-0000-000000000000}"/>
  <bookViews>
    <workbookView xWindow="0" yWindow="680" windowWidth="30240" windowHeight="18960" firstSheet="8" activeTab="14" xr2:uid="{00000000-000D-0000-FFFF-FFFF00000000}"/>
  </bookViews>
  <sheets>
    <sheet name="0_Cover" sheetId="1" r:id="rId1"/>
    <sheet name="1_TOC" sheetId="2" r:id="rId2"/>
    <sheet name="3_Instructions" sheetId="3" r:id="rId3"/>
    <sheet name="2_InputMap" sheetId="4" r:id="rId4"/>
    <sheet name="4_Assumptions" sheetId="5" r:id="rId5"/>
    <sheet name="5_EnvironmentalDrivers" sheetId="6" r:id="rId6"/>
    <sheet name="6_Scenarios" sheetId="7" r:id="rId7"/>
    <sheet name="7_ServiceModels" sheetId="8" r:id="rId8"/>
    <sheet name="8_Calc_Timeline" sheetId="9" r:id="rId9"/>
    <sheet name="9_Calc_Kinetics" sheetId="10" r:id="rId10"/>
    <sheet name="10_Calc_Stochastic" sheetId="11" r:id="rId11"/>
    <sheet name="11_Calc_Compliance" sheetId="12" r:id="rId12"/>
    <sheet name="12_Calc_Value" sheetId="13" r:id="rId13"/>
    <sheet name="13_Calc_Costs" sheetId="14" r:id="rId14"/>
    <sheet name="14_Calc_Sim" sheetId="15" r:id="rId15"/>
    <sheet name="15_PL_Monthly" sheetId="16" r:id="rId16"/>
    <sheet name="16_PL_Annual" sheetId="17" r:id="rId17"/>
    <sheet name="17_CashFlow" sheetId="18" r:id="rId18"/>
    <sheet name="18_UnitEconomics" sheetId="19" r:id="rId19"/>
    <sheet name="19_Sensitivity" sheetId="20" r:id="rId20"/>
    <sheet name="20_Dashboard" sheetId="21" r:id="rId21"/>
    <sheet name="21_Checks" sheetId="22" r:id="rId22"/>
  </sheets>
  <definedNames>
    <definedName name="AdjustedValue">'12_Calc_Value'!$E$21</definedName>
    <definedName name="Annual_Throughput">'4_Assumptions'!$B$39</definedName>
    <definedName name="AnnualThroughput_M3">'4_Assumptions'!$B$39</definedName>
    <definedName name="Base_Year">'1_TOC'!$B$14</definedName>
    <definedName name="Beta_Efficiency_Gain_Alpha">'7_ServiceModels'!$B$23</definedName>
    <definedName name="Beta_Efficiency_Gain_Beta">'7_ServiceModels'!$C$23</definedName>
    <definedName name="Beta_Efficiency_Gain_Max">'7_ServiceModels'!$E$23</definedName>
    <definedName name="Beta_Efficiency_Gain_Min">'7_ServiceModels'!$D$23</definedName>
    <definedName name="Bioavail_Modifier">'9_Calc_Kinetics'!$C$12</definedName>
    <definedName name="Circulation_Cycles">'8_Calc_Timeline'!$C$28</definedName>
    <definedName name="Compliance_Status">'8_Calc_Timeline'!$C$31</definedName>
    <definedName name="ComplianceGate">'11_Calc_Compliance'!$C$24</definedName>
    <definedName name="Day_80_Survival">'4_Assumptions'!$B$125</definedName>
    <definedName name="Day_LC50">'4_Assumptions'!$B$124</definedName>
    <definedName name="Day_Nontoxic">'4_Assumptions'!$B$126</definedName>
    <definedName name="Days_to_Compliance">'8_Calc_Timeline'!$C$27</definedName>
    <definedName name="Discount_Rate">'1_TOC'!$B$12</definedName>
    <definedName name="DO_Modifier">'9_Calc_Kinetics'!$C$10</definedName>
    <definedName name="DowntimeCostPerDay">'4_Assumptions'!$B$52</definedName>
    <definedName name="Eff_Rapid_Rate">'8_Calc_Timeline'!$C$24</definedName>
    <definedName name="Eff_Slow_Rate">'8_Calc_Timeline'!$C$25</definedName>
    <definedName name="Effective_Rate">'9_Calc_Kinetics'!$C$16</definedName>
    <definedName name="Env_Bioavail_Index_Aug">'5_EnvironmentalDrivers'!$F$12</definedName>
    <definedName name="Env_Bioavail_Index_Jul">'5_EnvironmentalDrivers'!$E$12</definedName>
    <definedName name="Env_Bioavail_Index_Jun">'5_EnvironmentalDrivers'!$D$12</definedName>
    <definedName name="Env_Bioavail_Index_May">'5_EnvironmentalDrivers'!$C$12</definedName>
    <definedName name="Env_Bioavail_Index_Sep">'5_EnvironmentalDrivers'!$G$12</definedName>
    <definedName name="Env_DO_Typical_Aug">'5_EnvironmentalDrivers'!$F$10</definedName>
    <definedName name="Env_DO_Typical_Jul">'5_EnvironmentalDrivers'!$E$10</definedName>
    <definedName name="Env_DO_Typical_Jun">'5_EnvironmentalDrivers'!$D$10</definedName>
    <definedName name="Env_DO_Typical_May">'5_EnvironmentalDrivers'!$C$10</definedName>
    <definedName name="Env_DO_Typical_Sep">'5_EnvironmentalDrivers'!$G$10</definedName>
    <definedName name="Env_Nutrient_Index_Aug">'5_EnvironmentalDrivers'!$F$11</definedName>
    <definedName name="Env_Nutrient_Index_Jul">'5_EnvironmentalDrivers'!$E$11</definedName>
    <definedName name="Env_Nutrient_Index_Jun">'5_EnvironmentalDrivers'!$D$11</definedName>
    <definedName name="Env_Nutrient_Index_May">'5_EnvironmentalDrivers'!$C$11</definedName>
    <definedName name="Env_Nutrient_Index_Sep">'5_EnvironmentalDrivers'!$G$11</definedName>
    <definedName name="Env_Temp_Water_Aug">'5_EnvironmentalDrivers'!$F$8</definedName>
    <definedName name="Env_Temp_Water_Jul">'5_EnvironmentalDrivers'!$E$8</definedName>
    <definedName name="Env_Temp_Water_Jun">'5_EnvironmentalDrivers'!$D$8</definedName>
    <definedName name="Env_Temp_Water_May">'5_EnvironmentalDrivers'!$C$8</definedName>
    <definedName name="Env_Temp_Water_Sep">'5_EnvironmentalDrivers'!$G$8</definedName>
    <definedName name="Env_UV_Relative_Aug">'5_EnvironmentalDrivers'!$F$9</definedName>
    <definedName name="Env_UV_Relative_Jul">'5_EnvironmentalDrivers'!$E$9</definedName>
    <definedName name="Env_UV_Relative_Jun">'5_EnvironmentalDrivers'!$D$9</definedName>
    <definedName name="Env_UV_Relative_May">'5_EnvironmentalDrivers'!$C$9</definedName>
    <definedName name="Env_UV_Relative_Sep">'5_EnvironmentalDrivers'!$G$9</definedName>
    <definedName name="Final_NAFC">'8_Calc_Timeline'!$C$30</definedName>
    <definedName name="Gate_Chloride">'11_Calc_Compliance'!$D$9</definedName>
    <definedName name="Gate_DO">'11_Calc_Compliance'!$D$11</definedName>
    <definedName name="Gate_Foam">'11_Calc_Compliance'!$D$20</definedName>
    <definedName name="Gate_NAFC">'11_Calc_Compliance'!$D$16</definedName>
    <definedName name="Gate_Odor">'11_Calc_Compliance'!$D$19</definedName>
    <definedName name="Gate_Oil_Sheen">'11_Calc_Compliance'!$D$18</definedName>
    <definedName name="Gate_pH_High">'11_Calc_Compliance'!$D$13</definedName>
    <definedName name="Gate_pH_Low">'11_Calc_Compliance'!$D$12</definedName>
    <definedName name="Gate_S1">'4_Assumptions'!$B$87:$B$89</definedName>
    <definedName name="Gate_S2">'4_Assumptions'!$C$87:$C$89</definedName>
    <definedName name="Gate_S3">'4_Assumptions'!$D$87:$D$89</definedName>
    <definedName name="Gate_S4">'4_Assumptions'!$E$87:$E$89</definedName>
    <definedName name="Gate_SAR">'11_Calc_Compliance'!$D$10</definedName>
    <definedName name="Gate_Sulfate">'11_Calc_Compliance'!$D$14</definedName>
    <definedName name="Gate_Temperature">'11_Calc_Compliance'!$D$15</definedName>
    <definedName name="Gate_Toxicity">'11_Calc_Compliance'!$D$8</definedName>
    <definedName name="Gate_Turbidity">'11_Calc_Compliance'!$D$17</definedName>
    <definedName name="Gross_Value">'12_Calc_Value'!$E$18</definedName>
    <definedName name="Initial_NAFC">'4_Assumptions'!$B$108</definedName>
    <definedName name="Ionic_Chloride_Max">'5_EnvironmentalDrivers'!$E$17</definedName>
    <definedName name="Ionic_Chloride_Min">'5_EnvironmentalDrivers'!$C$17</definedName>
    <definedName name="Ionic_Chloride_Mode">'5_EnvironmentalDrivers'!$D$17</definedName>
    <definedName name="Ionic_Chloride_Threshold">'5_EnvironmentalDrivers'!$F$17</definedName>
    <definedName name="Ionic_DO_Compliance_Max">'5_EnvironmentalDrivers'!$E$20</definedName>
    <definedName name="Ionic_DO_Compliance_Min">'5_EnvironmentalDrivers'!$C$20</definedName>
    <definedName name="Ionic_DO_Compliance_Mode">'5_EnvironmentalDrivers'!$D$20</definedName>
    <definedName name="Ionic_DO_Compliance_Threshold">'5_EnvironmentalDrivers'!$F$20</definedName>
    <definedName name="Ionic_SAR_Max">'5_EnvironmentalDrivers'!$E$18</definedName>
    <definedName name="Ionic_SAR_Min">'5_EnvironmentalDrivers'!$C$18</definedName>
    <definedName name="Ionic_SAR_Mode">'5_EnvironmentalDrivers'!$D$18</definedName>
    <definedName name="Ionic_SAR_Threshold">'5_EnvironmentalDrivers'!$F$18</definedName>
    <definedName name="Ionic_Sulfate_Max">'5_EnvironmentalDrivers'!$E$19</definedName>
    <definedName name="Ionic_Sulfate_Min">'5_EnvironmentalDrivers'!$C$19</definedName>
    <definedName name="Ionic_Sulfate_Mode">'5_EnvironmentalDrivers'!$D$19</definedName>
    <definedName name="Ionic_Sulfate_Threshold">'5_EnvironmentalDrivers'!$F$19</definedName>
    <definedName name="LaborPerDay">'4_Assumptions'!$B$50</definedName>
    <definedName name="LearningCurve_Mult">'4_Assumptions'!$B$62:$B$66</definedName>
    <definedName name="List_Scenarios">'4_Assumptions'!$B$94:$B$96</definedName>
    <definedName name="List_TestingOptions">'4_Assumptions'!$A$94:$A$96</definedName>
    <definedName name="MC_Anchor">'4_Assumptions'!$B$99</definedName>
    <definedName name="MC_Expected_Days">'14_Calc_Sim'!$B$1024</definedName>
    <definedName name="MC_Expected_NPV">'14_Calc_Sim'!$B$1016</definedName>
    <definedName name="MC_P10">'14_Calc_Sim'!$B$1017</definedName>
    <definedName name="MC_P10_Days">'14_Calc_Sim'!$B$1025</definedName>
    <definedName name="MC_P50">'14_Calc_Sim'!$B$1018</definedName>
    <definedName name="MC_P50_Days">'14_Calc_Sim'!$B$1026</definedName>
    <definedName name="MC_P90">'14_Calc_Sim'!$B$1019</definedName>
    <definedName name="MC_P90_Days">'14_Calc_Sim'!$B$1027</definedName>
    <definedName name="MC_Prob_Achievable">'14_Calc_Sim'!$B$1028</definedName>
    <definedName name="MC_Prob_Positive">'14_Calc_Sim'!$B$1021</definedName>
    <definedName name="MC_StdDev">'14_Calc_Sim'!$B$1020</definedName>
    <definedName name="NAFC_After_Rapid">'8_Calc_Timeline'!$C$26</definedName>
    <definedName name="NPV_Total">'16_PL_Annual'!$B$21</definedName>
    <definedName name="Nutrient_Modifier">'9_Calc_Kinetics'!$C$11</definedName>
    <definedName name="Projection_Years">'1_TOC'!$B$13</definedName>
    <definedName name="Q10_Factor">'9_Calc_Kinetics'!$C$8</definedName>
    <definedName name="Rapid_Phase_Duration">'4_Assumptions'!$B$112</definedName>
    <definedName name="Rapid_Phase_Rate">'4_Assumptions'!$B$110</definedName>
    <definedName name="Recirculation_Cycle">'4_Assumptions'!$B$113</definedName>
    <definedName name="RegulatoryPenalty">'4_Assumptions'!$B$51</definedName>
    <definedName name="S1_Value">'12_Calc_Value'!$E$13</definedName>
    <definedName name="S2_Value">'12_Calc_Value'!$E$14</definedName>
    <definedName name="S3_Value">'12_Calc_Value'!$E$15</definedName>
    <definedName name="S4_Value">'12_Calc_Value'!$E$16</definedName>
    <definedName name="Scenario_BaseValues">'6_Scenarios'!$C$10:$C$13</definedName>
    <definedName name="Scenario_Select">'1_TOC'!$B$11</definedName>
    <definedName name="Season_End_Day">'4_Assumptions'!$B$13</definedName>
    <definedName name="Season_End_Month">'4_Assumptions'!$B$12</definedName>
    <definedName name="Season_Length">'4_Assumptions'!$B$14</definedName>
    <definedName name="Season_Start_Day">'4_Assumptions'!$B$11</definedName>
    <definedName name="Season_Start_Month">'4_Assumptions'!$B$10</definedName>
    <definedName name="Slow_Phase_Rate">'4_Assumptions'!$B$111</definedName>
    <definedName name="Stoch_Efficiency">'10_Calc_Stochastic'!$C$17</definedName>
    <definedName name="Stoch_ExtValue">'10_Calc_Stochastic'!$C$15</definedName>
    <definedName name="Stoch_Interventions">'10_Calc_Stochastic'!$C$16</definedName>
    <definedName name="Stoch_SeasonExt">'10_Calc_Stochastic'!$C$14</definedName>
    <definedName name="Stoch_TreatmentRate">'10_Calc_Stochastic'!$C$18</definedName>
    <definedName name="System_Capacity">'4_Assumptions'!$B$114</definedName>
    <definedName name="Target_NAFC">'4_Assumptions'!$B$109</definedName>
    <definedName name="Testing_Cost">'13_Calc_Costs'!$C$19</definedName>
    <definedName name="Testing_Option">'1_TOC'!$B$10</definedName>
    <definedName name="TestOpt_Cost">'4_Assumptions'!$E$76:$E$78</definedName>
    <definedName name="TestOpt_Interval">'4_Assumptions'!$C$76:$C$78</definedName>
    <definedName name="TestOpt_Latency">'4_Assumptions'!$F$76:$F$78</definedName>
    <definedName name="TestOpt_Method">'4_Assumptions'!$B$76:$B$78</definedName>
    <definedName name="TestOpt_Option">'4_Assumptions'!$A$76:$A$78</definedName>
    <definedName name="TestOpt_Points">'4_Assumptions'!$D$76:$D$78</definedName>
    <definedName name="Timeline_DiscountFactor">'8_Calc_Timeline'!$D$13:$D$18</definedName>
    <definedName name="Timeline_LearningMult">'8_Calc_Timeline'!$E$13:$E$18</definedName>
    <definedName name="Treatment_Cells">'4_Assumptions'!$B$38</definedName>
    <definedName name="Treatment_Days">'4_Assumptions'!$B$14</definedName>
    <definedName name="Treatment_Efficiency">'8_Calc_Timeline'!$C$29</definedName>
    <definedName name="TreatmentCells">'4_Assumptions'!$B$38</definedName>
    <definedName name="Tri_Extension_Value_Per_Day_Max">'7_ServiceModels'!$D$11</definedName>
    <definedName name="Tri_Extension_Value_Per_Day_Min">'7_ServiceModels'!$B$11</definedName>
    <definedName name="Tri_Extension_Value_Per_Day_Mode">'7_ServiceModels'!$C$11</definedName>
    <definedName name="Tri_Interventions_Avoided_Max">'7_ServiceModels'!$D$12</definedName>
    <definedName name="Tri_Interventions_Avoided_Min">'7_ServiceModels'!$B$12</definedName>
    <definedName name="Tri_Interventions_Avoided_Mode">'7_ServiceModels'!$C$12</definedName>
    <definedName name="Tri_Season_Extension_Days_Max">'7_ServiceModels'!$D$10</definedName>
    <definedName name="Tri_Season_Extension_Days_Min">'7_ServiceModels'!$B$10</definedName>
    <definedName name="Tri_Season_Extension_Days_Mode">'7_ServiceModels'!$C$10</definedName>
    <definedName name="Tri_Treatment_Rate_Factor_Max">'7_ServiceModels'!$D$13</definedName>
    <definedName name="Tri_Treatment_Rate_Factor_Min">'7_ServiceModels'!$B$13</definedName>
    <definedName name="Tri_Treatment_Rate_Factor_Mode">'7_ServiceModels'!$C$13</definedName>
    <definedName name="UV_Modifier">'9_Calc_Kinetics'!$C$9</definedName>
    <definedName name="Value_Per_M3">'4_Assumptions'!$B$40</definedName>
    <definedName name="ValuePer_M3">'4_Assumptions'!$B$40</definedName>
    <definedName name="Wetland_Area">'4_Assumptions'!$B$37</definedName>
    <definedName name="WetlandArea_Ha">'4_Assumptions'!$B$37</definedName>
    <definedName name="Year1_Gross_Value">'16_PL_Annual'!$F$13</definedName>
    <definedName name="Year1_Net_Value">'16_PL_Annual'!$H$13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22" l="1"/>
  <c r="D24" i="22"/>
  <c r="D23" i="22"/>
  <c r="D22" i="22"/>
  <c r="D18" i="22"/>
  <c r="D17" i="22"/>
  <c r="D16" i="22"/>
  <c r="D15" i="22"/>
  <c r="D14" i="22"/>
  <c r="D13" i="22"/>
  <c r="B44" i="21"/>
  <c r="C43" i="21"/>
  <c r="B43" i="21"/>
  <c r="B13" i="21"/>
  <c r="B25" i="19"/>
  <c r="B13" i="19"/>
  <c r="A17" i="18"/>
  <c r="A16" i="18"/>
  <c r="A15" i="18"/>
  <c r="A14" i="18"/>
  <c r="A13" i="18"/>
  <c r="A17" i="17"/>
  <c r="A16" i="17"/>
  <c r="A15" i="17"/>
  <c r="A14" i="17"/>
  <c r="A13" i="17"/>
  <c r="B1028" i="15"/>
  <c r="B1027" i="15"/>
  <c r="B1026" i="15"/>
  <c r="B1025" i="15"/>
  <c r="B1024" i="15"/>
  <c r="B1021" i="15"/>
  <c r="B18" i="21" s="1"/>
  <c r="B1020" i="15"/>
  <c r="B1019" i="15"/>
  <c r="B17" i="21" s="1"/>
  <c r="B1018" i="15"/>
  <c r="B16" i="21" s="1"/>
  <c r="B1017" i="15"/>
  <c r="B15" i="21" s="1"/>
  <c r="B1016" i="15"/>
  <c r="C16" i="14"/>
  <c r="C15" i="14"/>
  <c r="C14" i="14"/>
  <c r="C17" i="14" s="1"/>
  <c r="C18" i="14" s="1"/>
  <c r="C19" i="14" s="1"/>
  <c r="C13" i="14"/>
  <c r="C16" i="13"/>
  <c r="B16" i="13"/>
  <c r="C15" i="13"/>
  <c r="B15" i="13"/>
  <c r="B14" i="13"/>
  <c r="B13" i="13"/>
  <c r="B24" i="12"/>
  <c r="D20" i="12"/>
  <c r="E20" i="12" s="1"/>
  <c r="D19" i="12"/>
  <c r="E19" i="12" s="1"/>
  <c r="D18" i="12"/>
  <c r="E18" i="12" s="1"/>
  <c r="D17" i="12"/>
  <c r="E17" i="12" s="1"/>
  <c r="D15" i="12"/>
  <c r="E15" i="12" s="1"/>
  <c r="D14" i="12"/>
  <c r="E14" i="12" s="1"/>
  <c r="D13" i="12"/>
  <c r="E13" i="12" s="1"/>
  <c r="D12" i="12"/>
  <c r="E12" i="12" s="1"/>
  <c r="D11" i="12"/>
  <c r="E11" i="12" s="1"/>
  <c r="D10" i="12"/>
  <c r="E10" i="12" s="1"/>
  <c r="D9" i="12"/>
  <c r="E9" i="12" s="1"/>
  <c r="B18" i="11"/>
  <c r="C18" i="11" s="1"/>
  <c r="B17" i="11"/>
  <c r="C17" i="11" s="1"/>
  <c r="B16" i="11"/>
  <c r="C16" i="11" s="1"/>
  <c r="D14" i="13" s="1"/>
  <c r="B15" i="11"/>
  <c r="C15" i="11" s="1"/>
  <c r="B14" i="11"/>
  <c r="C14" i="11" s="1"/>
  <c r="D13" i="13" s="1"/>
  <c r="C12" i="10"/>
  <c r="C11" i="10"/>
  <c r="C10" i="10"/>
  <c r="C9" i="10"/>
  <c r="C8" i="10"/>
  <c r="C16" i="10" s="1"/>
  <c r="C17" i="10" s="1"/>
  <c r="C29" i="9"/>
  <c r="E18" i="9"/>
  <c r="D18" i="9"/>
  <c r="I17" i="17" s="1"/>
  <c r="C18" i="9"/>
  <c r="B18" i="9"/>
  <c r="E17" i="9"/>
  <c r="D17" i="9"/>
  <c r="I16" i="17" s="1"/>
  <c r="C17" i="9"/>
  <c r="B17" i="9"/>
  <c r="E16" i="9"/>
  <c r="D16" i="9"/>
  <c r="I15" i="17" s="1"/>
  <c r="C16" i="9"/>
  <c r="B16" i="9"/>
  <c r="E15" i="9"/>
  <c r="D15" i="9"/>
  <c r="I14" i="17" s="1"/>
  <c r="C15" i="9"/>
  <c r="B15" i="9"/>
  <c r="E14" i="9"/>
  <c r="D14" i="9"/>
  <c r="I13" i="17" s="1"/>
  <c r="C14" i="9"/>
  <c r="B14" i="9"/>
  <c r="C13" i="9"/>
  <c r="B13" i="9"/>
  <c r="E89" i="5"/>
  <c r="C34" i="21" s="1"/>
  <c r="D89" i="5"/>
  <c r="C33" i="21" s="1"/>
  <c r="C89" i="5"/>
  <c r="B89" i="5"/>
  <c r="E88" i="5"/>
  <c r="D88" i="5"/>
  <c r="C88" i="5"/>
  <c r="B88" i="5"/>
  <c r="E87" i="5"/>
  <c r="D87" i="5"/>
  <c r="C87" i="5"/>
  <c r="B87" i="5"/>
  <c r="B28" i="4"/>
  <c r="B27" i="4"/>
  <c r="B26" i="4"/>
  <c r="B25" i="4"/>
  <c r="B24" i="4"/>
  <c r="B23" i="4"/>
  <c r="B22" i="4"/>
  <c r="B21" i="4"/>
  <c r="B20" i="4"/>
  <c r="B19" i="4"/>
  <c r="B18" i="4"/>
  <c r="B17" i="4"/>
  <c r="B16" i="4"/>
  <c r="B15" i="4"/>
  <c r="B14" i="4"/>
  <c r="B13" i="4"/>
  <c r="B11" i="4"/>
  <c r="B10" i="4"/>
  <c r="B9" i="4"/>
  <c r="B8" i="4"/>
  <c r="B7" i="4"/>
  <c r="B6" i="4"/>
  <c r="B5" i="4"/>
  <c r="B5" i="1"/>
  <c r="C50" i="21" l="1"/>
  <c r="B50" i="21"/>
  <c r="C49" i="21"/>
  <c r="B49" i="21"/>
  <c r="C48" i="21"/>
  <c r="B48" i="21"/>
  <c r="G10" i="15"/>
  <c r="G13" i="17"/>
  <c r="G16" i="17"/>
  <c r="D20" i="22"/>
  <c r="G15" i="17"/>
  <c r="B26" i="19"/>
  <c r="G14" i="17"/>
  <c r="G17" i="17"/>
  <c r="B16" i="19"/>
  <c r="B20" i="19"/>
  <c r="B20" i="21"/>
  <c r="C24" i="9"/>
  <c r="C25" i="9"/>
  <c r="B30" i="4" s="1"/>
  <c r="D15" i="13"/>
  <c r="E15" i="13" s="1"/>
  <c r="D16" i="13"/>
  <c r="E16" i="13" s="1"/>
  <c r="C47" i="21"/>
  <c r="B47" i="21"/>
  <c r="C14" i="13"/>
  <c r="E14" i="13" s="1"/>
  <c r="C32" i="21"/>
  <c r="C13" i="13"/>
  <c r="E13" i="13" s="1"/>
  <c r="C31" i="21"/>
  <c r="C26" i="9" l="1"/>
  <c r="D26" i="22"/>
  <c r="B29" i="4"/>
  <c r="D16" i="17"/>
  <c r="D15" i="17"/>
  <c r="B33" i="21"/>
  <c r="D14" i="17"/>
  <c r="E10" i="15"/>
  <c r="D17" i="17"/>
  <c r="D13" i="17"/>
  <c r="B34" i="21"/>
  <c r="E17" i="17"/>
  <c r="E15" i="17"/>
  <c r="E13" i="17"/>
  <c r="F10" i="15"/>
  <c r="E16" i="17"/>
  <c r="E14" i="17"/>
  <c r="D10" i="15"/>
  <c r="C14" i="17"/>
  <c r="C15" i="17"/>
  <c r="C17" i="17"/>
  <c r="B32" i="21"/>
  <c r="C13" i="17"/>
  <c r="C16" i="17"/>
  <c r="B13" i="17"/>
  <c r="B14" i="17"/>
  <c r="C10" i="15"/>
  <c r="B31" i="21"/>
  <c r="E18" i="13"/>
  <c r="B15" i="17"/>
  <c r="B16" i="17"/>
  <c r="B17" i="17"/>
  <c r="F13" i="17" l="1"/>
  <c r="F14" i="17"/>
  <c r="H14" i="17" s="1"/>
  <c r="J14" i="17" s="1"/>
  <c r="C27" i="9"/>
  <c r="B31" i="4"/>
  <c r="B14" i="18"/>
  <c r="B14" i="19"/>
  <c r="B18" i="19"/>
  <c r="H10" i="15"/>
  <c r="D21" i="22"/>
  <c r="F15" i="17"/>
  <c r="H15" i="17" s="1"/>
  <c r="F16" i="17"/>
  <c r="F17" i="17"/>
  <c r="H17" i="17" s="1"/>
  <c r="H13" i="17" l="1"/>
  <c r="B21" i="21"/>
  <c r="C28" i="9"/>
  <c r="I10" i="15"/>
  <c r="C30" i="9"/>
  <c r="D8" i="12" s="1"/>
  <c r="B45" i="21"/>
  <c r="C31" i="9"/>
  <c r="C45" i="21" s="1"/>
  <c r="D16" i="12"/>
  <c r="E16" i="12" s="1"/>
  <c r="D25" i="22"/>
  <c r="B32" i="4"/>
  <c r="B15" i="18"/>
  <c r="J15" i="17"/>
  <c r="B17" i="18"/>
  <c r="J17" i="17"/>
  <c r="H16" i="17"/>
  <c r="B22" i="17"/>
  <c r="J13" i="17" l="1"/>
  <c r="B23" i="17"/>
  <c r="B13" i="18"/>
  <c r="C13" i="18" s="1"/>
  <c r="C14" i="18" s="1"/>
  <c r="C15" i="18" s="1"/>
  <c r="C16" i="18" s="1"/>
  <c r="C17" i="18" s="1"/>
  <c r="B22" i="21"/>
  <c r="B46" i="21"/>
  <c r="C46" i="21"/>
  <c r="C25" i="12"/>
  <c r="E8" i="12"/>
  <c r="C24" i="12"/>
  <c r="C26" i="12"/>
  <c r="D13" i="18"/>
  <c r="D14" i="18" s="1"/>
  <c r="D15" i="18" s="1"/>
  <c r="D16" i="18" s="1"/>
  <c r="D17" i="18" s="1"/>
  <c r="B16" i="18"/>
  <c r="J16" i="17"/>
  <c r="B21" i="17" s="1"/>
  <c r="E21" i="13" l="1"/>
  <c r="B19" i="21"/>
  <c r="D24" i="12"/>
  <c r="B20" i="13"/>
  <c r="C20" i="13" s="1"/>
  <c r="D27" i="22"/>
  <c r="D19" i="22"/>
  <c r="B10" i="15"/>
  <c r="B21" i="19"/>
  <c r="E13" i="20"/>
  <c r="F13" i="20"/>
  <c r="E14" i="20"/>
  <c r="F14" i="20"/>
  <c r="E15" i="20"/>
  <c r="F15" i="20"/>
  <c r="G15" i="20" s="1"/>
  <c r="E16" i="20"/>
  <c r="F16" i="20"/>
  <c r="B14" i="21"/>
  <c r="G16" i="20" l="1"/>
  <c r="G14" i="20"/>
  <c r="D28" i="22"/>
  <c r="B35" i="22" s="1"/>
  <c r="B27" i="19"/>
  <c r="B19" i="19"/>
  <c r="B17" i="19"/>
  <c r="B15" i="19"/>
  <c r="G13" i="20"/>
  <c r="B33" i="22" l="1"/>
  <c r="B34" i="22"/>
  <c r="B10" i="1"/>
  <c r="B9" i="1"/>
  <c r="B67" i="21"/>
  <c r="B68" i="21"/>
</calcChain>
</file>

<file path=xl/sharedStrings.xml><?xml version="1.0" encoding="utf-8"?>
<sst xmlns="http://schemas.openxmlformats.org/spreadsheetml/2006/main" count="1289" uniqueCount="849">
  <si>
    <t>Luminous Wetland Monte Carlo Financial Model</t>
  </si>
  <si>
    <t>FAST Standard Compliant (18-Sheet Architecture)</t>
  </si>
  <si>
    <t>Version:</t>
  </si>
  <si>
    <t>3.0</t>
  </si>
  <si>
    <t>Date:</t>
  </si>
  <si>
    <t>Author:</t>
  </si>
  <si>
    <t>Luminous BioSolutions</t>
  </si>
  <si>
    <t>Model Status</t>
  </si>
  <si>
    <t>Health:</t>
  </si>
  <si>
    <t>Errors:</t>
  </si>
  <si>
    <t>Sheet Navigation</t>
  </si>
  <si>
    <t>1_TOC</t>
  </si>
  <si>
    <t>Table of Contents / Control panel</t>
  </si>
  <si>
    <t>3_Instructions</t>
  </si>
  <si>
    <t>Methodology and documentation</t>
  </si>
  <si>
    <t>4_Assumptions</t>
  </si>
  <si>
    <t>ALL inputs (timing, site, test options, validation)</t>
  </si>
  <si>
    <t>6_Scenarios</t>
  </si>
  <si>
    <t>Value scenario definitions</t>
  </si>
  <si>
    <t>7_ServiceModels</t>
  </si>
  <si>
    <t>Monte Carlo distributions</t>
  </si>
  <si>
    <t>8_Calc_Timeline</t>
  </si>
  <si>
    <t>Projection timeline</t>
  </si>
  <si>
    <t>10_Calc_Stochastic</t>
  </si>
  <si>
    <t>Random variable generation</t>
  </si>
  <si>
    <t>12_Calc_Value</t>
  </si>
  <si>
    <t>Gated value calculations</t>
  </si>
  <si>
    <t>13_Calc_Costs</t>
  </si>
  <si>
    <t>Cost calculations</t>
  </si>
  <si>
    <t>14_Calc_Sim</t>
  </si>
  <si>
    <t>1000-iteration Monte Carlo</t>
  </si>
  <si>
    <t>15_PL_Monthly</t>
  </si>
  <si>
    <t>Monthly P&amp;L (placeholder)</t>
  </si>
  <si>
    <t>16_PL_Annual</t>
  </si>
  <si>
    <t>Annual projections</t>
  </si>
  <si>
    <t>17_CashFlow</t>
  </si>
  <si>
    <t>Cumulative projections</t>
  </si>
  <si>
    <t>18_UnitEconomics</t>
  </si>
  <si>
    <t>Unit economics view</t>
  </si>
  <si>
    <t>19_Sensitivity</t>
  </si>
  <si>
    <t>Tornado analysis</t>
  </si>
  <si>
    <t>20_Dashboard</t>
  </si>
  <si>
    <t>Executive dashboard</t>
  </si>
  <si>
    <t>21_Checks</t>
  </si>
  <si>
    <t>Validation checks</t>
  </si>
  <si>
    <t>Control Panel</t>
  </si>
  <si>
    <t>Description:</t>
  </si>
  <si>
    <t>User-editable model parameters that drive all calculations. Change these values to explore different scenarios.</t>
  </si>
  <si>
    <t>Purpose:</t>
  </si>
  <si>
    <t>Provide a single location for users to modify key model inputs</t>
  </si>
  <si>
    <t>Assumptions:</t>
  </si>
  <si>
    <t>- Testing_Option selects between HRMS and biosensor approaches
- Scenario_Select chooses conservative, base, or optimistic parameters
- Discount_Rate applies to all NPV calculations
- Projection_Years determines the financial projection horizon</t>
  </si>
  <si>
    <t>Data Source:</t>
  </si>
  <si>
    <t>User input - default values from Financial Model Framework v2.1</t>
  </si>
  <si>
    <t>Related Tables:</t>
  </si>
  <si>
    <t>tbl_ModelScenarios, tbl_TestOptions</t>
  </si>
  <si>
    <t>Parameter</t>
  </si>
  <si>
    <t>Value</t>
  </si>
  <si>
    <t>Validation</t>
  </si>
  <si>
    <t>Description</t>
  </si>
  <si>
    <t>Testing_Option</t>
  </si>
  <si>
    <t>Daily_Biosensor</t>
  </si>
  <si>
    <t>Dropdown</t>
  </si>
  <si>
    <t>Selected testing method</t>
  </si>
  <si>
    <t>Scenario_Select</t>
  </si>
  <si>
    <t>Base</t>
  </si>
  <si>
    <t>Model scenario</t>
  </si>
  <si>
    <t>Discount_Rate</t>
  </si>
  <si>
    <t>0%-15%</t>
  </si>
  <si>
    <t>NPV discount rate</t>
  </si>
  <si>
    <t>Projection_Years</t>
  </si>
  <si>
    <t>1-10</t>
  </si>
  <si>
    <t>Projection horizon</t>
  </si>
  <si>
    <t>Base_Year</t>
  </si>
  <si>
    <t>2024-2030</t>
  </si>
  <si>
    <t>Model start year</t>
  </si>
  <si>
    <t>Model Instructions &amp; Documentation</t>
  </si>
  <si>
    <t>1. Model Purpose</t>
  </si>
  <si>
    <t xml:space="preserve">  - Quantify value of high-frequency biosensor monitoring vs HRMS for OSPW wetland treatment</t>
  </si>
  <si>
    <t xml:space="preserve">  - Monte Carlo simulation for uncertainty quantification (1000 iterations)</t>
  </si>
  <si>
    <t xml:space="preserve">  - FAST Standard compliance for transparency and auditability</t>
  </si>
  <si>
    <t xml:space="preserve">  - All calculations performed in Excel - Python only generates structure/formulas</t>
  </si>
  <si>
    <t>2. How to Use This Model</t>
  </si>
  <si>
    <t>1. Edit yellow-highlighted cells in 1_TOC and 4_Assumptions</t>
  </si>
  <si>
    <t>2. Go to 14_Calc_Sim and set up the Data Table:</t>
  </si>
  <si>
    <t xml:space="preserve">   - Select range shown in instructions (formula row through 1000 iterations)</t>
  </si>
  <si>
    <t xml:space="preserve">   - Data &gt; What-If Analysis &gt; Data Table</t>
  </si>
  <si>
    <t xml:space="preserve">   - Column Input Cell: $K$1 (blank cell on same sheet)</t>
  </si>
  <si>
    <t>3. Press Ctrl+Alt+F9 to run Monte Carlo simulation</t>
  </si>
  <si>
    <t>4. View results in 20_Dashboard</t>
  </si>
  <si>
    <t>5. Check 21_Checks for any validation errors</t>
  </si>
  <si>
    <t>3. Latency Gating Logic</t>
  </si>
  <si>
    <t>HRMS lab testing has 42-day turnaround, blocking time-sensitive decisions:</t>
  </si>
  <si>
    <t>Scenario</t>
  </si>
  <si>
    <t>Required_Response</t>
  </si>
  <si>
    <t>HRMS_42d</t>
  </si>
  <si>
    <t>Biosensor_1d</t>
  </si>
  <si>
    <t>S1: Season Extension</t>
  </si>
  <si>
    <t>7 days</t>
  </si>
  <si>
    <t>BLOCKED</t>
  </si>
  <si>
    <t>ENABLED</t>
  </si>
  <si>
    <t>S2: Intervention Avoidance</t>
  </si>
  <si>
    <t>S3: Spatial Routing</t>
  </si>
  <si>
    <t>14 days</t>
  </si>
  <si>
    <t>S4: Early Detection</t>
  </si>
  <si>
    <t>3 days</t>
  </si>
  <si>
    <t>4. Glossary</t>
  </si>
  <si>
    <t>HRMS</t>
  </si>
  <si>
    <t>High-Resolution Mass Spectrometry</t>
  </si>
  <si>
    <t>OSPW</t>
  </si>
  <si>
    <t>Oil Sands Process-affected Water</t>
  </si>
  <si>
    <t>ARO</t>
  </si>
  <si>
    <t>Asset Retirement Obligation</t>
  </si>
  <si>
    <t>NPV</t>
  </si>
  <si>
    <t>Net Present Value</t>
  </si>
  <si>
    <t>HLR</t>
  </si>
  <si>
    <t>Hydraulic Loading Rate</t>
  </si>
  <si>
    <t>FAST</t>
  </si>
  <si>
    <t>Flexible, Appropriate, Structured, Transparent</t>
  </si>
  <si>
    <t>NAFC</t>
  </si>
  <si>
    <t>Naphthenic Acid Fraction Compounds</t>
  </si>
  <si>
    <t>5. Data Sources</t>
  </si>
  <si>
    <t xml:space="preserve">  - Zhang (2026) Long-Dated Environmental Liabilities in Oil Sands</t>
  </si>
  <si>
    <t xml:space="preserve">  - Kadlec &amp; Wallace (2009) Treatment Wetlands, 2nd Ed.</t>
  </si>
  <si>
    <t xml:space="preserve">  - FAST Standard Organisation (fast-standard.org)</t>
  </si>
  <si>
    <t xml:space="preserve">  - Luminous BioSolutions Financial Model Framework</t>
  </si>
  <si>
    <t xml:space="preserve">  - Kearl Wetland Pilot Data (GROW Presentation, Dec 2025)</t>
  </si>
  <si>
    <t>6. Value Per Cubic Meter Derivation</t>
  </si>
  <si>
    <t>The $5/m3 operational value is derived from:</t>
  </si>
  <si>
    <t xml:space="preserve">  - Conservative annual value: $250,000/year (Financial Model Framework)</t>
  </si>
  <si>
    <t xml:space="preserve">  - Annual throughput: 50,000 m3/year (4_Assumptions default)</t>
  </si>
  <si>
    <t xml:space="preserve">  - Calculation: $250,000 / 50,000 m3 = $5/m3</t>
  </si>
  <si>
    <t xml:space="preserve">  - This is the OPERATIONAL benefit only - excludes avoided treatment and ARO impacts</t>
  </si>
  <si>
    <t>Value Sensitivity Analysis (19_Sensitivity):</t>
  </si>
  <si>
    <t xml:space="preserve">  - Operational: $3-8/m3 (base $5) - Direct wetland treatment value</t>
  </si>
  <si>
    <t xml:space="preserve">  - Avoided Treatment: $10-30/m3 (base $20) - Alternative treatment costs</t>
  </si>
  <si>
    <t xml:space="preserve">  - ARO Liability: $21-93/m3 (base $50) - Zhang (2026) liability analysis</t>
  </si>
  <si>
    <t>7. Treatment Kinetics (Kearl 2022 Field Data)</t>
  </si>
  <si>
    <t>Source: Vander Meulen &amp; Headley (2024) GROW Presentation</t>
  </si>
  <si>
    <t>Project: Genome Canada LSARP - GROW (Genomics Research for Optimization of Constructed Treatment Wetlands)</t>
  </si>
  <si>
    <t>Two-Phase Kinetics Model:</t>
  </si>
  <si>
    <t xml:space="preserve">  - Rapid Phase (Days 0-15): -0.532 mg/L/day (R^2=0.43)</t>
  </si>
  <si>
    <t xml:space="preserve">  - Slow Phase (Days 30-69): -0.248 mg/L/day (R^2=0.50)</t>
  </si>
  <si>
    <t xml:space="preserve">  - The slowdown reflects preferential removal of labile compounds</t>
  </si>
  <si>
    <t>Toxicity Endpoints (Fathead Minnow Embryo):</t>
  </si>
  <si>
    <t xml:space="preserve">  - Day 14: ~50% survival (1 recirculation cycle = LC50)</t>
  </si>
  <si>
    <t xml:space="preserve">  - Day 28: 80-90% survival (2 cycles)</t>
  </si>
  <si>
    <t xml:space="preserve">  - Day 42: &gt;90% survival (3 cycles = non-toxic, equivalent to controls)</t>
  </si>
  <si>
    <t>The Concentration Paradox:</t>
  </si>
  <si>
    <t xml:space="preserve">  - Water at Day 42 was non-toxic despite ~50 mg/L NAFC concentration</t>
  </si>
  <si>
    <t xml:space="preserve">  - Literature LC50 values for fathead minnow: 18-34 mg/L</t>
  </si>
  <si>
    <t xml:space="preserve">  - Explanation: Wetlands preferentially remove high-carbon, lipophilic (most toxic) compounds</t>
  </si>
  <si>
    <t xml:space="preserve">  - Remaining NAFCs are oxidized (O3, O4 classes) and less bioavailable</t>
  </si>
  <si>
    <t xml:space="preserve">  - Implication: Total NAFC concentration alone may be inadequate for assessing safety</t>
  </si>
  <si>
    <t>Adjusting Parameters:</t>
  </si>
  <si>
    <t xml:space="preserve">  - All kinetics parameters are in 4_Assumptions Section H (yellow cells)</t>
  </si>
  <si>
    <t xml:space="preserve">  - Treatment_Rate_Factor in 7_ServiceModels captures seasonal/vegetation variability</t>
  </si>
  <si>
    <t xml:space="preserve">  - Modify Initial_NAFC to match your source water concentration</t>
  </si>
  <si>
    <t xml:space="preserve">  - Adjust Target_NAFC for different regulatory thresholds</t>
  </si>
  <si>
    <t>8. Change Log</t>
  </si>
  <si>
    <t>Version</t>
  </si>
  <si>
    <t>Date</t>
  </si>
  <si>
    <t>Changes</t>
  </si>
  <si>
    <t>3.2</t>
  </si>
  <si>
    <t>2026-01-29</t>
  </si>
  <si>
    <t>Value/m3 derivation documentation (Section 6)</t>
  </si>
  <si>
    <t>3.1</t>
  </si>
  <si>
    <t>Kearl treatment kinetics integration, Days_to_Compliance MC</t>
  </si>
  <si>
    <t>FAST 18-sheet refactor with LOCATIONS registry</t>
  </si>
  <si>
    <t>2.0</t>
  </si>
  <si>
    <t>2026-01-28</t>
  </si>
  <si>
    <t>Excel-native Monte Carlo via Data Tables</t>
  </si>
  <si>
    <t>1.0</t>
  </si>
  <si>
    <t>2025-12-01</t>
  </si>
  <si>
    <t>Initial Python-based model</t>
  </si>
  <si>
    <t>Input Traceability Map</t>
  </si>
  <si>
    <t>Shows which calculation sheets directly reference each input</t>
  </si>
  <si>
    <t>Input Name</t>
  </si>
  <si>
    <t>Source Sheet</t>
  </si>
  <si>
    <t>Referenced By</t>
  </si>
  <si>
    <t>Initial_NAFC</t>
  </si>
  <si>
    <t>Target_NAFC</t>
  </si>
  <si>
    <t>Rapid_Phase_Rate</t>
  </si>
  <si>
    <t>Slow_Phase_Rate</t>
  </si>
  <si>
    <t>Rapid_Phase_Duration</t>
  </si>
  <si>
    <t>Recirculation_Cycle</t>
  </si>
  <si>
    <t>Season_Length</t>
  </si>
  <si>
    <t>8_Calc_Timeline, 13_Calc_Costs, 14_Calc_Sim</t>
  </si>
  <si>
    <t>LearningCurve_Mult</t>
  </si>
  <si>
    <t>(range - see source sheet)</t>
  </si>
  <si>
    <t>Tri_Season_Extension_Days_Min</t>
  </si>
  <si>
    <t>Tri_Season_Extension_Days_Mode</t>
  </si>
  <si>
    <t>Tri_Season_Extension_Days_Max</t>
  </si>
  <si>
    <t>Tri_Extension_Value_Per_Day_Min</t>
  </si>
  <si>
    <t>Tri_Extension_Value_Per_Day_Mode</t>
  </si>
  <si>
    <t>Tri_Extension_Value_Per_Day_Max</t>
  </si>
  <si>
    <t>Tri_Interventions_Avoided_Min</t>
  </si>
  <si>
    <t>Tri_Interventions_Avoided_Mode</t>
  </si>
  <si>
    <t>Tri_Interventions_Avoided_Max</t>
  </si>
  <si>
    <t>Tri_Treatment_Rate_Factor_Min</t>
  </si>
  <si>
    <t>Tri_Treatment_Rate_Factor_Mode</t>
  </si>
  <si>
    <t>Tri_Treatment_Rate_Factor_Max</t>
  </si>
  <si>
    <t>Beta_Efficiency_Gain_Alpha</t>
  </si>
  <si>
    <t>Beta_Efficiency_Gain_Beta</t>
  </si>
  <si>
    <t>Beta_Efficiency_Gain_Min</t>
  </si>
  <si>
    <t>Beta_Efficiency_Gain_Max</t>
  </si>
  <si>
    <t>Eff_Rapid_Rate</t>
  </si>
  <si>
    <t>Eff_Slow_Rate</t>
  </si>
  <si>
    <t>NAFC_After_Rapid</t>
  </si>
  <si>
    <t>Days_to_Compliance</t>
  </si>
  <si>
    <t>8_Calc_Timeline, 14_Calc_Sim</t>
  </si>
  <si>
    <t>Timeline_LearningMult</t>
  </si>
  <si>
    <t>Timeline_DiscountFactor</t>
  </si>
  <si>
    <t>Summary</t>
  </si>
  <si>
    <t>Total inputs tracked: 30</t>
  </si>
  <si>
    <t>Registry entries: 28</t>
  </si>
  <si>
    <t>Note:</t>
  </si>
  <si>
    <t>'Referenced By' shows direct formula references only,</t>
  </si>
  <si>
    <t>not downstream dependencies. The verify_traceability()</t>
  </si>
  <si>
    <t>function validates this registry against actual formulas.</t>
  </si>
  <si>
    <t>Model Assumptions (Single Source of Truth)</t>
  </si>
  <si>
    <t>A. Timing Parameters</t>
  </si>
  <si>
    <t>Treatment season timing that determines the operational window for wetland treatment.</t>
  </si>
  <si>
    <t>Define the active treatment period for financial projections</t>
  </si>
  <si>
    <t>- Treatment season aligned with Alberta weather patterns (May-September)
- Season length directly impacts annual value capture potential</t>
  </si>
  <si>
    <t>Standard Alberta treatment wetland operational calendar</t>
  </si>
  <si>
    <t>tbl_Seasonality, tbl_Timeline</t>
  </si>
  <si>
    <t>Unit</t>
  </si>
  <si>
    <t>Notes</t>
  </si>
  <si>
    <t>Season_Start_Month</t>
  </si>
  <si>
    <t>month</t>
  </si>
  <si>
    <t>May</t>
  </si>
  <si>
    <t>Season_Start_Day</t>
  </si>
  <si>
    <t>day</t>
  </si>
  <si>
    <t>Mid-May</t>
  </si>
  <si>
    <t>Season_End_Month</t>
  </si>
  <si>
    <t>September</t>
  </si>
  <si>
    <t>Season_End_Day</t>
  </si>
  <si>
    <t>Mid-September</t>
  </si>
  <si>
    <t>Treatment_Days</t>
  </si>
  <si>
    <t>days</t>
  </si>
  <si>
    <t>Active season length</t>
  </si>
  <si>
    <t>Seasonality Index</t>
  </si>
  <si>
    <t>Monthly activity multipliers reflecting natural treatment capacity variation across the season.</t>
  </si>
  <si>
    <t>Weight value calculations by month based on treatment capacity patterns</t>
  </si>
  <si>
    <t>- Peak activity in June-July matches optimal treatment temperatures
- Ramp-up in May and decline in September reflect shoulder seasons</t>
  </si>
  <si>
    <t>Kearl pilot operational data patterns</t>
  </si>
  <si>
    <t>tbl_Timing, tbl_Timeline</t>
  </si>
  <si>
    <t>Month</t>
  </si>
  <si>
    <t>Month_Num</t>
  </si>
  <si>
    <t>Multiplier</t>
  </si>
  <si>
    <t>Activity</t>
  </si>
  <si>
    <t>Ramp-up</t>
  </si>
  <si>
    <t>June</t>
  </si>
  <si>
    <t>Peak</t>
  </si>
  <si>
    <t>July</t>
  </si>
  <si>
    <t>August</t>
  </si>
  <si>
    <t>Slight decline</t>
  </si>
  <si>
    <t>Decline</t>
  </si>
  <si>
    <t>B. Site Configuration</t>
  </si>
  <si>
    <t>Physical wetland parameters that define treatment capacity and value per unit.</t>
  </si>
  <si>
    <t>Establish the operational scale for all calculations</t>
  </si>
  <si>
    <t>- Standard 1.0 ha design based on Kearl pilot scaling
- HLR of 0.05 m3/m2/day is conservative for constructed wetlands</t>
  </si>
  <si>
    <t>Kearl pilot scaling (0.76 ha) extrapolated to standard design</t>
  </si>
  <si>
    <t>tbl_TreatmentKinetics</t>
  </si>
  <si>
    <t>Source</t>
  </si>
  <si>
    <t>WetlandAreaHa</t>
  </si>
  <si>
    <t>ha</t>
  </si>
  <si>
    <t>Standard design (Kearl pilot = 0.76 ha)</t>
  </si>
  <si>
    <t>TreatmentCells</t>
  </si>
  <si>
    <t>count</t>
  </si>
  <si>
    <t>Multi-cell design</t>
  </si>
  <si>
    <t>AnnualThroughputM3</t>
  </si>
  <si>
    <t>m3/yr</t>
  </si>
  <si>
    <t>HLR = 0.05 m3/m2/day</t>
  </si>
  <si>
    <t>ValuePerM3</t>
  </si>
  <si>
    <t>$/m3</t>
  </si>
  <si>
    <t>$250K/yr / 50K m3/yr (Section 6)</t>
  </si>
  <si>
    <t>C. Cost Parameters</t>
  </si>
  <si>
    <t>Operational cost assumptions for labor, penalties, and downtime.</t>
  </si>
  <si>
    <t>Enable cost-benefit calculations for testing options</t>
  </si>
  <si>
    <t>- Labor costs include all direct operational expenses
- Regulatory penalty reflects typical EPEA violation costs</t>
  </si>
  <si>
    <t>Industry estimates from Financial Model Framework v2.1</t>
  </si>
  <si>
    <t>tbl_CostCalc</t>
  </si>
  <si>
    <t>LaborPerDay</t>
  </si>
  <si>
    <t>$/day</t>
  </si>
  <si>
    <t>RegulatoryPenalty</t>
  </si>
  <si>
    <t>$</t>
  </si>
  <si>
    <t>DowntimeCostPerDay</t>
  </si>
  <si>
    <t>D. Learning Curve</t>
  </si>
  <si>
    <t>Year-over-year efficiency multipliers reflecting operational maturity progression.</t>
  </si>
  <si>
    <t>Discount early-year value to account for pilot learning and optimization</t>
  </si>
  <si>
    <t>- Year 1 at 50% reflects pilot learning phase
- Full maturity (100%) achieved by Year 3</t>
  </si>
  <si>
    <t>Standard industrial learning curve for new process technology</t>
  </si>
  <si>
    <t>tbl_Timeline, tbl_GatedValues</t>
  </si>
  <si>
    <t>Year</t>
  </si>
  <si>
    <t>Pilot learning</t>
  </si>
  <si>
    <t>Initial optimization</t>
  </si>
  <si>
    <t>Full maturity</t>
  </si>
  <si>
    <t>Steady state</t>
  </si>
  <si>
    <t>E. Test Options</t>
  </si>
  <si>
    <t>Testing method specifications including frequency, cost, and result latency.</t>
  </si>
  <si>
    <t>Compare HRMS lab testing vs real-time biosensor monitoring approaches</t>
  </si>
  <si>
    <t>- HRMS costs include lab fees and sample logistics
- Biosensor costs assume deployed hardware and consumables
- Latency includes sample processing and reporting time</t>
  </si>
  <si>
    <t>HRMS: Commercial lab quotes; Biosensor: Luminous device specifications</t>
  </si>
  <si>
    <t>tbl_LatencyGating, tbl_CostCalc</t>
  </si>
  <si>
    <t>Option</t>
  </si>
  <si>
    <t>Method</t>
  </si>
  <si>
    <t>Interval</t>
  </si>
  <si>
    <t>Points</t>
  </si>
  <si>
    <t>Cost_Per_Test</t>
  </si>
  <si>
    <t>Latency_Days</t>
  </si>
  <si>
    <t>Monthly_HRMS</t>
  </si>
  <si>
    <t>Weekly_HRMS</t>
  </si>
  <si>
    <t>Biosensor</t>
  </si>
  <si>
    <t>Latency Gating (Calculated)</t>
  </si>
  <si>
    <t>Calculated gate status showing which testing options can capture each value scenario.</t>
  </si>
  <si>
    <t>Determine ENABLED/BLOCKED status based on latency vs required response time</t>
  </si>
  <si>
    <t>- ENABLED if testing latency &lt;= scenario required response days
- BLOCKED if testing latency &gt; scenario required response days
- Gates determine whether value can be captured</t>
  </si>
  <si>
    <t>Calculated from tbl_TestOptions latency vs tbl_ValueScenarios requirements</t>
  </si>
  <si>
    <t>tbl_TestOptions, tbl_ValueScenarios, tbl_GatedValues</t>
  </si>
  <si>
    <t>S1_Gate</t>
  </si>
  <si>
    <t>S2_Gate</t>
  </si>
  <si>
    <t>S3_Gate</t>
  </si>
  <si>
    <t>S4_Gate</t>
  </si>
  <si>
    <t>F. VALIDATION LISTS</t>
  </si>
  <si>
    <t>Testing_Options</t>
  </si>
  <si>
    <t>Scenarios</t>
  </si>
  <si>
    <t>Conservative</t>
  </si>
  <si>
    <t>Optimistic</t>
  </si>
  <si>
    <t>G. MC ANCHOR</t>
  </si>
  <si>
    <t>MC_Anchor --&gt;</t>
  </si>
  <si>
    <t>H. Treatment Kinetics</t>
  </si>
  <si>
    <t>NAFC removal rate parameters from Kearl 2022 pilot field data.</t>
  </si>
  <si>
    <t>Model treatment progression and time-to-compliance calculations</t>
  </si>
  <si>
    <t>- Biphasic removal: rapid initial phase (Days 0-15) then slower steady state
- Rates calibrated from Vander Meulen &amp; Headley (2024) GROW presentation</t>
  </si>
  <si>
    <t>Kearl 2022 pilot data - Vander Meulen &amp; Headley GROW presentation</t>
  </si>
  <si>
    <t>tbl_ToxicityMilestones, tbl_Stochastic</t>
  </si>
  <si>
    <t>mg/L</t>
  </si>
  <si>
    <t>Kearl 2022 Day 0 concentration</t>
  </si>
  <si>
    <t>Regulatory threshold for non-toxicity</t>
  </si>
  <si>
    <t>mg/L/day</t>
  </si>
  <si>
    <t>Kearl Days 0-15 (R^2=0.43)</t>
  </si>
  <si>
    <t>Kearl Days 30-69 (R^2=0.50)</t>
  </si>
  <si>
    <t>Duration of rapid removal phase</t>
  </si>
  <si>
    <t>Standard wetland recirculation</t>
  </si>
  <si>
    <t>System_Capacity</t>
  </si>
  <si>
    <t>m3</t>
  </si>
  <si>
    <t>Kearl 4-bay system volume</t>
  </si>
  <si>
    <t>I. Toxicity Milestones</t>
  </si>
  <si>
    <t>Fathead minnow embryo survival endpoints marking treatment progress toward non-toxicity.</t>
  </si>
  <si>
    <t>Define compliance milestones for treatment effectiveness tracking</t>
  </si>
  <si>
    <t>- LC50 at Day 14 marks start of toxicity reduction
- Non-toxic threshold (&gt;90% survival) typically achieved by Day 42</t>
  </si>
  <si>
    <t>Parrott Lab (Burlington) fathead minnow embryo bioassays</t>
  </si>
  <si>
    <t>Milestone</t>
  </si>
  <si>
    <t>Days</t>
  </si>
  <si>
    <t>Survival</t>
  </si>
  <si>
    <t>Day_LC50</t>
  </si>
  <si>
    <t>50%</t>
  </si>
  <si>
    <t>1 recirculation cycle - LC50 threshold</t>
  </si>
  <si>
    <t>Day_80_Survival</t>
  </si>
  <si>
    <t>80-90%</t>
  </si>
  <si>
    <t>2 recirculation cycles</t>
  </si>
  <si>
    <t>Day_Nontoxic</t>
  </si>
  <si>
    <t>&gt;90%</t>
  </si>
  <si>
    <t>3 cycles - equivalent to negative control</t>
  </si>
  <si>
    <t>Environmental Driver Profiles</t>
  </si>
  <si>
    <t>Environmental Drivers</t>
  </si>
  <si>
    <t>Monthly profiles for key environmental variables affecting treatment kinetics.
Temperature drives Q10 rate modifier (rates double per 10C above 20C).
UV intensity affects photodegradation rates.
Dissolved oxygen controls aerobic biodegradation.
Nutrient availability influences microbial activity.
Bioavailability accounts for sorption and binding effects.</t>
  </si>
  <si>
    <t>Variable</t>
  </si>
  <si>
    <t>Jun</t>
  </si>
  <si>
    <t>Jul</t>
  </si>
  <si>
    <t>Aug</t>
  </si>
  <si>
    <t>Sep</t>
  </si>
  <si>
    <t>Temp_Water</t>
  </si>
  <si>
    <t>C</t>
  </si>
  <si>
    <t>Water temperature - Q10 driver</t>
  </si>
  <si>
    <t>UV_Relative</t>
  </si>
  <si>
    <t>0-1</t>
  </si>
  <si>
    <t>Relative UV intensity</t>
  </si>
  <si>
    <t>DO_Typical</t>
  </si>
  <si>
    <t>Dissolved oxygen</t>
  </si>
  <si>
    <t>Nutrient_Index</t>
  </si>
  <si>
    <t>Nutrient availability</t>
  </si>
  <si>
    <t>Bioavail_Index</t>
  </si>
  <si>
    <t>Bioavailability factor</t>
  </si>
  <si>
    <t>Ionic Parameters (Compliance Gates)</t>
  </si>
  <si>
    <t>Min</t>
  </si>
  <si>
    <t>Mode</t>
  </si>
  <si>
    <t>Max</t>
  </si>
  <si>
    <t>Threshold</t>
  </si>
  <si>
    <t>Direction</t>
  </si>
  <si>
    <t>Chloride</t>
  </si>
  <si>
    <t>below</t>
  </si>
  <si>
    <t>Aquatic life threshold</t>
  </si>
  <si>
    <t>SAR</t>
  </si>
  <si>
    <t>ratio</t>
  </si>
  <si>
    <t>Land application limit</t>
  </si>
  <si>
    <t>Sulfate</t>
  </si>
  <si>
    <t>Process water indicator</t>
  </si>
  <si>
    <t>DO_Compliance</t>
  </si>
  <si>
    <t>above</t>
  </si>
  <si>
    <t>Minimum for discharge</t>
  </si>
  <si>
    <t>Current Site Profile:</t>
  </si>
  <si>
    <t>Kearl</t>
  </si>
  <si>
    <t>(from config/sites/kearl.yaml)</t>
  </si>
  <si>
    <t>Value Scenario Definitions</t>
  </si>
  <si>
    <t>Four value streams enabled by biosensor monitoring that HRMS testing cannot capture due to latency constraints.</t>
  </si>
  <si>
    <t>Quantify the annual financial benefit of each operational improvement enabled by real-time monitoring</t>
  </si>
  <si>
    <t>- Values are additive (a single biosensor deployment captures all four simultaneously)
- Base values calibrated from $250K/year total operational value allocation
- Required response days based on operational decision-making windows
- HRMS 42-day latency blocks all scenarios; biosensor 1-day latency enables all</t>
  </si>
  <si>
    <t>Financial Model Framework v2.1 - operational value allocation</t>
  </si>
  <si>
    <t>tbl_ModelScenarios, tbl_GatedValues, tbl_LatencyGating</t>
  </si>
  <si>
    <t>ID</t>
  </si>
  <si>
    <t>Name</t>
  </si>
  <si>
    <t>Base_Value</t>
  </si>
  <si>
    <t>Required_Response_Days</t>
  </si>
  <si>
    <t>S1</t>
  </si>
  <si>
    <t>Season Extension</t>
  </si>
  <si>
    <t>Temperature-based vs calendar shutdown</t>
  </si>
  <si>
    <t>S2</t>
  </si>
  <si>
    <t>Intervention Avoidance</t>
  </si>
  <si>
    <t>Prevented false-positive interventions</t>
  </si>
  <si>
    <t>S3</t>
  </si>
  <si>
    <t>Spatial Routing</t>
  </si>
  <si>
    <t>Route to high-performing cells</t>
  </si>
  <si>
    <t>S4</t>
  </si>
  <si>
    <t>Early Detection</t>
  </si>
  <si>
    <t>Reduced bio-assay costs</t>
  </si>
  <si>
    <t>Model Scenarios</t>
  </si>
  <si>
    <t>Parameter adjustments for conservative, base, and optimistic financial projections.</t>
  </si>
  <si>
    <t>Enable sensitivity analysis by adjusting discount rate, growth rate, and risk factors</t>
  </si>
  <si>
    <t>- Base scenario uses unadjusted parameters from model inputs
- Conservative adds higher discount (+0.4%), lower growth (-2%), higher risk (+10%)
- Optimistic uses lower discount (-0.3%), higher growth (+1%), lower risk (-10%)</t>
  </si>
  <si>
    <t>Standard financial modeling practice - scenario analysis parameters</t>
  </si>
  <si>
    <t>tbl_ValueScenarios, tbl_Sensitivity</t>
  </si>
  <si>
    <t>Discount_Adj</t>
  </si>
  <si>
    <t>Growth_Adj</t>
  </si>
  <si>
    <t>Risk_Adj</t>
  </si>
  <si>
    <t>Monte Carlo Distribution Parameters</t>
  </si>
  <si>
    <t>Triangular Distributions</t>
  </si>
  <si>
    <t>Monte Carlo input parameters using triangular probability distributions for key uncertain variables.</t>
  </si>
  <si>
    <t>Define the uncertainty ranges for stochastic variables that drive value scenario calculations</t>
  </si>
  <si>
    <t>- Triangular distribution selected for interpretability with stakeholders
- Min/Max represent 10th/90th percentile expert estimates, not absolute bounds
- Mode represents the most likely value (base case assumption)
- Variables are assumed independent (no correlation modeled)</t>
  </si>
  <si>
    <t>Expert judgment calibrated against Financial Model Framework v2.1</t>
  </si>
  <si>
    <t>tbl_Stochastic, tbl_GatedValues, tbl_ValueScenarios</t>
  </si>
  <si>
    <t>Units</t>
  </si>
  <si>
    <t>Season_Extension_Days</t>
  </si>
  <si>
    <t>Extension_Value_Per_Day</t>
  </si>
  <si>
    <t>Interventions_Avoided</t>
  </si>
  <si>
    <t>events</t>
  </si>
  <si>
    <t>Treatment_Rate_Factor</t>
  </si>
  <si>
    <t>multiplier</t>
  </si>
  <si>
    <t>Beta Distributions</t>
  </si>
  <si>
    <t>Monte Carlo input parameters using beta distributions for bounded percentage variables.</t>
  </si>
  <si>
    <t>Model uncertainty in efficiency and probability parameters that must stay within 0-100% bounds</t>
  </si>
  <si>
    <t>- Beta distribution ensures values stay within specified bounds
- Alpha/Beta parameters shape the distribution skewness
- Used for variables that represent percentages or bounded factors</t>
  </si>
  <si>
    <t>Expert judgment for efficiency and probability estimates</t>
  </si>
  <si>
    <t>tbl_Triangular, tbl_Stochastic</t>
  </si>
  <si>
    <t>Alpha</t>
  </si>
  <si>
    <t>Beta</t>
  </si>
  <si>
    <t>Efficiency_Gain</t>
  </si>
  <si>
    <t>%</t>
  </si>
  <si>
    <t>Value Per M3 Sensitivity Frames</t>
  </si>
  <si>
    <t>Alternative value framing approaches for sensitivity analysis and stakeholder communication.</t>
  </si>
  <si>
    <t>Provide multiple perspectives on value per cubic meter of treated water</t>
  </si>
  <si>
    <t>- Operational frame: Direct operational cost savings
- Avoided Treatment frame: Value of alternatives not needed
- ARO Liability frame: Asset retirement obligation cost reduction (Zhang 2026)
- Values are illustrative ranges for framing discussions</t>
  </si>
  <si>
    <t>Zhang (2026) analysis for ARO frame; operational estimates for others</t>
  </si>
  <si>
    <t>tbl_ValueScenarios, tbl_KPIs</t>
  </si>
  <si>
    <t>Frame</t>
  </si>
  <si>
    <t>Low</t>
  </si>
  <si>
    <t>High</t>
  </si>
  <si>
    <t>Context</t>
  </si>
  <si>
    <t>Operational</t>
  </si>
  <si>
    <t>Direct operational benefit</t>
  </si>
  <si>
    <t>Avoided Treatment</t>
  </si>
  <si>
    <t>Alternative treatment costs</t>
  </si>
  <si>
    <t>ARO Liability</t>
  </si>
  <si>
    <t>Zhang (2026) analysis</t>
  </si>
  <si>
    <t>Projection Timeline</t>
  </si>
  <si>
    <t>Understanding the Timeline</t>
  </si>
  <si>
    <t>This sheet generates the projection timeline used throughout the model.
Key outputs:
- Year numbers (1-5) based on Projection_Years setting
- Calendar years starting from Base_Year
- Month indices for seasonal calculations
The timeline drives all time-dependent calculations in sheets 8-15.
Changing Projection_Years or Base_Year in 1_TOC updates this timeline.</t>
  </si>
  <si>
    <t>Year-by-year projection timeline with seasonal month breakdown and learning curve factors.</t>
  </si>
  <si>
    <t>Generate the time dimension for all financial calculations</t>
  </si>
  <si>
    <t>- Projection starts at Base_Year and extends for Projection_Years
- Each year contains 12 months with season flags
- Learning curve multiplier applied from tbl_LearningCurve</t>
  </si>
  <si>
    <t>Generated from 1_TOC control parameters</t>
  </si>
  <si>
    <t>tbl_LearningCurve, tbl_Seasonality, tbl_Annual</t>
  </si>
  <si>
    <t>Year_Index</t>
  </si>
  <si>
    <t>Calendar_Year</t>
  </si>
  <si>
    <t>Discount_Factor</t>
  </si>
  <si>
    <t>Learning_Mult</t>
  </si>
  <si>
    <t>Treatment Kinetics (Kearl 2022)</t>
  </si>
  <si>
    <t>Source: Vander Meulen &amp; Headley (2024) GROW</t>
  </si>
  <si>
    <t>Metric</t>
  </si>
  <si>
    <t>Formula</t>
  </si>
  <si>
    <t>'=Rapid_Phase_Rate * Stoch_TreatmentRate</t>
  </si>
  <si>
    <t>'=Slow_Phase_Rate * Stoch_TreatmentRate</t>
  </si>
  <si>
    <t>'=MAX(0, Initial - Rate * Duration)</t>
  </si>
  <si>
    <t>Two-phase calculation</t>
  </si>
  <si>
    <t>Circulation_Cycles</t>
  </si>
  <si>
    <t>'=CEILING(Days / Cycle, 1)</t>
  </si>
  <si>
    <t>cycles</t>
  </si>
  <si>
    <t>Treatment_Efficiency</t>
  </si>
  <si>
    <t>'=(Initial - Target) / Initial</t>
  </si>
  <si>
    <t>Final_NAFC</t>
  </si>
  <si>
    <t>NAFC at season end</t>
  </si>
  <si>
    <t>Compliance_Status</t>
  </si>
  <si>
    <t>Achievable within season?</t>
  </si>
  <si>
    <t>status</t>
  </si>
  <si>
    <t>Treatment Kinetics Modifiers</t>
  </si>
  <si>
    <t>Kinetics Cascade</t>
  </si>
  <si>
    <t>Environmental rate modifiers cascade to produce Effective_Rate.
Q10: Temperature coefficient (rate doubles per 10C above reference).
UV: Photodegradation modifier (reduced by turbidity).
DO: Aerobic biodegradation modifier (full above 6.5 mg/L).
Nutrient/Bioavail: Substrate availability modifiers.</t>
  </si>
  <si>
    <t>Modifier</t>
  </si>
  <si>
    <t>Q10_Factor</t>
  </si>
  <si>
    <t>'=2^((Temp-20)/10)</t>
  </si>
  <si>
    <t>T=20C gives 1.0, T=30C gives 2.0</t>
  </si>
  <si>
    <t>UV_Modifier</t>
  </si>
  <si>
    <t>'=UV*(1-MIN(1,Turbidity/100))</t>
  </si>
  <si>
    <t>UV intensity adjusted for turbidity</t>
  </si>
  <si>
    <t>DO_Modifier</t>
  </si>
  <si>
    <t>'=IF(DO&gt;=6.5,1,DO/6.5)</t>
  </si>
  <si>
    <t>Full rate above 6.5 mg/L</t>
  </si>
  <si>
    <t>Nutrient_Modifier</t>
  </si>
  <si>
    <t>'=Nutrient_Index</t>
  </si>
  <si>
    <t>Nutrient availability factor</t>
  </si>
  <si>
    <t>Bioavail_Modifier</t>
  </si>
  <si>
    <t>'=Bioavail*(1-Clay*0.5)</t>
  </si>
  <si>
    <t>Adjusted for clay sorption</t>
  </si>
  <si>
    <t>Combined Rate Calculation</t>
  </si>
  <si>
    <t>Effective_Rate</t>
  </si>
  <si>
    <t>'=Base * Q10 * UV * DO * Nut * Bio</t>
  </si>
  <si>
    <t>Combined effective treatment rate</t>
  </si>
  <si>
    <t>Rate_vs_Baseline</t>
  </si>
  <si>
    <t>'=Effective / Base_Rate</t>
  </si>
  <si>
    <t>Effective vs baseline rate</t>
  </si>
  <si>
    <t>Stochastic Variables</t>
  </si>
  <si>
    <t>(Press F9 to recalculate random draws)</t>
  </si>
  <si>
    <t>Monte Carlo Random Variables</t>
  </si>
  <si>
    <t>This sheet generates random variables for Monte Carlo simulation.
Each variable uses a triangular distribution defined in 5_ServiceModels:
- Min: Worst-case value
- Mode: Most likely value
- Max: Best-case value
The RAND() functions recalculate when you press F9 or Ctrl+Alt+F9.
Sheet 10_Calc_Sim captures 1000 iterations via Excel Data Tables.
Important: These values change on every recalculation. The simulation
statistics (P10, P50, P90) in the Dashboard are calculated from the
1000 captured iterations, not from individual cell values.</t>
  </si>
  <si>
    <t>Random variable generation using triangular distributions for Monte Carlo simulation.</t>
  </si>
  <si>
    <t>Generate stochastic multipliers that vary across simulation iterations</t>
  </si>
  <si>
    <t>- Uses triangular distribution parameters from 5_ServiceModels
- RAND() functions recalculate on spreadsheet refresh
- Values captured by Data Table in 10_Calc_Sim for 1000 iterations</t>
  </si>
  <si>
    <t>Distribution parameters from tbl_Triangular and tbl_Beta</t>
  </si>
  <si>
    <t>tbl_Triangular, tbl_Beta, tbl_GatedValues</t>
  </si>
  <si>
    <t>Random_U</t>
  </si>
  <si>
    <t>Realized_Value</t>
  </si>
  <si>
    <t>Season_Extension</t>
  </si>
  <si>
    <t>Extension_Value</t>
  </si>
  <si>
    <t>Compliance Gate Matrix</t>
  </si>
  <si>
    <t>Compliance Gates</t>
  </si>
  <si>
    <t>13-variable compliance gates for water release qualification.
Each gate returns 1 (PASS) or 0 (FAIL) as numeric value.
ComplianceGate = MIN(all gates) - 0 if ANY gate fails.
Numeric gates enable: value gating, fractional compliance (future).
Gate thresholds defined in 5_EnvironmentalDrivers.</t>
  </si>
  <si>
    <t>Gate</t>
  </si>
  <si>
    <t>Status</t>
  </si>
  <si>
    <t>Toxicity</t>
  </si>
  <si>
    <t>NAFC &lt;= Target</t>
  </si>
  <si>
    <t>NAFC toxicity target</t>
  </si>
  <si>
    <t>&lt; 230 mg/L</t>
  </si>
  <si>
    <t>Aquatic life protection</t>
  </si>
  <si>
    <t>&lt; 4.0</t>
  </si>
  <si>
    <t>Land application</t>
  </si>
  <si>
    <t>DO</t>
  </si>
  <si>
    <t>&gt;= 6.5 mg/L</t>
  </si>
  <si>
    <t>Minimum oxygen</t>
  </si>
  <si>
    <t>pH_Low</t>
  </si>
  <si>
    <t>&gt; 6.5</t>
  </si>
  <si>
    <t>pH lower limit</t>
  </si>
  <si>
    <t>pH_High</t>
  </si>
  <si>
    <t>&lt; 8.5</t>
  </si>
  <si>
    <t>pH upper limit</t>
  </si>
  <si>
    <t>&lt; 500 mg/L</t>
  </si>
  <si>
    <t>Temperature</t>
  </si>
  <si>
    <t>&lt; 25 C</t>
  </si>
  <si>
    <t>Thermal discharge</t>
  </si>
  <si>
    <t>&lt; Target</t>
  </si>
  <si>
    <t>Treatment complete</t>
  </si>
  <si>
    <t>Turbidity</t>
  </si>
  <si>
    <t>&lt; 100 NTU</t>
  </si>
  <si>
    <t>Sediment control</t>
  </si>
  <si>
    <t>Oil_Sheen</t>
  </si>
  <si>
    <t>None visible</t>
  </si>
  <si>
    <t>absent</t>
  </si>
  <si>
    <t>Visual inspection</t>
  </si>
  <si>
    <t>Odor</t>
  </si>
  <si>
    <t>None detected</t>
  </si>
  <si>
    <t>Sensory inspection</t>
  </si>
  <si>
    <t>Foam</t>
  </si>
  <si>
    <t>None persistent</t>
  </si>
  <si>
    <t>Surface condition</t>
  </si>
  <si>
    <t>Master Gate Status</t>
  </si>
  <si>
    <t>ComplianceGate</t>
  </si>
  <si>
    <t>Gates Passing</t>
  </si>
  <si>
    <t>of 13</t>
  </si>
  <si>
    <t>Gates Failing</t>
  </si>
  <si>
    <t>Gated Value Calculations</t>
  </si>
  <si>
    <t>Understanding Gated Value Calculations</t>
  </si>
  <si>
    <t>This sheet calculates value that HRMS testing CANNOT capture due to its
42-day latency. Each scenario requires a response faster than HRMS allows.
The "Gating" Logic:
- HRMS has 42-day turnaround from sample to results
- All four scenarios require decisions within 3-14 days
- Therefore, HRMS is always BLOCKED; Biosensor (1-day) is ENABLED
Value Calculation:
- Gated_Value = Base_Value x Stoch_Mult (if ENABLED)
- Gated_Value = $0 (if BLOCKED)
Since the selected Testing_Option is Biosensor (1-day latency), all
scenarios are ENABLED and contribute value. If HRMS were selected,
all would be BLOCKED and total value would be $0.</t>
  </si>
  <si>
    <t>Scenario values after applying latency gating logic and stochastic multipliers.</t>
  </si>
  <si>
    <t>Calculate the actual value captured based on testing option's ability to meet response time requirements</t>
  </si>
  <si>
    <t>- Gate status determined by comparing testing latency to required response time
- ENABLED scenarios: Gated_Value = Base_Value x Stoch_Mult
- BLOCKED scenarios: Gated_Value = $0 (value cannot be captured)
- Stochastic multipliers vary each Monte Carlo iteration</t>
  </si>
  <si>
    <t>Calculated from tbl_ValueScenarios, tbl_LatencyGating, and tbl_Stochastic</t>
  </si>
  <si>
    <t>tbl_ValueScenarios, tbl_LatencyGating, tbl_Stochastic, tbl_ScenarioBreakdown</t>
  </si>
  <si>
    <t>Gate_Status</t>
  </si>
  <si>
    <t>Stoch_Mult</t>
  </si>
  <si>
    <t>Gated_Value</t>
  </si>
  <si>
    <t>S1_Season_Extension</t>
  </si>
  <si>
    <t>S2_Intervention_Avoidance</t>
  </si>
  <si>
    <t>S3_Spatial_Routing</t>
  </si>
  <si>
    <t>S4_Early_Detection</t>
  </si>
  <si>
    <t>Total_Gross_Value</t>
  </si>
  <si>
    <t>Compliance Gate</t>
  </si>
  <si>
    <t>AdjustedValue</t>
  </si>
  <si>
    <t>Note: AdjustedValue = Gross_Value × ComplianceGate</t>
  </si>
  <si>
    <t>If ANY compliance gate fails (13 gates), value becomes $0</t>
  </si>
  <si>
    <t>Cost Calculations</t>
  </si>
  <si>
    <t>Understanding Cost Calculations</t>
  </si>
  <si>
    <t>This sheet calculates the annual cost of the selected testing approach.
Cost Components:
- Testing frequency: How often samples are taken (daily vs weekly vs monthly)
- Sample points: Number of locations monitored per test event
- Cost per test: Lab analysis cost for HRMS or sensor cost for Biosensor
- Season length: Number of active treatment days per year
Formula: Annual_Cost = (Season_Days / Test_Interval) x Sample_Points x Cost_Per_Test
The testing option parameters come from 3_Assumptions (Test Options table).
Biosensor has higher frequency but much lower cost per test, resulting
in comparable or lower total annual costs with far better data resolution.</t>
  </si>
  <si>
    <t>Cost Calculation</t>
  </si>
  <si>
    <t>Annual testing cost breakdown for the selected monitoring approach.</t>
  </si>
  <si>
    <t>Calculate total cost of testing to include in ROI and NPV calculations</t>
  </si>
  <si>
    <t>- Cost = (Season_Days / Test_Interval) x Sample_Points x Cost_Per_Test
- Parameters looked up from tbl_TestOptions based on selected option</t>
  </si>
  <si>
    <t>Calculated from tbl_TestOptions parameters</t>
  </si>
  <si>
    <t>tbl_TestOptions, tbl_CostParams, tbl_Annual</t>
  </si>
  <si>
    <t>Component</t>
  </si>
  <si>
    <t>Selected_Option</t>
  </si>
  <si>
    <t>Interval_Days</t>
  </si>
  <si>
    <t>INDEX/MATCH</t>
  </si>
  <si>
    <t>Monitoring_Points</t>
  </si>
  <si>
    <t>Events_Per_Season</t>
  </si>
  <si>
    <t>Season_Length / Interval</t>
  </si>
  <si>
    <t>Total_Tests</t>
  </si>
  <si>
    <t>Events * Points</t>
  </si>
  <si>
    <t>Season_Testing_Cost</t>
  </si>
  <si>
    <t>Total_Tests * Cost_Per_Test</t>
  </si>
  <si>
    <t>Monte Carlo Simulation (1000 iterations)</t>
  </si>
  <si>
    <t>Running the Monte Carlo Simulation</t>
  </si>
  <si>
    <t>This sheet captures 1000 iterations using Excel's Data Table feature.
SETUP INSTRUCTIONS:
1. Select the data range A5:I1005 (headers + 1000 rows)
2. Go to Data &gt; What-If Analysis &gt; Data Table
3. Leave "Row input cell" blank
4. For "Column input cell" enter: $K$1 (any blank cell on this sheet)
5. Click OK
HOW IT WORKS:
- Excel recalculates the model 1000 times
- Each row captures one iteration's outputs (NPV, scenario values, costs)
- The Data Table forces RAND() functions to regenerate each iteration
- Results are stored as values, not formulas
RECALCULATING:
- Press Ctrl+Alt+F9 to force full recalculation
- This regenerates all 1000 iterations (may take several seconds)
- Standard F9 only recalculates changed cells
OUTPUT STATISTICS:
- Expected NPV: Mean of 1000 iterations
- P10/P50/P90: Percentile values for confidence intervals
- Prob(NPV&gt;0): Percentage of iterations with positive NPV</t>
  </si>
  <si>
    <t>Select A8:I1008 &gt; Data &gt; What-If Analysis &gt; Data Table</t>
  </si>
  <si>
    <t>Column Input Cell: $K$1 (blank cell on this sheet)</t>
  </si>
  <si>
    <t>Iteration</t>
  </si>
  <si>
    <t>Cost</t>
  </si>
  <si>
    <t>Net</t>
  </si>
  <si>
    <t>Monte Carlo Statistics</t>
  </si>
  <si>
    <t>Expected NPV</t>
  </si>
  <si>
    <t>P10 NPV</t>
  </si>
  <si>
    <t>P50 NPV (Median)</t>
  </si>
  <si>
    <t>P90 NPV</t>
  </si>
  <si>
    <t>StdDev</t>
  </si>
  <si>
    <t>Prob(NPV&gt;0)</t>
  </si>
  <si>
    <t>Treatment Kinetics Statistics</t>
  </si>
  <si>
    <t>Expected Days to Compliance</t>
  </si>
  <si>
    <t>P10 Days (optimistic)</t>
  </si>
  <si>
    <t>P50 Days (median)</t>
  </si>
  <si>
    <t>P90 Days (conservative)</t>
  </si>
  <si>
    <t>Prob(Achievable in Season)</t>
  </si>
  <si>
    <t>Monthly P&amp;L (Placeholder)</t>
  </si>
  <si>
    <t>Monthly P&amp;L View</t>
  </si>
  <si>
    <t>This sheet is a placeholder for future monthly P&amp;L projections.
CURRENT STATUS: Not implemented in this version.
FUTURE USE CASES:
- Monthly cash flow timing for working capital analysis
- Seasonal revenue recognition patterns
- Monthly cost accruals
- Intra-year variance analysis
The model currently uses annual projections (12_PL_Annual) as the
primary financial view. Monthly detail would add complexity without
significant benefit for the current valuation use case.
If monthly detail is needed, the structure should mirror 12_PL_Annual
with columns for each month and rows for:
- Gross Value by scenario
- Testing costs
- Operating expenses
- Net monthly benefit</t>
  </si>
  <si>
    <t>Annual Projections</t>
  </si>
  <si>
    <t>Annual Financial Projections</t>
  </si>
  <si>
    <t>This sheet projects annual value capture over the planning horizon.
KEY CALCULATIONS:
- Gross Value: Sum of gated scenario values from 8_Calc_Value
- Learning Curve: Year 1 at 50%, Year 2 at 75%, Year 3+ at 100%
- Adjusted Value: Gross Value x Learning Curve Multiplier
- Net Value: Adjusted Value - Testing Costs
- NPV: Discounted sum using rate from 1_TOC
LEARNING CURVE RATIONALE:
Year 1 (50%): Pilot learning, process establishment
Year 2 (75%): Initial optimization, expanded coverage
Year 3+ (100%): Full operational maturity, steady state
The learning curve can be adjusted in 3_Assumptions Section D.
Conservative default reflects typical technology adoption patterns.</t>
  </si>
  <si>
    <t>Year-by-year financial projections with learning curve adjustments and NPV calculations.</t>
  </si>
  <si>
    <t>Project multi-year value capture for ROI and NPV analysis</t>
  </si>
  <si>
    <t>- Learning curve applied: Year 1 (50%), Year 2 (75%), Year 3+ (100%)
- Discount rate from 1_TOC applied to all future cash flows
- Testing costs deducted annually based on selected approach</t>
  </si>
  <si>
    <t>Calculated from tbl_GatedValues, tbl_LearningCurve, tbl_CostCalc</t>
  </si>
  <si>
    <t>tbl_GatedValues, tbl_LearningCurve, tbl_CostCalc, tbl_CashFlow</t>
  </si>
  <si>
    <t>S1_Value</t>
  </si>
  <si>
    <t>S2_Value</t>
  </si>
  <si>
    <t>S3_Value</t>
  </si>
  <si>
    <t>S4_Value</t>
  </si>
  <si>
    <t>Gross_Value</t>
  </si>
  <si>
    <t>Costs</t>
  </si>
  <si>
    <t>Net_Annual</t>
  </si>
  <si>
    <t>Discounted</t>
  </si>
  <si>
    <t>Aggregate KPIs</t>
  </si>
  <si>
    <t>NPV_Total</t>
  </si>
  <si>
    <t>Total_Gross_5Yr</t>
  </si>
  <si>
    <t>Total_Net_5Yr</t>
  </si>
  <si>
    <t>Cumulative Cash Flow</t>
  </si>
  <si>
    <t>Cumulative Cash Flow Analysis</t>
  </si>
  <si>
    <t>This sheet tracks cumulative value capture over the projection horizon.
KEY METRICS:
- Cumulative Net: Running total of annual net benefits
- Cumulative NPV: Running total of discounted net benefits
- Payback Point: Year when cumulative value turns positive
USE CASES:
- Determine when investment breaks even
- Assess cash flow timing for capital planning
- Compare cumulative value vs upfront investment
Note: This model assumes no upfront capital investment for the
biosensor system (included in testing costs). For scenarios with
capital expenditure, add an initial investment row and adjust
payback calculations accordingly.</t>
  </si>
  <si>
    <t>Cash Flow Summary</t>
  </si>
  <si>
    <t>Cumulative cash flow and NPV tracking for payback analysis.</t>
  </si>
  <si>
    <t>Track when cumulative value exceeds investment for breakeven analysis</t>
  </si>
  <si>
    <t>- No upfront capital investment assumed (costs included in testing)
- Annual net values from tbl_Annual
- Cumulative NPV used for total project value</t>
  </si>
  <si>
    <t>Calculated from tbl_Annual</t>
  </si>
  <si>
    <t>tbl_Annual, tbl_KPIs</t>
  </si>
  <si>
    <t>Annual_Net</t>
  </si>
  <si>
    <t>Cumulative_Net</t>
  </si>
  <si>
    <t>Cumulative_NPV</t>
  </si>
  <si>
    <t>Unit Economics</t>
  </si>
  <si>
    <t>Per-Cubic-Meter Economics</t>
  </si>
  <si>
    <t>This sheet expresses all values on a per-m3 basis for comparability.
WHY UNIT ECONOMICS MATTER:
- Allows comparison across different site sizes
- Enables scaling estimates to new deployments
- Provides intuitive metrics for operator discussions
- Connects to industry benchmarks (treatment costs, ARO liabilities)
KEY METRICS:
- Value per m3: Total value divided by annual throughput
- Cost per m3: Testing cost divided by throughput
- Net per m3: Value minus cost per unit volume
- NPV per m3: 5-year NPV divided by total 5-year throughput
BENCHMARKS (from 2_Instructions):
- Operational value: $3-8/m3 (this model's output)
- Avoided treatment: $10-30/m3 (alternative treatment costs)
- ARO liability: $21-93/m3 (Zhang 2026 analysis)
The biosensor's value per m3 can be compared against these benchmarks
to understand its contribution relative to the total value stack.</t>
  </si>
  <si>
    <t>Per-cubic-meter economics for cross-site comparability and scaling estimates.</t>
  </si>
  <si>
    <t>Express all values on per-m3 basis for benchmarking and scaling</t>
  </si>
  <si>
    <t>- Annual throughput from tbl_SiteConfig used as denominator
- NPV values divided by 5-year total throughput
- Benchmarks from industry data and Zhang (2026) analysis</t>
  </si>
  <si>
    <t>Calculated from model outputs and 3_Assumptions throughput</t>
  </si>
  <si>
    <t>tbl_SiteConfig, tbl_Annual, tbl_KPIs</t>
  </si>
  <si>
    <t>Annual Throughput</t>
  </si>
  <si>
    <t>From 4_Assumptions</t>
  </si>
  <si>
    <t>Gross Value per Season</t>
  </si>
  <si>
    <t>Sum of S1-S4 (pre-compliance)</t>
  </si>
  <si>
    <t>Compliance-Adjusted Value</t>
  </si>
  <si>
    <t>Gross × ComplianceGate</t>
  </si>
  <si>
    <t>Testing Cost per Season</t>
  </si>
  <si>
    <t>Based on option selected</t>
  </si>
  <si>
    <t>Net Value per Season</t>
  </si>
  <si>
    <t>Adjusted - Testing</t>
  </si>
  <si>
    <t>Value per m3 (Gross)</t>
  </si>
  <si>
    <t>Gross / Throughput</t>
  </si>
  <si>
    <t>Value per m3 (Net)</t>
  </si>
  <si>
    <t>Net / Throughput</t>
  </si>
  <si>
    <t>Cost per m3</t>
  </si>
  <si>
    <t>Testing / Throughput</t>
  </si>
  <si>
    <t>5-Year NPV per m3</t>
  </si>
  <si>
    <t>NPV / (5yr throughput)</t>
  </si>
  <si>
    <t>Breakeven Analysis</t>
  </si>
  <si>
    <t>Testing cost per test:</t>
  </si>
  <si>
    <t>Tests per season:</t>
  </si>
  <si>
    <t>Value per test (net):</t>
  </si>
  <si>
    <t>Sensitivity Analysis</t>
  </si>
  <si>
    <t>Tornado Sensitivity Analysis</t>
  </si>
  <si>
    <t>This sheet shows how NPV changes when individual parameters vary.
METHODOLOGY:
- Each parameter is varied from Low to High while others stay at Base
- NPV is calculated at each extreme
- "Swing" = |NPV_at_High - NPV_at_Low| measures parameter influence
- Parameters are sorted by Swing (largest impact first)
INTERPRETATION:
- Parameters at top of tornado have most influence on outcomes
- Focus validation efforts on high-sensitivity parameters
- Parameters with low swing are less critical to model accuracy
KEY PARAMETERS TESTED:
- Value_Per_M3: Direct impact on operational value
- Annual_Throughput: Volume scaling factor
- Treatment_Rate_Factor: Kinetics uncertainty
- Discount_Rate: Time value of money
- Season_Length: Active treatment period
LIMITATIONS:
- One-at-a-time analysis ignores parameter correlations
- Monte Carlo simulation (10_Calc_Sim) captures joint uncertainty
- Use tornado for directional insight, MC for quantified risk</t>
  </si>
  <si>
    <t>Tornado chart data showing NPV impact when each parameter varies from low to high.</t>
  </si>
  <si>
    <t>Identify which parameters most influence outcomes for validation focus</t>
  </si>
  <si>
    <t>- One-at-a-time analysis: each parameter varied while others at base
- Swing = |NPV_at_High - NPV_at_Low| measures parameter influence
- Parameters sorted by swing (largest impact first)</t>
  </si>
  <si>
    <t>Calculated by evaluating NPV at parameter bounds</t>
  </si>
  <si>
    <t>tbl_Triangular, tbl_SiteConfig, tbl_KPIs</t>
  </si>
  <si>
    <t>NPV_at_Low</t>
  </si>
  <si>
    <t>NPV_at_High</t>
  </si>
  <si>
    <t>Swing</t>
  </si>
  <si>
    <t>Value_Per_M3</t>
  </si>
  <si>
    <t>Wetland_Area</t>
  </si>
  <si>
    <t>Methodology</t>
  </si>
  <si>
    <t>Proportional parameters: NPV scales linearly with parameter ratio (Low/Base, High/Base)</t>
  </si>
  <si>
    <t>Discount Rate: Uses time-value adjustment formula NPV * ((1+Base)/(1+Rate))^2.5</t>
  </si>
  <si>
    <t>Note: These are first-order approximations. For precise sensitivity, use Monte Carlo.</t>
  </si>
  <si>
    <t>Tornado Chart</t>
  </si>
  <si>
    <t>1. Select Parameter and Swing columns (A4:A8, G4:G8)</t>
  </si>
  <si>
    <t>2. Insert -&gt; Chart -&gt; Bar Chart (horizontal)</t>
  </si>
  <si>
    <t>3. Sort data by Swing descending for tornado effect</t>
  </si>
  <si>
    <t>Executive Dashboard</t>
  </si>
  <si>
    <t>Key Results Summary</t>
  </si>
  <si>
    <t>This dashboard presents the key outputs from the Monte Carlo simulation.
PRIMARY METRICS:
- Expected NPV: Mean of 1000 simulation iterations
- P10/P50/P90: Confidence interval bounds
- Probability NPV &gt; 0: Likelihood of positive outcome
INTERPRETATION GUIDE:
- P10 = "Pessimistic but plausible" (10% of outcomes are worse)
- P50 = Median outcome (equally likely to be higher or lower)
- P90 = "Optimistic but plausible" (10% of outcomes are better)
A narrow P10-P90 range indicates low uncertainty.
P10 &gt; 0 means even pessimistic scenarios show positive value.
REFRESH DATA:
Press Ctrl+Alt+F9 to regenerate all 1000 Monte Carlo iterations.
Dashboard values update automatically.</t>
  </si>
  <si>
    <t>Key Performance Indicators</t>
  </si>
  <si>
    <t>Primary Monte Carlo simulation outputs and financial metrics for executive decision-making.</t>
  </si>
  <si>
    <t>Provide at-a-glance summary of biosensor investment value and risk profile</t>
  </si>
  <si>
    <t>- NPV calculated over 5-year horizon with 7% discount rate
- P10/P50/P90 derived from 1000 Monte Carlo iterations
- All metrics assume Daily Biosensor as selected testing option
- Values refresh when Monte Carlo simulation is recalculated</t>
  </si>
  <si>
    <t>Calculated from 10_Calc_Sim Monte Carlo simulation results</t>
  </si>
  <si>
    <t>tbl_ScenarioBreakdown, tbl_Annual, tbl_CashFlow</t>
  </si>
  <si>
    <t>Selected Testing Option</t>
  </si>
  <si>
    <t>Expected NPV (5-Year)</t>
  </si>
  <si>
    <t>Monte Carlo P10</t>
  </si>
  <si>
    <t>Monte Carlo P50</t>
  </si>
  <si>
    <t>Monte Carlo P90</t>
  </si>
  <si>
    <t>Probability NPV &gt; 0</t>
  </si>
  <si>
    <t>Compliance Gate Status</t>
  </si>
  <si>
    <t>Annual Testing Cost</t>
  </si>
  <si>
    <t>Year 1 Gross Value</t>
  </si>
  <si>
    <t>Year 1 Net Value</t>
  </si>
  <si>
    <t>Scenario Value Breakdown</t>
  </si>
  <si>
    <t>Individual scenario contributions to total gated value with gate status.</t>
  </si>
  <si>
    <t>Show which value scenarios are captured by the selected testing option</t>
  </si>
  <si>
    <t>- Gate status determined by testing latency vs required response time
- ENABLED means testing latency allows capturing this value
- BLOCKED means testing latency prevents capturing this value
- Values are stochastic and vary with each Monte Carlo iteration</t>
  </si>
  <si>
    <t>Calculated from 8_Calc_Value gating logic and stochastic multipliers</t>
  </si>
  <si>
    <t>tbl_KPIs, tbl_ValueScenarios, tbl_GatedValues</t>
  </si>
  <si>
    <t>NAFC degradation parameters and Monte Carlo treatment time estimates.</t>
  </si>
  <si>
    <t>Validate that biosensor-enabled treatment achieves regulatory compliance within season</t>
  </si>
  <si>
    <t>- Based on Kearl (2022) first-order kinetics model for NAFC degradation
- Initial/target NAFC concentrations from site characterization data
- Treatment rate factor varies stochastically (0.7-1.3 multiplier)
- Season length constraint of 120 days for Alberta operations</t>
  </si>
  <si>
    <t>Kearl (2022) wetland treatment kinetics research</t>
  </si>
  <si>
    <t>tbl_KPIs, tbl_Triangular, tbl_TreatmentKinetics</t>
  </si>
  <si>
    <t>Initial NAFC Concentration</t>
  </si>
  <si>
    <t>Target NAFC Concentration</t>
  </si>
  <si>
    <t>"-"</t>
  </si>
  <si>
    <t>Days to Regulatory Compliance</t>
  </si>
  <si>
    <t>Circulation Cycles Required</t>
  </si>
  <si>
    <t>Treatment Efficiency</t>
  </si>
  <si>
    <t>MC Expected Days</t>
  </si>
  <si>
    <t>MC P90 Days (conservative)</t>
  </si>
  <si>
    <t>MC Prob(Achievable)</t>
  </si>
  <si>
    <t>Testing Option Comparison</t>
  </si>
  <si>
    <t>Side-by-side comparison of gate status and value across all testing options.</t>
  </si>
  <si>
    <t>Demonstrate the value differential between HRMS and biosensor testing approaches</t>
  </si>
  <si>
    <t>- Monthly HRMS: 42-day turnaround, $60K/season
- Weekly HRMS: 42-day turnaround, $28.6K/season
- Daily Biosensor: 1-day turnaround, $10K/season
- Gate status determined by latency vs required response time</t>
  </si>
  <si>
    <t>Testing cost quotes and operational latency measurements</t>
  </si>
  <si>
    <t>tbl_KPIs, tbl_TestOptions, tbl_LatencyGating</t>
  </si>
  <si>
    <t>S1 Gate</t>
  </si>
  <si>
    <t>S2 Gate</t>
  </si>
  <si>
    <t>S3 Gate</t>
  </si>
  <si>
    <t>S4 Gate</t>
  </si>
  <si>
    <t>Testing Cost/Season</t>
  </si>
  <si>
    <t>$60,000</t>
  </si>
  <si>
    <t>$28,571</t>
  </si>
  <si>
    <t>$10,000</t>
  </si>
  <si>
    <t>Potential 5-Year NPV</t>
  </si>
  <si>
    <t>-$29k</t>
  </si>
  <si>
    <t>$180k</t>
  </si>
  <si>
    <t>$1.1M+</t>
  </si>
  <si>
    <t>Model Health</t>
  </si>
  <si>
    <t>Check Status:</t>
  </si>
  <si>
    <t>Errors Found:</t>
  </si>
  <si>
    <t>Model Validation Checks</t>
  </si>
  <si>
    <t>Model Integrity Checks</t>
  </si>
  <si>
    <t>This sheet validates model inputs and calculations.
CHECK CATEGORIES:
- Range: Input values within acceptable bounds
- Consistency: Related inputs are logically consistent
- Sanity: Output values are reasonable
- Integrity: Calculations produce expected results
INTERPRETING RESULTS:
- PASS: Check passed, no action needed
- FAIL: Issue detected, review the referenced input/output
WHAT TO DO IF CHECKS FAIL:
1. Note which check(s) failed
2. Review the description to understand the issue
3. Navigate to the relevant input (usually 1_TOC or 3_Assumptions)
4. Adjust values to bring them within valid ranges
5. Return here to confirm PASS status
AUTOMATED MONITORING:
The 0_Cover sheet shows overall model health status.
Any FAIL here will trigger the "Review 17_Checks" warning.</t>
  </si>
  <si>
    <t>Automated validation rules that verify model inputs and outputs are within acceptable ranges.</t>
  </si>
  <si>
    <t>Ensure model integrity by detecting invalid inputs, inconsistent parameters, and unreasonable outputs</t>
  </si>
  <si>
    <t>- Range checks based on reasonable operational bounds
- Sanity checks based on expected order-of-magnitude for outputs
- Consistency checks ensure related parameters are logically coherent
- PASS/FAIL status updates automatically when inputs change</t>
  </si>
  <si>
    <t>Validation rules based on domain expertise and operational constraints</t>
  </si>
  <si>
    <t>tbl_Control, tbl_KPIs, tbl_ValueScenarios</t>
  </si>
  <si>
    <t>Check_ID</t>
  </si>
  <si>
    <t>Category</t>
  </si>
  <si>
    <t>CHK001</t>
  </si>
  <si>
    <t>Range</t>
  </si>
  <si>
    <t>Discount rate between 0-15%</t>
  </si>
  <si>
    <t>CHK002</t>
  </si>
  <si>
    <t>Season length between 60-150 days</t>
  </si>
  <si>
    <t>CHK003</t>
  </si>
  <si>
    <t>Projection years between 1-10</t>
  </si>
  <si>
    <t>CHK004</t>
  </si>
  <si>
    <t>Value per M3 positive</t>
  </si>
  <si>
    <t>CHK005</t>
  </si>
  <si>
    <t>Logic</t>
  </si>
  <si>
    <t>Testing option valid</t>
  </si>
  <si>
    <t>CHK006</t>
  </si>
  <si>
    <t>Scenario selection valid</t>
  </si>
  <si>
    <t>CHK007</t>
  </si>
  <si>
    <t>Sanity</t>
  </si>
  <si>
    <t>NPV within reasonable bounds</t>
  </si>
  <si>
    <t>CHK008</t>
  </si>
  <si>
    <t>Testing cost positive</t>
  </si>
  <si>
    <t>CHK009</t>
  </si>
  <si>
    <t>Gross value non-negative</t>
  </si>
  <si>
    <t>CHK010</t>
  </si>
  <si>
    <t>Integrity</t>
  </si>
  <si>
    <t>All named ranges defined</t>
  </si>
  <si>
    <t>CHK011</t>
  </si>
  <si>
    <t>Initial NAFC in range (40-100 mg/L)</t>
  </si>
  <si>
    <t>CHK012</t>
  </si>
  <si>
    <t>Target NAFC &lt; Initial NAFC</t>
  </si>
  <si>
    <t>CHK013</t>
  </si>
  <si>
    <t>Days to compliance &lt;= season length</t>
  </si>
  <si>
    <t>CHK014</t>
  </si>
  <si>
    <t>Treatment rates positive</t>
  </si>
  <si>
    <t>CHK015</t>
  </si>
  <si>
    <t>Compliance</t>
  </si>
  <si>
    <t>Master compliance gate status</t>
  </si>
  <si>
    <t>CHK016</t>
  </si>
  <si>
    <t>Compliance adjusted value non-negative</t>
  </si>
  <si>
    <t>Total Checks:</t>
  </si>
  <si>
    <t>Passed:</t>
  </si>
  <si>
    <t>Failed:</t>
  </si>
  <si>
    <t>Model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</si>
</sst>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0.0%"/>
    <numFmt numFmtId="166" formatCode="\$#,##0.00"/>
    <numFmt numFmtId="167" formatCode="\$#,##0"/>
    <numFmt numFmtId="168" formatCode="0.000"/>
    <numFmt numFmtId="169" formatCode="0.0"/>
    <numFmt numFmtId="170" formatCode="0.0\ &quot;mg/L&quot;"/>
    <numFmt numFmtId="171" formatCode="0.0\ &quot;days&quot;"/>
  </numFmts>
  <fonts count="14" x14ac:knownFonts="1">
    <font>
      <sz val="11"/>
      <color theme="1"/>
      <name val="Calibri"/>
      <family val="2"/>
      <scheme val="minor"/>
    </font>
    <font>
      <b/>
      <sz val="20"/>
      <name val="Calibri"/>
      <family val="2"/>
    </font>
    <font>
      <i/>
      <sz val="12"/>
      <name val="Calibri"/>
      <family val="2"/>
    </font>
    <font>
      <b/>
      <sz val="14"/>
      <name val="Calibri"/>
      <family val="2"/>
    </font>
    <font>
      <b/>
      <sz val="16"/>
      <name val="Calibri"/>
      <family val="2"/>
    </font>
    <font>
      <b/>
      <sz val="11"/>
      <name val="Calibri"/>
      <family val="2"/>
    </font>
    <font>
      <b/>
      <sz val="10"/>
      <color rgb="FF666666"/>
      <name val="Calibri"/>
      <family val="2"/>
    </font>
    <font>
      <sz val="10"/>
      <color rgb="FF666666"/>
      <name val="Calibri"/>
      <family val="2"/>
    </font>
    <font>
      <b/>
      <sz val="11"/>
      <color rgb="FFFFFFFF"/>
      <name val="Calibri"/>
      <family val="2"/>
    </font>
    <font>
      <b/>
      <sz val="11"/>
      <name val="Calibri"/>
      <family val="2"/>
    </font>
    <font>
      <i/>
      <sz val="11"/>
      <name val="Calibri"/>
      <family val="2"/>
    </font>
    <font>
      <b/>
      <sz val="11"/>
      <color rgb="FF1F4E79"/>
      <name val="Calibri"/>
      <family val="2"/>
    </font>
    <font>
      <i/>
      <sz val="9"/>
      <name val="Calibri"/>
      <family val="2"/>
    </font>
    <font>
      <i/>
      <sz val="9"/>
      <color rgb="FF666666"/>
      <name val="Calibri"/>
      <family val="2"/>
    </font>
  </fonts>
  <fills count="6">
    <fill>
      <patternFill patternType="none"/>
    </fill>
    <fill>
      <patternFill patternType="gray125"/>
    </fill>
    <fill>
      <patternFill patternType="solid">
        <fgColor rgb="FFF2F2F2"/>
        <bgColor rgb="FFF2F2F2"/>
      </patternFill>
    </fill>
    <fill>
      <patternFill patternType="solid">
        <fgColor rgb="FF4472C4"/>
        <bgColor rgb="FF4472C4"/>
      </patternFill>
    </fill>
    <fill>
      <patternFill patternType="solid">
        <fgColor rgb="FFFFFF99"/>
        <bgColor rgb="FFFFFF99"/>
      </patternFill>
    </fill>
    <fill>
      <patternFill patternType="solid">
        <fgColor rgb="FFDEEAF6"/>
        <bgColor rgb="FFDEEAF6"/>
      </patternFill>
    </fill>
  </fills>
  <borders count="4">
    <border>
      <left/>
      <right/>
      <top/>
      <bottom/>
      <diagonal/>
    </border>
    <border>
      <left style="medium">
        <color rgb="FF4472C4"/>
      </left>
      <right style="medium">
        <color rgb="FF4472C4"/>
      </right>
      <top style="medium">
        <color rgb="FF4472C4"/>
      </top>
      <bottom style="medium">
        <color rgb="FF4472C4"/>
      </bottom>
      <diagonal/>
    </border>
    <border>
      <left/>
      <right/>
      <top style="medium">
        <color rgb="FF4472C4"/>
      </top>
      <bottom style="medium">
        <color rgb="FF4472C4"/>
      </bottom>
      <diagonal/>
    </border>
    <border>
      <left/>
      <right style="medium">
        <color rgb="FF4472C4"/>
      </right>
      <top style="medium">
        <color rgb="FF4472C4"/>
      </top>
      <bottom style="medium">
        <color rgb="FF4472C4"/>
      </bottom>
      <diagonal/>
    </border>
  </borders>
  <cellStyleXfs count="1">
    <xf numFmtId="0" fontId="0" fillId="0" borderId="0"/>
  </cellStyleXfs>
  <cellXfs count="37">
    <xf numFmtId="0" fontId="0" fillId="0" borderId="0" xfId="0"/>
    <xf numFmtId="0" fontId="1" fillId="0" borderId="0" xfId="0" applyFont="1"/>
    <xf numFmtId="0" fontId="2" fillId="0" borderId="0" xfId="0" applyFont="1"/>
    <xf numFmtId="164" fontId="0" fillId="0" borderId="0" xfId="0" applyNumberFormat="1"/>
    <xf numFmtId="0" fontId="3" fillId="0" borderId="0" xfId="0" applyFont="1"/>
    <xf numFmtId="0" fontId="4" fillId="0" borderId="0" xfId="0" applyFont="1"/>
    <xf numFmtId="0" fontId="5" fillId="0" borderId="0" xfId="0" applyFont="1"/>
    <xf numFmtId="0" fontId="6" fillId="2" borderId="0" xfId="0" applyFont="1" applyFill="1" applyAlignment="1">
      <alignment vertical="top"/>
    </xf>
    <xf numFmtId="0" fontId="8" fillId="3" borderId="0" xfId="0" applyFont="1" applyFill="1"/>
    <xf numFmtId="0" fontId="0" fillId="4" borderId="0" xfId="0" applyFill="1"/>
    <xf numFmtId="165" fontId="0" fillId="4" borderId="0" xfId="0" applyNumberFormat="1" applyFill="1"/>
    <xf numFmtId="0" fontId="9" fillId="0" borderId="0" xfId="0" applyFont="1"/>
    <xf numFmtId="0" fontId="10" fillId="0" borderId="0" xfId="0" applyFont="1"/>
    <xf numFmtId="166" fontId="0" fillId="4" borderId="0" xfId="0" applyNumberFormat="1" applyFill="1"/>
    <xf numFmtId="167" fontId="0" fillId="4" borderId="0" xfId="0" applyNumberFormat="1" applyFill="1"/>
    <xf numFmtId="167" fontId="0" fillId="0" borderId="0" xfId="0" applyNumberFormat="1"/>
    <xf numFmtId="168" fontId="0" fillId="4" borderId="0" xfId="0" applyNumberFormat="1" applyFill="1"/>
    <xf numFmtId="169" fontId="0" fillId="4" borderId="0" xfId="0" applyNumberFormat="1" applyFill="1"/>
    <xf numFmtId="2" fontId="0" fillId="4" borderId="0" xfId="0" applyNumberFormat="1" applyFill="1"/>
    <xf numFmtId="1" fontId="0" fillId="4" borderId="0" xfId="0" applyNumberFormat="1" applyFill="1"/>
    <xf numFmtId="0" fontId="12" fillId="0" borderId="0" xfId="0" applyFont="1"/>
    <xf numFmtId="168" fontId="0" fillId="0" borderId="0" xfId="0" applyNumberFormat="1"/>
    <xf numFmtId="2" fontId="0" fillId="0" borderId="0" xfId="0" applyNumberFormat="1"/>
    <xf numFmtId="169" fontId="0" fillId="0" borderId="0" xfId="0" applyNumberFormat="1"/>
    <xf numFmtId="1" fontId="0" fillId="0" borderId="0" xfId="0" applyNumberFormat="1"/>
    <xf numFmtId="165" fontId="0" fillId="0" borderId="0" xfId="0" applyNumberFormat="1"/>
    <xf numFmtId="0" fontId="13" fillId="0" borderId="0" xfId="0" applyFont="1"/>
    <xf numFmtId="167" fontId="9" fillId="0" borderId="0" xfId="0" applyNumberFormat="1" applyFont="1"/>
    <xf numFmtId="166" fontId="0" fillId="0" borderId="0" xfId="0" applyNumberFormat="1"/>
    <xf numFmtId="170" fontId="0" fillId="0" borderId="0" xfId="0" applyNumberFormat="1"/>
    <xf numFmtId="171" fontId="0" fillId="0" borderId="0" xfId="0" applyNumberFormat="1"/>
    <xf numFmtId="0" fontId="7" fillId="2" borderId="0" xfId="0" applyFont="1" applyFill="1" applyAlignment="1">
      <alignment vertical="top" wrapText="1"/>
    </xf>
    <xf numFmtId="0" fontId="0" fillId="0" borderId="0" xfId="0"/>
    <xf numFmtId="0" fontId="0" fillId="5" borderId="1" xfId="0" applyFill="1" applyBorder="1" applyAlignment="1">
      <alignment horizontal="left" vertical="top" wrapText="1"/>
    </xf>
    <xf numFmtId="0" fontId="0" fillId="0" borderId="2" xfId="0" applyBorder="1"/>
    <xf numFmtId="0" fontId="0" fillId="0" borderId="3" xfId="0" applyBorder="1"/>
    <xf numFmtId="0" fontId="11" fillId="5" borderId="1" xfId="0" applyFont="1" applyFill="1" applyBorder="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Control" displayName="tbl_Control" ref="A9:D14">
  <autoFilter ref="A9:D14" xr:uid="{00000000-0009-0000-0100-000001000000}"/>
  <tableColumns count="4">
    <tableColumn id="1" xr3:uid="{00000000-0010-0000-0000-000001000000}" name="Parameter"/>
    <tableColumn id="2" xr3:uid="{00000000-0010-0000-0000-000002000000}" name="Value"/>
    <tableColumn id="3" xr3:uid="{00000000-0010-0000-0000-000003000000}" name="Validation"/>
    <tableColumn id="4" xr3:uid="{00000000-0010-0000-0000-000004000000}" name="Descriptio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InputMap" displayName="tbl_InputMap" ref="A4:D34">
  <autoFilter ref="A4:D34" xr:uid="{00000000-0009-0000-0100-000002000000}"/>
  <tableColumns count="4">
    <tableColumn id="1" xr3:uid="{00000000-0010-0000-0100-000001000000}" name="Input Name"/>
    <tableColumn id="2" xr3:uid="{00000000-0010-0000-0100-000002000000}" name="Value"/>
    <tableColumn id="3" xr3:uid="{00000000-0010-0000-0100-000003000000}" name="Source Sheet"/>
    <tableColumn id="4" xr3:uid="{00000000-0010-0000-0100-000004000000}" name="Referenced By"/>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Timing" displayName="tbl_Timing" ref="A9:E14">
  <autoFilter ref="A9:E14" xr:uid="{00000000-0009-0000-0100-000003000000}"/>
  <tableColumns count="5">
    <tableColumn id="1" xr3:uid="{00000000-0010-0000-0200-000001000000}" name="Parameter"/>
    <tableColumn id="2" xr3:uid="{00000000-0010-0000-0200-000002000000}" name="Value"/>
    <tableColumn id="3" xr3:uid="{00000000-0010-0000-0200-000003000000}" name="Unit"/>
    <tableColumn id="4" xr3:uid="{00000000-0010-0000-0200-000004000000}" name="Notes"/>
    <tableColumn id="5" xr3:uid="{00000000-0010-0000-0200-000005000000}" name="Referenced By"/>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Seasonality" displayName="tbl_Seasonality" ref="A22:D27">
  <autoFilter ref="A22:D27" xr:uid="{00000000-0009-0000-0100-000004000000}"/>
  <tableColumns count="4">
    <tableColumn id="1" xr3:uid="{00000000-0010-0000-0300-000001000000}" name="Month"/>
    <tableColumn id="2" xr3:uid="{00000000-0010-0000-0300-000002000000}" name="Month_Num"/>
    <tableColumn id="3" xr3:uid="{00000000-0010-0000-0300-000003000000}" name="Multiplier"/>
    <tableColumn id="4" xr3:uid="{00000000-0010-0000-0300-000004000000}" name="Activity"/>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iteConfig" displayName="tbl_SiteConfig" ref="A36:E40">
  <autoFilter ref="A36:E40" xr:uid="{00000000-0009-0000-0100-000005000000}"/>
  <tableColumns count="5">
    <tableColumn id="1" xr3:uid="{00000000-0010-0000-0400-000001000000}" name="Parameter"/>
    <tableColumn id="2" xr3:uid="{00000000-0010-0000-0400-000002000000}" name="Value"/>
    <tableColumn id="3" xr3:uid="{00000000-0010-0000-0400-000003000000}" name="Unit"/>
    <tableColumn id="4" xr3:uid="{00000000-0010-0000-0400-000004000000}" name="Source"/>
    <tableColumn id="5" xr3:uid="{00000000-0010-0000-0400-000005000000}" name="Referenced By"/>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CostParams" displayName="tbl_CostParams" ref="A49:D52">
  <autoFilter ref="A49:D52" xr:uid="{00000000-0009-0000-0100-000006000000}"/>
  <tableColumns count="4">
    <tableColumn id="1" xr3:uid="{00000000-0010-0000-0500-000001000000}" name="Parameter"/>
    <tableColumn id="2" xr3:uid="{00000000-0010-0000-0500-000002000000}" name="Value"/>
    <tableColumn id="3" xr3:uid="{00000000-0010-0000-0500-000003000000}" name="Unit"/>
    <tableColumn id="4" xr3:uid="{00000000-0010-0000-0500-000004000000}" name="Referenced By"/>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LearningCurve" displayName="tbl_LearningCurve" ref="A61:D66">
  <autoFilter ref="A61:D66" xr:uid="{00000000-0009-0000-0100-000007000000}"/>
  <tableColumns count="4">
    <tableColumn id="1" xr3:uid="{00000000-0010-0000-0600-000001000000}" name="Year"/>
    <tableColumn id="2" xr3:uid="{00000000-0010-0000-0600-000002000000}" name="Multiplier"/>
    <tableColumn id="3" xr3:uid="{00000000-0010-0000-0600-000003000000}" name="Notes"/>
    <tableColumn id="4" xr3:uid="{00000000-0010-0000-0600-000004000000}" name="Referenced By"/>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TestOptions" displayName="tbl_TestOptions" ref="A75:G78">
  <autoFilter ref="A75:G78" xr:uid="{00000000-0009-0000-0100-000008000000}"/>
  <tableColumns count="7">
    <tableColumn id="1" xr3:uid="{00000000-0010-0000-0700-000001000000}" name="Option"/>
    <tableColumn id="2" xr3:uid="{00000000-0010-0000-0700-000002000000}" name="Method"/>
    <tableColumn id="3" xr3:uid="{00000000-0010-0000-0700-000003000000}" name="Interval"/>
    <tableColumn id="4" xr3:uid="{00000000-0010-0000-0700-000004000000}" name="Points"/>
    <tableColumn id="5" xr3:uid="{00000000-0010-0000-0700-000005000000}" name="Cost_Per_Test"/>
    <tableColumn id="6" xr3:uid="{00000000-0010-0000-0700-000006000000}" name="Latency_Days"/>
    <tableColumn id="7" xr3:uid="{00000000-0010-0000-0700-000007000000}" name="Referenced By"/>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LatencyGating" displayName="tbl_LatencyGating" ref="A86:E89">
  <autoFilter ref="A86:E89" xr:uid="{00000000-0009-0000-0100-000009000000}"/>
  <tableColumns count="5">
    <tableColumn id="1" xr3:uid="{00000000-0010-0000-0800-000001000000}" name="Option"/>
    <tableColumn id="2" xr3:uid="{00000000-0010-0000-0800-000002000000}" name="S1_Gate"/>
    <tableColumn id="3" xr3:uid="{00000000-0010-0000-0800-000003000000}" name="S2_Gate"/>
    <tableColumn id="4" xr3:uid="{00000000-0010-0000-0800-000004000000}" name="S3_Gate"/>
    <tableColumn id="5" xr3:uid="{00000000-0010-0000-0800-000005000000}" name="S4_Gate"/>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TreatmentKinetics" displayName="tbl_TreatmentKinetics" ref="A107:E114">
  <autoFilter ref="A107:E114" xr:uid="{00000000-0009-0000-0100-00000A000000}"/>
  <tableColumns count="5">
    <tableColumn id="1" xr3:uid="{00000000-0010-0000-0900-000001000000}" name="Parameter"/>
    <tableColumn id="2" xr3:uid="{00000000-0010-0000-0900-000002000000}" name="Value"/>
    <tableColumn id="3" xr3:uid="{00000000-0010-0000-0900-000003000000}" name="Unit"/>
    <tableColumn id="4" xr3:uid="{00000000-0010-0000-0900-000004000000}" name="Notes"/>
    <tableColumn id="5" xr3:uid="{00000000-0010-0000-0900-000005000000}" name="Referenced By"/>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ToxicityMilestones" displayName="tbl_ToxicityMilestones" ref="A123:D126">
  <autoFilter ref="A123:D126" xr:uid="{00000000-0009-0000-0100-00000B000000}"/>
  <tableColumns count="4">
    <tableColumn id="1" xr3:uid="{00000000-0010-0000-0A00-000001000000}" name="Milestone"/>
    <tableColumn id="2" xr3:uid="{00000000-0010-0000-0A00-000002000000}" name="Days"/>
    <tableColumn id="3" xr3:uid="{00000000-0010-0000-0A00-000003000000}" name="Survival"/>
    <tableColumn id="4" xr3:uid="{00000000-0010-0000-0A00-000004000000}" name="Notes"/>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Env_Profiles" displayName="tbl_Env_Profiles" ref="A7:H12">
  <autoFilter ref="A7:H12" xr:uid="{00000000-0009-0000-0100-00000C000000}"/>
  <tableColumns count="8">
    <tableColumn id="1" xr3:uid="{00000000-0010-0000-0B00-000001000000}" name="Variable"/>
    <tableColumn id="2" xr3:uid="{00000000-0010-0000-0B00-000002000000}" name="Unit"/>
    <tableColumn id="3" xr3:uid="{00000000-0010-0000-0B00-000003000000}" name="May"/>
    <tableColumn id="4" xr3:uid="{00000000-0010-0000-0B00-000004000000}" name="Jun"/>
    <tableColumn id="5" xr3:uid="{00000000-0010-0000-0B00-000005000000}" name="Jul"/>
    <tableColumn id="6" xr3:uid="{00000000-0010-0000-0B00-000006000000}" name="Aug"/>
    <tableColumn id="7" xr3:uid="{00000000-0010-0000-0B00-000007000000}" name="Sep"/>
    <tableColumn id="8" xr3:uid="{00000000-0010-0000-0B00-000008000000}" name="Notes"/>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Ionic_Params" displayName="tbl_Ionic_Params" ref="A16:H20">
  <autoFilter ref="A16:H20" xr:uid="{00000000-0009-0000-0100-00000D000000}"/>
  <tableColumns count="8">
    <tableColumn id="1" xr3:uid="{00000000-0010-0000-0C00-000001000000}" name="Parameter"/>
    <tableColumn id="2" xr3:uid="{00000000-0010-0000-0C00-000002000000}" name="Unit"/>
    <tableColumn id="3" xr3:uid="{00000000-0010-0000-0C00-000003000000}" name="Min"/>
    <tableColumn id="4" xr3:uid="{00000000-0010-0000-0C00-000004000000}" name="Mode"/>
    <tableColumn id="5" xr3:uid="{00000000-0010-0000-0C00-000005000000}" name="Max"/>
    <tableColumn id="6" xr3:uid="{00000000-0010-0000-0C00-000006000000}" name="Threshold"/>
    <tableColumn id="7" xr3:uid="{00000000-0010-0000-0C00-000007000000}" name="Direction"/>
    <tableColumn id="8" xr3:uid="{00000000-0010-0000-0C00-000008000000}" name="Notes"/>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ValueScenarios" displayName="tbl_ValueScenarios" ref="A9:E13">
  <autoFilter ref="A9:E13" xr:uid="{00000000-0009-0000-0100-00000E000000}"/>
  <tableColumns count="5">
    <tableColumn id="1" xr3:uid="{00000000-0010-0000-0D00-000001000000}" name="ID"/>
    <tableColumn id="2" xr3:uid="{00000000-0010-0000-0D00-000002000000}" name="Name"/>
    <tableColumn id="3" xr3:uid="{00000000-0010-0000-0D00-000003000000}" name="Base_Value"/>
    <tableColumn id="4" xr3:uid="{00000000-0010-0000-0D00-000004000000}" name="Required_Response_Days"/>
    <tableColumn id="5" xr3:uid="{00000000-0010-0000-0D00-000005000000}" name="Description"/>
  </tableColumns>
  <tableStyleInfo name="TableStyleMedium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ModelScenarios" displayName="tbl_ModelScenarios" ref="A22:D25">
  <autoFilter ref="A22:D25" xr:uid="{00000000-0009-0000-0100-00000F000000}"/>
  <tableColumns count="4">
    <tableColumn id="1" xr3:uid="{00000000-0010-0000-0E00-000001000000}" name="Scenario"/>
    <tableColumn id="2" xr3:uid="{00000000-0010-0000-0E00-000002000000}" name="Discount_Adj"/>
    <tableColumn id="3" xr3:uid="{00000000-0010-0000-0E00-000003000000}" name="Growth_Adj"/>
    <tableColumn id="4" xr3:uid="{00000000-0010-0000-0E00-000004000000}" name="Risk_Adj"/>
  </tableColumns>
  <tableStyleInfo name="TableStyleMedium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Triangular" displayName="tbl_Triangular" ref="A9:F13">
  <autoFilter ref="A9:F13" xr:uid="{00000000-0009-0000-0100-000010000000}"/>
  <tableColumns count="6">
    <tableColumn id="1" xr3:uid="{00000000-0010-0000-0F00-000001000000}" name="Variable"/>
    <tableColumn id="2" xr3:uid="{00000000-0010-0000-0F00-000002000000}" name="Min"/>
    <tableColumn id="3" xr3:uid="{00000000-0010-0000-0F00-000003000000}" name="Mode"/>
    <tableColumn id="4" xr3:uid="{00000000-0010-0000-0F00-000004000000}" name="Max"/>
    <tableColumn id="5" xr3:uid="{00000000-0010-0000-0F00-000005000000}" name="Units"/>
    <tableColumn id="6" xr3:uid="{00000000-0010-0000-0F00-000006000000}" name="Referenced By"/>
  </tableColumns>
  <tableStyleInfo name="TableStyleMedium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Beta" displayName="tbl_Beta" ref="A22:G23">
  <autoFilter ref="A22:G23" xr:uid="{00000000-0009-0000-0100-000011000000}"/>
  <tableColumns count="7">
    <tableColumn id="1" xr3:uid="{00000000-0010-0000-1000-000001000000}" name="Variable"/>
    <tableColumn id="2" xr3:uid="{00000000-0010-0000-1000-000002000000}" name="Alpha"/>
    <tableColumn id="3" xr3:uid="{00000000-0010-0000-1000-000003000000}" name="Beta"/>
    <tableColumn id="4" xr3:uid="{00000000-0010-0000-1000-000004000000}" name="Min"/>
    <tableColumn id="5" xr3:uid="{00000000-0010-0000-1000-000005000000}" name="Max"/>
    <tableColumn id="6" xr3:uid="{00000000-0010-0000-1000-000006000000}" name="Units"/>
    <tableColumn id="7" xr3:uid="{00000000-0010-0000-1000-000007000000}" name="Referenced By"/>
  </tableColumns>
  <tableStyleInfo name="TableStyleMedium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ValueSensitivity" displayName="tbl_ValueSensitivity" ref="A32:E35">
  <autoFilter ref="A32:E35" xr:uid="{00000000-0009-0000-0100-000012000000}"/>
  <tableColumns count="5">
    <tableColumn id="1" xr3:uid="{00000000-0010-0000-1100-000001000000}" name="Frame"/>
    <tableColumn id="2" xr3:uid="{00000000-0010-0000-1100-000002000000}" name="Low"/>
    <tableColumn id="3" xr3:uid="{00000000-0010-0000-1100-000003000000}" name="Base"/>
    <tableColumn id="4" xr3:uid="{00000000-0010-0000-1100-000004000000}" name="High"/>
    <tableColumn id="5" xr3:uid="{00000000-0010-0000-1100-000005000000}" name="Context"/>
  </tableColumns>
  <tableStyleInfo name="TableStyleMedium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bl_Timeline" displayName="tbl_Timeline" ref="A12:E18">
  <autoFilter ref="A12:E18" xr:uid="{00000000-0009-0000-0100-000013000000}"/>
  <tableColumns count="5">
    <tableColumn id="1" xr3:uid="{00000000-0010-0000-1200-000001000000}" name="Year_Index"/>
    <tableColumn id="2" xr3:uid="{00000000-0010-0000-1200-000002000000}" name="Calendar_Year"/>
    <tableColumn id="3" xr3:uid="{00000000-0010-0000-1200-000003000000}" name="Treatment_Days"/>
    <tableColumn id="4" xr3:uid="{00000000-0010-0000-1200-000004000000}" name="Discount_Factor"/>
    <tableColumn id="5" xr3:uid="{00000000-0010-0000-1200-000005000000}" name="Learning_Mult"/>
  </tableColumns>
  <tableStyleInfo name="TableStyleMedium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bl_Rate_Modifiers" displayName="tbl_Rate_Modifiers" ref="A7:E12">
  <autoFilter ref="A7:E12" xr:uid="{00000000-0009-0000-0100-000014000000}"/>
  <tableColumns count="5">
    <tableColumn id="1" xr3:uid="{00000000-0010-0000-1300-000001000000}" name="Modifier"/>
    <tableColumn id="2" xr3:uid="{00000000-0010-0000-1300-000002000000}" name="Formula"/>
    <tableColumn id="3" xr3:uid="{00000000-0010-0000-1300-000003000000}" name="Value"/>
    <tableColumn id="4" xr3:uid="{00000000-0010-0000-1300-000004000000}" name="Unit"/>
    <tableColumn id="5" xr3:uid="{00000000-0010-0000-1300-000005000000}" name="Notes"/>
  </tableColumns>
  <tableStyleInfo name="TableStyleMedium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bl_Stochastic" displayName="tbl_Stochastic" ref="A13:C18">
  <autoFilter ref="A13:C18" xr:uid="{00000000-0009-0000-0100-000015000000}"/>
  <tableColumns count="3">
    <tableColumn id="1" xr3:uid="{00000000-0010-0000-1400-000001000000}" name="Variable"/>
    <tableColumn id="2" xr3:uid="{00000000-0010-0000-1400-000002000000}" name="Random_U"/>
    <tableColumn id="3" xr3:uid="{00000000-0010-0000-1400-000003000000}" name="Realized_Value"/>
  </tableColumns>
  <tableStyleInfo name="TableStyleMedium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bl_Compliance_Gates" displayName="tbl_Compliance_Gates" ref="A7:F20">
  <autoFilter ref="A7:F20" xr:uid="{00000000-0009-0000-0100-000016000000}"/>
  <tableColumns count="6">
    <tableColumn id="1" xr3:uid="{00000000-0010-0000-1500-000001000000}" name="Gate"/>
    <tableColumn id="2" xr3:uid="{00000000-0010-0000-1500-000002000000}" name="Threshold"/>
    <tableColumn id="3" xr3:uid="{00000000-0010-0000-1500-000003000000}" name="Direction"/>
    <tableColumn id="4" xr3:uid="{00000000-0010-0000-1500-000004000000}" name="Value"/>
    <tableColumn id="5" xr3:uid="{00000000-0010-0000-1500-000005000000}" name="Status"/>
    <tableColumn id="6" xr3:uid="{00000000-0010-0000-1500-000006000000}" name="Notes"/>
  </tableColumns>
  <tableStyleInfo name="TableStyleMedium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bl_GatedValues" displayName="tbl_GatedValues" ref="A12:E16">
  <autoFilter ref="A12:E16" xr:uid="{00000000-0009-0000-0100-000017000000}"/>
  <tableColumns count="5">
    <tableColumn id="1" xr3:uid="{00000000-0010-0000-1600-000001000000}" name="Scenario"/>
    <tableColumn id="2" xr3:uid="{00000000-0010-0000-1600-000002000000}" name="Base_Value"/>
    <tableColumn id="3" xr3:uid="{00000000-0010-0000-1600-000003000000}" name="Gate_Status"/>
    <tableColumn id="4" xr3:uid="{00000000-0010-0000-1600-000004000000}" name="Stoch_Mult"/>
    <tableColumn id="5" xr3:uid="{00000000-0010-0000-1600-000005000000}" name="Gated_Value"/>
  </tableColumns>
  <tableStyleInfo name="TableStyleMedium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bl_CostCalc" displayName="tbl_CostCalc" ref="A12:C19">
  <autoFilter ref="A12:C19" xr:uid="{00000000-0009-0000-0100-000018000000}"/>
  <tableColumns count="3">
    <tableColumn id="1" xr3:uid="{00000000-0010-0000-1700-000001000000}" name="Component"/>
    <tableColumn id="2" xr3:uid="{00000000-0010-0000-1700-000002000000}" name="Formula"/>
    <tableColumn id="3" xr3:uid="{00000000-0010-0000-1700-000003000000}" name="Value"/>
  </tableColumns>
  <tableStyleInfo name="TableStyleMedium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bl_Annual" displayName="tbl_Annual" ref="A12:J17">
  <autoFilter ref="A12:J17" xr:uid="{00000000-0009-0000-0100-000019000000}"/>
  <tableColumns count="10">
    <tableColumn id="1" xr3:uid="{00000000-0010-0000-1800-000001000000}" name="Year"/>
    <tableColumn id="2" xr3:uid="{00000000-0010-0000-1800-000002000000}" name="S1_Value"/>
    <tableColumn id="3" xr3:uid="{00000000-0010-0000-1800-000003000000}" name="S2_Value"/>
    <tableColumn id="4" xr3:uid="{00000000-0010-0000-1800-000004000000}" name="S3_Value"/>
    <tableColumn id="5" xr3:uid="{00000000-0010-0000-1800-000005000000}" name="S4_Value"/>
    <tableColumn id="6" xr3:uid="{00000000-0010-0000-1800-000006000000}" name="Gross_Value"/>
    <tableColumn id="7" xr3:uid="{00000000-0010-0000-1800-000007000000}" name="Costs"/>
    <tableColumn id="8" xr3:uid="{00000000-0010-0000-1800-000008000000}" name="Net_Annual"/>
    <tableColumn id="9" xr3:uid="{00000000-0010-0000-1800-000009000000}" name="Discount_Factor"/>
    <tableColumn id="10" xr3:uid="{00000000-0010-0000-1800-00000A000000}" name="Discounted"/>
  </tableColumns>
  <tableStyleInfo name="TableStyleMedium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bl_CashFlow" displayName="tbl_CashFlow" ref="A12:D17">
  <autoFilter ref="A12:D17" xr:uid="{00000000-0009-0000-0100-00001A000000}"/>
  <tableColumns count="4">
    <tableColumn id="1" xr3:uid="{00000000-0010-0000-1900-000001000000}" name="Year"/>
    <tableColumn id="2" xr3:uid="{00000000-0010-0000-1900-000002000000}" name="Annual_Net"/>
    <tableColumn id="3" xr3:uid="{00000000-0010-0000-1900-000003000000}" name="Cumulative_Net"/>
    <tableColumn id="4" xr3:uid="{00000000-0010-0000-1900-000004000000}" name="Cumulative_NPV"/>
  </tableColumns>
  <tableStyleInfo name="TableStyleMedium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bl_UnitEconomics" displayName="tbl_UnitEconomics" ref="A12:D21">
  <autoFilter ref="A12:D21" xr:uid="{00000000-0009-0000-0100-00001B000000}"/>
  <tableColumns count="4">
    <tableColumn id="1" xr3:uid="{00000000-0010-0000-1A00-000001000000}" name="Metric"/>
    <tableColumn id="2" xr3:uid="{00000000-0010-0000-1A00-000002000000}" name="Value"/>
    <tableColumn id="3" xr3:uid="{00000000-0010-0000-1A00-000003000000}" name="Unit"/>
    <tableColumn id="4" xr3:uid="{00000000-0010-0000-1A00-000004000000}" name="Formula"/>
  </tableColumns>
  <tableStyleInfo name="TableStyleMedium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bl_Sensitivity" displayName="tbl_Sensitivity" ref="A12:G16">
  <autoFilter ref="A12:G16" xr:uid="{00000000-0009-0000-0100-00001C000000}"/>
  <tableColumns count="7">
    <tableColumn id="1" xr3:uid="{00000000-0010-0000-1B00-000001000000}" name="Parameter"/>
    <tableColumn id="2" xr3:uid="{00000000-0010-0000-1B00-000002000000}" name="Low"/>
    <tableColumn id="3" xr3:uid="{00000000-0010-0000-1B00-000003000000}" name="Base"/>
    <tableColumn id="4" xr3:uid="{00000000-0010-0000-1B00-000004000000}" name="High"/>
    <tableColumn id="5" xr3:uid="{00000000-0010-0000-1B00-000005000000}" name="NPV_at_Low"/>
    <tableColumn id="6" xr3:uid="{00000000-0010-0000-1B00-000006000000}" name="NPV_at_High"/>
    <tableColumn id="7" xr3:uid="{00000000-0010-0000-1B00-000007000000}" name="Swing"/>
  </tableColumns>
  <tableStyleInfo name="TableStyleMedium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bl_KPIs" displayName="tbl_KPIs" ref="A12:B22">
  <autoFilter ref="A12:B22" xr:uid="{00000000-0009-0000-0100-00001D000000}"/>
  <tableColumns count="2">
    <tableColumn id="1" xr3:uid="{00000000-0010-0000-1C00-000001000000}" name="Metric"/>
    <tableColumn id="2" xr3:uid="{00000000-0010-0000-1C00-000002000000}" name="Value"/>
  </tableColumns>
  <tableStyleInfo name="TableStyleMedium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bl_ScenarioBreakdown" displayName="tbl_ScenarioBreakdown" ref="A30:C34">
  <autoFilter ref="A30:C34" xr:uid="{00000000-0009-0000-0100-00001E000000}"/>
  <tableColumns count="3">
    <tableColumn id="1" xr3:uid="{00000000-0010-0000-1D00-000001000000}" name="Scenario"/>
    <tableColumn id="2" xr3:uid="{00000000-0010-0000-1D00-000002000000}" name="Gated_Value"/>
    <tableColumn id="3" xr3:uid="{00000000-0010-0000-1D00-000003000000}" name="Status"/>
  </tableColumns>
  <tableStyleInfo name="TableStyleMedium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bl_TreatmentKPIs" displayName="tbl_TreatmentKPIs" ref="A42:C50">
  <autoFilter ref="A42:C50" xr:uid="{00000000-0009-0000-0100-00001F000000}"/>
  <tableColumns count="3">
    <tableColumn id="1" xr3:uid="{00000000-0010-0000-1E00-000001000000}" name="Metric"/>
    <tableColumn id="2" xr3:uid="{00000000-0010-0000-1E00-000002000000}" name="Value"/>
    <tableColumn id="3" xr3:uid="{00000000-0010-0000-1E00-000003000000}" name="Status"/>
  </tableColumns>
  <tableStyleInfo name="TableStyleMedium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bl_OptionComparison" displayName="tbl_OptionComparison" ref="A58:D64">
  <autoFilter ref="A58:D64" xr:uid="{00000000-0009-0000-0100-000020000000}"/>
  <tableColumns count="4">
    <tableColumn id="1" xr3:uid="{00000000-0010-0000-1F00-000001000000}" name="Metric"/>
    <tableColumn id="2" xr3:uid="{00000000-0010-0000-1F00-000002000000}" name="Monthly_HRMS"/>
    <tableColumn id="3" xr3:uid="{00000000-0010-0000-1F00-000003000000}" name="Weekly_HRMS"/>
    <tableColumn id="4" xr3:uid="{00000000-0010-0000-1F00-000004000000}" name="Daily_Biosensor"/>
  </tableColumns>
  <tableStyleInfo name="TableStyleMedium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bl_Checks" displayName="tbl_Checks" ref="A12:D28">
  <autoFilter ref="A12:D28" xr:uid="{00000000-0009-0000-0100-000021000000}"/>
  <tableColumns count="4">
    <tableColumn id="1" xr3:uid="{00000000-0010-0000-2000-000001000000}" name="Check_ID"/>
    <tableColumn id="2" xr3:uid="{00000000-0010-0000-2000-000002000000}" name="Category"/>
    <tableColumn id="3" xr3:uid="{00000000-0010-0000-2000-000003000000}" name="Description"/>
    <tableColumn id="4" xr3:uid="{00000000-0010-0000-2000-000004000000}" name="Statu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4" Type="http://schemas.openxmlformats.org/officeDocument/2006/relationships/table" Target="../tables/table3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29"/>
  <sheetViews>
    <sheetView workbookViewId="0"/>
  </sheetViews>
  <sheetFormatPr baseColWidth="10" defaultColWidth="8.83203125" defaultRowHeight="15" x14ac:dyDescent="0.2"/>
  <cols>
    <col min="1" max="1" width="20" customWidth="1"/>
    <col min="2" max="2" width="45" customWidth="1"/>
  </cols>
  <sheetData>
    <row r="1" spans="1:2" ht="26" x14ac:dyDescent="0.3">
      <c r="A1" s="1" t="s">
        <v>0</v>
      </c>
    </row>
    <row r="2" spans="1:2" ht="16" x14ac:dyDescent="0.2">
      <c r="A2" s="2" t="s">
        <v>1</v>
      </c>
    </row>
    <row r="4" spans="1:2" x14ac:dyDescent="0.2">
      <c r="A4" t="s">
        <v>2</v>
      </c>
      <c r="B4" t="s">
        <v>3</v>
      </c>
    </row>
    <row r="5" spans="1:2" x14ac:dyDescent="0.2">
      <c r="A5" t="s">
        <v>4</v>
      </c>
      <c r="B5" s="3">
        <f ca="1">TODAY()</f>
        <v>46053</v>
      </c>
    </row>
    <row r="6" spans="1:2" x14ac:dyDescent="0.2">
      <c r="A6" t="s">
        <v>5</v>
      </c>
      <c r="B6" t="s">
        <v>6</v>
      </c>
    </row>
    <row r="8" spans="1:2" ht="19" x14ac:dyDescent="0.25">
      <c r="A8" s="4" t="s">
        <v>7</v>
      </c>
    </row>
    <row r="9" spans="1:2" x14ac:dyDescent="0.2">
      <c r="A9" t="s">
        <v>8</v>
      </c>
      <c r="B9" t="str">
        <f ca="1">IF(COUNTIF('21_Checks'!D:D,"FAIL")=0, "All Checks Pass", "Review 21_Checks")</f>
        <v>All Checks Pass</v>
      </c>
    </row>
    <row r="10" spans="1:2" x14ac:dyDescent="0.2">
      <c r="A10" t="s">
        <v>9</v>
      </c>
      <c r="B10">
        <f ca="1">COUNTIF('21_Checks'!D:D,"FAIL")</f>
        <v>0</v>
      </c>
    </row>
    <row r="12" spans="1:2" ht="19" x14ac:dyDescent="0.25">
      <c r="A12" s="4" t="s">
        <v>10</v>
      </c>
    </row>
    <row r="13" spans="1:2" x14ac:dyDescent="0.2">
      <c r="A13" t="s">
        <v>11</v>
      </c>
      <c r="B13" t="s">
        <v>12</v>
      </c>
    </row>
    <row r="14" spans="1:2" x14ac:dyDescent="0.2">
      <c r="A14" t="s">
        <v>13</v>
      </c>
      <c r="B14" t="s">
        <v>14</v>
      </c>
    </row>
    <row r="15" spans="1:2" x14ac:dyDescent="0.2">
      <c r="A15" t="s">
        <v>15</v>
      </c>
      <c r="B15" t="s">
        <v>16</v>
      </c>
    </row>
    <row r="16" spans="1:2" x14ac:dyDescent="0.2">
      <c r="A16" t="s">
        <v>17</v>
      </c>
      <c r="B16" t="s">
        <v>18</v>
      </c>
    </row>
    <row r="17" spans="1:2" x14ac:dyDescent="0.2">
      <c r="A17" t="s">
        <v>19</v>
      </c>
      <c r="B17" t="s">
        <v>20</v>
      </c>
    </row>
    <row r="18" spans="1:2" x14ac:dyDescent="0.2">
      <c r="A18" t="s">
        <v>21</v>
      </c>
      <c r="B18" t="s">
        <v>22</v>
      </c>
    </row>
    <row r="19" spans="1:2" x14ac:dyDescent="0.2">
      <c r="A19" t="s">
        <v>23</v>
      </c>
      <c r="B19" t="s">
        <v>24</v>
      </c>
    </row>
    <row r="20" spans="1:2" x14ac:dyDescent="0.2">
      <c r="A20" t="s">
        <v>25</v>
      </c>
      <c r="B20" t="s">
        <v>26</v>
      </c>
    </row>
    <row r="21" spans="1:2" x14ac:dyDescent="0.2">
      <c r="A21" t="s">
        <v>27</v>
      </c>
      <c r="B21" t="s">
        <v>28</v>
      </c>
    </row>
    <row r="22" spans="1:2" x14ac:dyDescent="0.2">
      <c r="A22" t="s">
        <v>29</v>
      </c>
      <c r="B22" t="s">
        <v>30</v>
      </c>
    </row>
    <row r="23" spans="1:2" x14ac:dyDescent="0.2">
      <c r="A23" t="s">
        <v>31</v>
      </c>
      <c r="B23" t="s">
        <v>32</v>
      </c>
    </row>
    <row r="24" spans="1:2" x14ac:dyDescent="0.2">
      <c r="A24" t="s">
        <v>33</v>
      </c>
      <c r="B24" t="s">
        <v>34</v>
      </c>
    </row>
    <row r="25" spans="1:2" x14ac:dyDescent="0.2">
      <c r="A25" t="s">
        <v>35</v>
      </c>
      <c r="B25" t="s">
        <v>36</v>
      </c>
    </row>
    <row r="26" spans="1:2" x14ac:dyDescent="0.2">
      <c r="A26" t="s">
        <v>37</v>
      </c>
      <c r="B26" t="s">
        <v>38</v>
      </c>
    </row>
    <row r="27" spans="1:2" x14ac:dyDescent="0.2">
      <c r="A27" t="s">
        <v>39</v>
      </c>
      <c r="B27" t="s">
        <v>40</v>
      </c>
    </row>
    <row r="28" spans="1:2" x14ac:dyDescent="0.2">
      <c r="A28" t="s">
        <v>41</v>
      </c>
      <c r="B28" t="s">
        <v>42</v>
      </c>
    </row>
    <row r="29" spans="1:2" x14ac:dyDescent="0.2">
      <c r="A29" t="s">
        <v>43</v>
      </c>
      <c r="B29" t="s">
        <v>44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D14"/>
  <sheetViews>
    <sheetView workbookViewId="0"/>
  </sheetViews>
  <sheetFormatPr baseColWidth="10" defaultColWidth="8.83203125" defaultRowHeight="15" x14ac:dyDescent="0.2"/>
  <cols>
    <col min="1" max="1" width="20" customWidth="1"/>
    <col min="2" max="2" width="18" customWidth="1"/>
    <col min="3" max="3" width="12" customWidth="1"/>
    <col min="4" max="4" width="35" customWidth="1"/>
  </cols>
  <sheetData>
    <row r="1" spans="1:4" ht="21" x14ac:dyDescent="0.25">
      <c r="A1" s="5" t="s">
        <v>45</v>
      </c>
    </row>
    <row r="3" spans="1:4" x14ac:dyDescent="0.2">
      <c r="A3" s="6" t="s">
        <v>45</v>
      </c>
    </row>
    <row r="4" spans="1:4" ht="31.25" customHeight="1" x14ac:dyDescent="0.2">
      <c r="A4" s="7" t="s">
        <v>46</v>
      </c>
      <c r="B4" s="31" t="s">
        <v>47</v>
      </c>
      <c r="C4" s="32"/>
      <c r="D4" s="32"/>
    </row>
    <row r="5" spans="1:4" ht="15.5" customHeight="1" x14ac:dyDescent="0.2">
      <c r="A5" s="7" t="s">
        <v>48</v>
      </c>
      <c r="B5" s="31" t="s">
        <v>49</v>
      </c>
      <c r="C5" s="32"/>
      <c r="D5" s="32"/>
    </row>
    <row r="6" spans="1:4" ht="78" customHeight="1" x14ac:dyDescent="0.2">
      <c r="A6" s="7" t="s">
        <v>50</v>
      </c>
      <c r="B6" s="31" t="s">
        <v>51</v>
      </c>
      <c r="C6" s="32"/>
      <c r="D6" s="32"/>
    </row>
    <row r="7" spans="1:4" ht="15.5" customHeight="1" x14ac:dyDescent="0.2">
      <c r="A7" s="7" t="s">
        <v>52</v>
      </c>
      <c r="B7" s="31" t="s">
        <v>53</v>
      </c>
      <c r="C7" s="32"/>
      <c r="D7" s="32"/>
    </row>
    <row r="8" spans="1:4" ht="15.5" customHeight="1" x14ac:dyDescent="0.2">
      <c r="A8" s="7" t="s">
        <v>54</v>
      </c>
      <c r="B8" s="31" t="s">
        <v>55</v>
      </c>
      <c r="C8" s="32"/>
      <c r="D8" s="32"/>
    </row>
    <row r="9" spans="1:4" x14ac:dyDescent="0.2">
      <c r="A9" s="8" t="s">
        <v>56</v>
      </c>
      <c r="B9" s="8" t="s">
        <v>57</v>
      </c>
      <c r="C9" s="8" t="s">
        <v>58</v>
      </c>
      <c r="D9" s="8" t="s">
        <v>59</v>
      </c>
    </row>
    <row r="10" spans="1:4" x14ac:dyDescent="0.2">
      <c r="A10" t="s">
        <v>60</v>
      </c>
      <c r="B10" s="9" t="s">
        <v>61</v>
      </c>
      <c r="C10" t="s">
        <v>62</v>
      </c>
      <c r="D10" t="s">
        <v>63</v>
      </c>
    </row>
    <row r="11" spans="1:4" x14ac:dyDescent="0.2">
      <c r="A11" t="s">
        <v>64</v>
      </c>
      <c r="B11" s="9" t="s">
        <v>65</v>
      </c>
      <c r="C11" t="s">
        <v>62</v>
      </c>
      <c r="D11" t="s">
        <v>66</v>
      </c>
    </row>
    <row r="12" spans="1:4" x14ac:dyDescent="0.2">
      <c r="A12" t="s">
        <v>67</v>
      </c>
      <c r="B12" s="10">
        <v>4.8000000000000001E-2</v>
      </c>
      <c r="C12" t="s">
        <v>68</v>
      </c>
      <c r="D12" t="s">
        <v>69</v>
      </c>
    </row>
    <row r="13" spans="1:4" x14ac:dyDescent="0.2">
      <c r="A13" t="s">
        <v>70</v>
      </c>
      <c r="B13" s="9">
        <v>5</v>
      </c>
      <c r="C13" t="s">
        <v>71</v>
      </c>
      <c r="D13" t="s">
        <v>72</v>
      </c>
    </row>
    <row r="14" spans="1:4" x14ac:dyDescent="0.2">
      <c r="A14" t="s">
        <v>73</v>
      </c>
      <c r="B14" s="9">
        <v>2026</v>
      </c>
      <c r="C14" t="s">
        <v>74</v>
      </c>
      <c r="D14" t="s">
        <v>75</v>
      </c>
    </row>
  </sheetData>
  <mergeCells count="5">
    <mergeCell ref="B5:D5"/>
    <mergeCell ref="B8:D8"/>
    <mergeCell ref="B4:D4"/>
    <mergeCell ref="B7:D7"/>
    <mergeCell ref="B6:D6"/>
  </mergeCells>
  <dataValidations count="2">
    <dataValidation type="list" errorTitle="Invalid Input" error="Select from dropdown" sqref="B5" xr:uid="{00000000-0002-0000-0100-000000000000}">
      <formula1>List_TestingOptions</formula1>
    </dataValidation>
    <dataValidation type="list" sqref="B6" xr:uid="{00000000-0002-0000-0100-000001000000}">
      <formula1>List_Scenarios</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D88"/>
  <sheetViews>
    <sheetView workbookViewId="0"/>
  </sheetViews>
  <sheetFormatPr baseColWidth="10" defaultColWidth="8.83203125" defaultRowHeight="15" x14ac:dyDescent="0.2"/>
  <cols>
    <col min="1" max="1" width="35" customWidth="1"/>
    <col min="2" max="2" width="30" customWidth="1"/>
    <col min="3" max="3" width="50" customWidth="1"/>
    <col min="4" max="4" width="15" customWidth="1"/>
  </cols>
  <sheetData>
    <row r="1" spans="1:1" ht="21" x14ac:dyDescent="0.25">
      <c r="A1" s="5" t="s">
        <v>76</v>
      </c>
    </row>
    <row r="3" spans="1:1" ht="19" x14ac:dyDescent="0.25">
      <c r="A3" s="4" t="s">
        <v>77</v>
      </c>
    </row>
    <row r="4" spans="1:1" x14ac:dyDescent="0.2">
      <c r="A4" t="s">
        <v>78</v>
      </c>
    </row>
    <row r="5" spans="1:1" x14ac:dyDescent="0.2">
      <c r="A5" t="s">
        <v>79</v>
      </c>
    </row>
    <row r="6" spans="1:1" x14ac:dyDescent="0.2">
      <c r="A6" t="s">
        <v>80</v>
      </c>
    </row>
    <row r="7" spans="1:1" x14ac:dyDescent="0.2">
      <c r="A7" t="s">
        <v>81</v>
      </c>
    </row>
    <row r="9" spans="1:1" ht="19" x14ac:dyDescent="0.25">
      <c r="A9" s="4" t="s">
        <v>82</v>
      </c>
    </row>
    <row r="10" spans="1:1" x14ac:dyDescent="0.2">
      <c r="A10" t="s">
        <v>83</v>
      </c>
    </row>
    <row r="11" spans="1:1" x14ac:dyDescent="0.2">
      <c r="A11" t="s">
        <v>84</v>
      </c>
    </row>
    <row r="12" spans="1:1" x14ac:dyDescent="0.2">
      <c r="A12" t="s">
        <v>85</v>
      </c>
    </row>
    <row r="13" spans="1:1" x14ac:dyDescent="0.2">
      <c r="A13" t="s">
        <v>86</v>
      </c>
    </row>
    <row r="14" spans="1:1" x14ac:dyDescent="0.2">
      <c r="A14" t="s">
        <v>87</v>
      </c>
    </row>
    <row r="15" spans="1:1" x14ac:dyDescent="0.2">
      <c r="A15" t="s">
        <v>88</v>
      </c>
    </row>
    <row r="16" spans="1:1" x14ac:dyDescent="0.2">
      <c r="A16" t="s">
        <v>89</v>
      </c>
    </row>
    <row r="17" spans="1:4" x14ac:dyDescent="0.2">
      <c r="A17" t="s">
        <v>90</v>
      </c>
    </row>
    <row r="19" spans="1:4" ht="19" x14ac:dyDescent="0.25">
      <c r="A19" s="4" t="s">
        <v>91</v>
      </c>
    </row>
    <row r="20" spans="1:4" x14ac:dyDescent="0.2">
      <c r="A20" t="s">
        <v>92</v>
      </c>
    </row>
    <row r="21" spans="1:4" x14ac:dyDescent="0.2">
      <c r="A21" s="8" t="s">
        <v>93</v>
      </c>
      <c r="B21" s="8" t="s">
        <v>94</v>
      </c>
      <c r="C21" s="8" t="s">
        <v>95</v>
      </c>
      <c r="D21" s="8" t="s">
        <v>96</v>
      </c>
    </row>
    <row r="22" spans="1:4" x14ac:dyDescent="0.2">
      <c r="A22" t="s">
        <v>97</v>
      </c>
      <c r="B22" t="s">
        <v>98</v>
      </c>
      <c r="C22" t="s">
        <v>99</v>
      </c>
      <c r="D22" t="s">
        <v>100</v>
      </c>
    </row>
    <row r="23" spans="1:4" x14ac:dyDescent="0.2">
      <c r="A23" t="s">
        <v>101</v>
      </c>
      <c r="B23" t="s">
        <v>98</v>
      </c>
      <c r="C23" t="s">
        <v>99</v>
      </c>
      <c r="D23" t="s">
        <v>100</v>
      </c>
    </row>
    <row r="24" spans="1:4" x14ac:dyDescent="0.2">
      <c r="A24" t="s">
        <v>102</v>
      </c>
      <c r="B24" t="s">
        <v>103</v>
      </c>
      <c r="C24" t="s">
        <v>99</v>
      </c>
      <c r="D24" t="s">
        <v>100</v>
      </c>
    </row>
    <row r="25" spans="1:4" x14ac:dyDescent="0.2">
      <c r="A25" t="s">
        <v>104</v>
      </c>
      <c r="B25" t="s">
        <v>105</v>
      </c>
      <c r="C25" t="s">
        <v>99</v>
      </c>
      <c r="D25" t="s">
        <v>100</v>
      </c>
    </row>
    <row r="27" spans="1:4" ht="19" x14ac:dyDescent="0.25">
      <c r="A27" s="4" t="s">
        <v>106</v>
      </c>
    </row>
    <row r="28" spans="1:4" x14ac:dyDescent="0.2">
      <c r="A28" s="11" t="s">
        <v>107</v>
      </c>
      <c r="B28" t="s">
        <v>108</v>
      </c>
    </row>
    <row r="29" spans="1:4" x14ac:dyDescent="0.2">
      <c r="A29" s="11" t="s">
        <v>109</v>
      </c>
      <c r="B29" t="s">
        <v>110</v>
      </c>
    </row>
    <row r="30" spans="1:4" x14ac:dyDescent="0.2">
      <c r="A30" s="11" t="s">
        <v>111</v>
      </c>
      <c r="B30" t="s">
        <v>112</v>
      </c>
    </row>
    <row r="31" spans="1:4" x14ac:dyDescent="0.2">
      <c r="A31" s="11" t="s">
        <v>113</v>
      </c>
      <c r="B31" t="s">
        <v>114</v>
      </c>
    </row>
    <row r="32" spans="1:4" x14ac:dyDescent="0.2">
      <c r="A32" s="11" t="s">
        <v>115</v>
      </c>
      <c r="B32" t="s">
        <v>116</v>
      </c>
    </row>
    <row r="33" spans="1:2" x14ac:dyDescent="0.2">
      <c r="A33" s="11" t="s">
        <v>117</v>
      </c>
      <c r="B33" t="s">
        <v>118</v>
      </c>
    </row>
    <row r="34" spans="1:2" x14ac:dyDescent="0.2">
      <c r="A34" s="11" t="s">
        <v>119</v>
      </c>
      <c r="B34" t="s">
        <v>120</v>
      </c>
    </row>
    <row r="36" spans="1:2" ht="19" x14ac:dyDescent="0.25">
      <c r="A36" s="4" t="s">
        <v>121</v>
      </c>
    </row>
    <row r="37" spans="1:2" x14ac:dyDescent="0.2">
      <c r="A37" t="s">
        <v>122</v>
      </c>
    </row>
    <row r="38" spans="1:2" x14ac:dyDescent="0.2">
      <c r="A38" t="s">
        <v>123</v>
      </c>
    </row>
    <row r="39" spans="1:2" x14ac:dyDescent="0.2">
      <c r="A39" t="s">
        <v>124</v>
      </c>
    </row>
    <row r="40" spans="1:2" x14ac:dyDescent="0.2">
      <c r="A40" t="s">
        <v>125</v>
      </c>
    </row>
    <row r="41" spans="1:2" x14ac:dyDescent="0.2">
      <c r="A41" t="s">
        <v>126</v>
      </c>
    </row>
    <row r="43" spans="1:2" ht="19" x14ac:dyDescent="0.25">
      <c r="A43" s="4" t="s">
        <v>127</v>
      </c>
    </row>
    <row r="44" spans="1:2" x14ac:dyDescent="0.2">
      <c r="A44" s="12" t="s">
        <v>128</v>
      </c>
    </row>
    <row r="45" spans="1:2" x14ac:dyDescent="0.2">
      <c r="A45" t="s">
        <v>129</v>
      </c>
    </row>
    <row r="46" spans="1:2" x14ac:dyDescent="0.2">
      <c r="A46" t="s">
        <v>130</v>
      </c>
    </row>
    <row r="47" spans="1:2" x14ac:dyDescent="0.2">
      <c r="A47" t="s">
        <v>131</v>
      </c>
    </row>
    <row r="48" spans="1:2" x14ac:dyDescent="0.2">
      <c r="A48" t="s">
        <v>132</v>
      </c>
    </row>
    <row r="50" spans="1:1" x14ac:dyDescent="0.2">
      <c r="A50" s="11" t="s">
        <v>133</v>
      </c>
    </row>
    <row r="51" spans="1:1" x14ac:dyDescent="0.2">
      <c r="A51" t="s">
        <v>134</v>
      </c>
    </row>
    <row r="52" spans="1:1" x14ac:dyDescent="0.2">
      <c r="A52" t="s">
        <v>135</v>
      </c>
    </row>
    <row r="53" spans="1:1" x14ac:dyDescent="0.2">
      <c r="A53" t="s">
        <v>136</v>
      </c>
    </row>
    <row r="55" spans="1:1" ht="19" x14ac:dyDescent="0.25">
      <c r="A55" s="4" t="s">
        <v>137</v>
      </c>
    </row>
    <row r="56" spans="1:1" x14ac:dyDescent="0.2">
      <c r="A56" s="12" t="s">
        <v>138</v>
      </c>
    </row>
    <row r="57" spans="1:1" x14ac:dyDescent="0.2">
      <c r="A57" t="s">
        <v>139</v>
      </c>
    </row>
    <row r="59" spans="1:1" x14ac:dyDescent="0.2">
      <c r="A59" s="11" t="s">
        <v>140</v>
      </c>
    </row>
    <row r="60" spans="1:1" x14ac:dyDescent="0.2">
      <c r="A60" t="s">
        <v>141</v>
      </c>
    </row>
    <row r="61" spans="1:1" x14ac:dyDescent="0.2">
      <c r="A61" t="s">
        <v>142</v>
      </c>
    </row>
    <row r="62" spans="1:1" x14ac:dyDescent="0.2">
      <c r="A62" t="s">
        <v>143</v>
      </c>
    </row>
    <row r="64" spans="1:1" x14ac:dyDescent="0.2">
      <c r="A64" s="11" t="s">
        <v>144</v>
      </c>
    </row>
    <row r="65" spans="1:1" x14ac:dyDescent="0.2">
      <c r="A65" t="s">
        <v>145</v>
      </c>
    </row>
    <row r="66" spans="1:1" x14ac:dyDescent="0.2">
      <c r="A66" t="s">
        <v>146</v>
      </c>
    </row>
    <row r="67" spans="1:1" x14ac:dyDescent="0.2">
      <c r="A67" t="s">
        <v>147</v>
      </c>
    </row>
    <row r="69" spans="1:1" x14ac:dyDescent="0.2">
      <c r="A69" s="11" t="s">
        <v>148</v>
      </c>
    </row>
    <row r="70" spans="1:1" x14ac:dyDescent="0.2">
      <c r="A70" t="s">
        <v>149</v>
      </c>
    </row>
    <row r="71" spans="1:1" x14ac:dyDescent="0.2">
      <c r="A71" t="s">
        <v>150</v>
      </c>
    </row>
    <row r="72" spans="1:1" x14ac:dyDescent="0.2">
      <c r="A72" t="s">
        <v>151</v>
      </c>
    </row>
    <row r="73" spans="1:1" x14ac:dyDescent="0.2">
      <c r="A73" t="s">
        <v>152</v>
      </c>
    </row>
    <row r="74" spans="1:1" x14ac:dyDescent="0.2">
      <c r="A74" t="s">
        <v>153</v>
      </c>
    </row>
    <row r="76" spans="1:1" x14ac:dyDescent="0.2">
      <c r="A76" s="11" t="s">
        <v>154</v>
      </c>
    </row>
    <row r="77" spans="1:1" x14ac:dyDescent="0.2">
      <c r="A77" t="s">
        <v>155</v>
      </c>
    </row>
    <row r="78" spans="1:1" x14ac:dyDescent="0.2">
      <c r="A78" t="s">
        <v>156</v>
      </c>
    </row>
    <row r="79" spans="1:1" x14ac:dyDescent="0.2">
      <c r="A79" t="s">
        <v>157</v>
      </c>
    </row>
    <row r="80" spans="1:1" x14ac:dyDescent="0.2">
      <c r="A80" t="s">
        <v>158</v>
      </c>
    </row>
    <row r="82" spans="1:3" ht="19" x14ac:dyDescent="0.25">
      <c r="A82" s="4" t="s">
        <v>159</v>
      </c>
    </row>
    <row r="83" spans="1:3" x14ac:dyDescent="0.2">
      <c r="A83" s="8" t="s">
        <v>160</v>
      </c>
      <c r="B83" s="8" t="s">
        <v>161</v>
      </c>
      <c r="C83" s="8" t="s">
        <v>162</v>
      </c>
    </row>
    <row r="84" spans="1:3" x14ac:dyDescent="0.2">
      <c r="A84" t="s">
        <v>163</v>
      </c>
      <c r="B84" t="s">
        <v>164</v>
      </c>
      <c r="C84" t="s">
        <v>165</v>
      </c>
    </row>
    <row r="85" spans="1:3" x14ac:dyDescent="0.2">
      <c r="A85" t="s">
        <v>166</v>
      </c>
      <c r="B85" t="s">
        <v>164</v>
      </c>
      <c r="C85" t="s">
        <v>167</v>
      </c>
    </row>
    <row r="86" spans="1:3" x14ac:dyDescent="0.2">
      <c r="A86" t="s">
        <v>3</v>
      </c>
      <c r="B86" t="s">
        <v>164</v>
      </c>
      <c r="C86" t="s">
        <v>168</v>
      </c>
    </row>
    <row r="87" spans="1:3" x14ac:dyDescent="0.2">
      <c r="A87" t="s">
        <v>169</v>
      </c>
      <c r="B87" t="s">
        <v>170</v>
      </c>
      <c r="C87" t="s">
        <v>171</v>
      </c>
    </row>
    <row r="88" spans="1:3" x14ac:dyDescent="0.2">
      <c r="A88" t="s">
        <v>172</v>
      </c>
      <c r="B88" t="s">
        <v>173</v>
      </c>
      <c r="C88" t="s">
        <v>174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D44"/>
  <sheetViews>
    <sheetView workbookViewId="0"/>
  </sheetViews>
  <sheetFormatPr baseColWidth="10" defaultColWidth="8.83203125" defaultRowHeight="15" x14ac:dyDescent="0.2"/>
  <cols>
    <col min="1" max="1" width="32" customWidth="1"/>
    <col min="2" max="3" width="18" customWidth="1"/>
    <col min="4" max="4" width="28" customWidth="1"/>
  </cols>
  <sheetData>
    <row r="1" spans="1:4" ht="21" x14ac:dyDescent="0.25">
      <c r="A1" s="5" t="s">
        <v>175</v>
      </c>
    </row>
    <row r="2" spans="1:4" x14ac:dyDescent="0.2">
      <c r="A2" s="12" t="s">
        <v>176</v>
      </c>
    </row>
    <row r="4" spans="1:4" x14ac:dyDescent="0.2">
      <c r="A4" s="8" t="s">
        <v>177</v>
      </c>
      <c r="B4" s="8" t="s">
        <v>57</v>
      </c>
      <c r="C4" s="8" t="s">
        <v>178</v>
      </c>
      <c r="D4" s="8" t="s">
        <v>179</v>
      </c>
    </row>
    <row r="5" spans="1:4" x14ac:dyDescent="0.2">
      <c r="A5" t="s">
        <v>180</v>
      </c>
      <c r="B5">
        <f>Initial_NAFC</f>
        <v>63.1</v>
      </c>
      <c r="C5" t="s">
        <v>15</v>
      </c>
      <c r="D5" t="s">
        <v>21</v>
      </c>
    </row>
    <row r="6" spans="1:4" x14ac:dyDescent="0.2">
      <c r="A6" t="s">
        <v>181</v>
      </c>
      <c r="B6">
        <f>Target_NAFC</f>
        <v>50</v>
      </c>
      <c r="C6" t="s">
        <v>15</v>
      </c>
      <c r="D6" t="s">
        <v>21</v>
      </c>
    </row>
    <row r="7" spans="1:4" x14ac:dyDescent="0.2">
      <c r="A7" t="s">
        <v>182</v>
      </c>
      <c r="B7">
        <f>Rapid_Phase_Rate</f>
        <v>0.53200000000000003</v>
      </c>
      <c r="C7" t="s">
        <v>15</v>
      </c>
      <c r="D7" t="s">
        <v>21</v>
      </c>
    </row>
    <row r="8" spans="1:4" x14ac:dyDescent="0.2">
      <c r="A8" t="s">
        <v>183</v>
      </c>
      <c r="B8">
        <f>Slow_Phase_Rate</f>
        <v>0.248</v>
      </c>
      <c r="C8" t="s">
        <v>15</v>
      </c>
      <c r="D8" t="s">
        <v>21</v>
      </c>
    </row>
    <row r="9" spans="1:4" x14ac:dyDescent="0.2">
      <c r="A9" t="s">
        <v>184</v>
      </c>
      <c r="B9">
        <f>Rapid_Phase_Duration</f>
        <v>15</v>
      </c>
      <c r="C9" t="s">
        <v>15</v>
      </c>
      <c r="D9" t="s">
        <v>21</v>
      </c>
    </row>
    <row r="10" spans="1:4" x14ac:dyDescent="0.2">
      <c r="A10" t="s">
        <v>185</v>
      </c>
      <c r="B10">
        <f>Recirculation_Cycle</f>
        <v>14</v>
      </c>
      <c r="C10" t="s">
        <v>15</v>
      </c>
      <c r="D10" t="s">
        <v>21</v>
      </c>
    </row>
    <row r="11" spans="1:4" x14ac:dyDescent="0.2">
      <c r="A11" t="s">
        <v>186</v>
      </c>
      <c r="B11">
        <f>Season_Length</f>
        <v>100</v>
      </c>
      <c r="C11" t="s">
        <v>15</v>
      </c>
      <c r="D11" t="s">
        <v>187</v>
      </c>
    </row>
    <row r="12" spans="1:4" x14ac:dyDescent="0.2">
      <c r="A12" t="s">
        <v>188</v>
      </c>
      <c r="B12" t="s">
        <v>189</v>
      </c>
      <c r="C12" t="s">
        <v>15</v>
      </c>
      <c r="D12" t="s">
        <v>21</v>
      </c>
    </row>
    <row r="13" spans="1:4" x14ac:dyDescent="0.2">
      <c r="A13" t="s">
        <v>190</v>
      </c>
      <c r="B13">
        <f>Tri_Season_Extension_Days_Min</f>
        <v>14</v>
      </c>
      <c r="C13" t="s">
        <v>19</v>
      </c>
      <c r="D13" t="s">
        <v>23</v>
      </c>
    </row>
    <row r="14" spans="1:4" x14ac:dyDescent="0.2">
      <c r="A14" t="s">
        <v>191</v>
      </c>
      <c r="B14">
        <f>Tri_Season_Extension_Days_Mode</f>
        <v>21</v>
      </c>
      <c r="C14" t="s">
        <v>19</v>
      </c>
      <c r="D14" t="s">
        <v>23</v>
      </c>
    </row>
    <row r="15" spans="1:4" x14ac:dyDescent="0.2">
      <c r="A15" t="s">
        <v>192</v>
      </c>
      <c r="B15">
        <f>Tri_Season_Extension_Days_Max</f>
        <v>35</v>
      </c>
      <c r="C15" t="s">
        <v>19</v>
      </c>
      <c r="D15" t="s">
        <v>23</v>
      </c>
    </row>
    <row r="16" spans="1:4" x14ac:dyDescent="0.2">
      <c r="A16" t="s">
        <v>193</v>
      </c>
      <c r="B16">
        <f>Tri_Extension_Value_Per_Day_Min</f>
        <v>3000</v>
      </c>
      <c r="C16" t="s">
        <v>19</v>
      </c>
      <c r="D16" t="s">
        <v>23</v>
      </c>
    </row>
    <row r="17" spans="1:4" x14ac:dyDescent="0.2">
      <c r="A17" t="s">
        <v>194</v>
      </c>
      <c r="B17">
        <f>Tri_Extension_Value_Per_Day_Mode</f>
        <v>7500</v>
      </c>
      <c r="C17" t="s">
        <v>19</v>
      </c>
      <c r="D17" t="s">
        <v>23</v>
      </c>
    </row>
    <row r="18" spans="1:4" x14ac:dyDescent="0.2">
      <c r="A18" t="s">
        <v>195</v>
      </c>
      <c r="B18">
        <f>Tri_Extension_Value_Per_Day_Max</f>
        <v>15000</v>
      </c>
      <c r="C18" t="s">
        <v>19</v>
      </c>
      <c r="D18" t="s">
        <v>23</v>
      </c>
    </row>
    <row r="19" spans="1:4" x14ac:dyDescent="0.2">
      <c r="A19" t="s">
        <v>196</v>
      </c>
      <c r="B19">
        <f>Tri_Interventions_Avoided_Min</f>
        <v>1</v>
      </c>
      <c r="C19" t="s">
        <v>19</v>
      </c>
      <c r="D19" t="s">
        <v>23</v>
      </c>
    </row>
    <row r="20" spans="1:4" x14ac:dyDescent="0.2">
      <c r="A20" t="s">
        <v>197</v>
      </c>
      <c r="B20">
        <f>Tri_Interventions_Avoided_Mode</f>
        <v>3</v>
      </c>
      <c r="C20" t="s">
        <v>19</v>
      </c>
      <c r="D20" t="s">
        <v>23</v>
      </c>
    </row>
    <row r="21" spans="1:4" x14ac:dyDescent="0.2">
      <c r="A21" t="s">
        <v>198</v>
      </c>
      <c r="B21">
        <f>Tri_Interventions_Avoided_Max</f>
        <v>8</v>
      </c>
      <c r="C21" t="s">
        <v>19</v>
      </c>
      <c r="D21" t="s">
        <v>23</v>
      </c>
    </row>
    <row r="22" spans="1:4" x14ac:dyDescent="0.2">
      <c r="A22" t="s">
        <v>199</v>
      </c>
      <c r="B22">
        <f>Tri_Treatment_Rate_Factor_Min</f>
        <v>0.7</v>
      </c>
      <c r="C22" t="s">
        <v>19</v>
      </c>
      <c r="D22" t="s">
        <v>23</v>
      </c>
    </row>
    <row r="23" spans="1:4" x14ac:dyDescent="0.2">
      <c r="A23" t="s">
        <v>200</v>
      </c>
      <c r="B23">
        <f>Tri_Treatment_Rate_Factor_Mode</f>
        <v>1</v>
      </c>
      <c r="C23" t="s">
        <v>19</v>
      </c>
      <c r="D23" t="s">
        <v>23</v>
      </c>
    </row>
    <row r="24" spans="1:4" x14ac:dyDescent="0.2">
      <c r="A24" t="s">
        <v>201</v>
      </c>
      <c r="B24">
        <f>Tri_Treatment_Rate_Factor_Max</f>
        <v>1.3</v>
      </c>
      <c r="C24" t="s">
        <v>19</v>
      </c>
      <c r="D24" t="s">
        <v>23</v>
      </c>
    </row>
    <row r="25" spans="1:4" x14ac:dyDescent="0.2">
      <c r="A25" t="s">
        <v>202</v>
      </c>
      <c r="B25">
        <f>Beta_Efficiency_Gain_Alpha</f>
        <v>2</v>
      </c>
      <c r="C25" t="s">
        <v>19</v>
      </c>
    </row>
    <row r="26" spans="1:4" x14ac:dyDescent="0.2">
      <c r="A26" t="s">
        <v>203</v>
      </c>
      <c r="B26">
        <f>Beta_Efficiency_Gain_Beta</f>
        <v>5</v>
      </c>
      <c r="C26" t="s">
        <v>19</v>
      </c>
    </row>
    <row r="27" spans="1:4" x14ac:dyDescent="0.2">
      <c r="A27" t="s">
        <v>204</v>
      </c>
      <c r="B27">
        <f>Beta_Efficiency_Gain_Min</f>
        <v>0.05</v>
      </c>
      <c r="C27" t="s">
        <v>19</v>
      </c>
      <c r="D27" t="s">
        <v>23</v>
      </c>
    </row>
    <row r="28" spans="1:4" x14ac:dyDescent="0.2">
      <c r="A28" t="s">
        <v>205</v>
      </c>
      <c r="B28">
        <f>Beta_Efficiency_Gain_Max</f>
        <v>0.4</v>
      </c>
      <c r="C28" t="s">
        <v>19</v>
      </c>
      <c r="D28" t="s">
        <v>23</v>
      </c>
    </row>
    <row r="29" spans="1:4" x14ac:dyDescent="0.2">
      <c r="A29" t="s">
        <v>206</v>
      </c>
      <c r="B29">
        <f ca="1">Eff_Rapid_Rate</f>
        <v>0.48906269158569571</v>
      </c>
      <c r="C29" t="s">
        <v>21</v>
      </c>
      <c r="D29" t="s">
        <v>21</v>
      </c>
    </row>
    <row r="30" spans="1:4" x14ac:dyDescent="0.2">
      <c r="A30" t="s">
        <v>207</v>
      </c>
      <c r="B30">
        <f ca="1">Eff_Slow_Rate</f>
        <v>0.22798411186701603</v>
      </c>
      <c r="C30" t="s">
        <v>21</v>
      </c>
      <c r="D30" t="s">
        <v>21</v>
      </c>
    </row>
    <row r="31" spans="1:4" x14ac:dyDescent="0.2">
      <c r="A31" t="s">
        <v>208</v>
      </c>
      <c r="B31">
        <f ca="1">NAFC_After_Rapid</f>
        <v>55.764059626214568</v>
      </c>
      <c r="C31" t="s">
        <v>21</v>
      </c>
      <c r="D31" t="s">
        <v>21</v>
      </c>
    </row>
    <row r="32" spans="1:4" x14ac:dyDescent="0.2">
      <c r="A32" t="s">
        <v>209</v>
      </c>
      <c r="B32">
        <f ca="1">Days_to_Compliance</f>
        <v>40.282725094355541</v>
      </c>
      <c r="C32" t="s">
        <v>21</v>
      </c>
      <c r="D32" t="s">
        <v>210</v>
      </c>
    </row>
    <row r="33" spans="1:4" x14ac:dyDescent="0.2">
      <c r="A33" t="s">
        <v>211</v>
      </c>
      <c r="B33" t="s">
        <v>189</v>
      </c>
      <c r="C33" t="s">
        <v>21</v>
      </c>
      <c r="D33" t="s">
        <v>33</v>
      </c>
    </row>
    <row r="34" spans="1:4" x14ac:dyDescent="0.2">
      <c r="A34" t="s">
        <v>212</v>
      </c>
      <c r="B34" t="s">
        <v>189</v>
      </c>
      <c r="C34" t="s">
        <v>21</v>
      </c>
      <c r="D34" t="s">
        <v>33</v>
      </c>
    </row>
    <row r="37" spans="1:4" ht="19" x14ac:dyDescent="0.25">
      <c r="A37" s="4" t="s">
        <v>213</v>
      </c>
    </row>
    <row r="38" spans="1:4" x14ac:dyDescent="0.2">
      <c r="A38" t="s">
        <v>214</v>
      </c>
    </row>
    <row r="39" spans="1:4" x14ac:dyDescent="0.2">
      <c r="A39" t="s">
        <v>215</v>
      </c>
    </row>
    <row r="41" spans="1:4" x14ac:dyDescent="0.2">
      <c r="A41" s="11" t="s">
        <v>216</v>
      </c>
    </row>
    <row r="42" spans="1:4" x14ac:dyDescent="0.2">
      <c r="A42" t="s">
        <v>217</v>
      </c>
    </row>
    <row r="43" spans="1:4" x14ac:dyDescent="0.2">
      <c r="A43" t="s">
        <v>218</v>
      </c>
    </row>
    <row r="44" spans="1:4" x14ac:dyDescent="0.2">
      <c r="A44" t="s">
        <v>219</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G126"/>
  <sheetViews>
    <sheetView workbookViewId="0"/>
  </sheetViews>
  <sheetFormatPr baseColWidth="10" defaultColWidth="8.83203125" defaultRowHeight="15" x14ac:dyDescent="0.2"/>
  <cols>
    <col min="1" max="1" width="24" customWidth="1"/>
    <col min="2" max="2" width="14" customWidth="1"/>
    <col min="3" max="3" width="12" customWidth="1"/>
    <col min="4" max="4" width="42" customWidth="1"/>
    <col min="5" max="5" width="30" customWidth="1"/>
    <col min="6" max="6" width="16" customWidth="1"/>
    <col min="7" max="7" width="14" customWidth="1"/>
  </cols>
  <sheetData>
    <row r="1" spans="1:5" ht="21" x14ac:dyDescent="0.25">
      <c r="A1" s="5" t="s">
        <v>220</v>
      </c>
    </row>
    <row r="3" spans="1:5" x14ac:dyDescent="0.2">
      <c r="A3" s="6" t="s">
        <v>221</v>
      </c>
    </row>
    <row r="4" spans="1:5" ht="15.5" customHeight="1" x14ac:dyDescent="0.2">
      <c r="A4" s="7" t="s">
        <v>46</v>
      </c>
      <c r="B4" s="31" t="s">
        <v>222</v>
      </c>
      <c r="C4" s="32"/>
      <c r="D4" s="32"/>
      <c r="E4" s="32"/>
    </row>
    <row r="5" spans="1:5" ht="15.5" customHeight="1" x14ac:dyDescent="0.2">
      <c r="A5" s="7" t="s">
        <v>48</v>
      </c>
      <c r="B5" s="31" t="s">
        <v>223</v>
      </c>
      <c r="C5" s="32"/>
      <c r="D5" s="32"/>
      <c r="E5" s="32"/>
    </row>
    <row r="6" spans="1:5" ht="31.25" customHeight="1" x14ac:dyDescent="0.2">
      <c r="A6" s="7" t="s">
        <v>50</v>
      </c>
      <c r="B6" s="31" t="s">
        <v>224</v>
      </c>
      <c r="C6" s="32"/>
      <c r="D6" s="32"/>
      <c r="E6" s="32"/>
    </row>
    <row r="7" spans="1:5" ht="15.5" customHeight="1" x14ac:dyDescent="0.2">
      <c r="A7" s="7" t="s">
        <v>52</v>
      </c>
      <c r="B7" s="31" t="s">
        <v>225</v>
      </c>
      <c r="C7" s="32"/>
      <c r="D7" s="32"/>
      <c r="E7" s="32"/>
    </row>
    <row r="8" spans="1:5" ht="15.5" customHeight="1" x14ac:dyDescent="0.2">
      <c r="A8" s="7" t="s">
        <v>54</v>
      </c>
      <c r="B8" s="31" t="s">
        <v>226</v>
      </c>
      <c r="C8" s="32"/>
      <c r="D8" s="32"/>
      <c r="E8" s="32"/>
    </row>
    <row r="9" spans="1:5" x14ac:dyDescent="0.2">
      <c r="A9" s="8" t="s">
        <v>56</v>
      </c>
      <c r="B9" s="8" t="s">
        <v>57</v>
      </c>
      <c r="C9" s="8" t="s">
        <v>227</v>
      </c>
      <c r="D9" s="8" t="s">
        <v>228</v>
      </c>
      <c r="E9" s="8" t="s">
        <v>179</v>
      </c>
    </row>
    <row r="10" spans="1:5" x14ac:dyDescent="0.2">
      <c r="A10" t="s">
        <v>229</v>
      </c>
      <c r="B10" s="9">
        <v>5</v>
      </c>
      <c r="C10" t="s">
        <v>230</v>
      </c>
      <c r="D10" t="s">
        <v>231</v>
      </c>
    </row>
    <row r="11" spans="1:5" x14ac:dyDescent="0.2">
      <c r="A11" t="s">
        <v>232</v>
      </c>
      <c r="B11" s="9">
        <v>15</v>
      </c>
      <c r="C11" t="s">
        <v>233</v>
      </c>
      <c r="D11" t="s">
        <v>234</v>
      </c>
    </row>
    <row r="12" spans="1:5" x14ac:dyDescent="0.2">
      <c r="A12" t="s">
        <v>235</v>
      </c>
      <c r="B12" s="9">
        <v>9</v>
      </c>
      <c r="C12" t="s">
        <v>230</v>
      </c>
      <c r="D12" t="s">
        <v>236</v>
      </c>
    </row>
    <row r="13" spans="1:5" x14ac:dyDescent="0.2">
      <c r="A13" t="s">
        <v>237</v>
      </c>
      <c r="B13" s="9">
        <v>15</v>
      </c>
      <c r="C13" t="s">
        <v>233</v>
      </c>
      <c r="D13" t="s">
        <v>238</v>
      </c>
    </row>
    <row r="14" spans="1:5" x14ac:dyDescent="0.2">
      <c r="A14" t="s">
        <v>239</v>
      </c>
      <c r="B14" s="9">
        <v>100</v>
      </c>
      <c r="C14" t="s">
        <v>240</v>
      </c>
      <c r="D14" t="s">
        <v>241</v>
      </c>
      <c r="E14" t="s">
        <v>187</v>
      </c>
    </row>
    <row r="16" spans="1:5" x14ac:dyDescent="0.2">
      <c r="A16" s="6" t="s">
        <v>242</v>
      </c>
    </row>
    <row r="17" spans="1:5" ht="31.25" customHeight="1" x14ac:dyDescent="0.2">
      <c r="A17" s="7" t="s">
        <v>46</v>
      </c>
      <c r="B17" s="31" t="s">
        <v>243</v>
      </c>
      <c r="C17" s="32"/>
      <c r="D17" s="32"/>
    </row>
    <row r="18" spans="1:5" ht="31.25" customHeight="1" x14ac:dyDescent="0.2">
      <c r="A18" s="7" t="s">
        <v>48</v>
      </c>
      <c r="B18" s="31" t="s">
        <v>244</v>
      </c>
      <c r="C18" s="32"/>
      <c r="D18" s="32"/>
    </row>
    <row r="19" spans="1:5" ht="31.25" customHeight="1" x14ac:dyDescent="0.2">
      <c r="A19" s="7" t="s">
        <v>50</v>
      </c>
      <c r="B19" s="31" t="s">
        <v>245</v>
      </c>
      <c r="C19" s="32"/>
      <c r="D19" s="32"/>
    </row>
    <row r="20" spans="1:5" ht="15.5" customHeight="1" x14ac:dyDescent="0.2">
      <c r="A20" s="7" t="s">
        <v>52</v>
      </c>
      <c r="B20" s="31" t="s">
        <v>246</v>
      </c>
      <c r="C20" s="32"/>
      <c r="D20" s="32"/>
    </row>
    <row r="21" spans="1:5" ht="15.5" customHeight="1" x14ac:dyDescent="0.2">
      <c r="A21" s="7" t="s">
        <v>54</v>
      </c>
      <c r="B21" s="31" t="s">
        <v>247</v>
      </c>
      <c r="C21" s="32"/>
      <c r="D21" s="32"/>
    </row>
    <row r="22" spans="1:5" x14ac:dyDescent="0.2">
      <c r="A22" s="8" t="s">
        <v>248</v>
      </c>
      <c r="B22" s="8" t="s">
        <v>249</v>
      </c>
      <c r="C22" s="8" t="s">
        <v>250</v>
      </c>
      <c r="D22" s="8" t="s">
        <v>251</v>
      </c>
    </row>
    <row r="23" spans="1:5" x14ac:dyDescent="0.2">
      <c r="A23" t="s">
        <v>231</v>
      </c>
      <c r="B23">
        <v>5</v>
      </c>
      <c r="C23" s="9">
        <v>0.85</v>
      </c>
      <c r="D23" t="s">
        <v>252</v>
      </c>
    </row>
    <row r="24" spans="1:5" x14ac:dyDescent="0.2">
      <c r="A24" t="s">
        <v>253</v>
      </c>
      <c r="B24">
        <v>6</v>
      </c>
      <c r="C24" s="9">
        <v>1</v>
      </c>
      <c r="D24" t="s">
        <v>254</v>
      </c>
    </row>
    <row r="25" spans="1:5" x14ac:dyDescent="0.2">
      <c r="A25" t="s">
        <v>255</v>
      </c>
      <c r="B25">
        <v>7</v>
      </c>
      <c r="C25" s="9">
        <v>1</v>
      </c>
      <c r="D25" t="s">
        <v>254</v>
      </c>
    </row>
    <row r="26" spans="1:5" x14ac:dyDescent="0.2">
      <c r="A26" t="s">
        <v>256</v>
      </c>
      <c r="B26">
        <v>8</v>
      </c>
      <c r="C26" s="9">
        <v>0.95</v>
      </c>
      <c r="D26" t="s">
        <v>257</v>
      </c>
    </row>
    <row r="27" spans="1:5" x14ac:dyDescent="0.2">
      <c r="A27" t="s">
        <v>236</v>
      </c>
      <c r="B27">
        <v>9</v>
      </c>
      <c r="C27" s="9">
        <v>0.75</v>
      </c>
      <c r="D27" t="s">
        <v>258</v>
      </c>
    </row>
    <row r="30" spans="1:5" x14ac:dyDescent="0.2">
      <c r="A30" s="6" t="s">
        <v>259</v>
      </c>
    </row>
    <row r="31" spans="1:5" ht="15.5" customHeight="1" x14ac:dyDescent="0.2">
      <c r="A31" s="7" t="s">
        <v>46</v>
      </c>
      <c r="B31" s="31" t="s">
        <v>260</v>
      </c>
      <c r="C31" s="32"/>
      <c r="D31" s="32"/>
      <c r="E31" s="32"/>
    </row>
    <row r="32" spans="1:5" ht="15.5" customHeight="1" x14ac:dyDescent="0.2">
      <c r="A32" s="7" t="s">
        <v>48</v>
      </c>
      <c r="B32" s="31" t="s">
        <v>261</v>
      </c>
      <c r="C32" s="32"/>
      <c r="D32" s="32"/>
      <c r="E32" s="32"/>
    </row>
    <row r="33" spans="1:5" ht="31.25" customHeight="1" x14ac:dyDescent="0.2">
      <c r="A33" s="7" t="s">
        <v>50</v>
      </c>
      <c r="B33" s="31" t="s">
        <v>262</v>
      </c>
      <c r="C33" s="32"/>
      <c r="D33" s="32"/>
      <c r="E33" s="32"/>
    </row>
    <row r="34" spans="1:5" ht="15.5" customHeight="1" x14ac:dyDescent="0.2">
      <c r="A34" s="7" t="s">
        <v>52</v>
      </c>
      <c r="B34" s="31" t="s">
        <v>263</v>
      </c>
      <c r="C34" s="32"/>
      <c r="D34" s="32"/>
      <c r="E34" s="32"/>
    </row>
    <row r="35" spans="1:5" ht="15.5" customHeight="1" x14ac:dyDescent="0.2">
      <c r="A35" s="7" t="s">
        <v>54</v>
      </c>
      <c r="B35" s="31" t="s">
        <v>264</v>
      </c>
      <c r="C35" s="32"/>
      <c r="D35" s="32"/>
      <c r="E35" s="32"/>
    </row>
    <row r="36" spans="1:5" x14ac:dyDescent="0.2">
      <c r="A36" s="8" t="s">
        <v>56</v>
      </c>
      <c r="B36" s="8" t="s">
        <v>57</v>
      </c>
      <c r="C36" s="8" t="s">
        <v>227</v>
      </c>
      <c r="D36" s="8" t="s">
        <v>265</v>
      </c>
      <c r="E36" s="8" t="s">
        <v>179</v>
      </c>
    </row>
    <row r="37" spans="1:5" x14ac:dyDescent="0.2">
      <c r="A37" t="s">
        <v>266</v>
      </c>
      <c r="B37" s="9">
        <v>1</v>
      </c>
      <c r="C37" t="s">
        <v>267</v>
      </c>
      <c r="D37" t="s">
        <v>268</v>
      </c>
    </row>
    <row r="38" spans="1:5" x14ac:dyDescent="0.2">
      <c r="A38" t="s">
        <v>269</v>
      </c>
      <c r="B38" s="9">
        <v>5</v>
      </c>
      <c r="C38" t="s">
        <v>270</v>
      </c>
      <c r="D38" t="s">
        <v>271</v>
      </c>
    </row>
    <row r="39" spans="1:5" x14ac:dyDescent="0.2">
      <c r="A39" t="s">
        <v>272</v>
      </c>
      <c r="B39" s="9">
        <v>50000</v>
      </c>
      <c r="C39" t="s">
        <v>273</v>
      </c>
      <c r="D39" t="s">
        <v>274</v>
      </c>
    </row>
    <row r="40" spans="1:5" x14ac:dyDescent="0.2">
      <c r="A40" t="s">
        <v>275</v>
      </c>
      <c r="B40" s="13">
        <v>5</v>
      </c>
      <c r="C40" t="s">
        <v>276</v>
      </c>
      <c r="D40" t="s">
        <v>277</v>
      </c>
    </row>
    <row r="43" spans="1:5" x14ac:dyDescent="0.2">
      <c r="A43" s="6" t="s">
        <v>278</v>
      </c>
    </row>
    <row r="44" spans="1:5" ht="15.5" customHeight="1" x14ac:dyDescent="0.2">
      <c r="A44" s="7" t="s">
        <v>46</v>
      </c>
      <c r="B44" s="31" t="s">
        <v>279</v>
      </c>
      <c r="C44" s="32"/>
      <c r="D44" s="32"/>
    </row>
    <row r="45" spans="1:5" ht="15.5" customHeight="1" x14ac:dyDescent="0.2">
      <c r="A45" s="7" t="s">
        <v>48</v>
      </c>
      <c r="B45" s="31" t="s">
        <v>280</v>
      </c>
      <c r="C45" s="32"/>
      <c r="D45" s="32"/>
    </row>
    <row r="46" spans="1:5" ht="31.25" customHeight="1" x14ac:dyDescent="0.2">
      <c r="A46" s="7" t="s">
        <v>50</v>
      </c>
      <c r="B46" s="31" t="s">
        <v>281</v>
      </c>
      <c r="C46" s="32"/>
      <c r="D46" s="32"/>
    </row>
    <row r="47" spans="1:5" ht="15.5" customHeight="1" x14ac:dyDescent="0.2">
      <c r="A47" s="7" t="s">
        <v>52</v>
      </c>
      <c r="B47" s="31" t="s">
        <v>282</v>
      </c>
      <c r="C47" s="32"/>
      <c r="D47" s="32"/>
    </row>
    <row r="48" spans="1:5" ht="15.5" customHeight="1" x14ac:dyDescent="0.2">
      <c r="A48" s="7" t="s">
        <v>54</v>
      </c>
      <c r="B48" s="31" t="s">
        <v>283</v>
      </c>
      <c r="C48" s="32"/>
      <c r="D48" s="32"/>
    </row>
    <row r="49" spans="1:4" x14ac:dyDescent="0.2">
      <c r="A49" s="8" t="s">
        <v>56</v>
      </c>
      <c r="B49" s="8" t="s">
        <v>57</v>
      </c>
      <c r="C49" s="8" t="s">
        <v>227</v>
      </c>
      <c r="D49" s="8" t="s">
        <v>179</v>
      </c>
    </row>
    <row r="50" spans="1:4" x14ac:dyDescent="0.2">
      <c r="A50" t="s">
        <v>284</v>
      </c>
      <c r="B50" s="14">
        <v>1500</v>
      </c>
      <c r="C50" t="s">
        <v>285</v>
      </c>
    </row>
    <row r="51" spans="1:4" x14ac:dyDescent="0.2">
      <c r="A51" t="s">
        <v>286</v>
      </c>
      <c r="B51" s="14">
        <v>50000</v>
      </c>
      <c r="C51" t="s">
        <v>287</v>
      </c>
    </row>
    <row r="52" spans="1:4" x14ac:dyDescent="0.2">
      <c r="A52" t="s">
        <v>288</v>
      </c>
      <c r="B52" s="14">
        <v>15000</v>
      </c>
      <c r="C52" t="s">
        <v>285</v>
      </c>
    </row>
    <row r="55" spans="1:4" x14ac:dyDescent="0.2">
      <c r="A55" s="6" t="s">
        <v>289</v>
      </c>
    </row>
    <row r="56" spans="1:4" ht="31.25" customHeight="1" x14ac:dyDescent="0.2">
      <c r="A56" s="7" t="s">
        <v>46</v>
      </c>
      <c r="B56" s="31" t="s">
        <v>290</v>
      </c>
      <c r="C56" s="32"/>
      <c r="D56" s="32"/>
    </row>
    <row r="57" spans="1:4" ht="31.25" customHeight="1" x14ac:dyDescent="0.2">
      <c r="A57" s="7" t="s">
        <v>48</v>
      </c>
      <c r="B57" s="31" t="s">
        <v>291</v>
      </c>
      <c r="C57" s="32"/>
      <c r="D57" s="32"/>
    </row>
    <row r="58" spans="1:4" ht="31.25" customHeight="1" x14ac:dyDescent="0.2">
      <c r="A58" s="7" t="s">
        <v>50</v>
      </c>
      <c r="B58" s="31" t="s">
        <v>292</v>
      </c>
      <c r="C58" s="32"/>
      <c r="D58" s="32"/>
    </row>
    <row r="59" spans="1:4" ht="15.5" customHeight="1" x14ac:dyDescent="0.2">
      <c r="A59" s="7" t="s">
        <v>52</v>
      </c>
      <c r="B59" s="31" t="s">
        <v>293</v>
      </c>
      <c r="C59" s="32"/>
      <c r="D59" s="32"/>
    </row>
    <row r="60" spans="1:4" ht="15.5" customHeight="1" x14ac:dyDescent="0.2">
      <c r="A60" s="7" t="s">
        <v>54</v>
      </c>
      <c r="B60" s="31" t="s">
        <v>294</v>
      </c>
      <c r="C60" s="32"/>
      <c r="D60" s="32"/>
    </row>
    <row r="61" spans="1:4" x14ac:dyDescent="0.2">
      <c r="A61" s="8" t="s">
        <v>295</v>
      </c>
      <c r="B61" s="8" t="s">
        <v>250</v>
      </c>
      <c r="C61" s="8" t="s">
        <v>228</v>
      </c>
      <c r="D61" s="8" t="s">
        <v>179</v>
      </c>
    </row>
    <row r="62" spans="1:4" x14ac:dyDescent="0.2">
      <c r="A62">
        <v>1</v>
      </c>
      <c r="B62" s="9">
        <v>0.5</v>
      </c>
      <c r="C62" t="s">
        <v>296</v>
      </c>
      <c r="D62" t="s">
        <v>21</v>
      </c>
    </row>
    <row r="63" spans="1:4" x14ac:dyDescent="0.2">
      <c r="A63">
        <v>2</v>
      </c>
      <c r="B63" s="9">
        <v>0.75</v>
      </c>
      <c r="C63" t="s">
        <v>297</v>
      </c>
      <c r="D63" t="s">
        <v>21</v>
      </c>
    </row>
    <row r="64" spans="1:4" x14ac:dyDescent="0.2">
      <c r="A64">
        <v>3</v>
      </c>
      <c r="B64" s="9">
        <v>1</v>
      </c>
      <c r="C64" t="s">
        <v>298</v>
      </c>
      <c r="D64" t="s">
        <v>21</v>
      </c>
    </row>
    <row r="65" spans="1:7" x14ac:dyDescent="0.2">
      <c r="A65">
        <v>4</v>
      </c>
      <c r="B65" s="9">
        <v>1</v>
      </c>
      <c r="C65" t="s">
        <v>299</v>
      </c>
      <c r="D65" t="s">
        <v>21</v>
      </c>
    </row>
    <row r="66" spans="1:7" x14ac:dyDescent="0.2">
      <c r="A66">
        <v>5</v>
      </c>
      <c r="B66" s="9">
        <v>1</v>
      </c>
      <c r="C66" t="s">
        <v>299</v>
      </c>
      <c r="D66" t="s">
        <v>21</v>
      </c>
    </row>
    <row r="69" spans="1:7" x14ac:dyDescent="0.2">
      <c r="A69" s="6" t="s">
        <v>300</v>
      </c>
    </row>
    <row r="70" spans="1:7" ht="15.5" customHeight="1" x14ac:dyDescent="0.2">
      <c r="A70" s="7" t="s">
        <v>46</v>
      </c>
      <c r="B70" s="31" t="s">
        <v>301</v>
      </c>
      <c r="C70" s="32"/>
      <c r="D70" s="32"/>
      <c r="E70" s="32"/>
      <c r="F70" s="32"/>
      <c r="G70" s="32"/>
    </row>
    <row r="71" spans="1:7" ht="15.5" customHeight="1" x14ac:dyDescent="0.2">
      <c r="A71" s="7" t="s">
        <v>48</v>
      </c>
      <c r="B71" s="31" t="s">
        <v>302</v>
      </c>
      <c r="C71" s="32"/>
      <c r="D71" s="32"/>
      <c r="E71" s="32"/>
      <c r="F71" s="32"/>
      <c r="G71" s="32"/>
    </row>
    <row r="72" spans="1:7" ht="46.75" customHeight="1" x14ac:dyDescent="0.2">
      <c r="A72" s="7" t="s">
        <v>50</v>
      </c>
      <c r="B72" s="31" t="s">
        <v>303</v>
      </c>
      <c r="C72" s="32"/>
      <c r="D72" s="32"/>
      <c r="E72" s="32"/>
      <c r="F72" s="32"/>
      <c r="G72" s="32"/>
    </row>
    <row r="73" spans="1:7" ht="15.5" customHeight="1" x14ac:dyDescent="0.2">
      <c r="A73" s="7" t="s">
        <v>52</v>
      </c>
      <c r="B73" s="31" t="s">
        <v>304</v>
      </c>
      <c r="C73" s="32"/>
      <c r="D73" s="32"/>
      <c r="E73" s="32"/>
      <c r="F73" s="32"/>
      <c r="G73" s="32"/>
    </row>
    <row r="74" spans="1:7" ht="15.5" customHeight="1" x14ac:dyDescent="0.2">
      <c r="A74" s="7" t="s">
        <v>54</v>
      </c>
      <c r="B74" s="31" t="s">
        <v>305</v>
      </c>
      <c r="C74" s="32"/>
      <c r="D74" s="32"/>
      <c r="E74" s="32"/>
      <c r="F74" s="32"/>
      <c r="G74" s="32"/>
    </row>
    <row r="75" spans="1:7" x14ac:dyDescent="0.2">
      <c r="A75" s="8" t="s">
        <v>306</v>
      </c>
      <c r="B75" s="8" t="s">
        <v>307</v>
      </c>
      <c r="C75" s="8" t="s">
        <v>308</v>
      </c>
      <c r="D75" s="8" t="s">
        <v>309</v>
      </c>
      <c r="E75" s="8" t="s">
        <v>310</v>
      </c>
      <c r="F75" s="8" t="s">
        <v>311</v>
      </c>
      <c r="G75" s="8" t="s">
        <v>179</v>
      </c>
    </row>
    <row r="76" spans="1:7" x14ac:dyDescent="0.2">
      <c r="A76" t="s">
        <v>312</v>
      </c>
      <c r="B76" t="s">
        <v>107</v>
      </c>
      <c r="C76">
        <v>30</v>
      </c>
      <c r="D76">
        <v>2</v>
      </c>
      <c r="E76" s="15">
        <v>1000</v>
      </c>
      <c r="F76">
        <v>42</v>
      </c>
    </row>
    <row r="77" spans="1:7" x14ac:dyDescent="0.2">
      <c r="A77" t="s">
        <v>313</v>
      </c>
      <c r="B77" t="s">
        <v>107</v>
      </c>
      <c r="C77">
        <v>7</v>
      </c>
      <c r="D77">
        <v>2</v>
      </c>
      <c r="E77" s="15">
        <v>1000</v>
      </c>
      <c r="F77">
        <v>42</v>
      </c>
    </row>
    <row r="78" spans="1:7" x14ac:dyDescent="0.2">
      <c r="A78" t="s">
        <v>61</v>
      </c>
      <c r="B78" t="s">
        <v>314</v>
      </c>
      <c r="C78">
        <v>1</v>
      </c>
      <c r="D78">
        <v>10</v>
      </c>
      <c r="E78" s="15">
        <v>10</v>
      </c>
      <c r="F78">
        <v>1</v>
      </c>
    </row>
    <row r="80" spans="1:7" x14ac:dyDescent="0.2">
      <c r="A80" s="6" t="s">
        <v>315</v>
      </c>
    </row>
    <row r="81" spans="1:5" ht="15.5" customHeight="1" x14ac:dyDescent="0.2">
      <c r="A81" s="7" t="s">
        <v>46</v>
      </c>
      <c r="B81" s="31" t="s">
        <v>316</v>
      </c>
      <c r="C81" s="32"/>
      <c r="D81" s="32"/>
      <c r="E81" s="32"/>
    </row>
    <row r="82" spans="1:5" ht="15.5" customHeight="1" x14ac:dyDescent="0.2">
      <c r="A82" s="7" t="s">
        <v>48</v>
      </c>
      <c r="B82" s="31" t="s">
        <v>317</v>
      </c>
      <c r="C82" s="32"/>
      <c r="D82" s="32"/>
      <c r="E82" s="32"/>
    </row>
    <row r="83" spans="1:5" ht="46.75" customHeight="1" x14ac:dyDescent="0.2">
      <c r="A83" s="7" t="s">
        <v>50</v>
      </c>
      <c r="B83" s="31" t="s">
        <v>318</v>
      </c>
      <c r="C83" s="32"/>
      <c r="D83" s="32"/>
      <c r="E83" s="32"/>
    </row>
    <row r="84" spans="1:5" ht="15.5" customHeight="1" x14ac:dyDescent="0.2">
      <c r="A84" s="7" t="s">
        <v>52</v>
      </c>
      <c r="B84" s="31" t="s">
        <v>319</v>
      </c>
      <c r="C84" s="32"/>
      <c r="D84" s="32"/>
      <c r="E84" s="32"/>
    </row>
    <row r="85" spans="1:5" ht="15.5" customHeight="1" x14ac:dyDescent="0.2">
      <c r="A85" s="7" t="s">
        <v>54</v>
      </c>
      <c r="B85" s="31" t="s">
        <v>320</v>
      </c>
      <c r="C85" s="32"/>
      <c r="D85" s="32"/>
      <c r="E85" s="32"/>
    </row>
    <row r="86" spans="1:5" x14ac:dyDescent="0.2">
      <c r="A86" s="8" t="s">
        <v>306</v>
      </c>
      <c r="B86" s="8" t="s">
        <v>321</v>
      </c>
      <c r="C86" s="8" t="s">
        <v>322</v>
      </c>
      <c r="D86" s="8" t="s">
        <v>323</v>
      </c>
      <c r="E86" s="8" t="s">
        <v>324</v>
      </c>
    </row>
    <row r="87" spans="1:5" x14ac:dyDescent="0.2">
      <c r="A87" t="s">
        <v>312</v>
      </c>
      <c r="B87" t="str">
        <f>IF(INDEX(TestOpt_Latency,1)&lt;=7,"ENABLED","BLOCKED")</f>
        <v>BLOCKED</v>
      </c>
      <c r="C87" t="str">
        <f>IF(INDEX(TestOpt_Latency,1)&lt;=7,"ENABLED","BLOCKED")</f>
        <v>BLOCKED</v>
      </c>
      <c r="D87" t="str">
        <f>IF(INDEX(TestOpt_Latency,1)&lt;=14,"ENABLED","BLOCKED")</f>
        <v>BLOCKED</v>
      </c>
      <c r="E87" t="str">
        <f>IF(INDEX(TestOpt_Latency,1)&lt;=3,"ENABLED","BLOCKED")</f>
        <v>BLOCKED</v>
      </c>
    </row>
    <row r="88" spans="1:5" x14ac:dyDescent="0.2">
      <c r="A88" t="s">
        <v>313</v>
      </c>
      <c r="B88" t="str">
        <f>IF(INDEX(TestOpt_Latency,2)&lt;=7,"ENABLED","BLOCKED")</f>
        <v>BLOCKED</v>
      </c>
      <c r="C88" t="str">
        <f>IF(INDEX(TestOpt_Latency,2)&lt;=7,"ENABLED","BLOCKED")</f>
        <v>BLOCKED</v>
      </c>
      <c r="D88" t="str">
        <f>IF(INDEX(TestOpt_Latency,2)&lt;=14,"ENABLED","BLOCKED")</f>
        <v>BLOCKED</v>
      </c>
      <c r="E88" t="str">
        <f>IF(INDEX(TestOpt_Latency,2)&lt;=3,"ENABLED","BLOCKED")</f>
        <v>BLOCKED</v>
      </c>
    </row>
    <row r="89" spans="1:5" x14ac:dyDescent="0.2">
      <c r="A89" t="s">
        <v>61</v>
      </c>
      <c r="B89" t="str">
        <f>IF(INDEX(TestOpt_Latency,3)&lt;=7,"ENABLED","BLOCKED")</f>
        <v>ENABLED</v>
      </c>
      <c r="C89" t="str">
        <f>IF(INDEX(TestOpt_Latency,3)&lt;=7,"ENABLED","BLOCKED")</f>
        <v>ENABLED</v>
      </c>
      <c r="D89" t="str">
        <f>IF(INDEX(TestOpt_Latency,3)&lt;=14,"ENABLED","BLOCKED")</f>
        <v>ENABLED</v>
      </c>
      <c r="E89" t="str">
        <f>IF(INDEX(TestOpt_Latency,3)&lt;=3,"ENABLED","BLOCKED")</f>
        <v>ENABLED</v>
      </c>
    </row>
    <row r="92" spans="1:5" ht="19" x14ac:dyDescent="0.25">
      <c r="A92" s="4" t="s">
        <v>325</v>
      </c>
    </row>
    <row r="93" spans="1:5" x14ac:dyDescent="0.2">
      <c r="A93" t="s">
        <v>326</v>
      </c>
      <c r="B93" t="s">
        <v>327</v>
      </c>
    </row>
    <row r="94" spans="1:5" x14ac:dyDescent="0.2">
      <c r="A94" t="s">
        <v>312</v>
      </c>
      <c r="B94" t="s">
        <v>65</v>
      </c>
    </row>
    <row r="95" spans="1:5" x14ac:dyDescent="0.2">
      <c r="A95" t="s">
        <v>313</v>
      </c>
      <c r="B95" t="s">
        <v>328</v>
      </c>
    </row>
    <row r="96" spans="1:5" x14ac:dyDescent="0.2">
      <c r="A96" t="s">
        <v>61</v>
      </c>
      <c r="B96" t="s">
        <v>329</v>
      </c>
    </row>
    <row r="98" spans="1:5" ht="19" x14ac:dyDescent="0.25">
      <c r="A98" s="4" t="s">
        <v>330</v>
      </c>
    </row>
    <row r="99" spans="1:5" x14ac:dyDescent="0.2">
      <c r="A99" t="s">
        <v>331</v>
      </c>
    </row>
    <row r="101" spans="1:5" x14ac:dyDescent="0.2">
      <c r="A101" s="6" t="s">
        <v>332</v>
      </c>
    </row>
    <row r="102" spans="1:5" ht="15.5" customHeight="1" x14ac:dyDescent="0.2">
      <c r="A102" s="7" t="s">
        <v>46</v>
      </c>
      <c r="B102" s="31" t="s">
        <v>333</v>
      </c>
      <c r="C102" s="32"/>
      <c r="D102" s="32"/>
      <c r="E102" s="32"/>
    </row>
    <row r="103" spans="1:5" ht="15.5" customHeight="1" x14ac:dyDescent="0.2">
      <c r="A103" s="7" t="s">
        <v>48</v>
      </c>
      <c r="B103" s="31" t="s">
        <v>334</v>
      </c>
      <c r="C103" s="32"/>
      <c r="D103" s="32"/>
      <c r="E103" s="32"/>
    </row>
    <row r="104" spans="1:5" ht="31.25" customHeight="1" x14ac:dyDescent="0.2">
      <c r="A104" s="7" t="s">
        <v>50</v>
      </c>
      <c r="B104" s="31" t="s">
        <v>335</v>
      </c>
      <c r="C104" s="32"/>
      <c r="D104" s="32"/>
      <c r="E104" s="32"/>
    </row>
    <row r="105" spans="1:5" ht="15.5" customHeight="1" x14ac:dyDescent="0.2">
      <c r="A105" s="7" t="s">
        <v>52</v>
      </c>
      <c r="B105" s="31" t="s">
        <v>336</v>
      </c>
      <c r="C105" s="32"/>
      <c r="D105" s="32"/>
      <c r="E105" s="32"/>
    </row>
    <row r="106" spans="1:5" ht="15.5" customHeight="1" x14ac:dyDescent="0.2">
      <c r="A106" s="7" t="s">
        <v>54</v>
      </c>
      <c r="B106" s="31" t="s">
        <v>337</v>
      </c>
      <c r="C106" s="32"/>
      <c r="D106" s="32"/>
      <c r="E106" s="32"/>
    </row>
    <row r="107" spans="1:5" x14ac:dyDescent="0.2">
      <c r="A107" s="8" t="s">
        <v>56</v>
      </c>
      <c r="B107" s="8" t="s">
        <v>57</v>
      </c>
      <c r="C107" s="8" t="s">
        <v>227</v>
      </c>
      <c r="D107" s="8" t="s">
        <v>228</v>
      </c>
      <c r="E107" s="8" t="s">
        <v>179</v>
      </c>
    </row>
    <row r="108" spans="1:5" x14ac:dyDescent="0.2">
      <c r="A108" t="s">
        <v>180</v>
      </c>
      <c r="B108" s="16">
        <v>63.1</v>
      </c>
      <c r="C108" t="s">
        <v>338</v>
      </c>
      <c r="D108" t="s">
        <v>339</v>
      </c>
      <c r="E108" t="s">
        <v>21</v>
      </c>
    </row>
    <row r="109" spans="1:5" x14ac:dyDescent="0.2">
      <c r="A109" t="s">
        <v>181</v>
      </c>
      <c r="B109" s="16">
        <v>50</v>
      </c>
      <c r="C109" t="s">
        <v>338</v>
      </c>
      <c r="D109" t="s">
        <v>340</v>
      </c>
      <c r="E109" t="s">
        <v>21</v>
      </c>
    </row>
    <row r="110" spans="1:5" x14ac:dyDescent="0.2">
      <c r="A110" t="s">
        <v>182</v>
      </c>
      <c r="B110" s="16">
        <v>0.53200000000000003</v>
      </c>
      <c r="C110" t="s">
        <v>341</v>
      </c>
      <c r="D110" t="s">
        <v>342</v>
      </c>
      <c r="E110" t="s">
        <v>21</v>
      </c>
    </row>
    <row r="111" spans="1:5" x14ac:dyDescent="0.2">
      <c r="A111" t="s">
        <v>183</v>
      </c>
      <c r="B111" s="16">
        <v>0.248</v>
      </c>
      <c r="C111" t="s">
        <v>341</v>
      </c>
      <c r="D111" t="s">
        <v>343</v>
      </c>
      <c r="E111" t="s">
        <v>21</v>
      </c>
    </row>
    <row r="112" spans="1:5" x14ac:dyDescent="0.2">
      <c r="A112" t="s">
        <v>184</v>
      </c>
      <c r="B112" s="9">
        <v>15</v>
      </c>
      <c r="C112" t="s">
        <v>240</v>
      </c>
      <c r="D112" t="s">
        <v>344</v>
      </c>
      <c r="E112" t="s">
        <v>21</v>
      </c>
    </row>
    <row r="113" spans="1:5" x14ac:dyDescent="0.2">
      <c r="A113" t="s">
        <v>185</v>
      </c>
      <c r="B113" s="9">
        <v>14</v>
      </c>
      <c r="C113" t="s">
        <v>240</v>
      </c>
      <c r="D113" t="s">
        <v>345</v>
      </c>
      <c r="E113" t="s">
        <v>21</v>
      </c>
    </row>
    <row r="114" spans="1:5" x14ac:dyDescent="0.2">
      <c r="A114" t="s">
        <v>346</v>
      </c>
      <c r="B114" s="9">
        <v>8772</v>
      </c>
      <c r="C114" t="s">
        <v>347</v>
      </c>
      <c r="D114" t="s">
        <v>348</v>
      </c>
    </row>
    <row r="117" spans="1:5" x14ac:dyDescent="0.2">
      <c r="A117" s="6" t="s">
        <v>349</v>
      </c>
    </row>
    <row r="118" spans="1:5" ht="31.25" customHeight="1" x14ac:dyDescent="0.2">
      <c r="A118" s="7" t="s">
        <v>46</v>
      </c>
      <c r="B118" s="31" t="s">
        <v>350</v>
      </c>
      <c r="C118" s="32"/>
      <c r="D118" s="32"/>
    </row>
    <row r="119" spans="1:5" ht="15.5" customHeight="1" x14ac:dyDescent="0.2">
      <c r="A119" s="7" t="s">
        <v>48</v>
      </c>
      <c r="B119" s="31" t="s">
        <v>351</v>
      </c>
      <c r="C119" s="32"/>
      <c r="D119" s="32"/>
    </row>
    <row r="120" spans="1:5" ht="31.25" customHeight="1" x14ac:dyDescent="0.2">
      <c r="A120" s="7" t="s">
        <v>50</v>
      </c>
      <c r="B120" s="31" t="s">
        <v>352</v>
      </c>
      <c r="C120" s="32"/>
      <c r="D120" s="32"/>
    </row>
    <row r="121" spans="1:5" ht="15.5" customHeight="1" x14ac:dyDescent="0.2">
      <c r="A121" s="7" t="s">
        <v>52</v>
      </c>
      <c r="B121" s="31" t="s">
        <v>353</v>
      </c>
      <c r="C121" s="32"/>
      <c r="D121" s="32"/>
    </row>
    <row r="122" spans="1:5" ht="15.5" customHeight="1" x14ac:dyDescent="0.2">
      <c r="A122" s="7" t="s">
        <v>54</v>
      </c>
      <c r="B122" s="31" t="s">
        <v>264</v>
      </c>
      <c r="C122" s="32"/>
      <c r="D122" s="32"/>
    </row>
    <row r="123" spans="1:5" x14ac:dyDescent="0.2">
      <c r="A123" s="8" t="s">
        <v>354</v>
      </c>
      <c r="B123" s="8" t="s">
        <v>355</v>
      </c>
      <c r="C123" s="8" t="s">
        <v>356</v>
      </c>
      <c r="D123" s="8" t="s">
        <v>228</v>
      </c>
    </row>
    <row r="124" spans="1:5" x14ac:dyDescent="0.2">
      <c r="A124" t="s">
        <v>357</v>
      </c>
      <c r="B124" s="9">
        <v>14</v>
      </c>
      <c r="C124" t="s">
        <v>358</v>
      </c>
      <c r="D124" t="s">
        <v>359</v>
      </c>
    </row>
    <row r="125" spans="1:5" x14ac:dyDescent="0.2">
      <c r="A125" t="s">
        <v>360</v>
      </c>
      <c r="B125" s="9">
        <v>28</v>
      </c>
      <c r="C125" t="s">
        <v>361</v>
      </c>
      <c r="D125" t="s">
        <v>362</v>
      </c>
    </row>
    <row r="126" spans="1:5" x14ac:dyDescent="0.2">
      <c r="A126" t="s">
        <v>363</v>
      </c>
      <c r="B126" s="9">
        <v>42</v>
      </c>
      <c r="C126" t="s">
        <v>364</v>
      </c>
      <c r="D126" t="s">
        <v>365</v>
      </c>
    </row>
  </sheetData>
  <mergeCells count="45">
    <mergeCell ref="B121:D121"/>
    <mergeCell ref="B59:D59"/>
    <mergeCell ref="B8:E8"/>
    <mergeCell ref="B46:D46"/>
    <mergeCell ref="B122:D122"/>
    <mergeCell ref="B82:E82"/>
    <mergeCell ref="B71:G71"/>
    <mergeCell ref="B18:D18"/>
    <mergeCell ref="B56:D56"/>
    <mergeCell ref="B58:D58"/>
    <mergeCell ref="B21:D21"/>
    <mergeCell ref="B103:E103"/>
    <mergeCell ref="B34:E34"/>
    <mergeCell ref="B70:G70"/>
    <mergeCell ref="B48:D48"/>
    <mergeCell ref="B84:E84"/>
    <mergeCell ref="B4:E4"/>
    <mergeCell ref="B106:E106"/>
    <mergeCell ref="B118:D118"/>
    <mergeCell ref="B7:E7"/>
    <mergeCell ref="B74:G74"/>
    <mergeCell ref="B81:E81"/>
    <mergeCell ref="B20:D20"/>
    <mergeCell ref="B31:E31"/>
    <mergeCell ref="B102:E102"/>
    <mergeCell ref="B105:E105"/>
    <mergeCell ref="B45:D45"/>
    <mergeCell ref="B47:D47"/>
    <mergeCell ref="B72:G72"/>
    <mergeCell ref="B5:E5"/>
    <mergeCell ref="B73:G73"/>
    <mergeCell ref="B85:E85"/>
    <mergeCell ref="B32:E32"/>
    <mergeCell ref="B19:D19"/>
    <mergeCell ref="B35:E35"/>
    <mergeCell ref="B120:D120"/>
    <mergeCell ref="B60:D60"/>
    <mergeCell ref="B83:E83"/>
    <mergeCell ref="B57:D57"/>
    <mergeCell ref="B6:E6"/>
    <mergeCell ref="B17:D17"/>
    <mergeCell ref="B119:D119"/>
    <mergeCell ref="B33:E33"/>
    <mergeCell ref="B104:E104"/>
    <mergeCell ref="B44:D44"/>
  </mergeCells>
  <pageMargins left="0.75" right="0.75" top="1" bottom="1" header="0.5" footer="0.5"/>
  <tableParts count="9">
    <tablePart r:id="rId1"/>
    <tablePart r:id="rId2"/>
    <tablePart r:id="rId3"/>
    <tablePart r:id="rId4"/>
    <tablePart r:id="rId5"/>
    <tablePart r:id="rId6"/>
    <tablePart r:id="rId7"/>
    <tablePart r:id="rId8"/>
    <tablePart r:id="rId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H23"/>
  <sheetViews>
    <sheetView workbookViewId="0"/>
  </sheetViews>
  <sheetFormatPr baseColWidth="10" defaultColWidth="8.83203125" defaultRowHeight="15" x14ac:dyDescent="0.2"/>
  <cols>
    <col min="1" max="1" width="22" customWidth="1"/>
    <col min="2" max="7" width="10" customWidth="1"/>
    <col min="8" max="8" width="30" customWidth="1"/>
  </cols>
  <sheetData>
    <row r="1" spans="1:8" ht="21" x14ac:dyDescent="0.25">
      <c r="A1" s="5" t="s">
        <v>366</v>
      </c>
    </row>
    <row r="3" spans="1:8" x14ac:dyDescent="0.2">
      <c r="A3" s="36" t="s">
        <v>367</v>
      </c>
      <c r="B3" s="34"/>
      <c r="C3" s="34"/>
      <c r="D3" s="34"/>
      <c r="E3" s="34"/>
      <c r="F3" s="34"/>
      <c r="G3" s="34"/>
      <c r="H3" s="35"/>
    </row>
    <row r="4" spans="1:8" ht="93.5" customHeight="1" x14ac:dyDescent="0.2">
      <c r="A4" s="33" t="s">
        <v>368</v>
      </c>
      <c r="B4" s="34"/>
      <c r="C4" s="34"/>
      <c r="D4" s="34"/>
      <c r="E4" s="34"/>
      <c r="F4" s="34"/>
      <c r="G4" s="34"/>
      <c r="H4" s="35"/>
    </row>
    <row r="7" spans="1:8" x14ac:dyDescent="0.2">
      <c r="A7" s="8" t="s">
        <v>369</v>
      </c>
      <c r="B7" s="8" t="s">
        <v>227</v>
      </c>
      <c r="C7" s="8" t="s">
        <v>231</v>
      </c>
      <c r="D7" s="8" t="s">
        <v>370</v>
      </c>
      <c r="E7" s="8" t="s">
        <v>371</v>
      </c>
      <c r="F7" s="8" t="s">
        <v>372</v>
      </c>
      <c r="G7" s="8" t="s">
        <v>373</v>
      </c>
      <c r="H7" s="8" t="s">
        <v>228</v>
      </c>
    </row>
    <row r="8" spans="1:8" x14ac:dyDescent="0.2">
      <c r="A8" t="s">
        <v>374</v>
      </c>
      <c r="B8" t="s">
        <v>375</v>
      </c>
      <c r="C8" s="17">
        <v>10</v>
      </c>
      <c r="D8" s="17">
        <v>16</v>
      </c>
      <c r="E8" s="17">
        <v>20</v>
      </c>
      <c r="F8" s="17">
        <v>18</v>
      </c>
      <c r="G8" s="17">
        <v>12</v>
      </c>
      <c r="H8" t="s">
        <v>376</v>
      </c>
    </row>
    <row r="9" spans="1:8" x14ac:dyDescent="0.2">
      <c r="A9" t="s">
        <v>377</v>
      </c>
      <c r="B9" t="s">
        <v>378</v>
      </c>
      <c r="C9" s="18">
        <v>0.75</v>
      </c>
      <c r="D9" s="18">
        <v>1</v>
      </c>
      <c r="E9" s="18">
        <v>1</v>
      </c>
      <c r="F9" s="18">
        <v>0.85</v>
      </c>
      <c r="G9" s="18">
        <v>0.55000000000000004</v>
      </c>
      <c r="H9" t="s">
        <v>379</v>
      </c>
    </row>
    <row r="10" spans="1:8" x14ac:dyDescent="0.2">
      <c r="A10" t="s">
        <v>380</v>
      </c>
      <c r="B10" t="s">
        <v>338</v>
      </c>
      <c r="C10" s="18">
        <v>8.5</v>
      </c>
      <c r="D10" s="18">
        <v>7.5</v>
      </c>
      <c r="E10" s="18">
        <v>6.5</v>
      </c>
      <c r="F10" s="18">
        <v>7</v>
      </c>
      <c r="G10" s="18">
        <v>8</v>
      </c>
      <c r="H10" t="s">
        <v>381</v>
      </c>
    </row>
    <row r="11" spans="1:8" x14ac:dyDescent="0.2">
      <c r="A11" t="s">
        <v>382</v>
      </c>
      <c r="B11" t="s">
        <v>378</v>
      </c>
      <c r="C11" s="18">
        <v>1</v>
      </c>
      <c r="D11" s="18">
        <v>0.7</v>
      </c>
      <c r="E11" s="18">
        <v>0.4</v>
      </c>
      <c r="F11" s="18">
        <v>0.3</v>
      </c>
      <c r="G11" s="18">
        <v>0.2</v>
      </c>
      <c r="H11" t="s">
        <v>383</v>
      </c>
    </row>
    <row r="12" spans="1:8" x14ac:dyDescent="0.2">
      <c r="A12" t="s">
        <v>384</v>
      </c>
      <c r="B12" t="s">
        <v>378</v>
      </c>
      <c r="C12" s="18">
        <v>0.7</v>
      </c>
      <c r="D12" s="18">
        <v>0.9</v>
      </c>
      <c r="E12" s="18">
        <v>1</v>
      </c>
      <c r="F12" s="18">
        <v>0.95</v>
      </c>
      <c r="G12" s="18">
        <v>0.8</v>
      </c>
      <c r="H12" t="s">
        <v>385</v>
      </c>
    </row>
    <row r="15" spans="1:8" x14ac:dyDescent="0.2">
      <c r="A15" s="11" t="s">
        <v>386</v>
      </c>
    </row>
    <row r="16" spans="1:8" x14ac:dyDescent="0.2">
      <c r="A16" s="8" t="s">
        <v>56</v>
      </c>
      <c r="B16" s="8" t="s">
        <v>227</v>
      </c>
      <c r="C16" s="8" t="s">
        <v>387</v>
      </c>
      <c r="D16" s="8" t="s">
        <v>388</v>
      </c>
      <c r="E16" s="8" t="s">
        <v>389</v>
      </c>
      <c r="F16" s="8" t="s">
        <v>390</v>
      </c>
      <c r="G16" s="8" t="s">
        <v>391</v>
      </c>
      <c r="H16" s="8" t="s">
        <v>228</v>
      </c>
    </row>
    <row r="17" spans="1:8" x14ac:dyDescent="0.2">
      <c r="A17" t="s">
        <v>392</v>
      </c>
      <c r="B17" t="s">
        <v>338</v>
      </c>
      <c r="C17" s="19">
        <v>50</v>
      </c>
      <c r="D17" s="19">
        <v>150</v>
      </c>
      <c r="E17" s="19">
        <v>300</v>
      </c>
      <c r="F17">
        <v>230</v>
      </c>
      <c r="G17" t="s">
        <v>393</v>
      </c>
      <c r="H17" t="s">
        <v>394</v>
      </c>
    </row>
    <row r="18" spans="1:8" x14ac:dyDescent="0.2">
      <c r="A18" t="s">
        <v>395</v>
      </c>
      <c r="B18" t="s">
        <v>396</v>
      </c>
      <c r="C18" s="17">
        <v>1</v>
      </c>
      <c r="D18" s="17">
        <v>2.5</v>
      </c>
      <c r="E18" s="17">
        <v>6</v>
      </c>
      <c r="F18">
        <v>4</v>
      </c>
      <c r="G18" t="s">
        <v>393</v>
      </c>
      <c r="H18" t="s">
        <v>397</v>
      </c>
    </row>
    <row r="19" spans="1:8" x14ac:dyDescent="0.2">
      <c r="A19" t="s">
        <v>398</v>
      </c>
      <c r="B19" t="s">
        <v>338</v>
      </c>
      <c r="C19" s="19">
        <v>100</v>
      </c>
      <c r="D19" s="19">
        <v>300</v>
      </c>
      <c r="E19" s="19">
        <v>600</v>
      </c>
      <c r="F19">
        <v>500</v>
      </c>
      <c r="G19" t="s">
        <v>393</v>
      </c>
      <c r="H19" t="s">
        <v>399</v>
      </c>
    </row>
    <row r="20" spans="1:8" x14ac:dyDescent="0.2">
      <c r="A20" t="s">
        <v>400</v>
      </c>
      <c r="B20" t="s">
        <v>338</v>
      </c>
      <c r="C20" s="17">
        <v>5</v>
      </c>
      <c r="D20" s="17">
        <v>7</v>
      </c>
      <c r="E20" s="17">
        <v>9</v>
      </c>
      <c r="F20">
        <v>6.5</v>
      </c>
      <c r="G20" t="s">
        <v>401</v>
      </c>
      <c r="H20" t="s">
        <v>402</v>
      </c>
    </row>
    <row r="23" spans="1:8" x14ac:dyDescent="0.2">
      <c r="A23" s="11" t="s">
        <v>403</v>
      </c>
      <c r="B23" t="s">
        <v>404</v>
      </c>
      <c r="C23" t="s">
        <v>405</v>
      </c>
    </row>
  </sheetData>
  <mergeCells count="2">
    <mergeCell ref="A4:H4"/>
    <mergeCell ref="A3:H3"/>
  </mergeCells>
  <pageMargins left="0.75" right="0.75" top="1" bottom="1" header="0.5" footer="0.5"/>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E25"/>
  <sheetViews>
    <sheetView workbookViewId="0"/>
  </sheetViews>
  <sheetFormatPr baseColWidth="10" defaultColWidth="8.83203125" defaultRowHeight="15" x14ac:dyDescent="0.2"/>
  <cols>
    <col min="1" max="1" width="12" customWidth="1"/>
    <col min="2" max="2" width="22" customWidth="1"/>
    <col min="3" max="3" width="14" customWidth="1"/>
    <col min="4" max="4" width="24" customWidth="1"/>
    <col min="5" max="5" width="40" customWidth="1"/>
  </cols>
  <sheetData>
    <row r="1" spans="1:5" ht="21" x14ac:dyDescent="0.25">
      <c r="A1" s="5" t="s">
        <v>406</v>
      </c>
    </row>
    <row r="3" spans="1:5" x14ac:dyDescent="0.2">
      <c r="A3" s="6" t="s">
        <v>406</v>
      </c>
    </row>
    <row r="4" spans="1:5" ht="31.25" customHeight="1" x14ac:dyDescent="0.2">
      <c r="A4" s="7" t="s">
        <v>46</v>
      </c>
      <c r="B4" s="31" t="s">
        <v>407</v>
      </c>
      <c r="C4" s="32"/>
      <c r="D4" s="32"/>
      <c r="E4" s="32"/>
    </row>
    <row r="5" spans="1:5" ht="31.25" customHeight="1" x14ac:dyDescent="0.2">
      <c r="A5" s="7" t="s">
        <v>48</v>
      </c>
      <c r="B5" s="31" t="s">
        <v>408</v>
      </c>
      <c r="C5" s="32"/>
      <c r="D5" s="32"/>
      <c r="E5" s="32"/>
    </row>
    <row r="6" spans="1:5" ht="62.5" customHeight="1" x14ac:dyDescent="0.2">
      <c r="A6" s="7" t="s">
        <v>50</v>
      </c>
      <c r="B6" s="31" t="s">
        <v>409</v>
      </c>
      <c r="C6" s="32"/>
      <c r="D6" s="32"/>
      <c r="E6" s="32"/>
    </row>
    <row r="7" spans="1:5" ht="15.5" customHeight="1" x14ac:dyDescent="0.2">
      <c r="A7" s="7" t="s">
        <v>52</v>
      </c>
      <c r="B7" s="31" t="s">
        <v>410</v>
      </c>
      <c r="C7" s="32"/>
      <c r="D7" s="32"/>
      <c r="E7" s="32"/>
    </row>
    <row r="8" spans="1:5" ht="15.5" customHeight="1" x14ac:dyDescent="0.2">
      <c r="A8" s="7" t="s">
        <v>54</v>
      </c>
      <c r="B8" s="31" t="s">
        <v>411</v>
      </c>
      <c r="C8" s="32"/>
      <c r="D8" s="32"/>
      <c r="E8" s="32"/>
    </row>
    <row r="9" spans="1:5" x14ac:dyDescent="0.2">
      <c r="A9" s="8" t="s">
        <v>412</v>
      </c>
      <c r="B9" s="8" t="s">
        <v>413</v>
      </c>
      <c r="C9" s="8" t="s">
        <v>414</v>
      </c>
      <c r="D9" s="8" t="s">
        <v>415</v>
      </c>
      <c r="E9" s="8" t="s">
        <v>59</v>
      </c>
    </row>
    <row r="10" spans="1:5" x14ac:dyDescent="0.2">
      <c r="A10" t="s">
        <v>416</v>
      </c>
      <c r="B10" t="s">
        <v>417</v>
      </c>
      <c r="C10" s="14">
        <v>104000</v>
      </c>
      <c r="D10">
        <v>7</v>
      </c>
      <c r="E10" t="s">
        <v>418</v>
      </c>
    </row>
    <row r="11" spans="1:5" x14ac:dyDescent="0.2">
      <c r="A11" t="s">
        <v>419</v>
      </c>
      <c r="B11" t="s">
        <v>420</v>
      </c>
      <c r="C11" s="14">
        <v>67500</v>
      </c>
      <c r="D11">
        <v>7</v>
      </c>
      <c r="E11" t="s">
        <v>421</v>
      </c>
    </row>
    <row r="12" spans="1:5" x14ac:dyDescent="0.2">
      <c r="A12" t="s">
        <v>422</v>
      </c>
      <c r="B12" t="s">
        <v>423</v>
      </c>
      <c r="C12" s="14">
        <v>78000</v>
      </c>
      <c r="D12">
        <v>14</v>
      </c>
      <c r="E12" t="s">
        <v>424</v>
      </c>
    </row>
    <row r="13" spans="1:5" x14ac:dyDescent="0.2">
      <c r="A13" t="s">
        <v>425</v>
      </c>
      <c r="B13" t="s">
        <v>426</v>
      </c>
      <c r="C13" s="14">
        <v>36000</v>
      </c>
      <c r="D13">
        <v>3</v>
      </c>
      <c r="E13" t="s">
        <v>427</v>
      </c>
    </row>
    <row r="16" spans="1:5" x14ac:dyDescent="0.2">
      <c r="A16" s="6" t="s">
        <v>428</v>
      </c>
    </row>
    <row r="17" spans="1:4" ht="31.25" customHeight="1" x14ac:dyDescent="0.2">
      <c r="A17" s="7" t="s">
        <v>46</v>
      </c>
      <c r="B17" s="31" t="s">
        <v>429</v>
      </c>
      <c r="C17" s="32"/>
      <c r="D17" s="32"/>
    </row>
    <row r="18" spans="1:4" ht="31.25" customHeight="1" x14ac:dyDescent="0.2">
      <c r="A18" s="7" t="s">
        <v>48</v>
      </c>
      <c r="B18" s="31" t="s">
        <v>430</v>
      </c>
      <c r="C18" s="32"/>
      <c r="D18" s="32"/>
    </row>
    <row r="19" spans="1:4" ht="78" customHeight="1" x14ac:dyDescent="0.2">
      <c r="A19" s="7" t="s">
        <v>50</v>
      </c>
      <c r="B19" s="31" t="s">
        <v>431</v>
      </c>
      <c r="C19" s="32"/>
      <c r="D19" s="32"/>
    </row>
    <row r="20" spans="1:4" ht="31.25" customHeight="1" x14ac:dyDescent="0.2">
      <c r="A20" s="7" t="s">
        <v>52</v>
      </c>
      <c r="B20" s="31" t="s">
        <v>432</v>
      </c>
      <c r="C20" s="32"/>
      <c r="D20" s="32"/>
    </row>
    <row r="21" spans="1:4" ht="15.5" customHeight="1" x14ac:dyDescent="0.2">
      <c r="A21" s="7" t="s">
        <v>54</v>
      </c>
      <c r="B21" s="31" t="s">
        <v>433</v>
      </c>
      <c r="C21" s="32"/>
      <c r="D21" s="32"/>
    </row>
    <row r="22" spans="1:4" x14ac:dyDescent="0.2">
      <c r="A22" s="8" t="s">
        <v>93</v>
      </c>
      <c r="B22" s="8" t="s">
        <v>434</v>
      </c>
      <c r="C22" s="8" t="s">
        <v>435</v>
      </c>
      <c r="D22" s="8" t="s">
        <v>436</v>
      </c>
    </row>
    <row r="23" spans="1:4" x14ac:dyDescent="0.2">
      <c r="A23" t="s">
        <v>65</v>
      </c>
      <c r="B23" s="10">
        <v>0</v>
      </c>
      <c r="C23" s="10">
        <v>0</v>
      </c>
      <c r="D23" s="10">
        <v>0</v>
      </c>
    </row>
    <row r="24" spans="1:4" x14ac:dyDescent="0.2">
      <c r="A24" t="s">
        <v>328</v>
      </c>
      <c r="B24" s="10">
        <v>4.0000000000000001E-3</v>
      </c>
      <c r="C24" s="10">
        <v>-0.02</v>
      </c>
      <c r="D24" s="10">
        <v>0.1</v>
      </c>
    </row>
    <row r="25" spans="1:4" x14ac:dyDescent="0.2">
      <c r="A25" t="s">
        <v>329</v>
      </c>
      <c r="B25" s="10">
        <v>-3.0000000000000001E-3</v>
      </c>
      <c r="C25" s="10">
        <v>0.01</v>
      </c>
      <c r="D25" s="10">
        <v>-0.1</v>
      </c>
    </row>
  </sheetData>
  <mergeCells count="10">
    <mergeCell ref="B21:D21"/>
    <mergeCell ref="B5:E5"/>
    <mergeCell ref="B20:D20"/>
    <mergeCell ref="B19:D19"/>
    <mergeCell ref="B8:E8"/>
    <mergeCell ref="B4:E4"/>
    <mergeCell ref="B6:E6"/>
    <mergeCell ref="B17:D17"/>
    <mergeCell ref="B18:D18"/>
    <mergeCell ref="B7:E7"/>
  </mergeCells>
  <pageMargins left="0.75" right="0.75" top="1" bottom="1" header="0.5" footer="0.5"/>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G35"/>
  <sheetViews>
    <sheetView workbookViewId="0"/>
  </sheetViews>
  <sheetFormatPr baseColWidth="10" defaultColWidth="8.83203125" defaultRowHeight="15" x14ac:dyDescent="0.2"/>
  <cols>
    <col min="1" max="1" width="28" customWidth="1"/>
    <col min="2" max="5" width="12" customWidth="1"/>
    <col min="6" max="6" width="30" customWidth="1"/>
    <col min="7" max="7" width="35" customWidth="1"/>
  </cols>
  <sheetData>
    <row r="1" spans="1:6" ht="21" x14ac:dyDescent="0.25">
      <c r="A1" s="5" t="s">
        <v>437</v>
      </c>
    </row>
    <row r="3" spans="1:6" x14ac:dyDescent="0.2">
      <c r="A3" s="6" t="s">
        <v>438</v>
      </c>
    </row>
    <row r="4" spans="1:6" ht="31.25" customHeight="1" x14ac:dyDescent="0.2">
      <c r="A4" s="7" t="s">
        <v>46</v>
      </c>
      <c r="B4" s="31" t="s">
        <v>439</v>
      </c>
      <c r="C4" s="32"/>
      <c r="D4" s="32"/>
      <c r="E4" s="32"/>
      <c r="F4" s="32"/>
    </row>
    <row r="5" spans="1:6" ht="31.25" customHeight="1" x14ac:dyDescent="0.2">
      <c r="A5" s="7" t="s">
        <v>48</v>
      </c>
      <c r="B5" s="31" t="s">
        <v>440</v>
      </c>
      <c r="C5" s="32"/>
      <c r="D5" s="32"/>
      <c r="E5" s="32"/>
      <c r="F5" s="32"/>
    </row>
    <row r="6" spans="1:6" ht="62.5" customHeight="1" x14ac:dyDescent="0.2">
      <c r="A6" s="7" t="s">
        <v>50</v>
      </c>
      <c r="B6" s="31" t="s">
        <v>441</v>
      </c>
      <c r="C6" s="32"/>
      <c r="D6" s="32"/>
      <c r="E6" s="32"/>
      <c r="F6" s="32"/>
    </row>
    <row r="7" spans="1:6" ht="15.5" customHeight="1" x14ac:dyDescent="0.2">
      <c r="A7" s="7" t="s">
        <v>52</v>
      </c>
      <c r="B7" s="31" t="s">
        <v>442</v>
      </c>
      <c r="C7" s="32"/>
      <c r="D7" s="32"/>
      <c r="E7" s="32"/>
      <c r="F7" s="32"/>
    </row>
    <row r="8" spans="1:6" ht="15.5" customHeight="1" x14ac:dyDescent="0.2">
      <c r="A8" s="7" t="s">
        <v>54</v>
      </c>
      <c r="B8" s="31" t="s">
        <v>443</v>
      </c>
      <c r="C8" s="32"/>
      <c r="D8" s="32"/>
      <c r="E8" s="32"/>
      <c r="F8" s="32"/>
    </row>
    <row r="9" spans="1:6" x14ac:dyDescent="0.2">
      <c r="A9" s="8" t="s">
        <v>369</v>
      </c>
      <c r="B9" s="8" t="s">
        <v>387</v>
      </c>
      <c r="C9" s="8" t="s">
        <v>388</v>
      </c>
      <c r="D9" s="8" t="s">
        <v>389</v>
      </c>
      <c r="E9" s="8" t="s">
        <v>444</v>
      </c>
      <c r="F9" s="8" t="s">
        <v>179</v>
      </c>
    </row>
    <row r="10" spans="1:6" x14ac:dyDescent="0.2">
      <c r="A10" t="s">
        <v>445</v>
      </c>
      <c r="B10" s="9">
        <v>14</v>
      </c>
      <c r="C10" s="9">
        <v>21</v>
      </c>
      <c r="D10" s="9">
        <v>35</v>
      </c>
      <c r="E10" t="s">
        <v>240</v>
      </c>
      <c r="F10" t="s">
        <v>23</v>
      </c>
    </row>
    <row r="11" spans="1:6" x14ac:dyDescent="0.2">
      <c r="A11" t="s">
        <v>446</v>
      </c>
      <c r="B11" s="14">
        <v>3000</v>
      </c>
      <c r="C11" s="14">
        <v>7500</v>
      </c>
      <c r="D11" s="14">
        <v>15000</v>
      </c>
      <c r="E11" t="s">
        <v>285</v>
      </c>
      <c r="F11" t="s">
        <v>23</v>
      </c>
    </row>
    <row r="12" spans="1:6" x14ac:dyDescent="0.2">
      <c r="A12" t="s">
        <v>447</v>
      </c>
      <c r="B12" s="9">
        <v>1</v>
      </c>
      <c r="C12" s="9">
        <v>3</v>
      </c>
      <c r="D12" s="9">
        <v>8</v>
      </c>
      <c r="E12" t="s">
        <v>448</v>
      </c>
      <c r="F12" t="s">
        <v>23</v>
      </c>
    </row>
    <row r="13" spans="1:6" x14ac:dyDescent="0.2">
      <c r="A13" t="s">
        <v>449</v>
      </c>
      <c r="B13" s="9">
        <v>0.7</v>
      </c>
      <c r="C13" s="9">
        <v>1</v>
      </c>
      <c r="D13" s="9">
        <v>1.3</v>
      </c>
      <c r="E13" t="s">
        <v>450</v>
      </c>
      <c r="F13" t="s">
        <v>23</v>
      </c>
    </row>
    <row r="16" spans="1:6" x14ac:dyDescent="0.2">
      <c r="A16" s="6" t="s">
        <v>451</v>
      </c>
    </row>
    <row r="17" spans="1:7" ht="15.5" customHeight="1" x14ac:dyDescent="0.2">
      <c r="A17" s="7" t="s">
        <v>46</v>
      </c>
      <c r="B17" s="31" t="s">
        <v>452</v>
      </c>
      <c r="C17" s="32"/>
      <c r="D17" s="32"/>
      <c r="E17" s="32"/>
      <c r="F17" s="32"/>
      <c r="G17" s="32"/>
    </row>
    <row r="18" spans="1:7" ht="15.5" customHeight="1" x14ac:dyDescent="0.2">
      <c r="A18" s="7" t="s">
        <v>48</v>
      </c>
      <c r="B18" s="31" t="s">
        <v>453</v>
      </c>
      <c r="C18" s="32"/>
      <c r="D18" s="32"/>
      <c r="E18" s="32"/>
      <c r="F18" s="32"/>
      <c r="G18" s="32"/>
    </row>
    <row r="19" spans="1:7" ht="46.75" customHeight="1" x14ac:dyDescent="0.2">
      <c r="A19" s="7" t="s">
        <v>50</v>
      </c>
      <c r="B19" s="31" t="s">
        <v>454</v>
      </c>
      <c r="C19" s="32"/>
      <c r="D19" s="32"/>
      <c r="E19" s="32"/>
      <c r="F19" s="32"/>
      <c r="G19" s="32"/>
    </row>
    <row r="20" spans="1:7" ht="15.5" customHeight="1" x14ac:dyDescent="0.2">
      <c r="A20" s="7" t="s">
        <v>52</v>
      </c>
      <c r="B20" s="31" t="s">
        <v>455</v>
      </c>
      <c r="C20" s="32"/>
      <c r="D20" s="32"/>
      <c r="E20" s="32"/>
      <c r="F20" s="32"/>
      <c r="G20" s="32"/>
    </row>
    <row r="21" spans="1:7" ht="15.5" customHeight="1" x14ac:dyDescent="0.2">
      <c r="A21" s="7" t="s">
        <v>54</v>
      </c>
      <c r="B21" s="31" t="s">
        <v>456</v>
      </c>
      <c r="C21" s="32"/>
      <c r="D21" s="32"/>
      <c r="E21" s="32"/>
      <c r="F21" s="32"/>
      <c r="G21" s="32"/>
    </row>
    <row r="22" spans="1:7" x14ac:dyDescent="0.2">
      <c r="A22" s="8" t="s">
        <v>369</v>
      </c>
      <c r="B22" s="8" t="s">
        <v>457</v>
      </c>
      <c r="C22" s="8" t="s">
        <v>458</v>
      </c>
      <c r="D22" s="8" t="s">
        <v>387</v>
      </c>
      <c r="E22" s="8" t="s">
        <v>389</v>
      </c>
      <c r="F22" s="8" t="s">
        <v>444</v>
      </c>
      <c r="G22" s="8" t="s">
        <v>179</v>
      </c>
    </row>
    <row r="23" spans="1:7" x14ac:dyDescent="0.2">
      <c r="A23" t="s">
        <v>459</v>
      </c>
      <c r="B23" s="9">
        <v>2</v>
      </c>
      <c r="C23" s="9">
        <v>5</v>
      </c>
      <c r="D23" s="9">
        <v>0.05</v>
      </c>
      <c r="E23" s="9">
        <v>0.4</v>
      </c>
      <c r="F23" t="s">
        <v>460</v>
      </c>
    </row>
    <row r="26" spans="1:7" x14ac:dyDescent="0.2">
      <c r="A26" s="6" t="s">
        <v>461</v>
      </c>
    </row>
    <row r="27" spans="1:7" ht="31.25" customHeight="1" x14ac:dyDescent="0.2">
      <c r="A27" s="7" t="s">
        <v>46</v>
      </c>
      <c r="B27" s="31" t="s">
        <v>462</v>
      </c>
      <c r="C27" s="32"/>
      <c r="D27" s="32"/>
      <c r="E27" s="32"/>
    </row>
    <row r="28" spans="1:7" ht="31.25" customHeight="1" x14ac:dyDescent="0.2">
      <c r="A28" s="7" t="s">
        <v>48</v>
      </c>
      <c r="B28" s="31" t="s">
        <v>463</v>
      </c>
      <c r="C28" s="32"/>
      <c r="D28" s="32"/>
      <c r="E28" s="32"/>
    </row>
    <row r="29" spans="1:7" ht="124.75" customHeight="1" x14ac:dyDescent="0.2">
      <c r="A29" s="7" t="s">
        <v>50</v>
      </c>
      <c r="B29" s="31" t="s">
        <v>464</v>
      </c>
      <c r="C29" s="32"/>
      <c r="D29" s="32"/>
      <c r="E29" s="32"/>
    </row>
    <row r="30" spans="1:7" ht="31.25" customHeight="1" x14ac:dyDescent="0.2">
      <c r="A30" s="7" t="s">
        <v>52</v>
      </c>
      <c r="B30" s="31" t="s">
        <v>465</v>
      </c>
      <c r="C30" s="32"/>
      <c r="D30" s="32"/>
      <c r="E30" s="32"/>
    </row>
    <row r="31" spans="1:7" ht="15.5" customHeight="1" x14ac:dyDescent="0.2">
      <c r="A31" s="7" t="s">
        <v>54</v>
      </c>
      <c r="B31" s="31" t="s">
        <v>466</v>
      </c>
      <c r="C31" s="32"/>
      <c r="D31" s="32"/>
      <c r="E31" s="32"/>
    </row>
    <row r="32" spans="1:7" x14ac:dyDescent="0.2">
      <c r="A32" s="8" t="s">
        <v>467</v>
      </c>
      <c r="B32" s="8" t="s">
        <v>468</v>
      </c>
      <c r="C32" s="8" t="s">
        <v>65</v>
      </c>
      <c r="D32" s="8" t="s">
        <v>469</v>
      </c>
      <c r="E32" s="8" t="s">
        <v>470</v>
      </c>
    </row>
    <row r="33" spans="1:5" x14ac:dyDescent="0.2">
      <c r="A33" t="s">
        <v>471</v>
      </c>
      <c r="B33" s="14">
        <v>3</v>
      </c>
      <c r="C33" s="14">
        <v>5</v>
      </c>
      <c r="D33" s="14">
        <v>8</v>
      </c>
      <c r="E33" t="s">
        <v>472</v>
      </c>
    </row>
    <row r="34" spans="1:5" x14ac:dyDescent="0.2">
      <c r="A34" t="s">
        <v>473</v>
      </c>
      <c r="B34" s="14">
        <v>10</v>
      </c>
      <c r="C34" s="14">
        <v>20</v>
      </c>
      <c r="D34" s="14">
        <v>30</v>
      </c>
      <c r="E34" t="s">
        <v>474</v>
      </c>
    </row>
    <row r="35" spans="1:5" x14ac:dyDescent="0.2">
      <c r="A35" t="s">
        <v>475</v>
      </c>
      <c r="B35" s="14">
        <v>21</v>
      </c>
      <c r="C35" s="14">
        <v>50</v>
      </c>
      <c r="D35" s="14">
        <v>93</v>
      </c>
      <c r="E35" t="s">
        <v>476</v>
      </c>
    </row>
  </sheetData>
  <mergeCells count="15">
    <mergeCell ref="B31:E31"/>
    <mergeCell ref="B6:F6"/>
    <mergeCell ref="B17:G17"/>
    <mergeCell ref="B30:E30"/>
    <mergeCell ref="B5:F5"/>
    <mergeCell ref="B29:E29"/>
    <mergeCell ref="B18:G18"/>
    <mergeCell ref="B8:F8"/>
    <mergeCell ref="B21:G21"/>
    <mergeCell ref="B28:E28"/>
    <mergeCell ref="B4:F4"/>
    <mergeCell ref="B19:G19"/>
    <mergeCell ref="B20:G20"/>
    <mergeCell ref="B27:E27"/>
    <mergeCell ref="B7:F7"/>
  </mergeCells>
  <pageMargins left="0.75" right="0.75" top="1" bottom="1" header="0.5" footer="0.5"/>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E31"/>
  <sheetViews>
    <sheetView workbookViewId="0"/>
  </sheetViews>
  <sheetFormatPr baseColWidth="10" defaultColWidth="8.83203125" defaultRowHeight="15" x14ac:dyDescent="0.2"/>
  <cols>
    <col min="1" max="1" width="20" customWidth="1"/>
    <col min="2" max="2" width="36" customWidth="1"/>
    <col min="3" max="3" width="16" customWidth="1"/>
    <col min="4" max="4" width="12" customWidth="1"/>
    <col min="5" max="5" width="14" customWidth="1"/>
  </cols>
  <sheetData>
    <row r="1" spans="1:5" ht="21" x14ac:dyDescent="0.25">
      <c r="A1" s="5" t="s">
        <v>477</v>
      </c>
    </row>
    <row r="3" spans="1:5" x14ac:dyDescent="0.2">
      <c r="A3" s="36" t="s">
        <v>478</v>
      </c>
      <c r="B3" s="34"/>
      <c r="C3" s="34"/>
      <c r="D3" s="34"/>
      <c r="E3" s="35"/>
    </row>
    <row r="4" spans="1:5" ht="140.5" customHeight="1" x14ac:dyDescent="0.2">
      <c r="A4" s="33" t="s">
        <v>479</v>
      </c>
      <c r="B4" s="34"/>
      <c r="C4" s="34"/>
      <c r="D4" s="34"/>
      <c r="E4" s="35"/>
    </row>
    <row r="6" spans="1:5" x14ac:dyDescent="0.2">
      <c r="A6" s="6" t="s">
        <v>477</v>
      </c>
    </row>
    <row r="7" spans="1:5" ht="31.25" customHeight="1" x14ac:dyDescent="0.2">
      <c r="A7" s="7" t="s">
        <v>46</v>
      </c>
      <c r="B7" s="31" t="s">
        <v>480</v>
      </c>
      <c r="C7" s="32"/>
      <c r="D7" s="32"/>
      <c r="E7" s="32"/>
    </row>
    <row r="8" spans="1:5" ht="15.5" customHeight="1" x14ac:dyDescent="0.2">
      <c r="A8" s="7" t="s">
        <v>48</v>
      </c>
      <c r="B8" s="31" t="s">
        <v>481</v>
      </c>
      <c r="C8" s="32"/>
      <c r="D8" s="32"/>
      <c r="E8" s="32"/>
    </row>
    <row r="9" spans="1:5" ht="46.75" customHeight="1" x14ac:dyDescent="0.2">
      <c r="A9" s="7" t="s">
        <v>50</v>
      </c>
      <c r="B9" s="31" t="s">
        <v>482</v>
      </c>
      <c r="C9" s="32"/>
      <c r="D9" s="32"/>
      <c r="E9" s="32"/>
    </row>
    <row r="10" spans="1:5" ht="15.5" customHeight="1" x14ac:dyDescent="0.2">
      <c r="A10" s="7" t="s">
        <v>52</v>
      </c>
      <c r="B10" s="31" t="s">
        <v>483</v>
      </c>
      <c r="C10" s="32"/>
      <c r="D10" s="32"/>
      <c r="E10" s="32"/>
    </row>
    <row r="11" spans="1:5" ht="15.5" customHeight="1" x14ac:dyDescent="0.2">
      <c r="A11" s="7" t="s">
        <v>54</v>
      </c>
      <c r="B11" s="31" t="s">
        <v>484</v>
      </c>
      <c r="C11" s="32"/>
      <c r="D11" s="32"/>
      <c r="E11" s="32"/>
    </row>
    <row r="12" spans="1:5" x14ac:dyDescent="0.2">
      <c r="A12" s="8" t="s">
        <v>485</v>
      </c>
      <c r="B12" s="8" t="s">
        <v>486</v>
      </c>
      <c r="C12" s="8" t="s">
        <v>239</v>
      </c>
      <c r="D12" s="8" t="s">
        <v>487</v>
      </c>
      <c r="E12" s="8" t="s">
        <v>488</v>
      </c>
    </row>
    <row r="13" spans="1:5" x14ac:dyDescent="0.2">
      <c r="A13">
        <v>0</v>
      </c>
      <c r="B13">
        <f>Base_Year+0</f>
        <v>2026</v>
      </c>
      <c r="C13">
        <f t="shared" ref="C13:C18" si="0">Season_Length</f>
        <v>100</v>
      </c>
      <c r="D13">
        <v>1</v>
      </c>
      <c r="E13">
        <v>1</v>
      </c>
    </row>
    <row r="14" spans="1:5" x14ac:dyDescent="0.2">
      <c r="A14">
        <v>1</v>
      </c>
      <c r="B14">
        <f>Base_Year+1</f>
        <v>2027</v>
      </c>
      <c r="C14">
        <f t="shared" si="0"/>
        <v>100</v>
      </c>
      <c r="D14">
        <f>1/(1+Discount_Rate)^1</f>
        <v>0.95419847328244267</v>
      </c>
      <c r="E14">
        <f>INDEX(LearningCurve_Mult,1)</f>
        <v>0.5</v>
      </c>
    </row>
    <row r="15" spans="1:5" x14ac:dyDescent="0.2">
      <c r="A15">
        <v>2</v>
      </c>
      <c r="B15">
        <f>Base_Year+2</f>
        <v>2028</v>
      </c>
      <c r="C15">
        <f t="shared" si="0"/>
        <v>100</v>
      </c>
      <c r="D15">
        <f>1/(1+Discount_Rate)^2</f>
        <v>0.91049472641454443</v>
      </c>
      <c r="E15">
        <f>INDEX(LearningCurve_Mult,2)</f>
        <v>0.75</v>
      </c>
    </row>
    <row r="16" spans="1:5" x14ac:dyDescent="0.2">
      <c r="A16">
        <v>3</v>
      </c>
      <c r="B16">
        <f>Base_Year+3</f>
        <v>2029</v>
      </c>
      <c r="C16">
        <f t="shared" si="0"/>
        <v>100</v>
      </c>
      <c r="D16">
        <f>1/(1+Discount_Rate)^3</f>
        <v>0.86879267787647374</v>
      </c>
      <c r="E16">
        <f>INDEX(LearningCurve_Mult,3)</f>
        <v>1</v>
      </c>
    </row>
    <row r="17" spans="1:5" x14ac:dyDescent="0.2">
      <c r="A17">
        <v>4</v>
      </c>
      <c r="B17">
        <f>Base_Year+4</f>
        <v>2030</v>
      </c>
      <c r="C17">
        <f t="shared" si="0"/>
        <v>100</v>
      </c>
      <c r="D17">
        <f>1/(1+Discount_Rate)^4</f>
        <v>0.82900064682869612</v>
      </c>
      <c r="E17">
        <f>INDEX(LearningCurve_Mult,4)</f>
        <v>1</v>
      </c>
    </row>
    <row r="18" spans="1:5" x14ac:dyDescent="0.2">
      <c r="A18">
        <v>5</v>
      </c>
      <c r="B18">
        <f>Base_Year+5</f>
        <v>2031</v>
      </c>
      <c r="C18">
        <f t="shared" si="0"/>
        <v>100</v>
      </c>
      <c r="D18">
        <f>1/(1+Discount_Rate)^5</f>
        <v>0.79103115155409931</v>
      </c>
      <c r="E18">
        <f>INDEX(LearningCurve_Mult,5)</f>
        <v>1</v>
      </c>
    </row>
    <row r="21" spans="1:5" ht="19" x14ac:dyDescent="0.25">
      <c r="A21" s="4" t="s">
        <v>489</v>
      </c>
    </row>
    <row r="22" spans="1:5" x14ac:dyDescent="0.2">
      <c r="A22" s="20" t="s">
        <v>490</v>
      </c>
    </row>
    <row r="23" spans="1:5" x14ac:dyDescent="0.2">
      <c r="A23" s="8" t="s">
        <v>491</v>
      </c>
      <c r="B23" s="8" t="s">
        <v>492</v>
      </c>
      <c r="C23" s="8" t="s">
        <v>57</v>
      </c>
      <c r="D23" s="8" t="s">
        <v>227</v>
      </c>
    </row>
    <row r="24" spans="1:5" x14ac:dyDescent="0.2">
      <c r="A24" t="s">
        <v>206</v>
      </c>
      <c r="B24" t="s">
        <v>493</v>
      </c>
      <c r="C24" s="21">
        <f ca="1">Rapid_Phase_Rate*Stoch_TreatmentRate</f>
        <v>0.48906269158569571</v>
      </c>
      <c r="D24" t="s">
        <v>341</v>
      </c>
    </row>
    <row r="25" spans="1:5" x14ac:dyDescent="0.2">
      <c r="A25" t="s">
        <v>207</v>
      </c>
      <c r="B25" t="s">
        <v>494</v>
      </c>
      <c r="C25" s="21">
        <f ca="1">Slow_Phase_Rate*Stoch_TreatmentRate</f>
        <v>0.22798411186701603</v>
      </c>
      <c r="D25" t="s">
        <v>341</v>
      </c>
    </row>
    <row r="26" spans="1:5" x14ac:dyDescent="0.2">
      <c r="A26" t="s">
        <v>208</v>
      </c>
      <c r="B26" t="s">
        <v>495</v>
      </c>
      <c r="C26" s="22">
        <f ca="1">MAX(0,Initial_NAFC-Eff_Rapid_Rate*Rapid_Phase_Duration)</f>
        <v>55.764059626214568</v>
      </c>
      <c r="D26" t="s">
        <v>338</v>
      </c>
    </row>
    <row r="27" spans="1:5" x14ac:dyDescent="0.2">
      <c r="A27" t="s">
        <v>209</v>
      </c>
      <c r="B27" t="s">
        <v>496</v>
      </c>
      <c r="C27" s="23">
        <f ca="1">IF(Initial_NAFC&lt;=Target_NAFC,0,IF(NAFC_After_Rapid&lt;=Target_NAFC,(Initial_NAFC-Target_NAFC)/Eff_Rapid_Rate,Rapid_Phase_Duration+(NAFC_After_Rapid-Target_NAFC)/Eff_Slow_Rate))</f>
        <v>40.282725094355541</v>
      </c>
      <c r="D27" t="s">
        <v>240</v>
      </c>
    </row>
    <row r="28" spans="1:5" x14ac:dyDescent="0.2">
      <c r="A28" t="s">
        <v>497</v>
      </c>
      <c r="B28" t="s">
        <v>498</v>
      </c>
      <c r="C28" s="24">
        <f ca="1">CEILING(Days_to_Compliance/Recirculation_Cycle,1)</f>
        <v>3</v>
      </c>
      <c r="D28" t="s">
        <v>499</v>
      </c>
    </row>
    <row r="29" spans="1:5" x14ac:dyDescent="0.2">
      <c r="A29" t="s">
        <v>500</v>
      </c>
      <c r="B29" t="s">
        <v>501</v>
      </c>
      <c r="C29" s="25">
        <f>(Initial_NAFC-Target_NAFC)/Initial_NAFC</f>
        <v>0.2076069730586371</v>
      </c>
      <c r="D29" t="s">
        <v>460</v>
      </c>
    </row>
    <row r="30" spans="1:5" x14ac:dyDescent="0.2">
      <c r="A30" t="s">
        <v>502</v>
      </c>
      <c r="B30" t="s">
        <v>503</v>
      </c>
      <c r="C30" s="22">
        <f ca="1">IF(Days_to_Compliance&lt;=Season_Length,Target_NAFC,MAX(0,IF(Season_Length&lt;=Rapid_Phase_Duration,Initial_NAFC-Eff_Rapid_Rate*Season_Length,NAFC_After_Rapid-Eff_Slow_Rate*(Season_Length-Rapid_Phase_Duration))))</f>
        <v>50</v>
      </c>
      <c r="D30" t="s">
        <v>338</v>
      </c>
    </row>
    <row r="31" spans="1:5" x14ac:dyDescent="0.2">
      <c r="A31" t="s">
        <v>504</v>
      </c>
      <c r="B31" t="s">
        <v>505</v>
      </c>
      <c r="C31" t="str">
        <f ca="1">IF(Days_to_Compliance&lt;=Season_Length,"ACHIEVABLE","EXCEEDS SEASON")</f>
        <v>ACHIEVABLE</v>
      </c>
      <c r="D31" t="s">
        <v>506</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E17"/>
  <sheetViews>
    <sheetView workbookViewId="0"/>
  </sheetViews>
  <sheetFormatPr baseColWidth="10" defaultColWidth="8.83203125" defaultRowHeight="15" x14ac:dyDescent="0.2"/>
  <cols>
    <col min="1" max="1" width="24" customWidth="1"/>
    <col min="2" max="2" width="55" customWidth="1"/>
    <col min="3" max="3" width="14" customWidth="1"/>
    <col min="4" max="4" width="12" customWidth="1"/>
    <col min="5" max="5" width="35" customWidth="1"/>
  </cols>
  <sheetData>
    <row r="1" spans="1:5" ht="21" x14ac:dyDescent="0.25">
      <c r="A1" s="5" t="s">
        <v>507</v>
      </c>
    </row>
    <row r="3" spans="1:5" x14ac:dyDescent="0.2">
      <c r="A3" s="36" t="s">
        <v>508</v>
      </c>
      <c r="B3" s="34"/>
      <c r="C3" s="34"/>
      <c r="D3" s="34"/>
      <c r="E3" s="35"/>
    </row>
    <row r="4" spans="1:5" ht="78" customHeight="1" x14ac:dyDescent="0.2">
      <c r="A4" s="33" t="s">
        <v>509</v>
      </c>
      <c r="B4" s="34"/>
      <c r="C4" s="34"/>
      <c r="D4" s="34"/>
      <c r="E4" s="35"/>
    </row>
    <row r="7" spans="1:5" x14ac:dyDescent="0.2">
      <c r="A7" s="8" t="s">
        <v>510</v>
      </c>
      <c r="B7" s="8" t="s">
        <v>492</v>
      </c>
      <c r="C7" s="8" t="s">
        <v>57</v>
      </c>
      <c r="D7" s="8" t="s">
        <v>227</v>
      </c>
      <c r="E7" s="8" t="s">
        <v>228</v>
      </c>
    </row>
    <row r="8" spans="1:5" x14ac:dyDescent="0.2">
      <c r="A8" t="s">
        <v>511</v>
      </c>
      <c r="B8" t="s">
        <v>512</v>
      </c>
      <c r="C8" s="21">
        <f>2^((Env_Temp_Water_Jul-20)/10)</f>
        <v>1</v>
      </c>
      <c r="D8" t="s">
        <v>450</v>
      </c>
      <c r="E8" t="s">
        <v>513</v>
      </c>
    </row>
    <row r="9" spans="1:5" x14ac:dyDescent="0.2">
      <c r="A9" t="s">
        <v>514</v>
      </c>
      <c r="B9" t="s">
        <v>515</v>
      </c>
      <c r="C9" s="21">
        <f>Env_UV_Relative_Jul*(1-MIN(1,Ionic_Chloride_Mode/1000))</f>
        <v>0.85</v>
      </c>
      <c r="D9" t="s">
        <v>450</v>
      </c>
      <c r="E9" t="s">
        <v>516</v>
      </c>
    </row>
    <row r="10" spans="1:5" x14ac:dyDescent="0.2">
      <c r="A10" t="s">
        <v>517</v>
      </c>
      <c r="B10" t="s">
        <v>518</v>
      </c>
      <c r="C10" s="21">
        <f>IF(Env_DO_Typical_Jul&gt;=6.5,1,Env_DO_Typical_Jul/6.5)</f>
        <v>1</v>
      </c>
      <c r="D10" t="s">
        <v>450</v>
      </c>
      <c r="E10" t="s">
        <v>519</v>
      </c>
    </row>
    <row r="11" spans="1:5" x14ac:dyDescent="0.2">
      <c r="A11" t="s">
        <v>520</v>
      </c>
      <c r="B11" t="s">
        <v>521</v>
      </c>
      <c r="C11" s="21">
        <f>Env_Nutrient_Index_Jul</f>
        <v>0.4</v>
      </c>
      <c r="D11" t="s">
        <v>450</v>
      </c>
      <c r="E11" t="s">
        <v>522</v>
      </c>
    </row>
    <row r="12" spans="1:5" x14ac:dyDescent="0.2">
      <c r="A12" t="s">
        <v>523</v>
      </c>
      <c r="B12" t="s">
        <v>524</v>
      </c>
      <c r="C12" s="21">
        <f>Env_Bioavail_Index_Jul*(1-0.15*0.5)</f>
        <v>0.92500000000000004</v>
      </c>
      <c r="D12" t="s">
        <v>450</v>
      </c>
      <c r="E12" t="s">
        <v>525</v>
      </c>
    </row>
    <row r="15" spans="1:5" x14ac:dyDescent="0.2">
      <c r="A15" s="11" t="s">
        <v>526</v>
      </c>
    </row>
    <row r="16" spans="1:5" x14ac:dyDescent="0.2">
      <c r="A16" t="s">
        <v>527</v>
      </c>
      <c r="B16" t="s">
        <v>528</v>
      </c>
      <c r="C16" s="21">
        <f ca="1">Rapid_Phase_Rate*Q10_Factor*UV_Modifier*DO_Modifier*Nutrient_Modifier*Bioavail_Modifier*Stoch_TreatmentRate</f>
        <v>0.1538102165037013</v>
      </c>
      <c r="D16" t="s">
        <v>341</v>
      </c>
      <c r="E16" t="s">
        <v>529</v>
      </c>
    </row>
    <row r="17" spans="1:5" x14ac:dyDescent="0.2">
      <c r="A17" t="s">
        <v>530</v>
      </c>
      <c r="B17" t="s">
        <v>531</v>
      </c>
      <c r="C17" s="25">
        <f ca="1">Effective_Rate/Rapid_Phase_Rate</f>
        <v>0.289116948315228</v>
      </c>
      <c r="D17" t="s">
        <v>460</v>
      </c>
      <c r="E17" t="s">
        <v>532</v>
      </c>
    </row>
  </sheetData>
  <mergeCells count="2">
    <mergeCell ref="A4:E4"/>
    <mergeCell ref="A3:E3"/>
  </mergeCell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18"/>
  <sheetViews>
    <sheetView workbookViewId="0"/>
  </sheetViews>
  <sheetFormatPr baseColWidth="10" defaultColWidth="8.83203125" defaultRowHeight="15" x14ac:dyDescent="0.2"/>
  <cols>
    <col min="1" max="1" width="22" customWidth="1"/>
    <col min="2" max="2" width="12" customWidth="1"/>
    <col min="3" max="3" width="70" customWidth="1"/>
  </cols>
  <sheetData>
    <row r="1" spans="1:3" ht="21" x14ac:dyDescent="0.25">
      <c r="A1" s="5" t="s">
        <v>533</v>
      </c>
    </row>
    <row r="2" spans="1:3" x14ac:dyDescent="0.2">
      <c r="A2" s="12" t="s">
        <v>534</v>
      </c>
    </row>
    <row r="4" spans="1:3" x14ac:dyDescent="0.2">
      <c r="A4" s="36" t="s">
        <v>535</v>
      </c>
      <c r="B4" s="34"/>
      <c r="C4" s="35"/>
    </row>
    <row r="5" spans="1:3" ht="202.75" customHeight="1" x14ac:dyDescent="0.2">
      <c r="A5" s="33" t="s">
        <v>536</v>
      </c>
      <c r="B5" s="34"/>
      <c r="C5" s="35"/>
    </row>
    <row r="7" spans="1:3" x14ac:dyDescent="0.2">
      <c r="A7" s="6" t="s">
        <v>533</v>
      </c>
    </row>
    <row r="8" spans="1:3" ht="31.25" customHeight="1" x14ac:dyDescent="0.2">
      <c r="A8" s="7" t="s">
        <v>46</v>
      </c>
      <c r="B8" s="31" t="s">
        <v>537</v>
      </c>
      <c r="C8" s="32"/>
    </row>
    <row r="9" spans="1:3" ht="15.5" customHeight="1" x14ac:dyDescent="0.2">
      <c r="A9" s="7" t="s">
        <v>48</v>
      </c>
      <c r="B9" s="31" t="s">
        <v>538</v>
      </c>
      <c r="C9" s="32"/>
    </row>
    <row r="10" spans="1:3" ht="46.75" customHeight="1" x14ac:dyDescent="0.2">
      <c r="A10" s="7" t="s">
        <v>50</v>
      </c>
      <c r="B10" s="31" t="s">
        <v>539</v>
      </c>
      <c r="C10" s="32"/>
    </row>
    <row r="11" spans="1:3" ht="15.5" customHeight="1" x14ac:dyDescent="0.2">
      <c r="A11" s="7" t="s">
        <v>52</v>
      </c>
      <c r="B11" s="31" t="s">
        <v>540</v>
      </c>
      <c r="C11" s="32"/>
    </row>
    <row r="12" spans="1:3" ht="15.5" customHeight="1" x14ac:dyDescent="0.2">
      <c r="A12" s="7" t="s">
        <v>54</v>
      </c>
      <c r="B12" s="31" t="s">
        <v>541</v>
      </c>
      <c r="C12" s="32"/>
    </row>
    <row r="13" spans="1:3" x14ac:dyDescent="0.2">
      <c r="A13" s="8" t="s">
        <v>369</v>
      </c>
      <c r="B13" s="8" t="s">
        <v>542</v>
      </c>
      <c r="C13" s="8" t="s">
        <v>543</v>
      </c>
    </row>
    <row r="14" spans="1:3" x14ac:dyDescent="0.2">
      <c r="A14" t="s">
        <v>544</v>
      </c>
      <c r="B14">
        <f ca="1">RAND()</f>
        <v>0.1171684733491638</v>
      </c>
      <c r="C14">
        <f ca="1">IF(B14&lt;(Tri_Season_Extension_Days_Mode-Tri_Season_Extension_Days_Min)/(Tri_Season_Extension_Days_Max-Tri_Season_Extension_Days_Min),Tri_Season_Extension_Days_Min+SQRT(B14*(Tri_Season_Extension_Days_Max-Tri_Season_Extension_Days_Min)*(Tri_Season_Extension_Days_Mode-Tri_Season_Extension_Days_Min)),Tri_Season_Extension_Days_Max-SQRT((1-B14)*(Tri_Season_Extension_Days_Max-Tri_Season_Extension_Days_Min)*(Tri_Season_Extension_Days_Max-Tri_Season_Extension_Days_Mode)))</f>
        <v>18.150152476997331</v>
      </c>
    </row>
    <row r="15" spans="1:3" x14ac:dyDescent="0.2">
      <c r="A15" t="s">
        <v>545</v>
      </c>
      <c r="B15">
        <f ca="1">RAND()</f>
        <v>0.86675251604493664</v>
      </c>
      <c r="C15">
        <f ca="1">IF(B15&lt;(Tri_Extension_Value_Per_Day_Mode-Tri_Extension_Value_Per_Day_Min)/(Tri_Extension_Value_Per_Day_Max-Tri_Extension_Value_Per_Day_Min),Tri_Extension_Value_Per_Day_Min+SQRT(B15*(Tri_Extension_Value_Per_Day_Max-Tri_Extension_Value_Per_Day_Min)*(Tri_Extension_Value_Per_Day_Mode-Tri_Extension_Value_Per_Day_Min)),Tri_Extension_Value_Per_Day_Max-SQRT((1-B15)*(Tri_Extension_Value_Per_Day_Max-Tri_Extension_Value_Per_Day_Min)*(Tri_Extension_Value_Per_Day_Max-Tri_Extension_Value_Per_Day_Mode)))</f>
        <v>11537.013780570922</v>
      </c>
    </row>
    <row r="16" spans="1:3" x14ac:dyDescent="0.2">
      <c r="A16" t="s">
        <v>447</v>
      </c>
      <c r="B16">
        <f ca="1">RAND()</f>
        <v>0.65022927339585435</v>
      </c>
      <c r="C16">
        <f ca="1">IF(B16&lt;(Tri_Interventions_Avoided_Mode-Tri_Interventions_Avoided_Min)/(Tri_Interventions_Avoided_Max-Tri_Interventions_Avoided_Min),Tri_Interventions_Avoided_Min+SQRT(B16*(Tri_Interventions_Avoided_Max-Tri_Interventions_Avoided_Min)*(Tri_Interventions_Avoided_Mode-Tri_Interventions_Avoided_Min)),Tri_Interventions_Avoided_Max-SQRT((1-B16)*(Tri_Interventions_Avoided_Max-Tri_Interventions_Avoided_Min)*(Tri_Interventions_Avoided_Max-Tri_Interventions_Avoided_Mode)))</f>
        <v>4.5011465547775371</v>
      </c>
    </row>
    <row r="17" spans="1:3" x14ac:dyDescent="0.2">
      <c r="A17" t="s">
        <v>459</v>
      </c>
      <c r="B17">
        <f ca="1">RAND()</f>
        <v>0.9011342745826475</v>
      </c>
      <c r="C17">
        <f ca="1">Beta_Efficiency_Gain_Min+(Beta_Efficiency_Gain_Max-Beta_Efficiency_Gain_Min)*B17</f>
        <v>0.36539699610392662</v>
      </c>
    </row>
    <row r="18" spans="1:3" x14ac:dyDescent="0.2">
      <c r="A18" t="s">
        <v>449</v>
      </c>
      <c r="B18">
        <f ca="1">RAND()</f>
        <v>0.2671580189512619</v>
      </c>
      <c r="C18">
        <f ca="1">IF(B18&lt;(Tri_Treatment_Rate_Factor_Mode-Tri_Treatment_Rate_Factor_Min)/(Tri_Treatment_Rate_Factor_Max-Tri_Treatment_Rate_Factor_Min),Tri_Treatment_Rate_Factor_Min+SQRT(B18*(Tri_Treatment_Rate_Factor_Max-Tri_Treatment_Rate_Factor_Min)*(Tri_Treatment_Rate_Factor_Mode-Tri_Treatment_Rate_Factor_Min)),Tri_Treatment_Rate_Factor_Max-SQRT((1-B18)*(Tri_Treatment_Rate_Factor_Max-Tri_Treatment_Rate_Factor_Min)*(Tri_Treatment_Rate_Factor_Max-Tri_Treatment_Rate_Factor_Mode)))</f>
        <v>0.9192907736573227</v>
      </c>
    </row>
  </sheetData>
  <mergeCells count="7">
    <mergeCell ref="B12:C12"/>
    <mergeCell ref="A5:C5"/>
    <mergeCell ref="B11:C11"/>
    <mergeCell ref="B10:C10"/>
    <mergeCell ref="B9:C9"/>
    <mergeCell ref="A4:C4"/>
    <mergeCell ref="B8:C8"/>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F26"/>
  <sheetViews>
    <sheetView workbookViewId="0"/>
  </sheetViews>
  <sheetFormatPr baseColWidth="10" defaultColWidth="8.83203125" defaultRowHeight="15" x14ac:dyDescent="0.2"/>
  <cols>
    <col min="1" max="1" width="20" customWidth="1"/>
    <col min="2" max="2" width="14" customWidth="1"/>
    <col min="3" max="5" width="10" customWidth="1"/>
    <col min="6" max="6" width="35" customWidth="1"/>
  </cols>
  <sheetData>
    <row r="1" spans="1:6" ht="21" x14ac:dyDescent="0.25">
      <c r="A1" s="5" t="s">
        <v>546</v>
      </c>
    </row>
    <row r="3" spans="1:6" x14ac:dyDescent="0.2">
      <c r="A3" s="36" t="s">
        <v>547</v>
      </c>
      <c r="B3" s="34"/>
      <c r="C3" s="34"/>
      <c r="D3" s="34"/>
      <c r="E3" s="34"/>
      <c r="F3" s="35"/>
    </row>
    <row r="4" spans="1:6" ht="78" customHeight="1" x14ac:dyDescent="0.2">
      <c r="A4" s="33" t="s">
        <v>548</v>
      </c>
      <c r="B4" s="34"/>
      <c r="C4" s="34"/>
      <c r="D4" s="34"/>
      <c r="E4" s="34"/>
      <c r="F4" s="35"/>
    </row>
    <row r="7" spans="1:6" x14ac:dyDescent="0.2">
      <c r="A7" s="8" t="s">
        <v>549</v>
      </c>
      <c r="B7" s="8" t="s">
        <v>390</v>
      </c>
      <c r="C7" s="8" t="s">
        <v>391</v>
      </c>
      <c r="D7" s="8" t="s">
        <v>57</v>
      </c>
      <c r="E7" s="8" t="s">
        <v>550</v>
      </c>
      <c r="F7" s="8" t="s">
        <v>228</v>
      </c>
    </row>
    <row r="8" spans="1:6" x14ac:dyDescent="0.2">
      <c r="A8" t="s">
        <v>551</v>
      </c>
      <c r="B8" t="s">
        <v>552</v>
      </c>
      <c r="C8" t="s">
        <v>393</v>
      </c>
      <c r="D8" s="24">
        <f ca="1">IF(Final_NAFC&lt;=Target_NAFC,1,0)</f>
        <v>1</v>
      </c>
      <c r="E8" t="str">
        <f ca="1">IF(Gate_Toxicity=1,"PASS","FAIL")</f>
        <v>PASS</v>
      </c>
      <c r="F8" t="s">
        <v>553</v>
      </c>
    </row>
    <row r="9" spans="1:6" x14ac:dyDescent="0.2">
      <c r="A9" t="s">
        <v>392</v>
      </c>
      <c r="B9" t="s">
        <v>554</v>
      </c>
      <c r="C9" t="s">
        <v>393</v>
      </c>
      <c r="D9" s="24">
        <f>IF(Ionic_Chloride_Mode&lt;230,1,0)</f>
        <v>1</v>
      </c>
      <c r="E9" t="str">
        <f>IF(Gate_Chloride=1,"PASS","FAIL")</f>
        <v>PASS</v>
      </c>
      <c r="F9" t="s">
        <v>555</v>
      </c>
    </row>
    <row r="10" spans="1:6" x14ac:dyDescent="0.2">
      <c r="A10" t="s">
        <v>395</v>
      </c>
      <c r="B10" t="s">
        <v>556</v>
      </c>
      <c r="C10" t="s">
        <v>393</v>
      </c>
      <c r="D10" s="24">
        <f>IF(Ionic_SAR_Mode&lt;4,1,0)</f>
        <v>1</v>
      </c>
      <c r="E10" t="str">
        <f>IF(Gate_SAR=1,"PASS","FAIL")</f>
        <v>PASS</v>
      </c>
      <c r="F10" t="s">
        <v>557</v>
      </c>
    </row>
    <row r="11" spans="1:6" x14ac:dyDescent="0.2">
      <c r="A11" t="s">
        <v>558</v>
      </c>
      <c r="B11" t="s">
        <v>559</v>
      </c>
      <c r="C11" t="s">
        <v>401</v>
      </c>
      <c r="D11" s="24">
        <f>IF(Env_DO_Typical_Jul&gt;=6.5,1,0)</f>
        <v>1</v>
      </c>
      <c r="E11" t="str">
        <f>IF(Gate_DO=1,"PASS","FAIL")</f>
        <v>PASS</v>
      </c>
      <c r="F11" t="s">
        <v>560</v>
      </c>
    </row>
    <row r="12" spans="1:6" x14ac:dyDescent="0.2">
      <c r="A12" t="s">
        <v>561</v>
      </c>
      <c r="B12" t="s">
        <v>562</v>
      </c>
      <c r="C12" t="s">
        <v>401</v>
      </c>
      <c r="D12" s="24">
        <f>IF(7.5&gt;6.5,1,0)</f>
        <v>1</v>
      </c>
      <c r="E12" t="str">
        <f>IF(Gate_pH_Low=1,"PASS","FAIL")</f>
        <v>PASS</v>
      </c>
      <c r="F12" t="s">
        <v>563</v>
      </c>
    </row>
    <row r="13" spans="1:6" x14ac:dyDescent="0.2">
      <c r="A13" t="s">
        <v>564</v>
      </c>
      <c r="B13" t="s">
        <v>565</v>
      </c>
      <c r="C13" t="s">
        <v>393</v>
      </c>
      <c r="D13" s="24">
        <f>IF(7.5&lt;8.5,1,0)</f>
        <v>1</v>
      </c>
      <c r="E13" t="str">
        <f>IF(Gate_pH_High=1,"PASS","FAIL")</f>
        <v>PASS</v>
      </c>
      <c r="F13" t="s">
        <v>566</v>
      </c>
    </row>
    <row r="14" spans="1:6" x14ac:dyDescent="0.2">
      <c r="A14" t="s">
        <v>398</v>
      </c>
      <c r="B14" t="s">
        <v>567</v>
      </c>
      <c r="C14" t="s">
        <v>393</v>
      </c>
      <c r="D14" s="24">
        <f>IF(Ionic_Sulfate_Mode&lt;500,1,0)</f>
        <v>1</v>
      </c>
      <c r="E14" t="str">
        <f>IF(Gate_Sulfate=1,"PASS","FAIL")</f>
        <v>PASS</v>
      </c>
      <c r="F14" t="s">
        <v>399</v>
      </c>
    </row>
    <row r="15" spans="1:6" x14ac:dyDescent="0.2">
      <c r="A15" t="s">
        <v>568</v>
      </c>
      <c r="B15" t="s">
        <v>569</v>
      </c>
      <c r="C15" t="s">
        <v>393</v>
      </c>
      <c r="D15" s="24">
        <f>IF(Env_Temp_Water_Jul&lt;25,1,0)</f>
        <v>1</v>
      </c>
      <c r="E15" t="str">
        <f>IF(Gate_Temperature=1,"PASS","FAIL")</f>
        <v>PASS</v>
      </c>
      <c r="F15" t="s">
        <v>570</v>
      </c>
    </row>
    <row r="16" spans="1:6" x14ac:dyDescent="0.2">
      <c r="A16" t="s">
        <v>119</v>
      </c>
      <c r="B16" t="s">
        <v>571</v>
      </c>
      <c r="C16" t="s">
        <v>393</v>
      </c>
      <c r="D16" s="24">
        <f ca="1">IF(Days_to_Compliance&lt;Season_Length,1,0)</f>
        <v>1</v>
      </c>
      <c r="E16" t="str">
        <f ca="1">IF(Gate_NAFC=1,"PASS","FAIL")</f>
        <v>PASS</v>
      </c>
      <c r="F16" t="s">
        <v>572</v>
      </c>
    </row>
    <row r="17" spans="1:6" x14ac:dyDescent="0.2">
      <c r="A17" t="s">
        <v>573</v>
      </c>
      <c r="B17" t="s">
        <v>574</v>
      </c>
      <c r="C17" t="s">
        <v>393</v>
      </c>
      <c r="D17" s="24">
        <f>1</f>
        <v>1</v>
      </c>
      <c r="E17" t="str">
        <f>IF(Gate_Turbidity=1,"PASS","FAIL")</f>
        <v>PASS</v>
      </c>
      <c r="F17" t="s">
        <v>575</v>
      </c>
    </row>
    <row r="18" spans="1:6" x14ac:dyDescent="0.2">
      <c r="A18" t="s">
        <v>576</v>
      </c>
      <c r="B18" t="s">
        <v>577</v>
      </c>
      <c r="C18" t="s">
        <v>578</v>
      </c>
      <c r="D18" s="24">
        <f>1</f>
        <v>1</v>
      </c>
      <c r="E18" t="str">
        <f>IF(Gate_Oil_Sheen=1,"PASS","FAIL")</f>
        <v>PASS</v>
      </c>
      <c r="F18" t="s">
        <v>579</v>
      </c>
    </row>
    <row r="19" spans="1:6" x14ac:dyDescent="0.2">
      <c r="A19" t="s">
        <v>580</v>
      </c>
      <c r="B19" t="s">
        <v>581</v>
      </c>
      <c r="C19" t="s">
        <v>578</v>
      </c>
      <c r="D19" s="24">
        <f>1</f>
        <v>1</v>
      </c>
      <c r="E19" t="str">
        <f>IF(Gate_Odor=1,"PASS","FAIL")</f>
        <v>PASS</v>
      </c>
      <c r="F19" t="s">
        <v>582</v>
      </c>
    </row>
    <row r="20" spans="1:6" x14ac:dyDescent="0.2">
      <c r="A20" t="s">
        <v>583</v>
      </c>
      <c r="B20" t="s">
        <v>584</v>
      </c>
      <c r="C20" t="s">
        <v>578</v>
      </c>
      <c r="D20" s="24">
        <f>1</f>
        <v>1</v>
      </c>
      <c r="E20" t="str">
        <f>IF(Gate_Foam=1,"PASS","FAIL")</f>
        <v>PASS</v>
      </c>
      <c r="F20" t="s">
        <v>585</v>
      </c>
    </row>
    <row r="23" spans="1:6" x14ac:dyDescent="0.2">
      <c r="A23" s="11" t="s">
        <v>586</v>
      </c>
    </row>
    <row r="24" spans="1:6" x14ac:dyDescent="0.2">
      <c r="A24" t="s">
        <v>587</v>
      </c>
      <c r="B24" t="e">
        <f>MIN(all gates)</f>
        <v>#NAME?</v>
      </c>
      <c r="C24" s="24">
        <f ca="1">MIN(Gate_Toxicity,Gate_Chloride,Gate_SAR,Gate_DO,Gate_pH_Low,Gate_pH_High,Gate_Sulfate,Gate_Temperature,Gate_NAFC,Gate_Turbidity,Gate_Oil_Sheen,Gate_Odor,Gate_Foam)</f>
        <v>1</v>
      </c>
      <c r="D24" t="str">
        <f ca="1">IF(ComplianceGate=1,"ALL PASS","BLOCKED")</f>
        <v>ALL PASS</v>
      </c>
    </row>
    <row r="25" spans="1:6" x14ac:dyDescent="0.2">
      <c r="A25" t="s">
        <v>588</v>
      </c>
      <c r="C25">
        <f ca="1">COUNTIF(tbl_Compliance_Gates[Value],1)</f>
        <v>13</v>
      </c>
      <c r="D25" t="s">
        <v>589</v>
      </c>
    </row>
    <row r="26" spans="1:6" x14ac:dyDescent="0.2">
      <c r="A26" t="s">
        <v>590</v>
      </c>
      <c r="C26">
        <f ca="1">COUNTIF(tbl_Compliance_Gates[Value],0)</f>
        <v>0</v>
      </c>
    </row>
  </sheetData>
  <mergeCells count="2">
    <mergeCell ref="A3:F3"/>
    <mergeCell ref="A4:F4"/>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E24"/>
  <sheetViews>
    <sheetView workbookViewId="0"/>
  </sheetViews>
  <sheetFormatPr baseColWidth="10" defaultColWidth="8.83203125" defaultRowHeight="15" x14ac:dyDescent="0.2"/>
  <cols>
    <col min="1" max="1" width="28" customWidth="1"/>
    <col min="2" max="5" width="14" customWidth="1"/>
  </cols>
  <sheetData>
    <row r="1" spans="1:5" ht="21" x14ac:dyDescent="0.25">
      <c r="A1" s="5" t="s">
        <v>591</v>
      </c>
    </row>
    <row r="3" spans="1:5" x14ac:dyDescent="0.2">
      <c r="A3" s="36" t="s">
        <v>592</v>
      </c>
      <c r="B3" s="34"/>
      <c r="C3" s="34"/>
      <c r="D3" s="34"/>
      <c r="E3" s="35"/>
    </row>
    <row r="4" spans="1:5" ht="234" customHeight="1" x14ac:dyDescent="0.2">
      <c r="A4" s="33" t="s">
        <v>593</v>
      </c>
      <c r="B4" s="34"/>
      <c r="C4" s="34"/>
      <c r="D4" s="34"/>
      <c r="E4" s="35"/>
    </row>
    <row r="6" spans="1:5" x14ac:dyDescent="0.2">
      <c r="A6" s="6" t="s">
        <v>591</v>
      </c>
    </row>
    <row r="7" spans="1:5" ht="31.25" customHeight="1" x14ac:dyDescent="0.2">
      <c r="A7" s="7" t="s">
        <v>46</v>
      </c>
      <c r="B7" s="31" t="s">
        <v>594</v>
      </c>
      <c r="C7" s="32"/>
      <c r="D7" s="32"/>
      <c r="E7" s="32"/>
    </row>
    <row r="8" spans="1:5" ht="31.25" customHeight="1" x14ac:dyDescent="0.2">
      <c r="A8" s="7" t="s">
        <v>48</v>
      </c>
      <c r="B8" s="31" t="s">
        <v>595</v>
      </c>
      <c r="C8" s="32"/>
      <c r="D8" s="32"/>
      <c r="E8" s="32"/>
    </row>
    <row r="9" spans="1:5" ht="109.25" customHeight="1" x14ac:dyDescent="0.2">
      <c r="A9" s="7" t="s">
        <v>50</v>
      </c>
      <c r="B9" s="31" t="s">
        <v>596</v>
      </c>
      <c r="C9" s="32"/>
      <c r="D9" s="32"/>
      <c r="E9" s="32"/>
    </row>
    <row r="10" spans="1:5" ht="31.25" customHeight="1" x14ac:dyDescent="0.2">
      <c r="A10" s="7" t="s">
        <v>52</v>
      </c>
      <c r="B10" s="31" t="s">
        <v>597</v>
      </c>
      <c r="C10" s="32"/>
      <c r="D10" s="32"/>
      <c r="E10" s="32"/>
    </row>
    <row r="11" spans="1:5" ht="31.25" customHeight="1" x14ac:dyDescent="0.2">
      <c r="A11" s="7" t="s">
        <v>54</v>
      </c>
      <c r="B11" s="31" t="s">
        <v>598</v>
      </c>
      <c r="C11" s="32"/>
      <c r="D11" s="32"/>
      <c r="E11" s="32"/>
    </row>
    <row r="12" spans="1:5" x14ac:dyDescent="0.2">
      <c r="A12" s="8" t="s">
        <v>93</v>
      </c>
      <c r="B12" s="8" t="s">
        <v>414</v>
      </c>
      <c r="C12" s="8" t="s">
        <v>599</v>
      </c>
      <c r="D12" s="8" t="s">
        <v>600</v>
      </c>
      <c r="E12" s="8" t="s">
        <v>601</v>
      </c>
    </row>
    <row r="13" spans="1:5" x14ac:dyDescent="0.2">
      <c r="A13" t="s">
        <v>602</v>
      </c>
      <c r="B13">
        <f>INDEX(Scenario_BaseValues,1)</f>
        <v>104000</v>
      </c>
      <c r="C13" t="str">
        <f>INDEX(Gate_S1,MATCH(Testing_Option,TestOpt_Option,0))</f>
        <v>ENABLED</v>
      </c>
      <c r="D13">
        <f ca="1">Stoch_SeasonExt/21</f>
        <v>0.86429297509511094</v>
      </c>
      <c r="E13">
        <f ca="1">IF(C13="ENABLED",B13*D13,0)</f>
        <v>89886.469409891535</v>
      </c>
    </row>
    <row r="14" spans="1:5" x14ac:dyDescent="0.2">
      <c r="A14" t="s">
        <v>603</v>
      </c>
      <c r="B14">
        <f>INDEX(Scenario_BaseValues,2)</f>
        <v>67500</v>
      </c>
      <c r="C14" t="str">
        <f>INDEX(Gate_S2,MATCH(Testing_Option,TestOpt_Option,0))</f>
        <v>ENABLED</v>
      </c>
      <c r="D14">
        <f ca="1">Stoch_Interventions/3</f>
        <v>1.5003821849258456</v>
      </c>
      <c r="E14">
        <f ca="1">IF(C14="ENABLED",B14*D14,0)</f>
        <v>101275.79748249458</v>
      </c>
    </row>
    <row r="15" spans="1:5" x14ac:dyDescent="0.2">
      <c r="A15" t="s">
        <v>604</v>
      </c>
      <c r="B15">
        <f>INDEX(Scenario_BaseValues,3)</f>
        <v>78000</v>
      </c>
      <c r="C15" t="str">
        <f>INDEX(Gate_S3,MATCH(Testing_Option,TestOpt_Option,0))</f>
        <v>ENABLED</v>
      </c>
      <c r="D15">
        <f ca="1">Stoch_Efficiency/0.15</f>
        <v>2.4359799740261776</v>
      </c>
      <c r="E15">
        <f ca="1">IF(C15="ENABLED",B15*D15,0)</f>
        <v>190006.43797404185</v>
      </c>
    </row>
    <row r="16" spans="1:5" x14ac:dyDescent="0.2">
      <c r="A16" t="s">
        <v>605</v>
      </c>
      <c r="B16">
        <f>INDEX(Scenario_BaseValues,4)</f>
        <v>36000</v>
      </c>
      <c r="C16" t="str">
        <f>INDEX(Gate_S4,MATCH(Testing_Option,TestOpt_Option,0))</f>
        <v>ENABLED</v>
      </c>
      <c r="D16">
        <f ca="1">1+Stoch_Efficiency</f>
        <v>1.3653969961039265</v>
      </c>
      <c r="E16">
        <f ca="1">IF(C16="ENABLED",B16*D16,0)</f>
        <v>49154.291859741352</v>
      </c>
    </row>
    <row r="18" spans="1:5" x14ac:dyDescent="0.2">
      <c r="A18" s="11" t="s">
        <v>606</v>
      </c>
      <c r="E18" s="15">
        <f ca="1">SUM(E13:E16)</f>
        <v>430322.99672616937</v>
      </c>
    </row>
    <row r="20" spans="1:5" x14ac:dyDescent="0.2">
      <c r="A20" s="11" t="s">
        <v>607</v>
      </c>
      <c r="B20" s="24">
        <f ca="1">ComplianceGate</f>
        <v>1</v>
      </c>
      <c r="C20" t="str">
        <f ca="1">IF(B20=1,"PASS","FAIL")</f>
        <v>PASS</v>
      </c>
    </row>
    <row r="21" spans="1:5" x14ac:dyDescent="0.2">
      <c r="A21" s="11" t="s">
        <v>608</v>
      </c>
      <c r="E21" s="15">
        <f ca="1">Gross_Value*ComplianceGate</f>
        <v>430322.99672616937</v>
      </c>
    </row>
    <row r="23" spans="1:5" x14ac:dyDescent="0.2">
      <c r="A23" s="26" t="s">
        <v>609</v>
      </c>
    </row>
    <row r="24" spans="1:5" x14ac:dyDescent="0.2">
      <c r="A24" s="26" t="s">
        <v>610</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C19"/>
  <sheetViews>
    <sheetView workbookViewId="0"/>
  </sheetViews>
  <sheetFormatPr baseColWidth="10" defaultColWidth="8.83203125" defaultRowHeight="15" x14ac:dyDescent="0.2"/>
  <cols>
    <col min="1" max="1" width="22" customWidth="1"/>
    <col min="2" max="2" width="25" customWidth="1"/>
    <col min="3" max="3" width="18" customWidth="1"/>
  </cols>
  <sheetData>
    <row r="1" spans="1:3" ht="21" x14ac:dyDescent="0.25">
      <c r="A1" s="5" t="s">
        <v>611</v>
      </c>
    </row>
    <row r="3" spans="1:3" x14ac:dyDescent="0.2">
      <c r="A3" s="36" t="s">
        <v>612</v>
      </c>
      <c r="B3" s="34"/>
      <c r="C3" s="35"/>
    </row>
    <row r="4" spans="1:3" ht="312" customHeight="1" x14ac:dyDescent="0.2">
      <c r="A4" s="33" t="s">
        <v>613</v>
      </c>
      <c r="B4" s="34"/>
      <c r="C4" s="35"/>
    </row>
    <row r="6" spans="1:3" x14ac:dyDescent="0.2">
      <c r="A6" s="6" t="s">
        <v>614</v>
      </c>
    </row>
    <row r="7" spans="1:3" ht="31.25" customHeight="1" x14ac:dyDescent="0.2">
      <c r="A7" s="7" t="s">
        <v>46</v>
      </c>
      <c r="B7" s="31" t="s">
        <v>615</v>
      </c>
      <c r="C7" s="32"/>
    </row>
    <row r="8" spans="1:3" ht="31.25" customHeight="1" x14ac:dyDescent="0.2">
      <c r="A8" s="7" t="s">
        <v>48</v>
      </c>
      <c r="B8" s="31" t="s">
        <v>616</v>
      </c>
      <c r="C8" s="32"/>
    </row>
    <row r="9" spans="1:3" ht="62.5" customHeight="1" x14ac:dyDescent="0.2">
      <c r="A9" s="7" t="s">
        <v>50</v>
      </c>
      <c r="B9" s="31" t="s">
        <v>617</v>
      </c>
      <c r="C9" s="32"/>
    </row>
    <row r="10" spans="1:3" ht="15.5" customHeight="1" x14ac:dyDescent="0.2">
      <c r="A10" s="7" t="s">
        <v>52</v>
      </c>
      <c r="B10" s="31" t="s">
        <v>618</v>
      </c>
      <c r="C10" s="32"/>
    </row>
    <row r="11" spans="1:3" ht="15.5" customHeight="1" x14ac:dyDescent="0.2">
      <c r="A11" s="7" t="s">
        <v>54</v>
      </c>
      <c r="B11" s="31" t="s">
        <v>619</v>
      </c>
      <c r="C11" s="32"/>
    </row>
    <row r="12" spans="1:3" x14ac:dyDescent="0.2">
      <c r="A12" s="8" t="s">
        <v>620</v>
      </c>
      <c r="B12" s="8" t="s">
        <v>492</v>
      </c>
      <c r="C12" s="8" t="s">
        <v>57</v>
      </c>
    </row>
    <row r="13" spans="1:3" x14ac:dyDescent="0.2">
      <c r="A13" t="s">
        <v>621</v>
      </c>
      <c r="B13" t="s">
        <v>60</v>
      </c>
      <c r="C13" t="str">
        <f>Testing_Option</f>
        <v>Daily_Biosensor</v>
      </c>
    </row>
    <row r="14" spans="1:3" x14ac:dyDescent="0.2">
      <c r="A14" t="s">
        <v>622</v>
      </c>
      <c r="B14" t="s">
        <v>623</v>
      </c>
      <c r="C14">
        <f>INDEX(TestOpt_Interval,MATCH(Testing_Option,TestOpt_Option,0))</f>
        <v>1</v>
      </c>
    </row>
    <row r="15" spans="1:3" x14ac:dyDescent="0.2">
      <c r="A15" t="s">
        <v>624</v>
      </c>
      <c r="B15" t="s">
        <v>623</v>
      </c>
      <c r="C15">
        <f>INDEX(TestOpt_Points,MATCH(Testing_Option,TestOpt_Option,0))</f>
        <v>10</v>
      </c>
    </row>
    <row r="16" spans="1:3" x14ac:dyDescent="0.2">
      <c r="A16" t="s">
        <v>310</v>
      </c>
      <c r="B16" t="s">
        <v>623</v>
      </c>
      <c r="C16" s="15">
        <f>INDEX(TestOpt_Cost,MATCH(Testing_Option,TestOpt_Option,0))</f>
        <v>10</v>
      </c>
    </row>
    <row r="17" spans="1:3" x14ac:dyDescent="0.2">
      <c r="A17" t="s">
        <v>625</v>
      </c>
      <c r="B17" t="s">
        <v>626</v>
      </c>
      <c r="C17">
        <f>Season_Length/C14</f>
        <v>100</v>
      </c>
    </row>
    <row r="18" spans="1:3" x14ac:dyDescent="0.2">
      <c r="A18" t="s">
        <v>627</v>
      </c>
      <c r="B18" t="s">
        <v>628</v>
      </c>
      <c r="C18">
        <f>C17*C15</f>
        <v>1000</v>
      </c>
    </row>
    <row r="19" spans="1:3" x14ac:dyDescent="0.2">
      <c r="A19" t="s">
        <v>629</v>
      </c>
      <c r="B19" t="s">
        <v>630</v>
      </c>
      <c r="C19" s="27">
        <f>C18*C16</f>
        <v>10000</v>
      </c>
    </row>
  </sheetData>
  <mergeCells count="7">
    <mergeCell ref="B7:C7"/>
    <mergeCell ref="B11:C11"/>
    <mergeCell ref="B10:C10"/>
    <mergeCell ref="A3:C3"/>
    <mergeCell ref="B9:C9"/>
    <mergeCell ref="A4:C4"/>
    <mergeCell ref="B8:C8"/>
  </mergeCell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I1028"/>
  <sheetViews>
    <sheetView tabSelected="1" topLeftCell="A5" workbookViewId="0">
      <selection activeCell="M26" sqref="M26"/>
    </sheetView>
  </sheetViews>
  <sheetFormatPr baseColWidth="10" defaultColWidth="8.83203125" defaultRowHeight="15" x14ac:dyDescent="0.2"/>
  <cols>
    <col min="1" max="1" width="26" customWidth="1"/>
    <col min="2" max="8" width="14" customWidth="1"/>
    <col min="9" max="9" width="18" customWidth="1"/>
    <col min="11" max="11" width="8" customWidth="1"/>
  </cols>
  <sheetData>
    <row r="1" spans="1:9" ht="21" x14ac:dyDescent="0.25">
      <c r="A1" s="5" t="s">
        <v>631</v>
      </c>
    </row>
    <row r="3" spans="1:9" x14ac:dyDescent="0.2">
      <c r="A3" s="36" t="s">
        <v>632</v>
      </c>
      <c r="B3" s="34"/>
      <c r="C3" s="34"/>
      <c r="D3" s="34"/>
      <c r="E3" s="35"/>
    </row>
    <row r="4" spans="1:9" ht="374.5" customHeight="1" x14ac:dyDescent="0.2">
      <c r="A4" s="33" t="s">
        <v>633</v>
      </c>
      <c r="B4" s="34"/>
      <c r="C4" s="34"/>
      <c r="D4" s="34"/>
      <c r="E4" s="35"/>
    </row>
    <row r="7" spans="1:9" x14ac:dyDescent="0.2">
      <c r="A7" s="12" t="s">
        <v>634</v>
      </c>
    </row>
    <row r="8" spans="1:9" x14ac:dyDescent="0.2">
      <c r="A8" s="12" t="s">
        <v>635</v>
      </c>
    </row>
    <row r="9" spans="1:9" x14ac:dyDescent="0.2">
      <c r="A9" s="11" t="s">
        <v>636</v>
      </c>
      <c r="B9" s="11" t="s">
        <v>113</v>
      </c>
      <c r="C9" s="11" t="s">
        <v>416</v>
      </c>
      <c r="D9" s="11" t="s">
        <v>419</v>
      </c>
      <c r="E9" s="11" t="s">
        <v>422</v>
      </c>
      <c r="F9" s="11" t="s">
        <v>425</v>
      </c>
      <c r="G9" s="11" t="s">
        <v>637</v>
      </c>
      <c r="H9" s="11" t="s">
        <v>638</v>
      </c>
      <c r="I9" s="11" t="s">
        <v>209</v>
      </c>
    </row>
    <row r="10" spans="1:9" x14ac:dyDescent="0.2">
      <c r="B10" s="15">
        <f ca="1">NPV_Total</f>
        <v>1526625.1178175437</v>
      </c>
      <c r="C10" s="15">
        <f ca="1">S1_Value</f>
        <v>89886.469409891535</v>
      </c>
      <c r="D10" s="15">
        <f ca="1">S2_Value</f>
        <v>101275.79748249458</v>
      </c>
      <c r="E10" s="15">
        <f ca="1">S3_Value</f>
        <v>190006.43797404185</v>
      </c>
      <c r="F10" s="15">
        <f ca="1">S4_Value</f>
        <v>49154.291859741352</v>
      </c>
      <c r="G10" s="15">
        <f>Testing_Cost</f>
        <v>10000</v>
      </c>
      <c r="H10" s="15">
        <f ca="1">Gross_Value-Testing_Cost</f>
        <v>420322.99672616937</v>
      </c>
      <c r="I10" s="23">
        <f ca="1">Days_to_Compliance</f>
        <v>40.282725094355541</v>
      </c>
    </row>
    <row r="11" spans="1:9" x14ac:dyDescent="0.2">
      <c r="A11">
        <v>1</v>
      </c>
      <c r="B11">
        <f t="dataTable" ref="B11:I1010" dt2D="0" dtr="0" r1="O19" ca="1"/>
        <v>1196182.5496055612</v>
      </c>
      <c r="C11">
        <v>75616.911526021198</v>
      </c>
      <c r="D11">
        <v>44496.109905381018</v>
      </c>
      <c r="E11">
        <v>171756.99221860486</v>
      </c>
      <c r="F11">
        <v>47890.868692057258</v>
      </c>
      <c r="G11">
        <v>10000</v>
      </c>
      <c r="H11">
        <v>329760.88234206435</v>
      </c>
      <c r="I11">
        <v>30.980877885132458</v>
      </c>
    </row>
    <row r="12" spans="1:9" x14ac:dyDescent="0.2">
      <c r="A12">
        <v>2</v>
      </c>
      <c r="B12">
        <v>1404667.623803661</v>
      </c>
      <c r="C12">
        <v>133790.82320940786</v>
      </c>
      <c r="D12">
        <v>90328.78175012063</v>
      </c>
      <c r="E12">
        <v>127923.12652300872</v>
      </c>
      <c r="F12">
        <v>44856.216451592911</v>
      </c>
      <c r="G12">
        <v>10000</v>
      </c>
      <c r="H12">
        <v>386898.94793413015</v>
      </c>
      <c r="I12">
        <v>50.640007001845596</v>
      </c>
    </row>
    <row r="13" spans="1:9" x14ac:dyDescent="0.2">
      <c r="A13">
        <v>3</v>
      </c>
      <c r="B13">
        <v>1148501.3525272142</v>
      </c>
      <c r="C13">
        <v>106495.7355122673</v>
      </c>
      <c r="D13">
        <v>91765.135929809607</v>
      </c>
      <c r="E13">
        <v>86447.525557989618</v>
      </c>
      <c r="F13">
        <v>41984.8286924762</v>
      </c>
      <c r="G13">
        <v>10000</v>
      </c>
      <c r="H13">
        <v>316693.22569254274</v>
      </c>
      <c r="I13">
        <v>48.906739416503981</v>
      </c>
    </row>
    <row r="14" spans="1:9" x14ac:dyDescent="0.2">
      <c r="A14">
        <v>4</v>
      </c>
      <c r="B14">
        <v>1345667.2842528578</v>
      </c>
      <c r="C14">
        <v>147703.79436435786</v>
      </c>
      <c r="D14">
        <v>76550.755109060003</v>
      </c>
      <c r="E14">
        <v>112674.07000498888</v>
      </c>
      <c r="F14">
        <v>43800.512538806921</v>
      </c>
      <c r="G14">
        <v>10000</v>
      </c>
      <c r="H14">
        <v>370729.13201721368</v>
      </c>
      <c r="I14">
        <v>32.730000324590165</v>
      </c>
    </row>
    <row r="15" spans="1:9" x14ac:dyDescent="0.2">
      <c r="A15">
        <v>5</v>
      </c>
      <c r="B15">
        <v>1111252.5333223366</v>
      </c>
      <c r="C15">
        <v>114293.09601856017</v>
      </c>
      <c r="D15">
        <v>58115.514918209476</v>
      </c>
      <c r="E15">
        <v>101078.35560797885</v>
      </c>
      <c r="F15">
        <v>42997.732311321612</v>
      </c>
      <c r="G15">
        <v>10000</v>
      </c>
      <c r="H15">
        <v>306484.69885607011</v>
      </c>
      <c r="I15">
        <v>38.741736414650433</v>
      </c>
    </row>
    <row r="16" spans="1:9" x14ac:dyDescent="0.2">
      <c r="A16">
        <v>6</v>
      </c>
      <c r="B16">
        <v>880333.85971312714</v>
      </c>
      <c r="C16">
        <v>114123.86158074145</v>
      </c>
      <c r="D16">
        <v>73273.586506349457</v>
      </c>
      <c r="E16">
        <v>27871.404612999107</v>
      </c>
      <c r="F16">
        <v>37929.558780899941</v>
      </c>
      <c r="G16">
        <v>10000</v>
      </c>
      <c r="H16">
        <v>243198.41148098998</v>
      </c>
      <c r="I16">
        <v>34.888806102283553</v>
      </c>
    </row>
    <row r="17" spans="1:9" x14ac:dyDescent="0.2">
      <c r="A17">
        <v>7</v>
      </c>
      <c r="B17">
        <v>1294717.2087585088</v>
      </c>
      <c r="C17">
        <v>96554.38052660838</v>
      </c>
      <c r="D17">
        <v>85238.94075198991</v>
      </c>
      <c r="E17">
        <v>139326.58825966151</v>
      </c>
      <c r="F17">
        <v>45645.686879515029</v>
      </c>
      <c r="G17">
        <v>10000</v>
      </c>
      <c r="H17">
        <v>356765.5964177748</v>
      </c>
      <c r="I17">
        <v>37.028925447543926</v>
      </c>
    </row>
    <row r="18" spans="1:9" x14ac:dyDescent="0.2">
      <c r="A18">
        <v>8</v>
      </c>
      <c r="B18">
        <v>924109.37418994377</v>
      </c>
      <c r="C18">
        <v>111127.26021610099</v>
      </c>
      <c r="D18">
        <v>36799.493144503744</v>
      </c>
      <c r="E18">
        <v>76006.895452255558</v>
      </c>
      <c r="F18">
        <v>41262.015839002306</v>
      </c>
      <c r="G18">
        <v>10000</v>
      </c>
      <c r="H18">
        <v>255195.66465186258</v>
      </c>
      <c r="I18">
        <v>40.803192970900383</v>
      </c>
    </row>
    <row r="19" spans="1:9" x14ac:dyDescent="0.2">
      <c r="A19">
        <v>9</v>
      </c>
      <c r="B19">
        <v>1077117.1794315034</v>
      </c>
      <c r="C19">
        <v>119032.32989559509</v>
      </c>
      <c r="D19">
        <v>103915.77747162567</v>
      </c>
      <c r="E19">
        <v>45061.69481127333</v>
      </c>
      <c r="F19">
        <v>39119.655794626611</v>
      </c>
      <c r="G19">
        <v>10000</v>
      </c>
      <c r="H19">
        <v>297129.45797312068</v>
      </c>
      <c r="I19">
        <v>28.308702721548535</v>
      </c>
    </row>
    <row r="20" spans="1:9" x14ac:dyDescent="0.2">
      <c r="A20">
        <v>10</v>
      </c>
      <c r="B20">
        <v>829058.17405305221</v>
      </c>
      <c r="C20">
        <v>117564.61752012389</v>
      </c>
      <c r="D20">
        <v>34515.170594181502</v>
      </c>
      <c r="E20">
        <v>47759.428091282825</v>
      </c>
      <c r="F20">
        <v>39306.421944781119</v>
      </c>
      <c r="G20">
        <v>10000</v>
      </c>
      <c r="H20">
        <v>229145.63815036937</v>
      </c>
      <c r="I20">
        <v>39.259102458390302</v>
      </c>
    </row>
    <row r="21" spans="1:9" x14ac:dyDescent="0.2">
      <c r="A21">
        <v>11</v>
      </c>
      <c r="B21">
        <v>1204883.5259612417</v>
      </c>
      <c r="C21">
        <v>82508.006863116389</v>
      </c>
      <c r="D21">
        <v>51460.74873267224</v>
      </c>
      <c r="E21">
        <v>161028.60883539551</v>
      </c>
      <c r="F21">
        <v>47148.134457835076</v>
      </c>
      <c r="G21">
        <v>10000</v>
      </c>
      <c r="H21">
        <v>332145.49888901919</v>
      </c>
      <c r="I21">
        <v>43.573968848798899</v>
      </c>
    </row>
    <row r="22" spans="1:9" x14ac:dyDescent="0.2">
      <c r="A22">
        <v>12</v>
      </c>
      <c r="B22">
        <v>1329363.5587892518</v>
      </c>
      <c r="C22">
        <v>113490.30099633489</v>
      </c>
      <c r="D22">
        <v>123504.86193146658</v>
      </c>
      <c r="E22">
        <v>96579.449947037632</v>
      </c>
      <c r="F22">
        <v>42686.269611717988</v>
      </c>
      <c r="G22">
        <v>10000</v>
      </c>
      <c r="H22">
        <v>366260.88248655712</v>
      </c>
      <c r="I22">
        <v>29.936481740846105</v>
      </c>
    </row>
    <row r="23" spans="1:9" x14ac:dyDescent="0.2">
      <c r="A23">
        <v>13</v>
      </c>
      <c r="B23">
        <v>1767443.4373659815</v>
      </c>
      <c r="C23">
        <v>137194.8557948847</v>
      </c>
      <c r="D23">
        <v>101305.86559427778</v>
      </c>
      <c r="E23">
        <v>207459.13486919846</v>
      </c>
      <c r="F23">
        <v>50362.555490944513</v>
      </c>
      <c r="G23">
        <v>10000</v>
      </c>
      <c r="H23">
        <v>486322.41174930544</v>
      </c>
      <c r="I23">
        <v>27.002198042780694</v>
      </c>
    </row>
    <row r="24" spans="1:9" x14ac:dyDescent="0.2">
      <c r="A24">
        <v>14</v>
      </c>
      <c r="B24">
        <v>880406.61002358363</v>
      </c>
      <c r="C24">
        <v>96468.204834351549</v>
      </c>
      <c r="D24">
        <v>83520.612639388215</v>
      </c>
      <c r="E24">
        <v>34818.986933562141</v>
      </c>
      <c r="F24">
        <v>38410.545249246607</v>
      </c>
      <c r="G24">
        <v>10000</v>
      </c>
      <c r="H24">
        <v>243218.34965654853</v>
      </c>
      <c r="I24">
        <v>33.437386938444611</v>
      </c>
    </row>
    <row r="25" spans="1:9" x14ac:dyDescent="0.2">
      <c r="A25">
        <v>15</v>
      </c>
      <c r="B25">
        <v>1566860.539731222</v>
      </c>
      <c r="C25">
        <v>109651.15976341676</v>
      </c>
      <c r="D25">
        <v>113741.91932915003</v>
      </c>
      <c r="E25">
        <v>170175.57603184646</v>
      </c>
      <c r="F25">
        <v>47781.386032973984</v>
      </c>
      <c r="G25">
        <v>10000</v>
      </c>
      <c r="H25">
        <v>431350.04115738726</v>
      </c>
      <c r="I25">
        <v>37.900744082803413</v>
      </c>
    </row>
    <row r="26" spans="1:9" x14ac:dyDescent="0.2">
      <c r="A26">
        <v>16</v>
      </c>
      <c r="B26">
        <v>994128.68042231468</v>
      </c>
      <c r="C26">
        <v>107076.43793768916</v>
      </c>
      <c r="D26">
        <v>95614.569332811574</v>
      </c>
      <c r="E26">
        <v>42735.737478787487</v>
      </c>
      <c r="F26">
        <v>38958.627979300676</v>
      </c>
      <c r="G26">
        <v>10000</v>
      </c>
      <c r="H26">
        <v>274385.37272858887</v>
      </c>
      <c r="I26">
        <v>43.337195827517974</v>
      </c>
    </row>
    <row r="27" spans="1:9" x14ac:dyDescent="0.2">
      <c r="A27">
        <v>17</v>
      </c>
      <c r="B27">
        <v>1415481.6312143903</v>
      </c>
      <c r="C27">
        <v>116234.42304414438</v>
      </c>
      <c r="D27">
        <v>64832.492453341052</v>
      </c>
      <c r="E27">
        <v>170960.05659747936</v>
      </c>
      <c r="F27">
        <v>47835.696225979344</v>
      </c>
      <c r="G27">
        <v>10000</v>
      </c>
      <c r="H27">
        <v>389862.66832094418</v>
      </c>
      <c r="I27">
        <v>38.958032337053716</v>
      </c>
    </row>
    <row r="28" spans="1:9" x14ac:dyDescent="0.2">
      <c r="A28">
        <v>18</v>
      </c>
      <c r="B28">
        <v>1386636.9156066398</v>
      </c>
      <c r="C28">
        <v>118295.13564177229</v>
      </c>
      <c r="D28">
        <v>56468.550249749176</v>
      </c>
      <c r="E28">
        <v>169461.74341948066</v>
      </c>
      <c r="F28">
        <v>47731.96685211789</v>
      </c>
      <c r="G28">
        <v>10000</v>
      </c>
      <c r="H28">
        <v>381957.39616312005</v>
      </c>
      <c r="I28">
        <v>41.031486665148947</v>
      </c>
    </row>
    <row r="29" spans="1:9" x14ac:dyDescent="0.2">
      <c r="A29">
        <v>19</v>
      </c>
      <c r="B29">
        <v>1292445.0945094174</v>
      </c>
      <c r="C29">
        <v>117342.14614829182</v>
      </c>
      <c r="D29">
        <v>45862.472161080164</v>
      </c>
      <c r="E29">
        <v>156129.32234959683</v>
      </c>
      <c r="F29">
        <v>46808.953085741319</v>
      </c>
      <c r="G29">
        <v>10000</v>
      </c>
      <c r="H29">
        <v>356142.89374471013</v>
      </c>
      <c r="I29">
        <v>51.677873874107874</v>
      </c>
    </row>
    <row r="30" spans="1:9" x14ac:dyDescent="0.2">
      <c r="A30">
        <v>20</v>
      </c>
      <c r="B30">
        <v>1278443.5740855117</v>
      </c>
      <c r="C30">
        <v>90719.466440310644</v>
      </c>
      <c r="D30">
        <v>96176.184268044191</v>
      </c>
      <c r="E30">
        <v>130383.39988512768</v>
      </c>
      <c r="F30">
        <v>45026.543068970379</v>
      </c>
      <c r="G30">
        <v>10000</v>
      </c>
      <c r="H30">
        <v>352305.59366245288</v>
      </c>
      <c r="I30">
        <v>34.087090936623369</v>
      </c>
    </row>
    <row r="31" spans="1:9" x14ac:dyDescent="0.2">
      <c r="A31">
        <v>21</v>
      </c>
      <c r="B31">
        <v>1347252.4916898184</v>
      </c>
      <c r="C31">
        <v>106467.73194631602</v>
      </c>
      <c r="D31">
        <v>80437.248260072563</v>
      </c>
      <c r="E31">
        <v>148011.63904765254</v>
      </c>
      <c r="F31">
        <v>46246.959626375938</v>
      </c>
      <c r="G31">
        <v>10000</v>
      </c>
      <c r="H31">
        <v>371163.57888041704</v>
      </c>
      <c r="I31">
        <v>43.999267788006307</v>
      </c>
    </row>
    <row r="32" spans="1:9" x14ac:dyDescent="0.2">
      <c r="A32">
        <v>22</v>
      </c>
      <c r="B32">
        <v>1552575.8416658367</v>
      </c>
      <c r="C32">
        <v>124323.19206321056</v>
      </c>
      <c r="D32">
        <v>84642.674886948414</v>
      </c>
      <c r="E32">
        <v>180007.22680414669</v>
      </c>
      <c r="F32">
        <v>48462.038778748618</v>
      </c>
      <c r="G32">
        <v>10000</v>
      </c>
      <c r="H32">
        <v>427435.13253305422</v>
      </c>
      <c r="I32">
        <v>34.891776123204181</v>
      </c>
    </row>
    <row r="33" spans="1:9" x14ac:dyDescent="0.2">
      <c r="A33">
        <v>23</v>
      </c>
      <c r="B33">
        <v>1197025.8579422722</v>
      </c>
      <c r="C33">
        <v>156615.89351300834</v>
      </c>
      <c r="D33">
        <v>73319.094400451708</v>
      </c>
      <c r="E33">
        <v>69261.955656500053</v>
      </c>
      <c r="F33">
        <v>40795.058468526928</v>
      </c>
      <c r="G33">
        <v>10000</v>
      </c>
      <c r="H33">
        <v>329992.00203848706</v>
      </c>
      <c r="I33">
        <v>32.717483934521262</v>
      </c>
    </row>
    <row r="34" spans="1:9" x14ac:dyDescent="0.2">
      <c r="A34">
        <v>24</v>
      </c>
      <c r="B34">
        <v>1460703.0570491408</v>
      </c>
      <c r="C34">
        <v>140377.13632851688</v>
      </c>
      <c r="D34">
        <v>134645.95228259265</v>
      </c>
      <c r="E34">
        <v>94678.442429787217</v>
      </c>
      <c r="F34">
        <v>42554.66139898527</v>
      </c>
      <c r="G34">
        <v>10000</v>
      </c>
      <c r="H34">
        <v>402256.19243988203</v>
      </c>
      <c r="I34">
        <v>34.628939959911904</v>
      </c>
    </row>
    <row r="35" spans="1:9" x14ac:dyDescent="0.2">
      <c r="A35">
        <v>25</v>
      </c>
      <c r="B35">
        <v>1429253.7403582619</v>
      </c>
      <c r="C35">
        <v>112147.93703676925</v>
      </c>
      <c r="D35">
        <v>65182.340848781758</v>
      </c>
      <c r="E35">
        <v>177984.79320618664</v>
      </c>
      <c r="F35">
        <v>48322.024145043688</v>
      </c>
      <c r="G35">
        <v>10000</v>
      </c>
      <c r="H35">
        <v>393637.09523678134</v>
      </c>
      <c r="I35">
        <v>32.283320874700316</v>
      </c>
    </row>
    <row r="36" spans="1:9" x14ac:dyDescent="0.2">
      <c r="A36">
        <v>26</v>
      </c>
      <c r="B36">
        <v>1404307.1636034702</v>
      </c>
      <c r="C36">
        <v>120925.29968172176</v>
      </c>
      <c r="D36">
        <v>102661.90310646319</v>
      </c>
      <c r="E36">
        <v>128328.6641713666</v>
      </c>
      <c r="F36">
        <v>44884.292134940762</v>
      </c>
      <c r="G36">
        <v>10000</v>
      </c>
      <c r="H36">
        <v>386800.15909449232</v>
      </c>
      <c r="I36">
        <v>37.640177164879688</v>
      </c>
    </row>
    <row r="37" spans="1:9" x14ac:dyDescent="0.2">
      <c r="A37">
        <v>27</v>
      </c>
      <c r="B37">
        <v>1356321.4086181745</v>
      </c>
      <c r="C37">
        <v>101034.8965443729</v>
      </c>
      <c r="D37">
        <v>53134.328715789175</v>
      </c>
      <c r="E37">
        <v>180952.33944689858</v>
      </c>
      <c r="F37">
        <v>48527.469654016058</v>
      </c>
      <c r="G37">
        <v>10000</v>
      </c>
      <c r="H37">
        <v>373649.03436107677</v>
      </c>
      <c r="I37">
        <v>33.062039802062642</v>
      </c>
    </row>
    <row r="38" spans="1:9" x14ac:dyDescent="0.2">
      <c r="A38">
        <v>28</v>
      </c>
      <c r="B38">
        <v>1237290.4061537604</v>
      </c>
      <c r="C38">
        <v>123165.52185284863</v>
      </c>
      <c r="D38">
        <v>70214.418752597689</v>
      </c>
      <c r="E38">
        <v>113770.65812951056</v>
      </c>
      <c r="F38">
        <v>43876.43017819689</v>
      </c>
      <c r="G38">
        <v>10000</v>
      </c>
      <c r="H38">
        <v>341027.02891315374</v>
      </c>
      <c r="I38">
        <v>30.569755696679898</v>
      </c>
    </row>
    <row r="39" spans="1:9" x14ac:dyDescent="0.2">
      <c r="A39">
        <v>29</v>
      </c>
      <c r="B39">
        <v>1490698.7513600229</v>
      </c>
      <c r="C39">
        <v>105929.8269979404</v>
      </c>
      <c r="D39">
        <v>79384.329205374641</v>
      </c>
      <c r="E39">
        <v>186267.31938165211</v>
      </c>
      <c r="F39">
        <v>48895.429803345149</v>
      </c>
      <c r="G39">
        <v>10000</v>
      </c>
      <c r="H39">
        <v>410476.9053883123</v>
      </c>
      <c r="I39">
        <v>41.508142265923638</v>
      </c>
    </row>
    <row r="40" spans="1:9" x14ac:dyDescent="0.2">
      <c r="A40">
        <v>30</v>
      </c>
      <c r="B40">
        <v>1282324.1876809008</v>
      </c>
      <c r="C40">
        <v>131669.37694212617</v>
      </c>
      <c r="D40">
        <v>79129.803984342041</v>
      </c>
      <c r="E40">
        <v>109022.2513975888</v>
      </c>
      <c r="F40">
        <v>43547.69432752538</v>
      </c>
      <c r="G40">
        <v>10000</v>
      </c>
      <c r="H40">
        <v>353369.12665158242</v>
      </c>
      <c r="I40">
        <v>25.68832374455237</v>
      </c>
    </row>
    <row r="41" spans="1:9" x14ac:dyDescent="0.2">
      <c r="A41">
        <v>31</v>
      </c>
      <c r="B41">
        <v>1187532.2393122469</v>
      </c>
      <c r="C41">
        <v>106892.72836448299</v>
      </c>
      <c r="D41">
        <v>52606.741234073328</v>
      </c>
      <c r="E41">
        <v>132703.51544102514</v>
      </c>
      <c r="F41">
        <v>45187.166453609432</v>
      </c>
      <c r="G41">
        <v>10000</v>
      </c>
      <c r="H41">
        <v>327390.15149319085</v>
      </c>
      <c r="I41">
        <v>26.615467194063399</v>
      </c>
    </row>
    <row r="42" spans="1:9" x14ac:dyDescent="0.2">
      <c r="A42">
        <v>32</v>
      </c>
      <c r="B42">
        <v>1806858.3710370376</v>
      </c>
      <c r="C42">
        <v>122645.51180784799</v>
      </c>
      <c r="D42">
        <v>130210.49860829499</v>
      </c>
      <c r="E42">
        <v>204136.08221422357</v>
      </c>
      <c r="F42">
        <v>50132.497999446248</v>
      </c>
      <c r="G42">
        <v>10000</v>
      </c>
      <c r="H42">
        <v>497124.5906298128</v>
      </c>
      <c r="I42">
        <v>48.485773369110987</v>
      </c>
    </row>
    <row r="43" spans="1:9" x14ac:dyDescent="0.2">
      <c r="A43">
        <v>33</v>
      </c>
      <c r="B43">
        <v>758837.44611715921</v>
      </c>
      <c r="C43">
        <v>107202.75279678025</v>
      </c>
      <c r="D43">
        <v>46787.294381875567</v>
      </c>
      <c r="E43">
        <v>27974.017863489513</v>
      </c>
      <c r="F43">
        <v>37936.662775164659</v>
      </c>
      <c r="G43">
        <v>10000</v>
      </c>
      <c r="H43">
        <v>209900.72781730996</v>
      </c>
      <c r="I43">
        <v>35.778750222865924</v>
      </c>
    </row>
    <row r="44" spans="1:9" x14ac:dyDescent="0.2">
      <c r="A44">
        <v>34</v>
      </c>
      <c r="B44">
        <v>903923.85977334436</v>
      </c>
      <c r="C44">
        <v>90959.899308148655</v>
      </c>
      <c r="D44">
        <v>86512.143233320632</v>
      </c>
      <c r="E44">
        <v>43200.699790645456</v>
      </c>
      <c r="F44">
        <v>38990.817677813917</v>
      </c>
      <c r="G44">
        <v>10000</v>
      </c>
      <c r="H44">
        <v>249663.56000992865</v>
      </c>
      <c r="I44">
        <v>27.681685094272058</v>
      </c>
    </row>
    <row r="45" spans="1:9" x14ac:dyDescent="0.2">
      <c r="A45">
        <v>35</v>
      </c>
      <c r="B45">
        <v>1425384.8119494929</v>
      </c>
      <c r="C45">
        <v>100021.93851417139</v>
      </c>
      <c r="D45">
        <v>45181.686706400353</v>
      </c>
      <c r="E45">
        <v>207039.62687568585</v>
      </c>
      <c r="F45">
        <v>50333.512629855177</v>
      </c>
      <c r="G45">
        <v>10000</v>
      </c>
      <c r="H45">
        <v>392576.76472611277</v>
      </c>
      <c r="I45">
        <v>26.323099380449076</v>
      </c>
    </row>
    <row r="46" spans="1:9" x14ac:dyDescent="0.2">
      <c r="A46">
        <v>36</v>
      </c>
      <c r="B46">
        <v>1522424.7166586919</v>
      </c>
      <c r="C46">
        <v>115778.05724592089</v>
      </c>
      <c r="D46">
        <v>120850.52942738816</v>
      </c>
      <c r="E46">
        <v>146407.34217328249</v>
      </c>
      <c r="F46">
        <v>46135.892919688791</v>
      </c>
      <c r="G46">
        <v>10000</v>
      </c>
      <c r="H46">
        <v>419171.82176628028</v>
      </c>
      <c r="I46">
        <v>28.307311657635957</v>
      </c>
    </row>
    <row r="47" spans="1:9" x14ac:dyDescent="0.2">
      <c r="A47">
        <v>37</v>
      </c>
      <c r="B47">
        <v>1516284.1157239743</v>
      </c>
      <c r="C47">
        <v>161623.0175989354</v>
      </c>
      <c r="D47">
        <v>89935.312063164398</v>
      </c>
      <c r="E47">
        <v>130870.32660043093</v>
      </c>
      <c r="F47">
        <v>45060.253380029833</v>
      </c>
      <c r="G47">
        <v>10000</v>
      </c>
      <c r="H47">
        <v>417488.90964256052</v>
      </c>
      <c r="I47">
        <v>33.708525334939665</v>
      </c>
    </row>
    <row r="48" spans="1:9" x14ac:dyDescent="0.2">
      <c r="A48">
        <v>38</v>
      </c>
      <c r="B48">
        <v>1407331.6655821679</v>
      </c>
      <c r="C48">
        <v>157034.9441113449</v>
      </c>
      <c r="D48">
        <v>145186.48972592008</v>
      </c>
      <c r="E48">
        <v>55561.092472190001</v>
      </c>
      <c r="F48">
        <v>39846.537171151613</v>
      </c>
      <c r="G48">
        <v>10000</v>
      </c>
      <c r="H48">
        <v>387629.06348060659</v>
      </c>
      <c r="I48">
        <v>34.477596681131054</v>
      </c>
    </row>
    <row r="49" spans="1:9" x14ac:dyDescent="0.2">
      <c r="A49">
        <v>39</v>
      </c>
      <c r="B49">
        <v>1067507.9149380031</v>
      </c>
      <c r="C49">
        <v>104956.73694271946</v>
      </c>
      <c r="D49">
        <v>88309.712680514232</v>
      </c>
      <c r="E49">
        <v>70358.491081347878</v>
      </c>
      <c r="F49">
        <v>40870.972459477933</v>
      </c>
      <c r="G49">
        <v>10000</v>
      </c>
      <c r="H49">
        <v>294495.91316405952</v>
      </c>
      <c r="I49">
        <v>43.303712281766281</v>
      </c>
    </row>
    <row r="50" spans="1:9" x14ac:dyDescent="0.2">
      <c r="A50">
        <v>40</v>
      </c>
      <c r="B50">
        <v>984725.95275441196</v>
      </c>
      <c r="C50">
        <v>97452.062156044645</v>
      </c>
      <c r="D50">
        <v>46428.77845848295</v>
      </c>
      <c r="E50">
        <v>95327.963205615335</v>
      </c>
      <c r="F50">
        <v>42599.628221927218</v>
      </c>
      <c r="G50">
        <v>10000</v>
      </c>
      <c r="H50">
        <v>271808.43204207014</v>
      </c>
      <c r="I50">
        <v>25.391549073231079</v>
      </c>
    </row>
    <row r="51" spans="1:9" x14ac:dyDescent="0.2">
      <c r="A51">
        <v>41</v>
      </c>
      <c r="B51">
        <v>917807.25649336993</v>
      </c>
      <c r="C51">
        <v>87083.933049385581</v>
      </c>
      <c r="D51">
        <v>94519.584113249453</v>
      </c>
      <c r="E51">
        <v>42895.295291736977</v>
      </c>
      <c r="F51">
        <v>38969.674289427945</v>
      </c>
      <c r="G51">
        <v>10000</v>
      </c>
      <c r="H51">
        <v>253468.48674379999</v>
      </c>
      <c r="I51">
        <v>36.134802795336711</v>
      </c>
    </row>
    <row r="52" spans="1:9" x14ac:dyDescent="0.2">
      <c r="A52">
        <v>42</v>
      </c>
      <c r="B52">
        <v>1631591.263217069</v>
      </c>
      <c r="C52">
        <v>122819.7671817896</v>
      </c>
      <c r="D52">
        <v>96618.566964152196</v>
      </c>
      <c r="E52">
        <v>190465.90836165199</v>
      </c>
      <c r="F52">
        <v>49186.101348114367</v>
      </c>
      <c r="G52">
        <v>10000</v>
      </c>
      <c r="H52">
        <v>449090.3438557082</v>
      </c>
      <c r="I52">
        <v>31.957552548784744</v>
      </c>
    </row>
    <row r="53" spans="1:9" x14ac:dyDescent="0.2">
      <c r="A53">
        <v>43</v>
      </c>
      <c r="B53">
        <v>1499181.5193364215</v>
      </c>
      <c r="C53">
        <v>143163.59902586837</v>
      </c>
      <c r="D53">
        <v>135680.02452464911</v>
      </c>
      <c r="E53">
        <v>100968.00300434537</v>
      </c>
      <c r="F53">
        <v>42990.092515685443</v>
      </c>
      <c r="G53">
        <v>10000</v>
      </c>
      <c r="H53">
        <v>412801.71907054825</v>
      </c>
      <c r="I53">
        <v>36.491053895730467</v>
      </c>
    </row>
    <row r="54" spans="1:9" x14ac:dyDescent="0.2">
      <c r="A54">
        <v>44</v>
      </c>
      <c r="B54">
        <v>993570.16779991402</v>
      </c>
      <c r="C54">
        <v>98870.420778859654</v>
      </c>
      <c r="D54">
        <v>39544.864078082777</v>
      </c>
      <c r="E54">
        <v>102706.56562788536</v>
      </c>
      <c r="F54">
        <v>43110.454543468986</v>
      </c>
      <c r="G54">
        <v>10000</v>
      </c>
      <c r="H54">
        <v>274232.30502829677</v>
      </c>
      <c r="I54">
        <v>24.655366685713393</v>
      </c>
    </row>
    <row r="55" spans="1:9" x14ac:dyDescent="0.2">
      <c r="A55">
        <v>45</v>
      </c>
      <c r="B55">
        <v>1328652.7923882571</v>
      </c>
      <c r="C55">
        <v>77785.926813723476</v>
      </c>
      <c r="D55">
        <v>105900.25163535896</v>
      </c>
      <c r="E55">
        <v>146254.59133321134</v>
      </c>
      <c r="F55">
        <v>46125.31786153002</v>
      </c>
      <c r="G55">
        <v>10000</v>
      </c>
      <c r="H55">
        <v>366066.08764382376</v>
      </c>
      <c r="I55">
        <v>41.838922166129365</v>
      </c>
    </row>
    <row r="56" spans="1:9" x14ac:dyDescent="0.2">
      <c r="A56">
        <v>46</v>
      </c>
      <c r="B56">
        <v>1287053.188037755</v>
      </c>
      <c r="C56">
        <v>115367.34606231899</v>
      </c>
      <c r="D56">
        <v>80228.239156930882</v>
      </c>
      <c r="E56">
        <v>124453.56957174548</v>
      </c>
      <c r="F56">
        <v>44616.016354966989</v>
      </c>
      <c r="G56">
        <v>10000</v>
      </c>
      <c r="H56">
        <v>354665.17114596232</v>
      </c>
      <c r="I56">
        <v>25.471819495091601</v>
      </c>
    </row>
    <row r="57" spans="1:9" x14ac:dyDescent="0.2">
      <c r="A57">
        <v>47</v>
      </c>
      <c r="B57">
        <v>1082839.6601700156</v>
      </c>
      <c r="C57">
        <v>101272.36276199491</v>
      </c>
      <c r="D57">
        <v>45293.334246390899</v>
      </c>
      <c r="E57">
        <v>117965.25633315439</v>
      </c>
      <c r="F57">
        <v>44166.825438449145</v>
      </c>
      <c r="G57">
        <v>10000</v>
      </c>
      <c r="H57">
        <v>298697.77877998934</v>
      </c>
      <c r="I57">
        <v>29.956709056732009</v>
      </c>
    </row>
    <row r="58" spans="1:9" x14ac:dyDescent="0.2">
      <c r="A58">
        <v>48</v>
      </c>
      <c r="B58">
        <v>1531643.2836298188</v>
      </c>
      <c r="C58">
        <v>147905.63305006851</v>
      </c>
      <c r="D58">
        <v>158916.245229908</v>
      </c>
      <c r="E58">
        <v>83121.824660391241</v>
      </c>
      <c r="F58">
        <v>41754.58786110401</v>
      </c>
      <c r="G58">
        <v>10000</v>
      </c>
      <c r="H58">
        <v>421698.2908014718</v>
      </c>
      <c r="I58">
        <v>25.695783797673403</v>
      </c>
    </row>
    <row r="59" spans="1:9" x14ac:dyDescent="0.2">
      <c r="A59">
        <v>49</v>
      </c>
      <c r="B59">
        <v>1305136.4537093565</v>
      </c>
      <c r="C59">
        <v>127567.79711391142</v>
      </c>
      <c r="D59">
        <v>140675.60721607678</v>
      </c>
      <c r="E59">
        <v>61144.632695515698</v>
      </c>
      <c r="F59">
        <v>40233.089955843388</v>
      </c>
      <c r="G59">
        <v>10000</v>
      </c>
      <c r="H59">
        <v>359621.12698134728</v>
      </c>
      <c r="I59">
        <v>40.404295657523079</v>
      </c>
    </row>
    <row r="60" spans="1:9" x14ac:dyDescent="0.2">
      <c r="A60">
        <v>50</v>
      </c>
      <c r="B60">
        <v>1454944.6786698787</v>
      </c>
      <c r="C60">
        <v>100166.84239442799</v>
      </c>
      <c r="D60">
        <v>84864.854026078916</v>
      </c>
      <c r="E60">
        <v>177367.07776400907</v>
      </c>
      <c r="F60">
        <v>48279.259229816016</v>
      </c>
      <c r="G60">
        <v>10000</v>
      </c>
      <c r="H60">
        <v>400678.03341433202</v>
      </c>
      <c r="I60">
        <v>35.22443827905456</v>
      </c>
    </row>
    <row r="61" spans="1:9" x14ac:dyDescent="0.2">
      <c r="A61">
        <v>51</v>
      </c>
      <c r="B61">
        <v>986727.50417877571</v>
      </c>
      <c r="C61">
        <v>122186.43092255371</v>
      </c>
      <c r="D61">
        <v>33185.836188509238</v>
      </c>
      <c r="E61">
        <v>85093.619577772653</v>
      </c>
      <c r="F61">
        <v>41891.096739999644</v>
      </c>
      <c r="G61">
        <v>10000</v>
      </c>
      <c r="H61">
        <v>272356.98342883523</v>
      </c>
      <c r="I61">
        <v>31.697512765395782</v>
      </c>
    </row>
    <row r="62" spans="1:9" x14ac:dyDescent="0.2">
      <c r="A62">
        <v>52</v>
      </c>
      <c r="B62">
        <v>1453631.8804860036</v>
      </c>
      <c r="C62">
        <v>104369.96724869312</v>
      </c>
      <c r="D62">
        <v>149734.32530670092</v>
      </c>
      <c r="E62">
        <v>112430.31418409089</v>
      </c>
      <c r="F62">
        <v>43783.637135821671</v>
      </c>
      <c r="G62">
        <v>10000</v>
      </c>
      <c r="H62">
        <v>400318.24387530662</v>
      </c>
      <c r="I62">
        <v>39.14855331047076</v>
      </c>
    </row>
    <row r="63" spans="1:9" x14ac:dyDescent="0.2">
      <c r="A63">
        <v>53</v>
      </c>
      <c r="B63">
        <v>819901.58700209646</v>
      </c>
      <c r="C63">
        <v>104269.81713639421</v>
      </c>
      <c r="D63">
        <v>67093.683596481889</v>
      </c>
      <c r="E63">
        <v>27377.30304223995</v>
      </c>
      <c r="F63">
        <v>37895.351749078152</v>
      </c>
      <c r="G63">
        <v>10000</v>
      </c>
      <c r="H63">
        <v>226636.15552419418</v>
      </c>
      <c r="I63">
        <v>33.220453822896189</v>
      </c>
    </row>
    <row r="64" spans="1:9" x14ac:dyDescent="0.2">
      <c r="A64">
        <v>54</v>
      </c>
      <c r="B64">
        <v>1491214.1388340103</v>
      </c>
      <c r="C64">
        <v>113308.3562693774</v>
      </c>
      <c r="D64">
        <v>62749.861368996142</v>
      </c>
      <c r="E64">
        <v>195056.05566181196</v>
      </c>
      <c r="F64">
        <v>49503.880776586979</v>
      </c>
      <c r="G64">
        <v>10000</v>
      </c>
      <c r="H64">
        <v>410618.15407677251</v>
      </c>
      <c r="I64">
        <v>38.386073383294935</v>
      </c>
    </row>
    <row r="65" spans="1:9" x14ac:dyDescent="0.2">
      <c r="A65">
        <v>55</v>
      </c>
      <c r="B65">
        <v>1430547.2627542862</v>
      </c>
      <c r="C65">
        <v>110116.04533158751</v>
      </c>
      <c r="D65">
        <v>60244.109457577826</v>
      </c>
      <c r="E65">
        <v>184835.1664502346</v>
      </c>
      <c r="F65">
        <v>48796.280754247011</v>
      </c>
      <c r="G65">
        <v>10000</v>
      </c>
      <c r="H65">
        <v>393991.60199364694</v>
      </c>
      <c r="I65">
        <v>29.279334306196169</v>
      </c>
    </row>
    <row r="66" spans="1:9" x14ac:dyDescent="0.2">
      <c r="A66">
        <v>56</v>
      </c>
      <c r="B66">
        <v>1336257.5938912965</v>
      </c>
      <c r="C66">
        <v>134073.67049760889</v>
      </c>
      <c r="D66">
        <v>61929.926758195157</v>
      </c>
      <c r="E66">
        <v>136683.9508019666</v>
      </c>
      <c r="F66">
        <v>45462.735055520759</v>
      </c>
      <c r="G66">
        <v>10000</v>
      </c>
      <c r="H66">
        <v>368150.28311329143</v>
      </c>
      <c r="I66">
        <v>43.84134527097752</v>
      </c>
    </row>
    <row r="67" spans="1:9" x14ac:dyDescent="0.2">
      <c r="A67">
        <v>57</v>
      </c>
      <c r="B67">
        <v>1185959.8956685297</v>
      </c>
      <c r="C67">
        <v>75051.474075871782</v>
      </c>
      <c r="D67">
        <v>73118.978801838704</v>
      </c>
      <c r="E67">
        <v>142895.97871677601</v>
      </c>
      <c r="F67">
        <v>45892.79852654603</v>
      </c>
      <c r="G67">
        <v>10000</v>
      </c>
      <c r="H67">
        <v>326959.23012103251</v>
      </c>
      <c r="I67">
        <v>47.870373654219001</v>
      </c>
    </row>
    <row r="68" spans="1:9" x14ac:dyDescent="0.2">
      <c r="A68">
        <v>58</v>
      </c>
      <c r="B68">
        <v>1024360.3633676629</v>
      </c>
      <c r="C68">
        <v>127860.33287860267</v>
      </c>
      <c r="D68">
        <v>63724.107599331444</v>
      </c>
      <c r="E68">
        <v>60872.098754201033</v>
      </c>
      <c r="F68">
        <v>40214.222221444688</v>
      </c>
      <c r="G68">
        <v>10000</v>
      </c>
      <c r="H68">
        <v>282670.76145357982</v>
      </c>
      <c r="I68">
        <v>33.287221033524943</v>
      </c>
    </row>
    <row r="69" spans="1:9" x14ac:dyDescent="0.2">
      <c r="A69">
        <v>59</v>
      </c>
      <c r="B69">
        <v>1357382.1848669972</v>
      </c>
      <c r="C69">
        <v>125236.80139692283</v>
      </c>
      <c r="D69">
        <v>71775.319318002992</v>
      </c>
      <c r="E69">
        <v>141155.34047074406</v>
      </c>
      <c r="F69">
        <v>45772.292801820746</v>
      </c>
      <c r="G69">
        <v>10000</v>
      </c>
      <c r="H69">
        <v>373939.75398749061</v>
      </c>
      <c r="I69">
        <v>39.485845066993932</v>
      </c>
    </row>
    <row r="70" spans="1:9" x14ac:dyDescent="0.2">
      <c r="A70">
        <v>60</v>
      </c>
      <c r="B70">
        <v>1630924.4723994848</v>
      </c>
      <c r="C70">
        <v>118656.42823634025</v>
      </c>
      <c r="D70">
        <v>156735.60809544887</v>
      </c>
      <c r="E70">
        <v>137964.19726304262</v>
      </c>
      <c r="F70">
        <v>45551.367502826026</v>
      </c>
      <c r="G70">
        <v>10000</v>
      </c>
      <c r="H70">
        <v>448907.60109765775</v>
      </c>
      <c r="I70">
        <v>34.419858957410263</v>
      </c>
    </row>
    <row r="71" spans="1:9" x14ac:dyDescent="0.2">
      <c r="A71">
        <v>61</v>
      </c>
      <c r="B71">
        <v>1438063.1394711765</v>
      </c>
      <c r="C71">
        <v>108019.9294138761</v>
      </c>
      <c r="D71">
        <v>75125.865820701089</v>
      </c>
      <c r="E71">
        <v>174803.8277653621</v>
      </c>
      <c r="F71">
        <v>48101.803460678915</v>
      </c>
      <c r="G71">
        <v>10000</v>
      </c>
      <c r="H71">
        <v>396051.42646061821</v>
      </c>
      <c r="I71">
        <v>27.842584644894998</v>
      </c>
    </row>
    <row r="72" spans="1:9" x14ac:dyDescent="0.2">
      <c r="A72">
        <v>62</v>
      </c>
      <c r="B72">
        <v>1130993.5265914565</v>
      </c>
      <c r="C72">
        <v>71192.478117507024</v>
      </c>
      <c r="D72">
        <v>117459.25696207841</v>
      </c>
      <c r="E72">
        <v>90946.916580969773</v>
      </c>
      <c r="F72">
        <v>42296.324994067138</v>
      </c>
      <c r="G72">
        <v>10000</v>
      </c>
      <c r="H72">
        <v>311894.97665462235</v>
      </c>
      <c r="I72">
        <v>32.304247638170708</v>
      </c>
    </row>
    <row r="73" spans="1:9" x14ac:dyDescent="0.2">
      <c r="A73">
        <v>63</v>
      </c>
      <c r="B73">
        <v>1531813.9494231367</v>
      </c>
      <c r="C73">
        <v>138654.89293241905</v>
      </c>
      <c r="D73">
        <v>69391.630731809011</v>
      </c>
      <c r="E73">
        <v>175545.39743421294</v>
      </c>
      <c r="F73">
        <v>48153.142899291663</v>
      </c>
      <c r="G73">
        <v>10000</v>
      </c>
      <c r="H73">
        <v>421745.06399773265</v>
      </c>
      <c r="I73">
        <v>37.443632284483286</v>
      </c>
    </row>
    <row r="74" spans="1:9" x14ac:dyDescent="0.2">
      <c r="A74">
        <v>64</v>
      </c>
      <c r="B74">
        <v>1157944.9210409757</v>
      </c>
      <c r="C74">
        <v>122062.24576937899</v>
      </c>
      <c r="D74">
        <v>83167.64948074978</v>
      </c>
      <c r="E74">
        <v>82350.290163341575</v>
      </c>
      <c r="F74">
        <v>41701.173934385188</v>
      </c>
      <c r="G74">
        <v>10000</v>
      </c>
      <c r="H74">
        <v>319281.3593478555</v>
      </c>
      <c r="I74">
        <v>33.579047690767396</v>
      </c>
    </row>
    <row r="75" spans="1:9" x14ac:dyDescent="0.2">
      <c r="A75">
        <v>65</v>
      </c>
      <c r="B75">
        <v>1483177.8337302115</v>
      </c>
      <c r="C75">
        <v>88048.808538723213</v>
      </c>
      <c r="D75">
        <v>103254.35549151669</v>
      </c>
      <c r="E75">
        <v>178738.34242571756</v>
      </c>
      <c r="F75">
        <v>48374.192937165062</v>
      </c>
      <c r="G75">
        <v>10000</v>
      </c>
      <c r="H75">
        <v>408415.69939312257</v>
      </c>
      <c r="I75">
        <v>38.596217721367928</v>
      </c>
    </row>
    <row r="76" spans="1:9" x14ac:dyDescent="0.2">
      <c r="A76">
        <v>66</v>
      </c>
      <c r="B76">
        <v>1384502.5393233418</v>
      </c>
      <c r="C76">
        <v>102678.83878819231</v>
      </c>
      <c r="D76">
        <v>125648.72639461898</v>
      </c>
      <c r="E76">
        <v>118818.94990025354</v>
      </c>
      <c r="F76">
        <v>44225.927300786789</v>
      </c>
      <c r="G76">
        <v>10000</v>
      </c>
      <c r="H76">
        <v>381372.44238385162</v>
      </c>
      <c r="I76">
        <v>38.417843013831828</v>
      </c>
    </row>
    <row r="77" spans="1:9" x14ac:dyDescent="0.2">
      <c r="A77">
        <v>67</v>
      </c>
      <c r="B77">
        <v>1447728.2749353989</v>
      </c>
      <c r="C77">
        <v>93065.73994678061</v>
      </c>
      <c r="D77">
        <v>70137.094289565619</v>
      </c>
      <c r="E77">
        <v>195932.86616269706</v>
      </c>
      <c r="F77">
        <v>49564.583042032871</v>
      </c>
      <c r="G77">
        <v>10000</v>
      </c>
      <c r="H77">
        <v>398700.28344107617</v>
      </c>
      <c r="I77">
        <v>31.637060702893905</v>
      </c>
    </row>
    <row r="78" spans="1:9" x14ac:dyDescent="0.2">
      <c r="A78">
        <v>68</v>
      </c>
      <c r="B78">
        <v>1697229.8368683681</v>
      </c>
      <c r="C78">
        <v>167867.47546913035</v>
      </c>
      <c r="D78">
        <v>65195.31728761347</v>
      </c>
      <c r="E78">
        <v>194547.95729174477</v>
      </c>
      <c r="F78">
        <v>49468.704735582331</v>
      </c>
      <c r="G78">
        <v>10000</v>
      </c>
      <c r="H78">
        <v>467079.45478407096</v>
      </c>
      <c r="I78">
        <v>32.685191792854873</v>
      </c>
    </row>
    <row r="79" spans="1:9" x14ac:dyDescent="0.2">
      <c r="A79">
        <v>69</v>
      </c>
      <c r="B79">
        <v>1343428.0039490517</v>
      </c>
      <c r="C79">
        <v>89493.500246891985</v>
      </c>
      <c r="D79">
        <v>105887.48811278412</v>
      </c>
      <c r="E79">
        <v>139104.15210393094</v>
      </c>
      <c r="F79">
        <v>45630.287453349061</v>
      </c>
      <c r="G79">
        <v>10000</v>
      </c>
      <c r="H79">
        <v>370115.42791695608</v>
      </c>
      <c r="I79">
        <v>35.55632276028679</v>
      </c>
    </row>
    <row r="80" spans="1:9" x14ac:dyDescent="0.2">
      <c r="A80">
        <v>70</v>
      </c>
      <c r="B80">
        <v>943984.24381951278</v>
      </c>
      <c r="C80">
        <v>96529.232845897801</v>
      </c>
      <c r="D80">
        <v>102512.84074060373</v>
      </c>
      <c r="E80">
        <v>33295.487240600676</v>
      </c>
      <c r="F80">
        <v>38305.072193580054</v>
      </c>
      <c r="G80">
        <v>10000</v>
      </c>
      <c r="H80">
        <v>260642.63302068226</v>
      </c>
      <c r="I80">
        <v>30.479461028841015</v>
      </c>
    </row>
    <row r="81" spans="1:9" x14ac:dyDescent="0.2">
      <c r="A81">
        <v>71</v>
      </c>
      <c r="B81">
        <v>1413812.6839335389</v>
      </c>
      <c r="C81">
        <v>142439.88180638661</v>
      </c>
      <c r="D81">
        <v>112074.49074336847</v>
      </c>
      <c r="E81">
        <v>101840.40904955723</v>
      </c>
      <c r="F81">
        <v>43050.48985727704</v>
      </c>
      <c r="G81">
        <v>10000</v>
      </c>
      <c r="H81">
        <v>389405.27145658934</v>
      </c>
      <c r="I81">
        <v>35.46150222155493</v>
      </c>
    </row>
    <row r="82" spans="1:9" x14ac:dyDescent="0.2">
      <c r="A82">
        <v>72</v>
      </c>
      <c r="B82">
        <v>1029750.2624217833</v>
      </c>
      <c r="C82">
        <v>103291.43517820894</v>
      </c>
      <c r="D82">
        <v>91146.228261255892</v>
      </c>
      <c r="E82">
        <v>59585.145028724095</v>
      </c>
      <c r="F82">
        <v>40125.125425065518</v>
      </c>
      <c r="G82">
        <v>10000</v>
      </c>
      <c r="H82">
        <v>284147.93389325443</v>
      </c>
      <c r="I82">
        <v>30.601658288707249</v>
      </c>
    </row>
    <row r="83" spans="1:9" x14ac:dyDescent="0.2">
      <c r="A83">
        <v>73</v>
      </c>
      <c r="B83">
        <v>1245468.50731558</v>
      </c>
      <c r="C83">
        <v>137704.71835239179</v>
      </c>
      <c r="D83">
        <v>111398.9894497278</v>
      </c>
      <c r="E83">
        <v>63751.099223278761</v>
      </c>
      <c r="F83">
        <v>40413.537638534683</v>
      </c>
      <c r="G83">
        <v>10000</v>
      </c>
      <c r="H83">
        <v>343268.34466393304</v>
      </c>
      <c r="I83">
        <v>44.151458466976813</v>
      </c>
    </row>
    <row r="84" spans="1:9" x14ac:dyDescent="0.2">
      <c r="A84">
        <v>74</v>
      </c>
      <c r="B84">
        <v>1087776.6618550026</v>
      </c>
      <c r="C84">
        <v>80940.436238099195</v>
      </c>
      <c r="D84">
        <v>134540.96671622066</v>
      </c>
      <c r="E84">
        <v>54777.160828276421</v>
      </c>
      <c r="F84">
        <v>39792.264980419131</v>
      </c>
      <c r="G84">
        <v>10000</v>
      </c>
      <c r="H84">
        <v>300050.82876301539</v>
      </c>
      <c r="I84">
        <v>35.963957827258852</v>
      </c>
    </row>
    <row r="85" spans="1:9" x14ac:dyDescent="0.2">
      <c r="A85">
        <v>75</v>
      </c>
      <c r="B85">
        <v>1460931.5343626202</v>
      </c>
      <c r="C85">
        <v>102266.62356051624</v>
      </c>
      <c r="D85">
        <v>96325.093234473636</v>
      </c>
      <c r="E85">
        <v>166219.58323683933</v>
      </c>
      <c r="F85">
        <v>47507.509608704262</v>
      </c>
      <c r="G85">
        <v>10000</v>
      </c>
      <c r="H85">
        <v>402318.80964053347</v>
      </c>
      <c r="I85">
        <v>42.147395829898578</v>
      </c>
    </row>
    <row r="86" spans="1:9" x14ac:dyDescent="0.2">
      <c r="A86">
        <v>76</v>
      </c>
      <c r="B86">
        <v>1161414.4049516139</v>
      </c>
      <c r="C86">
        <v>92780.217796291923</v>
      </c>
      <c r="D86">
        <v>155786.48509916748</v>
      </c>
      <c r="E86">
        <v>42708.754068836213</v>
      </c>
      <c r="F86">
        <v>38956.75989707328</v>
      </c>
      <c r="G86">
        <v>10000</v>
      </c>
      <c r="H86">
        <v>320232.21686136886</v>
      </c>
      <c r="I86">
        <v>45.28932219128518</v>
      </c>
    </row>
    <row r="87" spans="1:9" x14ac:dyDescent="0.2">
      <c r="A87">
        <v>77</v>
      </c>
      <c r="B87">
        <v>1023539.5119915029</v>
      </c>
      <c r="C87">
        <v>93773.532298266466</v>
      </c>
      <c r="D87">
        <v>125023.64544737169</v>
      </c>
      <c r="E87">
        <v>35210.938292407882</v>
      </c>
      <c r="F87">
        <v>38437.68034332055</v>
      </c>
      <c r="G87">
        <v>10000</v>
      </c>
      <c r="H87">
        <v>282445.79638136656</v>
      </c>
      <c r="I87">
        <v>25.125663619223928</v>
      </c>
    </row>
    <row r="88" spans="1:9" x14ac:dyDescent="0.2">
      <c r="A88">
        <v>78</v>
      </c>
      <c r="B88">
        <v>1046825.3982800514</v>
      </c>
      <c r="C88">
        <v>89101.360562619957</v>
      </c>
      <c r="D88">
        <v>103809.65820936774</v>
      </c>
      <c r="E88">
        <v>65389.606984294544</v>
      </c>
      <c r="F88">
        <v>40526.972791220389</v>
      </c>
      <c r="G88">
        <v>10000</v>
      </c>
      <c r="H88">
        <v>288827.59854750265</v>
      </c>
      <c r="I88">
        <v>35.747403629230071</v>
      </c>
    </row>
    <row r="89" spans="1:9" x14ac:dyDescent="0.2">
      <c r="A89">
        <v>79</v>
      </c>
      <c r="B89">
        <v>1009449.3346749577</v>
      </c>
      <c r="C89">
        <v>133646.4265211598</v>
      </c>
      <c r="D89">
        <v>48225.060606243358</v>
      </c>
      <c r="E89">
        <v>66134.190694687641</v>
      </c>
      <c r="F89">
        <v>40578.520894247609</v>
      </c>
      <c r="G89">
        <v>10000</v>
      </c>
      <c r="H89">
        <v>278584.19871633843</v>
      </c>
      <c r="I89">
        <v>50.33368496925619</v>
      </c>
    </row>
    <row r="90" spans="1:9" x14ac:dyDescent="0.2">
      <c r="A90">
        <v>80</v>
      </c>
      <c r="B90">
        <v>811088.42299215216</v>
      </c>
      <c r="C90">
        <v>99110.644164446989</v>
      </c>
      <c r="D90">
        <v>26961.139208278932</v>
      </c>
      <c r="E90">
        <v>67477.490532926517</v>
      </c>
      <c r="F90">
        <v>40671.518575356451</v>
      </c>
      <c r="G90">
        <v>10000</v>
      </c>
      <c r="H90">
        <v>224220.79248100889</v>
      </c>
      <c r="I90">
        <v>29.388415025098293</v>
      </c>
    </row>
    <row r="91" spans="1:9" x14ac:dyDescent="0.2">
      <c r="A91">
        <v>81</v>
      </c>
      <c r="B91">
        <v>940700.30464192282</v>
      </c>
      <c r="C91">
        <v>86023.459577289439</v>
      </c>
      <c r="D91">
        <v>66772.232601990356</v>
      </c>
      <c r="E91">
        <v>75705.765885059445</v>
      </c>
      <c r="F91">
        <v>41241.168407427191</v>
      </c>
      <c r="G91">
        <v>10000</v>
      </c>
      <c r="H91">
        <v>259742.62647176645</v>
      </c>
      <c r="I91">
        <v>29.202199097387229</v>
      </c>
    </row>
    <row r="92" spans="1:9" x14ac:dyDescent="0.2">
      <c r="A92">
        <v>82</v>
      </c>
      <c r="B92">
        <v>1346767.7238413813</v>
      </c>
      <c r="C92">
        <v>123575.55867516238</v>
      </c>
      <c r="D92">
        <v>155622.43003205716</v>
      </c>
      <c r="E92">
        <v>61570.18212408587</v>
      </c>
      <c r="F92">
        <v>40262.551070129026</v>
      </c>
      <c r="G92">
        <v>10000</v>
      </c>
      <c r="H92">
        <v>371030.72190143447</v>
      </c>
      <c r="I92">
        <v>25.422399167725722</v>
      </c>
    </row>
    <row r="93" spans="1:9" x14ac:dyDescent="0.2">
      <c r="A93">
        <v>83</v>
      </c>
      <c r="B93">
        <v>1551998.2671915784</v>
      </c>
      <c r="C93">
        <v>110608.76305666595</v>
      </c>
      <c r="D93">
        <v>95046.069415156395</v>
      </c>
      <c r="E93">
        <v>182955.83501724014</v>
      </c>
      <c r="F93">
        <v>48666.173193501243</v>
      </c>
      <c r="G93">
        <v>10000</v>
      </c>
      <c r="H93">
        <v>427276.84068256372</v>
      </c>
      <c r="I93">
        <v>44.158978274836045</v>
      </c>
    </row>
    <row r="94" spans="1:9" x14ac:dyDescent="0.2">
      <c r="A94">
        <v>84</v>
      </c>
      <c r="B94">
        <v>1388866.6515713115</v>
      </c>
      <c r="C94">
        <v>133765.0085428179</v>
      </c>
      <c r="D94">
        <v>102427.16050644651</v>
      </c>
      <c r="E94">
        <v>112582.16554088796</v>
      </c>
      <c r="F94">
        <v>43794.149922061471</v>
      </c>
      <c r="G94">
        <v>10000</v>
      </c>
      <c r="H94">
        <v>382568.48451221385</v>
      </c>
      <c r="I94">
        <v>44.392388339511307</v>
      </c>
    </row>
    <row r="95" spans="1:9" x14ac:dyDescent="0.2">
      <c r="A95">
        <v>85</v>
      </c>
      <c r="B95">
        <v>1005174.9535885798</v>
      </c>
      <c r="C95">
        <v>85652.551110990375</v>
      </c>
      <c r="D95">
        <v>84528.403543568042</v>
      </c>
      <c r="E95">
        <v>75972.181376811161</v>
      </c>
      <c r="F95">
        <v>41259.612556856162</v>
      </c>
      <c r="G95">
        <v>10000</v>
      </c>
      <c r="H95">
        <v>277412.74858822575</v>
      </c>
      <c r="I95">
        <v>38.68623005194128</v>
      </c>
    </row>
    <row r="96" spans="1:9" x14ac:dyDescent="0.2">
      <c r="A96">
        <v>86</v>
      </c>
      <c r="B96">
        <v>1497292.7357232417</v>
      </c>
      <c r="C96">
        <v>105698.70370043168</v>
      </c>
      <c r="D96">
        <v>100309.30666806339</v>
      </c>
      <c r="E96">
        <v>168603.51198162508</v>
      </c>
      <c r="F96">
        <v>47672.550829497115</v>
      </c>
      <c r="G96">
        <v>10000</v>
      </c>
      <c r="H96">
        <v>412284.07317961723</v>
      </c>
      <c r="I96">
        <v>30.616504828179991</v>
      </c>
    </row>
    <row r="97" spans="1:9" x14ac:dyDescent="0.2">
      <c r="A97">
        <v>87</v>
      </c>
      <c r="B97">
        <v>1230564.6644564699</v>
      </c>
      <c r="C97">
        <v>142322.03404011592</v>
      </c>
      <c r="D97">
        <v>70574.094392385508</v>
      </c>
      <c r="E97">
        <v>93794.179658864188</v>
      </c>
      <c r="F97">
        <v>42493.443207152137</v>
      </c>
      <c r="G97">
        <v>10000</v>
      </c>
      <c r="H97">
        <v>339183.75129851775</v>
      </c>
      <c r="I97">
        <v>46.84282590620505</v>
      </c>
    </row>
    <row r="98" spans="1:9" x14ac:dyDescent="0.2">
      <c r="A98">
        <v>88</v>
      </c>
      <c r="B98">
        <v>1416374.0029016524</v>
      </c>
      <c r="C98">
        <v>144008.75033949164</v>
      </c>
      <c r="D98">
        <v>158067.00990069722</v>
      </c>
      <c r="E98">
        <v>58015.047842028485</v>
      </c>
      <c r="F98">
        <v>40016.426389063505</v>
      </c>
      <c r="G98">
        <v>10000</v>
      </c>
      <c r="H98">
        <v>390107.23447128083</v>
      </c>
      <c r="I98">
        <v>24.788973094881747</v>
      </c>
    </row>
    <row r="99" spans="1:9" x14ac:dyDescent="0.2">
      <c r="A99">
        <v>89</v>
      </c>
      <c r="B99">
        <v>1297161.2206094034</v>
      </c>
      <c r="C99">
        <v>156254.0788087931</v>
      </c>
      <c r="D99">
        <v>65937.432794792141</v>
      </c>
      <c r="E99">
        <v>102170.55234517716</v>
      </c>
      <c r="F99">
        <v>43073.345931589189</v>
      </c>
      <c r="G99">
        <v>10000</v>
      </c>
      <c r="H99">
        <v>357435.40988035157</v>
      </c>
      <c r="I99">
        <v>33.468143882843663</v>
      </c>
    </row>
    <row r="100" spans="1:9" x14ac:dyDescent="0.2">
      <c r="A100">
        <v>90</v>
      </c>
      <c r="B100">
        <v>809729.76592356642</v>
      </c>
      <c r="C100">
        <v>102671.65947026484</v>
      </c>
      <c r="D100">
        <v>65523.550474541596</v>
      </c>
      <c r="E100">
        <v>27733.231798441633</v>
      </c>
      <c r="F100">
        <v>37919.99297066134</v>
      </c>
      <c r="G100">
        <v>10000</v>
      </c>
      <c r="H100">
        <v>223848.43471390943</v>
      </c>
      <c r="I100">
        <v>41.324434772848292</v>
      </c>
    </row>
    <row r="101" spans="1:9" x14ac:dyDescent="0.2">
      <c r="A101">
        <v>91</v>
      </c>
      <c r="B101">
        <v>1598042.317277329</v>
      </c>
      <c r="C101">
        <v>130738.21142300568</v>
      </c>
      <c r="D101">
        <v>104527.00894740074</v>
      </c>
      <c r="E101">
        <v>167064.58560988953</v>
      </c>
      <c r="F101">
        <v>47566.009772992351</v>
      </c>
      <c r="G101">
        <v>10000</v>
      </c>
      <c r="H101">
        <v>439895.81575328828</v>
      </c>
      <c r="I101">
        <v>32.254651171270361</v>
      </c>
    </row>
    <row r="102" spans="1:9" x14ac:dyDescent="0.2">
      <c r="A102">
        <v>92</v>
      </c>
      <c r="B102">
        <v>1599044.6980909586</v>
      </c>
      <c r="C102">
        <v>98321.977581026236</v>
      </c>
      <c r="D102">
        <v>130538.71065986789</v>
      </c>
      <c r="E102">
        <v>173311.3640548996</v>
      </c>
      <c r="F102">
        <v>47998.479049954585</v>
      </c>
      <c r="G102">
        <v>10000</v>
      </c>
      <c r="H102">
        <v>440170.53134574828</v>
      </c>
      <c r="I102">
        <v>34.682449857869656</v>
      </c>
    </row>
    <row r="103" spans="1:9" x14ac:dyDescent="0.2">
      <c r="A103">
        <v>93</v>
      </c>
      <c r="B103">
        <v>1248687.9614945822</v>
      </c>
      <c r="C103">
        <v>115283.63491250099</v>
      </c>
      <c r="D103">
        <v>50616.092800091406</v>
      </c>
      <c r="E103">
        <v>142392.97532675604</v>
      </c>
      <c r="F103">
        <v>45857.975214929262</v>
      </c>
      <c r="G103">
        <v>10000</v>
      </c>
      <c r="H103">
        <v>344150.67825427774</v>
      </c>
      <c r="I103">
        <v>37.725163522392847</v>
      </c>
    </row>
    <row r="104" spans="1:9" x14ac:dyDescent="0.2">
      <c r="A104">
        <v>94</v>
      </c>
      <c r="B104">
        <v>1225665.3075653194</v>
      </c>
      <c r="C104">
        <v>76766.899359446179</v>
      </c>
      <c r="D104">
        <v>78783.587348086192</v>
      </c>
      <c r="E104">
        <v>146171.00083012934</v>
      </c>
      <c r="F104">
        <v>46119.530826701259</v>
      </c>
      <c r="G104">
        <v>10000</v>
      </c>
      <c r="H104">
        <v>337841.01836436294</v>
      </c>
      <c r="I104">
        <v>46.807402850246817</v>
      </c>
    </row>
    <row r="105" spans="1:9" x14ac:dyDescent="0.2">
      <c r="A105">
        <v>95</v>
      </c>
      <c r="B105">
        <v>1140786.0514207755</v>
      </c>
      <c r="C105">
        <v>122971.06894819564</v>
      </c>
      <c r="D105">
        <v>121659.51479637348</v>
      </c>
      <c r="E105">
        <v>41102.59812888156</v>
      </c>
      <c r="F105">
        <v>38845.564485845651</v>
      </c>
      <c r="G105">
        <v>10000</v>
      </c>
      <c r="H105">
        <v>314578.74635929626</v>
      </c>
      <c r="I105">
        <v>43.931280350212234</v>
      </c>
    </row>
    <row r="106" spans="1:9" x14ac:dyDescent="0.2">
      <c r="A106">
        <v>96</v>
      </c>
      <c r="B106">
        <v>1051578.5048032922</v>
      </c>
      <c r="C106">
        <v>100664.14736500262</v>
      </c>
      <c r="D106">
        <v>132591.35655089864</v>
      </c>
      <c r="E106">
        <v>28875.661480323299</v>
      </c>
      <c r="F106">
        <v>37999.084256330076</v>
      </c>
      <c r="G106">
        <v>10000</v>
      </c>
      <c r="H106">
        <v>290130.24965255463</v>
      </c>
      <c r="I106">
        <v>42.162047557776475</v>
      </c>
    </row>
    <row r="107" spans="1:9" x14ac:dyDescent="0.2">
      <c r="A107">
        <v>97</v>
      </c>
      <c r="B107">
        <v>1394807.6212304358</v>
      </c>
      <c r="C107">
        <v>98207.371920174875</v>
      </c>
      <c r="D107">
        <v>142415.86371310716</v>
      </c>
      <c r="E107">
        <v>109960.78004856776</v>
      </c>
      <c r="F107">
        <v>43612.669387977774</v>
      </c>
      <c r="G107">
        <v>10000</v>
      </c>
      <c r="H107">
        <v>384196.6850698276</v>
      </c>
      <c r="I107">
        <v>40.747626737453295</v>
      </c>
    </row>
    <row r="108" spans="1:9" x14ac:dyDescent="0.2">
      <c r="A108">
        <v>98</v>
      </c>
      <c r="B108">
        <v>1144177.6306208577</v>
      </c>
      <c r="C108">
        <v>113820.61729481752</v>
      </c>
      <c r="D108">
        <v>48174.499664495932</v>
      </c>
      <c r="E108">
        <v>119256.88988431134</v>
      </c>
      <c r="F108">
        <v>44256.246222760012</v>
      </c>
      <c r="G108">
        <v>10000</v>
      </c>
      <c r="H108">
        <v>315508.25306638482</v>
      </c>
      <c r="I108">
        <v>41.721057949686184</v>
      </c>
    </row>
    <row r="109" spans="1:9" x14ac:dyDescent="0.2">
      <c r="A109">
        <v>99</v>
      </c>
      <c r="B109">
        <v>1142743.7793856026</v>
      </c>
      <c r="C109">
        <v>109196.7397135183</v>
      </c>
      <c r="D109">
        <v>151528.12692488389</v>
      </c>
      <c r="E109">
        <v>26552.192035159384</v>
      </c>
      <c r="F109">
        <v>37838.228679357191</v>
      </c>
      <c r="G109">
        <v>10000</v>
      </c>
      <c r="H109">
        <v>315115.28735291876</v>
      </c>
      <c r="I109">
        <v>36.815653278154819</v>
      </c>
    </row>
    <row r="110" spans="1:9" x14ac:dyDescent="0.2">
      <c r="A110">
        <v>100</v>
      </c>
      <c r="B110">
        <v>1504651.7568992721</v>
      </c>
      <c r="C110">
        <v>116928.74791787188</v>
      </c>
      <c r="D110">
        <v>76028.917182971272</v>
      </c>
      <c r="E110">
        <v>182695.12050294809</v>
      </c>
      <c r="F110">
        <v>48648.123727127175</v>
      </c>
      <c r="G110">
        <v>10000</v>
      </c>
      <c r="H110">
        <v>414300.9093309184</v>
      </c>
      <c r="I110">
        <v>35.168730385276703</v>
      </c>
    </row>
    <row r="111" spans="1:9" x14ac:dyDescent="0.2">
      <c r="A111">
        <v>101</v>
      </c>
      <c r="B111">
        <v>962526.13537217479</v>
      </c>
      <c r="C111">
        <v>95165.309853767481</v>
      </c>
      <c r="D111">
        <v>57355.222738588418</v>
      </c>
      <c r="E111">
        <v>81557.462807424934</v>
      </c>
      <c r="F111">
        <v>41646.28588666788</v>
      </c>
      <c r="G111">
        <v>10000</v>
      </c>
      <c r="H111">
        <v>265724.28128644876</v>
      </c>
      <c r="I111">
        <v>49.844114720820471</v>
      </c>
    </row>
    <row r="112" spans="1:9" x14ac:dyDescent="0.2">
      <c r="A112">
        <v>102</v>
      </c>
      <c r="B112">
        <v>1586584.4310827125</v>
      </c>
      <c r="C112">
        <v>102616.90648251931</v>
      </c>
      <c r="D112">
        <v>88433.986842243292</v>
      </c>
      <c r="E112">
        <v>205479.251952961</v>
      </c>
      <c r="F112">
        <v>50225.486673666528</v>
      </c>
      <c r="G112">
        <v>10000</v>
      </c>
      <c r="H112">
        <v>436755.63195139007</v>
      </c>
      <c r="I112">
        <v>31.053591774707595</v>
      </c>
    </row>
    <row r="113" spans="1:9" x14ac:dyDescent="0.2">
      <c r="A113">
        <v>103</v>
      </c>
      <c r="B113">
        <v>1002825.9156175602</v>
      </c>
      <c r="C113">
        <v>110134.52775367237</v>
      </c>
      <c r="D113">
        <v>101511.62263959998</v>
      </c>
      <c r="E113">
        <v>36589.681754476071</v>
      </c>
      <c r="F113">
        <v>38533.131813771419</v>
      </c>
      <c r="G113">
        <v>10000</v>
      </c>
      <c r="H113">
        <v>276768.96396151982</v>
      </c>
      <c r="I113">
        <v>33.007252660566436</v>
      </c>
    </row>
    <row r="114" spans="1:9" x14ac:dyDescent="0.2">
      <c r="A114">
        <v>104</v>
      </c>
      <c r="B114">
        <v>1235419.5964677772</v>
      </c>
      <c r="C114">
        <v>109605.98351047959</v>
      </c>
      <c r="D114">
        <v>67559.939461472299</v>
      </c>
      <c r="E114">
        <v>128455.32507381606</v>
      </c>
      <c r="F114">
        <v>44893.060966648802</v>
      </c>
      <c r="G114">
        <v>10000</v>
      </c>
      <c r="H114">
        <v>340514.30901241675</v>
      </c>
      <c r="I114">
        <v>40.999480888379686</v>
      </c>
    </row>
    <row r="115" spans="1:9" x14ac:dyDescent="0.2">
      <c r="A115">
        <v>105</v>
      </c>
      <c r="B115">
        <v>1475162.5225770534</v>
      </c>
      <c r="C115">
        <v>103782.31524495964</v>
      </c>
      <c r="D115">
        <v>79813.06389235695</v>
      </c>
      <c r="E115">
        <v>183892.59353319107</v>
      </c>
      <c r="F115">
        <v>48731.025706143999</v>
      </c>
      <c r="G115">
        <v>10000</v>
      </c>
      <c r="H115">
        <v>406218.99837665167</v>
      </c>
      <c r="I115">
        <v>28.020322552340474</v>
      </c>
    </row>
    <row r="116" spans="1:9" x14ac:dyDescent="0.2">
      <c r="A116">
        <v>106</v>
      </c>
      <c r="B116">
        <v>1208649.8487083595</v>
      </c>
      <c r="C116">
        <v>125740.27674735655</v>
      </c>
      <c r="D116">
        <v>91808.877936355915</v>
      </c>
      <c r="E116">
        <v>83825.266602474061</v>
      </c>
      <c r="F116">
        <v>41803.287687863587</v>
      </c>
      <c r="G116">
        <v>10000</v>
      </c>
      <c r="H116">
        <v>333177.70897405013</v>
      </c>
      <c r="I116">
        <v>33.88743070565279</v>
      </c>
    </row>
    <row r="117" spans="1:9" x14ac:dyDescent="0.2">
      <c r="A117">
        <v>107</v>
      </c>
      <c r="B117">
        <v>1255911.8135738296</v>
      </c>
      <c r="C117">
        <v>98117.251766793517</v>
      </c>
      <c r="D117">
        <v>100815.31838599889</v>
      </c>
      <c r="E117">
        <v>113350.55338744652</v>
      </c>
      <c r="F117">
        <v>43847.346003746294</v>
      </c>
      <c r="G117">
        <v>10000</v>
      </c>
      <c r="H117">
        <v>346130.46954398521</v>
      </c>
      <c r="I117">
        <v>34.547832398836547</v>
      </c>
    </row>
    <row r="118" spans="1:9" x14ac:dyDescent="0.2">
      <c r="A118">
        <v>108</v>
      </c>
      <c r="B118">
        <v>1264598.8908533242</v>
      </c>
      <c r="C118">
        <v>112969.82808805516</v>
      </c>
      <c r="D118">
        <v>48369.536518549176</v>
      </c>
      <c r="E118">
        <v>150736.32081911535</v>
      </c>
      <c r="F118">
        <v>46435.59144132337</v>
      </c>
      <c r="G118">
        <v>10000</v>
      </c>
      <c r="H118">
        <v>348511.27686704311</v>
      </c>
      <c r="I118">
        <v>48.548351851837857</v>
      </c>
    </row>
    <row r="119" spans="1:9" x14ac:dyDescent="0.2">
      <c r="A119">
        <v>109</v>
      </c>
      <c r="B119">
        <v>1074119.6359934807</v>
      </c>
      <c r="C119">
        <v>103829.50060806047</v>
      </c>
      <c r="D119">
        <v>118343.97037785889</v>
      </c>
      <c r="E119">
        <v>45017.850521572669</v>
      </c>
      <c r="F119">
        <v>39116.620420724263</v>
      </c>
      <c r="G119">
        <v>10000</v>
      </c>
      <c r="H119">
        <v>296307.94192821631</v>
      </c>
      <c r="I119">
        <v>26.278646188922824</v>
      </c>
    </row>
    <row r="120" spans="1:9" x14ac:dyDescent="0.2">
      <c r="A120">
        <v>110</v>
      </c>
      <c r="B120">
        <v>1370615.9740582909</v>
      </c>
      <c r="C120">
        <v>159499.14436997814</v>
      </c>
      <c r="D120">
        <v>62034.758116452635</v>
      </c>
      <c r="E120">
        <v>121613.35842947019</v>
      </c>
      <c r="F120">
        <v>44419.386352809473</v>
      </c>
      <c r="G120">
        <v>10000</v>
      </c>
      <c r="H120">
        <v>377566.64726871043</v>
      </c>
      <c r="I120">
        <v>36.069692426378779</v>
      </c>
    </row>
    <row r="121" spans="1:9" x14ac:dyDescent="0.2">
      <c r="A121">
        <v>111</v>
      </c>
      <c r="B121">
        <v>1606304.4148264453</v>
      </c>
      <c r="C121">
        <v>96475.715460296095</v>
      </c>
      <c r="D121">
        <v>163814.51335334333</v>
      </c>
      <c r="E121">
        <v>145777.62582795581</v>
      </c>
      <c r="F121">
        <v>46092.297172704624</v>
      </c>
      <c r="G121">
        <v>10000</v>
      </c>
      <c r="H121">
        <v>442160.15181429987</v>
      </c>
      <c r="I121">
        <v>38.519287113133075</v>
      </c>
    </row>
    <row r="122" spans="1:9" x14ac:dyDescent="0.2">
      <c r="A122">
        <v>112</v>
      </c>
      <c r="B122">
        <v>960830.82519560214</v>
      </c>
      <c r="C122">
        <v>129796.38636726333</v>
      </c>
      <c r="D122">
        <v>45377.258659046514</v>
      </c>
      <c r="E122">
        <v>59936.560135639673</v>
      </c>
      <c r="F122">
        <v>40149.454163236587</v>
      </c>
      <c r="G122">
        <v>10000</v>
      </c>
      <c r="H122">
        <v>265259.6593251861</v>
      </c>
      <c r="I122">
        <v>45.808193588934856</v>
      </c>
    </row>
    <row r="123" spans="1:9" x14ac:dyDescent="0.2">
      <c r="A123">
        <v>113</v>
      </c>
      <c r="B123">
        <v>910658.04071290721</v>
      </c>
      <c r="C123">
        <v>110253.50170358356</v>
      </c>
      <c r="D123">
        <v>50829.202711506274</v>
      </c>
      <c r="E123">
        <v>60254.949584660404</v>
      </c>
      <c r="F123">
        <v>40171.496509707256</v>
      </c>
      <c r="G123">
        <v>10000</v>
      </c>
      <c r="H123">
        <v>251509.15050945751</v>
      </c>
      <c r="I123">
        <v>40.510499829353975</v>
      </c>
    </row>
    <row r="124" spans="1:9" x14ac:dyDescent="0.2">
      <c r="A124">
        <v>114</v>
      </c>
      <c r="B124">
        <v>1584912.2423316438</v>
      </c>
      <c r="C124">
        <v>98511.561176666713</v>
      </c>
      <c r="D124">
        <v>132253.30957274127</v>
      </c>
      <c r="E124">
        <v>167908.07105131607</v>
      </c>
      <c r="F124">
        <v>47624.404918937267</v>
      </c>
      <c r="G124">
        <v>10000</v>
      </c>
      <c r="H124">
        <v>436297.34671966126</v>
      </c>
      <c r="I124">
        <v>31.361275270802505</v>
      </c>
    </row>
    <row r="125" spans="1:9" x14ac:dyDescent="0.2">
      <c r="A125">
        <v>115</v>
      </c>
      <c r="B125">
        <v>1165462.1548457325</v>
      </c>
      <c r="C125">
        <v>84463.828383565269</v>
      </c>
      <c r="D125">
        <v>88428.862792280852</v>
      </c>
      <c r="E125">
        <v>114520.52081776503</v>
      </c>
      <c r="F125">
        <v>43928.343748922198</v>
      </c>
      <c r="G125">
        <v>10000</v>
      </c>
      <c r="H125">
        <v>321341.55574253341</v>
      </c>
      <c r="I125">
        <v>49.637797600959935</v>
      </c>
    </row>
    <row r="126" spans="1:9" x14ac:dyDescent="0.2">
      <c r="A126">
        <v>116</v>
      </c>
      <c r="B126">
        <v>1193440.5566789638</v>
      </c>
      <c r="C126">
        <v>103061.57708686631</v>
      </c>
      <c r="D126">
        <v>76869.376027888153</v>
      </c>
      <c r="E126">
        <v>115109.34186465619</v>
      </c>
      <c r="F126">
        <v>43969.108282937734</v>
      </c>
      <c r="G126">
        <v>10000</v>
      </c>
      <c r="H126">
        <v>329009.40326234838</v>
      </c>
      <c r="I126">
        <v>44.521222936937932</v>
      </c>
    </row>
    <row r="127" spans="1:9" x14ac:dyDescent="0.2">
      <c r="A127">
        <v>117</v>
      </c>
      <c r="B127">
        <v>1390782.7455009604</v>
      </c>
      <c r="C127">
        <v>103949.93806341666</v>
      </c>
      <c r="D127">
        <v>137975.86973644022</v>
      </c>
      <c r="E127">
        <v>107710.89896348263</v>
      </c>
      <c r="F127">
        <v>43456.908389779564</v>
      </c>
      <c r="G127">
        <v>10000</v>
      </c>
      <c r="H127">
        <v>383093.61515311908</v>
      </c>
      <c r="I127">
        <v>31.164957872070254</v>
      </c>
    </row>
    <row r="128" spans="1:9" x14ac:dyDescent="0.2">
      <c r="A128">
        <v>118</v>
      </c>
      <c r="B128">
        <v>1333907.1465790907</v>
      </c>
      <c r="C128">
        <v>91247.082050474099</v>
      </c>
      <c r="D128">
        <v>59718.041508925511</v>
      </c>
      <c r="E128">
        <v>178203.80236144189</v>
      </c>
      <c r="F128">
        <v>48337.186317330597</v>
      </c>
      <c r="G128">
        <v>10000</v>
      </c>
      <c r="H128">
        <v>367506.11223817209</v>
      </c>
      <c r="I128">
        <v>28.290664663808549</v>
      </c>
    </row>
    <row r="129" spans="1:9" x14ac:dyDescent="0.2">
      <c r="A129">
        <v>119</v>
      </c>
      <c r="B129">
        <v>971083.32598188275</v>
      </c>
      <c r="C129">
        <v>122146.94713726376</v>
      </c>
      <c r="D129">
        <v>63589.008571548409</v>
      </c>
      <c r="E129">
        <v>52686.040636431535</v>
      </c>
      <c r="F129">
        <v>39647.495120983724</v>
      </c>
      <c r="G129">
        <v>10000</v>
      </c>
      <c r="H129">
        <v>268069.49146622745</v>
      </c>
      <c r="I129">
        <v>40.978569160468695</v>
      </c>
    </row>
    <row r="130" spans="1:9" x14ac:dyDescent="0.2">
      <c r="A130">
        <v>120</v>
      </c>
      <c r="B130">
        <v>978727.29686125566</v>
      </c>
      <c r="C130">
        <v>114564.72621340102</v>
      </c>
      <c r="D130">
        <v>83301.934867598058</v>
      </c>
      <c r="E130">
        <v>43300.063997110097</v>
      </c>
      <c r="F130">
        <v>38997.696738261468</v>
      </c>
      <c r="G130">
        <v>10000</v>
      </c>
      <c r="H130">
        <v>270164.42181637062</v>
      </c>
      <c r="I130">
        <v>24.566116695984707</v>
      </c>
    </row>
    <row r="131" spans="1:9" x14ac:dyDescent="0.2">
      <c r="A131">
        <v>121</v>
      </c>
      <c r="B131">
        <v>1512049.9281824012</v>
      </c>
      <c r="C131">
        <v>135601.5469001884</v>
      </c>
      <c r="D131">
        <v>115496.00755892848</v>
      </c>
      <c r="E131">
        <v>130215.96892779107</v>
      </c>
      <c r="F131">
        <v>45014.95169500092</v>
      </c>
      <c r="G131">
        <v>10000</v>
      </c>
      <c r="H131">
        <v>416328.47508190887</v>
      </c>
      <c r="I131">
        <v>27.555704194679709</v>
      </c>
    </row>
    <row r="132" spans="1:9" x14ac:dyDescent="0.2">
      <c r="A132">
        <v>122</v>
      </c>
      <c r="B132">
        <v>1198806.4829404331</v>
      </c>
      <c r="C132">
        <v>156571.27047373675</v>
      </c>
      <c r="D132">
        <v>41414.199844483192</v>
      </c>
      <c r="E132">
        <v>99599.205700528983</v>
      </c>
      <c r="F132">
        <v>42895.32962542124</v>
      </c>
      <c r="G132">
        <v>10000</v>
      </c>
      <c r="H132">
        <v>330480.00564417016</v>
      </c>
      <c r="I132">
        <v>36.137925700460826</v>
      </c>
    </row>
    <row r="133" spans="1:9" x14ac:dyDescent="0.2">
      <c r="A133">
        <v>123</v>
      </c>
      <c r="B133">
        <v>1640223.2160172693</v>
      </c>
      <c r="C133">
        <v>142046.67246794945</v>
      </c>
      <c r="D133">
        <v>145346.26999632173</v>
      </c>
      <c r="E133">
        <v>129123.76364568927</v>
      </c>
      <c r="F133">
        <v>44939.337483163101</v>
      </c>
      <c r="G133">
        <v>10000</v>
      </c>
      <c r="H133">
        <v>451456.04359312356</v>
      </c>
      <c r="I133">
        <v>39.39994887942418</v>
      </c>
    </row>
    <row r="134" spans="1:9" x14ac:dyDescent="0.2">
      <c r="A134">
        <v>124</v>
      </c>
      <c r="B134">
        <v>1051519.1691297591</v>
      </c>
      <c r="C134">
        <v>97170.206741566246</v>
      </c>
      <c r="D134">
        <v>134486.13151355795</v>
      </c>
      <c r="E134">
        <v>30356.075239205671</v>
      </c>
      <c r="F134">
        <v>38101.574439637312</v>
      </c>
      <c r="G134">
        <v>10000</v>
      </c>
      <c r="H134">
        <v>290113.9879339672</v>
      </c>
      <c r="I134">
        <v>31.614698979399147</v>
      </c>
    </row>
    <row r="135" spans="1:9" x14ac:dyDescent="0.2">
      <c r="A135">
        <v>125</v>
      </c>
      <c r="B135">
        <v>1330588.3270937148</v>
      </c>
      <c r="C135">
        <v>87888.438693589924</v>
      </c>
      <c r="D135">
        <v>81591.250197707122</v>
      </c>
      <c r="E135">
        <v>160037.34864065741</v>
      </c>
      <c r="F135">
        <v>47079.508752045513</v>
      </c>
      <c r="G135">
        <v>10000</v>
      </c>
      <c r="H135">
        <v>366596.54628399998</v>
      </c>
      <c r="I135">
        <v>35.48412539110798</v>
      </c>
    </row>
    <row r="136" spans="1:9" x14ac:dyDescent="0.2">
      <c r="A136">
        <v>126</v>
      </c>
      <c r="B136">
        <v>1066748.9809023296</v>
      </c>
      <c r="C136">
        <v>102480.66297518542</v>
      </c>
      <c r="D136">
        <v>48376.054297852235</v>
      </c>
      <c r="E136">
        <v>109827.74107924844</v>
      </c>
      <c r="F136">
        <v>43603.458997794129</v>
      </c>
      <c r="G136">
        <v>10000</v>
      </c>
      <c r="H136">
        <v>294287.91735008021</v>
      </c>
      <c r="I136">
        <v>25.56247314826436</v>
      </c>
    </row>
    <row r="137" spans="1:9" x14ac:dyDescent="0.2">
      <c r="A137">
        <v>127</v>
      </c>
      <c r="B137">
        <v>1565179.3860063776</v>
      </c>
      <c r="C137">
        <v>95617.553170860163</v>
      </c>
      <c r="D137">
        <v>116604.17507707408</v>
      </c>
      <c r="E137">
        <v>180192.69203021139</v>
      </c>
      <c r="F137">
        <v>48474.878679014641</v>
      </c>
      <c r="G137">
        <v>10000</v>
      </c>
      <c r="H137">
        <v>430889.29895716027</v>
      </c>
      <c r="I137">
        <v>49.941689280070719</v>
      </c>
    </row>
    <row r="138" spans="1:9" x14ac:dyDescent="0.2">
      <c r="A138">
        <v>128</v>
      </c>
      <c r="B138">
        <v>1222646.8597987131</v>
      </c>
      <c r="C138">
        <v>119626.40276998554</v>
      </c>
      <c r="D138">
        <v>47229.589014223391</v>
      </c>
      <c r="E138">
        <v>134823.82435915121</v>
      </c>
      <c r="F138">
        <v>45333.957071018158</v>
      </c>
      <c r="G138">
        <v>10000</v>
      </c>
      <c r="H138">
        <v>337013.77321437828</v>
      </c>
      <c r="I138">
        <v>36.629949947459551</v>
      </c>
    </row>
    <row r="139" spans="1:9" x14ac:dyDescent="0.2">
      <c r="A139">
        <v>129</v>
      </c>
      <c r="B139">
        <v>1418983.6202216165</v>
      </c>
      <c r="C139">
        <v>149948.78288036879</v>
      </c>
      <c r="D139">
        <v>114166.31715151932</v>
      </c>
      <c r="E139">
        <v>94186.715485689419</v>
      </c>
      <c r="F139">
        <v>42520.618764393876</v>
      </c>
      <c r="G139">
        <v>10000</v>
      </c>
      <c r="H139">
        <v>390822.43428197142</v>
      </c>
      <c r="I139">
        <v>36.481587856530204</v>
      </c>
    </row>
    <row r="140" spans="1:9" x14ac:dyDescent="0.2">
      <c r="A140">
        <v>130</v>
      </c>
      <c r="B140">
        <v>1113059.9815322852</v>
      </c>
      <c r="C140">
        <v>134868.86230003013</v>
      </c>
      <c r="D140">
        <v>92861.134059289485</v>
      </c>
      <c r="E140">
        <v>49802.211914738145</v>
      </c>
      <c r="F140">
        <v>39447.845440251105</v>
      </c>
      <c r="G140">
        <v>10000</v>
      </c>
      <c r="H140">
        <v>306980.05371430883</v>
      </c>
      <c r="I140">
        <v>25.453190805221809</v>
      </c>
    </row>
    <row r="141" spans="1:9" x14ac:dyDescent="0.2">
      <c r="A141">
        <v>131</v>
      </c>
      <c r="B141">
        <v>1315105.279581015</v>
      </c>
      <c r="C141">
        <v>113641.64733137419</v>
      </c>
      <c r="D141">
        <v>62078.960607757246</v>
      </c>
      <c r="E141">
        <v>150231.93400291479</v>
      </c>
      <c r="F141">
        <v>46400.672354047943</v>
      </c>
      <c r="G141">
        <v>10000</v>
      </c>
      <c r="H141">
        <v>362353.2142960942</v>
      </c>
      <c r="I141">
        <v>31.538524685434439</v>
      </c>
    </row>
    <row r="142" spans="1:9" x14ac:dyDescent="0.2">
      <c r="A142">
        <v>132</v>
      </c>
      <c r="B142">
        <v>1011034.0281807026</v>
      </c>
      <c r="C142">
        <v>102892.90080353881</v>
      </c>
      <c r="D142">
        <v>64247.67318152677</v>
      </c>
      <c r="E142">
        <v>80317.489185872502</v>
      </c>
      <c r="F142">
        <v>41560.441559021943</v>
      </c>
      <c r="G142">
        <v>10000</v>
      </c>
      <c r="H142">
        <v>279018.50472996</v>
      </c>
      <c r="I142">
        <v>32.745383959838293</v>
      </c>
    </row>
    <row r="143" spans="1:9" x14ac:dyDescent="0.2">
      <c r="A143">
        <v>133</v>
      </c>
      <c r="B143">
        <v>1473534.9496165235</v>
      </c>
      <c r="C143">
        <v>112076.67724419595</v>
      </c>
      <c r="D143">
        <v>157567.61478033452</v>
      </c>
      <c r="E143">
        <v>102998.01673445514</v>
      </c>
      <c r="F143">
        <v>43130.631927769973</v>
      </c>
      <c r="G143">
        <v>10000</v>
      </c>
      <c r="H143">
        <v>405772.94068675558</v>
      </c>
      <c r="I143">
        <v>25.370847293433204</v>
      </c>
    </row>
    <row r="144" spans="1:9" x14ac:dyDescent="0.2">
      <c r="A144">
        <v>134</v>
      </c>
      <c r="B144">
        <v>1380352.8812370808</v>
      </c>
      <c r="C144">
        <v>132437.59497036191</v>
      </c>
      <c r="D144">
        <v>61662.879264157156</v>
      </c>
      <c r="E144">
        <v>149766.26618067722</v>
      </c>
      <c r="F144">
        <v>46368.433812508418</v>
      </c>
      <c r="G144">
        <v>10000</v>
      </c>
      <c r="H144">
        <v>380235.1742277047</v>
      </c>
      <c r="I144">
        <v>55.055012031009483</v>
      </c>
    </row>
    <row r="145" spans="1:9" x14ac:dyDescent="0.2">
      <c r="A145">
        <v>135</v>
      </c>
      <c r="B145">
        <v>1536761.4670650496</v>
      </c>
      <c r="C145">
        <v>131673.26939861054</v>
      </c>
      <c r="D145">
        <v>111242.55404819583</v>
      </c>
      <c r="E145">
        <v>144201.95995727295</v>
      </c>
      <c r="F145">
        <v>45983.212612426592</v>
      </c>
      <c r="G145">
        <v>10000</v>
      </c>
      <c r="H145">
        <v>423100.99601650593</v>
      </c>
      <c r="I145">
        <v>31.323475211255893</v>
      </c>
    </row>
    <row r="146" spans="1:9" x14ac:dyDescent="0.2">
      <c r="A146">
        <v>136</v>
      </c>
      <c r="B146">
        <v>1409770.47735249</v>
      </c>
      <c r="C146">
        <v>98801.078392974552</v>
      </c>
      <c r="D146">
        <v>75906.367790964141</v>
      </c>
      <c r="E146">
        <v>175443.890137957</v>
      </c>
      <c r="F146">
        <v>48146.115471089332</v>
      </c>
      <c r="G146">
        <v>10000</v>
      </c>
      <c r="H146">
        <v>388297.45179298503</v>
      </c>
      <c r="I146">
        <v>32.591020891015646</v>
      </c>
    </row>
    <row r="147" spans="1:9" x14ac:dyDescent="0.2">
      <c r="A147">
        <v>137</v>
      </c>
      <c r="B147">
        <v>1212538.5869683146</v>
      </c>
      <c r="C147">
        <v>82864.999734929588</v>
      </c>
      <c r="D147">
        <v>62288.317160039631</v>
      </c>
      <c r="E147">
        <v>152530.35774147548</v>
      </c>
      <c r="F147">
        <v>46559.793997486762</v>
      </c>
      <c r="G147">
        <v>10000</v>
      </c>
      <c r="H147">
        <v>334243.46863393142</v>
      </c>
      <c r="I147">
        <v>35.013268297471541</v>
      </c>
    </row>
    <row r="148" spans="1:9" x14ac:dyDescent="0.2">
      <c r="A148">
        <v>138</v>
      </c>
      <c r="B148">
        <v>772254.85727689893</v>
      </c>
      <c r="C148">
        <v>117285.78746168614</v>
      </c>
      <c r="D148">
        <v>38119.349264635246</v>
      </c>
      <c r="E148">
        <v>30089.676900268998</v>
      </c>
      <c r="F148">
        <v>38083.131477710929</v>
      </c>
      <c r="G148">
        <v>10000</v>
      </c>
      <c r="H148">
        <v>213577.94510430133</v>
      </c>
      <c r="I148">
        <v>49.202193500209397</v>
      </c>
    </row>
    <row r="149" spans="1:9" x14ac:dyDescent="0.2">
      <c r="A149">
        <v>139</v>
      </c>
      <c r="B149">
        <v>1740530.6912396764</v>
      </c>
      <c r="C149">
        <v>150298.53271240403</v>
      </c>
      <c r="D149">
        <v>86808.281953486832</v>
      </c>
      <c r="E149">
        <v>201864.56720161976</v>
      </c>
      <c r="F149">
        <v>49975.239267804442</v>
      </c>
      <c r="G149">
        <v>10000</v>
      </c>
      <c r="H149">
        <v>478946.62113531504</v>
      </c>
      <c r="I149">
        <v>36.661087768674847</v>
      </c>
    </row>
    <row r="150" spans="1:9" x14ac:dyDescent="0.2">
      <c r="A150">
        <v>140</v>
      </c>
      <c r="B150">
        <v>1282415.1220981795</v>
      </c>
      <c r="C150">
        <v>130480.37739469011</v>
      </c>
      <c r="D150">
        <v>35878.616161139144</v>
      </c>
      <c r="E150">
        <v>150608.324692936</v>
      </c>
      <c r="F150">
        <v>46426.730171049414</v>
      </c>
      <c r="G150">
        <v>10000</v>
      </c>
      <c r="H150">
        <v>353394.04841981467</v>
      </c>
      <c r="I150">
        <v>47.257899577752752</v>
      </c>
    </row>
    <row r="151" spans="1:9" x14ac:dyDescent="0.2">
      <c r="A151">
        <v>141</v>
      </c>
      <c r="B151">
        <v>918402.48115860019</v>
      </c>
      <c r="C151">
        <v>122325.98890154534</v>
      </c>
      <c r="D151">
        <v>60455.859886085942</v>
      </c>
      <c r="E151">
        <v>41945.825319791526</v>
      </c>
      <c r="F151">
        <v>38903.941752908642</v>
      </c>
      <c r="G151">
        <v>10000</v>
      </c>
      <c r="H151">
        <v>253631.61586033145</v>
      </c>
      <c r="I151">
        <v>28.015505308271671</v>
      </c>
    </row>
    <row r="152" spans="1:9" x14ac:dyDescent="0.2">
      <c r="A152">
        <v>142</v>
      </c>
      <c r="B152">
        <v>1297039.9678576533</v>
      </c>
      <c r="C152">
        <v>91668.816159175854</v>
      </c>
      <c r="D152">
        <v>59132.469453107609</v>
      </c>
      <c r="E152">
        <v>168907.31033961344</v>
      </c>
      <c r="F152">
        <v>47693.583023511703</v>
      </c>
      <c r="G152">
        <v>10000</v>
      </c>
      <c r="H152">
        <v>357402.17897540855</v>
      </c>
      <c r="I152">
        <v>27.859149406561389</v>
      </c>
    </row>
    <row r="153" spans="1:9" x14ac:dyDescent="0.2">
      <c r="A153">
        <v>143</v>
      </c>
      <c r="B153">
        <v>1315558.267643101</v>
      </c>
      <c r="C153">
        <v>117524.57060960587</v>
      </c>
      <c r="D153">
        <v>64474.556698047425</v>
      </c>
      <c r="E153">
        <v>144476.04646826291</v>
      </c>
      <c r="F153">
        <v>46002.187832418203</v>
      </c>
      <c r="G153">
        <v>10000</v>
      </c>
      <c r="H153">
        <v>362477.36160833441</v>
      </c>
      <c r="I153">
        <v>29.217140558722793</v>
      </c>
    </row>
    <row r="154" spans="1:9" x14ac:dyDescent="0.2">
      <c r="A154">
        <v>144</v>
      </c>
      <c r="B154">
        <v>1401507.7116014496</v>
      </c>
      <c r="C154">
        <v>84807.791988550249</v>
      </c>
      <c r="D154">
        <v>159752.30047201726</v>
      </c>
      <c r="E154">
        <v>107996.18142769087</v>
      </c>
      <c r="F154">
        <v>43476.658714224752</v>
      </c>
      <c r="G154">
        <v>10000</v>
      </c>
      <c r="H154">
        <v>386032.93260248314</v>
      </c>
      <c r="I154">
        <v>33.310116489478972</v>
      </c>
    </row>
    <row r="155" spans="1:9" x14ac:dyDescent="0.2">
      <c r="A155">
        <v>145</v>
      </c>
      <c r="B155">
        <v>1671772.4299923284</v>
      </c>
      <c r="C155">
        <v>115667.10828500238</v>
      </c>
      <c r="D155">
        <v>107937.64153167434</v>
      </c>
      <c r="E155">
        <v>196868.41718023008</v>
      </c>
      <c r="F155">
        <v>49629.351958631312</v>
      </c>
      <c r="G155">
        <v>10000</v>
      </c>
      <c r="H155">
        <v>460102.51895553811</v>
      </c>
      <c r="I155">
        <v>32.459072492938873</v>
      </c>
    </row>
    <row r="156" spans="1:9" x14ac:dyDescent="0.2">
      <c r="A156">
        <v>146</v>
      </c>
      <c r="B156">
        <v>1462488.2104983563</v>
      </c>
      <c r="C156">
        <v>89979.864367048038</v>
      </c>
      <c r="D156">
        <v>101669.22524060332</v>
      </c>
      <c r="E156">
        <v>173111.69192447359</v>
      </c>
      <c r="F156">
        <v>47984.655594771248</v>
      </c>
      <c r="G156">
        <v>10000</v>
      </c>
      <c r="H156">
        <v>402745.43712689623</v>
      </c>
      <c r="I156">
        <v>34.658728100997187</v>
      </c>
    </row>
    <row r="157" spans="1:9" x14ac:dyDescent="0.2">
      <c r="A157">
        <v>147</v>
      </c>
      <c r="B157">
        <v>1516532.623013468</v>
      </c>
      <c r="C157">
        <v>95247.341416004274</v>
      </c>
      <c r="D157">
        <v>88973.821896221489</v>
      </c>
      <c r="E157">
        <v>193911.2294322151</v>
      </c>
      <c r="F157">
        <v>49424.623576076432</v>
      </c>
      <c r="G157">
        <v>10000</v>
      </c>
      <c r="H157">
        <v>417557.01632051729</v>
      </c>
      <c r="I157">
        <v>33.276405274278261</v>
      </c>
    </row>
    <row r="158" spans="1:9" x14ac:dyDescent="0.2">
      <c r="A158">
        <v>148</v>
      </c>
      <c r="B158">
        <v>1373879.415325999</v>
      </c>
      <c r="C158">
        <v>76798.826540111928</v>
      </c>
      <c r="D158">
        <v>153811.0977491503</v>
      </c>
      <c r="E158">
        <v>113961.47147478309</v>
      </c>
      <c r="F158">
        <v>43889.640332869596</v>
      </c>
      <c r="G158">
        <v>10000</v>
      </c>
      <c r="H158">
        <v>378461.0360969149</v>
      </c>
      <c r="I158">
        <v>31.108877308898901</v>
      </c>
    </row>
    <row r="159" spans="1:9" x14ac:dyDescent="0.2">
      <c r="A159">
        <v>149</v>
      </c>
      <c r="B159">
        <v>1464501.1886187629</v>
      </c>
      <c r="C159">
        <v>148789.68973517916</v>
      </c>
      <c r="D159">
        <v>39537.330555061846</v>
      </c>
      <c r="E159">
        <v>176734.62576755276</v>
      </c>
      <c r="F159">
        <v>48235.474091599805</v>
      </c>
      <c r="G159">
        <v>10000</v>
      </c>
      <c r="H159">
        <v>403297.12014939357</v>
      </c>
      <c r="I159">
        <v>30.532646848128486</v>
      </c>
    </row>
    <row r="160" spans="1:9" x14ac:dyDescent="0.2">
      <c r="A160">
        <v>150</v>
      </c>
      <c r="B160">
        <v>1430208.8890067951</v>
      </c>
      <c r="C160">
        <v>123934.1887023509</v>
      </c>
      <c r="D160">
        <v>92347.809948431357</v>
      </c>
      <c r="E160">
        <v>141799.9481009914</v>
      </c>
      <c r="F160">
        <v>45816.919483914789</v>
      </c>
      <c r="G160">
        <v>10000</v>
      </c>
      <c r="H160">
        <v>393898.8662356885</v>
      </c>
      <c r="I160">
        <v>27.010841892918521</v>
      </c>
    </row>
    <row r="161" spans="1:9" x14ac:dyDescent="0.2">
      <c r="A161">
        <v>151</v>
      </c>
      <c r="B161">
        <v>878949.65995382087</v>
      </c>
      <c r="C161">
        <v>86844.840892356806</v>
      </c>
      <c r="D161">
        <v>94584.187654085545</v>
      </c>
      <c r="E161">
        <v>33098.584400003048</v>
      </c>
      <c r="F161">
        <v>38291.440458461751</v>
      </c>
      <c r="G161">
        <v>10000</v>
      </c>
      <c r="H161">
        <v>242819.05340490714</v>
      </c>
      <c r="I161">
        <v>32.92791063786494</v>
      </c>
    </row>
    <row r="162" spans="1:9" x14ac:dyDescent="0.2">
      <c r="A162">
        <v>152</v>
      </c>
      <c r="B162">
        <v>1157841.0718722357</v>
      </c>
      <c r="C162">
        <v>91235.89823798502</v>
      </c>
      <c r="D162">
        <v>48833.279680901964</v>
      </c>
      <c r="E162">
        <v>143265.34983100815</v>
      </c>
      <c r="F162">
        <v>45918.370372915946</v>
      </c>
      <c r="G162">
        <v>10000</v>
      </c>
      <c r="H162">
        <v>319252.89812281105</v>
      </c>
      <c r="I162">
        <v>38.148054055543213</v>
      </c>
    </row>
    <row r="163" spans="1:9" x14ac:dyDescent="0.2">
      <c r="A163">
        <v>153</v>
      </c>
      <c r="B163">
        <v>1154028.5334262224</v>
      </c>
      <c r="C163">
        <v>121638.11274842339</v>
      </c>
      <c r="D163">
        <v>79209.109054633387</v>
      </c>
      <c r="E163">
        <v>85445.352720979965</v>
      </c>
      <c r="F163">
        <v>41915.447496067849</v>
      </c>
      <c r="G163">
        <v>10000</v>
      </c>
      <c r="H163">
        <v>318208.02202010457</v>
      </c>
      <c r="I163">
        <v>32.255831157966519</v>
      </c>
    </row>
    <row r="164" spans="1:9" x14ac:dyDescent="0.2">
      <c r="A164">
        <v>154</v>
      </c>
      <c r="B164">
        <v>1444127.0990175623</v>
      </c>
      <c r="C164">
        <v>132007.76721217221</v>
      </c>
      <c r="D164">
        <v>136644.47927933064</v>
      </c>
      <c r="E164">
        <v>96388.067461394749</v>
      </c>
      <c r="F164">
        <v>42673.020055019639</v>
      </c>
      <c r="G164">
        <v>10000</v>
      </c>
      <c r="H164">
        <v>397713.33400791726</v>
      </c>
      <c r="I164">
        <v>31.148679843534261</v>
      </c>
    </row>
    <row r="165" spans="1:9" x14ac:dyDescent="0.2">
      <c r="A165">
        <v>155</v>
      </c>
      <c r="B165">
        <v>1835143.7512833732</v>
      </c>
      <c r="C165">
        <v>134790.5761684243</v>
      </c>
      <c r="D165">
        <v>145662.07095165426</v>
      </c>
      <c r="E165">
        <v>185576.33038152565</v>
      </c>
      <c r="F165">
        <v>48847.592103336392</v>
      </c>
      <c r="G165">
        <v>10000</v>
      </c>
      <c r="H165">
        <v>504876.56960494065</v>
      </c>
      <c r="I165">
        <v>40.494691535942238</v>
      </c>
    </row>
    <row r="166" spans="1:9" x14ac:dyDescent="0.2">
      <c r="A166">
        <v>156</v>
      </c>
      <c r="B166">
        <v>947135.19829257985</v>
      </c>
      <c r="C166">
        <v>137703.11335292968</v>
      </c>
      <c r="D166">
        <v>50426.239537465815</v>
      </c>
      <c r="E166">
        <v>44309.275268056364</v>
      </c>
      <c r="F166">
        <v>39067.565210865447</v>
      </c>
      <c r="G166">
        <v>10000</v>
      </c>
      <c r="H166">
        <v>261506.19336931733</v>
      </c>
      <c r="I166">
        <v>30.163686793369003</v>
      </c>
    </row>
    <row r="167" spans="1:9" x14ac:dyDescent="0.2">
      <c r="A167">
        <v>157</v>
      </c>
      <c r="B167">
        <v>1381341.4452903473</v>
      </c>
      <c r="C167">
        <v>87658.423672416218</v>
      </c>
      <c r="D167">
        <v>52857.344230109738</v>
      </c>
      <c r="E167">
        <v>200134.84592051277</v>
      </c>
      <c r="F167">
        <v>49855.489332958576</v>
      </c>
      <c r="G167">
        <v>10000</v>
      </c>
      <c r="H167">
        <v>380506.10315599735</v>
      </c>
      <c r="I167">
        <v>36.851631054349504</v>
      </c>
    </row>
    <row r="168" spans="1:9" x14ac:dyDescent="0.2">
      <c r="A168">
        <v>158</v>
      </c>
      <c r="B168">
        <v>1417131.8511269544</v>
      </c>
      <c r="C168">
        <v>94139.688886567135</v>
      </c>
      <c r="D168">
        <v>110410.50626522786</v>
      </c>
      <c r="E168">
        <v>149420.25814300886</v>
      </c>
      <c r="F168">
        <v>46344.47940990061</v>
      </c>
      <c r="G168">
        <v>10000</v>
      </c>
      <c r="H168">
        <v>390314.93270470446</v>
      </c>
      <c r="I168">
        <v>28.261087142501523</v>
      </c>
    </row>
    <row r="169" spans="1:9" x14ac:dyDescent="0.2">
      <c r="A169">
        <v>159</v>
      </c>
      <c r="B169">
        <v>1368453.7060581844</v>
      </c>
      <c r="C169">
        <v>115998.31899443848</v>
      </c>
      <c r="D169">
        <v>91559.611861925208</v>
      </c>
      <c r="E169">
        <v>134130.18280974287</v>
      </c>
      <c r="F169">
        <v>45285.935732982201</v>
      </c>
      <c r="G169">
        <v>10000</v>
      </c>
      <c r="H169">
        <v>376974.04939908872</v>
      </c>
      <c r="I169">
        <v>36.321284842008296</v>
      </c>
    </row>
    <row r="170" spans="1:9" x14ac:dyDescent="0.2">
      <c r="A170">
        <v>160</v>
      </c>
      <c r="B170">
        <v>1281678.2694931198</v>
      </c>
      <c r="C170">
        <v>148591.11837904228</v>
      </c>
      <c r="D170">
        <v>123219.66479332627</v>
      </c>
      <c r="E170">
        <v>51795.48020173463</v>
      </c>
      <c r="F170">
        <v>39585.840937043169</v>
      </c>
      <c r="G170">
        <v>10000</v>
      </c>
      <c r="H170">
        <v>353192.10431114637</v>
      </c>
      <c r="I170">
        <v>39.757620196170691</v>
      </c>
    </row>
    <row r="171" spans="1:9" x14ac:dyDescent="0.2">
      <c r="A171">
        <v>161</v>
      </c>
      <c r="B171">
        <v>1501078.4564577257</v>
      </c>
      <c r="C171">
        <v>123811.62300321615</v>
      </c>
      <c r="D171">
        <v>53814.041425562871</v>
      </c>
      <c r="E171">
        <v>196118.50046109996</v>
      </c>
      <c r="F171">
        <v>49577.434647306924</v>
      </c>
      <c r="G171">
        <v>10000</v>
      </c>
      <c r="H171">
        <v>413321.59953718592</v>
      </c>
      <c r="I171">
        <v>41.256415767456311</v>
      </c>
    </row>
    <row r="172" spans="1:9" x14ac:dyDescent="0.2">
      <c r="A172">
        <v>162</v>
      </c>
      <c r="B172">
        <v>1563239.2305425068</v>
      </c>
      <c r="C172">
        <v>110650.66993524729</v>
      </c>
      <c r="D172">
        <v>111730.0340924887</v>
      </c>
      <c r="E172">
        <v>170194.19487974042</v>
      </c>
      <c r="F172">
        <v>47782.675030135877</v>
      </c>
      <c r="G172">
        <v>10000</v>
      </c>
      <c r="H172">
        <v>430357.57393761229</v>
      </c>
      <c r="I172">
        <v>36.307326288899269</v>
      </c>
    </row>
    <row r="173" spans="1:9" x14ac:dyDescent="0.2">
      <c r="A173">
        <v>163</v>
      </c>
      <c r="B173">
        <v>895395.04678636882</v>
      </c>
      <c r="C173">
        <v>137464.75664732489</v>
      </c>
      <c r="D173">
        <v>44824.225802771434</v>
      </c>
      <c r="E173">
        <v>36509.559734588147</v>
      </c>
      <c r="F173">
        <v>38527.584904702257</v>
      </c>
      <c r="G173">
        <v>10000</v>
      </c>
      <c r="H173">
        <v>247326.12708938672</v>
      </c>
      <c r="I173">
        <v>33.055003429272418</v>
      </c>
    </row>
    <row r="174" spans="1:9" x14ac:dyDescent="0.2">
      <c r="A174">
        <v>164</v>
      </c>
      <c r="B174">
        <v>1137326.8306887867</v>
      </c>
      <c r="C174">
        <v>82726.952484774403</v>
      </c>
      <c r="D174">
        <v>127773.00910655012</v>
      </c>
      <c r="E174">
        <v>72136.663321517903</v>
      </c>
      <c r="F174">
        <v>40994.076691489703</v>
      </c>
      <c r="G174">
        <v>10000</v>
      </c>
      <c r="H174">
        <v>313630.70160433213</v>
      </c>
      <c r="I174">
        <v>34.129976304632656</v>
      </c>
    </row>
    <row r="175" spans="1:9" x14ac:dyDescent="0.2">
      <c r="A175">
        <v>165</v>
      </c>
      <c r="B175">
        <v>1483612.7789370362</v>
      </c>
      <c r="C175">
        <v>121254.83000004869</v>
      </c>
      <c r="D175">
        <v>111091.24119435175</v>
      </c>
      <c r="E175">
        <v>140464.37397062441</v>
      </c>
      <c r="F175">
        <v>45724.456659504765</v>
      </c>
      <c r="G175">
        <v>10000</v>
      </c>
      <c r="H175">
        <v>408534.90182452963</v>
      </c>
      <c r="I175">
        <v>32.687597166529528</v>
      </c>
    </row>
    <row r="176" spans="1:9" x14ac:dyDescent="0.2">
      <c r="A176">
        <v>166</v>
      </c>
      <c r="B176">
        <v>1658358.561959842</v>
      </c>
      <c r="C176">
        <v>117489.39744159735</v>
      </c>
      <c r="D176">
        <v>91745.188056247367</v>
      </c>
      <c r="E176">
        <v>206869.92329099265</v>
      </c>
      <c r="F176">
        <v>50321.76392014564</v>
      </c>
      <c r="G176">
        <v>10000</v>
      </c>
      <c r="H176">
        <v>456426.27270898299</v>
      </c>
      <c r="I176">
        <v>49.591425384304024</v>
      </c>
    </row>
    <row r="177" spans="1:9" x14ac:dyDescent="0.2">
      <c r="A177">
        <v>167</v>
      </c>
      <c r="B177">
        <v>1567683.9485758613</v>
      </c>
      <c r="C177">
        <v>148855.80836743218</v>
      </c>
      <c r="D177">
        <v>91022.27598946885</v>
      </c>
      <c r="E177">
        <v>154968.99972271113</v>
      </c>
      <c r="F177">
        <v>46728.623057726152</v>
      </c>
      <c r="G177">
        <v>10000</v>
      </c>
      <c r="H177">
        <v>431575.70713733829</v>
      </c>
      <c r="I177">
        <v>32.615175763991317</v>
      </c>
    </row>
    <row r="178" spans="1:9" x14ac:dyDescent="0.2">
      <c r="A178">
        <v>168</v>
      </c>
      <c r="B178">
        <v>1424809.4500203715</v>
      </c>
      <c r="C178">
        <v>105878.78364029156</v>
      </c>
      <c r="D178">
        <v>138416.45115264331</v>
      </c>
      <c r="E178">
        <v>114216.54517810384</v>
      </c>
      <c r="F178">
        <v>43907.299281561041</v>
      </c>
      <c r="G178">
        <v>10000</v>
      </c>
      <c r="H178">
        <v>392419.07925259974</v>
      </c>
      <c r="I178">
        <v>50.383727877649235</v>
      </c>
    </row>
    <row r="179" spans="1:9" x14ac:dyDescent="0.2">
      <c r="A179">
        <v>169</v>
      </c>
      <c r="B179">
        <v>1484885.5310112946</v>
      </c>
      <c r="C179">
        <v>115878.85277315258</v>
      </c>
      <c r="D179">
        <v>95055.636606479908</v>
      </c>
      <c r="E179">
        <v>160815.82364741579</v>
      </c>
      <c r="F179">
        <v>47133.40317559032</v>
      </c>
      <c r="G179">
        <v>10000</v>
      </c>
      <c r="H179">
        <v>408883.71620263858</v>
      </c>
      <c r="I179">
        <v>40.109667127990491</v>
      </c>
    </row>
    <row r="180" spans="1:9" x14ac:dyDescent="0.2">
      <c r="A180">
        <v>170</v>
      </c>
      <c r="B180">
        <v>1238873.1660197733</v>
      </c>
      <c r="C180">
        <v>91804.568565493566</v>
      </c>
      <c r="D180">
        <v>130187.37035329167</v>
      </c>
      <c r="E180">
        <v>87416.925100215711</v>
      </c>
      <c r="F180">
        <v>42051.940968476476</v>
      </c>
      <c r="G180">
        <v>10000</v>
      </c>
      <c r="H180">
        <v>341460.80498747743</v>
      </c>
      <c r="I180">
        <v>30.251247279487373</v>
      </c>
    </row>
    <row r="181" spans="1:9" x14ac:dyDescent="0.2">
      <c r="A181">
        <v>171</v>
      </c>
      <c r="B181">
        <v>1403794.4531327551</v>
      </c>
      <c r="C181">
        <v>116185.86831628458</v>
      </c>
      <c r="D181">
        <v>56647.711013200249</v>
      </c>
      <c r="E181">
        <v>175664.66486882677</v>
      </c>
      <c r="F181">
        <v>48161.39987553416</v>
      </c>
      <c r="G181">
        <v>10000</v>
      </c>
      <c r="H181">
        <v>386659.64407384576</v>
      </c>
      <c r="I181">
        <v>25.572051433510577</v>
      </c>
    </row>
    <row r="182" spans="1:9" x14ac:dyDescent="0.2">
      <c r="A182">
        <v>172</v>
      </c>
      <c r="B182">
        <v>1187663.1916491461</v>
      </c>
      <c r="C182">
        <v>82243.53855979818</v>
      </c>
      <c r="D182">
        <v>124008.43145163107</v>
      </c>
      <c r="E182">
        <v>89011.72078460014</v>
      </c>
      <c r="F182">
        <v>42162.34990047232</v>
      </c>
      <c r="G182">
        <v>10000</v>
      </c>
      <c r="H182">
        <v>327426.04069650173</v>
      </c>
      <c r="I182">
        <v>29.813992180839676</v>
      </c>
    </row>
    <row r="183" spans="1:9" x14ac:dyDescent="0.2">
      <c r="A183">
        <v>173</v>
      </c>
      <c r="B183">
        <v>1248207.9156179784</v>
      </c>
      <c r="C183">
        <v>105130.01828939884</v>
      </c>
      <c r="D183">
        <v>61807.994297110956</v>
      </c>
      <c r="E183">
        <v>141298.87312886826</v>
      </c>
      <c r="F183">
        <v>45782.229678152413</v>
      </c>
      <c r="G183">
        <v>10000</v>
      </c>
      <c r="H183">
        <v>344019.11539353052</v>
      </c>
      <c r="I183">
        <v>38.524957769030223</v>
      </c>
    </row>
    <row r="184" spans="1:9" x14ac:dyDescent="0.2">
      <c r="A184">
        <v>174</v>
      </c>
      <c r="B184">
        <v>1606474.9370895699</v>
      </c>
      <c r="C184">
        <v>94974.158642933442</v>
      </c>
      <c r="D184">
        <v>162127.78188116587</v>
      </c>
      <c r="E184">
        <v>148803.1861116341</v>
      </c>
      <c r="F184">
        <v>46301.759038497745</v>
      </c>
      <c r="G184">
        <v>10000</v>
      </c>
      <c r="H184">
        <v>442206.88567423116</v>
      </c>
      <c r="I184">
        <v>38.011716084826588</v>
      </c>
    </row>
    <row r="185" spans="1:9" x14ac:dyDescent="0.2">
      <c r="A185">
        <v>175</v>
      </c>
      <c r="B185">
        <v>1080597.730336613</v>
      </c>
      <c r="C185">
        <v>124024.19115593073</v>
      </c>
      <c r="D185">
        <v>78091.641375595122</v>
      </c>
      <c r="E185">
        <v>65437.245189127207</v>
      </c>
      <c r="F185">
        <v>40530.270820785729</v>
      </c>
      <c r="G185">
        <v>10000</v>
      </c>
      <c r="H185">
        <v>298083.34854143881</v>
      </c>
      <c r="I185">
        <v>30.130386993956819</v>
      </c>
    </row>
    <row r="186" spans="1:9" x14ac:dyDescent="0.2">
      <c r="A186">
        <v>176</v>
      </c>
      <c r="B186">
        <v>1202080.3252773678</v>
      </c>
      <c r="C186">
        <v>119370.54041008027</v>
      </c>
      <c r="D186">
        <v>77878.060074655834</v>
      </c>
      <c r="E186">
        <v>101127.50927912151</v>
      </c>
      <c r="F186">
        <v>43001.135257785339</v>
      </c>
      <c r="G186">
        <v>10000</v>
      </c>
      <c r="H186">
        <v>331377.24502164294</v>
      </c>
      <c r="I186">
        <v>27.788850305918789</v>
      </c>
    </row>
    <row r="187" spans="1:9" x14ac:dyDescent="0.2">
      <c r="A187">
        <v>177</v>
      </c>
      <c r="B187">
        <v>1096881.1170159925</v>
      </c>
      <c r="C187">
        <v>107901.92396340918</v>
      </c>
      <c r="D187">
        <v>116949.13712562906</v>
      </c>
      <c r="E187">
        <v>48347.807003353111</v>
      </c>
      <c r="F187">
        <v>39347.155869462906</v>
      </c>
      <c r="G187">
        <v>10000</v>
      </c>
      <c r="H187">
        <v>302546.02396185428</v>
      </c>
      <c r="I187">
        <v>33.508167570259559</v>
      </c>
    </row>
    <row r="188" spans="1:9" x14ac:dyDescent="0.2">
      <c r="A188">
        <v>178</v>
      </c>
      <c r="B188">
        <v>1210597.8961158192</v>
      </c>
      <c r="C188">
        <v>114688.09826422976</v>
      </c>
      <c r="D188">
        <v>45272.076499803246</v>
      </c>
      <c r="E188">
        <v>138184.78327777699</v>
      </c>
      <c r="F188">
        <v>45566.638842307635</v>
      </c>
      <c r="G188">
        <v>10000</v>
      </c>
      <c r="H188">
        <v>333711.59688411758</v>
      </c>
      <c r="I188">
        <v>32.274886498546891</v>
      </c>
    </row>
    <row r="189" spans="1:9" x14ac:dyDescent="0.2">
      <c r="A189">
        <v>179</v>
      </c>
      <c r="B189">
        <v>1429908.5821258591</v>
      </c>
      <c r="C189">
        <v>134602.97603929011</v>
      </c>
      <c r="D189">
        <v>68343.138636203483</v>
      </c>
      <c r="E189">
        <v>154195.38351321206</v>
      </c>
      <c r="F189">
        <v>46675.065012453138</v>
      </c>
      <c r="G189">
        <v>10000</v>
      </c>
      <c r="H189">
        <v>393816.56320115877</v>
      </c>
      <c r="I189">
        <v>30.556498419584656</v>
      </c>
    </row>
    <row r="190" spans="1:9" x14ac:dyDescent="0.2">
      <c r="A190">
        <v>180</v>
      </c>
      <c r="B190">
        <v>1713899.5519713075</v>
      </c>
      <c r="C190">
        <v>104471.31692982711</v>
      </c>
      <c r="D190">
        <v>123462.17606006595</v>
      </c>
      <c r="E190">
        <v>203617.89226878522</v>
      </c>
      <c r="F190">
        <v>50096.6233109159</v>
      </c>
      <c r="G190">
        <v>10000</v>
      </c>
      <c r="H190">
        <v>471648.00856959418</v>
      </c>
      <c r="I190">
        <v>28.026662250241731</v>
      </c>
    </row>
    <row r="191" spans="1:9" x14ac:dyDescent="0.2">
      <c r="A191">
        <v>181</v>
      </c>
      <c r="B191">
        <v>1154785.496956724</v>
      </c>
      <c r="C191">
        <v>92656.446261264544</v>
      </c>
      <c r="D191">
        <v>97041.713682971764</v>
      </c>
      <c r="E191">
        <v>96066.556259871068</v>
      </c>
      <c r="F191">
        <v>42650.761587221845</v>
      </c>
      <c r="G191">
        <v>10000</v>
      </c>
      <c r="H191">
        <v>318415.47779132926</v>
      </c>
      <c r="I191">
        <v>46.816712769933687</v>
      </c>
    </row>
    <row r="192" spans="1:9" x14ac:dyDescent="0.2">
      <c r="A192">
        <v>182</v>
      </c>
      <c r="B192">
        <v>1559006.6618776855</v>
      </c>
      <c r="C192">
        <v>97583.785003260578</v>
      </c>
      <c r="D192">
        <v>87543.470012662641</v>
      </c>
      <c r="E192">
        <v>203950.66650794423</v>
      </c>
      <c r="F192">
        <v>50119.661527473058</v>
      </c>
      <c r="G192">
        <v>10000</v>
      </c>
      <c r="H192">
        <v>429197.58305134054</v>
      </c>
      <c r="I192">
        <v>36.183088333336734</v>
      </c>
    </row>
    <row r="193" spans="1:9" x14ac:dyDescent="0.2">
      <c r="A193">
        <v>183</v>
      </c>
      <c r="B193">
        <v>1045211.9212020461</v>
      </c>
      <c r="C193">
        <v>79284.297975922949</v>
      </c>
      <c r="D193">
        <v>38546.800791718459</v>
      </c>
      <c r="E193">
        <v>135194.67397595846</v>
      </c>
      <c r="F193">
        <v>45359.63127525866</v>
      </c>
      <c r="G193">
        <v>10000</v>
      </c>
      <c r="H193">
        <v>288385.40401885851</v>
      </c>
      <c r="I193">
        <v>40.770953893627947</v>
      </c>
    </row>
    <row r="194" spans="1:9" x14ac:dyDescent="0.2">
      <c r="A194">
        <v>184</v>
      </c>
      <c r="B194">
        <v>1468161.7547365502</v>
      </c>
      <c r="C194">
        <v>83693.029813229834</v>
      </c>
      <c r="D194">
        <v>125907.41438683202</v>
      </c>
      <c r="E194">
        <v>157776.88680444908</v>
      </c>
      <c r="F194">
        <v>46923.015240308014</v>
      </c>
      <c r="G194">
        <v>10000</v>
      </c>
      <c r="H194">
        <v>404300.34624481894</v>
      </c>
      <c r="I194">
        <v>41.703325065358143</v>
      </c>
    </row>
    <row r="195" spans="1:9" x14ac:dyDescent="0.2">
      <c r="A195">
        <v>185</v>
      </c>
      <c r="B195">
        <v>1791429.6702851686</v>
      </c>
      <c r="C195">
        <v>145435.70579388004</v>
      </c>
      <c r="D195">
        <v>121038.26493007301</v>
      </c>
      <c r="E195">
        <v>187445.20652342681</v>
      </c>
      <c r="F195">
        <v>48976.975836237245</v>
      </c>
      <c r="G195">
        <v>10000</v>
      </c>
      <c r="H195">
        <v>492896.1530836171</v>
      </c>
      <c r="I195">
        <v>33.339491103807816</v>
      </c>
    </row>
    <row r="196" spans="1:9" x14ac:dyDescent="0.2">
      <c r="A196">
        <v>186</v>
      </c>
      <c r="B196">
        <v>1227481.612438919</v>
      </c>
      <c r="C196">
        <v>128610.02912662477</v>
      </c>
      <c r="D196">
        <v>98483.379346287475</v>
      </c>
      <c r="E196">
        <v>79725.906219203491</v>
      </c>
      <c r="F196">
        <v>41519.485815175627</v>
      </c>
      <c r="G196">
        <v>10000</v>
      </c>
      <c r="H196">
        <v>338338.80050729139</v>
      </c>
      <c r="I196">
        <v>35.240142878180023</v>
      </c>
    </row>
    <row r="197" spans="1:9" x14ac:dyDescent="0.2">
      <c r="A197">
        <v>187</v>
      </c>
      <c r="B197">
        <v>1094252.906288343</v>
      </c>
      <c r="C197">
        <v>107850.55783443479</v>
      </c>
      <c r="D197">
        <v>92633.162823960447</v>
      </c>
      <c r="E197">
        <v>70463.748232792175</v>
      </c>
      <c r="F197">
        <v>40878.259493039455</v>
      </c>
      <c r="G197">
        <v>10000</v>
      </c>
      <c r="H197">
        <v>301825.72838422685</v>
      </c>
      <c r="I197">
        <v>51.319258663512777</v>
      </c>
    </row>
    <row r="198" spans="1:9" x14ac:dyDescent="0.2">
      <c r="A198">
        <v>188</v>
      </c>
      <c r="B198">
        <v>1538539.717958194</v>
      </c>
      <c r="C198">
        <v>153013.160091592</v>
      </c>
      <c r="D198">
        <v>44067.502372463583</v>
      </c>
      <c r="E198">
        <v>187525.17442778486</v>
      </c>
      <c r="F198">
        <v>48982.512075769722</v>
      </c>
      <c r="G198">
        <v>10000</v>
      </c>
      <c r="H198">
        <v>423588.34896761016</v>
      </c>
      <c r="I198">
        <v>47.941459995279352</v>
      </c>
    </row>
    <row r="199" spans="1:9" x14ac:dyDescent="0.2">
      <c r="A199">
        <v>189</v>
      </c>
      <c r="B199">
        <v>1506887.4804703025</v>
      </c>
      <c r="C199">
        <v>126412.89013620294</v>
      </c>
      <c r="D199">
        <v>67627.283076791602</v>
      </c>
      <c r="E199">
        <v>182255.75905299696</v>
      </c>
      <c r="F199">
        <v>48617.706395976711</v>
      </c>
      <c r="G199">
        <v>10000</v>
      </c>
      <c r="H199">
        <v>414913.63866196817</v>
      </c>
      <c r="I199">
        <v>41.898508959308252</v>
      </c>
    </row>
    <row r="200" spans="1:9" x14ac:dyDescent="0.2">
      <c r="A200">
        <v>190</v>
      </c>
      <c r="B200">
        <v>1014025.1119038831</v>
      </c>
      <c r="C200">
        <v>93063.692129848205</v>
      </c>
      <c r="D200">
        <v>77141.205147440458</v>
      </c>
      <c r="E200">
        <v>78218.243932760466</v>
      </c>
      <c r="F200">
        <v>41415.109195344958</v>
      </c>
      <c r="G200">
        <v>10000</v>
      </c>
      <c r="H200">
        <v>279838.25040539406</v>
      </c>
      <c r="I200">
        <v>37.673923469645459</v>
      </c>
    </row>
    <row r="201" spans="1:9" x14ac:dyDescent="0.2">
      <c r="A201">
        <v>191</v>
      </c>
      <c r="B201">
        <v>947761.97388552572</v>
      </c>
      <c r="C201">
        <v>106970.48992935433</v>
      </c>
      <c r="D201">
        <v>73372.939029959947</v>
      </c>
      <c r="E201">
        <v>51751.728498590674</v>
      </c>
      <c r="F201">
        <v>39582.811972979354</v>
      </c>
      <c r="G201">
        <v>10000</v>
      </c>
      <c r="H201">
        <v>261677.96943088429</v>
      </c>
      <c r="I201">
        <v>44.997844737526812</v>
      </c>
    </row>
    <row r="202" spans="1:9" x14ac:dyDescent="0.2">
      <c r="A202">
        <v>192</v>
      </c>
      <c r="B202">
        <v>1341586.645345777</v>
      </c>
      <c r="C202">
        <v>102596.41804581635</v>
      </c>
      <c r="D202">
        <v>42495.907000943756</v>
      </c>
      <c r="E202">
        <v>185664.74154805971</v>
      </c>
      <c r="F202">
        <v>48853.712876404126</v>
      </c>
      <c r="G202">
        <v>10000</v>
      </c>
      <c r="H202">
        <v>369610.77947122388</v>
      </c>
      <c r="I202">
        <v>25.392282343131392</v>
      </c>
    </row>
    <row r="203" spans="1:9" x14ac:dyDescent="0.2">
      <c r="A203">
        <v>193</v>
      </c>
      <c r="B203">
        <v>994466.45510681812</v>
      </c>
      <c r="C203">
        <v>97380.989710970345</v>
      </c>
      <c r="D203">
        <v>67843.31141381069</v>
      </c>
      <c r="E203">
        <v>77863.119521524684</v>
      </c>
      <c r="F203">
        <v>41390.523659182472</v>
      </c>
      <c r="G203">
        <v>10000</v>
      </c>
      <c r="H203">
        <v>274477.9443054882</v>
      </c>
      <c r="I203">
        <v>33.0337593628186</v>
      </c>
    </row>
    <row r="204" spans="1:9" x14ac:dyDescent="0.2">
      <c r="A204">
        <v>194</v>
      </c>
      <c r="B204">
        <v>1343574.7931408463</v>
      </c>
      <c r="C204">
        <v>113668.64086838928</v>
      </c>
      <c r="D204">
        <v>67942.191115154725</v>
      </c>
      <c r="E204">
        <v>152020.34033419873</v>
      </c>
      <c r="F204">
        <v>46524.485100059916</v>
      </c>
      <c r="G204">
        <v>10000</v>
      </c>
      <c r="H204">
        <v>370155.65741780261</v>
      </c>
      <c r="I204">
        <v>33.255114410743133</v>
      </c>
    </row>
    <row r="205" spans="1:9" x14ac:dyDescent="0.2">
      <c r="A205">
        <v>195</v>
      </c>
      <c r="B205">
        <v>1426071.6554510391</v>
      </c>
      <c r="C205">
        <v>112142.45073752519</v>
      </c>
      <c r="D205">
        <v>96252.4592800276</v>
      </c>
      <c r="E205">
        <v>148115.91447303898</v>
      </c>
      <c r="F205">
        <v>46254.178694287315</v>
      </c>
      <c r="G205">
        <v>10000</v>
      </c>
      <c r="H205">
        <v>392765.00318487908</v>
      </c>
      <c r="I205">
        <v>28.730717391240564</v>
      </c>
    </row>
    <row r="206" spans="1:9" x14ac:dyDescent="0.2">
      <c r="A206">
        <v>196</v>
      </c>
      <c r="B206">
        <v>1029395.9631916367</v>
      </c>
      <c r="C206">
        <v>108399.47243641566</v>
      </c>
      <c r="D206">
        <v>51767.788048474184</v>
      </c>
      <c r="E206">
        <v>91545.787757016762</v>
      </c>
      <c r="F206">
        <v>42337.785306255006</v>
      </c>
      <c r="G206">
        <v>10000</v>
      </c>
      <c r="H206">
        <v>284050.83354816161</v>
      </c>
      <c r="I206">
        <v>47.214075681303882</v>
      </c>
    </row>
    <row r="207" spans="1:9" x14ac:dyDescent="0.2">
      <c r="A207">
        <v>197</v>
      </c>
      <c r="B207">
        <v>1559881.70327563</v>
      </c>
      <c r="C207">
        <v>121947.72236666449</v>
      </c>
      <c r="D207">
        <v>73114.944504286075</v>
      </c>
      <c r="E207">
        <v>194882.84356784305</v>
      </c>
      <c r="F207">
        <v>49491.889170081442</v>
      </c>
      <c r="G207">
        <v>10000</v>
      </c>
      <c r="H207">
        <v>429437.39960887504</v>
      </c>
      <c r="I207">
        <v>45.467913867531976</v>
      </c>
    </row>
    <row r="208" spans="1:9" x14ac:dyDescent="0.2">
      <c r="A208">
        <v>198</v>
      </c>
      <c r="B208">
        <v>1577344.9364267001</v>
      </c>
      <c r="C208">
        <v>152420.08240166536</v>
      </c>
      <c r="D208">
        <v>141175.49239445676</v>
      </c>
      <c r="E208">
        <v>107205.90532234834</v>
      </c>
      <c r="F208">
        <v>43421.947291547185</v>
      </c>
      <c r="G208">
        <v>10000</v>
      </c>
      <c r="H208">
        <v>434223.4274100177</v>
      </c>
      <c r="I208">
        <v>40.787497387817794</v>
      </c>
    </row>
    <row r="209" spans="1:9" x14ac:dyDescent="0.2">
      <c r="A209">
        <v>199</v>
      </c>
      <c r="B209">
        <v>1158708.8560352395</v>
      </c>
      <c r="C209">
        <v>82150.887348723656</v>
      </c>
      <c r="D209">
        <v>49277.448124806819</v>
      </c>
      <c r="E209">
        <v>151569.14197587731</v>
      </c>
      <c r="F209">
        <v>46493.248290637661</v>
      </c>
      <c r="G209">
        <v>10000</v>
      </c>
      <c r="H209">
        <v>319490.72574004548</v>
      </c>
      <c r="I209">
        <v>36.983971673026915</v>
      </c>
    </row>
    <row r="210" spans="1:9" x14ac:dyDescent="0.2">
      <c r="A210">
        <v>200</v>
      </c>
      <c r="B210">
        <v>1161640.9462053988</v>
      </c>
      <c r="C210">
        <v>164802.6902657054</v>
      </c>
      <c r="D210">
        <v>62049.252005542636</v>
      </c>
      <c r="E210">
        <v>63075.589600523337</v>
      </c>
      <c r="F210">
        <v>40366.771587728537</v>
      </c>
      <c r="G210">
        <v>10000</v>
      </c>
      <c r="H210">
        <v>320294.3034594999</v>
      </c>
      <c r="I210">
        <v>33.84557600505935</v>
      </c>
    </row>
    <row r="211" spans="1:9" x14ac:dyDescent="0.2">
      <c r="A211">
        <v>201</v>
      </c>
      <c r="B211">
        <v>1815465.9155252404</v>
      </c>
      <c r="C211">
        <v>110094.31195681986</v>
      </c>
      <c r="D211">
        <v>148176.76637003242</v>
      </c>
      <c r="E211">
        <v>201277.89885580106</v>
      </c>
      <c r="F211">
        <v>49934.623766940073</v>
      </c>
      <c r="G211">
        <v>10000</v>
      </c>
      <c r="H211">
        <v>499483.60094959347</v>
      </c>
      <c r="I211">
        <v>37.171818971780638</v>
      </c>
    </row>
    <row r="212" spans="1:9" x14ac:dyDescent="0.2">
      <c r="A212">
        <v>202</v>
      </c>
      <c r="B212">
        <v>1603989.0628842928</v>
      </c>
      <c r="C212">
        <v>128685.40620658566</v>
      </c>
      <c r="D212">
        <v>93829.104229297009</v>
      </c>
      <c r="E212">
        <v>180513.96798844714</v>
      </c>
      <c r="F212">
        <v>48497.120860738651</v>
      </c>
      <c r="G212">
        <v>10000</v>
      </c>
      <c r="H212">
        <v>441525.59928506846</v>
      </c>
      <c r="I212">
        <v>38.915831862280463</v>
      </c>
    </row>
    <row r="213" spans="1:9" x14ac:dyDescent="0.2">
      <c r="A213">
        <v>203</v>
      </c>
      <c r="B213">
        <v>1316587.9219638295</v>
      </c>
      <c r="C213">
        <v>143819.58626131274</v>
      </c>
      <c r="D213">
        <v>44016.008185372695</v>
      </c>
      <c r="E213">
        <v>139281.39902215189</v>
      </c>
      <c r="F213">
        <v>45642.558393841289</v>
      </c>
      <c r="G213">
        <v>10000</v>
      </c>
      <c r="H213">
        <v>362759.55186267861</v>
      </c>
      <c r="I213">
        <v>38.094301421470753</v>
      </c>
    </row>
    <row r="214" spans="1:9" x14ac:dyDescent="0.2">
      <c r="A214">
        <v>204</v>
      </c>
      <c r="B214">
        <v>1230824.7039874583</v>
      </c>
      <c r="C214">
        <v>79304.744169212499</v>
      </c>
      <c r="D214">
        <v>78879.17512032752</v>
      </c>
      <c r="E214">
        <v>145030.52447727657</v>
      </c>
      <c r="F214">
        <v>46040.574771503765</v>
      </c>
      <c r="G214">
        <v>10000</v>
      </c>
      <c r="H214">
        <v>339255.01853832038</v>
      </c>
      <c r="I214">
        <v>46.990059798710369</v>
      </c>
    </row>
    <row r="215" spans="1:9" x14ac:dyDescent="0.2">
      <c r="A215">
        <v>205</v>
      </c>
      <c r="B215">
        <v>1235355.5333519282</v>
      </c>
      <c r="C215">
        <v>96502.030226563991</v>
      </c>
      <c r="D215">
        <v>108638.16432733207</v>
      </c>
      <c r="E215">
        <v>102275.91673321776</v>
      </c>
      <c r="F215">
        <v>43080.640389222768</v>
      </c>
      <c r="G215">
        <v>10000</v>
      </c>
      <c r="H215">
        <v>340496.75167633657</v>
      </c>
      <c r="I215">
        <v>29.095795648772928</v>
      </c>
    </row>
    <row r="216" spans="1:9" x14ac:dyDescent="0.2">
      <c r="A216">
        <v>206</v>
      </c>
      <c r="B216">
        <v>1037445.8103437561</v>
      </c>
      <c r="C216">
        <v>103677.14654061972</v>
      </c>
      <c r="D216">
        <v>50186.314642190504</v>
      </c>
      <c r="E216">
        <v>99504.748167018261</v>
      </c>
      <c r="F216">
        <v>42888.790257716653</v>
      </c>
      <c r="G216">
        <v>10000</v>
      </c>
      <c r="H216">
        <v>286256.99960754515</v>
      </c>
      <c r="I216">
        <v>31.579655237221747</v>
      </c>
    </row>
    <row r="217" spans="1:9" x14ac:dyDescent="0.2">
      <c r="A217">
        <v>207</v>
      </c>
      <c r="B217">
        <v>1365320.1517748777</v>
      </c>
      <c r="C217">
        <v>118033.85185073932</v>
      </c>
      <c r="D217">
        <v>115289.59453822917</v>
      </c>
      <c r="E217">
        <v>109229.75167974469</v>
      </c>
      <c r="F217">
        <v>43562.059731674635</v>
      </c>
      <c r="G217">
        <v>10000</v>
      </c>
      <c r="H217">
        <v>376115.2578003878</v>
      </c>
      <c r="I217">
        <v>32.005506162122416</v>
      </c>
    </row>
    <row r="218" spans="1:9" x14ac:dyDescent="0.2">
      <c r="A218">
        <v>208</v>
      </c>
      <c r="B218">
        <v>1702923.8359418456</v>
      </c>
      <c r="C218">
        <v>109267.12039957415</v>
      </c>
      <c r="D218">
        <v>120700.53870736188</v>
      </c>
      <c r="E218">
        <v>198902.16109625503</v>
      </c>
      <c r="F218">
        <v>49770.149614356116</v>
      </c>
      <c r="G218">
        <v>10000</v>
      </c>
      <c r="H218">
        <v>468639.96981754713</v>
      </c>
      <c r="I218">
        <v>31.432258515107172</v>
      </c>
    </row>
    <row r="219" spans="1:9" x14ac:dyDescent="0.2">
      <c r="A219">
        <v>209</v>
      </c>
      <c r="B219">
        <v>1127808.6707026802</v>
      </c>
      <c r="C219">
        <v>102863.29348190743</v>
      </c>
      <c r="D219">
        <v>43970.886426133911</v>
      </c>
      <c r="E219">
        <v>129240.52435406618</v>
      </c>
      <c r="F219">
        <v>44947.420916819967</v>
      </c>
      <c r="G219">
        <v>10000</v>
      </c>
      <c r="H219">
        <v>311022.12517892744</v>
      </c>
      <c r="I219">
        <v>26.116583489142528</v>
      </c>
    </row>
    <row r="220" spans="1:9" x14ac:dyDescent="0.2">
      <c r="A220">
        <v>210</v>
      </c>
      <c r="B220">
        <v>1649079.8723052056</v>
      </c>
      <c r="C220">
        <v>168275.28606142264</v>
      </c>
      <c r="D220">
        <v>90520.256007165095</v>
      </c>
      <c r="E220">
        <v>158139.65428423739</v>
      </c>
      <c r="F220">
        <v>46948.12991198567</v>
      </c>
      <c r="G220">
        <v>10000</v>
      </c>
      <c r="H220">
        <v>453883.32626481081</v>
      </c>
      <c r="I220">
        <v>41.069398710622444</v>
      </c>
    </row>
    <row r="221" spans="1:9" x14ac:dyDescent="0.2">
      <c r="A221">
        <v>211</v>
      </c>
      <c r="B221">
        <v>1463689.8466346546</v>
      </c>
      <c r="C221">
        <v>152105.25286835511</v>
      </c>
      <c r="D221">
        <v>98180.059476919414</v>
      </c>
      <c r="E221">
        <v>118580.06012731881</v>
      </c>
      <c r="F221">
        <v>44209.388778045148</v>
      </c>
      <c r="G221">
        <v>10000</v>
      </c>
      <c r="H221">
        <v>403074.76125063846</v>
      </c>
      <c r="I221">
        <v>37.340182087946388</v>
      </c>
    </row>
    <row r="222" spans="1:9" x14ac:dyDescent="0.2">
      <c r="A222">
        <v>212</v>
      </c>
      <c r="B222">
        <v>949674.74937596673</v>
      </c>
      <c r="C222">
        <v>117242.89060419025</v>
      </c>
      <c r="D222">
        <v>75690.775700411905</v>
      </c>
      <c r="E222">
        <v>40466.965177762053</v>
      </c>
      <c r="F222">
        <v>38801.559127691216</v>
      </c>
      <c r="G222">
        <v>10000</v>
      </c>
      <c r="H222">
        <v>262202.19061005546</v>
      </c>
      <c r="I222">
        <v>29.044862264053503</v>
      </c>
    </row>
    <row r="223" spans="1:9" x14ac:dyDescent="0.2">
      <c r="A223">
        <v>213</v>
      </c>
      <c r="B223">
        <v>1459961.2153806738</v>
      </c>
      <c r="C223">
        <v>89518.53717630601</v>
      </c>
      <c r="D223">
        <v>146127.7445869167</v>
      </c>
      <c r="E223">
        <v>131315.52447824052</v>
      </c>
      <c r="F223">
        <v>45091.0747715705</v>
      </c>
      <c r="G223">
        <v>10000</v>
      </c>
      <c r="H223">
        <v>402052.88101303374</v>
      </c>
      <c r="I223">
        <v>43.996322893255211</v>
      </c>
    </row>
    <row r="224" spans="1:9" x14ac:dyDescent="0.2">
      <c r="A224">
        <v>214</v>
      </c>
      <c r="B224">
        <v>1404185.3524266356</v>
      </c>
      <c r="C224">
        <v>159119.8514801352</v>
      </c>
      <c r="D224">
        <v>61827.354484982032</v>
      </c>
      <c r="E224">
        <v>130766.50355031625</v>
      </c>
      <c r="F224">
        <v>45053.065630406512</v>
      </c>
      <c r="G224">
        <v>10000</v>
      </c>
      <c r="H224">
        <v>386766.77514583996</v>
      </c>
      <c r="I224">
        <v>28.792395210564607</v>
      </c>
    </row>
    <row r="225" spans="1:9" x14ac:dyDescent="0.2">
      <c r="A225">
        <v>215</v>
      </c>
      <c r="B225">
        <v>1363220.7704917288</v>
      </c>
      <c r="C225">
        <v>155093.24214833174</v>
      </c>
      <c r="D225">
        <v>73438.914099587899</v>
      </c>
      <c r="E225">
        <v>113172.70517612994</v>
      </c>
      <c r="F225">
        <v>43835.033435270532</v>
      </c>
      <c r="G225">
        <v>10000</v>
      </c>
      <c r="H225">
        <v>375539.89485932013</v>
      </c>
      <c r="I225">
        <v>34.968512749807431</v>
      </c>
    </row>
    <row r="226" spans="1:9" x14ac:dyDescent="0.2">
      <c r="A226">
        <v>216</v>
      </c>
      <c r="B226">
        <v>1241123.564656642</v>
      </c>
      <c r="C226">
        <v>129910.38793983437</v>
      </c>
      <c r="D226">
        <v>130644.20941023418</v>
      </c>
      <c r="E226">
        <v>51927.947137575618</v>
      </c>
      <c r="F226">
        <v>39595.011724909076</v>
      </c>
      <c r="G226">
        <v>10000</v>
      </c>
      <c r="H226">
        <v>342077.55621255323</v>
      </c>
      <c r="I226">
        <v>33.300616851874224</v>
      </c>
    </row>
    <row r="227" spans="1:9" x14ac:dyDescent="0.2">
      <c r="A227">
        <v>217</v>
      </c>
      <c r="B227">
        <v>1132141.5091803744</v>
      </c>
      <c r="C227">
        <v>113462.72678609875</v>
      </c>
      <c r="D227">
        <v>79891.02305834071</v>
      </c>
      <c r="E227">
        <v>86843.597424010164</v>
      </c>
      <c r="F227">
        <v>42012.249052431471</v>
      </c>
      <c r="G227">
        <v>10000</v>
      </c>
      <c r="H227">
        <v>312209.5963208811</v>
      </c>
      <c r="I227">
        <v>36.099921711218428</v>
      </c>
    </row>
    <row r="228" spans="1:9" x14ac:dyDescent="0.2">
      <c r="A228">
        <v>218</v>
      </c>
      <c r="B228">
        <v>1079681.0421105665</v>
      </c>
      <c r="C228">
        <v>110169.26470626796</v>
      </c>
      <c r="D228">
        <v>115984.47726353942</v>
      </c>
      <c r="E228">
        <v>42720.783454607692</v>
      </c>
      <c r="F228">
        <v>38957.592700703608</v>
      </c>
      <c r="G228">
        <v>10000</v>
      </c>
      <c r="H228">
        <v>297832.11812511866</v>
      </c>
      <c r="I228">
        <v>32.277455179340222</v>
      </c>
    </row>
    <row r="229" spans="1:9" x14ac:dyDescent="0.2">
      <c r="A229">
        <v>219</v>
      </c>
      <c r="B229">
        <v>1095146.3629607006</v>
      </c>
      <c r="C229">
        <v>105488.1118819315</v>
      </c>
      <c r="D229">
        <v>134146.9205713101</v>
      </c>
      <c r="E229">
        <v>34076.422493820057</v>
      </c>
      <c r="F229">
        <v>38359.136941879849</v>
      </c>
      <c r="G229">
        <v>10000</v>
      </c>
      <c r="H229">
        <v>302070.59188894153</v>
      </c>
      <c r="I229">
        <v>34.728346753584404</v>
      </c>
    </row>
    <row r="230" spans="1:9" x14ac:dyDescent="0.2">
      <c r="A230">
        <v>220</v>
      </c>
      <c r="B230">
        <v>1430747.2683069562</v>
      </c>
      <c r="C230">
        <v>128402.21607099952</v>
      </c>
      <c r="D230">
        <v>62612.726160156082</v>
      </c>
      <c r="E230">
        <v>165569.0043707717</v>
      </c>
      <c r="F230">
        <v>47462.469533361116</v>
      </c>
      <c r="G230">
        <v>10000</v>
      </c>
      <c r="H230">
        <v>394046.41613528843</v>
      </c>
      <c r="I230">
        <v>36.250809291663089</v>
      </c>
    </row>
    <row r="231" spans="1:9" x14ac:dyDescent="0.2">
      <c r="A231">
        <v>221</v>
      </c>
      <c r="B231">
        <v>1567878.9190834579</v>
      </c>
      <c r="C231">
        <v>98469.212791347381</v>
      </c>
      <c r="D231">
        <v>101186.93533533637</v>
      </c>
      <c r="E231">
        <v>192636.61237547451</v>
      </c>
      <c r="F231">
        <v>49336.380856763622</v>
      </c>
      <c r="G231">
        <v>10000</v>
      </c>
      <c r="H231">
        <v>431629.14135892189</v>
      </c>
      <c r="I231">
        <v>47.149959691439022</v>
      </c>
    </row>
    <row r="232" spans="1:9" x14ac:dyDescent="0.2">
      <c r="A232">
        <v>222</v>
      </c>
      <c r="B232">
        <v>1652956.7841657901</v>
      </c>
      <c r="C232">
        <v>109576.2861147435</v>
      </c>
      <c r="D232">
        <v>136984.98458120096</v>
      </c>
      <c r="E232">
        <v>170575.50090921391</v>
      </c>
      <c r="F232">
        <v>47809.073139868662</v>
      </c>
      <c r="G232">
        <v>10000</v>
      </c>
      <c r="H232">
        <v>454945.84474502702</v>
      </c>
      <c r="I232">
        <v>47.193045045457723</v>
      </c>
    </row>
    <row r="233" spans="1:9" x14ac:dyDescent="0.2">
      <c r="A233">
        <v>223</v>
      </c>
      <c r="B233">
        <v>1108123.1920426916</v>
      </c>
      <c r="C233">
        <v>97289.071255932678</v>
      </c>
      <c r="D233">
        <v>74845.217458954896</v>
      </c>
      <c r="E233">
        <v>100532.80944080515</v>
      </c>
      <c r="F233">
        <v>42959.96373051728</v>
      </c>
      <c r="G233">
        <v>10000</v>
      </c>
      <c r="H233">
        <v>305627.06188620999</v>
      </c>
      <c r="I233">
        <v>30.336504102694995</v>
      </c>
    </row>
    <row r="234" spans="1:9" x14ac:dyDescent="0.2">
      <c r="A234">
        <v>224</v>
      </c>
      <c r="B234">
        <v>1463196.9916553139</v>
      </c>
      <c r="C234">
        <v>155729.62564222739</v>
      </c>
      <c r="D234">
        <v>96487.209656780746</v>
      </c>
      <c r="E234">
        <v>116647.27220506049</v>
      </c>
      <c r="F234">
        <v>44075.580383427266</v>
      </c>
      <c r="G234">
        <v>10000</v>
      </c>
      <c r="H234">
        <v>402939.68788749591</v>
      </c>
      <c r="I234">
        <v>30.618933774650827</v>
      </c>
    </row>
    <row r="235" spans="1:9" x14ac:dyDescent="0.2">
      <c r="A235">
        <v>225</v>
      </c>
      <c r="B235">
        <v>1121869.3515179136</v>
      </c>
      <c r="C235">
        <v>97790.58161702691</v>
      </c>
      <c r="D235">
        <v>122691.94476559975</v>
      </c>
      <c r="E235">
        <v>58838.421399025923</v>
      </c>
      <c r="F235">
        <v>40073.429173778713</v>
      </c>
      <c r="G235">
        <v>10000</v>
      </c>
      <c r="H235">
        <v>309394.3769554313</v>
      </c>
      <c r="I235">
        <v>31.645654102552044</v>
      </c>
    </row>
    <row r="236" spans="1:9" x14ac:dyDescent="0.2">
      <c r="A236">
        <v>226</v>
      </c>
      <c r="B236">
        <v>1067806.4141670102</v>
      </c>
      <c r="C236">
        <v>95775.960691776825</v>
      </c>
      <c r="D236">
        <v>75038.916722451599</v>
      </c>
      <c r="E236">
        <v>91432.875097677723</v>
      </c>
      <c r="F236">
        <v>42329.968275993073</v>
      </c>
      <c r="G236">
        <v>10000</v>
      </c>
      <c r="H236">
        <v>294577.72078789922</v>
      </c>
      <c r="I236">
        <v>44.991687275415487</v>
      </c>
    </row>
    <row r="237" spans="1:9" x14ac:dyDescent="0.2">
      <c r="A237">
        <v>227</v>
      </c>
      <c r="B237">
        <v>1546652.6694169631</v>
      </c>
      <c r="C237">
        <v>115434.60921232446</v>
      </c>
      <c r="D237">
        <v>103862.28638873233</v>
      </c>
      <c r="E237">
        <v>168826.89797419804</v>
      </c>
      <c r="F237">
        <v>47688.016013598324</v>
      </c>
      <c r="G237">
        <v>10000</v>
      </c>
      <c r="H237">
        <v>425811.80958885315</v>
      </c>
      <c r="I237">
        <v>29.286954903752104</v>
      </c>
    </row>
    <row r="238" spans="1:9" x14ac:dyDescent="0.2">
      <c r="A238">
        <v>228</v>
      </c>
      <c r="B238">
        <v>1360686.504810058</v>
      </c>
      <c r="C238">
        <v>118890.59610839009</v>
      </c>
      <c r="D238">
        <v>48374.36209944923</v>
      </c>
      <c r="E238">
        <v>169823.38440835505</v>
      </c>
      <c r="F238">
        <v>47757.003535963042</v>
      </c>
      <c r="G238">
        <v>10000</v>
      </c>
      <c r="H238">
        <v>374845.34615215741</v>
      </c>
      <c r="I238">
        <v>27.84116196303065</v>
      </c>
    </row>
    <row r="239" spans="1:9" x14ac:dyDescent="0.2">
      <c r="A239">
        <v>229</v>
      </c>
      <c r="B239">
        <v>1537561.5603696126</v>
      </c>
      <c r="C239">
        <v>110606.92864447049</v>
      </c>
      <c r="D239">
        <v>83555.623678335673</v>
      </c>
      <c r="E239">
        <v>190003.6227826032</v>
      </c>
      <c r="F239">
        <v>49154.096961872528</v>
      </c>
      <c r="G239">
        <v>10000</v>
      </c>
      <c r="H239">
        <v>423320.27206728188</v>
      </c>
      <c r="I239">
        <v>42.752424989046787</v>
      </c>
    </row>
    <row r="240" spans="1:9" x14ac:dyDescent="0.2">
      <c r="A240">
        <v>230</v>
      </c>
      <c r="B240">
        <v>1463262.8556643103</v>
      </c>
      <c r="C240">
        <v>118814.1001113456</v>
      </c>
      <c r="D240">
        <v>124529.75041047318</v>
      </c>
      <c r="E240">
        <v>124962.62930802113</v>
      </c>
      <c r="F240">
        <v>44651.258952093769</v>
      </c>
      <c r="G240">
        <v>10000</v>
      </c>
      <c r="H240">
        <v>402957.73878193367</v>
      </c>
      <c r="I240">
        <v>40.93789942935453</v>
      </c>
    </row>
    <row r="241" spans="1:9" x14ac:dyDescent="0.2">
      <c r="A241">
        <v>231</v>
      </c>
      <c r="B241">
        <v>1581606.3892164058</v>
      </c>
      <c r="C241">
        <v>123980.7055296602</v>
      </c>
      <c r="D241">
        <v>78826.483959506382</v>
      </c>
      <c r="E241">
        <v>193208.19305315247</v>
      </c>
      <c r="F241">
        <v>49375.951826756704</v>
      </c>
      <c r="G241">
        <v>10000</v>
      </c>
      <c r="H241">
        <v>435391.33436907578</v>
      </c>
      <c r="I241">
        <v>30.604153684274944</v>
      </c>
    </row>
    <row r="242" spans="1:9" x14ac:dyDescent="0.2">
      <c r="A242">
        <v>232</v>
      </c>
      <c r="B242">
        <v>993036.99725957063</v>
      </c>
      <c r="C242">
        <v>121620.09356609285</v>
      </c>
      <c r="D242">
        <v>79786.264413130906</v>
      </c>
      <c r="E242">
        <v>43657.389986929404</v>
      </c>
      <c r="F242">
        <v>39022.434691402806</v>
      </c>
      <c r="G242">
        <v>10000</v>
      </c>
      <c r="H242">
        <v>274086.18265755597</v>
      </c>
      <c r="I242">
        <v>28.57767284112829</v>
      </c>
    </row>
    <row r="243" spans="1:9" x14ac:dyDescent="0.2">
      <c r="A243">
        <v>233</v>
      </c>
      <c r="B243">
        <v>984113.14254589961</v>
      </c>
      <c r="C243">
        <v>139100.62973203568</v>
      </c>
      <c r="D243">
        <v>66059.744230452241</v>
      </c>
      <c r="E243">
        <v>37859.095135915712</v>
      </c>
      <c r="F243">
        <v>38621.014278640316</v>
      </c>
      <c r="G243">
        <v>10000</v>
      </c>
      <c r="H243">
        <v>271640.48337704391</v>
      </c>
      <c r="I243">
        <v>40.085385216437643</v>
      </c>
    </row>
    <row r="244" spans="1:9" x14ac:dyDescent="0.2">
      <c r="A244">
        <v>234</v>
      </c>
      <c r="B244">
        <v>1147746.9081113138</v>
      </c>
      <c r="C244">
        <v>91633.699472856038</v>
      </c>
      <c r="D244">
        <v>99479.695146066675</v>
      </c>
      <c r="E244">
        <v>92938.838423291818</v>
      </c>
      <c r="F244">
        <v>42434.227275458659</v>
      </c>
      <c r="G244">
        <v>10000</v>
      </c>
      <c r="H244">
        <v>316486.46031767316</v>
      </c>
      <c r="I244">
        <v>41.859658019368425</v>
      </c>
    </row>
    <row r="245" spans="1:9" x14ac:dyDescent="0.2">
      <c r="A245">
        <v>235</v>
      </c>
      <c r="B245">
        <v>1094086.5654006356</v>
      </c>
      <c r="C245">
        <v>98431.711549989195</v>
      </c>
      <c r="D245">
        <v>140708.95511198809</v>
      </c>
      <c r="E245">
        <v>34267.133791317909</v>
      </c>
      <c r="F245">
        <v>38372.340031706626</v>
      </c>
      <c r="G245">
        <v>10000</v>
      </c>
      <c r="H245">
        <v>301780.14048500184</v>
      </c>
      <c r="I245">
        <v>29.587150704280027</v>
      </c>
    </row>
    <row r="246" spans="1:9" x14ac:dyDescent="0.2">
      <c r="A246">
        <v>236</v>
      </c>
      <c r="B246">
        <v>1515761.6628630459</v>
      </c>
      <c r="C246">
        <v>114578.93295288489</v>
      </c>
      <c r="D246">
        <v>77290.922624686864</v>
      </c>
      <c r="E246">
        <v>186560.1652655334</v>
      </c>
      <c r="F246">
        <v>48915.703749152308</v>
      </c>
      <c r="G246">
        <v>10000</v>
      </c>
      <c r="H246">
        <v>417345.72459225747</v>
      </c>
      <c r="I246">
        <v>36.144508592957173</v>
      </c>
    </row>
    <row r="247" spans="1:9" x14ac:dyDescent="0.2">
      <c r="A247">
        <v>237</v>
      </c>
      <c r="B247">
        <v>1216772.2616539579</v>
      </c>
      <c r="C247">
        <v>99576.667220837553</v>
      </c>
      <c r="D247">
        <v>63954.152941213739</v>
      </c>
      <c r="E247">
        <v>136427.93181362597</v>
      </c>
      <c r="F247">
        <v>45445.010664020258</v>
      </c>
      <c r="G247">
        <v>10000</v>
      </c>
      <c r="H247">
        <v>335403.76263969752</v>
      </c>
      <c r="I247">
        <v>37.036089214165173</v>
      </c>
    </row>
    <row r="248" spans="1:9" x14ac:dyDescent="0.2">
      <c r="A248">
        <v>238</v>
      </c>
      <c r="B248">
        <v>987622.97917055374</v>
      </c>
      <c r="C248">
        <v>111920.33353629544</v>
      </c>
      <c r="D248">
        <v>37662.582118518912</v>
      </c>
      <c r="E248">
        <v>90737.647304528509</v>
      </c>
      <c r="F248">
        <v>42281.837121082746</v>
      </c>
      <c r="G248">
        <v>10000</v>
      </c>
      <c r="H248">
        <v>272602.40008042561</v>
      </c>
      <c r="I248">
        <v>53.627497679872334</v>
      </c>
    </row>
    <row r="249" spans="1:9" x14ac:dyDescent="0.2">
      <c r="A249">
        <v>239</v>
      </c>
      <c r="B249">
        <v>981532.08900635177</v>
      </c>
      <c r="C249">
        <v>117800.97426017492</v>
      </c>
      <c r="D249">
        <v>84023.440238052513</v>
      </c>
      <c r="E249">
        <v>40317.486726768933</v>
      </c>
      <c r="F249">
        <v>38791.210619545542</v>
      </c>
      <c r="G249">
        <v>10000</v>
      </c>
      <c r="H249">
        <v>270933.11184454185</v>
      </c>
      <c r="I249">
        <v>41.282660555255916</v>
      </c>
    </row>
    <row r="250" spans="1:9" x14ac:dyDescent="0.2">
      <c r="A250">
        <v>240</v>
      </c>
      <c r="B250">
        <v>1276389.4499084251</v>
      </c>
      <c r="C250">
        <v>137679.99914862175</v>
      </c>
      <c r="D250">
        <v>69128.146627187292</v>
      </c>
      <c r="E250">
        <v>111233.69404519971</v>
      </c>
      <c r="F250">
        <v>43700.794203129211</v>
      </c>
      <c r="G250">
        <v>10000</v>
      </c>
      <c r="H250">
        <v>351742.63402413792</v>
      </c>
      <c r="I250">
        <v>40.451834859074353</v>
      </c>
    </row>
    <row r="251" spans="1:9" x14ac:dyDescent="0.2">
      <c r="A251">
        <v>241</v>
      </c>
      <c r="B251">
        <v>1349894.9974677474</v>
      </c>
      <c r="C251">
        <v>120457.25235650512</v>
      </c>
      <c r="D251">
        <v>71937.007285121508</v>
      </c>
      <c r="E251">
        <v>143555.10239630405</v>
      </c>
      <c r="F251">
        <v>45938.430165897975</v>
      </c>
      <c r="G251">
        <v>10000</v>
      </c>
      <c r="H251">
        <v>371887.79220382863</v>
      </c>
      <c r="I251">
        <v>33.188379963667082</v>
      </c>
    </row>
    <row r="252" spans="1:9" x14ac:dyDescent="0.2">
      <c r="A252">
        <v>242</v>
      </c>
      <c r="B252">
        <v>1189591.5818074483</v>
      </c>
      <c r="C252">
        <v>102089.72985762026</v>
      </c>
      <c r="D252">
        <v>48786.07384180573</v>
      </c>
      <c r="E252">
        <v>141296.66104652526</v>
      </c>
      <c r="F252">
        <v>45782.076533990206</v>
      </c>
      <c r="G252">
        <v>10000</v>
      </c>
      <c r="H252">
        <v>327954.54127994145</v>
      </c>
      <c r="I252">
        <v>35.498659373942552</v>
      </c>
    </row>
    <row r="253" spans="1:9" x14ac:dyDescent="0.2">
      <c r="A253">
        <v>243</v>
      </c>
      <c r="B253">
        <v>1235355.9967850246</v>
      </c>
      <c r="C253">
        <v>133372.11247031286</v>
      </c>
      <c r="D253">
        <v>99714.507511547927</v>
      </c>
      <c r="E253">
        <v>76139.090874606118</v>
      </c>
      <c r="F253">
        <v>41271.167829780425</v>
      </c>
      <c r="G253">
        <v>10000</v>
      </c>
      <c r="H253">
        <v>340496.87868624734</v>
      </c>
      <c r="I253">
        <v>42.993555025818836</v>
      </c>
    </row>
    <row r="254" spans="1:9" x14ac:dyDescent="0.2">
      <c r="A254">
        <v>244</v>
      </c>
      <c r="B254">
        <v>1364211.5921325968</v>
      </c>
      <c r="C254">
        <v>110081.69430280082</v>
      </c>
      <c r="D254">
        <v>135425.64083582922</v>
      </c>
      <c r="E254">
        <v>97550.60401551731</v>
      </c>
      <c r="F254">
        <v>42753.503354920431</v>
      </c>
      <c r="G254">
        <v>10000</v>
      </c>
      <c r="H254">
        <v>375811.44250906783</v>
      </c>
      <c r="I254">
        <v>31.843096028302483</v>
      </c>
    </row>
    <row r="255" spans="1:9" x14ac:dyDescent="0.2">
      <c r="A255">
        <v>245</v>
      </c>
      <c r="B255">
        <v>1255733.6083516541</v>
      </c>
      <c r="C255">
        <v>129513.137587241</v>
      </c>
      <c r="D255">
        <v>63864.599855201268</v>
      </c>
      <c r="E255">
        <v>118500.04346320518</v>
      </c>
      <c r="F255">
        <v>44203.849162837287</v>
      </c>
      <c r="G255">
        <v>10000</v>
      </c>
      <c r="H255">
        <v>346081.63006848469</v>
      </c>
      <c r="I255">
        <v>30.589179955145813</v>
      </c>
    </row>
    <row r="256" spans="1:9" x14ac:dyDescent="0.2">
      <c r="A256">
        <v>246</v>
      </c>
      <c r="B256">
        <v>1146570.4344648372</v>
      </c>
      <c r="C256">
        <v>153417.96620005713</v>
      </c>
      <c r="D256">
        <v>108449.15421478514</v>
      </c>
      <c r="E256">
        <v>26464.737737946696</v>
      </c>
      <c r="F256">
        <v>37832.17415108862</v>
      </c>
      <c r="G256">
        <v>10000</v>
      </c>
      <c r="H256">
        <v>316164.03230387758</v>
      </c>
      <c r="I256">
        <v>32.732328597323196</v>
      </c>
    </row>
    <row r="257" spans="1:9" x14ac:dyDescent="0.2">
      <c r="A257">
        <v>247</v>
      </c>
      <c r="B257">
        <v>1460606.5202087229</v>
      </c>
      <c r="C257">
        <v>96878.624622777425</v>
      </c>
      <c r="D257">
        <v>84206.837178318441</v>
      </c>
      <c r="E257">
        <v>182509.03272592547</v>
      </c>
      <c r="F257">
        <v>48635.240727179458</v>
      </c>
      <c r="G257">
        <v>10000</v>
      </c>
      <c r="H257">
        <v>402229.73525420076</v>
      </c>
      <c r="I257">
        <v>39.817585834769744</v>
      </c>
    </row>
    <row r="258" spans="1:9" x14ac:dyDescent="0.2">
      <c r="A258">
        <v>248</v>
      </c>
      <c r="B258">
        <v>1063929.3075393592</v>
      </c>
      <c r="C258">
        <v>95696.219323815079</v>
      </c>
      <c r="D258">
        <v>120546.41527079346</v>
      </c>
      <c r="E258">
        <v>47952.711248195075</v>
      </c>
      <c r="F258">
        <v>39319.803086413507</v>
      </c>
      <c r="G258">
        <v>10000</v>
      </c>
      <c r="H258">
        <v>293515.14892921713</v>
      </c>
      <c r="I258">
        <v>44.47767626860427</v>
      </c>
    </row>
    <row r="259" spans="1:9" x14ac:dyDescent="0.2">
      <c r="A259">
        <v>249</v>
      </c>
      <c r="B259">
        <v>1423492.8197400603</v>
      </c>
      <c r="C259">
        <v>152205.66197831611</v>
      </c>
      <c r="D259">
        <v>53693.622657187356</v>
      </c>
      <c r="E259">
        <v>149788.95057150966</v>
      </c>
      <c r="F259">
        <v>46370.004270335281</v>
      </c>
      <c r="G259">
        <v>10000</v>
      </c>
      <c r="H259">
        <v>392058.2394773484</v>
      </c>
      <c r="I259">
        <v>29.502188849817621</v>
      </c>
    </row>
    <row r="260" spans="1:9" x14ac:dyDescent="0.2">
      <c r="A260">
        <v>250</v>
      </c>
      <c r="B260">
        <v>1156065.9825681325</v>
      </c>
      <c r="C260">
        <v>140980.85662161256</v>
      </c>
      <c r="D260">
        <v>63850.005511255047</v>
      </c>
      <c r="E260">
        <v>82241.880840179583</v>
      </c>
      <c r="F260">
        <v>41693.668673550899</v>
      </c>
      <c r="G260">
        <v>10000</v>
      </c>
      <c r="H260">
        <v>318766.41164659808</v>
      </c>
      <c r="I260">
        <v>34.498103937076259</v>
      </c>
    </row>
    <row r="261" spans="1:9" x14ac:dyDescent="0.2">
      <c r="A261">
        <v>251</v>
      </c>
      <c r="B261">
        <v>1627962.7131527765</v>
      </c>
      <c r="C261">
        <v>133190.6327339634</v>
      </c>
      <c r="D261">
        <v>83214.821061624709</v>
      </c>
      <c r="E261">
        <v>192372.35244504007</v>
      </c>
      <c r="F261">
        <v>49318.085938502765</v>
      </c>
      <c r="G261">
        <v>10000</v>
      </c>
      <c r="H261">
        <v>448095.89217913093</v>
      </c>
      <c r="I261">
        <v>37.431004877026126</v>
      </c>
    </row>
    <row r="262" spans="1:9" x14ac:dyDescent="0.2">
      <c r="A262">
        <v>252</v>
      </c>
      <c r="B262">
        <v>1375160.5269505398</v>
      </c>
      <c r="C262">
        <v>106753.09985692338</v>
      </c>
      <c r="D262">
        <v>46458.575045121215</v>
      </c>
      <c r="E262">
        <v>186676.69539741721</v>
      </c>
      <c r="F262">
        <v>48923.771219821188</v>
      </c>
      <c r="G262">
        <v>10000</v>
      </c>
      <c r="H262">
        <v>378812.14151928294</v>
      </c>
      <c r="I262">
        <v>31.951018723156313</v>
      </c>
    </row>
    <row r="263" spans="1:9" x14ac:dyDescent="0.2">
      <c r="A263">
        <v>253</v>
      </c>
      <c r="B263">
        <v>1481614.1233728484</v>
      </c>
      <c r="C263">
        <v>129613.81614165743</v>
      </c>
      <c r="D263">
        <v>76264.460294370554</v>
      </c>
      <c r="E263">
        <v>164706.13521237194</v>
      </c>
      <c r="F263">
        <v>47402.732437779603</v>
      </c>
      <c r="G263">
        <v>10000</v>
      </c>
      <c r="H263">
        <v>407987.1440861795</v>
      </c>
      <c r="I263">
        <v>36.643590260368157</v>
      </c>
    </row>
    <row r="264" spans="1:9" x14ac:dyDescent="0.2">
      <c r="A264">
        <v>254</v>
      </c>
      <c r="B264">
        <v>1151437.7725221957</v>
      </c>
      <c r="C264">
        <v>143735.79657472821</v>
      </c>
      <c r="D264">
        <v>104957.88533130477</v>
      </c>
      <c r="E264">
        <v>40032.806184551657</v>
      </c>
      <c r="F264">
        <v>38771.501966622804</v>
      </c>
      <c r="G264">
        <v>10000</v>
      </c>
      <c r="H264">
        <v>317497.99005720741</v>
      </c>
      <c r="I264">
        <v>38.788036301377801</v>
      </c>
    </row>
    <row r="265" spans="1:9" x14ac:dyDescent="0.2">
      <c r="A265">
        <v>255</v>
      </c>
      <c r="B265">
        <v>1660223.0839344184</v>
      </c>
      <c r="C265">
        <v>119878.5906899183</v>
      </c>
      <c r="D265">
        <v>112686.84984985302</v>
      </c>
      <c r="E265">
        <v>185527.60970673009</v>
      </c>
      <c r="F265">
        <v>48844.219133542851</v>
      </c>
      <c r="G265">
        <v>10000</v>
      </c>
      <c r="H265">
        <v>456937.26938004431</v>
      </c>
      <c r="I265">
        <v>39.842422087183998</v>
      </c>
    </row>
    <row r="266" spans="1:9" x14ac:dyDescent="0.2">
      <c r="A266">
        <v>256</v>
      </c>
      <c r="B266">
        <v>1327739.8983562994</v>
      </c>
      <c r="C266">
        <v>118918.06468786496</v>
      </c>
      <c r="D266">
        <v>115503.5285509768</v>
      </c>
      <c r="E266">
        <v>98570.212221891445</v>
      </c>
      <c r="F266">
        <v>42824.091615361722</v>
      </c>
      <c r="G266">
        <v>10000</v>
      </c>
      <c r="H266">
        <v>365815.89707609493</v>
      </c>
      <c r="I266">
        <v>41.967584204667347</v>
      </c>
    </row>
    <row r="267" spans="1:9" x14ac:dyDescent="0.2">
      <c r="A267">
        <v>257</v>
      </c>
      <c r="B267">
        <v>1680341.116908215</v>
      </c>
      <c r="C267">
        <v>137321.33733580553</v>
      </c>
      <c r="D267">
        <v>120907.14285402637</v>
      </c>
      <c r="E267">
        <v>166682.81982476451</v>
      </c>
      <c r="F267">
        <v>47539.579834022152</v>
      </c>
      <c r="G267">
        <v>10000</v>
      </c>
      <c r="H267">
        <v>462450.87984861858</v>
      </c>
      <c r="I267">
        <v>51.039969500486926</v>
      </c>
    </row>
    <row r="268" spans="1:9" x14ac:dyDescent="0.2">
      <c r="A268">
        <v>258</v>
      </c>
      <c r="B268">
        <v>1229612.4678324466</v>
      </c>
      <c r="C268">
        <v>140366.51876612363</v>
      </c>
      <c r="D268">
        <v>50863.274338214193</v>
      </c>
      <c r="E268">
        <v>113813.59360225676</v>
      </c>
      <c r="F268">
        <v>43879.402634002392</v>
      </c>
      <c r="G268">
        <v>10000</v>
      </c>
      <c r="H268">
        <v>338922.789340597</v>
      </c>
      <c r="I268">
        <v>29.989523311780186</v>
      </c>
    </row>
    <row r="269" spans="1:9" x14ac:dyDescent="0.2">
      <c r="A269">
        <v>259</v>
      </c>
      <c r="B269">
        <v>1321412.4883445413</v>
      </c>
      <c r="C269">
        <v>86576.474605631054</v>
      </c>
      <c r="D269">
        <v>55755.421913273713</v>
      </c>
      <c r="E269">
        <v>183075.43758740404</v>
      </c>
      <c r="F269">
        <v>48674.453371435666</v>
      </c>
      <c r="G269">
        <v>10000</v>
      </c>
      <c r="H269">
        <v>364081.78747774451</v>
      </c>
      <c r="I269">
        <v>38.984466938494052</v>
      </c>
    </row>
    <row r="270" spans="1:9" x14ac:dyDescent="0.2">
      <c r="A270">
        <v>260</v>
      </c>
      <c r="B270">
        <v>1602639.1557574207</v>
      </c>
      <c r="C270">
        <v>107433.2560914833</v>
      </c>
      <c r="D270">
        <v>90060.221742128488</v>
      </c>
      <c r="E270">
        <v>203568.92822780748</v>
      </c>
      <c r="F270">
        <v>50093.233492694366</v>
      </c>
      <c r="G270">
        <v>10000</v>
      </c>
      <c r="H270">
        <v>441155.63955411367</v>
      </c>
      <c r="I270">
        <v>29.665251163072277</v>
      </c>
    </row>
    <row r="271" spans="1:9" x14ac:dyDescent="0.2">
      <c r="A271">
        <v>261</v>
      </c>
      <c r="B271">
        <v>1525347.9619052913</v>
      </c>
      <c r="C271">
        <v>126774.35920903584</v>
      </c>
      <c r="D271">
        <v>90796.956984343851</v>
      </c>
      <c r="E271">
        <v>164979.96905953137</v>
      </c>
      <c r="F271">
        <v>47421.690165659864</v>
      </c>
      <c r="G271">
        <v>10000</v>
      </c>
      <c r="H271">
        <v>419972.97541857092</v>
      </c>
      <c r="I271">
        <v>26.644099239595576</v>
      </c>
    </row>
    <row r="272" spans="1:9" x14ac:dyDescent="0.2">
      <c r="A272">
        <v>262</v>
      </c>
      <c r="B272">
        <v>825802.32369816769</v>
      </c>
      <c r="C272">
        <v>95132.411044667999</v>
      </c>
      <c r="D272">
        <v>62189.556573105117</v>
      </c>
      <c r="E272">
        <v>42022.137209735753</v>
      </c>
      <c r="F272">
        <v>38909.224883750932</v>
      </c>
      <c r="G272">
        <v>10000</v>
      </c>
      <c r="H272">
        <v>228253.32971125978</v>
      </c>
      <c r="I272">
        <v>36.383248295384973</v>
      </c>
    </row>
    <row r="273" spans="1:9" x14ac:dyDescent="0.2">
      <c r="A273">
        <v>263</v>
      </c>
      <c r="B273">
        <v>1206936.4108799421</v>
      </c>
      <c r="C273">
        <v>109149.12915468063</v>
      </c>
      <c r="D273">
        <v>101833.04020384223</v>
      </c>
      <c r="E273">
        <v>89527.86647047638</v>
      </c>
      <c r="F273">
        <v>42198.083063340673</v>
      </c>
      <c r="G273">
        <v>10000</v>
      </c>
      <c r="H273">
        <v>332708.11889233993</v>
      </c>
      <c r="I273">
        <v>42.946996746121513</v>
      </c>
    </row>
    <row r="274" spans="1:9" x14ac:dyDescent="0.2">
      <c r="A274">
        <v>264</v>
      </c>
      <c r="B274">
        <v>1309580.3980455259</v>
      </c>
      <c r="C274">
        <v>109967.61902509541</v>
      </c>
      <c r="D274">
        <v>108582.41005683258</v>
      </c>
      <c r="E274">
        <v>108759.51422624884</v>
      </c>
      <c r="F274">
        <v>43529.504831047991</v>
      </c>
      <c r="G274">
        <v>10000</v>
      </c>
      <c r="H274">
        <v>360839.04813922476</v>
      </c>
      <c r="I274">
        <v>36.306349602701445</v>
      </c>
    </row>
    <row r="275" spans="1:9" x14ac:dyDescent="0.2">
      <c r="A275">
        <v>265</v>
      </c>
      <c r="B275">
        <v>1329605.9759339129</v>
      </c>
      <c r="C275">
        <v>106264.30012287509</v>
      </c>
      <c r="D275">
        <v>33117.676197822468</v>
      </c>
      <c r="E275">
        <v>187934.49416388688</v>
      </c>
      <c r="F275">
        <v>49010.849595961394</v>
      </c>
      <c r="G275">
        <v>10000</v>
      </c>
      <c r="H275">
        <v>366327.32008054585</v>
      </c>
      <c r="I275">
        <v>35.157579953000898</v>
      </c>
    </row>
    <row r="276" spans="1:9" x14ac:dyDescent="0.2">
      <c r="A276">
        <v>266</v>
      </c>
      <c r="B276">
        <v>1339714.6582104294</v>
      </c>
      <c r="C276">
        <v>103801.63389899864</v>
      </c>
      <c r="D276">
        <v>100021.19356476271</v>
      </c>
      <c r="E276">
        <v>130257.10952136303</v>
      </c>
      <c r="F276">
        <v>45017.799889940514</v>
      </c>
      <c r="G276">
        <v>10000</v>
      </c>
      <c r="H276">
        <v>369097.7368750649</v>
      </c>
      <c r="I276">
        <v>27.882521460962707</v>
      </c>
    </row>
    <row r="277" spans="1:9" x14ac:dyDescent="0.2">
      <c r="A277">
        <v>267</v>
      </c>
      <c r="B277">
        <v>1085325.0769408813</v>
      </c>
      <c r="C277">
        <v>130021.84658067288</v>
      </c>
      <c r="D277">
        <v>100972.60954161211</v>
      </c>
      <c r="E277">
        <v>39640.164593717222</v>
      </c>
      <c r="F277">
        <v>38744.319087257347</v>
      </c>
      <c r="G277">
        <v>10000</v>
      </c>
      <c r="H277">
        <v>299378.93980325956</v>
      </c>
      <c r="I277">
        <v>37.654441011034777</v>
      </c>
    </row>
    <row r="278" spans="1:9" x14ac:dyDescent="0.2">
      <c r="A278">
        <v>268</v>
      </c>
      <c r="B278">
        <v>1663942.6889212485</v>
      </c>
      <c r="C278">
        <v>102305.76450337358</v>
      </c>
      <c r="D278">
        <v>149577.26091183707</v>
      </c>
      <c r="E278">
        <v>168414.20544344914</v>
      </c>
      <c r="F278">
        <v>47659.444992238787</v>
      </c>
      <c r="G278">
        <v>10000</v>
      </c>
      <c r="H278">
        <v>457956.67585089855</v>
      </c>
      <c r="I278">
        <v>34.49602851280509</v>
      </c>
    </row>
    <row r="279" spans="1:9" x14ac:dyDescent="0.2">
      <c r="A279">
        <v>269</v>
      </c>
      <c r="B279">
        <v>1129392.9489561364</v>
      </c>
      <c r="C279">
        <v>105286.84974626069</v>
      </c>
      <c r="D279">
        <v>145766.90362865143</v>
      </c>
      <c r="E279">
        <v>32175.059867625809</v>
      </c>
      <c r="F279">
        <v>38227.504144681785</v>
      </c>
      <c r="G279">
        <v>10000</v>
      </c>
      <c r="H279">
        <v>311456.31738721975</v>
      </c>
      <c r="I279">
        <v>32.26155667422762</v>
      </c>
    </row>
    <row r="280" spans="1:9" x14ac:dyDescent="0.2">
      <c r="A280">
        <v>270</v>
      </c>
      <c r="B280">
        <v>1720191.133130366</v>
      </c>
      <c r="C280">
        <v>147624.33860799999</v>
      </c>
      <c r="D280">
        <v>86666.645794932469</v>
      </c>
      <c r="E280">
        <v>199284.68253106193</v>
      </c>
      <c r="F280">
        <v>49796.631867535063</v>
      </c>
      <c r="G280">
        <v>10000</v>
      </c>
      <c r="H280">
        <v>473372.29880152945</v>
      </c>
      <c r="I280">
        <v>37.172154532367244</v>
      </c>
    </row>
    <row r="281" spans="1:9" x14ac:dyDescent="0.2">
      <c r="A281">
        <v>271</v>
      </c>
      <c r="B281">
        <v>982524.70367279777</v>
      </c>
      <c r="C281">
        <v>106707.50021050357</v>
      </c>
      <c r="D281">
        <v>47602.728357458349</v>
      </c>
      <c r="E281">
        <v>85009.639587781974</v>
      </c>
      <c r="F281">
        <v>41885.282740692594</v>
      </c>
      <c r="G281">
        <v>10000</v>
      </c>
      <c r="H281">
        <v>271205.15089643648</v>
      </c>
      <c r="I281">
        <v>31.273939700213141</v>
      </c>
    </row>
    <row r="282" spans="1:9" x14ac:dyDescent="0.2">
      <c r="A282">
        <v>272</v>
      </c>
      <c r="B282">
        <v>1492376.1272465941</v>
      </c>
      <c r="C282">
        <v>126136.3404043117</v>
      </c>
      <c r="D282">
        <v>78546.739026638024</v>
      </c>
      <c r="E282">
        <v>168582.44074027389</v>
      </c>
      <c r="F282">
        <v>47671.092051249725</v>
      </c>
      <c r="G282">
        <v>10000</v>
      </c>
      <c r="H282">
        <v>410936.61222247337</v>
      </c>
      <c r="I282">
        <v>35.013732184158542</v>
      </c>
    </row>
    <row r="283" spans="1:9" x14ac:dyDescent="0.2">
      <c r="A283">
        <v>273</v>
      </c>
      <c r="B283">
        <v>1607518.151898934</v>
      </c>
      <c r="C283">
        <v>96665.851325514246</v>
      </c>
      <c r="D283">
        <v>117870.14104040909</v>
      </c>
      <c r="E283">
        <v>188880.46042435552</v>
      </c>
      <c r="F283">
        <v>49076.339567839997</v>
      </c>
      <c r="G283">
        <v>10000</v>
      </c>
      <c r="H283">
        <v>442492.79235811881</v>
      </c>
      <c r="I283">
        <v>32.124520195371858</v>
      </c>
    </row>
    <row r="284" spans="1:9" x14ac:dyDescent="0.2">
      <c r="A284">
        <v>274</v>
      </c>
      <c r="B284">
        <v>1202318.4203081827</v>
      </c>
      <c r="C284">
        <v>121393.46809715073</v>
      </c>
      <c r="D284">
        <v>130029.24191702486</v>
      </c>
      <c r="E284">
        <v>50522.103949929406</v>
      </c>
      <c r="F284">
        <v>39497.684119610494</v>
      </c>
      <c r="G284">
        <v>10000</v>
      </c>
      <c r="H284">
        <v>331442.49808371544</v>
      </c>
      <c r="I284">
        <v>43.348872705573392</v>
      </c>
    </row>
    <row r="285" spans="1:9" x14ac:dyDescent="0.2">
      <c r="A285">
        <v>275</v>
      </c>
      <c r="B285">
        <v>1649437.4081035173</v>
      </c>
      <c r="C285">
        <v>136728.96282501117</v>
      </c>
      <c r="D285">
        <v>92487.013168461781</v>
      </c>
      <c r="E285">
        <v>185895.63951973594</v>
      </c>
      <c r="F285">
        <v>48869.698120597095</v>
      </c>
      <c r="G285">
        <v>10000</v>
      </c>
      <c r="H285">
        <v>453981.31363380601</v>
      </c>
      <c r="I285">
        <v>41.328919856425401</v>
      </c>
    </row>
    <row r="286" spans="1:9" x14ac:dyDescent="0.2">
      <c r="A286">
        <v>276</v>
      </c>
      <c r="B286">
        <v>1781252.0507033714</v>
      </c>
      <c r="C286">
        <v>142730.51177400289</v>
      </c>
      <c r="D286">
        <v>149768.2242809124</v>
      </c>
      <c r="E286">
        <v>160496.79077800899</v>
      </c>
      <c r="F286">
        <v>47111.316284631394</v>
      </c>
      <c r="G286">
        <v>10000</v>
      </c>
      <c r="H286">
        <v>490106.84311755566</v>
      </c>
      <c r="I286">
        <v>43.39180571173975</v>
      </c>
    </row>
    <row r="287" spans="1:9" x14ac:dyDescent="0.2">
      <c r="A287">
        <v>277</v>
      </c>
      <c r="B287">
        <v>893160.938880904</v>
      </c>
      <c r="C287">
        <v>123454.81276443828</v>
      </c>
      <c r="D287">
        <v>62193.364298674031</v>
      </c>
      <c r="E287">
        <v>32795.224846329555</v>
      </c>
      <c r="F287">
        <v>38270.438643207432</v>
      </c>
      <c r="G287">
        <v>10000</v>
      </c>
      <c r="H287">
        <v>246713.84055264929</v>
      </c>
      <c r="I287">
        <v>37.019297316043904</v>
      </c>
    </row>
    <row r="288" spans="1:9" x14ac:dyDescent="0.2">
      <c r="A288">
        <v>278</v>
      </c>
      <c r="B288">
        <v>1019078.4292660396</v>
      </c>
      <c r="C288">
        <v>76818.985416765237</v>
      </c>
      <c r="D288">
        <v>124300.30692624612</v>
      </c>
      <c r="E288">
        <v>50600.756578782777</v>
      </c>
      <c r="F288">
        <v>39503.129301608038</v>
      </c>
      <c r="G288">
        <v>10000</v>
      </c>
      <c r="H288">
        <v>281223.17822340218</v>
      </c>
      <c r="I288">
        <v>32.466431300522899</v>
      </c>
    </row>
    <row r="289" spans="1:9" x14ac:dyDescent="0.2">
      <c r="A289">
        <v>279</v>
      </c>
      <c r="B289">
        <v>1375136.4988614109</v>
      </c>
      <c r="C289">
        <v>112664.50288898969</v>
      </c>
      <c r="D289">
        <v>63197.428518628934</v>
      </c>
      <c r="E289">
        <v>165486.84343080127</v>
      </c>
      <c r="F289">
        <v>47456.781468286237</v>
      </c>
      <c r="G289">
        <v>10000</v>
      </c>
      <c r="H289">
        <v>378805.5563067061</v>
      </c>
      <c r="I289">
        <v>30.569201152425592</v>
      </c>
    </row>
    <row r="290" spans="1:9" x14ac:dyDescent="0.2">
      <c r="A290">
        <v>280</v>
      </c>
      <c r="B290">
        <v>1461747.8972480309</v>
      </c>
      <c r="C290">
        <v>105977.5524857397</v>
      </c>
      <c r="D290">
        <v>132370.85248407561</v>
      </c>
      <c r="E290">
        <v>129246.31762389865</v>
      </c>
      <c r="F290">
        <v>44947.821989346834</v>
      </c>
      <c r="G290">
        <v>10000</v>
      </c>
      <c r="H290">
        <v>402542.54458306078</v>
      </c>
      <c r="I290">
        <v>38.92738536411229</v>
      </c>
    </row>
    <row r="291" spans="1:9" x14ac:dyDescent="0.2">
      <c r="A291">
        <v>281</v>
      </c>
      <c r="B291">
        <v>1593055.41859767</v>
      </c>
      <c r="C291">
        <v>133059.59597689944</v>
      </c>
      <c r="D291">
        <v>91276.536557945292</v>
      </c>
      <c r="E291">
        <v>176007.80273635659</v>
      </c>
      <c r="F291">
        <v>48185.155574055454</v>
      </c>
      <c r="G291">
        <v>10000</v>
      </c>
      <c r="H291">
        <v>438529.09084525675</v>
      </c>
      <c r="I291">
        <v>33.504881546891184</v>
      </c>
    </row>
    <row r="292" spans="1:9" x14ac:dyDescent="0.2">
      <c r="A292">
        <v>282</v>
      </c>
      <c r="B292">
        <v>1594863.5178580638</v>
      </c>
      <c r="C292">
        <v>86878.184457812837</v>
      </c>
      <c r="D292">
        <v>149112.16157879488</v>
      </c>
      <c r="E292">
        <v>165571.62699606316</v>
      </c>
      <c r="F292">
        <v>47462.651099727445</v>
      </c>
      <c r="G292">
        <v>10000</v>
      </c>
      <c r="H292">
        <v>439024.62413239834</v>
      </c>
      <c r="I292">
        <v>29.170234340193204</v>
      </c>
    </row>
    <row r="293" spans="1:9" x14ac:dyDescent="0.2">
      <c r="A293">
        <v>283</v>
      </c>
      <c r="B293">
        <v>1520781.8489923361</v>
      </c>
      <c r="C293">
        <v>126166.35935991876</v>
      </c>
      <c r="D293">
        <v>137827.81132537645</v>
      </c>
      <c r="E293">
        <v>120392.53394215087</v>
      </c>
      <c r="F293">
        <v>44334.867734456595</v>
      </c>
      <c r="G293">
        <v>10000</v>
      </c>
      <c r="H293">
        <v>418721.57236190268</v>
      </c>
      <c r="I293">
        <v>40.456796785593667</v>
      </c>
    </row>
    <row r="294" spans="1:9" x14ac:dyDescent="0.2">
      <c r="A294">
        <v>284</v>
      </c>
      <c r="B294">
        <v>1172622.4590752714</v>
      </c>
      <c r="C294">
        <v>123489.32519760005</v>
      </c>
      <c r="D294">
        <v>130248.6418043609</v>
      </c>
      <c r="E294">
        <v>40745.146102536455</v>
      </c>
      <c r="F294">
        <v>38820.817807098676</v>
      </c>
      <c r="G294">
        <v>10000</v>
      </c>
      <c r="H294">
        <v>323303.93091159611</v>
      </c>
      <c r="I294">
        <v>47.700882501480997</v>
      </c>
    </row>
    <row r="295" spans="1:9" x14ac:dyDescent="0.2">
      <c r="A295">
        <v>285</v>
      </c>
      <c r="B295">
        <v>1218168.3980272487</v>
      </c>
      <c r="C295">
        <v>102023.85682052233</v>
      </c>
      <c r="D295">
        <v>87978.263546521805</v>
      </c>
      <c r="E295">
        <v>112028.45557871065</v>
      </c>
      <c r="F295">
        <v>43755.816155449196</v>
      </c>
      <c r="G295">
        <v>10000</v>
      </c>
      <c r="H295">
        <v>335786.39210120396</v>
      </c>
      <c r="I295">
        <v>38.307574615884057</v>
      </c>
    </row>
    <row r="296" spans="1:9" x14ac:dyDescent="0.2">
      <c r="A296">
        <v>286</v>
      </c>
      <c r="B296">
        <v>1545066.3870015994</v>
      </c>
      <c r="C296">
        <v>134844.58580741833</v>
      </c>
      <c r="D296">
        <v>51094.460519643071</v>
      </c>
      <c r="E296">
        <v>199618.29375732242</v>
      </c>
      <c r="F296">
        <v>49819.728029353086</v>
      </c>
      <c r="G296">
        <v>10000</v>
      </c>
      <c r="H296">
        <v>425377.06811373692</v>
      </c>
      <c r="I296">
        <v>33.295052542176265</v>
      </c>
    </row>
    <row r="297" spans="1:9" x14ac:dyDescent="0.2">
      <c r="A297">
        <v>287</v>
      </c>
      <c r="B297">
        <v>1402717.0522589134</v>
      </c>
      <c r="C297">
        <v>127146.69321632803</v>
      </c>
      <c r="D297">
        <v>57153.387694026547</v>
      </c>
      <c r="E297">
        <v>164664.44139788917</v>
      </c>
      <c r="F297">
        <v>47399.845942930784</v>
      </c>
      <c r="G297">
        <v>10000</v>
      </c>
      <c r="H297">
        <v>386364.36825117451</v>
      </c>
      <c r="I297">
        <v>48.473471300250765</v>
      </c>
    </row>
    <row r="298" spans="1:9" x14ac:dyDescent="0.2">
      <c r="A298">
        <v>288</v>
      </c>
      <c r="B298">
        <v>1147398.5660972535</v>
      </c>
      <c r="C298">
        <v>141130.8401617482</v>
      </c>
      <c r="D298">
        <v>28263.582789600834</v>
      </c>
      <c r="E298">
        <v>113162.25940765155</v>
      </c>
      <c r="F298">
        <v>43834.310266683562</v>
      </c>
      <c r="G298">
        <v>10000</v>
      </c>
      <c r="H298">
        <v>316390.99262568413</v>
      </c>
      <c r="I298">
        <v>28.918944527798892</v>
      </c>
    </row>
    <row r="299" spans="1:9" x14ac:dyDescent="0.2">
      <c r="A299">
        <v>289</v>
      </c>
      <c r="B299">
        <v>1585407.6678477207</v>
      </c>
      <c r="C299">
        <v>102881.71613129316</v>
      </c>
      <c r="D299">
        <v>121267.6037332803</v>
      </c>
      <c r="E299">
        <v>174222.26339549897</v>
      </c>
      <c r="F299">
        <v>48061.541311996079</v>
      </c>
      <c r="G299">
        <v>10000</v>
      </c>
      <c r="H299">
        <v>436433.12457206845</v>
      </c>
      <c r="I299">
        <v>41.952897910936571</v>
      </c>
    </row>
    <row r="300" spans="1:9" x14ac:dyDescent="0.2">
      <c r="A300">
        <v>290</v>
      </c>
      <c r="B300">
        <v>1254531.3265733696</v>
      </c>
      <c r="C300">
        <v>134867.21528234522</v>
      </c>
      <c r="D300">
        <v>52079.991486526473</v>
      </c>
      <c r="E300">
        <v>124206.04237265841</v>
      </c>
      <c r="F300">
        <v>44598.879856568667</v>
      </c>
      <c r="G300">
        <v>10000</v>
      </c>
      <c r="H300">
        <v>345752.12899809878</v>
      </c>
      <c r="I300">
        <v>46.822043607334464</v>
      </c>
    </row>
    <row r="301" spans="1:9" x14ac:dyDescent="0.2">
      <c r="A301">
        <v>291</v>
      </c>
      <c r="B301">
        <v>927566.15647142043</v>
      </c>
      <c r="C301">
        <v>136330.29896814565</v>
      </c>
      <c r="D301">
        <v>65063.420668842999</v>
      </c>
      <c r="E301">
        <v>26887.854622081399</v>
      </c>
      <c r="F301">
        <v>37861.466858451786</v>
      </c>
      <c r="G301">
        <v>10000</v>
      </c>
      <c r="H301">
        <v>256143.04111752182</v>
      </c>
      <c r="I301">
        <v>40.620823839478078</v>
      </c>
    </row>
    <row r="302" spans="1:9" x14ac:dyDescent="0.2">
      <c r="A302">
        <v>292</v>
      </c>
      <c r="B302">
        <v>989634.67710193712</v>
      </c>
      <c r="C302">
        <v>137877.31429070749</v>
      </c>
      <c r="D302">
        <v>52676.814875856544</v>
      </c>
      <c r="E302">
        <v>52934.880581959515</v>
      </c>
      <c r="F302">
        <v>39664.722501827964</v>
      </c>
      <c r="G302">
        <v>10000</v>
      </c>
      <c r="H302">
        <v>273153.73225035152</v>
      </c>
      <c r="I302">
        <v>40.283132079029627</v>
      </c>
    </row>
    <row r="303" spans="1:9" x14ac:dyDescent="0.2">
      <c r="A303">
        <v>293</v>
      </c>
      <c r="B303">
        <v>1335197.7649684637</v>
      </c>
      <c r="C303">
        <v>95138.177689159711</v>
      </c>
      <c r="D303">
        <v>115573.38044742239</v>
      </c>
      <c r="E303">
        <v>122656.65069828059</v>
      </c>
      <c r="F303">
        <v>44491.614279111731</v>
      </c>
      <c r="G303">
        <v>10000</v>
      </c>
      <c r="H303">
        <v>367859.82311397442</v>
      </c>
      <c r="I303">
        <v>37.305644324128622</v>
      </c>
    </row>
    <row r="304" spans="1:9" x14ac:dyDescent="0.2">
      <c r="A304">
        <v>294</v>
      </c>
      <c r="B304">
        <v>1546003.9715038757</v>
      </c>
      <c r="C304">
        <v>107293.23426313845</v>
      </c>
      <c r="D304">
        <v>79019.063384567198</v>
      </c>
      <c r="E304">
        <v>199509.52957895855</v>
      </c>
      <c r="F304">
        <v>49812.198201620209</v>
      </c>
      <c r="G304">
        <v>10000</v>
      </c>
      <c r="H304">
        <v>425634.02542828437</v>
      </c>
      <c r="I304">
        <v>34.113882787215836</v>
      </c>
    </row>
    <row r="305" spans="1:9" x14ac:dyDescent="0.2">
      <c r="A305">
        <v>295</v>
      </c>
      <c r="B305">
        <v>1191451.8790550588</v>
      </c>
      <c r="C305">
        <v>141883.09799925823</v>
      </c>
      <c r="D305">
        <v>106451.33891426033</v>
      </c>
      <c r="E305">
        <v>50625.126729808355</v>
      </c>
      <c r="F305">
        <v>39504.816465909804</v>
      </c>
      <c r="G305">
        <v>10000</v>
      </c>
      <c r="H305">
        <v>328464.38010923675</v>
      </c>
      <c r="I305">
        <v>49.386919710673389</v>
      </c>
    </row>
    <row r="306" spans="1:9" x14ac:dyDescent="0.2">
      <c r="A306">
        <v>296</v>
      </c>
      <c r="B306">
        <v>1134473.1047054685</v>
      </c>
      <c r="C306">
        <v>123117.89503326117</v>
      </c>
      <c r="D306">
        <v>68393.434565868141</v>
      </c>
      <c r="E306">
        <v>89164.354189185833</v>
      </c>
      <c r="F306">
        <v>42172.916828482099</v>
      </c>
      <c r="G306">
        <v>10000</v>
      </c>
      <c r="H306">
        <v>312848.60061679728</v>
      </c>
      <c r="I306">
        <v>42.334789723306102</v>
      </c>
    </row>
    <row r="307" spans="1:9" x14ac:dyDescent="0.2">
      <c r="A307">
        <v>297</v>
      </c>
      <c r="B307">
        <v>1440565.9464526337</v>
      </c>
      <c r="C307">
        <v>146140.72887959023</v>
      </c>
      <c r="D307">
        <v>45503.797580909646</v>
      </c>
      <c r="E307">
        <v>167496.88859706538</v>
      </c>
      <c r="F307">
        <v>47595.938441335296</v>
      </c>
      <c r="G307">
        <v>10000</v>
      </c>
      <c r="H307">
        <v>396737.35349890054</v>
      </c>
      <c r="I307">
        <v>41.355980415292905</v>
      </c>
    </row>
    <row r="308" spans="1:9" x14ac:dyDescent="0.2">
      <c r="A308">
        <v>298</v>
      </c>
      <c r="B308">
        <v>1612491.0800697634</v>
      </c>
      <c r="C308">
        <v>120138.224938108</v>
      </c>
      <c r="D308">
        <v>98871.047932079193</v>
      </c>
      <c r="E308">
        <v>185971.46782267553</v>
      </c>
      <c r="F308">
        <v>48874.947772339074</v>
      </c>
      <c r="G308">
        <v>10000</v>
      </c>
      <c r="H308">
        <v>443855.68846520176</v>
      </c>
      <c r="I308">
        <v>30.92566673532297</v>
      </c>
    </row>
    <row r="309" spans="1:9" x14ac:dyDescent="0.2">
      <c r="A309">
        <v>299</v>
      </c>
      <c r="B309">
        <v>1445579.5474228547</v>
      </c>
      <c r="C309">
        <v>124340.35342789994</v>
      </c>
      <c r="D309">
        <v>94604.165328163072</v>
      </c>
      <c r="E309">
        <v>143249.59790819595</v>
      </c>
      <c r="F309">
        <v>45917.279855182802</v>
      </c>
      <c r="G309">
        <v>10000</v>
      </c>
      <c r="H309">
        <v>398111.3965194418</v>
      </c>
      <c r="I309">
        <v>33.985029473990899</v>
      </c>
    </row>
    <row r="310" spans="1:9" x14ac:dyDescent="0.2">
      <c r="A310">
        <v>300</v>
      </c>
      <c r="B310">
        <v>1350630.6610559281</v>
      </c>
      <c r="C310">
        <v>87323.987331583747</v>
      </c>
      <c r="D310">
        <v>51701.396775621404</v>
      </c>
      <c r="E310">
        <v>193657.00305146264</v>
      </c>
      <c r="F310">
        <v>49407.023288178185</v>
      </c>
      <c r="G310">
        <v>10000</v>
      </c>
      <c r="H310">
        <v>372089.41044684598</v>
      </c>
      <c r="I310">
        <v>35.059869173320251</v>
      </c>
    </row>
    <row r="311" spans="1:9" x14ac:dyDescent="0.2">
      <c r="A311">
        <v>301</v>
      </c>
      <c r="B311">
        <v>1307383.219582384</v>
      </c>
      <c r="C311">
        <v>129763.02557241276</v>
      </c>
      <c r="D311">
        <v>142088.12869315132</v>
      </c>
      <c r="E311">
        <v>58346.364629240394</v>
      </c>
      <c r="F311">
        <v>40039.363705101256</v>
      </c>
      <c r="G311">
        <v>10000</v>
      </c>
      <c r="H311">
        <v>360236.88259990572</v>
      </c>
      <c r="I311">
        <v>29.711370323940471</v>
      </c>
    </row>
    <row r="312" spans="1:9" x14ac:dyDescent="0.2">
      <c r="A312">
        <v>302</v>
      </c>
      <c r="B312">
        <v>1393107.998542025</v>
      </c>
      <c r="C312">
        <v>141737.49613444589</v>
      </c>
      <c r="D312">
        <v>145761.75800365841</v>
      </c>
      <c r="E312">
        <v>65684.25553318765</v>
      </c>
      <c r="F312">
        <v>40547.371536912993</v>
      </c>
      <c r="G312">
        <v>10000</v>
      </c>
      <c r="H312">
        <v>383730.8812082049</v>
      </c>
      <c r="I312">
        <v>27.449528930233235</v>
      </c>
    </row>
    <row r="313" spans="1:9" x14ac:dyDescent="0.2">
      <c r="A313">
        <v>303</v>
      </c>
      <c r="B313">
        <v>1058300.2427271474</v>
      </c>
      <c r="C313">
        <v>111541.91552974495</v>
      </c>
      <c r="D313">
        <v>63158.545250663708</v>
      </c>
      <c r="E313">
        <v>85362.273352728807</v>
      </c>
      <c r="F313">
        <v>41909.695847496609</v>
      </c>
      <c r="G313">
        <v>10000</v>
      </c>
      <c r="H313">
        <v>291972.42998063407</v>
      </c>
      <c r="I313">
        <v>26.678155327458704</v>
      </c>
    </row>
    <row r="314" spans="1:9" x14ac:dyDescent="0.2">
      <c r="A314">
        <v>304</v>
      </c>
      <c r="B314">
        <v>991078.04954592697</v>
      </c>
      <c r="C314">
        <v>83811.206336643605</v>
      </c>
      <c r="D314">
        <v>79171.282366219079</v>
      </c>
      <c r="E314">
        <v>79091.269262452231</v>
      </c>
      <c r="F314">
        <v>41475.549410477455</v>
      </c>
      <c r="G314">
        <v>10000</v>
      </c>
      <c r="H314">
        <v>273549.30737579241</v>
      </c>
      <c r="I314">
        <v>42.68370468359241</v>
      </c>
    </row>
    <row r="315" spans="1:9" x14ac:dyDescent="0.2">
      <c r="A315">
        <v>305</v>
      </c>
      <c r="B315">
        <v>1623262.8060017377</v>
      </c>
      <c r="C315">
        <v>123476.08539649006</v>
      </c>
      <c r="D315">
        <v>126949.78634870193</v>
      </c>
      <c r="E315">
        <v>159350.02453800527</v>
      </c>
      <c r="F315">
        <v>47031.924775708052</v>
      </c>
      <c r="G315">
        <v>10000</v>
      </c>
      <c r="H315">
        <v>446807.82105890528</v>
      </c>
      <c r="I315">
        <v>36.728198460834257</v>
      </c>
    </row>
    <row r="316" spans="1:9" x14ac:dyDescent="0.2">
      <c r="A316">
        <v>306</v>
      </c>
      <c r="B316">
        <v>845538.93015426444</v>
      </c>
      <c r="C316">
        <v>108938.79813685105</v>
      </c>
      <c r="D316">
        <v>45633.189754165673</v>
      </c>
      <c r="E316">
        <v>49652.908317833702</v>
      </c>
      <c r="F316">
        <v>39437.509037388489</v>
      </c>
      <c r="G316">
        <v>10000</v>
      </c>
      <c r="H316">
        <v>233662.40524623892</v>
      </c>
      <c r="I316">
        <v>38.839312560610004</v>
      </c>
    </row>
    <row r="317" spans="1:9" x14ac:dyDescent="0.2">
      <c r="A317">
        <v>307</v>
      </c>
      <c r="B317">
        <v>1525171.879639206</v>
      </c>
      <c r="C317">
        <v>137783.86950807364</v>
      </c>
      <c r="D317">
        <v>93863.280309563212</v>
      </c>
      <c r="E317">
        <v>151770.3872907678</v>
      </c>
      <c r="F317">
        <v>46507.180658591613</v>
      </c>
      <c r="G317">
        <v>10000</v>
      </c>
      <c r="H317">
        <v>419924.7177669963</v>
      </c>
      <c r="I317">
        <v>46.260481883921067</v>
      </c>
    </row>
    <row r="318" spans="1:9" x14ac:dyDescent="0.2">
      <c r="A318">
        <v>308</v>
      </c>
      <c r="B318">
        <v>1084629.4652685111</v>
      </c>
      <c r="C318">
        <v>142487.62320964463</v>
      </c>
      <c r="D318">
        <v>76664.95790921463</v>
      </c>
      <c r="E318">
        <v>50537.001691821271</v>
      </c>
      <c r="F318">
        <v>39498.71550174147</v>
      </c>
      <c r="G318">
        <v>10000</v>
      </c>
      <c r="H318">
        <v>299188.298312422</v>
      </c>
      <c r="I318">
        <v>37.685974382334187</v>
      </c>
    </row>
    <row r="319" spans="1:9" x14ac:dyDescent="0.2">
      <c r="A319">
        <v>309</v>
      </c>
      <c r="B319">
        <v>1084062.029385013</v>
      </c>
      <c r="C319">
        <v>91139.60862571327</v>
      </c>
      <c r="D319">
        <v>141316.87301285128</v>
      </c>
      <c r="E319">
        <v>37949.060768392192</v>
      </c>
      <c r="F319">
        <v>38627.242668580999</v>
      </c>
      <c r="G319">
        <v>10000</v>
      </c>
      <c r="H319">
        <v>299032.78507553774</v>
      </c>
      <c r="I319">
        <v>39.071262911404659</v>
      </c>
    </row>
    <row r="320" spans="1:9" x14ac:dyDescent="0.2">
      <c r="A320">
        <v>310</v>
      </c>
      <c r="B320">
        <v>1645740.8799849795</v>
      </c>
      <c r="C320">
        <v>169681.28197836265</v>
      </c>
      <c r="D320">
        <v>125017.35851145987</v>
      </c>
      <c r="E320">
        <v>123705.37305649517</v>
      </c>
      <c r="F320">
        <v>44564.218134680435</v>
      </c>
      <c r="G320">
        <v>10000</v>
      </c>
      <c r="H320">
        <v>452968.23168099805</v>
      </c>
      <c r="I320">
        <v>38.806577830936838</v>
      </c>
    </row>
    <row r="321" spans="1:9" x14ac:dyDescent="0.2">
      <c r="A321">
        <v>311</v>
      </c>
      <c r="B321">
        <v>1390844.1834034403</v>
      </c>
      <c r="C321">
        <v>125325.9675253142</v>
      </c>
      <c r="D321">
        <v>86202.80305576956</v>
      </c>
      <c r="E321">
        <v>136155.53033395993</v>
      </c>
      <c r="F321">
        <v>45426.152100043379</v>
      </c>
      <c r="G321">
        <v>10000</v>
      </c>
      <c r="H321">
        <v>383110.45301508706</v>
      </c>
      <c r="I321">
        <v>40.238011842465994</v>
      </c>
    </row>
    <row r="322" spans="1:9" x14ac:dyDescent="0.2">
      <c r="A322">
        <v>312</v>
      </c>
      <c r="B322">
        <v>1314049.6661947111</v>
      </c>
      <c r="C322">
        <v>108529.65674722391</v>
      </c>
      <c r="D322">
        <v>94807.657526759125</v>
      </c>
      <c r="E322">
        <v>124132.78701405801</v>
      </c>
      <c r="F322">
        <v>44593.808331742475</v>
      </c>
      <c r="G322">
        <v>10000</v>
      </c>
      <c r="H322">
        <v>362063.90961978352</v>
      </c>
      <c r="I322">
        <v>38.516645535044731</v>
      </c>
    </row>
    <row r="323" spans="1:9" x14ac:dyDescent="0.2">
      <c r="A323">
        <v>313</v>
      </c>
      <c r="B323">
        <v>1182353.9214523174</v>
      </c>
      <c r="C323">
        <v>116941.5072423565</v>
      </c>
      <c r="D323">
        <v>111663.0156349935</v>
      </c>
      <c r="E323">
        <v>66745.593961294362</v>
      </c>
      <c r="F323">
        <v>40620.848812704993</v>
      </c>
      <c r="G323">
        <v>10000</v>
      </c>
      <c r="H323">
        <v>325970.9656513494</v>
      </c>
      <c r="I323">
        <v>39.139871212699965</v>
      </c>
    </row>
    <row r="324" spans="1:9" x14ac:dyDescent="0.2">
      <c r="A324">
        <v>314</v>
      </c>
      <c r="B324">
        <v>1359793.0652633074</v>
      </c>
      <c r="C324">
        <v>134728.22104707247</v>
      </c>
      <c r="D324">
        <v>51714.558739768559</v>
      </c>
      <c r="E324">
        <v>151658.28764052395</v>
      </c>
      <c r="F324">
        <v>46499.419913574733</v>
      </c>
      <c r="G324">
        <v>10000</v>
      </c>
      <c r="H324">
        <v>374600.4873409397</v>
      </c>
      <c r="I324">
        <v>40.439637696656931</v>
      </c>
    </row>
    <row r="325" spans="1:9" x14ac:dyDescent="0.2">
      <c r="A325">
        <v>315</v>
      </c>
      <c r="B325">
        <v>1284413.2843292796</v>
      </c>
      <c r="C325">
        <v>144066.72498185237</v>
      </c>
      <c r="D325">
        <v>127067.80318576108</v>
      </c>
      <c r="E325">
        <v>53128.982461872845</v>
      </c>
      <c r="F325">
        <v>39678.160324283504</v>
      </c>
      <c r="G325">
        <v>10000</v>
      </c>
      <c r="H325">
        <v>353941.67095376982</v>
      </c>
      <c r="I325">
        <v>26.456506607713397</v>
      </c>
    </row>
    <row r="326" spans="1:9" x14ac:dyDescent="0.2">
      <c r="A326">
        <v>316</v>
      </c>
      <c r="B326">
        <v>1389143.1454635004</v>
      </c>
      <c r="C326">
        <v>87630.022512714553</v>
      </c>
      <c r="D326">
        <v>108474.52544269442</v>
      </c>
      <c r="E326">
        <v>150145.05563221977</v>
      </c>
      <c r="F326">
        <v>46394.657697615214</v>
      </c>
      <c r="G326">
        <v>10000</v>
      </c>
      <c r="H326">
        <v>382644.26128524396</v>
      </c>
      <c r="I326">
        <v>37.122794681514769</v>
      </c>
    </row>
    <row r="327" spans="1:9" x14ac:dyDescent="0.2">
      <c r="A327">
        <v>317</v>
      </c>
      <c r="B327">
        <v>1247557.1422627172</v>
      </c>
      <c r="C327">
        <v>125652.9047689875</v>
      </c>
      <c r="D327">
        <v>60242.907885770815</v>
      </c>
      <c r="E327">
        <v>123401.75158914791</v>
      </c>
      <c r="F327">
        <v>44543.198186941008</v>
      </c>
      <c r="G327">
        <v>10000</v>
      </c>
      <c r="H327">
        <v>343840.76243084727</v>
      </c>
      <c r="I327">
        <v>31.388848457970017</v>
      </c>
    </row>
    <row r="328" spans="1:9" x14ac:dyDescent="0.2">
      <c r="A328">
        <v>318</v>
      </c>
      <c r="B328">
        <v>1043301.2661662865</v>
      </c>
      <c r="C328">
        <v>97163.011978127979</v>
      </c>
      <c r="D328">
        <v>113586.41913680448</v>
      </c>
      <c r="E328">
        <v>47802.901238904939</v>
      </c>
      <c r="F328">
        <v>39309.431624231882</v>
      </c>
      <c r="G328">
        <v>10000</v>
      </c>
      <c r="H328">
        <v>287861.7639780693</v>
      </c>
      <c r="I328">
        <v>27.209562687985311</v>
      </c>
    </row>
    <row r="329" spans="1:9" x14ac:dyDescent="0.2">
      <c r="A329">
        <v>319</v>
      </c>
      <c r="B329">
        <v>1314787.8165591692</v>
      </c>
      <c r="C329">
        <v>95945.716803574222</v>
      </c>
      <c r="D329">
        <v>59900.705682668515</v>
      </c>
      <c r="E329">
        <v>168737.93020375798</v>
      </c>
      <c r="F329">
        <v>47681.856706414008</v>
      </c>
      <c r="G329">
        <v>10000</v>
      </c>
      <c r="H329">
        <v>362266.20939641469</v>
      </c>
      <c r="I329">
        <v>38.183969368320895</v>
      </c>
    </row>
    <row r="330" spans="1:9" x14ac:dyDescent="0.2">
      <c r="A330">
        <v>320</v>
      </c>
      <c r="B330">
        <v>1178571.024799732</v>
      </c>
      <c r="C330">
        <v>88704.374605746139</v>
      </c>
      <c r="D330">
        <v>126841.53461051136</v>
      </c>
      <c r="E330">
        <v>77989.061345618247</v>
      </c>
      <c r="F330">
        <v>41399.242708542806</v>
      </c>
      <c r="G330">
        <v>10000</v>
      </c>
      <c r="H330">
        <v>324934.21327041852</v>
      </c>
      <c r="I330">
        <v>27.83028965196339</v>
      </c>
    </row>
    <row r="331" spans="1:9" x14ac:dyDescent="0.2">
      <c r="A331">
        <v>321</v>
      </c>
      <c r="B331">
        <v>969376.00990303443</v>
      </c>
      <c r="C331">
        <v>99267.940213499809</v>
      </c>
      <c r="D331">
        <v>64636.863231577816</v>
      </c>
      <c r="E331">
        <v>72666.049201891772</v>
      </c>
      <c r="F331">
        <v>41030.726483207887</v>
      </c>
      <c r="G331">
        <v>10000</v>
      </c>
      <c r="H331">
        <v>267601.57913017727</v>
      </c>
      <c r="I331">
        <v>33.156196464767902</v>
      </c>
    </row>
    <row r="332" spans="1:9" x14ac:dyDescent="0.2">
      <c r="A332">
        <v>322</v>
      </c>
      <c r="B332">
        <v>1564196.33311295</v>
      </c>
      <c r="C332">
        <v>100371.62508355764</v>
      </c>
      <c r="D332">
        <v>168003.1854346077</v>
      </c>
      <c r="E332">
        <v>127423.44668426119</v>
      </c>
      <c r="F332">
        <v>44821.623231987309</v>
      </c>
      <c r="G332">
        <v>10000</v>
      </c>
      <c r="H332">
        <v>430619.88043441385</v>
      </c>
      <c r="I332">
        <v>35.954388584752863</v>
      </c>
    </row>
    <row r="333" spans="1:9" x14ac:dyDescent="0.2">
      <c r="A333">
        <v>323</v>
      </c>
      <c r="B333">
        <v>1444868.9180744914</v>
      </c>
      <c r="C333">
        <v>115355.81940910603</v>
      </c>
      <c r="D333">
        <v>148267.8074406407</v>
      </c>
      <c r="E333">
        <v>101281.23460751066</v>
      </c>
      <c r="F333">
        <v>43011.777780519973</v>
      </c>
      <c r="G333">
        <v>10000</v>
      </c>
      <c r="H333">
        <v>397916.63923777739</v>
      </c>
      <c r="I333">
        <v>28.876009358771903</v>
      </c>
    </row>
    <row r="334" spans="1:9" x14ac:dyDescent="0.2">
      <c r="A334">
        <v>324</v>
      </c>
      <c r="B334">
        <v>924229.97127772251</v>
      </c>
      <c r="C334">
        <v>103227.57945258409</v>
      </c>
      <c r="D334">
        <v>78976.45248630688</v>
      </c>
      <c r="E334">
        <v>43979.920217265368</v>
      </c>
      <c r="F334">
        <v>39044.763707349142</v>
      </c>
      <c r="G334">
        <v>10000</v>
      </c>
      <c r="H334">
        <v>255228.71586350549</v>
      </c>
      <c r="I334">
        <v>38.538868575723718</v>
      </c>
    </row>
    <row r="335" spans="1:9" x14ac:dyDescent="0.2">
      <c r="A335">
        <v>325</v>
      </c>
      <c r="B335">
        <v>982728.56643655407</v>
      </c>
      <c r="C335">
        <v>103230.17272549181</v>
      </c>
      <c r="D335">
        <v>88288.359540460195</v>
      </c>
      <c r="E335">
        <v>50262.760330040459</v>
      </c>
      <c r="F335">
        <v>39479.729561310494</v>
      </c>
      <c r="G335">
        <v>10000</v>
      </c>
      <c r="H335">
        <v>271261.02215730294</v>
      </c>
      <c r="I335">
        <v>36.861447927115307</v>
      </c>
    </row>
    <row r="336" spans="1:9" x14ac:dyDescent="0.2">
      <c r="A336">
        <v>326</v>
      </c>
      <c r="B336">
        <v>1726868.9557422283</v>
      </c>
      <c r="C336">
        <v>126171.74760245346</v>
      </c>
      <c r="D336">
        <v>161103.67228287214</v>
      </c>
      <c r="E336">
        <v>151442.54013029026</v>
      </c>
      <c r="F336">
        <v>46484.483547481635</v>
      </c>
      <c r="G336">
        <v>10000</v>
      </c>
      <c r="H336">
        <v>475202.44356309751</v>
      </c>
      <c r="I336">
        <v>29.726636091049997</v>
      </c>
    </row>
    <row r="337" spans="1:9" x14ac:dyDescent="0.2">
      <c r="A337">
        <v>327</v>
      </c>
      <c r="B337">
        <v>1333298.1826913948</v>
      </c>
      <c r="C337">
        <v>145288.56525577692</v>
      </c>
      <c r="D337">
        <v>161012.9866953927</v>
      </c>
      <c r="E337">
        <v>32769.03991622592</v>
      </c>
      <c r="F337">
        <v>38268.6258403541</v>
      </c>
      <c r="G337">
        <v>10000</v>
      </c>
      <c r="H337">
        <v>367339.21770774969</v>
      </c>
      <c r="I337">
        <v>36.561305695900131</v>
      </c>
    </row>
    <row r="338" spans="1:9" x14ac:dyDescent="0.2">
      <c r="A338">
        <v>328</v>
      </c>
      <c r="B338">
        <v>1558079.6490434818</v>
      </c>
      <c r="C338">
        <v>88069.127084542255</v>
      </c>
      <c r="D338">
        <v>113097.92264539923</v>
      </c>
      <c r="E338">
        <v>188711.80957140919</v>
      </c>
      <c r="F338">
        <v>49064.663739559095</v>
      </c>
      <c r="G338">
        <v>10000</v>
      </c>
      <c r="H338">
        <v>428943.52304090979</v>
      </c>
      <c r="I338">
        <v>42.436899296673914</v>
      </c>
    </row>
    <row r="339" spans="1:9" x14ac:dyDescent="0.2">
      <c r="A339">
        <v>329</v>
      </c>
      <c r="B339">
        <v>1071622.5443373909</v>
      </c>
      <c r="C339">
        <v>126773.33051233939</v>
      </c>
      <c r="D339">
        <v>80395.050228300679</v>
      </c>
      <c r="E339">
        <v>58411.33860561208</v>
      </c>
      <c r="F339">
        <v>40043.861903465448</v>
      </c>
      <c r="G339">
        <v>10000</v>
      </c>
      <c r="H339">
        <v>295623.58124971762</v>
      </c>
      <c r="I339">
        <v>28.368875528879997</v>
      </c>
    </row>
    <row r="340" spans="1:9" x14ac:dyDescent="0.2">
      <c r="A340">
        <v>330</v>
      </c>
      <c r="B340">
        <v>1218387.229278204</v>
      </c>
      <c r="C340">
        <v>105941.52180030129</v>
      </c>
      <c r="D340">
        <v>94011.177876826085</v>
      </c>
      <c r="E340">
        <v>102778.24877224291</v>
      </c>
      <c r="F340">
        <v>43115.417222693737</v>
      </c>
      <c r="G340">
        <v>10000</v>
      </c>
      <c r="H340">
        <v>335846.36567206401</v>
      </c>
      <c r="I340">
        <v>37.291931018378406</v>
      </c>
    </row>
    <row r="341" spans="1:9" x14ac:dyDescent="0.2">
      <c r="A341">
        <v>331</v>
      </c>
      <c r="B341">
        <v>1647269.9767943157</v>
      </c>
      <c r="C341">
        <v>130722.65614465636</v>
      </c>
      <c r="D341">
        <v>85125.907989488755</v>
      </c>
      <c r="E341">
        <v>197841.98383079848</v>
      </c>
      <c r="F341">
        <v>49696.752726747589</v>
      </c>
      <c r="G341">
        <v>10000</v>
      </c>
      <c r="H341">
        <v>453387.30069169117</v>
      </c>
      <c r="I341">
        <v>32.36748625148104</v>
      </c>
    </row>
    <row r="342" spans="1:9" x14ac:dyDescent="0.2">
      <c r="A342">
        <v>332</v>
      </c>
      <c r="B342">
        <v>1367486.8560942353</v>
      </c>
      <c r="C342">
        <v>135130.75346079931</v>
      </c>
      <c r="D342">
        <v>134326.09522047706</v>
      </c>
      <c r="E342">
        <v>75991.287529624125</v>
      </c>
      <c r="F342">
        <v>41260.93529051244</v>
      </c>
      <c r="G342">
        <v>10000</v>
      </c>
      <c r="H342">
        <v>376709.07150141295</v>
      </c>
      <c r="I342">
        <v>27.596244742479371</v>
      </c>
    </row>
    <row r="343" spans="1:9" x14ac:dyDescent="0.2">
      <c r="A343">
        <v>333</v>
      </c>
      <c r="B343">
        <v>939695.48733108211</v>
      </c>
      <c r="C343">
        <v>90664.839331235708</v>
      </c>
      <c r="D343">
        <v>108380.9167997123</v>
      </c>
      <c r="E343">
        <v>32192.757620644403</v>
      </c>
      <c r="F343">
        <v>38228.729373736918</v>
      </c>
      <c r="G343">
        <v>10000</v>
      </c>
      <c r="H343">
        <v>259467.24312532938</v>
      </c>
      <c r="I343">
        <v>38.817780518444991</v>
      </c>
    </row>
    <row r="344" spans="1:9" x14ac:dyDescent="0.2">
      <c r="A344">
        <v>334</v>
      </c>
      <c r="B344">
        <v>1409851.6585477106</v>
      </c>
      <c r="C344">
        <v>122720.82307401154</v>
      </c>
      <c r="D344">
        <v>101537.86657684961</v>
      </c>
      <c r="E344">
        <v>129121.80876670365</v>
      </c>
      <c r="F344">
        <v>44939.202145387171</v>
      </c>
      <c r="G344">
        <v>10000</v>
      </c>
      <c r="H344">
        <v>388319.70056295197</v>
      </c>
      <c r="I344">
        <v>39.019358462073981</v>
      </c>
    </row>
    <row r="345" spans="1:9" x14ac:dyDescent="0.2">
      <c r="A345">
        <v>335</v>
      </c>
      <c r="B345">
        <v>1153901.2249144914</v>
      </c>
      <c r="C345">
        <v>130681.10901195431</v>
      </c>
      <c r="D345">
        <v>75027.962898272628</v>
      </c>
      <c r="E345">
        <v>80865.667199972188</v>
      </c>
      <c r="F345">
        <v>41598.392344613458</v>
      </c>
      <c r="G345">
        <v>10000</v>
      </c>
      <c r="H345">
        <v>318173.1314548126</v>
      </c>
      <c r="I345">
        <v>54.845252176229081</v>
      </c>
    </row>
    <row r="346" spans="1:9" x14ac:dyDescent="0.2">
      <c r="A346">
        <v>336</v>
      </c>
      <c r="B346">
        <v>1655006.5161983799</v>
      </c>
      <c r="C346">
        <v>128449.78393383796</v>
      </c>
      <c r="D346">
        <v>95750.885251155603</v>
      </c>
      <c r="E346">
        <v>192013.67691776954</v>
      </c>
      <c r="F346">
        <v>49293.254555845582</v>
      </c>
      <c r="G346">
        <v>10000</v>
      </c>
      <c r="H346">
        <v>455507.60065860866</v>
      </c>
      <c r="I346">
        <v>35.573435598710248</v>
      </c>
    </row>
    <row r="347" spans="1:9" x14ac:dyDescent="0.2">
      <c r="A347">
        <v>337</v>
      </c>
      <c r="B347">
        <v>1256018.4526879503</v>
      </c>
      <c r="C347">
        <v>84651.82866897402</v>
      </c>
      <c r="D347">
        <v>83661.395398938461</v>
      </c>
      <c r="E347">
        <v>142014.68540924715</v>
      </c>
      <c r="F347">
        <v>45831.785912947882</v>
      </c>
      <c r="G347">
        <v>10000</v>
      </c>
      <c r="H347">
        <v>346159.69539010752</v>
      </c>
      <c r="I347">
        <v>38.482284085118643</v>
      </c>
    </row>
    <row r="348" spans="1:9" x14ac:dyDescent="0.2">
      <c r="A348">
        <v>338</v>
      </c>
      <c r="B348">
        <v>1360210.7397094436</v>
      </c>
      <c r="C348">
        <v>142805.92281014464</v>
      </c>
      <c r="D348">
        <v>107869.90628489321</v>
      </c>
      <c r="E348">
        <v>91691.270229381058</v>
      </c>
      <c r="F348">
        <v>42347.857169726383</v>
      </c>
      <c r="G348">
        <v>10000</v>
      </c>
      <c r="H348">
        <v>374714.95649414527</v>
      </c>
      <c r="I348">
        <v>27.910779630366051</v>
      </c>
    </row>
    <row r="349" spans="1:9" x14ac:dyDescent="0.2">
      <c r="A349">
        <v>339</v>
      </c>
      <c r="B349">
        <v>1462766.4048917084</v>
      </c>
      <c r="C349">
        <v>117415.0764384191</v>
      </c>
      <c r="D349">
        <v>77554.295031012924</v>
      </c>
      <c r="E349">
        <v>170077.69857384724</v>
      </c>
      <c r="F349">
        <v>47774.609901266347</v>
      </c>
      <c r="G349">
        <v>10000</v>
      </c>
      <c r="H349">
        <v>402821.67994454561</v>
      </c>
      <c r="I349">
        <v>32.111621318878164</v>
      </c>
    </row>
    <row r="350" spans="1:9" x14ac:dyDescent="0.2">
      <c r="A350">
        <v>340</v>
      </c>
      <c r="B350">
        <v>1439010.5139146815</v>
      </c>
      <c r="C350">
        <v>142039.7056285424</v>
      </c>
      <c r="D350">
        <v>37732.126955978449</v>
      </c>
      <c r="E350">
        <v>178202.16153090922</v>
      </c>
      <c r="F350">
        <v>48337.072721370634</v>
      </c>
      <c r="G350">
        <v>10000</v>
      </c>
      <c r="H350">
        <v>396311.06683680066</v>
      </c>
      <c r="I350">
        <v>40.297292738628641</v>
      </c>
    </row>
    <row r="351" spans="1:9" x14ac:dyDescent="0.2">
      <c r="A351">
        <v>341</v>
      </c>
      <c r="B351">
        <v>971720.40886865498</v>
      </c>
      <c r="C351">
        <v>136412.29541850541</v>
      </c>
      <c r="D351">
        <v>55113.685852077826</v>
      </c>
      <c r="E351">
        <v>47434.204631606786</v>
      </c>
      <c r="F351">
        <v>39283.906474495852</v>
      </c>
      <c r="G351">
        <v>10000</v>
      </c>
      <c r="H351">
        <v>268244.09237668588</v>
      </c>
      <c r="I351">
        <v>27.909119358516371</v>
      </c>
    </row>
    <row r="352" spans="1:9" x14ac:dyDescent="0.2">
      <c r="A352">
        <v>342</v>
      </c>
      <c r="B352">
        <v>1476630.2102112989</v>
      </c>
      <c r="C352">
        <v>108556.27681626812</v>
      </c>
      <c r="D352">
        <v>73881.00318811179</v>
      </c>
      <c r="E352">
        <v>185351.9025988119</v>
      </c>
      <c r="F352">
        <v>48832.054795302363</v>
      </c>
      <c r="G352">
        <v>10000</v>
      </c>
      <c r="H352">
        <v>406621.23739849415</v>
      </c>
      <c r="I352">
        <v>26.030940728206872</v>
      </c>
    </row>
    <row r="353" spans="1:9" x14ac:dyDescent="0.2">
      <c r="A353">
        <v>343</v>
      </c>
      <c r="B353">
        <v>1372119.8290710216</v>
      </c>
      <c r="C353">
        <v>136859.79696530767</v>
      </c>
      <c r="D353">
        <v>142376.07956107229</v>
      </c>
      <c r="E353">
        <v>68032.948547063541</v>
      </c>
      <c r="F353">
        <v>40709.973360950557</v>
      </c>
      <c r="G353">
        <v>10000</v>
      </c>
      <c r="H353">
        <v>377978.798434394</v>
      </c>
      <c r="I353">
        <v>31.540027346824498</v>
      </c>
    </row>
    <row r="354" spans="1:9" x14ac:dyDescent="0.2">
      <c r="A354">
        <v>344</v>
      </c>
      <c r="B354">
        <v>1240368.9790866347</v>
      </c>
      <c r="C354">
        <v>143954.38662354747</v>
      </c>
      <c r="D354">
        <v>37465.074531540253</v>
      </c>
      <c r="E354">
        <v>125745.81172424679</v>
      </c>
      <c r="F354">
        <v>44705.479273217083</v>
      </c>
      <c r="G354">
        <v>10000</v>
      </c>
      <c r="H354">
        <v>341870.75215255161</v>
      </c>
      <c r="I354">
        <v>25.872711913139959</v>
      </c>
    </row>
    <row r="355" spans="1:9" x14ac:dyDescent="0.2">
      <c r="A355">
        <v>345</v>
      </c>
      <c r="B355">
        <v>1419980.8575413381</v>
      </c>
      <c r="C355">
        <v>160412.32325116335</v>
      </c>
      <c r="D355">
        <v>130757.58079405155</v>
      </c>
      <c r="E355">
        <v>69139.271254341977</v>
      </c>
      <c r="F355">
        <v>40786.564932992907</v>
      </c>
      <c r="G355">
        <v>10000</v>
      </c>
      <c r="H355">
        <v>391095.74023254978</v>
      </c>
      <c r="I355">
        <v>35.196412029565508</v>
      </c>
    </row>
    <row r="356" spans="1:9" x14ac:dyDescent="0.2">
      <c r="A356">
        <v>346</v>
      </c>
      <c r="B356">
        <v>1519603.8348188065</v>
      </c>
      <c r="C356">
        <v>109418.44672203182</v>
      </c>
      <c r="D356">
        <v>140164.0548701419</v>
      </c>
      <c r="E356">
        <v>133569.12713712887</v>
      </c>
      <c r="F356">
        <v>45247.093417185846</v>
      </c>
      <c r="G356">
        <v>10000</v>
      </c>
      <c r="H356">
        <v>418398.72214648838</v>
      </c>
      <c r="I356">
        <v>49.806736137660188</v>
      </c>
    </row>
    <row r="357" spans="1:9" x14ac:dyDescent="0.2">
      <c r="A357">
        <v>347</v>
      </c>
      <c r="B357">
        <v>1540600.425529276</v>
      </c>
      <c r="C357">
        <v>103770.30412902338</v>
      </c>
      <c r="D357">
        <v>86535.78566219972</v>
      </c>
      <c r="E357">
        <v>194389.30216121118</v>
      </c>
      <c r="F357">
        <v>49457.720918853083</v>
      </c>
      <c r="G357">
        <v>10000</v>
      </c>
      <c r="H357">
        <v>424153.11287128739</v>
      </c>
      <c r="I357">
        <v>28.381404780882637</v>
      </c>
    </row>
    <row r="358" spans="1:9" x14ac:dyDescent="0.2">
      <c r="A358">
        <v>348</v>
      </c>
      <c r="B358">
        <v>1346136.157187656</v>
      </c>
      <c r="C358">
        <v>103591.63870765496</v>
      </c>
      <c r="D358">
        <v>62371.591828238008</v>
      </c>
      <c r="E358">
        <v>167311.3114577776</v>
      </c>
      <c r="F358">
        <v>47583.09079323076</v>
      </c>
      <c r="G358">
        <v>10000</v>
      </c>
      <c r="H358">
        <v>370857.63278690132</v>
      </c>
      <c r="I358">
        <v>39.698980209497279</v>
      </c>
    </row>
    <row r="359" spans="1:9" x14ac:dyDescent="0.2">
      <c r="A359">
        <v>349</v>
      </c>
      <c r="B359">
        <v>1166171.2732060698</v>
      </c>
      <c r="C359">
        <v>88688.237123965257</v>
      </c>
      <c r="D359">
        <v>78503.516409269869</v>
      </c>
      <c r="E359">
        <v>120034.09280602282</v>
      </c>
      <c r="F359">
        <v>44310.052578878502</v>
      </c>
      <c r="G359">
        <v>10000</v>
      </c>
      <c r="H359">
        <v>321535.89891813637</v>
      </c>
      <c r="I359">
        <v>34.370594438385858</v>
      </c>
    </row>
    <row r="360" spans="1:9" x14ac:dyDescent="0.2">
      <c r="A360">
        <v>350</v>
      </c>
      <c r="B360">
        <v>1348391.4748062277</v>
      </c>
      <c r="C360">
        <v>141690.37378362572</v>
      </c>
      <c r="D360">
        <v>76965.065064781738</v>
      </c>
      <c r="E360">
        <v>118608.90737944086</v>
      </c>
      <c r="F360">
        <v>44211.385895499749</v>
      </c>
      <c r="G360">
        <v>10000</v>
      </c>
      <c r="H360">
        <v>371475.73212334805</v>
      </c>
      <c r="I360">
        <v>44.004071811587124</v>
      </c>
    </row>
    <row r="361" spans="1:9" x14ac:dyDescent="0.2">
      <c r="A361">
        <v>351</v>
      </c>
      <c r="B361">
        <v>1259916.2314304982</v>
      </c>
      <c r="C361">
        <v>121332.69405042396</v>
      </c>
      <c r="D361">
        <v>65366.658479537422</v>
      </c>
      <c r="E361">
        <v>125818.09657375373</v>
      </c>
      <c r="F361">
        <v>44710.483608952185</v>
      </c>
      <c r="G361">
        <v>10000</v>
      </c>
      <c r="H361">
        <v>347227.93271266733</v>
      </c>
      <c r="I361">
        <v>39.9790622654399</v>
      </c>
    </row>
    <row r="362" spans="1:9" x14ac:dyDescent="0.2">
      <c r="A362">
        <v>352</v>
      </c>
      <c r="B362">
        <v>1439181.9104637746</v>
      </c>
      <c r="C362">
        <v>86819.409847681687</v>
      </c>
      <c r="D362">
        <v>92406.537927155267</v>
      </c>
      <c r="E362">
        <v>178756.63330276415</v>
      </c>
      <c r="F362">
        <v>48375.459228652908</v>
      </c>
      <c r="G362">
        <v>10000</v>
      </c>
      <c r="H362">
        <v>396358.04030625406</v>
      </c>
      <c r="I362">
        <v>40.830151170356018</v>
      </c>
    </row>
    <row r="363" spans="1:9" x14ac:dyDescent="0.2">
      <c r="A363">
        <v>353</v>
      </c>
      <c r="B363">
        <v>649722.12709809956</v>
      </c>
      <c r="C363">
        <v>75082.289004374688</v>
      </c>
      <c r="D363">
        <v>47691.115556559111</v>
      </c>
      <c r="E363">
        <v>29201.217963083451</v>
      </c>
      <c r="F363">
        <v>38021.622782059618</v>
      </c>
      <c r="G363">
        <v>10000</v>
      </c>
      <c r="H363">
        <v>179996.24530607686</v>
      </c>
      <c r="I363">
        <v>42.615428277927109</v>
      </c>
    </row>
    <row r="364" spans="1:9" x14ac:dyDescent="0.2">
      <c r="A364">
        <v>354</v>
      </c>
      <c r="B364">
        <v>1007741.3500245399</v>
      </c>
      <c r="C364">
        <v>121262.9798334439</v>
      </c>
      <c r="D364">
        <v>39861.71561793219</v>
      </c>
      <c r="E364">
        <v>85099.877703273742</v>
      </c>
      <c r="F364">
        <v>41891.529994842029</v>
      </c>
      <c r="G364">
        <v>10000</v>
      </c>
      <c r="H364">
        <v>278116.10314949183</v>
      </c>
      <c r="I364">
        <v>37.627590143792702</v>
      </c>
    </row>
    <row r="365" spans="1:9" x14ac:dyDescent="0.2">
      <c r="A365">
        <v>355</v>
      </c>
      <c r="B365">
        <v>1295207.9111242327</v>
      </c>
      <c r="C365">
        <v>112246.99735607352</v>
      </c>
      <c r="D365">
        <v>79766.637247599981</v>
      </c>
      <c r="E365">
        <v>129893.79769271202</v>
      </c>
      <c r="F365">
        <v>44992.647532572373</v>
      </c>
      <c r="G365">
        <v>10000</v>
      </c>
      <c r="H365">
        <v>356900.07982895791</v>
      </c>
      <c r="I365">
        <v>37.958697262988821</v>
      </c>
    </row>
    <row r="366" spans="1:9" x14ac:dyDescent="0.2">
      <c r="A366">
        <v>356</v>
      </c>
      <c r="B366">
        <v>1391397.0606179833</v>
      </c>
      <c r="C366">
        <v>131973.79609285013</v>
      </c>
      <c r="D366">
        <v>91455.241988975089</v>
      </c>
      <c r="E366">
        <v>125167.49613602432</v>
      </c>
      <c r="F366">
        <v>44665.442040186295</v>
      </c>
      <c r="G366">
        <v>10000</v>
      </c>
      <c r="H366">
        <v>383261.97625803587</v>
      </c>
      <c r="I366">
        <v>26.790075521347074</v>
      </c>
    </row>
    <row r="367" spans="1:9" x14ac:dyDescent="0.2">
      <c r="A367">
        <v>357</v>
      </c>
      <c r="B367">
        <v>1050947.1989124126</v>
      </c>
      <c r="C367">
        <v>97419.21323770436</v>
      </c>
      <c r="D367">
        <v>29378.013476102362</v>
      </c>
      <c r="E367">
        <v>128279.14163783817</v>
      </c>
      <c r="F367">
        <v>44880.863651850334</v>
      </c>
      <c r="G367">
        <v>10000</v>
      </c>
      <c r="H367">
        <v>289957.23200349521</v>
      </c>
      <c r="I367">
        <v>27.523478163755108</v>
      </c>
    </row>
    <row r="368" spans="1:9" x14ac:dyDescent="0.2">
      <c r="A368">
        <v>358</v>
      </c>
      <c r="B368">
        <v>1082967.6292003223</v>
      </c>
      <c r="C368">
        <v>104010.92661085105</v>
      </c>
      <c r="D368">
        <v>120714.12283809998</v>
      </c>
      <c r="E368">
        <v>44899.38215548767</v>
      </c>
      <c r="F368">
        <v>39108.418764610688</v>
      </c>
      <c r="G368">
        <v>10000</v>
      </c>
      <c r="H368">
        <v>298732.85036904935</v>
      </c>
      <c r="I368">
        <v>40.334363504030662</v>
      </c>
    </row>
    <row r="369" spans="1:9" x14ac:dyDescent="0.2">
      <c r="A369">
        <v>359</v>
      </c>
      <c r="B369">
        <v>1420918.3777372539</v>
      </c>
      <c r="C369">
        <v>137636.93650920939</v>
      </c>
      <c r="D369">
        <v>135607.38363259987</v>
      </c>
      <c r="E369">
        <v>86144.509147966775</v>
      </c>
      <c r="F369">
        <v>41963.850633320777</v>
      </c>
      <c r="G369">
        <v>10000</v>
      </c>
      <c r="H369">
        <v>391352.67992309679</v>
      </c>
      <c r="I369">
        <v>28.453768035789516</v>
      </c>
    </row>
    <row r="370" spans="1:9" x14ac:dyDescent="0.2">
      <c r="A370">
        <v>360</v>
      </c>
      <c r="B370">
        <v>1462725.0102985238</v>
      </c>
      <c r="C370">
        <v>108740.18744889782</v>
      </c>
      <c r="D370">
        <v>120926.38513561827</v>
      </c>
      <c r="E370">
        <v>137616.4686463204</v>
      </c>
      <c r="F370">
        <v>45527.293983206793</v>
      </c>
      <c r="G370">
        <v>10000</v>
      </c>
      <c r="H370">
        <v>402810.33521404327</v>
      </c>
      <c r="I370">
        <v>32.183043155962423</v>
      </c>
    </row>
    <row r="371" spans="1:9" x14ac:dyDescent="0.2">
      <c r="A371">
        <v>361</v>
      </c>
      <c r="B371">
        <v>1310961.8256992614</v>
      </c>
      <c r="C371">
        <v>104877.43405412092</v>
      </c>
      <c r="D371">
        <v>67174.390876109828</v>
      </c>
      <c r="E371">
        <v>152601.12807136853</v>
      </c>
      <c r="F371">
        <v>46564.693481863971</v>
      </c>
      <c r="G371">
        <v>10000</v>
      </c>
      <c r="H371">
        <v>361217.64648346324</v>
      </c>
      <c r="I371">
        <v>31.813026723898808</v>
      </c>
    </row>
    <row r="372" spans="1:9" x14ac:dyDescent="0.2">
      <c r="A372">
        <v>362</v>
      </c>
      <c r="B372">
        <v>1076952.5547559899</v>
      </c>
      <c r="C372">
        <v>108871.934625947</v>
      </c>
      <c r="D372">
        <v>82686.615619302655</v>
      </c>
      <c r="E372">
        <v>74376.638296980207</v>
      </c>
      <c r="F372">
        <v>41149.151882098624</v>
      </c>
      <c r="G372">
        <v>10000</v>
      </c>
      <c r="H372">
        <v>297084.34042432846</v>
      </c>
      <c r="I372">
        <v>28.805540324037715</v>
      </c>
    </row>
    <row r="373" spans="1:9" x14ac:dyDescent="0.2">
      <c r="A373">
        <v>363</v>
      </c>
      <c r="B373">
        <v>1747575.4194425044</v>
      </c>
      <c r="C373">
        <v>164030.77617970796</v>
      </c>
      <c r="D373">
        <v>83458.246510800178</v>
      </c>
      <c r="E373">
        <v>193960.27916310789</v>
      </c>
      <c r="F373">
        <v>49428.019326676702</v>
      </c>
      <c r="G373">
        <v>10000</v>
      </c>
      <c r="H373">
        <v>480877.32118029275</v>
      </c>
      <c r="I373">
        <v>42.263485341741799</v>
      </c>
    </row>
    <row r="374" spans="1:9" x14ac:dyDescent="0.2">
      <c r="A374">
        <v>364</v>
      </c>
      <c r="B374">
        <v>1341332.2974554654</v>
      </c>
      <c r="C374">
        <v>105809.37497138775</v>
      </c>
      <c r="D374">
        <v>111305.9626732446</v>
      </c>
      <c r="E374">
        <v>118239.89553389557</v>
      </c>
      <c r="F374">
        <v>44185.838921577386</v>
      </c>
      <c r="G374">
        <v>10000</v>
      </c>
      <c r="H374">
        <v>369541.07210010529</v>
      </c>
      <c r="I374">
        <v>28.443432246596728</v>
      </c>
    </row>
    <row r="375" spans="1:9" x14ac:dyDescent="0.2">
      <c r="A375">
        <v>365</v>
      </c>
      <c r="B375">
        <v>1732675.6134218224</v>
      </c>
      <c r="C375">
        <v>123797.55779898544</v>
      </c>
      <c r="D375">
        <v>128630.3609563979</v>
      </c>
      <c r="E375">
        <v>185522.07915850979</v>
      </c>
      <c r="F375">
        <v>48843.836249435299</v>
      </c>
      <c r="G375">
        <v>10000</v>
      </c>
      <c r="H375">
        <v>476793.83416332846</v>
      </c>
      <c r="I375">
        <v>25.711500589843581</v>
      </c>
    </row>
    <row r="376" spans="1:9" x14ac:dyDescent="0.2">
      <c r="A376">
        <v>366</v>
      </c>
      <c r="B376">
        <v>1358426.2985975014</v>
      </c>
      <c r="C376">
        <v>150547.29174480663</v>
      </c>
      <c r="D376">
        <v>86338.888318283789</v>
      </c>
      <c r="E376">
        <v>104130.67989944023</v>
      </c>
      <c r="F376">
        <v>43209.047069961242</v>
      </c>
      <c r="G376">
        <v>10000</v>
      </c>
      <c r="H376">
        <v>374225.90703249193</v>
      </c>
      <c r="I376">
        <v>26.926538095761295</v>
      </c>
    </row>
    <row r="377" spans="1:9" x14ac:dyDescent="0.2">
      <c r="A377">
        <v>367</v>
      </c>
      <c r="B377">
        <v>1389511.0992295053</v>
      </c>
      <c r="C377">
        <v>119520.71020476555</v>
      </c>
      <c r="D377">
        <v>69486.947501987102</v>
      </c>
      <c r="E377">
        <v>156876.74817726703</v>
      </c>
      <c r="F377">
        <v>46860.697950733869</v>
      </c>
      <c r="G377">
        <v>10000</v>
      </c>
      <c r="H377">
        <v>382745.10383475357</v>
      </c>
      <c r="I377">
        <v>35.727168287307691</v>
      </c>
    </row>
    <row r="378" spans="1:9" x14ac:dyDescent="0.2">
      <c r="A378">
        <v>368</v>
      </c>
      <c r="B378">
        <v>1136707.3838678438</v>
      </c>
      <c r="C378">
        <v>116681.24274107804</v>
      </c>
      <c r="D378">
        <v>41888.989524920529</v>
      </c>
      <c r="E378">
        <v>120545.26069752271</v>
      </c>
      <c r="F378">
        <v>44345.44112521311</v>
      </c>
      <c r="G378">
        <v>10000</v>
      </c>
      <c r="H378">
        <v>313460.93408873439</v>
      </c>
      <c r="I378">
        <v>37.503104102072768</v>
      </c>
    </row>
    <row r="379" spans="1:9" x14ac:dyDescent="0.2">
      <c r="A379">
        <v>369</v>
      </c>
      <c r="B379">
        <v>1522178.2824296127</v>
      </c>
      <c r="C379">
        <v>110915.4103401521</v>
      </c>
      <c r="D379">
        <v>138491.69762944689</v>
      </c>
      <c r="E379">
        <v>134393.04161763511</v>
      </c>
      <c r="F379">
        <v>45304.133650451658</v>
      </c>
      <c r="G379">
        <v>10000</v>
      </c>
      <c r="H379">
        <v>419104.2832376858</v>
      </c>
      <c r="I379">
        <v>34.217974447310638</v>
      </c>
    </row>
    <row r="380" spans="1:9" x14ac:dyDescent="0.2">
      <c r="A380">
        <v>370</v>
      </c>
      <c r="B380">
        <v>1218425.4818756992</v>
      </c>
      <c r="C380">
        <v>90786.394916555568</v>
      </c>
      <c r="D380">
        <v>99131.157703879551</v>
      </c>
      <c r="E380">
        <v>112173.44293537478</v>
      </c>
      <c r="F380">
        <v>43765.853741679792</v>
      </c>
      <c r="G380">
        <v>10000</v>
      </c>
      <c r="H380">
        <v>335856.84929748974</v>
      </c>
      <c r="I380">
        <v>36.85454695687163</v>
      </c>
    </row>
    <row r="381" spans="1:9" x14ac:dyDescent="0.2">
      <c r="A381">
        <v>371</v>
      </c>
      <c r="B381">
        <v>972783.15155874554</v>
      </c>
      <c r="C381">
        <v>136546.64009428787</v>
      </c>
      <c r="D381">
        <v>73397.053708711726</v>
      </c>
      <c r="E381">
        <v>30481.405948068463</v>
      </c>
      <c r="F381">
        <v>38110.251181020125</v>
      </c>
      <c r="G381">
        <v>10000</v>
      </c>
      <c r="H381">
        <v>268535.35093208816</v>
      </c>
      <c r="I381">
        <v>40.303876711363372</v>
      </c>
    </row>
    <row r="382" spans="1:9" x14ac:dyDescent="0.2">
      <c r="A382">
        <v>372</v>
      </c>
      <c r="B382">
        <v>1171083.9619772977</v>
      </c>
      <c r="C382">
        <v>134597.81674770627</v>
      </c>
      <c r="D382">
        <v>38293.183439605862</v>
      </c>
      <c r="E382">
        <v>115963.07271493401</v>
      </c>
      <c r="F382">
        <v>44028.212726418511</v>
      </c>
      <c r="G382">
        <v>10000</v>
      </c>
      <c r="H382">
        <v>322882.28562866466</v>
      </c>
      <c r="I382">
        <v>30.691238781838038</v>
      </c>
    </row>
    <row r="383" spans="1:9" x14ac:dyDescent="0.2">
      <c r="A383">
        <v>373</v>
      </c>
      <c r="B383">
        <v>1554885.3185340096</v>
      </c>
      <c r="C383">
        <v>107998.87957069796</v>
      </c>
      <c r="D383">
        <v>126666.55508044924</v>
      </c>
      <c r="E383">
        <v>156563.62039654795</v>
      </c>
      <c r="F383">
        <v>46839.019873607169</v>
      </c>
      <c r="G383">
        <v>10000</v>
      </c>
      <c r="H383">
        <v>428068.07492130232</v>
      </c>
      <c r="I383">
        <v>32.787269851073575</v>
      </c>
    </row>
    <row r="384" spans="1:9" x14ac:dyDescent="0.2">
      <c r="A384">
        <v>374</v>
      </c>
      <c r="B384">
        <v>749975.23890647222</v>
      </c>
      <c r="C384">
        <v>83905.531720077764</v>
      </c>
      <c r="D384">
        <v>62237.894870071075</v>
      </c>
      <c r="E384">
        <v>33041.040595751867</v>
      </c>
      <c r="F384">
        <v>38287.45665662898</v>
      </c>
      <c r="G384">
        <v>10000</v>
      </c>
      <c r="H384">
        <v>207471.92384252968</v>
      </c>
      <c r="I384">
        <v>34.258115429663043</v>
      </c>
    </row>
    <row r="385" spans="1:9" x14ac:dyDescent="0.2">
      <c r="A385">
        <v>375</v>
      </c>
      <c r="B385">
        <v>1618253.839523803</v>
      </c>
      <c r="C385">
        <v>112536.72709387113</v>
      </c>
      <c r="D385">
        <v>126666.46191349652</v>
      </c>
      <c r="E385">
        <v>168562.17045079914</v>
      </c>
      <c r="F385">
        <v>47669.688723516862</v>
      </c>
      <c r="G385">
        <v>10000</v>
      </c>
      <c r="H385">
        <v>445435.04818168364</v>
      </c>
      <c r="I385">
        <v>43.573150747458016</v>
      </c>
    </row>
    <row r="386" spans="1:9" x14ac:dyDescent="0.2">
      <c r="A386">
        <v>376</v>
      </c>
      <c r="B386">
        <v>1634126.3159913691</v>
      </c>
      <c r="C386">
        <v>84794.073383830182</v>
      </c>
      <c r="D386">
        <v>140032.29590075262</v>
      </c>
      <c r="E386">
        <v>186076.51848110335</v>
      </c>
      <c r="F386">
        <v>48882.220510230232</v>
      </c>
      <c r="G386">
        <v>10000</v>
      </c>
      <c r="H386">
        <v>449785.10827591637</v>
      </c>
      <c r="I386">
        <v>38.746401341748353</v>
      </c>
    </row>
    <row r="387" spans="1:9" x14ac:dyDescent="0.2">
      <c r="A387">
        <v>377</v>
      </c>
      <c r="B387">
        <v>943880.15698967688</v>
      </c>
      <c r="C387">
        <v>108703.97583129979</v>
      </c>
      <c r="D387">
        <v>94519.115905439554</v>
      </c>
      <c r="E387">
        <v>29358.503167043615</v>
      </c>
      <c r="F387">
        <v>38032.511757718406</v>
      </c>
      <c r="G387">
        <v>10000</v>
      </c>
      <c r="H387">
        <v>260614.10666150134</v>
      </c>
      <c r="I387">
        <v>33.70110069240026</v>
      </c>
    </row>
    <row r="388" spans="1:9" x14ac:dyDescent="0.2">
      <c r="A388">
        <v>378</v>
      </c>
      <c r="B388">
        <v>1361966.8930868134</v>
      </c>
      <c r="C388">
        <v>122232.13534247283</v>
      </c>
      <c r="D388">
        <v>62654.975066452986</v>
      </c>
      <c r="E388">
        <v>153670.42143846251</v>
      </c>
      <c r="F388">
        <v>46638.721484201247</v>
      </c>
      <c r="G388">
        <v>10000</v>
      </c>
      <c r="H388">
        <v>375196.25333158957</v>
      </c>
      <c r="I388">
        <v>34.566292245015632</v>
      </c>
    </row>
    <row r="389" spans="1:9" x14ac:dyDescent="0.2">
      <c r="A389">
        <v>379</v>
      </c>
      <c r="B389">
        <v>1242869.4352459954</v>
      </c>
      <c r="C389">
        <v>122976.14898225424</v>
      </c>
      <c r="D389">
        <v>112109.20756390822</v>
      </c>
      <c r="E389">
        <v>76195.5984765514</v>
      </c>
      <c r="F389">
        <v>41275.079894530478</v>
      </c>
      <c r="G389">
        <v>10000</v>
      </c>
      <c r="H389">
        <v>342556.03491724434</v>
      </c>
      <c r="I389">
        <v>53.646050588151773</v>
      </c>
    </row>
    <row r="390" spans="1:9" x14ac:dyDescent="0.2">
      <c r="A390">
        <v>380</v>
      </c>
      <c r="B390">
        <v>840441.62616714858</v>
      </c>
      <c r="C390">
        <v>79543.14062143206</v>
      </c>
      <c r="D390">
        <v>93556.902534269597</v>
      </c>
      <c r="E390">
        <v>31017.980511003396</v>
      </c>
      <c r="F390">
        <v>38147.398650761774</v>
      </c>
      <c r="G390">
        <v>10000</v>
      </c>
      <c r="H390">
        <v>232265.42231746684</v>
      </c>
      <c r="I390">
        <v>46.783589799762154</v>
      </c>
    </row>
    <row r="391" spans="1:9" x14ac:dyDescent="0.2">
      <c r="A391">
        <v>381</v>
      </c>
      <c r="B391">
        <v>1078312.8419884243</v>
      </c>
      <c r="C391">
        <v>117509.51229113921</v>
      </c>
      <c r="D391">
        <v>68273.386082458761</v>
      </c>
      <c r="E391">
        <v>80126.993209541499</v>
      </c>
      <c r="F391">
        <v>41547.253376045177</v>
      </c>
      <c r="G391">
        <v>10000</v>
      </c>
      <c r="H391">
        <v>297457.14495918469</v>
      </c>
      <c r="I391">
        <v>51.030351197039757</v>
      </c>
    </row>
    <row r="392" spans="1:9" x14ac:dyDescent="0.2">
      <c r="A392">
        <v>382</v>
      </c>
      <c r="B392">
        <v>1072504.2250228429</v>
      </c>
      <c r="C392">
        <v>138296.81618117407</v>
      </c>
      <c r="D392">
        <v>65662.500007811017</v>
      </c>
      <c r="E392">
        <v>61638.612634943951</v>
      </c>
      <c r="F392">
        <v>40267.288567034579</v>
      </c>
      <c r="G392">
        <v>10000</v>
      </c>
      <c r="H392">
        <v>295865.21739096363</v>
      </c>
      <c r="I392">
        <v>30.627386958804735</v>
      </c>
    </row>
    <row r="393" spans="1:9" x14ac:dyDescent="0.2">
      <c r="A393">
        <v>383</v>
      </c>
      <c r="B393">
        <v>1212216.2500960417</v>
      </c>
      <c r="C393">
        <v>108563.68585592648</v>
      </c>
      <c r="D393">
        <v>104349.53533592846</v>
      </c>
      <c r="E393">
        <v>89075.164632946995</v>
      </c>
      <c r="F393">
        <v>42166.742166896336</v>
      </c>
      <c r="G393">
        <v>10000</v>
      </c>
      <c r="H393">
        <v>334155.12799169827</v>
      </c>
      <c r="I393">
        <v>25.319882785678764</v>
      </c>
    </row>
    <row r="394" spans="1:9" x14ac:dyDescent="0.2">
      <c r="A394">
        <v>384</v>
      </c>
      <c r="B394">
        <v>1049408.0613968449</v>
      </c>
      <c r="C394">
        <v>109378.51446358106</v>
      </c>
      <c r="D394">
        <v>123612.30952749772</v>
      </c>
      <c r="E394">
        <v>28566.880128813475</v>
      </c>
      <c r="F394">
        <v>37977.707085840935</v>
      </c>
      <c r="G394">
        <v>10000</v>
      </c>
      <c r="H394">
        <v>289535.41120573319</v>
      </c>
      <c r="I394">
        <v>28.61411527740043</v>
      </c>
    </row>
    <row r="395" spans="1:9" x14ac:dyDescent="0.2">
      <c r="A395">
        <v>385</v>
      </c>
      <c r="B395">
        <v>1424735.6042793829</v>
      </c>
      <c r="C395">
        <v>155684.25794862435</v>
      </c>
      <c r="D395">
        <v>69711.151382687851</v>
      </c>
      <c r="E395">
        <v>131873.71294045678</v>
      </c>
      <c r="F395">
        <v>45129.718588185468</v>
      </c>
      <c r="G395">
        <v>10000</v>
      </c>
      <c r="H395">
        <v>392398.84085995448</v>
      </c>
      <c r="I395">
        <v>29.008413660873615</v>
      </c>
    </row>
    <row r="396" spans="1:9" x14ac:dyDescent="0.2">
      <c r="A396">
        <v>386</v>
      </c>
      <c r="B396">
        <v>1118104.4813517916</v>
      </c>
      <c r="C396">
        <v>128195.21762647826</v>
      </c>
      <c r="D396">
        <v>108129.45422245587</v>
      </c>
      <c r="E396">
        <v>43057.022342741511</v>
      </c>
      <c r="F396">
        <v>38980.870777574411</v>
      </c>
      <c r="G396">
        <v>10000</v>
      </c>
      <c r="H396">
        <v>308362.56496925006</v>
      </c>
      <c r="I396">
        <v>47.272889504393042</v>
      </c>
    </row>
    <row r="397" spans="1:9" x14ac:dyDescent="0.2">
      <c r="A397">
        <v>387</v>
      </c>
      <c r="B397">
        <v>1156508.4940502013</v>
      </c>
      <c r="C397">
        <v>123610.54669960601</v>
      </c>
      <c r="D397">
        <v>116163.60823463152</v>
      </c>
      <c r="E397">
        <v>49674.527061003348</v>
      </c>
      <c r="F397">
        <v>39439.005719607929</v>
      </c>
      <c r="G397">
        <v>10000</v>
      </c>
      <c r="H397">
        <v>318887.68771484878</v>
      </c>
      <c r="I397">
        <v>27.9169469016073</v>
      </c>
    </row>
    <row r="398" spans="1:9" x14ac:dyDescent="0.2">
      <c r="A398">
        <v>388</v>
      </c>
      <c r="B398">
        <v>1251442.6409572582</v>
      </c>
      <c r="C398">
        <v>98142.158811480607</v>
      </c>
      <c r="D398">
        <v>130806.87249349928</v>
      </c>
      <c r="E398">
        <v>84132.074692470604</v>
      </c>
      <c r="F398">
        <v>41824.528247940274</v>
      </c>
      <c r="G398">
        <v>10000</v>
      </c>
      <c r="H398">
        <v>344905.63424539077</v>
      </c>
      <c r="I398">
        <v>39.460757823504942</v>
      </c>
    </row>
    <row r="399" spans="1:9" x14ac:dyDescent="0.2">
      <c r="A399">
        <v>389</v>
      </c>
      <c r="B399">
        <v>1329632.4002449939</v>
      </c>
      <c r="C399">
        <v>88677.505100773385</v>
      </c>
      <c r="D399">
        <v>134853.72515053721</v>
      </c>
      <c r="E399">
        <v>109240.52610444247</v>
      </c>
      <c r="F399">
        <v>43562.805653384479</v>
      </c>
      <c r="G399">
        <v>10000</v>
      </c>
      <c r="H399">
        <v>366334.56200913753</v>
      </c>
      <c r="I399">
        <v>30.135255584938626</v>
      </c>
    </row>
    <row r="400" spans="1:9" x14ac:dyDescent="0.2">
      <c r="A400">
        <v>390</v>
      </c>
      <c r="B400">
        <v>1605928.5226392392</v>
      </c>
      <c r="C400">
        <v>102005.13416669698</v>
      </c>
      <c r="D400">
        <v>128251.44044796254</v>
      </c>
      <c r="E400">
        <v>173770.30699881783</v>
      </c>
      <c r="F400">
        <v>48030.252022995082</v>
      </c>
      <c r="G400">
        <v>10000</v>
      </c>
      <c r="H400">
        <v>442057.13363647246</v>
      </c>
      <c r="I400">
        <v>33.014207311022247</v>
      </c>
    </row>
    <row r="401" spans="1:9" x14ac:dyDescent="0.2">
      <c r="A401">
        <v>391</v>
      </c>
      <c r="B401">
        <v>1258815.9249537976</v>
      </c>
      <c r="C401">
        <v>151563.17789765002</v>
      </c>
      <c r="D401">
        <v>73690.736866728868</v>
      </c>
      <c r="E401">
        <v>89477.844538588703</v>
      </c>
      <c r="F401">
        <v>42194.620006517682</v>
      </c>
      <c r="G401">
        <v>10000</v>
      </c>
      <c r="H401">
        <v>346926.37930948526</v>
      </c>
      <c r="I401">
        <v>32.292621613428452</v>
      </c>
    </row>
    <row r="402" spans="1:9" x14ac:dyDescent="0.2">
      <c r="A402">
        <v>392</v>
      </c>
      <c r="B402">
        <v>1282875.5712872718</v>
      </c>
      <c r="C402">
        <v>145337.44818758554</v>
      </c>
      <c r="D402">
        <v>111069.47206291977</v>
      </c>
      <c r="E402">
        <v>66508.860713297516</v>
      </c>
      <c r="F402">
        <v>40604.459587843674</v>
      </c>
      <c r="G402">
        <v>10000</v>
      </c>
      <c r="H402">
        <v>353520.24055164651</v>
      </c>
      <c r="I402">
        <v>39.46998219428864</v>
      </c>
    </row>
    <row r="403" spans="1:9" x14ac:dyDescent="0.2">
      <c r="A403">
        <v>393</v>
      </c>
      <c r="B403">
        <v>1089286.545409858</v>
      </c>
      <c r="C403">
        <v>127454.26485926929</v>
      </c>
      <c r="D403">
        <v>93664.402726223751</v>
      </c>
      <c r="E403">
        <v>49891.909285890819</v>
      </c>
      <c r="F403">
        <v>39454.055258253975</v>
      </c>
      <c r="G403">
        <v>10000</v>
      </c>
      <c r="H403">
        <v>300464.63212963787</v>
      </c>
      <c r="I403">
        <v>29.714919679053228</v>
      </c>
    </row>
    <row r="404" spans="1:9" x14ac:dyDescent="0.2">
      <c r="A404">
        <v>394</v>
      </c>
      <c r="B404">
        <v>1429129.0009802496</v>
      </c>
      <c r="C404">
        <v>80188.707893443512</v>
      </c>
      <c r="D404">
        <v>124285.61488676038</v>
      </c>
      <c r="E404">
        <v>152566.30344952908</v>
      </c>
      <c r="F404">
        <v>46562.282546505856</v>
      </c>
      <c r="G404">
        <v>10000</v>
      </c>
      <c r="H404">
        <v>393602.90877623885</v>
      </c>
      <c r="I404">
        <v>27.369657655901989</v>
      </c>
    </row>
    <row r="405" spans="1:9" x14ac:dyDescent="0.2">
      <c r="A405">
        <v>395</v>
      </c>
      <c r="B405">
        <v>1254752.4730914948</v>
      </c>
      <c r="C405">
        <v>152062.70474195218</v>
      </c>
      <c r="D405">
        <v>96691.464209585203</v>
      </c>
      <c r="E405">
        <v>66457.653662397832</v>
      </c>
      <c r="F405">
        <v>40600.914484319852</v>
      </c>
      <c r="G405">
        <v>10000</v>
      </c>
      <c r="H405">
        <v>345812.73709825508</v>
      </c>
      <c r="I405">
        <v>26.681415493087258</v>
      </c>
    </row>
    <row r="406" spans="1:9" x14ac:dyDescent="0.2">
      <c r="A406">
        <v>396</v>
      </c>
      <c r="B406">
        <v>1153590.6818365941</v>
      </c>
      <c r="C406">
        <v>106703.93183322361</v>
      </c>
      <c r="D406">
        <v>62985.032578202728</v>
      </c>
      <c r="E406">
        <v>114473.93973992081</v>
      </c>
      <c r="F406">
        <v>43925.118905071446</v>
      </c>
      <c r="G406">
        <v>10000</v>
      </c>
      <c r="H406">
        <v>318088.02305641858</v>
      </c>
      <c r="I406">
        <v>32.47077543999454</v>
      </c>
    </row>
    <row r="407" spans="1:9" x14ac:dyDescent="0.2">
      <c r="A407">
        <v>397</v>
      </c>
      <c r="B407">
        <v>1250874.0519714798</v>
      </c>
      <c r="C407">
        <v>112363.33592669848</v>
      </c>
      <c r="D407">
        <v>45299.964043157102</v>
      </c>
      <c r="E407">
        <v>150656.44354001866</v>
      </c>
      <c r="F407">
        <v>46430.061475847448</v>
      </c>
      <c r="G407">
        <v>10000</v>
      </c>
      <c r="H407">
        <v>344749.80498572165</v>
      </c>
      <c r="I407">
        <v>30.730695679102219</v>
      </c>
    </row>
    <row r="408" spans="1:9" x14ac:dyDescent="0.2">
      <c r="A408">
        <v>398</v>
      </c>
      <c r="B408">
        <v>1273712.4573539789</v>
      </c>
      <c r="C408">
        <v>152637.40782049391</v>
      </c>
      <c r="D408">
        <v>57673.372297203656</v>
      </c>
      <c r="E408">
        <v>107271.68758217496</v>
      </c>
      <c r="F408">
        <v>43426.501447996729</v>
      </c>
      <c r="G408">
        <v>10000</v>
      </c>
      <c r="H408">
        <v>351008.96914786927</v>
      </c>
      <c r="I408">
        <v>31.639906563693966</v>
      </c>
    </row>
    <row r="409" spans="1:9" x14ac:dyDescent="0.2">
      <c r="A409">
        <v>399</v>
      </c>
      <c r="B409">
        <v>1016907.557238698</v>
      </c>
      <c r="C409">
        <v>99039.66246141617</v>
      </c>
      <c r="D409">
        <v>115972.13246556964</v>
      </c>
      <c r="E409">
        <v>37051.334960108921</v>
      </c>
      <c r="F409">
        <v>38565.092420315232</v>
      </c>
      <c r="G409">
        <v>10000</v>
      </c>
      <c r="H409">
        <v>280628.22230740997</v>
      </c>
      <c r="I409">
        <v>33.108883156502401</v>
      </c>
    </row>
    <row r="410" spans="1:9" x14ac:dyDescent="0.2">
      <c r="A410">
        <v>400</v>
      </c>
      <c r="B410">
        <v>889140.48034132889</v>
      </c>
      <c r="C410">
        <v>92736.154577023961</v>
      </c>
      <c r="D410">
        <v>71651.445648644818</v>
      </c>
      <c r="E410">
        <v>51648.7016537655</v>
      </c>
      <c r="F410">
        <v>39575.679345260687</v>
      </c>
      <c r="G410">
        <v>10000</v>
      </c>
      <c r="H410">
        <v>245611.98122469496</v>
      </c>
      <c r="I410">
        <v>34.398960750602512</v>
      </c>
    </row>
    <row r="411" spans="1:9" x14ac:dyDescent="0.2">
      <c r="A411">
        <v>401</v>
      </c>
      <c r="B411">
        <v>772088.39461323514</v>
      </c>
      <c r="C411">
        <v>85625.16096295396</v>
      </c>
      <c r="D411">
        <v>74006.23071486385</v>
      </c>
      <c r="E411">
        <v>26094.396977590757</v>
      </c>
      <c r="F411">
        <v>37806.535175371668</v>
      </c>
      <c r="G411">
        <v>10000</v>
      </c>
      <c r="H411">
        <v>213532.32383078022</v>
      </c>
      <c r="I411">
        <v>43.305512566269776</v>
      </c>
    </row>
    <row r="412" spans="1:9" x14ac:dyDescent="0.2">
      <c r="A412">
        <v>402</v>
      </c>
      <c r="B412">
        <v>1130493.126000779</v>
      </c>
      <c r="C412">
        <v>105712.22242538889</v>
      </c>
      <c r="D412">
        <v>137454.36875080783</v>
      </c>
      <c r="E412">
        <v>39833.5376864391</v>
      </c>
      <c r="F412">
        <v>38757.706455215011</v>
      </c>
      <c r="G412">
        <v>10000</v>
      </c>
      <c r="H412">
        <v>311757.83531785081</v>
      </c>
      <c r="I412">
        <v>27.947746463076136</v>
      </c>
    </row>
    <row r="413" spans="1:9" x14ac:dyDescent="0.2">
      <c r="A413">
        <v>403</v>
      </c>
      <c r="B413">
        <v>1881565.6247124164</v>
      </c>
      <c r="C413">
        <v>160216.38385548859</v>
      </c>
      <c r="D413">
        <v>148684.05905032845</v>
      </c>
      <c r="E413">
        <v>170869.24026488303</v>
      </c>
      <c r="F413">
        <v>47829.408941414978</v>
      </c>
      <c r="G413">
        <v>10000</v>
      </c>
      <c r="H413">
        <v>517599.09211211512</v>
      </c>
      <c r="I413">
        <v>31.209973365982933</v>
      </c>
    </row>
    <row r="414" spans="1:9" x14ac:dyDescent="0.2">
      <c r="A414">
        <v>404</v>
      </c>
      <c r="B414">
        <v>856757.84409557516</v>
      </c>
      <c r="C414">
        <v>108215.88374958663</v>
      </c>
      <c r="D414">
        <v>73992.558971388382</v>
      </c>
      <c r="E414">
        <v>26681.473889213987</v>
      </c>
      <c r="F414">
        <v>37847.178961560967</v>
      </c>
      <c r="G414">
        <v>10000</v>
      </c>
      <c r="H414">
        <v>236737.09557174999</v>
      </c>
      <c r="I414">
        <v>27.213925102628725</v>
      </c>
    </row>
    <row r="415" spans="1:9" x14ac:dyDescent="0.2">
      <c r="A415">
        <v>405</v>
      </c>
      <c r="B415">
        <v>1621255.7251133183</v>
      </c>
      <c r="C415">
        <v>130546.65194647021</v>
      </c>
      <c r="D415">
        <v>77122.790772978944</v>
      </c>
      <c r="E415">
        <v>198823.60071210421</v>
      </c>
      <c r="F415">
        <v>49764.710818530293</v>
      </c>
      <c r="G415">
        <v>10000</v>
      </c>
      <c r="H415">
        <v>446257.7542500837</v>
      </c>
      <c r="I415">
        <v>31.148457946925276</v>
      </c>
    </row>
    <row r="416" spans="1:9" x14ac:dyDescent="0.2">
      <c r="A416">
        <v>406</v>
      </c>
      <c r="B416">
        <v>868498.62660472421</v>
      </c>
      <c r="C416">
        <v>114628.05364486245</v>
      </c>
      <c r="D416">
        <v>48176.403305867781</v>
      </c>
      <c r="E416">
        <v>47838.460448026097</v>
      </c>
      <c r="F416">
        <v>39311.893415632578</v>
      </c>
      <c r="G416">
        <v>10000</v>
      </c>
      <c r="H416">
        <v>239954.81081438891</v>
      </c>
      <c r="I416">
        <v>37.210650431175182</v>
      </c>
    </row>
    <row r="417" spans="1:9" x14ac:dyDescent="0.2">
      <c r="A417">
        <v>407</v>
      </c>
      <c r="B417">
        <v>1091574.8707406309</v>
      </c>
      <c r="C417">
        <v>108673.524700344</v>
      </c>
      <c r="D417">
        <v>86378.947284694907</v>
      </c>
      <c r="E417">
        <v>74856.904589955375</v>
      </c>
      <c r="F417">
        <v>41182.401086996913</v>
      </c>
      <c r="G417">
        <v>10000</v>
      </c>
      <c r="H417">
        <v>301091.77766199119</v>
      </c>
      <c r="I417">
        <v>34.347846282330352</v>
      </c>
    </row>
    <row r="418" spans="1:9" x14ac:dyDescent="0.2">
      <c r="A418">
        <v>408</v>
      </c>
      <c r="B418">
        <v>1046165.7146506316</v>
      </c>
      <c r="C418">
        <v>111415.65153586681</v>
      </c>
      <c r="D418">
        <v>76109.497645220064</v>
      </c>
      <c r="E418">
        <v>70257.662413162034</v>
      </c>
      <c r="F418">
        <v>40863.992013218907</v>
      </c>
      <c r="G418">
        <v>10000</v>
      </c>
      <c r="H418">
        <v>288646.80360746779</v>
      </c>
      <c r="I418">
        <v>27.254877058580949</v>
      </c>
    </row>
    <row r="419" spans="1:9" x14ac:dyDescent="0.2">
      <c r="A419">
        <v>409</v>
      </c>
      <c r="B419">
        <v>1277664.7880488324</v>
      </c>
      <c r="C419">
        <v>86597.871347050896</v>
      </c>
      <c r="D419">
        <v>72199.162151217708</v>
      </c>
      <c r="E419">
        <v>156463.06528350123</v>
      </c>
      <c r="F419">
        <v>46832.058365780853</v>
      </c>
      <c r="G419">
        <v>10000</v>
      </c>
      <c r="H419">
        <v>352092.15714755072</v>
      </c>
      <c r="I419">
        <v>31.94398759956929</v>
      </c>
    </row>
    <row r="420" spans="1:9" x14ac:dyDescent="0.2">
      <c r="A420">
        <v>410</v>
      </c>
      <c r="B420">
        <v>1068358.399294809</v>
      </c>
      <c r="C420">
        <v>92222.261084218073</v>
      </c>
      <c r="D420">
        <v>59974.085350208021</v>
      </c>
      <c r="E420">
        <v>108987.37341070009</v>
      </c>
      <c r="F420">
        <v>43545.279697663849</v>
      </c>
      <c r="G420">
        <v>10000</v>
      </c>
      <c r="H420">
        <v>294728.99954279</v>
      </c>
      <c r="I420">
        <v>43.058044237749932</v>
      </c>
    </row>
    <row r="421" spans="1:9" x14ac:dyDescent="0.2">
      <c r="A421">
        <v>411</v>
      </c>
      <c r="B421">
        <v>1448338.4532293626</v>
      </c>
      <c r="C421">
        <v>81286.483206673787</v>
      </c>
      <c r="D421">
        <v>77422.611215342418</v>
      </c>
      <c r="E421">
        <v>200292.04409025633</v>
      </c>
      <c r="F421">
        <v>49866.372283171586</v>
      </c>
      <c r="G421">
        <v>10000</v>
      </c>
      <c r="H421">
        <v>398867.51079544408</v>
      </c>
      <c r="I421">
        <v>45.621912162336073</v>
      </c>
    </row>
    <row r="422" spans="1:9" x14ac:dyDescent="0.2">
      <c r="A422">
        <v>412</v>
      </c>
      <c r="B422">
        <v>1331347.9192573372</v>
      </c>
      <c r="C422">
        <v>114739.34492768839</v>
      </c>
      <c r="D422">
        <v>75568.194760796541</v>
      </c>
      <c r="E422">
        <v>140752.76087158543</v>
      </c>
      <c r="F422">
        <v>45744.421906494383</v>
      </c>
      <c r="G422">
        <v>10000</v>
      </c>
      <c r="H422">
        <v>366804.72246656468</v>
      </c>
      <c r="I422">
        <v>45.747078058247951</v>
      </c>
    </row>
    <row r="423" spans="1:9" x14ac:dyDescent="0.2">
      <c r="A423">
        <v>413</v>
      </c>
      <c r="B423">
        <v>1373323.5564012595</v>
      </c>
      <c r="C423">
        <v>128832.17916476587</v>
      </c>
      <c r="D423">
        <v>66285.917484269186</v>
      </c>
      <c r="E423">
        <v>147012.79045802262</v>
      </c>
      <c r="F423">
        <v>46177.808570170797</v>
      </c>
      <c r="G423">
        <v>10000</v>
      </c>
      <c r="H423">
        <v>378308.69567722845</v>
      </c>
      <c r="I423">
        <v>36.717313093865329</v>
      </c>
    </row>
    <row r="424" spans="1:9" x14ac:dyDescent="0.2">
      <c r="A424">
        <v>414</v>
      </c>
      <c r="B424">
        <v>1318995.2317764119</v>
      </c>
      <c r="C424">
        <v>97858.492148348188</v>
      </c>
      <c r="D424">
        <v>119585.13275608854</v>
      </c>
      <c r="E424">
        <v>112207.472136966</v>
      </c>
      <c r="F424">
        <v>43768.209609482263</v>
      </c>
      <c r="G424">
        <v>10000</v>
      </c>
      <c r="H424">
        <v>363419.30665088497</v>
      </c>
      <c r="I424">
        <v>49.632372709758734</v>
      </c>
    </row>
    <row r="425" spans="1:9" x14ac:dyDescent="0.2">
      <c r="A425">
        <v>415</v>
      </c>
      <c r="B425">
        <v>754424.63383272907</v>
      </c>
      <c r="C425">
        <v>99916.277997704863</v>
      </c>
      <c r="D425">
        <v>49557.757363399651</v>
      </c>
      <c r="E425">
        <v>31066.542790208288</v>
      </c>
      <c r="F425">
        <v>38150.760654706726</v>
      </c>
      <c r="G425">
        <v>10000</v>
      </c>
      <c r="H425">
        <v>208691.33880601957</v>
      </c>
      <c r="I425">
        <v>37.068262891622354</v>
      </c>
    </row>
    <row r="426" spans="1:9" x14ac:dyDescent="0.2">
      <c r="A426">
        <v>416</v>
      </c>
      <c r="B426">
        <v>1442686.3015657153</v>
      </c>
      <c r="C426">
        <v>101500.85184941631</v>
      </c>
      <c r="D426">
        <v>65352.729418654773</v>
      </c>
      <c r="E426">
        <v>191226.14987205205</v>
      </c>
      <c r="F426">
        <v>49238.733452680528</v>
      </c>
      <c r="G426">
        <v>10000</v>
      </c>
      <c r="H426">
        <v>397318.46459280362</v>
      </c>
      <c r="I426">
        <v>45.845687426437479</v>
      </c>
    </row>
    <row r="427" spans="1:9" x14ac:dyDescent="0.2">
      <c r="A427">
        <v>417</v>
      </c>
      <c r="B427">
        <v>1113465.2909782282</v>
      </c>
      <c r="C427">
        <v>104228.69300754665</v>
      </c>
      <c r="D427">
        <v>92458.767699609598</v>
      </c>
      <c r="E427">
        <v>78938.687324537517</v>
      </c>
      <c r="F427">
        <v>41464.986045544902</v>
      </c>
      <c r="G427">
        <v>10000</v>
      </c>
      <c r="H427">
        <v>307091.13407723868</v>
      </c>
      <c r="I427">
        <v>31.664993217145277</v>
      </c>
    </row>
    <row r="428" spans="1:9" x14ac:dyDescent="0.2">
      <c r="A428">
        <v>418</v>
      </c>
      <c r="B428">
        <v>1376297.9437951085</v>
      </c>
      <c r="C428">
        <v>142414.36954253761</v>
      </c>
      <c r="D428">
        <v>98371.115264132241</v>
      </c>
      <c r="E428">
        <v>105064.67259546612</v>
      </c>
      <c r="F428">
        <v>43273.708102763041</v>
      </c>
      <c r="G428">
        <v>10000</v>
      </c>
      <c r="H428">
        <v>379123.865504899</v>
      </c>
      <c r="I428">
        <v>45.267847422479001</v>
      </c>
    </row>
    <row r="429" spans="1:9" x14ac:dyDescent="0.2">
      <c r="A429">
        <v>419</v>
      </c>
      <c r="B429">
        <v>1528847.861279157</v>
      </c>
      <c r="C429">
        <v>93986.041361883734</v>
      </c>
      <c r="D429">
        <v>96670.841868931137</v>
      </c>
      <c r="E429">
        <v>191048.82812561488</v>
      </c>
      <c r="F429">
        <v>49226.457331773338</v>
      </c>
      <c r="G429">
        <v>10000</v>
      </c>
      <c r="H429">
        <v>420932.16868820309</v>
      </c>
      <c r="I429">
        <v>33.627043812173248</v>
      </c>
    </row>
    <row r="430" spans="1:9" x14ac:dyDescent="0.2">
      <c r="A430">
        <v>420</v>
      </c>
      <c r="B430">
        <v>1627203.0786734589</v>
      </c>
      <c r="C430">
        <v>110283.11968763662</v>
      </c>
      <c r="D430">
        <v>101256.24871138208</v>
      </c>
      <c r="E430">
        <v>196728.65956869788</v>
      </c>
      <c r="F430">
        <v>49619.67643167908</v>
      </c>
      <c r="G430">
        <v>10000</v>
      </c>
      <c r="H430">
        <v>447887.70439939562</v>
      </c>
      <c r="I430">
        <v>26.622925043073593</v>
      </c>
    </row>
    <row r="431" spans="1:9" x14ac:dyDescent="0.2">
      <c r="A431">
        <v>421</v>
      </c>
      <c r="B431">
        <v>879866.90928038023</v>
      </c>
      <c r="C431">
        <v>86742.486469346302</v>
      </c>
      <c r="D431">
        <v>99074.876969169054</v>
      </c>
      <c r="E431">
        <v>29229.493818384741</v>
      </c>
      <c r="F431">
        <v>38023.580341272791</v>
      </c>
      <c r="G431">
        <v>10000</v>
      </c>
      <c r="H431">
        <v>243070.43759817287</v>
      </c>
      <c r="I431">
        <v>33.432346198944806</v>
      </c>
    </row>
    <row r="432" spans="1:9" x14ac:dyDescent="0.2">
      <c r="A432">
        <v>422</v>
      </c>
      <c r="B432">
        <v>968253.24246060301</v>
      </c>
      <c r="C432">
        <v>121818.66860325386</v>
      </c>
      <c r="D432">
        <v>42225.978820530239</v>
      </c>
      <c r="E432">
        <v>72247.474356639359</v>
      </c>
      <c r="F432">
        <v>41001.748224690418</v>
      </c>
      <c r="G432">
        <v>10000</v>
      </c>
      <c r="H432">
        <v>267293.87000511389</v>
      </c>
      <c r="I432">
        <v>33.881134014773558</v>
      </c>
    </row>
    <row r="433" spans="1:9" x14ac:dyDescent="0.2">
      <c r="A433">
        <v>423</v>
      </c>
      <c r="B433">
        <v>1382379.9278777817</v>
      </c>
      <c r="C433">
        <v>130984.47558506559</v>
      </c>
      <c r="D433">
        <v>82244.732437962288</v>
      </c>
      <c r="E433">
        <v>132395.65205487999</v>
      </c>
      <c r="F433">
        <v>45165.852834568614</v>
      </c>
      <c r="G433">
        <v>10000</v>
      </c>
      <c r="H433">
        <v>380790.71291247645</v>
      </c>
      <c r="I433">
        <v>31.43822328255132</v>
      </c>
    </row>
    <row r="434" spans="1:9" x14ac:dyDescent="0.2">
      <c r="A434">
        <v>424</v>
      </c>
      <c r="B434">
        <v>1268797.4964694474</v>
      </c>
      <c r="C434">
        <v>166310.04199847247</v>
      </c>
      <c r="D434">
        <v>128463.39900468139</v>
      </c>
      <c r="E434">
        <v>27018.039101658378</v>
      </c>
      <c r="F434">
        <v>37870.479630114816</v>
      </c>
      <c r="G434">
        <v>10000</v>
      </c>
      <c r="H434">
        <v>349661.95973492705</v>
      </c>
      <c r="I434">
        <v>27.587185457226617</v>
      </c>
    </row>
    <row r="435" spans="1:9" x14ac:dyDescent="0.2">
      <c r="A435">
        <v>425</v>
      </c>
      <c r="B435">
        <v>1102608.9137196224</v>
      </c>
      <c r="C435">
        <v>115960.55473509552</v>
      </c>
      <c r="D435">
        <v>78788.865274461175</v>
      </c>
      <c r="E435">
        <v>77968.558395507032</v>
      </c>
      <c r="F435">
        <v>41397.823273535098</v>
      </c>
      <c r="G435">
        <v>10000</v>
      </c>
      <c r="H435">
        <v>304115.80167859886</v>
      </c>
      <c r="I435">
        <v>28.089818846523663</v>
      </c>
    </row>
    <row r="436" spans="1:9" x14ac:dyDescent="0.2">
      <c r="A436">
        <v>426</v>
      </c>
      <c r="B436">
        <v>1455229.5800922413</v>
      </c>
      <c r="C436">
        <v>132387.61656119872</v>
      </c>
      <c r="D436">
        <v>62345.549723212767</v>
      </c>
      <c r="E436">
        <v>168366.78598974517</v>
      </c>
      <c r="F436">
        <v>47656.162106982352</v>
      </c>
      <c r="G436">
        <v>10000</v>
      </c>
      <c r="H436">
        <v>400756.11438113905</v>
      </c>
      <c r="I436">
        <v>34.038902559735909</v>
      </c>
    </row>
    <row r="437" spans="1:9" x14ac:dyDescent="0.2">
      <c r="A437">
        <v>427</v>
      </c>
      <c r="B437">
        <v>1071996.3766432824</v>
      </c>
      <c r="C437">
        <v>114904.34966446934</v>
      </c>
      <c r="D437">
        <v>90872.890863927736</v>
      </c>
      <c r="E437">
        <v>59808.224942588531</v>
      </c>
      <c r="F437">
        <v>40140.569419102285</v>
      </c>
      <c r="G437">
        <v>10000</v>
      </c>
      <c r="H437">
        <v>295726.0348900879</v>
      </c>
      <c r="I437">
        <v>39.587214940655862</v>
      </c>
    </row>
    <row r="438" spans="1:9" x14ac:dyDescent="0.2">
      <c r="A438">
        <v>428</v>
      </c>
      <c r="B438">
        <v>905168.39074542746</v>
      </c>
      <c r="C438">
        <v>123775.6303393861</v>
      </c>
      <c r="D438">
        <v>71632.498131597953</v>
      </c>
      <c r="E438">
        <v>26744.93886375798</v>
      </c>
      <c r="F438">
        <v>37851.572690567853</v>
      </c>
      <c r="G438">
        <v>10000</v>
      </c>
      <c r="H438">
        <v>250004.64002530987</v>
      </c>
      <c r="I438">
        <v>32.289216530504561</v>
      </c>
    </row>
    <row r="439" spans="1:9" x14ac:dyDescent="0.2">
      <c r="A439">
        <v>429</v>
      </c>
      <c r="B439">
        <v>1381792.8345121318</v>
      </c>
      <c r="C439">
        <v>109556.5810415688</v>
      </c>
      <c r="D439">
        <v>107485.13765025217</v>
      </c>
      <c r="E439">
        <v>128679.51199372283</v>
      </c>
      <c r="F439">
        <v>44908.581599565427</v>
      </c>
      <c r="G439">
        <v>10000</v>
      </c>
      <c r="H439">
        <v>380629.81228510919</v>
      </c>
      <c r="I439">
        <v>37.198879305433607</v>
      </c>
    </row>
    <row r="440" spans="1:9" x14ac:dyDescent="0.2">
      <c r="A440">
        <v>430</v>
      </c>
      <c r="B440">
        <v>1140117.8537722062</v>
      </c>
      <c r="C440">
        <v>159856.25131151214</v>
      </c>
      <c r="D440">
        <v>69584.406502434256</v>
      </c>
      <c r="E440">
        <v>55137.73258625275</v>
      </c>
      <c r="F440">
        <v>39817.227640586723</v>
      </c>
      <c r="G440">
        <v>10000</v>
      </c>
      <c r="H440">
        <v>314395.61804078589</v>
      </c>
      <c r="I440">
        <v>28.695567008245735</v>
      </c>
    </row>
    <row r="441" spans="1:9" x14ac:dyDescent="0.2">
      <c r="A441">
        <v>431</v>
      </c>
      <c r="B441">
        <v>1388309.5201758156</v>
      </c>
      <c r="C441">
        <v>104864.93917413485</v>
      </c>
      <c r="D441">
        <v>97572.271416066578</v>
      </c>
      <c r="E441">
        <v>144008.74834141048</v>
      </c>
      <c r="F441">
        <v>45969.836423636116</v>
      </c>
      <c r="G441">
        <v>10000</v>
      </c>
      <c r="H441">
        <v>382415.79535524803</v>
      </c>
      <c r="I441">
        <v>36.485948449900377</v>
      </c>
    </row>
    <row r="442" spans="1:9" x14ac:dyDescent="0.2">
      <c r="A442">
        <v>432</v>
      </c>
      <c r="B442">
        <v>1171237.3682251072</v>
      </c>
      <c r="C442">
        <v>116777.79093548712</v>
      </c>
      <c r="D442">
        <v>150268.03717684679</v>
      </c>
      <c r="E442">
        <v>27943.921338470693</v>
      </c>
      <c r="F442">
        <v>37934.579169586432</v>
      </c>
      <c r="G442">
        <v>10000</v>
      </c>
      <c r="H442">
        <v>322924.32862039102</v>
      </c>
      <c r="I442">
        <v>40.319933137470883</v>
      </c>
    </row>
    <row r="443" spans="1:9" x14ac:dyDescent="0.2">
      <c r="A443">
        <v>433</v>
      </c>
      <c r="B443">
        <v>899514.31478105474</v>
      </c>
      <c r="C443">
        <v>123811.22797187047</v>
      </c>
      <c r="D443">
        <v>50058.37722975685</v>
      </c>
      <c r="E443">
        <v>45439.640009775329</v>
      </c>
      <c r="F443">
        <v>39145.821231445989</v>
      </c>
      <c r="G443">
        <v>10000</v>
      </c>
      <c r="H443">
        <v>248455.06644284862</v>
      </c>
      <c r="I443">
        <v>32.784955697303893</v>
      </c>
    </row>
    <row r="444" spans="1:9" x14ac:dyDescent="0.2">
      <c r="A444">
        <v>434</v>
      </c>
      <c r="B444">
        <v>1375677.9278333534</v>
      </c>
      <c r="C444">
        <v>127318.71856258714</v>
      </c>
      <c r="D444">
        <v>78906.241959186693</v>
      </c>
      <c r="E444">
        <v>137228.54383679299</v>
      </c>
      <c r="F444">
        <v>45500.437650239517</v>
      </c>
      <c r="G444">
        <v>10000</v>
      </c>
      <c r="H444">
        <v>378953.94200880633</v>
      </c>
      <c r="I444">
        <v>30.692400016925852</v>
      </c>
    </row>
    <row r="445" spans="1:9" x14ac:dyDescent="0.2">
      <c r="A445">
        <v>435</v>
      </c>
      <c r="B445">
        <v>1397587.486577752</v>
      </c>
      <c r="C445">
        <v>77817.031294411208</v>
      </c>
      <c r="D445">
        <v>112767.74371710246</v>
      </c>
      <c r="E445">
        <v>157471.86988657486</v>
      </c>
      <c r="F445">
        <v>46901.898684455184</v>
      </c>
      <c r="G445">
        <v>10000</v>
      </c>
      <c r="H445">
        <v>384958.54358254373</v>
      </c>
      <c r="I445">
        <v>39.793171721570673</v>
      </c>
    </row>
    <row r="446" spans="1:9" x14ac:dyDescent="0.2">
      <c r="A446">
        <v>436</v>
      </c>
      <c r="B446">
        <v>793037.52367349598</v>
      </c>
      <c r="C446">
        <v>100697.80645652658</v>
      </c>
      <c r="D446">
        <v>44781.94226756812</v>
      </c>
      <c r="E446">
        <v>44699.385502078869</v>
      </c>
      <c r="F446">
        <v>39094.572842451613</v>
      </c>
      <c r="G446">
        <v>10000</v>
      </c>
      <c r="H446">
        <v>219273.7070686252</v>
      </c>
      <c r="I446">
        <v>29.832202580774812</v>
      </c>
    </row>
    <row r="447" spans="1:9" x14ac:dyDescent="0.2">
      <c r="A447">
        <v>437</v>
      </c>
      <c r="B447">
        <v>1248394.619100268</v>
      </c>
      <c r="C447">
        <v>112936.93847161155</v>
      </c>
      <c r="D447">
        <v>168398.03519904535</v>
      </c>
      <c r="E447">
        <v>34356.764989383875</v>
      </c>
      <c r="F447">
        <v>38378.5452684958</v>
      </c>
      <c r="G447">
        <v>10000</v>
      </c>
      <c r="H447">
        <v>344070.28392853658</v>
      </c>
      <c r="I447">
        <v>50.275409336762486</v>
      </c>
    </row>
    <row r="448" spans="1:9" x14ac:dyDescent="0.2">
      <c r="A448">
        <v>438</v>
      </c>
      <c r="B448">
        <v>1375162.1451665435</v>
      </c>
      <c r="C448">
        <v>139830.32071723187</v>
      </c>
      <c r="D448">
        <v>115038.26042550188</v>
      </c>
      <c r="E448">
        <v>91602.305777550617</v>
      </c>
      <c r="F448">
        <v>42341.698092291961</v>
      </c>
      <c r="G448">
        <v>10000</v>
      </c>
      <c r="H448">
        <v>378812.58501257631</v>
      </c>
      <c r="I448">
        <v>34.528691637008421</v>
      </c>
    </row>
    <row r="449" spans="1:9" x14ac:dyDescent="0.2">
      <c r="A449">
        <v>439</v>
      </c>
      <c r="B449">
        <v>1085617.8676182816</v>
      </c>
      <c r="C449">
        <v>120639.42433295377</v>
      </c>
      <c r="D449">
        <v>78302.996716066889</v>
      </c>
      <c r="E449">
        <v>69691.935566296801</v>
      </c>
      <c r="F449">
        <v>40824.826308435935</v>
      </c>
      <c r="G449">
        <v>10000</v>
      </c>
      <c r="H449">
        <v>299459.1829237534</v>
      </c>
      <c r="I449">
        <v>41.524879225492455</v>
      </c>
    </row>
    <row r="450" spans="1:9" x14ac:dyDescent="0.2">
      <c r="A450">
        <v>440</v>
      </c>
      <c r="B450">
        <v>1107296.7205265048</v>
      </c>
      <c r="C450">
        <v>105814.85903022125</v>
      </c>
      <c r="D450">
        <v>103490.25878391654</v>
      </c>
      <c r="E450">
        <v>65556.88514023312</v>
      </c>
      <c r="F450">
        <v>40538.553586631519</v>
      </c>
      <c r="G450">
        <v>10000</v>
      </c>
      <c r="H450">
        <v>305400.55654100247</v>
      </c>
      <c r="I450">
        <v>37.766763690536806</v>
      </c>
    </row>
    <row r="451" spans="1:9" x14ac:dyDescent="0.2">
      <c r="A451">
        <v>441</v>
      </c>
      <c r="B451">
        <v>812071.47008037521</v>
      </c>
      <c r="C451">
        <v>95760.299740067014</v>
      </c>
      <c r="D451">
        <v>71646.698067067948</v>
      </c>
      <c r="E451">
        <v>29070.629559220499</v>
      </c>
      <c r="F451">
        <v>38012.582046407573</v>
      </c>
      <c r="G451">
        <v>10000</v>
      </c>
      <c r="H451">
        <v>224490.20941276301</v>
      </c>
      <c r="I451">
        <v>39.049502596873126</v>
      </c>
    </row>
    <row r="452" spans="1:9" x14ac:dyDescent="0.2">
      <c r="A452">
        <v>442</v>
      </c>
      <c r="B452">
        <v>1094159.4142126762</v>
      </c>
      <c r="C452">
        <v>128868.04554048645</v>
      </c>
      <c r="D452">
        <v>40215.776710905229</v>
      </c>
      <c r="E452">
        <v>99806.595990117654</v>
      </c>
      <c r="F452">
        <v>42909.687414700449</v>
      </c>
      <c r="G452">
        <v>10000</v>
      </c>
      <c r="H452">
        <v>301800.10565620981</v>
      </c>
      <c r="I452">
        <v>35.841855675504931</v>
      </c>
    </row>
    <row r="453" spans="1:9" x14ac:dyDescent="0.2">
      <c r="A453">
        <v>443</v>
      </c>
      <c r="B453">
        <v>1542363.6061172464</v>
      </c>
      <c r="C453">
        <v>86265.446589486935</v>
      </c>
      <c r="D453">
        <v>127240.02246631114</v>
      </c>
      <c r="E453">
        <v>173143.9759119894</v>
      </c>
      <c r="F453">
        <v>47986.890640060803</v>
      </c>
      <c r="G453">
        <v>10000</v>
      </c>
      <c r="H453">
        <v>424636.3356078483</v>
      </c>
      <c r="I453">
        <v>33.679201213625625</v>
      </c>
    </row>
    <row r="454" spans="1:9" x14ac:dyDescent="0.2">
      <c r="A454">
        <v>444</v>
      </c>
      <c r="B454">
        <v>1486263.2039643659</v>
      </c>
      <c r="C454">
        <v>106587.03573335354</v>
      </c>
      <c r="D454">
        <v>124560.38097220749</v>
      </c>
      <c r="E454">
        <v>142264.76939664714</v>
      </c>
      <c r="F454">
        <v>45849.099419767881</v>
      </c>
      <c r="G454">
        <v>10000</v>
      </c>
      <c r="H454">
        <v>409261.28552197607</v>
      </c>
      <c r="I454">
        <v>49.267509754512439</v>
      </c>
    </row>
    <row r="455" spans="1:9" x14ac:dyDescent="0.2">
      <c r="A455">
        <v>445</v>
      </c>
      <c r="B455">
        <v>994845.8061284204</v>
      </c>
      <c r="C455">
        <v>96005.922707569131</v>
      </c>
      <c r="D455">
        <v>77536.875561051522</v>
      </c>
      <c r="E455">
        <v>70180.464604057997</v>
      </c>
      <c r="F455">
        <v>40858.647549511705</v>
      </c>
      <c r="G455">
        <v>10000</v>
      </c>
      <c r="H455">
        <v>274581.91042219033</v>
      </c>
      <c r="I455">
        <v>32.893494954178472</v>
      </c>
    </row>
    <row r="456" spans="1:9" x14ac:dyDescent="0.2">
      <c r="A456">
        <v>446</v>
      </c>
      <c r="B456">
        <v>1272331.7242165389</v>
      </c>
      <c r="C456">
        <v>106166.17396582084</v>
      </c>
      <c r="D456">
        <v>105149.37307188699</v>
      </c>
      <c r="E456">
        <v>105978.07074775173</v>
      </c>
      <c r="F456">
        <v>43336.943359459736</v>
      </c>
      <c r="G456">
        <v>10000</v>
      </c>
      <c r="H456">
        <v>350630.56114491931</v>
      </c>
      <c r="I456">
        <v>36.863720273207214</v>
      </c>
    </row>
    <row r="457" spans="1:9" x14ac:dyDescent="0.2">
      <c r="A457">
        <v>447</v>
      </c>
      <c r="B457">
        <v>1214415.9984069546</v>
      </c>
      <c r="C457">
        <v>158613.23039590209</v>
      </c>
      <c r="D457">
        <v>77421.679900787567</v>
      </c>
      <c r="E457">
        <v>68014.39841381603</v>
      </c>
      <c r="F457">
        <v>40708.689120956493</v>
      </c>
      <c r="G457">
        <v>10000</v>
      </c>
      <c r="H457">
        <v>334757.99783146218</v>
      </c>
      <c r="I457">
        <v>40.875184095110043</v>
      </c>
    </row>
    <row r="458" spans="1:9" x14ac:dyDescent="0.2">
      <c r="A458">
        <v>448</v>
      </c>
      <c r="B458">
        <v>705315.75244180649</v>
      </c>
      <c r="C458">
        <v>82180.264687604751</v>
      </c>
      <c r="D458">
        <v>54520.229071883718</v>
      </c>
      <c r="E458">
        <v>30425.529965706475</v>
      </c>
      <c r="F458">
        <v>38106.382843779676</v>
      </c>
      <c r="G458">
        <v>10000</v>
      </c>
      <c r="H458">
        <v>195232.40656897461</v>
      </c>
      <c r="I458">
        <v>30.023863515158745</v>
      </c>
    </row>
    <row r="459" spans="1:9" x14ac:dyDescent="0.2">
      <c r="A459">
        <v>449</v>
      </c>
      <c r="B459">
        <v>1463514.9651084312</v>
      </c>
      <c r="C459">
        <v>132380.90182589873</v>
      </c>
      <c r="D459">
        <v>60975.34336350394</v>
      </c>
      <c r="E459">
        <v>171778.24729107463</v>
      </c>
      <c r="F459">
        <v>47892.340197074402</v>
      </c>
      <c r="G459">
        <v>10000</v>
      </c>
      <c r="H459">
        <v>403026.83267755172</v>
      </c>
      <c r="I459">
        <v>42.782429755214253</v>
      </c>
    </row>
    <row r="460" spans="1:9" x14ac:dyDescent="0.2">
      <c r="A460">
        <v>450</v>
      </c>
      <c r="B460">
        <v>1065017.1542170676</v>
      </c>
      <c r="C460">
        <v>82698.406522754041</v>
      </c>
      <c r="D460">
        <v>104014.20603351713</v>
      </c>
      <c r="E460">
        <v>75849.552162949156</v>
      </c>
      <c r="F460">
        <v>41251.122842050325</v>
      </c>
      <c r="G460">
        <v>10000</v>
      </c>
      <c r="H460">
        <v>293813.28756127064</v>
      </c>
      <c r="I460">
        <v>29.984589215879417</v>
      </c>
    </row>
    <row r="461" spans="1:9" x14ac:dyDescent="0.2">
      <c r="A461">
        <v>451</v>
      </c>
      <c r="B461">
        <v>1153756.3650155063</v>
      </c>
      <c r="C461">
        <v>97313.426730135412</v>
      </c>
      <c r="D461">
        <v>120539.07652408071</v>
      </c>
      <c r="E461">
        <v>69471.370994267359</v>
      </c>
      <c r="F461">
        <v>40809.556453449281</v>
      </c>
      <c r="G461">
        <v>10000</v>
      </c>
      <c r="H461">
        <v>318133.43070193275</v>
      </c>
      <c r="I461">
        <v>32.966521438511791</v>
      </c>
    </row>
    <row r="462" spans="1:9" x14ac:dyDescent="0.2">
      <c r="A462">
        <v>452</v>
      </c>
      <c r="B462">
        <v>1353628.7647062393</v>
      </c>
      <c r="C462">
        <v>103731.66296199763</v>
      </c>
      <c r="D462">
        <v>115122.29385732926</v>
      </c>
      <c r="E462">
        <v>119765.65479692182</v>
      </c>
      <c r="F462">
        <v>44291.46840901766</v>
      </c>
      <c r="G462">
        <v>10000</v>
      </c>
      <c r="H462">
        <v>372911.08002526639</v>
      </c>
      <c r="I462">
        <v>45.363088237784666</v>
      </c>
    </row>
    <row r="463" spans="1:9" x14ac:dyDescent="0.2">
      <c r="A463">
        <v>453</v>
      </c>
      <c r="B463">
        <v>1544479.1141937138</v>
      </c>
      <c r="C463">
        <v>126080.6510893771</v>
      </c>
      <c r="D463">
        <v>112077.02918399361</v>
      </c>
      <c r="E463">
        <v>150630.19384521933</v>
      </c>
      <c r="F463">
        <v>46428.244189284414</v>
      </c>
      <c r="G463">
        <v>10000</v>
      </c>
      <c r="H463">
        <v>425216.11830787442</v>
      </c>
      <c r="I463">
        <v>37.444899879308267</v>
      </c>
    </row>
    <row r="464" spans="1:9" x14ac:dyDescent="0.2">
      <c r="A464">
        <v>454</v>
      </c>
      <c r="B464">
        <v>1400536.4739085701</v>
      </c>
      <c r="C464">
        <v>122404.98032863349</v>
      </c>
      <c r="D464">
        <v>71978.39030608254</v>
      </c>
      <c r="E464">
        <v>154675.10505190803</v>
      </c>
      <c r="F464">
        <v>46708.276503593639</v>
      </c>
      <c r="G464">
        <v>10000</v>
      </c>
      <c r="H464">
        <v>385766.75219021773</v>
      </c>
      <c r="I464">
        <v>33.632032500927231</v>
      </c>
    </row>
    <row r="465" spans="1:9" x14ac:dyDescent="0.2">
      <c r="A465">
        <v>455</v>
      </c>
      <c r="B465">
        <v>951812.47200332559</v>
      </c>
      <c r="C465">
        <v>104913.47688387195</v>
      </c>
      <c r="D465">
        <v>88225.832109376046</v>
      </c>
      <c r="E465">
        <v>40822.574285719878</v>
      </c>
      <c r="F465">
        <v>38826.178219780602</v>
      </c>
      <c r="G465">
        <v>10000</v>
      </c>
      <c r="H465">
        <v>262788.06149874849</v>
      </c>
      <c r="I465">
        <v>41.947049538551624</v>
      </c>
    </row>
    <row r="466" spans="1:9" x14ac:dyDescent="0.2">
      <c r="A466">
        <v>456</v>
      </c>
      <c r="B466">
        <v>1108425.3561225436</v>
      </c>
      <c r="C466">
        <v>115929.60651214261</v>
      </c>
      <c r="D466">
        <v>29433.465660566213</v>
      </c>
      <c r="E466">
        <v>125648.08795614271</v>
      </c>
      <c r="F466">
        <v>44698.713781579114</v>
      </c>
      <c r="G466">
        <v>10000</v>
      </c>
      <c r="H466">
        <v>305709.87391043064</v>
      </c>
      <c r="I466">
        <v>41.347898112451631</v>
      </c>
    </row>
    <row r="467" spans="1:9" x14ac:dyDescent="0.2">
      <c r="A467">
        <v>457</v>
      </c>
      <c r="B467">
        <v>1480276.1182169474</v>
      </c>
      <c r="C467">
        <v>104480.11036502098</v>
      </c>
      <c r="D467">
        <v>70598.330209529071</v>
      </c>
      <c r="E467">
        <v>193168.78228290993</v>
      </c>
      <c r="F467">
        <v>49373.223388816834</v>
      </c>
      <c r="G467">
        <v>10000</v>
      </c>
      <c r="H467">
        <v>407620.44624627684</v>
      </c>
      <c r="I467">
        <v>31.300770808110173</v>
      </c>
    </row>
    <row r="468" spans="1:9" x14ac:dyDescent="0.2">
      <c r="A468">
        <v>458</v>
      </c>
      <c r="B468">
        <v>848906.1760991324</v>
      </c>
      <c r="C468">
        <v>80461.760640772496</v>
      </c>
      <c r="D468">
        <v>75499.589924914864</v>
      </c>
      <c r="E468">
        <v>49216.590145604365</v>
      </c>
      <c r="F468">
        <v>39407.302394695689</v>
      </c>
      <c r="G468">
        <v>10000</v>
      </c>
      <c r="H468">
        <v>234585.24310598741</v>
      </c>
      <c r="I468">
        <v>35.314976012014654</v>
      </c>
    </row>
    <row r="469" spans="1:9" x14ac:dyDescent="0.2">
      <c r="A469">
        <v>459</v>
      </c>
      <c r="B469">
        <v>1386734.9414352691</v>
      </c>
      <c r="C469">
        <v>96270.092122094153</v>
      </c>
      <c r="D469">
        <v>120624.29497379431</v>
      </c>
      <c r="E469">
        <v>130084.05512843735</v>
      </c>
      <c r="F469">
        <v>45005.819201199505</v>
      </c>
      <c r="G469">
        <v>10000</v>
      </c>
      <c r="H469">
        <v>381984.26142552536</v>
      </c>
      <c r="I469">
        <v>47.482839040535254</v>
      </c>
    </row>
    <row r="470" spans="1:9" x14ac:dyDescent="0.2">
      <c r="A470">
        <v>460</v>
      </c>
      <c r="B470">
        <v>1448416.803271573</v>
      </c>
      <c r="C470">
        <v>125694.58739249941</v>
      </c>
      <c r="D470">
        <v>62995.090085247779</v>
      </c>
      <c r="E470">
        <v>172272.73239210344</v>
      </c>
      <c r="F470">
        <v>47926.573780991777</v>
      </c>
      <c r="G470">
        <v>10000</v>
      </c>
      <c r="H470">
        <v>398888.98365084239</v>
      </c>
      <c r="I470">
        <v>35.110763164833543</v>
      </c>
    </row>
    <row r="471" spans="1:9" x14ac:dyDescent="0.2">
      <c r="A471">
        <v>461</v>
      </c>
      <c r="B471">
        <v>1466170.1998929153</v>
      </c>
      <c r="C471">
        <v>105650.48922252769</v>
      </c>
      <c r="D471">
        <v>57438.043502113556</v>
      </c>
      <c r="E471">
        <v>200766.76429892259</v>
      </c>
      <c r="F471">
        <v>49899.237528386948</v>
      </c>
      <c r="G471">
        <v>10000</v>
      </c>
      <c r="H471">
        <v>403754.53455195075</v>
      </c>
      <c r="I471">
        <v>30.710882550937583</v>
      </c>
    </row>
    <row r="472" spans="1:9" x14ac:dyDescent="0.2">
      <c r="A472">
        <v>462</v>
      </c>
      <c r="B472">
        <v>1699218.5638617212</v>
      </c>
      <c r="C472">
        <v>152670.04169979418</v>
      </c>
      <c r="D472">
        <v>81570.40257324402</v>
      </c>
      <c r="E472">
        <v>193956.30313153594</v>
      </c>
      <c r="F472">
        <v>49427.744062952486</v>
      </c>
      <c r="G472">
        <v>10000</v>
      </c>
      <c r="H472">
        <v>467624.49146752659</v>
      </c>
      <c r="I472">
        <v>47.571551690572207</v>
      </c>
    </row>
    <row r="473" spans="1:9" x14ac:dyDescent="0.2">
      <c r="A473">
        <v>463</v>
      </c>
      <c r="B473">
        <v>1708437.6581987296</v>
      </c>
      <c r="C473">
        <v>149524.84518156896</v>
      </c>
      <c r="D473">
        <v>100672.26885881397</v>
      </c>
      <c r="E473">
        <v>181395.81891512373</v>
      </c>
      <c r="F473">
        <v>48558.172078739335</v>
      </c>
      <c r="G473">
        <v>10000</v>
      </c>
      <c r="H473">
        <v>470151.10503424599</v>
      </c>
      <c r="I473">
        <v>31.639711464872832</v>
      </c>
    </row>
    <row r="474" spans="1:9" x14ac:dyDescent="0.2">
      <c r="A474">
        <v>464</v>
      </c>
      <c r="B474">
        <v>1496607.2004293608</v>
      </c>
      <c r="C474">
        <v>100268.32305178381</v>
      </c>
      <c r="D474">
        <v>131546.36062742741</v>
      </c>
      <c r="E474">
        <v>144292.05931295911</v>
      </c>
      <c r="F474">
        <v>45989.450260127938</v>
      </c>
      <c r="G474">
        <v>10000</v>
      </c>
      <c r="H474">
        <v>412096.19325229828</v>
      </c>
      <c r="I474">
        <v>51.035853629035856</v>
      </c>
    </row>
    <row r="475" spans="1:9" x14ac:dyDescent="0.2">
      <c r="A475">
        <v>465</v>
      </c>
      <c r="B475">
        <v>1790916.0354362866</v>
      </c>
      <c r="C475">
        <v>113700.0283107922</v>
      </c>
      <c r="D475">
        <v>143674.60266715457</v>
      </c>
      <c r="E475">
        <v>195823.72652604445</v>
      </c>
      <c r="F475">
        <v>49557.027221033852</v>
      </c>
      <c r="G475">
        <v>10000</v>
      </c>
      <c r="H475">
        <v>492755.3847250251</v>
      </c>
      <c r="I475">
        <v>33.827631614118651</v>
      </c>
    </row>
    <row r="476" spans="1:9" x14ac:dyDescent="0.2">
      <c r="A476">
        <v>466</v>
      </c>
      <c r="B476">
        <v>1647277.1044704856</v>
      </c>
      <c r="C476">
        <v>134050.32892947734</v>
      </c>
      <c r="D476">
        <v>126539.71503880182</v>
      </c>
      <c r="E476">
        <v>155999.26129738422</v>
      </c>
      <c r="F476">
        <v>46799.948859049677</v>
      </c>
      <c r="G476">
        <v>10000</v>
      </c>
      <c r="H476">
        <v>453389.25412471301</v>
      </c>
      <c r="I476">
        <v>30.432982942562262</v>
      </c>
    </row>
    <row r="477" spans="1:9" x14ac:dyDescent="0.2">
      <c r="A477">
        <v>467</v>
      </c>
      <c r="B477">
        <v>906620.65394533286</v>
      </c>
      <c r="C477">
        <v>103071.83265335653</v>
      </c>
      <c r="D477">
        <v>30757.018057325415</v>
      </c>
      <c r="E477">
        <v>84709.310351544787</v>
      </c>
      <c r="F477">
        <v>41864.490716645407</v>
      </c>
      <c r="G477">
        <v>10000</v>
      </c>
      <c r="H477">
        <v>250402.65177887212</v>
      </c>
      <c r="I477">
        <v>27.962594573476188</v>
      </c>
    </row>
    <row r="478" spans="1:9" x14ac:dyDescent="0.2">
      <c r="A478">
        <v>468</v>
      </c>
      <c r="B478">
        <v>1029382.6463192906</v>
      </c>
      <c r="C478">
        <v>94680.991742536469</v>
      </c>
      <c r="D478">
        <v>61014.666575665455</v>
      </c>
      <c r="E478">
        <v>95724.448371688515</v>
      </c>
      <c r="F478">
        <v>42627.077194963058</v>
      </c>
      <c r="G478">
        <v>10000</v>
      </c>
      <c r="H478">
        <v>284047.1838848535</v>
      </c>
      <c r="I478">
        <v>44.785728762481483</v>
      </c>
    </row>
    <row r="479" spans="1:9" x14ac:dyDescent="0.2">
      <c r="A479">
        <v>469</v>
      </c>
      <c r="B479">
        <v>1113680.0985026688</v>
      </c>
      <c r="C479">
        <v>131212.71331064627</v>
      </c>
      <c r="D479">
        <v>65689.871233848797</v>
      </c>
      <c r="E479">
        <v>78792.551405206876</v>
      </c>
      <c r="F479">
        <v>41454.868943437396</v>
      </c>
      <c r="G479">
        <v>10000</v>
      </c>
      <c r="H479">
        <v>307150.00489313935</v>
      </c>
      <c r="I479">
        <v>41.166655736940335</v>
      </c>
    </row>
    <row r="480" spans="1:9" x14ac:dyDescent="0.2">
      <c r="A480">
        <v>470</v>
      </c>
      <c r="B480">
        <v>1133158.2947173135</v>
      </c>
      <c r="C480">
        <v>128487.57408861691</v>
      </c>
      <c r="D480">
        <v>122021.15272463029</v>
      </c>
      <c r="E480">
        <v>33649.922859115963</v>
      </c>
      <c r="F480">
        <v>38329.610044092638</v>
      </c>
      <c r="G480">
        <v>10000</v>
      </c>
      <c r="H480">
        <v>312488.25971645582</v>
      </c>
      <c r="I480">
        <v>26.989105250177516</v>
      </c>
    </row>
    <row r="481" spans="1:9" x14ac:dyDescent="0.2">
      <c r="A481">
        <v>471</v>
      </c>
      <c r="B481">
        <v>1518857.0606813291</v>
      </c>
      <c r="C481">
        <v>136977.18764450823</v>
      </c>
      <c r="D481">
        <v>84017.121309855895</v>
      </c>
      <c r="E481">
        <v>160114.87406100097</v>
      </c>
      <c r="F481">
        <v>47084.87589653083</v>
      </c>
      <c r="G481">
        <v>10000</v>
      </c>
      <c r="H481">
        <v>418194.0589118959</v>
      </c>
      <c r="I481">
        <v>31.066356068064856</v>
      </c>
    </row>
    <row r="482" spans="1:9" x14ac:dyDescent="0.2">
      <c r="A482">
        <v>472</v>
      </c>
      <c r="B482">
        <v>973589.13651870191</v>
      </c>
      <c r="C482">
        <v>137268.08418051418</v>
      </c>
      <c r="D482">
        <v>50829.499920452843</v>
      </c>
      <c r="E482">
        <v>51119.607796693825</v>
      </c>
      <c r="F482">
        <v>39539.04977054034</v>
      </c>
      <c r="G482">
        <v>10000</v>
      </c>
      <c r="H482">
        <v>268756.24166820123</v>
      </c>
      <c r="I482">
        <v>32.974872507813089</v>
      </c>
    </row>
    <row r="483" spans="1:9" x14ac:dyDescent="0.2">
      <c r="A483">
        <v>473</v>
      </c>
      <c r="B483">
        <v>1568439.9760996918</v>
      </c>
      <c r="C483">
        <v>160513.93426709098</v>
      </c>
      <c r="D483">
        <v>119986.00255032559</v>
      </c>
      <c r="E483">
        <v>117171.122615924</v>
      </c>
      <c r="F483">
        <v>44111.846950333194</v>
      </c>
      <c r="G483">
        <v>10000</v>
      </c>
      <c r="H483">
        <v>431782.90638367378</v>
      </c>
      <c r="I483">
        <v>36.466368573827076</v>
      </c>
    </row>
    <row r="484" spans="1:9" x14ac:dyDescent="0.2">
      <c r="A484">
        <v>474</v>
      </c>
      <c r="B484">
        <v>891776.62694910762</v>
      </c>
      <c r="C484">
        <v>97769.541225511319</v>
      </c>
      <c r="D484">
        <v>87031.035960831825</v>
      </c>
      <c r="E484">
        <v>33233.12008075395</v>
      </c>
      <c r="F484">
        <v>38300.754467129118</v>
      </c>
      <c r="G484">
        <v>10000</v>
      </c>
      <c r="H484">
        <v>246334.45173422623</v>
      </c>
      <c r="I484">
        <v>43.562984768710201</v>
      </c>
    </row>
    <row r="485" spans="1:9" x14ac:dyDescent="0.2">
      <c r="A485">
        <v>475</v>
      </c>
      <c r="B485">
        <v>1228579.4967648308</v>
      </c>
      <c r="C485">
        <v>114849.14142770442</v>
      </c>
      <c r="D485">
        <v>105919.56494577018</v>
      </c>
      <c r="E485">
        <v>85922.502754892543</v>
      </c>
      <c r="F485">
        <v>41948.480959954104</v>
      </c>
      <c r="G485">
        <v>10000</v>
      </c>
      <c r="H485">
        <v>338639.69008832122</v>
      </c>
      <c r="I485">
        <v>28.394563383953972</v>
      </c>
    </row>
    <row r="486" spans="1:9" x14ac:dyDescent="0.2">
      <c r="A486">
        <v>476</v>
      </c>
      <c r="B486">
        <v>1451159.7292123334</v>
      </c>
      <c r="C486">
        <v>97419.17246223551</v>
      </c>
      <c r="D486">
        <v>69654.728579202405</v>
      </c>
      <c r="E486">
        <v>193191.9874906732</v>
      </c>
      <c r="F486">
        <v>49374.829903200458</v>
      </c>
      <c r="G486">
        <v>10000</v>
      </c>
      <c r="H486">
        <v>399640.71843531157</v>
      </c>
      <c r="I486">
        <v>38.693388129960894</v>
      </c>
    </row>
    <row r="487" spans="1:9" x14ac:dyDescent="0.2">
      <c r="A487">
        <v>477</v>
      </c>
      <c r="B487">
        <v>1026271.3829593183</v>
      </c>
      <c r="C487">
        <v>91908.80882523772</v>
      </c>
      <c r="D487">
        <v>90511.172804660178</v>
      </c>
      <c r="E487">
        <v>69933.004106853856</v>
      </c>
      <c r="F487">
        <v>40841.515668936037</v>
      </c>
      <c r="G487">
        <v>10000</v>
      </c>
      <c r="H487">
        <v>283194.50140568777</v>
      </c>
      <c r="I487">
        <v>36.19314382971325</v>
      </c>
    </row>
    <row r="488" spans="1:9" x14ac:dyDescent="0.2">
      <c r="A488">
        <v>478</v>
      </c>
      <c r="B488">
        <v>1459192.0277496786</v>
      </c>
      <c r="C488">
        <v>152117.01516560977</v>
      </c>
      <c r="D488">
        <v>38187.142261248991</v>
      </c>
      <c r="E488">
        <v>173524.67117417825</v>
      </c>
      <c r="F488">
        <v>48013.246465904645</v>
      </c>
      <c r="G488">
        <v>10000</v>
      </c>
      <c r="H488">
        <v>401842.07506694167</v>
      </c>
      <c r="I488">
        <v>35.040974832912426</v>
      </c>
    </row>
    <row r="489" spans="1:9" x14ac:dyDescent="0.2">
      <c r="A489">
        <v>479</v>
      </c>
      <c r="B489">
        <v>1752232.2368141927</v>
      </c>
      <c r="C489">
        <v>136821.66081947085</v>
      </c>
      <c r="D489">
        <v>99658.099007762765</v>
      </c>
      <c r="E489">
        <v>205450.33820233843</v>
      </c>
      <c r="F489">
        <v>50223.484952469575</v>
      </c>
      <c r="G489">
        <v>10000</v>
      </c>
      <c r="H489">
        <v>482153.58298204164</v>
      </c>
      <c r="I489">
        <v>31.59794192095579</v>
      </c>
    </row>
    <row r="490" spans="1:9" x14ac:dyDescent="0.2">
      <c r="A490">
        <v>480</v>
      </c>
      <c r="B490">
        <v>1589437.1711856502</v>
      </c>
      <c r="C490">
        <v>96545.14831837485</v>
      </c>
      <c r="D490">
        <v>125286.28378594101</v>
      </c>
      <c r="E490">
        <v>177422.90635505709</v>
      </c>
      <c r="F490">
        <v>48283.124286119339</v>
      </c>
      <c r="G490">
        <v>10000</v>
      </c>
      <c r="H490">
        <v>437537.46274549229</v>
      </c>
      <c r="I490">
        <v>31.259876253757945</v>
      </c>
    </row>
    <row r="491" spans="1:9" x14ac:dyDescent="0.2">
      <c r="A491">
        <v>481</v>
      </c>
      <c r="B491">
        <v>1454872.8211014397</v>
      </c>
      <c r="C491">
        <v>132917.97445398348</v>
      </c>
      <c r="D491">
        <v>96357.231575867438</v>
      </c>
      <c r="E491">
        <v>135969.83743851559</v>
      </c>
      <c r="F491">
        <v>45413.296438051075</v>
      </c>
      <c r="G491">
        <v>10000</v>
      </c>
      <c r="H491">
        <v>400658.33990641759</v>
      </c>
      <c r="I491">
        <v>27.869035941960092</v>
      </c>
    </row>
    <row r="492" spans="1:9" x14ac:dyDescent="0.2">
      <c r="A492">
        <v>482</v>
      </c>
      <c r="B492">
        <v>1236503.6299930578</v>
      </c>
      <c r="C492">
        <v>126805.93742990315</v>
      </c>
      <c r="D492">
        <v>74015.105177772552</v>
      </c>
      <c r="E492">
        <v>106609.68920154597</v>
      </c>
      <c r="F492">
        <v>43380.670790876255</v>
      </c>
      <c r="G492">
        <v>10000</v>
      </c>
      <c r="H492">
        <v>340811.40260009794</v>
      </c>
      <c r="I492">
        <v>36.103186973256086</v>
      </c>
    </row>
    <row r="493" spans="1:9" x14ac:dyDescent="0.2">
      <c r="A493">
        <v>483</v>
      </c>
      <c r="B493">
        <v>878874.8020308516</v>
      </c>
      <c r="C493">
        <v>87173.360647150621</v>
      </c>
      <c r="D493">
        <v>89745.614357761908</v>
      </c>
      <c r="E493">
        <v>37297.432652736905</v>
      </c>
      <c r="F493">
        <v>38582.129952881784</v>
      </c>
      <c r="G493">
        <v>10000</v>
      </c>
      <c r="H493">
        <v>242798.5376105312</v>
      </c>
      <c r="I493">
        <v>31.788380683094648</v>
      </c>
    </row>
    <row r="494" spans="1:9" x14ac:dyDescent="0.2">
      <c r="A494">
        <v>484</v>
      </c>
      <c r="B494">
        <v>1236314.4439012245</v>
      </c>
      <c r="C494">
        <v>87136.531680172469</v>
      </c>
      <c r="D494">
        <v>96782.842696510706</v>
      </c>
      <c r="E494">
        <v>122368.51301134232</v>
      </c>
      <c r="F494">
        <v>44471.666285400621</v>
      </c>
      <c r="G494">
        <v>10000</v>
      </c>
      <c r="H494">
        <v>340759.55367342616</v>
      </c>
      <c r="I494">
        <v>26.385334839647939</v>
      </c>
    </row>
    <row r="495" spans="1:9" x14ac:dyDescent="0.2">
      <c r="A495">
        <v>485</v>
      </c>
      <c r="B495">
        <v>969952.20351714024</v>
      </c>
      <c r="C495">
        <v>123524.07333197656</v>
      </c>
      <c r="D495">
        <v>84396.683476569218</v>
      </c>
      <c r="E495">
        <v>31647.738451871694</v>
      </c>
      <c r="F495">
        <v>38190.997277437273</v>
      </c>
      <c r="G495">
        <v>10000</v>
      </c>
      <c r="H495">
        <v>267759.49253785476</v>
      </c>
      <c r="I495">
        <v>24.646687456557807</v>
      </c>
    </row>
    <row r="496" spans="1:9" x14ac:dyDescent="0.2">
      <c r="A496">
        <v>486</v>
      </c>
      <c r="B496">
        <v>1117045.2700513324</v>
      </c>
      <c r="C496">
        <v>92814.777928008261</v>
      </c>
      <c r="D496">
        <v>35265.940927131567</v>
      </c>
      <c r="E496">
        <v>144020.8791345206</v>
      </c>
      <c r="F496">
        <v>45970.676247774507</v>
      </c>
      <c r="G496">
        <v>10000</v>
      </c>
      <c r="H496">
        <v>308072.27423743496</v>
      </c>
      <c r="I496">
        <v>41.870238936587491</v>
      </c>
    </row>
    <row r="497" spans="1:9" x14ac:dyDescent="0.2">
      <c r="A497">
        <v>487</v>
      </c>
      <c r="B497">
        <v>1050435.3908915785</v>
      </c>
      <c r="C497">
        <v>119238.4045258268</v>
      </c>
      <c r="D497">
        <v>87452.094916879738</v>
      </c>
      <c r="E497">
        <v>53427.629013567937</v>
      </c>
      <c r="F497">
        <v>39698.835854785473</v>
      </c>
      <c r="G497">
        <v>10000</v>
      </c>
      <c r="H497">
        <v>289816.96431105991</v>
      </c>
      <c r="I497">
        <v>32.627194770138985</v>
      </c>
    </row>
    <row r="498" spans="1:9" x14ac:dyDescent="0.2">
      <c r="A498">
        <v>488</v>
      </c>
      <c r="B498">
        <v>753309.76670846343</v>
      </c>
      <c r="C498">
        <v>122544.79034042469</v>
      </c>
      <c r="D498">
        <v>27944.3509033054</v>
      </c>
      <c r="E498">
        <v>29831.402668906754</v>
      </c>
      <c r="F498">
        <v>38065.25095400124</v>
      </c>
      <c r="G498">
        <v>10000</v>
      </c>
      <c r="H498">
        <v>208385.79486663808</v>
      </c>
      <c r="I498">
        <v>36.528924835469368</v>
      </c>
    </row>
    <row r="499" spans="1:9" x14ac:dyDescent="0.2">
      <c r="A499">
        <v>489</v>
      </c>
      <c r="B499">
        <v>1414736.4320182409</v>
      </c>
      <c r="C499">
        <v>113357.36685070573</v>
      </c>
      <c r="D499">
        <v>80509.995110844844</v>
      </c>
      <c r="E499">
        <v>158797.40804714637</v>
      </c>
      <c r="F499">
        <v>46993.666710956284</v>
      </c>
      <c r="G499">
        <v>10000</v>
      </c>
      <c r="H499">
        <v>389658.4367196532</v>
      </c>
      <c r="I499">
        <v>53.36419287758784</v>
      </c>
    </row>
    <row r="500" spans="1:9" x14ac:dyDescent="0.2">
      <c r="A500">
        <v>490</v>
      </c>
      <c r="B500">
        <v>880333.33743339439</v>
      </c>
      <c r="C500">
        <v>78163.700910729924</v>
      </c>
      <c r="D500">
        <v>62076.547161305818</v>
      </c>
      <c r="E500">
        <v>71975.126872487395</v>
      </c>
      <c r="F500">
        <v>40982.893398864515</v>
      </c>
      <c r="G500">
        <v>10000</v>
      </c>
      <c r="H500">
        <v>243198.26834338764</v>
      </c>
      <c r="I500">
        <v>33.536913735396837</v>
      </c>
    </row>
    <row r="501" spans="1:9" x14ac:dyDescent="0.2">
      <c r="A501">
        <v>491</v>
      </c>
      <c r="B501">
        <v>1190597.1368181817</v>
      </c>
      <c r="C501">
        <v>114256.94147662021</v>
      </c>
      <c r="D501">
        <v>74299.68592928967</v>
      </c>
      <c r="E501">
        <v>106313.3447595855</v>
      </c>
      <c r="F501">
        <v>43360.154637202075</v>
      </c>
      <c r="G501">
        <v>10000</v>
      </c>
      <c r="H501">
        <v>328230.12680269749</v>
      </c>
      <c r="I501">
        <v>35.640168009360501</v>
      </c>
    </row>
    <row r="502" spans="1:9" x14ac:dyDescent="0.2">
      <c r="A502">
        <v>492</v>
      </c>
      <c r="B502">
        <v>1385137.3370434244</v>
      </c>
      <c r="C502">
        <v>118385.67010250142</v>
      </c>
      <c r="D502">
        <v>111983.2791347117</v>
      </c>
      <c r="E502">
        <v>117072.45187798636</v>
      </c>
      <c r="F502">
        <v>44105.015899245205</v>
      </c>
      <c r="G502">
        <v>10000</v>
      </c>
      <c r="H502">
        <v>381546.41701444471</v>
      </c>
      <c r="I502">
        <v>32.477967813921509</v>
      </c>
    </row>
    <row r="503" spans="1:9" x14ac:dyDescent="0.2">
      <c r="A503">
        <v>493</v>
      </c>
      <c r="B503">
        <v>1487015.285901092</v>
      </c>
      <c r="C503">
        <v>126619.75967357744</v>
      </c>
      <c r="D503">
        <v>86924.177331325991</v>
      </c>
      <c r="E503">
        <v>158921.22759039645</v>
      </c>
      <c r="F503">
        <v>47002.238833181291</v>
      </c>
      <c r="G503">
        <v>10000</v>
      </c>
      <c r="H503">
        <v>409467.40342848114</v>
      </c>
      <c r="I503">
        <v>28.133411922801766</v>
      </c>
    </row>
    <row r="504" spans="1:9" x14ac:dyDescent="0.2">
      <c r="A504">
        <v>494</v>
      </c>
      <c r="B504">
        <v>1576213.2975310376</v>
      </c>
      <c r="C504">
        <v>117796.12907952076</v>
      </c>
      <c r="D504">
        <v>90715.176033913172</v>
      </c>
      <c r="E504">
        <v>186491.06214648797</v>
      </c>
      <c r="F504">
        <v>48910.919687064546</v>
      </c>
      <c r="G504">
        <v>10000</v>
      </c>
      <c r="H504">
        <v>433913.28694698639</v>
      </c>
      <c r="I504">
        <v>40.848198779167802</v>
      </c>
    </row>
    <row r="505" spans="1:9" x14ac:dyDescent="0.2">
      <c r="A505">
        <v>495</v>
      </c>
      <c r="B505">
        <v>1223624.3013973041</v>
      </c>
      <c r="C505">
        <v>100323.12801962743</v>
      </c>
      <c r="D505">
        <v>72168.022534466363</v>
      </c>
      <c r="E505">
        <v>129804.06786649639</v>
      </c>
      <c r="F505">
        <v>44986.435467680516</v>
      </c>
      <c r="G505">
        <v>10000</v>
      </c>
      <c r="H505">
        <v>337281.65388827067</v>
      </c>
      <c r="I505">
        <v>33.572584379921047</v>
      </c>
    </row>
    <row r="506" spans="1:9" x14ac:dyDescent="0.2">
      <c r="A506">
        <v>496</v>
      </c>
      <c r="B506">
        <v>1489590.2535367124</v>
      </c>
      <c r="C506">
        <v>83545.385134802927</v>
      </c>
      <c r="D506">
        <v>85677.476269273771</v>
      </c>
      <c r="E506">
        <v>201032.60383149525</v>
      </c>
      <c r="F506">
        <v>49917.641803718907</v>
      </c>
      <c r="G506">
        <v>10000</v>
      </c>
      <c r="H506">
        <v>410173.10703929089</v>
      </c>
      <c r="I506">
        <v>41.436436313966503</v>
      </c>
    </row>
    <row r="507" spans="1:9" x14ac:dyDescent="0.2">
      <c r="A507">
        <v>497</v>
      </c>
      <c r="B507">
        <v>1149894.1716736562</v>
      </c>
      <c r="C507">
        <v>100955.44582000442</v>
      </c>
      <c r="D507">
        <v>62869.897056082467</v>
      </c>
      <c r="E507">
        <v>119010.42021081899</v>
      </c>
      <c r="F507">
        <v>44239.182937672085</v>
      </c>
      <c r="G507">
        <v>10000</v>
      </c>
      <c r="H507">
        <v>317074.94602457795</v>
      </c>
      <c r="I507">
        <v>44.630418438910667</v>
      </c>
    </row>
    <row r="508" spans="1:9" x14ac:dyDescent="0.2">
      <c r="A508">
        <v>498</v>
      </c>
      <c r="B508">
        <v>1566993.3192343002</v>
      </c>
      <c r="C508">
        <v>128201.28243871944</v>
      </c>
      <c r="D508">
        <v>100858.64859460786</v>
      </c>
      <c r="E508">
        <v>164909.67633960847</v>
      </c>
      <c r="F508">
        <v>47416.823746588278</v>
      </c>
      <c r="G508">
        <v>10000</v>
      </c>
      <c r="H508">
        <v>431386.431119524</v>
      </c>
      <c r="I508">
        <v>45.322657077200205</v>
      </c>
    </row>
    <row r="509" spans="1:9" x14ac:dyDescent="0.2">
      <c r="A509">
        <v>499</v>
      </c>
      <c r="B509">
        <v>1383391.1781961895</v>
      </c>
      <c r="C509">
        <v>122187.80128963335</v>
      </c>
      <c r="D509">
        <v>93629.371706952414</v>
      </c>
      <c r="E509">
        <v>130234.45482447134</v>
      </c>
      <c r="F509">
        <v>45016.231487848017</v>
      </c>
      <c r="G509">
        <v>10000</v>
      </c>
      <c r="H509">
        <v>381067.85930890514</v>
      </c>
      <c r="I509">
        <v>32.338734953593928</v>
      </c>
    </row>
    <row r="510" spans="1:9" x14ac:dyDescent="0.2">
      <c r="A510">
        <v>500</v>
      </c>
      <c r="B510">
        <v>1502744.872181314</v>
      </c>
      <c r="C510">
        <v>135139.89836732371</v>
      </c>
      <c r="D510">
        <v>100782.34039018709</v>
      </c>
      <c r="E510">
        <v>142023.65682653277</v>
      </c>
      <c r="F510">
        <v>45832.407011067648</v>
      </c>
      <c r="G510">
        <v>10000</v>
      </c>
      <c r="H510">
        <v>413778.30259511125</v>
      </c>
      <c r="I510">
        <v>34.523525958702407</v>
      </c>
    </row>
    <row r="511" spans="1:9" x14ac:dyDescent="0.2">
      <c r="A511">
        <v>501</v>
      </c>
      <c r="B511">
        <v>1466139.1939049934</v>
      </c>
      <c r="C511">
        <v>134143.04209631195</v>
      </c>
      <c r="D511">
        <v>86245.088745363115</v>
      </c>
      <c r="E511">
        <v>147169.26471012065</v>
      </c>
      <c r="F511">
        <v>46188.641403008354</v>
      </c>
      <c r="G511">
        <v>10000</v>
      </c>
      <c r="H511">
        <v>403746.03695480409</v>
      </c>
      <c r="I511">
        <v>45.349072966101794</v>
      </c>
    </row>
    <row r="512" spans="1:9" x14ac:dyDescent="0.2">
      <c r="A512">
        <v>502</v>
      </c>
      <c r="B512">
        <v>1160841.4036447713</v>
      </c>
      <c r="C512">
        <v>91328.589491308929</v>
      </c>
      <c r="D512">
        <v>99458.301206226388</v>
      </c>
      <c r="E512">
        <v>96600.556794756936</v>
      </c>
      <c r="F512">
        <v>42687.730855021633</v>
      </c>
      <c r="G512">
        <v>10000</v>
      </c>
      <c r="H512">
        <v>320075.17834731389</v>
      </c>
      <c r="I512">
        <v>25.7884416429551</v>
      </c>
    </row>
    <row r="513" spans="1:9" x14ac:dyDescent="0.2">
      <c r="A513">
        <v>503</v>
      </c>
      <c r="B513">
        <v>1348834.2662879182</v>
      </c>
      <c r="C513">
        <v>158271.82106013261</v>
      </c>
      <c r="D513">
        <v>99498.40214953039</v>
      </c>
      <c r="E513">
        <v>82140.230385143732</v>
      </c>
      <c r="F513">
        <v>41686.631334356105</v>
      </c>
      <c r="G513">
        <v>10000</v>
      </c>
      <c r="H513">
        <v>371597.08492916281</v>
      </c>
      <c r="I513">
        <v>31.887318605920935</v>
      </c>
    </row>
    <row r="514" spans="1:9" x14ac:dyDescent="0.2">
      <c r="A514">
        <v>504</v>
      </c>
      <c r="B514">
        <v>1342445.7134938068</v>
      </c>
      <c r="C514">
        <v>93701.6356757756</v>
      </c>
      <c r="D514">
        <v>55702.921779891192</v>
      </c>
      <c r="E514">
        <v>181851.91306699885</v>
      </c>
      <c r="F514">
        <v>48589.747827715299</v>
      </c>
      <c r="G514">
        <v>10000</v>
      </c>
      <c r="H514">
        <v>369846.21835038095</v>
      </c>
      <c r="I514">
        <v>34.392880880927024</v>
      </c>
    </row>
    <row r="515" spans="1:9" x14ac:dyDescent="0.2">
      <c r="A515">
        <v>505</v>
      </c>
      <c r="B515">
        <v>885298.24033385131</v>
      </c>
      <c r="C515">
        <v>115224.88515774749</v>
      </c>
      <c r="D515">
        <v>55820.387935489751</v>
      </c>
      <c r="E515">
        <v>44437.265830784905</v>
      </c>
      <c r="F515">
        <v>39076.426095977411</v>
      </c>
      <c r="G515">
        <v>10000</v>
      </c>
      <c r="H515">
        <v>244558.9650199996</v>
      </c>
      <c r="I515">
        <v>38.982915639235031</v>
      </c>
    </row>
    <row r="516" spans="1:9" x14ac:dyDescent="0.2">
      <c r="A516">
        <v>506</v>
      </c>
      <c r="B516">
        <v>1251002.5361935317</v>
      </c>
      <c r="C516">
        <v>124738.20282361281</v>
      </c>
      <c r="D516">
        <v>77126.535943190553</v>
      </c>
      <c r="E516">
        <v>109349.90122585051</v>
      </c>
      <c r="F516">
        <v>43570.377777174261</v>
      </c>
      <c r="G516">
        <v>10000</v>
      </c>
      <c r="H516">
        <v>344785.01776982809</v>
      </c>
      <c r="I516">
        <v>36.856469892119776</v>
      </c>
    </row>
    <row r="517" spans="1:9" x14ac:dyDescent="0.2">
      <c r="A517">
        <v>507</v>
      </c>
      <c r="B517">
        <v>1275524.0152262906</v>
      </c>
      <c r="C517">
        <v>131864.23030468894</v>
      </c>
      <c r="D517">
        <v>70138.340435435486</v>
      </c>
      <c r="E517">
        <v>115506.29024793116</v>
      </c>
      <c r="F517">
        <v>43996.589324856774</v>
      </c>
      <c r="G517">
        <v>10000</v>
      </c>
      <c r="H517">
        <v>351505.45031291235</v>
      </c>
      <c r="I517">
        <v>25.36830989645221</v>
      </c>
    </row>
    <row r="518" spans="1:9" x14ac:dyDescent="0.2">
      <c r="A518">
        <v>508</v>
      </c>
      <c r="B518">
        <v>1086168.9361997137</v>
      </c>
      <c r="C518">
        <v>135367.31968082048</v>
      </c>
      <c r="D518">
        <v>59086.655106543527</v>
      </c>
      <c r="E518">
        <v>74031.011805514368</v>
      </c>
      <c r="F518">
        <v>41125.223894227922</v>
      </c>
      <c r="G518">
        <v>10000</v>
      </c>
      <c r="H518">
        <v>299610.21048710629</v>
      </c>
      <c r="I518">
        <v>41.443061477914178</v>
      </c>
    </row>
    <row r="519" spans="1:9" x14ac:dyDescent="0.2">
      <c r="A519">
        <v>509</v>
      </c>
      <c r="B519">
        <v>1180658.9944512686</v>
      </c>
      <c r="C519">
        <v>123793.34407449963</v>
      </c>
      <c r="D519">
        <v>91112.176814070161</v>
      </c>
      <c r="E519">
        <v>79123.169899658416</v>
      </c>
      <c r="F519">
        <v>41477.757916130198</v>
      </c>
      <c r="G519">
        <v>10000</v>
      </c>
      <c r="H519">
        <v>325506.44870435836</v>
      </c>
      <c r="I519">
        <v>25.602219715729724</v>
      </c>
    </row>
    <row r="520" spans="1:9" x14ac:dyDescent="0.2">
      <c r="A520">
        <v>510</v>
      </c>
      <c r="B520">
        <v>1001011.2144850285</v>
      </c>
      <c r="C520">
        <v>81750.49804174919</v>
      </c>
      <c r="D520">
        <v>96779.878121748334</v>
      </c>
      <c r="E520">
        <v>67096.128586866107</v>
      </c>
      <c r="F520">
        <v>40645.116594475345</v>
      </c>
      <c r="G520">
        <v>10000</v>
      </c>
      <c r="H520">
        <v>276271.62134483899</v>
      </c>
      <c r="I520">
        <v>39.927885437715062</v>
      </c>
    </row>
    <row r="521" spans="1:9" x14ac:dyDescent="0.2">
      <c r="A521">
        <v>511</v>
      </c>
      <c r="B521">
        <v>1232233.0480601699</v>
      </c>
      <c r="C521">
        <v>108407.53639471089</v>
      </c>
      <c r="D521">
        <v>131117.26850568072</v>
      </c>
      <c r="E521">
        <v>69317.298858407259</v>
      </c>
      <c r="F521">
        <v>40798.889920966656</v>
      </c>
      <c r="G521">
        <v>10000</v>
      </c>
      <c r="H521">
        <v>339640.9936797655</v>
      </c>
      <c r="I521">
        <v>35.429457177621963</v>
      </c>
    </row>
    <row r="522" spans="1:9" x14ac:dyDescent="0.2">
      <c r="A522">
        <v>512</v>
      </c>
      <c r="B522">
        <v>1514078.4257069847</v>
      </c>
      <c r="C522">
        <v>162070.39969237926</v>
      </c>
      <c r="D522">
        <v>149288.51942891511</v>
      </c>
      <c r="E522">
        <v>74376.359685507705</v>
      </c>
      <c r="F522">
        <v>41149.13259361207</v>
      </c>
      <c r="G522">
        <v>10000</v>
      </c>
      <c r="H522">
        <v>416884.41140041419</v>
      </c>
      <c r="I522">
        <v>27.885060853218022</v>
      </c>
    </row>
    <row r="523" spans="1:9" x14ac:dyDescent="0.2">
      <c r="A523">
        <v>513</v>
      </c>
      <c r="B523">
        <v>1355797.3618087992</v>
      </c>
      <c r="C523">
        <v>133691.60537718085</v>
      </c>
      <c r="D523">
        <v>118150.57086101794</v>
      </c>
      <c r="E523">
        <v>89469.213740403226</v>
      </c>
      <c r="F523">
        <v>42194.022489720228</v>
      </c>
      <c r="G523">
        <v>10000</v>
      </c>
      <c r="H523">
        <v>373505.4124683222</v>
      </c>
      <c r="I523">
        <v>35.593157071381199</v>
      </c>
    </row>
    <row r="524" spans="1:9" x14ac:dyDescent="0.2">
      <c r="A524">
        <v>514</v>
      </c>
      <c r="B524">
        <v>900127.57460766414</v>
      </c>
      <c r="C524">
        <v>86736.796221983343</v>
      </c>
      <c r="D524">
        <v>82771.421269500846</v>
      </c>
      <c r="E524">
        <v>49675.82524615524</v>
      </c>
      <c r="F524">
        <v>39439.095593964594</v>
      </c>
      <c r="G524">
        <v>10000</v>
      </c>
      <c r="H524">
        <v>248623.13833160402</v>
      </c>
      <c r="I524">
        <v>28.144259971521372</v>
      </c>
    </row>
    <row r="525" spans="1:9" x14ac:dyDescent="0.2">
      <c r="A525">
        <v>515</v>
      </c>
      <c r="B525">
        <v>1587468.6718510967</v>
      </c>
      <c r="C525">
        <v>126591.3687040013</v>
      </c>
      <c r="D525">
        <v>100584.48296491917</v>
      </c>
      <c r="E525">
        <v>171919.96651969195</v>
      </c>
      <c r="F525">
        <v>47902.151528286369</v>
      </c>
      <c r="G525">
        <v>10000</v>
      </c>
      <c r="H525">
        <v>436997.96971689886</v>
      </c>
      <c r="I525">
        <v>30.079121796409005</v>
      </c>
    </row>
    <row r="526" spans="1:9" x14ac:dyDescent="0.2">
      <c r="A526">
        <v>516</v>
      </c>
      <c r="B526">
        <v>1662008.5149801907</v>
      </c>
      <c r="C526">
        <v>98667.895134421517</v>
      </c>
      <c r="D526">
        <v>153488.13737553832</v>
      </c>
      <c r="E526">
        <v>167663.11145819625</v>
      </c>
      <c r="F526">
        <v>47607.446177875121</v>
      </c>
      <c r="G526">
        <v>10000</v>
      </c>
      <c r="H526">
        <v>457426.59014603117</v>
      </c>
      <c r="I526">
        <v>45.435386647376475</v>
      </c>
    </row>
    <row r="527" spans="1:9" x14ac:dyDescent="0.2">
      <c r="A527">
        <v>517</v>
      </c>
      <c r="B527">
        <v>1546193.4861875044</v>
      </c>
      <c r="C527">
        <v>117737.5927597671</v>
      </c>
      <c r="D527">
        <v>107652.52880697735</v>
      </c>
      <c r="E527">
        <v>163010.50050073874</v>
      </c>
      <c r="F527">
        <v>47285.342342358832</v>
      </c>
      <c r="G527">
        <v>10000</v>
      </c>
      <c r="H527">
        <v>425685.96440984204</v>
      </c>
      <c r="I527">
        <v>43.543121027360499</v>
      </c>
    </row>
    <row r="528" spans="1:9" x14ac:dyDescent="0.2">
      <c r="A528">
        <v>518</v>
      </c>
      <c r="B528">
        <v>1947136.2120995403</v>
      </c>
      <c r="C528">
        <v>127573.21311854255</v>
      </c>
      <c r="D528">
        <v>162083.52307643709</v>
      </c>
      <c r="E528">
        <v>205673.87382373906</v>
      </c>
      <c r="F528">
        <v>50238.960495489628</v>
      </c>
      <c r="G528">
        <v>10000</v>
      </c>
      <c r="H528">
        <v>535569.57051420829</v>
      </c>
      <c r="I528">
        <v>47.627304269391686</v>
      </c>
    </row>
    <row r="529" spans="1:9" x14ac:dyDescent="0.2">
      <c r="A529">
        <v>519</v>
      </c>
      <c r="B529">
        <v>1133422.7443219463</v>
      </c>
      <c r="C529">
        <v>107432.21542260483</v>
      </c>
      <c r="D529">
        <v>69383.38778488517</v>
      </c>
      <c r="E529">
        <v>102639.33244847873</v>
      </c>
      <c r="F529">
        <v>43105.799938740842</v>
      </c>
      <c r="G529">
        <v>10000</v>
      </c>
      <c r="H529">
        <v>312560.73559470958</v>
      </c>
      <c r="I529">
        <v>44.030274082147002</v>
      </c>
    </row>
    <row r="530" spans="1:9" x14ac:dyDescent="0.2">
      <c r="A530">
        <v>520</v>
      </c>
      <c r="B530">
        <v>1478831.5567031691</v>
      </c>
      <c r="C530">
        <v>93088.365365997321</v>
      </c>
      <c r="D530">
        <v>74414.02302342873</v>
      </c>
      <c r="E530">
        <v>199884.03158750787</v>
      </c>
      <c r="F530">
        <v>49838.125263750546</v>
      </c>
      <c r="G530">
        <v>10000</v>
      </c>
      <c r="H530">
        <v>407224.54524068447</v>
      </c>
      <c r="I530">
        <v>36.993613508891301</v>
      </c>
    </row>
    <row r="531" spans="1:9" x14ac:dyDescent="0.2">
      <c r="A531">
        <v>521</v>
      </c>
      <c r="B531">
        <v>1294184.548690429</v>
      </c>
      <c r="C531">
        <v>148768.90957802808</v>
      </c>
      <c r="D531">
        <v>96232.348284368665</v>
      </c>
      <c r="E531">
        <v>80074.72151951243</v>
      </c>
      <c r="F531">
        <v>41543.634566735476</v>
      </c>
      <c r="G531">
        <v>10000</v>
      </c>
      <c r="H531">
        <v>356619.61394864466</v>
      </c>
      <c r="I531">
        <v>36.761427571498317</v>
      </c>
    </row>
    <row r="532" spans="1:9" x14ac:dyDescent="0.2">
      <c r="A532">
        <v>522</v>
      </c>
      <c r="B532">
        <v>1602417.5898996114</v>
      </c>
      <c r="C532">
        <v>150799.88121093766</v>
      </c>
      <c r="D532">
        <v>72455.060809010029</v>
      </c>
      <c r="E532">
        <v>179418.68119497772</v>
      </c>
      <c r="F532">
        <v>48421.293313498456</v>
      </c>
      <c r="G532">
        <v>10000</v>
      </c>
      <c r="H532">
        <v>441094.91652842384</v>
      </c>
      <c r="I532">
        <v>27.301065958306651</v>
      </c>
    </row>
    <row r="533" spans="1:9" x14ac:dyDescent="0.2">
      <c r="A533">
        <v>523</v>
      </c>
      <c r="B533">
        <v>1399615.3420326211</v>
      </c>
      <c r="C533">
        <v>100304.05497010026</v>
      </c>
      <c r="D533">
        <v>107676.55053906409</v>
      </c>
      <c r="E533">
        <v>141722.16399392043</v>
      </c>
      <c r="F533">
        <v>45811.534430348336</v>
      </c>
      <c r="G533">
        <v>10000</v>
      </c>
      <c r="H533">
        <v>385514.30393343308</v>
      </c>
      <c r="I533">
        <v>52.112186227034364</v>
      </c>
    </row>
    <row r="534" spans="1:9" x14ac:dyDescent="0.2">
      <c r="A534">
        <v>524</v>
      </c>
      <c r="B534">
        <v>1208945.0172760691</v>
      </c>
      <c r="C534">
        <v>146335.57685998274</v>
      </c>
      <c r="D534">
        <v>40740.361996826745</v>
      </c>
      <c r="E534">
        <v>112401.05353139505</v>
      </c>
      <c r="F534">
        <v>43781.611398327346</v>
      </c>
      <c r="G534">
        <v>10000</v>
      </c>
      <c r="H534">
        <v>333258.60378653189</v>
      </c>
      <c r="I534">
        <v>34.134647521481952</v>
      </c>
    </row>
    <row r="535" spans="1:9" x14ac:dyDescent="0.2">
      <c r="A535">
        <v>525</v>
      </c>
      <c r="B535">
        <v>1704065.1147324073</v>
      </c>
      <c r="C535">
        <v>133801.33086975728</v>
      </c>
      <c r="D535">
        <v>164674.6215902413</v>
      </c>
      <c r="E535">
        <v>135122.18682594865</v>
      </c>
      <c r="F535">
        <v>45354.612934104138</v>
      </c>
      <c r="G535">
        <v>10000</v>
      </c>
      <c r="H535">
        <v>468952.75222005136</v>
      </c>
      <c r="I535">
        <v>33.241585022891485</v>
      </c>
    </row>
    <row r="536" spans="1:9" x14ac:dyDescent="0.2">
      <c r="A536">
        <v>526</v>
      </c>
      <c r="B536">
        <v>819119.2350332468</v>
      </c>
      <c r="C536">
        <v>85598.010480038254</v>
      </c>
      <c r="D536">
        <v>82995.662177318809</v>
      </c>
      <c r="E536">
        <v>29767.258834508029</v>
      </c>
      <c r="F536">
        <v>38060.810227004404</v>
      </c>
      <c r="G536">
        <v>10000</v>
      </c>
      <c r="H536">
        <v>226421.74171886948</v>
      </c>
      <c r="I536">
        <v>29.910811088618388</v>
      </c>
    </row>
    <row r="537" spans="1:9" x14ac:dyDescent="0.2">
      <c r="A537">
        <v>527</v>
      </c>
      <c r="B537">
        <v>1512632.1120413195</v>
      </c>
      <c r="C537">
        <v>117746.51140578976</v>
      </c>
      <c r="D537">
        <v>107599.68252310375</v>
      </c>
      <c r="E537">
        <v>154449.19938523535</v>
      </c>
      <c r="F537">
        <v>46692.636880516293</v>
      </c>
      <c r="G537">
        <v>10000</v>
      </c>
      <c r="H537">
        <v>416488.03019464517</v>
      </c>
      <c r="I537">
        <v>36.292009864778819</v>
      </c>
    </row>
    <row r="538" spans="1:9" x14ac:dyDescent="0.2">
      <c r="A538">
        <v>528</v>
      </c>
      <c r="B538">
        <v>1067706.8271261984</v>
      </c>
      <c r="C538">
        <v>136460.0187955726</v>
      </c>
      <c r="D538">
        <v>59856.834909564866</v>
      </c>
      <c r="E538">
        <v>67556.579952963322</v>
      </c>
      <c r="F538">
        <v>40676.993996743615</v>
      </c>
      <c r="G538">
        <v>10000</v>
      </c>
      <c r="H538">
        <v>294550.42765484442</v>
      </c>
      <c r="I538">
        <v>30.053005624057665</v>
      </c>
    </row>
    <row r="539" spans="1:9" x14ac:dyDescent="0.2">
      <c r="A539">
        <v>529</v>
      </c>
      <c r="B539">
        <v>1179887.205282812</v>
      </c>
      <c r="C539">
        <v>86395.660456800513</v>
      </c>
      <c r="D539">
        <v>73636.409134778922</v>
      </c>
      <c r="E539">
        <v>130245.84045730023</v>
      </c>
      <c r="F539">
        <v>45017.019723966936</v>
      </c>
      <c r="G539">
        <v>10000</v>
      </c>
      <c r="H539">
        <v>325294.92977284663</v>
      </c>
      <c r="I539">
        <v>39.116869546686218</v>
      </c>
    </row>
    <row r="540" spans="1:9" x14ac:dyDescent="0.2">
      <c r="A540">
        <v>530</v>
      </c>
      <c r="B540">
        <v>1420468.9855333953</v>
      </c>
      <c r="C540">
        <v>125393.53112947836</v>
      </c>
      <c r="D540">
        <v>48154.299196040221</v>
      </c>
      <c r="E540">
        <v>179270.64324503948</v>
      </c>
      <c r="F540">
        <v>48411.044532348882</v>
      </c>
      <c r="G540">
        <v>10000</v>
      </c>
      <c r="H540">
        <v>391229.51810290694</v>
      </c>
      <c r="I540">
        <v>30.906650796955468</v>
      </c>
    </row>
    <row r="541" spans="1:9" x14ac:dyDescent="0.2">
      <c r="A541">
        <v>531</v>
      </c>
      <c r="B541">
        <v>1178926.9035935951</v>
      </c>
      <c r="C541">
        <v>84365.748381767204</v>
      </c>
      <c r="D541">
        <v>95524.249858700263</v>
      </c>
      <c r="E541">
        <v>111427.53435807406</v>
      </c>
      <c r="F541">
        <v>43714.213917097433</v>
      </c>
      <c r="G541">
        <v>10000</v>
      </c>
      <c r="H541">
        <v>325031.74651563895</v>
      </c>
      <c r="I541">
        <v>26.071190359805854</v>
      </c>
    </row>
    <row r="542" spans="1:9" x14ac:dyDescent="0.2">
      <c r="A542">
        <v>532</v>
      </c>
      <c r="B542">
        <v>1416980.0338004292</v>
      </c>
      <c r="C542">
        <v>89728.52979475967</v>
      </c>
      <c r="D542">
        <v>68973.327544024505</v>
      </c>
      <c r="E542">
        <v>192261.08502917364</v>
      </c>
      <c r="F542">
        <v>49310.38280971202</v>
      </c>
      <c r="G542">
        <v>10000</v>
      </c>
      <c r="H542">
        <v>390273.32517766982</v>
      </c>
      <c r="I542">
        <v>34.670218239944504</v>
      </c>
    </row>
    <row r="543" spans="1:9" x14ac:dyDescent="0.2">
      <c r="A543">
        <v>533</v>
      </c>
      <c r="B543">
        <v>734693.61883000436</v>
      </c>
      <c r="C543">
        <v>81786.431684819356</v>
      </c>
      <c r="D543">
        <v>43206.071048598467</v>
      </c>
      <c r="E543">
        <v>48905.525779325457</v>
      </c>
      <c r="F543">
        <v>39385.767169337916</v>
      </c>
      <c r="G543">
        <v>10000</v>
      </c>
      <c r="H543">
        <v>203283.7956820812</v>
      </c>
      <c r="I543">
        <v>32.691568443326652</v>
      </c>
    </row>
    <row r="544" spans="1:9" x14ac:dyDescent="0.2">
      <c r="A544">
        <v>534</v>
      </c>
      <c r="B544">
        <v>952984.15467373456</v>
      </c>
      <c r="C544">
        <v>104591.94341088703</v>
      </c>
      <c r="D544">
        <v>34126.020981700254</v>
      </c>
      <c r="E544">
        <v>92020.558069977749</v>
      </c>
      <c r="F544">
        <v>42370.654020229224</v>
      </c>
      <c r="G544">
        <v>10000</v>
      </c>
      <c r="H544">
        <v>263109.17648279428</v>
      </c>
      <c r="I544">
        <v>36.879942510096967</v>
      </c>
    </row>
    <row r="545" spans="1:9" x14ac:dyDescent="0.2">
      <c r="A545">
        <v>535</v>
      </c>
      <c r="B545">
        <v>1139306.2401714185</v>
      </c>
      <c r="C545">
        <v>99538.916196921753</v>
      </c>
      <c r="D545">
        <v>96044.040832475264</v>
      </c>
      <c r="E545">
        <v>86595.176959915203</v>
      </c>
      <c r="F545">
        <v>41995.050712609511</v>
      </c>
      <c r="G545">
        <v>10000</v>
      </c>
      <c r="H545">
        <v>314173.18470192171</v>
      </c>
      <c r="I545">
        <v>35.355690120070086</v>
      </c>
    </row>
    <row r="546" spans="1:9" x14ac:dyDescent="0.2">
      <c r="A546">
        <v>536</v>
      </c>
      <c r="B546">
        <v>1472650.1036050997</v>
      </c>
      <c r="C546">
        <v>132726.19326928773</v>
      </c>
      <c r="D546">
        <v>60146.401745499839</v>
      </c>
      <c r="E546">
        <v>174572.08247566811</v>
      </c>
      <c r="F546">
        <v>48085.75955600779</v>
      </c>
      <c r="G546">
        <v>10000</v>
      </c>
      <c r="H546">
        <v>405530.43704646348</v>
      </c>
      <c r="I546">
        <v>39.6978985658493</v>
      </c>
    </row>
    <row r="547" spans="1:9" x14ac:dyDescent="0.2">
      <c r="A547">
        <v>537</v>
      </c>
      <c r="B547">
        <v>1206933.7985431422</v>
      </c>
      <c r="C547">
        <v>155859.81678317901</v>
      </c>
      <c r="D547">
        <v>53857.461560932483</v>
      </c>
      <c r="E547">
        <v>90710.188477727468</v>
      </c>
      <c r="F547">
        <v>42279.936125381129</v>
      </c>
      <c r="G547">
        <v>10000</v>
      </c>
      <c r="H547">
        <v>332707.40294722014</v>
      </c>
      <c r="I547">
        <v>34.093668370047318</v>
      </c>
    </row>
    <row r="548" spans="1:9" x14ac:dyDescent="0.2">
      <c r="A548">
        <v>538</v>
      </c>
      <c r="B548">
        <v>1197244.5451226749</v>
      </c>
      <c r="C548">
        <v>93638.289380988092</v>
      </c>
      <c r="D548">
        <v>130281.14964622835</v>
      </c>
      <c r="E548">
        <v>74944.062033828071</v>
      </c>
      <c r="F548">
        <v>41188.43506388041</v>
      </c>
      <c r="G548">
        <v>10000</v>
      </c>
      <c r="H548">
        <v>330051.93612492492</v>
      </c>
      <c r="I548">
        <v>40.937173157437989</v>
      </c>
    </row>
    <row r="549" spans="1:9" x14ac:dyDescent="0.2">
      <c r="A549">
        <v>539</v>
      </c>
      <c r="B549">
        <v>1407068.3943455191</v>
      </c>
      <c r="C549">
        <v>91268.384481807429</v>
      </c>
      <c r="D549">
        <v>95142.212889438932</v>
      </c>
      <c r="E549">
        <v>163805.90441134881</v>
      </c>
      <c r="F549">
        <v>47340.40876693953</v>
      </c>
      <c r="G549">
        <v>10000</v>
      </c>
      <c r="H549">
        <v>387556.91054953472</v>
      </c>
      <c r="I549">
        <v>39.143315710790411</v>
      </c>
    </row>
    <row r="550" spans="1:9" x14ac:dyDescent="0.2">
      <c r="A550">
        <v>540</v>
      </c>
      <c r="B550">
        <v>1090151.8347714213</v>
      </c>
      <c r="C550">
        <v>105705.89120685203</v>
      </c>
      <c r="D550">
        <v>43627.09429384127</v>
      </c>
      <c r="E550">
        <v>117251.38681087282</v>
      </c>
      <c r="F550">
        <v>44117.403702291202</v>
      </c>
      <c r="G550">
        <v>10000</v>
      </c>
      <c r="H550">
        <v>300701.77601385734</v>
      </c>
      <c r="I550">
        <v>35.76586329214382</v>
      </c>
    </row>
    <row r="551" spans="1:9" x14ac:dyDescent="0.2">
      <c r="A551">
        <v>541</v>
      </c>
      <c r="B551">
        <v>1361036.1669440395</v>
      </c>
      <c r="C551">
        <v>101061.38787953052</v>
      </c>
      <c r="D551">
        <v>144275.50289386936</v>
      </c>
      <c r="E551">
        <v>96896.093760413452</v>
      </c>
      <c r="F551">
        <v>42708.191106490165</v>
      </c>
      <c r="G551">
        <v>10000</v>
      </c>
      <c r="H551">
        <v>374941.17564030347</v>
      </c>
      <c r="I551">
        <v>45.410092311329791</v>
      </c>
    </row>
    <row r="552" spans="1:9" x14ac:dyDescent="0.2">
      <c r="A552">
        <v>542</v>
      </c>
      <c r="B552">
        <v>1118640.2082052811</v>
      </c>
      <c r="C552">
        <v>101614.94192190722</v>
      </c>
      <c r="D552">
        <v>63463.847704784181</v>
      </c>
      <c r="E552">
        <v>109827.178270305</v>
      </c>
      <c r="F552">
        <v>43603.420034098039</v>
      </c>
      <c r="G552">
        <v>10000</v>
      </c>
      <c r="H552">
        <v>308509.38793109445</v>
      </c>
      <c r="I552">
        <v>30.577775534860336</v>
      </c>
    </row>
    <row r="553" spans="1:9" x14ac:dyDescent="0.2">
      <c r="A553">
        <v>543</v>
      </c>
      <c r="B553">
        <v>1419098.2540936677</v>
      </c>
      <c r="C553">
        <v>161599.9042846915</v>
      </c>
      <c r="D553">
        <v>90273.165915911173</v>
      </c>
      <c r="E553">
        <v>105665.47862900424</v>
      </c>
      <c r="F553">
        <v>43315.302366623371</v>
      </c>
      <c r="G553">
        <v>10000</v>
      </c>
      <c r="H553">
        <v>390853.85119623027</v>
      </c>
      <c r="I553">
        <v>39.192474657517209</v>
      </c>
    </row>
    <row r="554" spans="1:9" x14ac:dyDescent="0.2">
      <c r="A554">
        <v>544</v>
      </c>
      <c r="B554">
        <v>1198257.1897483629</v>
      </c>
      <c r="C554">
        <v>118134.39506443127</v>
      </c>
      <c r="D554">
        <v>115086.40157300685</v>
      </c>
      <c r="E554">
        <v>66504.509651595072</v>
      </c>
      <c r="F554">
        <v>40604.15836049505</v>
      </c>
      <c r="G554">
        <v>10000</v>
      </c>
      <c r="H554">
        <v>330329.46464952826</v>
      </c>
      <c r="I554">
        <v>38.389371316772433</v>
      </c>
    </row>
    <row r="555" spans="1:9" x14ac:dyDescent="0.2">
      <c r="A555">
        <v>545</v>
      </c>
      <c r="B555">
        <v>1425837.3471463339</v>
      </c>
      <c r="C555">
        <v>134106.08873078227</v>
      </c>
      <c r="D555">
        <v>87800.821853896079</v>
      </c>
      <c r="E555">
        <v>135418.73420289825</v>
      </c>
      <c r="F555">
        <v>45375.143137123727</v>
      </c>
      <c r="G555">
        <v>10000</v>
      </c>
      <c r="H555">
        <v>392700.78792470036</v>
      </c>
      <c r="I555">
        <v>33.685767721546441</v>
      </c>
    </row>
    <row r="556" spans="1:9" x14ac:dyDescent="0.2">
      <c r="A556">
        <v>546</v>
      </c>
      <c r="B556">
        <v>1185005.4168077575</v>
      </c>
      <c r="C556">
        <v>161721.95413574818</v>
      </c>
      <c r="D556">
        <v>54549.834122392887</v>
      </c>
      <c r="E556">
        <v>78959.432198936731</v>
      </c>
      <c r="F556">
        <v>41466.422229157157</v>
      </c>
      <c r="G556">
        <v>10000</v>
      </c>
      <c r="H556">
        <v>326697.64268623502</v>
      </c>
      <c r="I556">
        <v>34.915180082597715</v>
      </c>
    </row>
    <row r="557" spans="1:9" x14ac:dyDescent="0.2">
      <c r="A557">
        <v>547</v>
      </c>
      <c r="B557">
        <v>1340078.0678262666</v>
      </c>
      <c r="C557">
        <v>131843.77394250053</v>
      </c>
      <c r="D557">
        <v>87611.053786267978</v>
      </c>
      <c r="E557">
        <v>115730.40158669463</v>
      </c>
      <c r="F557">
        <v>44012.104725232704</v>
      </c>
      <c r="G557">
        <v>10000</v>
      </c>
      <c r="H557">
        <v>369197.33404069586</v>
      </c>
      <c r="I557">
        <v>25.787504847650844</v>
      </c>
    </row>
    <row r="558" spans="1:9" x14ac:dyDescent="0.2">
      <c r="A558">
        <v>548</v>
      </c>
      <c r="B558">
        <v>1359509.5700498121</v>
      </c>
      <c r="C558">
        <v>88478.410346238728</v>
      </c>
      <c r="D558">
        <v>75646.860345523368</v>
      </c>
      <c r="E558">
        <v>172458.11323311526</v>
      </c>
      <c r="F558">
        <v>47939.407839215666</v>
      </c>
      <c r="G558">
        <v>10000</v>
      </c>
      <c r="H558">
        <v>374522.79176409304</v>
      </c>
      <c r="I558">
        <v>39.795708667103092</v>
      </c>
    </row>
    <row r="559" spans="1:9" x14ac:dyDescent="0.2">
      <c r="A559">
        <v>549</v>
      </c>
      <c r="B559">
        <v>1461212.5591760676</v>
      </c>
      <c r="C559">
        <v>138103.54675160689</v>
      </c>
      <c r="D559">
        <v>82070.14315379069</v>
      </c>
      <c r="E559">
        <v>146107.03578880255</v>
      </c>
      <c r="F559">
        <v>46115.102477686327</v>
      </c>
      <c r="G559">
        <v>10000</v>
      </c>
      <c r="H559">
        <v>402395.82817188645</v>
      </c>
      <c r="I559">
        <v>26.220113417083855</v>
      </c>
    </row>
    <row r="560" spans="1:9" x14ac:dyDescent="0.2">
      <c r="A560">
        <v>550</v>
      </c>
      <c r="B560">
        <v>1144867.1443401896</v>
      </c>
      <c r="C560">
        <v>106691.08056358076</v>
      </c>
      <c r="D560">
        <v>99765.130829628717</v>
      </c>
      <c r="E560">
        <v>77851.306131032383</v>
      </c>
      <c r="F560">
        <v>41389.705809071471</v>
      </c>
      <c r="G560">
        <v>10000</v>
      </c>
      <c r="H560">
        <v>315697.2233333133</v>
      </c>
      <c r="I560">
        <v>34.749471893064722</v>
      </c>
    </row>
    <row r="561" spans="1:9" x14ac:dyDescent="0.2">
      <c r="A561">
        <v>551</v>
      </c>
      <c r="B561">
        <v>1341174.9534590379</v>
      </c>
      <c r="C561">
        <v>146545.33740740278</v>
      </c>
      <c r="D561">
        <v>135495.23041935574</v>
      </c>
      <c r="E561">
        <v>57478.127134560396</v>
      </c>
      <c r="F561">
        <v>39979.254955469565</v>
      </c>
      <c r="G561">
        <v>10000</v>
      </c>
      <c r="H561">
        <v>369497.94991678844</v>
      </c>
      <c r="I561">
        <v>34.934633944330628</v>
      </c>
    </row>
    <row r="562" spans="1:9" x14ac:dyDescent="0.2">
      <c r="A562">
        <v>552</v>
      </c>
      <c r="B562">
        <v>1666083.2096031727</v>
      </c>
      <c r="C562">
        <v>102779.83396722903</v>
      </c>
      <c r="D562">
        <v>157411.19305737579</v>
      </c>
      <c r="E562">
        <v>161192.78598995743</v>
      </c>
      <c r="F562">
        <v>47159.500568535514</v>
      </c>
      <c r="G562">
        <v>10000</v>
      </c>
      <c r="H562">
        <v>458543.31358309777</v>
      </c>
      <c r="I562">
        <v>29.992171691003108</v>
      </c>
    </row>
    <row r="563" spans="1:9" x14ac:dyDescent="0.2">
      <c r="A563">
        <v>553</v>
      </c>
      <c r="B563">
        <v>1210744.1595228135</v>
      </c>
      <c r="C563">
        <v>123375.18518714467</v>
      </c>
      <c r="D563">
        <v>93912.229934866235</v>
      </c>
      <c r="E563">
        <v>84606.868571340805</v>
      </c>
      <c r="F563">
        <v>41857.398593400518</v>
      </c>
      <c r="G563">
        <v>10000</v>
      </c>
      <c r="H563">
        <v>333751.68228675227</v>
      </c>
      <c r="I563">
        <v>28.635541159442557</v>
      </c>
    </row>
    <row r="564" spans="1:9" x14ac:dyDescent="0.2">
      <c r="A564">
        <v>554</v>
      </c>
      <c r="B564">
        <v>1418685.9132998064</v>
      </c>
      <c r="C564">
        <v>139073.01160025172</v>
      </c>
      <c r="D564">
        <v>112584.4989365434</v>
      </c>
      <c r="E564">
        <v>105761.39082198088</v>
      </c>
      <c r="F564">
        <v>43321.942441521751</v>
      </c>
      <c r="G564">
        <v>10000</v>
      </c>
      <c r="H564">
        <v>390740.84380029776</v>
      </c>
      <c r="I564">
        <v>34.862614680051223</v>
      </c>
    </row>
    <row r="565" spans="1:9" x14ac:dyDescent="0.2">
      <c r="A565">
        <v>555</v>
      </c>
      <c r="B565">
        <v>1474886.9538764402</v>
      </c>
      <c r="C565">
        <v>144797.49029781017</v>
      </c>
      <c r="D565">
        <v>90780.897189944008</v>
      </c>
      <c r="E565">
        <v>135204.75825881978</v>
      </c>
      <c r="F565">
        <v>45360.329417918292</v>
      </c>
      <c r="G565">
        <v>10000</v>
      </c>
      <c r="H565">
        <v>406143.47516449221</v>
      </c>
      <c r="I565">
        <v>33.364949414338902</v>
      </c>
    </row>
    <row r="566" spans="1:9" x14ac:dyDescent="0.2">
      <c r="A566">
        <v>556</v>
      </c>
      <c r="B566">
        <v>861541.88967920188</v>
      </c>
      <c r="C566">
        <v>108081.08800761313</v>
      </c>
      <c r="D566">
        <v>55628.869579240119</v>
      </c>
      <c r="E566">
        <v>45208.452408737983</v>
      </c>
      <c r="F566">
        <v>39129.815935989551</v>
      </c>
      <c r="G566">
        <v>10000</v>
      </c>
      <c r="H566">
        <v>238048.22593158076</v>
      </c>
      <c r="I566">
        <v>35.230703437566248</v>
      </c>
    </row>
    <row r="567" spans="1:9" x14ac:dyDescent="0.2">
      <c r="A567">
        <v>557</v>
      </c>
      <c r="B567">
        <v>1063650.6442660724</v>
      </c>
      <c r="C567">
        <v>107271.50010908264</v>
      </c>
      <c r="D567">
        <v>83273.093791061634</v>
      </c>
      <c r="E567">
        <v>71915.423612486251</v>
      </c>
      <c r="F567">
        <v>40978.760096249047</v>
      </c>
      <c r="G567">
        <v>10000</v>
      </c>
      <c r="H567">
        <v>293438.77760887961</v>
      </c>
      <c r="I567">
        <v>36.008901382701566</v>
      </c>
    </row>
    <row r="568" spans="1:9" x14ac:dyDescent="0.2">
      <c r="A568">
        <v>558</v>
      </c>
      <c r="B568">
        <v>831506.70237598079</v>
      </c>
      <c r="C568">
        <v>139192.77425301226</v>
      </c>
      <c r="D568">
        <v>31487.862907988303</v>
      </c>
      <c r="E568">
        <v>30990.552464280401</v>
      </c>
      <c r="F568">
        <v>38145.499785988643</v>
      </c>
      <c r="G568">
        <v>10000</v>
      </c>
      <c r="H568">
        <v>229816.68941126962</v>
      </c>
      <c r="I568">
        <v>42.160581673495443</v>
      </c>
    </row>
    <row r="569" spans="1:9" x14ac:dyDescent="0.2">
      <c r="A569">
        <v>559</v>
      </c>
      <c r="B569">
        <v>943426.94500945054</v>
      </c>
      <c r="C569">
        <v>105192.26849827508</v>
      </c>
      <c r="D569">
        <v>99633.596005855317</v>
      </c>
      <c r="E569">
        <v>27743.34066234573</v>
      </c>
      <c r="F569">
        <v>37920.692815085473</v>
      </c>
      <c r="G569">
        <v>10000</v>
      </c>
      <c r="H569">
        <v>260489.8979815616</v>
      </c>
      <c r="I569">
        <v>32.128755157201084</v>
      </c>
    </row>
    <row r="570" spans="1:9" x14ac:dyDescent="0.2">
      <c r="A570">
        <v>560</v>
      </c>
      <c r="B570">
        <v>1516428.408915095</v>
      </c>
      <c r="C570">
        <v>151680.4951976114</v>
      </c>
      <c r="D570">
        <v>96783.661553260768</v>
      </c>
      <c r="E570">
        <v>133801.14232382079</v>
      </c>
      <c r="F570">
        <v>45263.156007033751</v>
      </c>
      <c r="G570">
        <v>10000</v>
      </c>
      <c r="H570">
        <v>417528.45508172672</v>
      </c>
      <c r="I570">
        <v>33.686361253964456</v>
      </c>
    </row>
    <row r="571" spans="1:9" x14ac:dyDescent="0.2">
      <c r="A571">
        <v>561</v>
      </c>
      <c r="B571">
        <v>1496002.6615324237</v>
      </c>
      <c r="C571">
        <v>111375.7890880582</v>
      </c>
      <c r="D571">
        <v>70204.270884599362</v>
      </c>
      <c r="E571">
        <v>191119.12727961873</v>
      </c>
      <c r="F571">
        <v>49231.324196281297</v>
      </c>
      <c r="G571">
        <v>10000</v>
      </c>
      <c r="H571">
        <v>411930.51144855761</v>
      </c>
      <c r="I571">
        <v>39.745451250481295</v>
      </c>
    </row>
    <row r="572" spans="1:9" x14ac:dyDescent="0.2">
      <c r="A572">
        <v>562</v>
      </c>
      <c r="B572">
        <v>1167927.6345290025</v>
      </c>
      <c r="C572">
        <v>140635.87507064978</v>
      </c>
      <c r="D572">
        <v>47994.561058309373</v>
      </c>
      <c r="E572">
        <v>100433.71338264398</v>
      </c>
      <c r="F572">
        <v>42953.103234183043</v>
      </c>
      <c r="G572">
        <v>10000</v>
      </c>
      <c r="H572">
        <v>322017.25274578616</v>
      </c>
      <c r="I572">
        <v>33.966359068627625</v>
      </c>
    </row>
    <row r="573" spans="1:9" x14ac:dyDescent="0.2">
      <c r="A573">
        <v>563</v>
      </c>
      <c r="B573">
        <v>1224648.9286975714</v>
      </c>
      <c r="C573">
        <v>108347.12947150924</v>
      </c>
      <c r="D573">
        <v>68600.664839053716</v>
      </c>
      <c r="E573">
        <v>125898.61420476076</v>
      </c>
      <c r="F573">
        <v>44716.057906483431</v>
      </c>
      <c r="G573">
        <v>10000</v>
      </c>
      <c r="H573">
        <v>337562.46642180713</v>
      </c>
      <c r="I573">
        <v>46.462303527853109</v>
      </c>
    </row>
    <row r="574" spans="1:9" x14ac:dyDescent="0.2">
      <c r="A574">
        <v>564</v>
      </c>
      <c r="B574">
        <v>1832724.6819446017</v>
      </c>
      <c r="C574">
        <v>160101.17071736671</v>
      </c>
      <c r="D574">
        <v>114965.68937167892</v>
      </c>
      <c r="E574">
        <v>189993.34635837664</v>
      </c>
      <c r="F574">
        <v>49153.385517118382</v>
      </c>
      <c r="G574">
        <v>10000</v>
      </c>
      <c r="H574">
        <v>504213.59196454065</v>
      </c>
      <c r="I574">
        <v>29.304835517149115</v>
      </c>
    </row>
    <row r="575" spans="1:9" x14ac:dyDescent="0.2">
      <c r="A575">
        <v>565</v>
      </c>
      <c r="B575">
        <v>1383802.8058840702</v>
      </c>
      <c r="C575">
        <v>157543.60391573128</v>
      </c>
      <c r="D575">
        <v>71606.488395993991</v>
      </c>
      <c r="E575">
        <v>117870.32564330973</v>
      </c>
      <c r="F575">
        <v>44160.2533137676</v>
      </c>
      <c r="G575">
        <v>10000</v>
      </c>
      <c r="H575">
        <v>381180.6712688026</v>
      </c>
      <c r="I575">
        <v>25.290648881696981</v>
      </c>
    </row>
    <row r="576" spans="1:9" x14ac:dyDescent="0.2">
      <c r="A576">
        <v>566</v>
      </c>
      <c r="B576">
        <v>929476.70989578241</v>
      </c>
      <c r="C576">
        <v>125685.40408029981</v>
      </c>
      <c r="D576">
        <v>51147.244053912334</v>
      </c>
      <c r="E576">
        <v>50348.350164758071</v>
      </c>
      <c r="F576">
        <v>39485.655011406328</v>
      </c>
      <c r="G576">
        <v>10000</v>
      </c>
      <c r="H576">
        <v>256666.65331037651</v>
      </c>
      <c r="I576">
        <v>36.313344530318957</v>
      </c>
    </row>
    <row r="577" spans="1:9" x14ac:dyDescent="0.2">
      <c r="A577">
        <v>567</v>
      </c>
      <c r="B577">
        <v>912642.30077405577</v>
      </c>
      <c r="C577">
        <v>89802.306007218824</v>
      </c>
      <c r="D577">
        <v>94646.546898444532</v>
      </c>
      <c r="E577">
        <v>38910.318766730226</v>
      </c>
      <c r="F577">
        <v>38693.79129923517</v>
      </c>
      <c r="G577">
        <v>10000</v>
      </c>
      <c r="H577">
        <v>252052.96297162876</v>
      </c>
      <c r="I577">
        <v>34.536195102627332</v>
      </c>
    </row>
    <row r="578" spans="1:9" x14ac:dyDescent="0.2">
      <c r="A578">
        <v>568</v>
      </c>
      <c r="B578">
        <v>913127.31142506038</v>
      </c>
      <c r="C578">
        <v>101833.88550657275</v>
      </c>
      <c r="D578">
        <v>83560.25721542204</v>
      </c>
      <c r="E578">
        <v>38150.551729059698</v>
      </c>
      <c r="F578">
        <v>38641.192042781055</v>
      </c>
      <c r="G578">
        <v>10000</v>
      </c>
      <c r="H578">
        <v>252185.88649383554</v>
      </c>
      <c r="I578">
        <v>31.466325428753912</v>
      </c>
    </row>
    <row r="579" spans="1:9" x14ac:dyDescent="0.2">
      <c r="A579">
        <v>569</v>
      </c>
      <c r="B579">
        <v>1661197.7905458766</v>
      </c>
      <c r="C579">
        <v>135064.43109600633</v>
      </c>
      <c r="D579">
        <v>110020.04396724641</v>
      </c>
      <c r="E579">
        <v>174068.99500800291</v>
      </c>
      <c r="F579">
        <v>48050.930423630969</v>
      </c>
      <c r="G579">
        <v>10000</v>
      </c>
      <c r="H579">
        <v>457204.40049488662</v>
      </c>
      <c r="I579">
        <v>27.56249869885557</v>
      </c>
    </row>
    <row r="580" spans="1:9" x14ac:dyDescent="0.2">
      <c r="A580">
        <v>570</v>
      </c>
      <c r="B580">
        <v>1457558.9040128251</v>
      </c>
      <c r="C580">
        <v>105194.31195459225</v>
      </c>
      <c r="D580">
        <v>142755.90790360671</v>
      </c>
      <c r="E580">
        <v>119192.48858463952</v>
      </c>
      <c r="F580">
        <v>44251.787671244281</v>
      </c>
      <c r="G580">
        <v>10000</v>
      </c>
      <c r="H580">
        <v>401394.49611408275</v>
      </c>
      <c r="I580">
        <v>43.132657075285429</v>
      </c>
    </row>
    <row r="581" spans="1:9" x14ac:dyDescent="0.2">
      <c r="A581">
        <v>571</v>
      </c>
      <c r="B581">
        <v>1724236.4771531979</v>
      </c>
      <c r="C581">
        <v>159027.96191416908</v>
      </c>
      <c r="D581">
        <v>111237.98199508153</v>
      </c>
      <c r="E581">
        <v>166675.93146530408</v>
      </c>
      <c r="F581">
        <v>47539.102947597974</v>
      </c>
      <c r="G581">
        <v>10000</v>
      </c>
      <c r="H581">
        <v>474480.97832215263</v>
      </c>
      <c r="I581">
        <v>49.247044952182414</v>
      </c>
    </row>
    <row r="582" spans="1:9" x14ac:dyDescent="0.2">
      <c r="A582">
        <v>572</v>
      </c>
      <c r="B582">
        <v>977306.54788140266</v>
      </c>
      <c r="C582">
        <v>141290.58172213734</v>
      </c>
      <c r="D582">
        <v>56226.331790298624</v>
      </c>
      <c r="E582">
        <v>43263.002493344975</v>
      </c>
      <c r="F582">
        <v>38995.130941846961</v>
      </c>
      <c r="G582">
        <v>10000</v>
      </c>
      <c r="H582">
        <v>269775.04694762791</v>
      </c>
      <c r="I582">
        <v>37.893577854014744</v>
      </c>
    </row>
    <row r="583" spans="1:9" x14ac:dyDescent="0.2">
      <c r="A583">
        <v>573</v>
      </c>
      <c r="B583">
        <v>1142491.2466748196</v>
      </c>
      <c r="C583">
        <v>101704.24282263017</v>
      </c>
      <c r="D583">
        <v>76184.568171224761</v>
      </c>
      <c r="E583">
        <v>103960.03338142041</v>
      </c>
      <c r="F583">
        <v>43197.233080252183</v>
      </c>
      <c r="G583">
        <v>10000</v>
      </c>
      <c r="H583">
        <v>315046.07745552756</v>
      </c>
      <c r="I583">
        <v>32.902145675084164</v>
      </c>
    </row>
    <row r="584" spans="1:9" x14ac:dyDescent="0.2">
      <c r="A584">
        <v>574</v>
      </c>
      <c r="B584">
        <v>1282143.0271318727</v>
      </c>
      <c r="C584">
        <v>151203.41630761969</v>
      </c>
      <c r="D584">
        <v>97622.419520786294</v>
      </c>
      <c r="E584">
        <v>73411.31929649724</v>
      </c>
      <c r="F584">
        <v>41082.322105142121</v>
      </c>
      <c r="G584">
        <v>10000</v>
      </c>
      <c r="H584">
        <v>353319.4772300453</v>
      </c>
      <c r="I584">
        <v>27.851392643219583</v>
      </c>
    </row>
    <row r="585" spans="1:9" x14ac:dyDescent="0.2">
      <c r="A585">
        <v>575</v>
      </c>
      <c r="B585">
        <v>1463702.022333256</v>
      </c>
      <c r="C585">
        <v>124750.13395767663</v>
      </c>
      <c r="D585">
        <v>66120.992875358555</v>
      </c>
      <c r="E585">
        <v>174150.40483848017</v>
      </c>
      <c r="F585">
        <v>48056.566488817858</v>
      </c>
      <c r="G585">
        <v>10000</v>
      </c>
      <c r="H585">
        <v>403078.09816033323</v>
      </c>
      <c r="I585">
        <v>27.31370584656117</v>
      </c>
    </row>
    <row r="586" spans="1:9" x14ac:dyDescent="0.2">
      <c r="A586">
        <v>576</v>
      </c>
      <c r="B586">
        <v>1791720.6529746046</v>
      </c>
      <c r="C586">
        <v>158481.06235161654</v>
      </c>
      <c r="D586">
        <v>117086.40550308808</v>
      </c>
      <c r="E586">
        <v>179015.08107957392</v>
      </c>
      <c r="F586">
        <v>48393.351767047425</v>
      </c>
      <c r="G586">
        <v>10000</v>
      </c>
      <c r="H586">
        <v>492975.90070132597</v>
      </c>
      <c r="I586">
        <v>36.325516033510773</v>
      </c>
    </row>
    <row r="587" spans="1:9" x14ac:dyDescent="0.2">
      <c r="A587">
        <v>577</v>
      </c>
      <c r="B587">
        <v>1006421.2895419614</v>
      </c>
      <c r="C587">
        <v>87398.562871669506</v>
      </c>
      <c r="D587">
        <v>54224.291164559036</v>
      </c>
      <c r="E587">
        <v>103000.65469064128</v>
      </c>
      <c r="F587">
        <v>43130.814555505938</v>
      </c>
      <c r="G587">
        <v>10000</v>
      </c>
      <c r="H587">
        <v>277754.32328237576</v>
      </c>
      <c r="I587">
        <v>36.359112911563869</v>
      </c>
    </row>
    <row r="588" spans="1:9" x14ac:dyDescent="0.2">
      <c r="A588">
        <v>578</v>
      </c>
      <c r="B588">
        <v>1354907.5949444619</v>
      </c>
      <c r="C588">
        <v>116348.25552422726</v>
      </c>
      <c r="D588">
        <v>76260.114144738181</v>
      </c>
      <c r="E588">
        <v>144639.67460095193</v>
      </c>
      <c r="F588">
        <v>46013.515933912058</v>
      </c>
      <c r="G588">
        <v>10000</v>
      </c>
      <c r="H588">
        <v>373261.56020382949</v>
      </c>
      <c r="I588">
        <v>34.875392439965168</v>
      </c>
    </row>
    <row r="589" spans="1:9" x14ac:dyDescent="0.2">
      <c r="A589">
        <v>579</v>
      </c>
      <c r="B589">
        <v>1125717.6446211815</v>
      </c>
      <c r="C589">
        <v>109374.99899187383</v>
      </c>
      <c r="D589">
        <v>97275.507103629512</v>
      </c>
      <c r="E589">
        <v>72761.230067094119</v>
      </c>
      <c r="F589">
        <v>41037.315927721902</v>
      </c>
      <c r="G589">
        <v>10000</v>
      </c>
      <c r="H589">
        <v>310449.05209031934</v>
      </c>
      <c r="I589">
        <v>50.816781065956</v>
      </c>
    </row>
    <row r="590" spans="1:9" x14ac:dyDescent="0.2">
      <c r="A590">
        <v>580</v>
      </c>
      <c r="B590">
        <v>1517683.4524145117</v>
      </c>
      <c r="C590">
        <v>134032.1833789252</v>
      </c>
      <c r="D590">
        <v>110308.72012740548</v>
      </c>
      <c r="E590">
        <v>137979.11258458963</v>
      </c>
      <c r="F590">
        <v>45552.400102010055</v>
      </c>
      <c r="G590">
        <v>10000</v>
      </c>
      <c r="H590">
        <v>417872.41619293037</v>
      </c>
      <c r="I590">
        <v>53.463882484672027</v>
      </c>
    </row>
    <row r="591" spans="1:9" x14ac:dyDescent="0.2">
      <c r="A591">
        <v>581</v>
      </c>
      <c r="B591">
        <v>1306980.8187481412</v>
      </c>
      <c r="C591">
        <v>104041.67952248237</v>
      </c>
      <c r="D591">
        <v>52571.811331503704</v>
      </c>
      <c r="E591">
        <v>166019.45401724111</v>
      </c>
      <c r="F591">
        <v>47493.65450888592</v>
      </c>
      <c r="G591">
        <v>10000</v>
      </c>
      <c r="H591">
        <v>360126.59938011307</v>
      </c>
      <c r="I591">
        <v>34.101368475347897</v>
      </c>
    </row>
    <row r="592" spans="1:9" x14ac:dyDescent="0.2">
      <c r="A592">
        <v>582</v>
      </c>
      <c r="B592">
        <v>1178181.4304324768</v>
      </c>
      <c r="C592">
        <v>89631.471511677461</v>
      </c>
      <c r="D592">
        <v>150531.29201638501</v>
      </c>
      <c r="E592">
        <v>54866.244024011648</v>
      </c>
      <c r="F592">
        <v>39798.432278585424</v>
      </c>
      <c r="G592">
        <v>10000</v>
      </c>
      <c r="H592">
        <v>324827.43983065954</v>
      </c>
      <c r="I592">
        <v>26.092076939074971</v>
      </c>
    </row>
    <row r="593" spans="1:9" x14ac:dyDescent="0.2">
      <c r="A593">
        <v>583</v>
      </c>
      <c r="B593">
        <v>1251171.0479128608</v>
      </c>
      <c r="C593">
        <v>118970.29879329541</v>
      </c>
      <c r="D593">
        <v>42752.071513450173</v>
      </c>
      <c r="E593">
        <v>146936.31611460057</v>
      </c>
      <c r="F593">
        <v>46172.514192549272</v>
      </c>
      <c r="G593">
        <v>10000</v>
      </c>
      <c r="H593">
        <v>344831.20061389543</v>
      </c>
      <c r="I593">
        <v>46.568207945031347</v>
      </c>
    </row>
    <row r="594" spans="1:9" x14ac:dyDescent="0.2">
      <c r="A594">
        <v>584</v>
      </c>
      <c r="B594">
        <v>1411361.0707738616</v>
      </c>
      <c r="C594">
        <v>105439.24871050339</v>
      </c>
      <c r="D594">
        <v>75918.260203000653</v>
      </c>
      <c r="E594">
        <v>169632.10474456425</v>
      </c>
      <c r="F594">
        <v>47743.761097700597</v>
      </c>
      <c r="G594">
        <v>10000</v>
      </c>
      <c r="H594">
        <v>388733.37475576892</v>
      </c>
      <c r="I594">
        <v>45.807513746738408</v>
      </c>
    </row>
    <row r="595" spans="1:9" x14ac:dyDescent="0.2">
      <c r="A595">
        <v>585</v>
      </c>
      <c r="B595">
        <v>1313073.7129639541</v>
      </c>
      <c r="C595">
        <v>115187.50660882422</v>
      </c>
      <c r="D595">
        <v>131265.33591074619</v>
      </c>
      <c r="E595">
        <v>83558.757289876768</v>
      </c>
      <c r="F595">
        <v>41784.837043145308</v>
      </c>
      <c r="G595">
        <v>10000</v>
      </c>
      <c r="H595">
        <v>361796.43685259251</v>
      </c>
      <c r="I595">
        <v>26.554247369466314</v>
      </c>
    </row>
    <row r="596" spans="1:9" x14ac:dyDescent="0.2">
      <c r="A596">
        <v>586</v>
      </c>
      <c r="B596">
        <v>1093418.8830130335</v>
      </c>
      <c r="C596">
        <v>119778.47151767033</v>
      </c>
      <c r="D596">
        <v>51497.184641298067</v>
      </c>
      <c r="E596">
        <v>97566.867905038016</v>
      </c>
      <c r="F596">
        <v>42754.629316502629</v>
      </c>
      <c r="G596">
        <v>10000</v>
      </c>
      <c r="H596">
        <v>301597.153380509</v>
      </c>
      <c r="I596">
        <v>32.029470469798241</v>
      </c>
    </row>
    <row r="597" spans="1:9" x14ac:dyDescent="0.2">
      <c r="A597">
        <v>587</v>
      </c>
      <c r="B597">
        <v>1466754.080048722</v>
      </c>
      <c r="C597">
        <v>165624.58918780513</v>
      </c>
      <c r="D597">
        <v>107313.84097423161</v>
      </c>
      <c r="E597">
        <v>98179.109146433679</v>
      </c>
      <c r="F597">
        <v>42797.015248599251</v>
      </c>
      <c r="G597">
        <v>10000</v>
      </c>
      <c r="H597">
        <v>403914.55455706967</v>
      </c>
      <c r="I597">
        <v>33.134654778274573</v>
      </c>
    </row>
    <row r="598" spans="1:9" x14ac:dyDescent="0.2">
      <c r="A598">
        <v>588</v>
      </c>
      <c r="B598">
        <v>1317324.42282678</v>
      </c>
      <c r="C598">
        <v>88669.963911340412</v>
      </c>
      <c r="D598">
        <v>56358.669167781933</v>
      </c>
      <c r="E598">
        <v>179505.46506510759</v>
      </c>
      <c r="F598">
        <v>48427.301427584367</v>
      </c>
      <c r="G598">
        <v>10000</v>
      </c>
      <c r="H598">
        <v>362961.39957181434</v>
      </c>
      <c r="I598">
        <v>34.748952440129784</v>
      </c>
    </row>
    <row r="599" spans="1:9" x14ac:dyDescent="0.2">
      <c r="A599">
        <v>589</v>
      </c>
      <c r="B599">
        <v>1690746.8607717124</v>
      </c>
      <c r="C599">
        <v>155387.45098778987</v>
      </c>
      <c r="D599">
        <v>151044.84546161443</v>
      </c>
      <c r="E599">
        <v>124267.29349412004</v>
      </c>
      <c r="F599">
        <v>44603.12031882369</v>
      </c>
      <c r="G599">
        <v>10000</v>
      </c>
      <c r="H599">
        <v>465302.710262348</v>
      </c>
      <c r="I599">
        <v>34.386145555029422</v>
      </c>
    </row>
    <row r="600" spans="1:9" x14ac:dyDescent="0.2">
      <c r="A600">
        <v>590</v>
      </c>
      <c r="B600">
        <v>1609736.6691219383</v>
      </c>
      <c r="C600">
        <v>115519.49996339316</v>
      </c>
      <c r="D600">
        <v>128672.88516749945</v>
      </c>
      <c r="E600">
        <v>161712.91166415167</v>
      </c>
      <c r="F600">
        <v>47195.509269056653</v>
      </c>
      <c r="G600">
        <v>10000</v>
      </c>
      <c r="H600">
        <v>443100.80606410099</v>
      </c>
      <c r="I600">
        <v>26.466115825591253</v>
      </c>
    </row>
    <row r="601" spans="1:9" x14ac:dyDescent="0.2">
      <c r="A601">
        <v>591</v>
      </c>
      <c r="B601">
        <v>1153224.5202062347</v>
      </c>
      <c r="C601">
        <v>114201.7307752841</v>
      </c>
      <c r="D601">
        <v>34122.127274745697</v>
      </c>
      <c r="E601">
        <v>134361.84007170296</v>
      </c>
      <c r="F601">
        <v>45301.973543425593</v>
      </c>
      <c r="G601">
        <v>10000</v>
      </c>
      <c r="H601">
        <v>317987.67166515836</v>
      </c>
      <c r="I601">
        <v>34.856675503208379</v>
      </c>
    </row>
    <row r="602" spans="1:9" x14ac:dyDescent="0.2">
      <c r="A602">
        <v>592</v>
      </c>
      <c r="B602">
        <v>1152993.2095806538</v>
      </c>
      <c r="C602">
        <v>128372.73587528315</v>
      </c>
      <c r="D602">
        <v>49616.993717622965</v>
      </c>
      <c r="E602">
        <v>106557.49127690394</v>
      </c>
      <c r="F602">
        <v>43377.057088401045</v>
      </c>
      <c r="G602">
        <v>10000</v>
      </c>
      <c r="H602">
        <v>317924.27795821108</v>
      </c>
      <c r="I602">
        <v>23.683424044627731</v>
      </c>
    </row>
    <row r="603" spans="1:9" x14ac:dyDescent="0.2">
      <c r="A603">
        <v>593</v>
      </c>
      <c r="B603">
        <v>1628590.1855873656</v>
      </c>
      <c r="C603">
        <v>137653.96413022501</v>
      </c>
      <c r="D603">
        <v>70599.120372995501</v>
      </c>
      <c r="E603">
        <v>200157.70297185265</v>
      </c>
      <c r="F603">
        <v>49857.071744205183</v>
      </c>
      <c r="G603">
        <v>10000</v>
      </c>
      <c r="H603">
        <v>448267.85921927833</v>
      </c>
      <c r="I603">
        <v>45.407822089925347</v>
      </c>
    </row>
    <row r="604" spans="1:9" x14ac:dyDescent="0.2">
      <c r="A604">
        <v>594</v>
      </c>
      <c r="B604">
        <v>1459859.8666890806</v>
      </c>
      <c r="C604">
        <v>122164.89503982967</v>
      </c>
      <c r="D604">
        <v>127832.36902738897</v>
      </c>
      <c r="E604">
        <v>117867.76497271475</v>
      </c>
      <c r="F604">
        <v>44160.076036572558</v>
      </c>
      <c r="G604">
        <v>10000</v>
      </c>
      <c r="H604">
        <v>402025.10507650598</v>
      </c>
      <c r="I604">
        <v>32.088126470008604</v>
      </c>
    </row>
    <row r="605" spans="1:9" x14ac:dyDescent="0.2">
      <c r="A605">
        <v>595</v>
      </c>
      <c r="B605">
        <v>1371499.8351633712</v>
      </c>
      <c r="C605">
        <v>154142.65404795509</v>
      </c>
      <c r="D605">
        <v>55762.719454652433</v>
      </c>
      <c r="E605">
        <v>132715.51059272161</v>
      </c>
      <c r="F605">
        <v>45187.996887188419</v>
      </c>
      <c r="G605">
        <v>10000</v>
      </c>
      <c r="H605">
        <v>377808.8809825175</v>
      </c>
      <c r="I605">
        <v>26.510436548708967</v>
      </c>
    </row>
    <row r="606" spans="1:9" x14ac:dyDescent="0.2">
      <c r="A606">
        <v>596</v>
      </c>
      <c r="B606">
        <v>1299327.6504901741</v>
      </c>
      <c r="C606">
        <v>106733.84714799674</v>
      </c>
      <c r="D606">
        <v>85399.89353400706</v>
      </c>
      <c r="E606">
        <v>130837.43164866781</v>
      </c>
      <c r="F606">
        <v>45057.976037215463</v>
      </c>
      <c r="G606">
        <v>10000</v>
      </c>
      <c r="H606">
        <v>358029.14836788701</v>
      </c>
      <c r="I606">
        <v>27.636609137263513</v>
      </c>
    </row>
    <row r="607" spans="1:9" x14ac:dyDescent="0.2">
      <c r="A607">
        <v>597</v>
      </c>
      <c r="B607">
        <v>1240273.5851512854</v>
      </c>
      <c r="C607">
        <v>153512.91992347682</v>
      </c>
      <c r="D607">
        <v>97622.366880975751</v>
      </c>
      <c r="E607">
        <v>60519.509214158141</v>
      </c>
      <c r="F607">
        <v>40189.812176364794</v>
      </c>
      <c r="G607">
        <v>10000</v>
      </c>
      <c r="H607">
        <v>341844.60819497553</v>
      </c>
      <c r="I607">
        <v>33.530684179513401</v>
      </c>
    </row>
    <row r="608" spans="1:9" x14ac:dyDescent="0.2">
      <c r="A608">
        <v>598</v>
      </c>
      <c r="B608">
        <v>1275953.8185835816</v>
      </c>
      <c r="C608">
        <v>149543.52019282404</v>
      </c>
      <c r="D608">
        <v>56224.726842347991</v>
      </c>
      <c r="E608">
        <v>112094.60105993273</v>
      </c>
      <c r="F608">
        <v>43760.395457995342</v>
      </c>
      <c r="G608">
        <v>10000</v>
      </c>
      <c r="H608">
        <v>351623.24355310015</v>
      </c>
      <c r="I608">
        <v>44.858496811212433</v>
      </c>
    </row>
    <row r="609" spans="1:9" x14ac:dyDescent="0.2">
      <c r="A609">
        <v>599</v>
      </c>
      <c r="B609">
        <v>916607.72991794837</v>
      </c>
      <c r="C609">
        <v>113247.66086343465</v>
      </c>
      <c r="D609">
        <v>64588.42330636007</v>
      </c>
      <c r="E609">
        <v>46111.333513648649</v>
      </c>
      <c r="F609">
        <v>39192.323089406447</v>
      </c>
      <c r="G609">
        <v>10000</v>
      </c>
      <c r="H609">
        <v>253139.74077284982</v>
      </c>
      <c r="I609">
        <v>41.962764574941616</v>
      </c>
    </row>
    <row r="610" spans="1:9" x14ac:dyDescent="0.2">
      <c r="A610">
        <v>600</v>
      </c>
      <c r="B610">
        <v>1493427.2975840801</v>
      </c>
      <c r="C610">
        <v>86677.7624053912</v>
      </c>
      <c r="D610">
        <v>93485.299241608736</v>
      </c>
      <c r="E610">
        <v>191784.26535890016</v>
      </c>
      <c r="F610">
        <v>49277.372217154625</v>
      </c>
      <c r="G610">
        <v>10000</v>
      </c>
      <c r="H610">
        <v>411224.69922305469</v>
      </c>
      <c r="I610">
        <v>34.283275724243651</v>
      </c>
    </row>
    <row r="611" spans="1:9" x14ac:dyDescent="0.2">
      <c r="A611">
        <v>601</v>
      </c>
      <c r="B611">
        <v>1252712.9154089619</v>
      </c>
      <c r="C611">
        <v>127049.63864430896</v>
      </c>
      <c r="D611">
        <v>132209.02389146283</v>
      </c>
      <c r="E611">
        <v>56110.531785363426</v>
      </c>
      <c r="F611">
        <v>39884.575277448239</v>
      </c>
      <c r="G611">
        <v>10000</v>
      </c>
      <c r="H611">
        <v>345253.76959858346</v>
      </c>
      <c r="I611">
        <v>40.980470593435143</v>
      </c>
    </row>
    <row r="612" spans="1:9" x14ac:dyDescent="0.2">
      <c r="A612">
        <v>602</v>
      </c>
      <c r="B612">
        <v>647850.69666102156</v>
      </c>
      <c r="C612">
        <v>94345.93813378425</v>
      </c>
      <c r="D612">
        <v>30893.425413308556</v>
      </c>
      <c r="E612">
        <v>26415.244067094656</v>
      </c>
      <c r="F612">
        <v>37828.747666183481</v>
      </c>
      <c r="G612">
        <v>10000</v>
      </c>
      <c r="H612">
        <v>179483.35528037095</v>
      </c>
      <c r="I612">
        <v>37.849846869214147</v>
      </c>
    </row>
    <row r="613" spans="1:9" x14ac:dyDescent="0.2">
      <c r="A613">
        <v>603</v>
      </c>
      <c r="B613">
        <v>1236912.4316246272</v>
      </c>
      <c r="C613">
        <v>116379.78267601928</v>
      </c>
      <c r="D613">
        <v>52792.264153851378</v>
      </c>
      <c r="E613">
        <v>136314.25264466554</v>
      </c>
      <c r="F613">
        <v>45437.140567707618</v>
      </c>
      <c r="G613">
        <v>10000</v>
      </c>
      <c r="H613">
        <v>340923.4400422438</v>
      </c>
      <c r="I613">
        <v>35.167090508220582</v>
      </c>
    </row>
    <row r="614" spans="1:9" x14ac:dyDescent="0.2">
      <c r="A614">
        <v>604</v>
      </c>
      <c r="B614">
        <v>1221446.8348182586</v>
      </c>
      <c r="C614">
        <v>96818.544538881979</v>
      </c>
      <c r="D614">
        <v>60290.02934521214</v>
      </c>
      <c r="E614">
        <v>143632.52647077534</v>
      </c>
      <c r="F614">
        <v>45943.790294130602</v>
      </c>
      <c r="G614">
        <v>10000</v>
      </c>
      <c r="H614">
        <v>336684.89064900012</v>
      </c>
      <c r="I614">
        <v>40.26186982187501</v>
      </c>
    </row>
    <row r="615" spans="1:9" x14ac:dyDescent="0.2">
      <c r="A615">
        <v>605</v>
      </c>
      <c r="B615">
        <v>1306323.766382382</v>
      </c>
      <c r="C615">
        <v>111747.33091345424</v>
      </c>
      <c r="D615">
        <v>91941.685045059799</v>
      </c>
      <c r="E615">
        <v>121823.57014243852</v>
      </c>
      <c r="F615">
        <v>44433.939471399586</v>
      </c>
      <c r="G615">
        <v>10000</v>
      </c>
      <c r="H615">
        <v>359946.52557235217</v>
      </c>
      <c r="I615">
        <v>32.691402871661296</v>
      </c>
    </row>
    <row r="616" spans="1:9" x14ac:dyDescent="0.2">
      <c r="A616">
        <v>606</v>
      </c>
      <c r="B616">
        <v>1032348.3945790995</v>
      </c>
      <c r="C616">
        <v>136866.31367384366</v>
      </c>
      <c r="D616">
        <v>89371.211627916418</v>
      </c>
      <c r="E616">
        <v>30510.215083300624</v>
      </c>
      <c r="F616">
        <v>38112.245659613123</v>
      </c>
      <c r="G616">
        <v>10000</v>
      </c>
      <c r="H616">
        <v>284859.98604467383</v>
      </c>
      <c r="I616">
        <v>31.132914848483587</v>
      </c>
    </row>
    <row r="617" spans="1:9" x14ac:dyDescent="0.2">
      <c r="A617">
        <v>607</v>
      </c>
      <c r="B617">
        <v>1516468.4184599479</v>
      </c>
      <c r="C617">
        <v>105916.91542931552</v>
      </c>
      <c r="D617">
        <v>80873.276667771992</v>
      </c>
      <c r="E617">
        <v>191492.08385744892</v>
      </c>
      <c r="F617">
        <v>49257.144267054151</v>
      </c>
      <c r="G617">
        <v>10000</v>
      </c>
      <c r="H617">
        <v>417539.42022159055</v>
      </c>
      <c r="I617">
        <v>30.814071867757814</v>
      </c>
    </row>
    <row r="618" spans="1:9" x14ac:dyDescent="0.2">
      <c r="A618">
        <v>608</v>
      </c>
      <c r="B618">
        <v>1426124.8900809833</v>
      </c>
      <c r="C618">
        <v>118082.85821203943</v>
      </c>
      <c r="D618">
        <v>103595.56224279538</v>
      </c>
      <c r="E618">
        <v>135706.13243959125</v>
      </c>
      <c r="F618">
        <v>45395.039938125548</v>
      </c>
      <c r="G618">
        <v>10000</v>
      </c>
      <c r="H618">
        <v>392779.59283255157</v>
      </c>
      <c r="I618">
        <v>33.262711616976624</v>
      </c>
    </row>
    <row r="619" spans="1:9" x14ac:dyDescent="0.2">
      <c r="A619">
        <v>609</v>
      </c>
      <c r="B619">
        <v>1322329.1940701311</v>
      </c>
      <c r="C619">
        <v>143987.34192875124</v>
      </c>
      <c r="D619">
        <v>142067.27011413398</v>
      </c>
      <c r="E619">
        <v>48893.477583673441</v>
      </c>
      <c r="F619">
        <v>39384.933063485085</v>
      </c>
      <c r="G619">
        <v>10000</v>
      </c>
      <c r="H619">
        <v>364333.02269004373</v>
      </c>
      <c r="I619">
        <v>41.197913288330369</v>
      </c>
    </row>
    <row r="620" spans="1:9" x14ac:dyDescent="0.2">
      <c r="A620">
        <v>610</v>
      </c>
      <c r="B620">
        <v>1316668.3022864759</v>
      </c>
      <c r="C620">
        <v>107126.64733929656</v>
      </c>
      <c r="D620">
        <v>67653.743869400932</v>
      </c>
      <c r="E620">
        <v>151511.90425512707</v>
      </c>
      <c r="F620">
        <v>46489.285679201108</v>
      </c>
      <c r="G620">
        <v>10000</v>
      </c>
      <c r="H620">
        <v>362781.58114302566</v>
      </c>
      <c r="I620">
        <v>43.291875532019816</v>
      </c>
    </row>
    <row r="621" spans="1:9" x14ac:dyDescent="0.2">
      <c r="A621">
        <v>611</v>
      </c>
      <c r="B621">
        <v>1770476.8873100537</v>
      </c>
      <c r="C621">
        <v>130783.07187264923</v>
      </c>
      <c r="D621">
        <v>114784.85195811377</v>
      </c>
      <c r="E621">
        <v>201627.04891749177</v>
      </c>
      <c r="F621">
        <v>49958.795694287895</v>
      </c>
      <c r="G621">
        <v>10000</v>
      </c>
      <c r="H621">
        <v>487153.76844254264</v>
      </c>
      <c r="I621">
        <v>39.711625773161003</v>
      </c>
    </row>
    <row r="622" spans="1:9" x14ac:dyDescent="0.2">
      <c r="A622">
        <v>612</v>
      </c>
      <c r="B622">
        <v>1433142.7972938549</v>
      </c>
      <c r="C622">
        <v>141186.27457677419</v>
      </c>
      <c r="D622">
        <v>75168.196122392619</v>
      </c>
      <c r="E622">
        <v>142484.18201089749</v>
      </c>
      <c r="F622">
        <v>45864.289523831365</v>
      </c>
      <c r="G622">
        <v>10000</v>
      </c>
      <c r="H622">
        <v>394702.94223389565</v>
      </c>
      <c r="I622">
        <v>30.989959676444844</v>
      </c>
    </row>
    <row r="623" spans="1:9" x14ac:dyDescent="0.2">
      <c r="A623">
        <v>613</v>
      </c>
      <c r="B623">
        <v>985549.75774917263</v>
      </c>
      <c r="C623">
        <v>109268.66950471679</v>
      </c>
      <c r="D623">
        <v>41030.465610901527</v>
      </c>
      <c r="E623">
        <v>89536.397783807799</v>
      </c>
      <c r="F623">
        <v>42198.673692725155</v>
      </c>
      <c r="G623">
        <v>10000</v>
      </c>
      <c r="H623">
        <v>272034.20659215125</v>
      </c>
      <c r="I623">
        <v>42.493791523534526</v>
      </c>
    </row>
    <row r="624" spans="1:9" x14ac:dyDescent="0.2">
      <c r="A624">
        <v>614</v>
      </c>
      <c r="B624">
        <v>1153678.4623142367</v>
      </c>
      <c r="C624">
        <v>162333.36880471098</v>
      </c>
      <c r="D624">
        <v>90696.74794983452</v>
      </c>
      <c r="E624">
        <v>36551.476833902008</v>
      </c>
      <c r="F624">
        <v>38530.486857731681</v>
      </c>
      <c r="G624">
        <v>10000</v>
      </c>
      <c r="H624">
        <v>318112.08044617914</v>
      </c>
      <c r="I624">
        <v>40.095839734435344</v>
      </c>
    </row>
    <row r="625" spans="1:9" x14ac:dyDescent="0.2">
      <c r="A625">
        <v>615</v>
      </c>
      <c r="B625">
        <v>1271237.2191533176</v>
      </c>
      <c r="C625">
        <v>94824.388786011885</v>
      </c>
      <c r="D625">
        <v>87676.840561299337</v>
      </c>
      <c r="E625">
        <v>132646.17183605742</v>
      </c>
      <c r="F625">
        <v>45183.196511727052</v>
      </c>
      <c r="G625">
        <v>10000</v>
      </c>
      <c r="H625">
        <v>350330.5976950957</v>
      </c>
      <c r="I625">
        <v>49.338412031712181</v>
      </c>
    </row>
    <row r="626" spans="1:9" x14ac:dyDescent="0.2">
      <c r="A626">
        <v>616</v>
      </c>
      <c r="B626">
        <v>1086265.6496320935</v>
      </c>
      <c r="C626">
        <v>116711.91914483876</v>
      </c>
      <c r="D626">
        <v>60131.00601777339</v>
      </c>
      <c r="E626">
        <v>90526.567035806249</v>
      </c>
      <c r="F626">
        <v>42267.22387170967</v>
      </c>
      <c r="G626">
        <v>10000</v>
      </c>
      <c r="H626">
        <v>299636.71607012802</v>
      </c>
      <c r="I626">
        <v>43.020463356503186</v>
      </c>
    </row>
    <row r="627" spans="1:9" x14ac:dyDescent="0.2">
      <c r="A627">
        <v>617</v>
      </c>
      <c r="B627">
        <v>1662047.9355510678</v>
      </c>
      <c r="C627">
        <v>112126.25849850275</v>
      </c>
      <c r="D627">
        <v>100668.22807031609</v>
      </c>
      <c r="E627">
        <v>204486.1722959395</v>
      </c>
      <c r="F627">
        <v>50156.735005103495</v>
      </c>
      <c r="G627">
        <v>10000</v>
      </c>
      <c r="H627">
        <v>457437.39386986184</v>
      </c>
      <c r="I627">
        <v>38.606346046251517</v>
      </c>
    </row>
    <row r="628" spans="1:9" x14ac:dyDescent="0.2">
      <c r="A628">
        <v>618</v>
      </c>
      <c r="B628">
        <v>1334873.4538029858</v>
      </c>
      <c r="C628">
        <v>157477.77479145469</v>
      </c>
      <c r="D628">
        <v>140494.47055611535</v>
      </c>
      <c r="E628">
        <v>40962.809249088939</v>
      </c>
      <c r="F628">
        <v>38835.886794167694</v>
      </c>
      <c r="G628">
        <v>10000</v>
      </c>
      <c r="H628">
        <v>367770.94139082666</v>
      </c>
      <c r="I628">
        <v>35.153786372106978</v>
      </c>
    </row>
    <row r="629" spans="1:9" x14ac:dyDescent="0.2">
      <c r="A629">
        <v>619</v>
      </c>
      <c r="B629">
        <v>1197346.4256362473</v>
      </c>
      <c r="C629">
        <v>133961.76965085929</v>
      </c>
      <c r="D629">
        <v>100479.70472155792</v>
      </c>
      <c r="E629">
        <v>65129.42336284896</v>
      </c>
      <c r="F629">
        <v>40508.960078966469</v>
      </c>
      <c r="G629">
        <v>10000</v>
      </c>
      <c r="H629">
        <v>330079.85781423259</v>
      </c>
      <c r="I629">
        <v>40.92216348981799</v>
      </c>
    </row>
    <row r="630" spans="1:9" x14ac:dyDescent="0.2">
      <c r="A630">
        <v>620</v>
      </c>
      <c r="B630">
        <v>1402837.5163595728</v>
      </c>
      <c r="C630">
        <v>118073.94390940575</v>
      </c>
      <c r="D630">
        <v>109197.9856305851</v>
      </c>
      <c r="E630">
        <v>124505.81979766472</v>
      </c>
      <c r="F630">
        <v>44619.633678299862</v>
      </c>
      <c r="G630">
        <v>10000</v>
      </c>
      <c r="H630">
        <v>386397.38301595539</v>
      </c>
      <c r="I630">
        <v>35.611699758939977</v>
      </c>
    </row>
    <row r="631" spans="1:9" x14ac:dyDescent="0.2">
      <c r="A631">
        <v>621</v>
      </c>
      <c r="B631">
        <v>1454225.8237131522</v>
      </c>
      <c r="C631">
        <v>101887.10198152909</v>
      </c>
      <c r="D631">
        <v>63277.896747493323</v>
      </c>
      <c r="E631">
        <v>195763.18704194285</v>
      </c>
      <c r="F631">
        <v>49552.836025980658</v>
      </c>
      <c r="G631">
        <v>10000</v>
      </c>
      <c r="H631">
        <v>400481.02179694595</v>
      </c>
      <c r="I631">
        <v>38.043335159489601</v>
      </c>
    </row>
    <row r="632" spans="1:9" x14ac:dyDescent="0.2">
      <c r="A632">
        <v>622</v>
      </c>
      <c r="B632">
        <v>1037705.1647482499</v>
      </c>
      <c r="C632">
        <v>90348.834999568862</v>
      </c>
      <c r="D632">
        <v>73853.75889807714</v>
      </c>
      <c r="E632">
        <v>89901.532903852203</v>
      </c>
      <c r="F632">
        <v>42223.952277958997</v>
      </c>
      <c r="G632">
        <v>10000</v>
      </c>
      <c r="H632">
        <v>286328.07907945721</v>
      </c>
      <c r="I632">
        <v>35.508817949362822</v>
      </c>
    </row>
    <row r="633" spans="1:9" x14ac:dyDescent="0.2">
      <c r="A633">
        <v>623</v>
      </c>
      <c r="B633">
        <v>1445506.1733490224</v>
      </c>
      <c r="C633">
        <v>142475.32226683458</v>
      </c>
      <c r="D633">
        <v>61513.197699287382</v>
      </c>
      <c r="E633">
        <v>157218.41557943058</v>
      </c>
      <c r="F633">
        <v>46884.351847806727</v>
      </c>
      <c r="G633">
        <v>10000</v>
      </c>
      <c r="H633">
        <v>398091.28739335923</v>
      </c>
      <c r="I633">
        <v>32.973624469260784</v>
      </c>
    </row>
    <row r="634" spans="1:9" x14ac:dyDescent="0.2">
      <c r="A634">
        <v>624</v>
      </c>
      <c r="B634">
        <v>1471126.8302554849</v>
      </c>
      <c r="C634">
        <v>143035.17784309897</v>
      </c>
      <c r="D634">
        <v>95069.966309728552</v>
      </c>
      <c r="E634">
        <v>131877.81715242559</v>
      </c>
      <c r="F634">
        <v>45130.002725937164</v>
      </c>
      <c r="G634">
        <v>10000</v>
      </c>
      <c r="H634">
        <v>405112.96403119026</v>
      </c>
      <c r="I634">
        <v>38.333648642959673</v>
      </c>
    </row>
    <row r="635" spans="1:9" x14ac:dyDescent="0.2">
      <c r="A635">
        <v>625</v>
      </c>
      <c r="B635">
        <v>1188028.0310696771</v>
      </c>
      <c r="C635">
        <v>135533.40891398332</v>
      </c>
      <c r="D635">
        <v>91998.195473964006</v>
      </c>
      <c r="E635">
        <v>69203.419374214747</v>
      </c>
      <c r="F635">
        <v>40791.005956676403</v>
      </c>
      <c r="G635">
        <v>10000</v>
      </c>
      <c r="H635">
        <v>327526.02971883846</v>
      </c>
      <c r="I635">
        <v>32.663319684289988</v>
      </c>
    </row>
    <row r="636" spans="1:9" x14ac:dyDescent="0.2">
      <c r="A636">
        <v>626</v>
      </c>
      <c r="B636">
        <v>1398187.6590401735</v>
      </c>
      <c r="C636">
        <v>124393.50296727466</v>
      </c>
      <c r="D636">
        <v>101760.41601724479</v>
      </c>
      <c r="E636">
        <v>124359.59902168732</v>
      </c>
      <c r="F636">
        <v>44609.510701501429</v>
      </c>
      <c r="G636">
        <v>10000</v>
      </c>
      <c r="H636">
        <v>385123.02870770817</v>
      </c>
      <c r="I636">
        <v>26.017638607608369</v>
      </c>
    </row>
    <row r="637" spans="1:9" x14ac:dyDescent="0.2">
      <c r="A637">
        <v>627</v>
      </c>
      <c r="B637">
        <v>1273148.229779368</v>
      </c>
      <c r="C637">
        <v>156899.26632307295</v>
      </c>
      <c r="D637">
        <v>68524.379256683067</v>
      </c>
      <c r="E637">
        <v>92992.731290214375</v>
      </c>
      <c r="F637">
        <v>42437.958320091762</v>
      </c>
      <c r="G637">
        <v>10000</v>
      </c>
      <c r="H637">
        <v>350854.33519006212</v>
      </c>
      <c r="I637">
        <v>48.317912928675646</v>
      </c>
    </row>
    <row r="638" spans="1:9" x14ac:dyDescent="0.2">
      <c r="A638">
        <v>628</v>
      </c>
      <c r="B638">
        <v>1274265.5308836708</v>
      </c>
      <c r="C638">
        <v>78394.187845970388</v>
      </c>
      <c r="D638">
        <v>149150.82383651147</v>
      </c>
      <c r="E638">
        <v>91295.104218990353</v>
      </c>
      <c r="F638">
        <v>42320.430292083947</v>
      </c>
      <c r="G638">
        <v>10000</v>
      </c>
      <c r="H638">
        <v>351160.54619355616</v>
      </c>
      <c r="I638">
        <v>29.977889893913677</v>
      </c>
    </row>
    <row r="639" spans="1:9" x14ac:dyDescent="0.2">
      <c r="A639">
        <v>629</v>
      </c>
      <c r="B639">
        <v>968018.53078118898</v>
      </c>
      <c r="C639">
        <v>138467.61189839631</v>
      </c>
      <c r="D639">
        <v>64917.194667439406</v>
      </c>
      <c r="E639">
        <v>35394.35893357516</v>
      </c>
      <c r="F639">
        <v>38450.378695401356</v>
      </c>
      <c r="G639">
        <v>10000</v>
      </c>
      <c r="H639">
        <v>267229.54419481225</v>
      </c>
      <c r="I639">
        <v>36.495496260042771</v>
      </c>
    </row>
    <row r="640" spans="1:9" x14ac:dyDescent="0.2">
      <c r="A640">
        <v>630</v>
      </c>
      <c r="B640">
        <v>1603795.2453000592</v>
      </c>
      <c r="C640">
        <v>108092.90725453054</v>
      </c>
      <c r="D640">
        <v>115473.10036845945</v>
      </c>
      <c r="E640">
        <v>179480.87441620033</v>
      </c>
      <c r="F640">
        <v>48425.598998044639</v>
      </c>
      <c r="G640">
        <v>10000</v>
      </c>
      <c r="H640">
        <v>441472.48103723495</v>
      </c>
      <c r="I640">
        <v>34.153747805050003</v>
      </c>
    </row>
    <row r="641" spans="1:9" x14ac:dyDescent="0.2">
      <c r="A641">
        <v>631</v>
      </c>
      <c r="B641">
        <v>1516821.0721579713</v>
      </c>
      <c r="C641">
        <v>128093.22405360082</v>
      </c>
      <c r="D641">
        <v>44884.56283942578</v>
      </c>
      <c r="E641">
        <v>204500.55215987773</v>
      </c>
      <c r="F641">
        <v>50157.730534145383</v>
      </c>
      <c r="G641">
        <v>10000</v>
      </c>
      <c r="H641">
        <v>417636.06958704971</v>
      </c>
      <c r="I641">
        <v>28.091471269747924</v>
      </c>
    </row>
    <row r="642" spans="1:9" x14ac:dyDescent="0.2">
      <c r="A642">
        <v>632</v>
      </c>
      <c r="B642">
        <v>1180404.3769269739</v>
      </c>
      <c r="C642">
        <v>116637.33500684102</v>
      </c>
      <c r="D642">
        <v>94856.619913733914</v>
      </c>
      <c r="E642">
        <v>82248.580050878794</v>
      </c>
      <c r="F642">
        <v>41694.132465060837</v>
      </c>
      <c r="G642">
        <v>10000</v>
      </c>
      <c r="H642">
        <v>325436.66743651457</v>
      </c>
      <c r="I642">
        <v>46.542125485143458</v>
      </c>
    </row>
    <row r="643" spans="1:9" x14ac:dyDescent="0.2">
      <c r="A643">
        <v>633</v>
      </c>
      <c r="B643">
        <v>1487480.2459716303</v>
      </c>
      <c r="C643">
        <v>130027.59958631355</v>
      </c>
      <c r="D643">
        <v>81654.570029912386</v>
      </c>
      <c r="E643">
        <v>160781.62652755957</v>
      </c>
      <c r="F643">
        <v>47131.035682677204</v>
      </c>
      <c r="G643">
        <v>10000</v>
      </c>
      <c r="H643">
        <v>409594.83182646264</v>
      </c>
      <c r="I643">
        <v>35.246024277972673</v>
      </c>
    </row>
    <row r="644" spans="1:9" x14ac:dyDescent="0.2">
      <c r="A644">
        <v>634</v>
      </c>
      <c r="B644">
        <v>1120868.8116923557</v>
      </c>
      <c r="C644">
        <v>126745.8163819672</v>
      </c>
      <c r="D644">
        <v>77834.07642360621</v>
      </c>
      <c r="E644">
        <v>73454.931680275491</v>
      </c>
      <c r="F644">
        <v>41085.341424019069</v>
      </c>
      <c r="G644">
        <v>10000</v>
      </c>
      <c r="H644">
        <v>309120.16590986797</v>
      </c>
      <c r="I644">
        <v>34.933949366123869</v>
      </c>
    </row>
    <row r="645" spans="1:9" x14ac:dyDescent="0.2">
      <c r="A645">
        <v>635</v>
      </c>
      <c r="B645">
        <v>1170604.8879835671</v>
      </c>
      <c r="C645">
        <v>116967.58482051941</v>
      </c>
      <c r="D645">
        <v>117480.08422570652</v>
      </c>
      <c r="E645">
        <v>58269.292160144745</v>
      </c>
      <c r="F645">
        <v>40034.027918779248</v>
      </c>
      <c r="G645">
        <v>10000</v>
      </c>
      <c r="H645">
        <v>322750.98912514991</v>
      </c>
      <c r="I645">
        <v>45.702509044590442</v>
      </c>
    </row>
    <row r="646" spans="1:9" x14ac:dyDescent="0.2">
      <c r="A646">
        <v>636</v>
      </c>
      <c r="B646">
        <v>1440132.5893268236</v>
      </c>
      <c r="C646">
        <v>138475.52537785051</v>
      </c>
      <c r="D646">
        <v>113839.25186360415</v>
      </c>
      <c r="E646">
        <v>110643.8502004148</v>
      </c>
      <c r="F646">
        <v>43659.95886002871</v>
      </c>
      <c r="G646">
        <v>10000</v>
      </c>
      <c r="H646">
        <v>396618.58630189818</v>
      </c>
      <c r="I646">
        <v>39.863170103163682</v>
      </c>
    </row>
    <row r="647" spans="1:9" x14ac:dyDescent="0.2">
      <c r="A647">
        <v>637</v>
      </c>
      <c r="B647">
        <v>1303193.7334021449</v>
      </c>
      <c r="C647">
        <v>103257.82944544693</v>
      </c>
      <c r="D647">
        <v>101899.21354445526</v>
      </c>
      <c r="E647">
        <v>119648.31140710533</v>
      </c>
      <c r="F647">
        <v>44283.344635876521</v>
      </c>
      <c r="G647">
        <v>10000</v>
      </c>
      <c r="H647">
        <v>359088.69903288403</v>
      </c>
      <c r="I647">
        <v>47.989937953434506</v>
      </c>
    </row>
    <row r="648" spans="1:9" x14ac:dyDescent="0.2">
      <c r="A648">
        <v>638</v>
      </c>
      <c r="B648">
        <v>1332901.9469761513</v>
      </c>
      <c r="C648">
        <v>145146.45573131763</v>
      </c>
      <c r="D648">
        <v>97603.003871172958</v>
      </c>
      <c r="E648">
        <v>92104.686239002171</v>
      </c>
      <c r="F648">
        <v>42376.478278084767</v>
      </c>
      <c r="G648">
        <v>10000</v>
      </c>
      <c r="H648">
        <v>367230.62411957752</v>
      </c>
      <c r="I648">
        <v>44.616113737368295</v>
      </c>
    </row>
    <row r="649" spans="1:9" x14ac:dyDescent="0.2">
      <c r="A649">
        <v>639</v>
      </c>
      <c r="B649">
        <v>1690265.8265293338</v>
      </c>
      <c r="C649">
        <v>96592.089901452171</v>
      </c>
      <c r="D649">
        <v>138080.82289502042</v>
      </c>
      <c r="E649">
        <v>191257.08838108118</v>
      </c>
      <c r="F649">
        <v>49240.875349459471</v>
      </c>
      <c r="G649">
        <v>10000</v>
      </c>
      <c r="H649">
        <v>465170.87652701326</v>
      </c>
      <c r="I649">
        <v>35.747450509083386</v>
      </c>
    </row>
    <row r="650" spans="1:9" x14ac:dyDescent="0.2">
      <c r="A650">
        <v>640</v>
      </c>
      <c r="B650">
        <v>977286.52254495793</v>
      </c>
      <c r="C650">
        <v>148134.37411596425</v>
      </c>
      <c r="D650">
        <v>28197.782438108901</v>
      </c>
      <c r="E650">
        <v>63070.951686416942</v>
      </c>
      <c r="F650">
        <v>40366.450501367326</v>
      </c>
      <c r="G650">
        <v>10000</v>
      </c>
      <c r="H650">
        <v>269769.55874185741</v>
      </c>
      <c r="I650">
        <v>40.232540733126825</v>
      </c>
    </row>
    <row r="651" spans="1:9" x14ac:dyDescent="0.2">
      <c r="A651">
        <v>641</v>
      </c>
      <c r="B651">
        <v>1322493.7349545804</v>
      </c>
      <c r="C651">
        <v>133728.73118579455</v>
      </c>
      <c r="D651">
        <v>64730.945374727329</v>
      </c>
      <c r="E651">
        <v>130858.97332989765</v>
      </c>
      <c r="F651">
        <v>45059.467384377531</v>
      </c>
      <c r="G651">
        <v>10000</v>
      </c>
      <c r="H651">
        <v>364378.11727479711</v>
      </c>
      <c r="I651">
        <v>40.440992253471137</v>
      </c>
    </row>
    <row r="652" spans="1:9" x14ac:dyDescent="0.2">
      <c r="A652">
        <v>642</v>
      </c>
      <c r="B652">
        <v>1134799.7397575884</v>
      </c>
      <c r="C652">
        <v>153157.61693570481</v>
      </c>
      <c r="D652">
        <v>43791.701590636425</v>
      </c>
      <c r="E652">
        <v>84162.187709879974</v>
      </c>
      <c r="F652">
        <v>41826.61299529938</v>
      </c>
      <c r="G652">
        <v>10000</v>
      </c>
      <c r="H652">
        <v>312938.11923152057</v>
      </c>
      <c r="I652">
        <v>33.323513297546754</v>
      </c>
    </row>
    <row r="653" spans="1:9" x14ac:dyDescent="0.2">
      <c r="A653">
        <v>643</v>
      </c>
      <c r="B653">
        <v>1446904.3594309937</v>
      </c>
      <c r="C653">
        <v>102574.69910604904</v>
      </c>
      <c r="D653">
        <v>60767.971751377998</v>
      </c>
      <c r="E653">
        <v>195590.89933168207</v>
      </c>
      <c r="F653">
        <v>49540.908415270293</v>
      </c>
      <c r="G653">
        <v>10000</v>
      </c>
      <c r="H653">
        <v>398474.47860437934</v>
      </c>
      <c r="I653">
        <v>31.887298274996247</v>
      </c>
    </row>
    <row r="654" spans="1:9" x14ac:dyDescent="0.2">
      <c r="A654">
        <v>644</v>
      </c>
      <c r="B654">
        <v>1390060.1551600406</v>
      </c>
      <c r="C654">
        <v>97499.862651850679</v>
      </c>
      <c r="D654">
        <v>59192.896383851716</v>
      </c>
      <c r="E654">
        <v>187240.04820128056</v>
      </c>
      <c r="F654">
        <v>48962.772567780958</v>
      </c>
      <c r="G654">
        <v>10000</v>
      </c>
      <c r="H654">
        <v>382895.57980476395</v>
      </c>
      <c r="I654">
        <v>27.005286124453299</v>
      </c>
    </row>
    <row r="655" spans="1:9" x14ac:dyDescent="0.2">
      <c r="A655">
        <v>645</v>
      </c>
      <c r="B655">
        <v>1556007.248464928</v>
      </c>
      <c r="C655">
        <v>101578.21301078751</v>
      </c>
      <c r="D655">
        <v>112813.72745463671</v>
      </c>
      <c r="E655">
        <v>175812.01314023219</v>
      </c>
      <c r="F655">
        <v>48171.600909708381</v>
      </c>
      <c r="G655">
        <v>10000</v>
      </c>
      <c r="H655">
        <v>428375.55451536475</v>
      </c>
      <c r="I655">
        <v>41.815839325307287</v>
      </c>
    </row>
    <row r="656" spans="1:9" x14ac:dyDescent="0.2">
      <c r="A656">
        <v>646</v>
      </c>
      <c r="B656">
        <v>1169321.1713609626</v>
      </c>
      <c r="C656">
        <v>95080.331181358561</v>
      </c>
      <c r="D656">
        <v>100636.95844130953</v>
      </c>
      <c r="E656">
        <v>94162.909489317928</v>
      </c>
      <c r="F656">
        <v>42518.970656952784</v>
      </c>
      <c r="G656">
        <v>10000</v>
      </c>
      <c r="H656">
        <v>322399.16976893879</v>
      </c>
      <c r="I656">
        <v>29.304772686178769</v>
      </c>
    </row>
    <row r="657" spans="1:9" x14ac:dyDescent="0.2">
      <c r="A657">
        <v>647</v>
      </c>
      <c r="B657">
        <v>1435518.6570113788</v>
      </c>
      <c r="C657">
        <v>132261.05737171671</v>
      </c>
      <c r="D657">
        <v>92818.206077102644</v>
      </c>
      <c r="E657">
        <v>134933.27952632017</v>
      </c>
      <c r="F657">
        <v>45341.534736437548</v>
      </c>
      <c r="G657">
        <v>10000</v>
      </c>
      <c r="H657">
        <v>395354.07771157706</v>
      </c>
      <c r="I657">
        <v>41.634226310502847</v>
      </c>
    </row>
    <row r="658" spans="1:9" x14ac:dyDescent="0.2">
      <c r="A658">
        <v>648</v>
      </c>
      <c r="B658">
        <v>1628018.174404165</v>
      </c>
      <c r="C658">
        <v>127905.43689142526</v>
      </c>
      <c r="D658">
        <v>75878.727834803954</v>
      </c>
      <c r="E658">
        <v>204190.65146471412</v>
      </c>
      <c r="F658">
        <v>50136.275870634061</v>
      </c>
      <c r="G658">
        <v>10000</v>
      </c>
      <c r="H658">
        <v>448111.09206157742</v>
      </c>
      <c r="I658">
        <v>32.761221874344216</v>
      </c>
    </row>
    <row r="659" spans="1:9" x14ac:dyDescent="0.2">
      <c r="A659">
        <v>649</v>
      </c>
      <c r="B659">
        <v>1652501.6832140004</v>
      </c>
      <c r="C659">
        <v>87225.172615570045</v>
      </c>
      <c r="D659">
        <v>120006.86582593605</v>
      </c>
      <c r="E659">
        <v>207241.5855424706</v>
      </c>
      <c r="F659">
        <v>50347.494383709498</v>
      </c>
      <c r="G659">
        <v>10000</v>
      </c>
      <c r="H659">
        <v>454821.11836768617</v>
      </c>
      <c r="I659">
        <v>34.98829194956032</v>
      </c>
    </row>
    <row r="660" spans="1:9" x14ac:dyDescent="0.2">
      <c r="A660">
        <v>650</v>
      </c>
      <c r="B660">
        <v>1193085.197989749</v>
      </c>
      <c r="C660">
        <v>121792.72717608188</v>
      </c>
      <c r="D660">
        <v>94004.779519790463</v>
      </c>
      <c r="E660">
        <v>81473.998288900417</v>
      </c>
      <c r="F660">
        <v>41640.507573846953</v>
      </c>
      <c r="G660">
        <v>10000</v>
      </c>
      <c r="H660">
        <v>328912.01255861972</v>
      </c>
      <c r="I660">
        <v>24.367548689558319</v>
      </c>
    </row>
    <row r="661" spans="1:9" x14ac:dyDescent="0.2">
      <c r="A661">
        <v>651</v>
      </c>
      <c r="B661">
        <v>1656098.3154701747</v>
      </c>
      <c r="C661">
        <v>92595.630888540007</v>
      </c>
      <c r="D661">
        <v>163043.65869397801</v>
      </c>
      <c r="E661">
        <v>162890.49845958906</v>
      </c>
      <c r="F661">
        <v>47277.034508740777</v>
      </c>
      <c r="G661">
        <v>10000</v>
      </c>
      <c r="H661">
        <v>455806.82255084784</v>
      </c>
      <c r="I661">
        <v>36.432661820238522</v>
      </c>
    </row>
    <row r="662" spans="1:9" x14ac:dyDescent="0.2">
      <c r="A662">
        <v>652</v>
      </c>
      <c r="B662">
        <v>1035380.5638850814</v>
      </c>
      <c r="C662">
        <v>103322.81718346494</v>
      </c>
      <c r="D662">
        <v>63571.753723551767</v>
      </c>
      <c r="E662">
        <v>86788.019504910306</v>
      </c>
      <c r="F662">
        <v>42008.401350339947</v>
      </c>
      <c r="G662">
        <v>10000</v>
      </c>
      <c r="H662">
        <v>285690.99176226696</v>
      </c>
      <c r="I662">
        <v>40.621438202301874</v>
      </c>
    </row>
    <row r="663" spans="1:9" x14ac:dyDescent="0.2">
      <c r="A663">
        <v>653</v>
      </c>
      <c r="B663">
        <v>1538436.4483967032</v>
      </c>
      <c r="C663">
        <v>137769.66794213132</v>
      </c>
      <c r="D663">
        <v>75271.823775796278</v>
      </c>
      <c r="E663">
        <v>172571.31031343629</v>
      </c>
      <c r="F663">
        <v>47947.244560160972</v>
      </c>
      <c r="G663">
        <v>10000</v>
      </c>
      <c r="H663">
        <v>423560.04659152485</v>
      </c>
      <c r="I663">
        <v>40.165272691410763</v>
      </c>
    </row>
    <row r="664" spans="1:9" x14ac:dyDescent="0.2">
      <c r="A664">
        <v>654</v>
      </c>
      <c r="B664">
        <v>1105038.4795076859</v>
      </c>
      <c r="C664">
        <v>135408.02056731997</v>
      </c>
      <c r="D664">
        <v>53467.238567578323</v>
      </c>
      <c r="E664">
        <v>84085.119378117117</v>
      </c>
      <c r="F664">
        <v>41821.277495408103</v>
      </c>
      <c r="G664">
        <v>10000</v>
      </c>
      <c r="H664">
        <v>304781.65600842348</v>
      </c>
      <c r="I664">
        <v>38.917539789134537</v>
      </c>
    </row>
    <row r="665" spans="1:9" x14ac:dyDescent="0.2">
      <c r="A665">
        <v>655</v>
      </c>
      <c r="B665">
        <v>1680880.437111659</v>
      </c>
      <c r="C665">
        <v>104416.46490099383</v>
      </c>
      <c r="D665">
        <v>112796.79273825782</v>
      </c>
      <c r="E665">
        <v>205180.61796301283</v>
      </c>
      <c r="F665">
        <v>50204.812012823968</v>
      </c>
      <c r="G665">
        <v>10000</v>
      </c>
      <c r="H665">
        <v>462598.68761508842</v>
      </c>
      <c r="I665">
        <v>31.021054190130318</v>
      </c>
    </row>
    <row r="666" spans="1:9" x14ac:dyDescent="0.2">
      <c r="A666">
        <v>656</v>
      </c>
      <c r="B666">
        <v>1215057.8019139096</v>
      </c>
      <c r="C666">
        <v>128032.49164970547</v>
      </c>
      <c r="D666">
        <v>74503.467985106414</v>
      </c>
      <c r="E666">
        <v>99508.858065740089</v>
      </c>
      <c r="F666">
        <v>42889.074789166618</v>
      </c>
      <c r="G666">
        <v>10000</v>
      </c>
      <c r="H666">
        <v>334933.89248971856</v>
      </c>
      <c r="I666">
        <v>32.45660120279711</v>
      </c>
    </row>
    <row r="667" spans="1:9" x14ac:dyDescent="0.2">
      <c r="A667">
        <v>657</v>
      </c>
      <c r="B667">
        <v>1496757.2542103194</v>
      </c>
      <c r="C667">
        <v>148471.72997427839</v>
      </c>
      <c r="D667">
        <v>89346.383604070943</v>
      </c>
      <c r="E667">
        <v>138715.80218826307</v>
      </c>
      <c r="F667">
        <v>45603.401689956678</v>
      </c>
      <c r="G667">
        <v>10000</v>
      </c>
      <c r="H667">
        <v>412137.31745656906</v>
      </c>
      <c r="I667">
        <v>30.094386457427941</v>
      </c>
    </row>
    <row r="668" spans="1:9" x14ac:dyDescent="0.2">
      <c r="A668">
        <v>658</v>
      </c>
      <c r="B668">
        <v>1105569.0297071601</v>
      </c>
      <c r="C668">
        <v>116561.48133878149</v>
      </c>
      <c r="D668">
        <v>127954.81581665461</v>
      </c>
      <c r="E668">
        <v>32182.728065096991</v>
      </c>
      <c r="F668">
        <v>38228.035019891329</v>
      </c>
      <c r="G668">
        <v>10000</v>
      </c>
      <c r="H668">
        <v>304927.06024042441</v>
      </c>
      <c r="I668">
        <v>30.730462472180452</v>
      </c>
    </row>
    <row r="669" spans="1:9" x14ac:dyDescent="0.2">
      <c r="A669">
        <v>659</v>
      </c>
      <c r="B669">
        <v>1380468.5542536031</v>
      </c>
      <c r="C669">
        <v>84549.906450444789</v>
      </c>
      <c r="D669">
        <v>89395.29431590598</v>
      </c>
      <c r="E669">
        <v>168646.17101927861</v>
      </c>
      <c r="F669">
        <v>47675.504147488522</v>
      </c>
      <c r="G669">
        <v>10000</v>
      </c>
      <c r="H669">
        <v>380266.87593311793</v>
      </c>
      <c r="I669">
        <v>29.424799064440261</v>
      </c>
    </row>
    <row r="670" spans="1:9" x14ac:dyDescent="0.2">
      <c r="A670">
        <v>660</v>
      </c>
      <c r="B670">
        <v>1657043.1219750887</v>
      </c>
      <c r="C670">
        <v>121796.83432669705</v>
      </c>
      <c r="D670">
        <v>110231.77673980979</v>
      </c>
      <c r="E670">
        <v>185214.59892684079</v>
      </c>
      <c r="F670">
        <v>48822.549156473593</v>
      </c>
      <c r="G670">
        <v>10000</v>
      </c>
      <c r="H670">
        <v>456065.75914982124</v>
      </c>
      <c r="I670">
        <v>45.642771318924112</v>
      </c>
    </row>
    <row r="671" spans="1:9" x14ac:dyDescent="0.2">
      <c r="A671">
        <v>661</v>
      </c>
      <c r="B671">
        <v>1252866.6886991311</v>
      </c>
      <c r="C671">
        <v>96956.788036822603</v>
      </c>
      <c r="D671">
        <v>57485.154786861196</v>
      </c>
      <c r="E671">
        <v>154179.97227856869</v>
      </c>
      <c r="F671">
        <v>46673.998080823978</v>
      </c>
      <c r="G671">
        <v>10000</v>
      </c>
      <c r="H671">
        <v>345295.91318307648</v>
      </c>
      <c r="I671">
        <v>37.129979867699483</v>
      </c>
    </row>
    <row r="672" spans="1:9" x14ac:dyDescent="0.2">
      <c r="A672">
        <v>662</v>
      </c>
      <c r="B672">
        <v>1113732.108268471</v>
      </c>
      <c r="C672">
        <v>119877.30622996624</v>
      </c>
      <c r="D672">
        <v>50582.363504452966</v>
      </c>
      <c r="E672">
        <v>103536.66608002051</v>
      </c>
      <c r="F672">
        <v>43167.923036309112</v>
      </c>
      <c r="G672">
        <v>10000</v>
      </c>
      <c r="H672">
        <v>307164.25885074883</v>
      </c>
      <c r="I672">
        <v>33.053888231302693</v>
      </c>
    </row>
    <row r="673" spans="1:9" x14ac:dyDescent="0.2">
      <c r="A673">
        <v>663</v>
      </c>
      <c r="B673">
        <v>1596281.7234340881</v>
      </c>
      <c r="C673">
        <v>96916.985024859707</v>
      </c>
      <c r="D673">
        <v>153716.54179424368</v>
      </c>
      <c r="E673">
        <v>152240.07745868491</v>
      </c>
      <c r="F673">
        <v>46539.69767021665</v>
      </c>
      <c r="G673">
        <v>10000</v>
      </c>
      <c r="H673">
        <v>439413.30194800498</v>
      </c>
      <c r="I673">
        <v>39.776011534431817</v>
      </c>
    </row>
    <row r="674" spans="1:9" x14ac:dyDescent="0.2">
      <c r="A674">
        <v>664</v>
      </c>
      <c r="B674">
        <v>1558854.9908895327</v>
      </c>
      <c r="C674">
        <v>126587.02498569687</v>
      </c>
      <c r="D674">
        <v>161746.19622806416</v>
      </c>
      <c r="E674">
        <v>107388.2249938422</v>
      </c>
      <c r="F674">
        <v>43434.569422650609</v>
      </c>
      <c r="G674">
        <v>10000</v>
      </c>
      <c r="H674">
        <v>429156.01563025382</v>
      </c>
      <c r="I674">
        <v>38.807149831550589</v>
      </c>
    </row>
    <row r="675" spans="1:9" x14ac:dyDescent="0.2">
      <c r="A675">
        <v>665</v>
      </c>
      <c r="B675">
        <v>835420.84117516968</v>
      </c>
      <c r="C675">
        <v>99574.871603227046</v>
      </c>
      <c r="D675">
        <v>45503.338598228103</v>
      </c>
      <c r="E675">
        <v>55938.532580045059</v>
      </c>
      <c r="F675">
        <v>39872.667640156964</v>
      </c>
      <c r="G675">
        <v>10000</v>
      </c>
      <c r="H675">
        <v>230889.41042165717</v>
      </c>
      <c r="I675">
        <v>28.368602727942989</v>
      </c>
    </row>
    <row r="676" spans="1:9" x14ac:dyDescent="0.2">
      <c r="A676">
        <v>666</v>
      </c>
      <c r="B676">
        <v>1015995.8335780455</v>
      </c>
      <c r="C676">
        <v>145701.80984618288</v>
      </c>
      <c r="D676">
        <v>68516.375271463068</v>
      </c>
      <c r="E676">
        <v>37559.868770438232</v>
      </c>
      <c r="F676">
        <v>38600.298607184188</v>
      </c>
      <c r="G676">
        <v>10000</v>
      </c>
      <c r="H676">
        <v>280378.35249526839</v>
      </c>
      <c r="I676">
        <v>25.188248880406015</v>
      </c>
    </row>
    <row r="677" spans="1:9" x14ac:dyDescent="0.2">
      <c r="A677">
        <v>667</v>
      </c>
      <c r="B677">
        <v>953643.38136302354</v>
      </c>
      <c r="C677">
        <v>86339.712858616404</v>
      </c>
      <c r="D677">
        <v>91649.146799256996</v>
      </c>
      <c r="E677">
        <v>55461.35431286721</v>
      </c>
      <c r="F677">
        <v>39839.632221660031</v>
      </c>
      <c r="G677">
        <v>10000</v>
      </c>
      <c r="H677">
        <v>263289.84619240067</v>
      </c>
      <c r="I677">
        <v>29.891681504341143</v>
      </c>
    </row>
    <row r="678" spans="1:9" x14ac:dyDescent="0.2">
      <c r="A678">
        <v>668</v>
      </c>
      <c r="B678">
        <v>774053.21783209534</v>
      </c>
      <c r="C678">
        <v>80456.522723110538</v>
      </c>
      <c r="D678">
        <v>41084.494549949268</v>
      </c>
      <c r="E678">
        <v>62222.107718165214</v>
      </c>
      <c r="F678">
        <v>40307.684380488361</v>
      </c>
      <c r="G678">
        <v>10000</v>
      </c>
      <c r="H678">
        <v>214070.80937171337</v>
      </c>
      <c r="I678">
        <v>50.011960212201792</v>
      </c>
    </row>
    <row r="679" spans="1:9" x14ac:dyDescent="0.2">
      <c r="A679">
        <v>669</v>
      </c>
      <c r="B679">
        <v>1080998.6569170617</v>
      </c>
      <c r="C679">
        <v>112898.5303606782</v>
      </c>
      <c r="D679">
        <v>50832.126185184243</v>
      </c>
      <c r="E679">
        <v>101439.81476967369</v>
      </c>
      <c r="F679">
        <v>43022.756407131259</v>
      </c>
      <c r="G679">
        <v>10000</v>
      </c>
      <c r="H679">
        <v>298193.22772266739</v>
      </c>
      <c r="I679">
        <v>40.601719092642895</v>
      </c>
    </row>
    <row r="680" spans="1:9" x14ac:dyDescent="0.2">
      <c r="A680">
        <v>670</v>
      </c>
      <c r="B680">
        <v>1134372.6703382591</v>
      </c>
      <c r="C680">
        <v>72470.236108792596</v>
      </c>
      <c r="D680">
        <v>68229.700071589265</v>
      </c>
      <c r="E680">
        <v>136660.05813467671</v>
      </c>
      <c r="F680">
        <v>45461.080947785311</v>
      </c>
      <c r="G680">
        <v>10000</v>
      </c>
      <c r="H680">
        <v>312821.07526284386</v>
      </c>
      <c r="I680">
        <v>34.281927103033091</v>
      </c>
    </row>
    <row r="681" spans="1:9" x14ac:dyDescent="0.2">
      <c r="A681">
        <v>671</v>
      </c>
      <c r="B681">
        <v>1322196.2330892631</v>
      </c>
      <c r="C681">
        <v>104006.21424755651</v>
      </c>
      <c r="D681">
        <v>48093.352250536998</v>
      </c>
      <c r="E681">
        <v>174141.09456221739</v>
      </c>
      <c r="F681">
        <v>48055.921931230434</v>
      </c>
      <c r="G681">
        <v>10000</v>
      </c>
      <c r="H681">
        <v>364296.58299154136</v>
      </c>
      <c r="I681">
        <v>38.754576738913208</v>
      </c>
    </row>
    <row r="682" spans="1:9" x14ac:dyDescent="0.2">
      <c r="A682">
        <v>672</v>
      </c>
      <c r="B682">
        <v>1552800.1249265149</v>
      </c>
      <c r="C682">
        <v>111935.6337284936</v>
      </c>
      <c r="D682">
        <v>139332.9162137286</v>
      </c>
      <c r="E682">
        <v>140501.05429013414</v>
      </c>
      <c r="F682">
        <v>45726.996066240055</v>
      </c>
      <c r="G682">
        <v>10000</v>
      </c>
      <c r="H682">
        <v>427496.60029859637</v>
      </c>
      <c r="I682">
        <v>31.467937729416715</v>
      </c>
    </row>
    <row r="683" spans="1:9" x14ac:dyDescent="0.2">
      <c r="A683">
        <v>673</v>
      </c>
      <c r="B683">
        <v>1171714.3053245957</v>
      </c>
      <c r="C683">
        <v>90027.063017964028</v>
      </c>
      <c r="D683">
        <v>64241.532156720263</v>
      </c>
      <c r="E683">
        <v>133541.27884674206</v>
      </c>
      <c r="F683">
        <v>45245.165458620606</v>
      </c>
      <c r="G683">
        <v>10000</v>
      </c>
      <c r="H683">
        <v>323055.03948004695</v>
      </c>
      <c r="I683">
        <v>29.557871578799883</v>
      </c>
    </row>
    <row r="684" spans="1:9" x14ac:dyDescent="0.2">
      <c r="A684">
        <v>674</v>
      </c>
      <c r="B684">
        <v>905112.4759268437</v>
      </c>
      <c r="C684">
        <v>116228.24977609364</v>
      </c>
      <c r="D684">
        <v>66688.567210722162</v>
      </c>
      <c r="E684">
        <v>38413.12842087858</v>
      </c>
      <c r="F684">
        <v>38659.370429137751</v>
      </c>
      <c r="G684">
        <v>10000</v>
      </c>
      <c r="H684">
        <v>249989.31583683213</v>
      </c>
      <c r="I684">
        <v>35.661019063276242</v>
      </c>
    </row>
    <row r="685" spans="1:9" x14ac:dyDescent="0.2">
      <c r="A685">
        <v>675</v>
      </c>
      <c r="B685">
        <v>1654196.4297615835</v>
      </c>
      <c r="C685">
        <v>75285.41243419706</v>
      </c>
      <c r="D685">
        <v>135238.86727915279</v>
      </c>
      <c r="E685">
        <v>204596.90502834431</v>
      </c>
      <c r="F685">
        <v>50164.401117346912</v>
      </c>
      <c r="G685">
        <v>10000</v>
      </c>
      <c r="H685">
        <v>455285.58585904102</v>
      </c>
      <c r="I685">
        <v>42.392414030616543</v>
      </c>
    </row>
    <row r="686" spans="1:9" x14ac:dyDescent="0.2">
      <c r="A686">
        <v>676</v>
      </c>
      <c r="B686">
        <v>957916.63202875399</v>
      </c>
      <c r="C686">
        <v>102443.88284303079</v>
      </c>
      <c r="D686">
        <v>106894.25373653484</v>
      </c>
      <c r="E686">
        <v>27237.19778033816</v>
      </c>
      <c r="F686">
        <v>37885.652154023417</v>
      </c>
      <c r="G686">
        <v>10000</v>
      </c>
      <c r="H686">
        <v>264460.98651392723</v>
      </c>
      <c r="I686">
        <v>31.940897413195017</v>
      </c>
    </row>
    <row r="687" spans="1:9" x14ac:dyDescent="0.2">
      <c r="A687">
        <v>677</v>
      </c>
      <c r="B687">
        <v>1638326.1972800693</v>
      </c>
      <c r="C687">
        <v>149907.15242001222</v>
      </c>
      <c r="D687">
        <v>78305.225671729815</v>
      </c>
      <c r="E687">
        <v>183986.2528538777</v>
      </c>
      <c r="F687">
        <v>48737.509812960765</v>
      </c>
      <c r="G687">
        <v>10000</v>
      </c>
      <c r="H687">
        <v>450936.14075858053</v>
      </c>
      <c r="I687">
        <v>47.06623288802399</v>
      </c>
    </row>
    <row r="688" spans="1:9" x14ac:dyDescent="0.2">
      <c r="A688">
        <v>678</v>
      </c>
      <c r="B688">
        <v>1584957.4683704432</v>
      </c>
      <c r="C688">
        <v>105746.63358611162</v>
      </c>
      <c r="D688">
        <v>94181.540047032831</v>
      </c>
      <c r="E688">
        <v>196759.73973909556</v>
      </c>
      <c r="F688">
        <v>49621.828135783544</v>
      </c>
      <c r="G688">
        <v>10000</v>
      </c>
      <c r="H688">
        <v>436309.74150802358</v>
      </c>
      <c r="I688">
        <v>47.530429070592497</v>
      </c>
    </row>
    <row r="689" spans="1:9" x14ac:dyDescent="0.2">
      <c r="A689">
        <v>679</v>
      </c>
      <c r="B689">
        <v>853096.84674229857</v>
      </c>
      <c r="C689">
        <v>74126.062178501568</v>
      </c>
      <c r="D689">
        <v>78373.1800024736</v>
      </c>
      <c r="E689">
        <v>53528.677584531775</v>
      </c>
      <c r="F689">
        <v>39705.831525082969</v>
      </c>
      <c r="G689">
        <v>10000</v>
      </c>
      <c r="H689">
        <v>235733.75129058989</v>
      </c>
      <c r="I689">
        <v>43.59896904802072</v>
      </c>
    </row>
    <row r="690" spans="1:9" x14ac:dyDescent="0.2">
      <c r="A690">
        <v>680</v>
      </c>
      <c r="B690">
        <v>941979.70843725186</v>
      </c>
      <c r="C690">
        <v>145723.32915576798</v>
      </c>
      <c r="D690">
        <v>41920.897755948718</v>
      </c>
      <c r="E690">
        <v>43441.545329702349</v>
      </c>
      <c r="F690">
        <v>39007.491599748624</v>
      </c>
      <c r="G690">
        <v>10000</v>
      </c>
      <c r="H690">
        <v>260093.26384116767</v>
      </c>
      <c r="I690">
        <v>35.657134299205559</v>
      </c>
    </row>
    <row r="691" spans="1:9" x14ac:dyDescent="0.2">
      <c r="A691">
        <v>681</v>
      </c>
      <c r="B691">
        <v>1515958.4907374997</v>
      </c>
      <c r="C691">
        <v>139185.51098677877</v>
      </c>
      <c r="D691">
        <v>84027.870461712722</v>
      </c>
      <c r="E691">
        <v>157296.52684991882</v>
      </c>
      <c r="F691">
        <v>46889.759551148229</v>
      </c>
      <c r="G691">
        <v>10000</v>
      </c>
      <c r="H691">
        <v>417399.66784955852</v>
      </c>
      <c r="I691">
        <v>40.28874694074392</v>
      </c>
    </row>
    <row r="692" spans="1:9" x14ac:dyDescent="0.2">
      <c r="A692">
        <v>682</v>
      </c>
      <c r="B692">
        <v>1145210.7498650672</v>
      </c>
      <c r="C692">
        <v>85365.935871649839</v>
      </c>
      <c r="D692">
        <v>107065.82901962088</v>
      </c>
      <c r="E692">
        <v>91055.767228967074</v>
      </c>
      <c r="F692">
        <v>42303.860808159261</v>
      </c>
      <c r="G692">
        <v>10000</v>
      </c>
      <c r="H692">
        <v>315791.39292839711</v>
      </c>
      <c r="I692">
        <v>29.822954734597843</v>
      </c>
    </row>
    <row r="693" spans="1:9" x14ac:dyDescent="0.2">
      <c r="A693">
        <v>683</v>
      </c>
      <c r="B693">
        <v>1353984.8932822444</v>
      </c>
      <c r="C693">
        <v>102891.95514728312</v>
      </c>
      <c r="D693">
        <v>90740.848569959489</v>
      </c>
      <c r="E693">
        <v>143445.06576410503</v>
      </c>
      <c r="F693">
        <v>45930.812245207271</v>
      </c>
      <c r="G693">
        <v>10000</v>
      </c>
      <c r="H693">
        <v>373008.68172655487</v>
      </c>
      <c r="I693">
        <v>35.291708894578285</v>
      </c>
    </row>
    <row r="694" spans="1:9" x14ac:dyDescent="0.2">
      <c r="A694">
        <v>684</v>
      </c>
      <c r="B694">
        <v>1142814.2708679407</v>
      </c>
      <c r="C694">
        <v>87401.527466767453</v>
      </c>
      <c r="D694">
        <v>128340.15155582382</v>
      </c>
      <c r="E694">
        <v>68640.867394091067</v>
      </c>
      <c r="F694">
        <v>40752.060050360153</v>
      </c>
      <c r="G694">
        <v>10000</v>
      </c>
      <c r="H694">
        <v>315134.60646704247</v>
      </c>
      <c r="I694">
        <v>43.271737685951535</v>
      </c>
    </row>
    <row r="695" spans="1:9" x14ac:dyDescent="0.2">
      <c r="A695">
        <v>685</v>
      </c>
      <c r="B695">
        <v>1562829.9998722433</v>
      </c>
      <c r="C695">
        <v>118699.42354592643</v>
      </c>
      <c r="D695">
        <v>85989.873291137308</v>
      </c>
      <c r="E695">
        <v>186635.22208427836</v>
      </c>
      <c r="F695">
        <v>48920.899990450045</v>
      </c>
      <c r="G695">
        <v>10000</v>
      </c>
      <c r="H695">
        <v>430245.41891179216</v>
      </c>
      <c r="I695">
        <v>37.844397397007484</v>
      </c>
    </row>
    <row r="696" spans="1:9" x14ac:dyDescent="0.2">
      <c r="A696">
        <v>686</v>
      </c>
      <c r="B696">
        <v>1032079.4880124553</v>
      </c>
      <c r="C696">
        <v>80077.168374142813</v>
      </c>
      <c r="D696">
        <v>48303.161394693685</v>
      </c>
      <c r="E696">
        <v>121962.40761251055</v>
      </c>
      <c r="F696">
        <v>44443.551296250727</v>
      </c>
      <c r="G696">
        <v>10000</v>
      </c>
      <c r="H696">
        <v>284786.28867759777</v>
      </c>
      <c r="I696">
        <v>35.245053931987769</v>
      </c>
    </row>
    <row r="697" spans="1:9" x14ac:dyDescent="0.2">
      <c r="A697">
        <v>687</v>
      </c>
      <c r="B697">
        <v>1117819.423450531</v>
      </c>
      <c r="C697">
        <v>111629.68474404103</v>
      </c>
      <c r="D697">
        <v>96617.213398436652</v>
      </c>
      <c r="E697">
        <v>69243.745228299013</v>
      </c>
      <c r="F697">
        <v>40793.797746574543</v>
      </c>
      <c r="G697">
        <v>10000</v>
      </c>
      <c r="H697">
        <v>308284.44111735123</v>
      </c>
      <c r="I697">
        <v>36.27123300997431</v>
      </c>
    </row>
    <row r="698" spans="1:9" x14ac:dyDescent="0.2">
      <c r="A698">
        <v>688</v>
      </c>
      <c r="B698">
        <v>1684866.4297721046</v>
      </c>
      <c r="C698">
        <v>146072.83012663774</v>
      </c>
      <c r="D698">
        <v>137334.53552362244</v>
      </c>
      <c r="E698">
        <v>144294.14108436459</v>
      </c>
      <c r="F698">
        <v>45989.594382763702</v>
      </c>
      <c r="G698">
        <v>10000</v>
      </c>
      <c r="H698">
        <v>463691.10111738846</v>
      </c>
      <c r="I698">
        <v>31.077862982219198</v>
      </c>
    </row>
    <row r="699" spans="1:9" x14ac:dyDescent="0.2">
      <c r="A699">
        <v>689</v>
      </c>
      <c r="B699">
        <v>1454203.1252108095</v>
      </c>
      <c r="C699">
        <v>123654.95889085621</v>
      </c>
      <c r="D699">
        <v>62019.087986711282</v>
      </c>
      <c r="E699">
        <v>176576.24483936699</v>
      </c>
      <c r="F699">
        <v>48224.509258110018</v>
      </c>
      <c r="G699">
        <v>10000</v>
      </c>
      <c r="H699">
        <v>400474.80097504449</v>
      </c>
      <c r="I699">
        <v>45.085326956045904</v>
      </c>
    </row>
    <row r="700" spans="1:9" x14ac:dyDescent="0.2">
      <c r="A700">
        <v>690</v>
      </c>
      <c r="B700">
        <v>1266654.2800136474</v>
      </c>
      <c r="C700">
        <v>140289.1299856868</v>
      </c>
      <c r="D700">
        <v>88794.540050138501</v>
      </c>
      <c r="E700">
        <v>87905.170576393444</v>
      </c>
      <c r="F700">
        <v>42085.742578365702</v>
      </c>
      <c r="G700">
        <v>10000</v>
      </c>
      <c r="H700">
        <v>349074.58319058444</v>
      </c>
      <c r="I700">
        <v>26.778506790118897</v>
      </c>
    </row>
    <row r="701" spans="1:9" x14ac:dyDescent="0.2">
      <c r="A701">
        <v>691</v>
      </c>
      <c r="B701">
        <v>890815.7552945168</v>
      </c>
      <c r="C701">
        <v>84973.385835493857</v>
      </c>
      <c r="D701">
        <v>97830.879470946413</v>
      </c>
      <c r="E701">
        <v>34853.885649878976</v>
      </c>
      <c r="F701">
        <v>38412.96131422239</v>
      </c>
      <c r="G701">
        <v>10000</v>
      </c>
      <c r="H701">
        <v>246071.11227054163</v>
      </c>
      <c r="I701">
        <v>48.049295655998819</v>
      </c>
    </row>
    <row r="702" spans="1:9" x14ac:dyDescent="0.2">
      <c r="A702">
        <v>692</v>
      </c>
      <c r="B702">
        <v>1060556.4169376728</v>
      </c>
      <c r="C702">
        <v>114497.14117164296</v>
      </c>
      <c r="D702">
        <v>94076.698305452344</v>
      </c>
      <c r="E702">
        <v>54260.433079352835</v>
      </c>
      <c r="F702">
        <v>39756.49152087827</v>
      </c>
      <c r="G702">
        <v>10000</v>
      </c>
      <c r="H702">
        <v>292590.7640773264</v>
      </c>
      <c r="I702">
        <v>35.604388545630947</v>
      </c>
    </row>
    <row r="703" spans="1:9" x14ac:dyDescent="0.2">
      <c r="A703">
        <v>693</v>
      </c>
      <c r="B703">
        <v>1342557.5019583788</v>
      </c>
      <c r="C703">
        <v>158251.69637366041</v>
      </c>
      <c r="D703">
        <v>119504.72941946016</v>
      </c>
      <c r="E703">
        <v>61839.250752104141</v>
      </c>
      <c r="F703">
        <v>40281.178898222592</v>
      </c>
      <c r="G703">
        <v>10000</v>
      </c>
      <c r="H703">
        <v>369876.8554434473</v>
      </c>
      <c r="I703">
        <v>34.336491437026666</v>
      </c>
    </row>
    <row r="704" spans="1:9" x14ac:dyDescent="0.2">
      <c r="A704">
        <v>694</v>
      </c>
      <c r="B704">
        <v>1154735.9549209159</v>
      </c>
      <c r="C704">
        <v>112532.43379409694</v>
      </c>
      <c r="D704">
        <v>103288.8035148482</v>
      </c>
      <c r="E704">
        <v>71622.202654716923</v>
      </c>
      <c r="F704">
        <v>40958.460183788098</v>
      </c>
      <c r="G704">
        <v>10000</v>
      </c>
      <c r="H704">
        <v>318401.90014745016</v>
      </c>
      <c r="I704">
        <v>35.320075297064051</v>
      </c>
    </row>
    <row r="705" spans="1:9" x14ac:dyDescent="0.2">
      <c r="A705">
        <v>695</v>
      </c>
      <c r="B705">
        <v>1208489.3630813411</v>
      </c>
      <c r="C705">
        <v>141215.09900905206</v>
      </c>
      <c r="D705">
        <v>77265.817921692505</v>
      </c>
      <c r="E705">
        <v>82912.698929110658</v>
      </c>
      <c r="F705">
        <v>41740.109925861507</v>
      </c>
      <c r="G705">
        <v>10000</v>
      </c>
      <c r="H705">
        <v>333133.72578571673</v>
      </c>
      <c r="I705">
        <v>36.104070684979376</v>
      </c>
    </row>
    <row r="706" spans="1:9" x14ac:dyDescent="0.2">
      <c r="A706">
        <v>696</v>
      </c>
      <c r="B706">
        <v>1360530.7830500053</v>
      </c>
      <c r="C706">
        <v>77744.511660188451</v>
      </c>
      <c r="D706">
        <v>139175.45224642768</v>
      </c>
      <c r="E706">
        <v>123343.53672989858</v>
      </c>
      <c r="F706">
        <v>44539.167927454517</v>
      </c>
      <c r="G706">
        <v>10000</v>
      </c>
      <c r="H706">
        <v>374802.66856396926</v>
      </c>
      <c r="I706">
        <v>33.035275587882737</v>
      </c>
    </row>
    <row r="707" spans="1:9" x14ac:dyDescent="0.2">
      <c r="A707">
        <v>697</v>
      </c>
      <c r="B707">
        <v>1390148.3569017509</v>
      </c>
      <c r="C707">
        <v>78556.287582584831</v>
      </c>
      <c r="D707">
        <v>65529.289810001355</v>
      </c>
      <c r="E707">
        <v>199053.54520240045</v>
      </c>
      <c r="F707">
        <v>49780.630052473876</v>
      </c>
      <c r="G707">
        <v>10000</v>
      </c>
      <c r="H707">
        <v>382919.7526474605</v>
      </c>
      <c r="I707">
        <v>36.896669189598867</v>
      </c>
    </row>
    <row r="708" spans="1:9" x14ac:dyDescent="0.2">
      <c r="A708">
        <v>698</v>
      </c>
      <c r="B708">
        <v>1270429.154429887</v>
      </c>
      <c r="C708">
        <v>155398.47641392532</v>
      </c>
      <c r="D708">
        <v>76679.206118553149</v>
      </c>
      <c r="E708">
        <v>86072.583289284012</v>
      </c>
      <c r="F708">
        <v>41958.871150796585</v>
      </c>
      <c r="G708">
        <v>10000</v>
      </c>
      <c r="H708">
        <v>350109.13697255909</v>
      </c>
      <c r="I708">
        <v>33.245100645243625</v>
      </c>
    </row>
    <row r="709" spans="1:9" x14ac:dyDescent="0.2">
      <c r="A709">
        <v>699</v>
      </c>
      <c r="B709">
        <v>1806978.0032949462</v>
      </c>
      <c r="C709">
        <v>158589.92965534821</v>
      </c>
      <c r="D709">
        <v>121615.49256407189</v>
      </c>
      <c r="E709">
        <v>178588.15953748376</v>
      </c>
      <c r="F709">
        <v>48363.795660287338</v>
      </c>
      <c r="G709">
        <v>10000</v>
      </c>
      <c r="H709">
        <v>497157.37741719116</v>
      </c>
      <c r="I709">
        <v>28.150103806424447</v>
      </c>
    </row>
    <row r="710" spans="1:9" x14ac:dyDescent="0.2">
      <c r="A710">
        <v>700</v>
      </c>
      <c r="B710">
        <v>1095503.9229896737</v>
      </c>
      <c r="C710">
        <v>161099.45563463887</v>
      </c>
      <c r="D710">
        <v>68929.826406524124</v>
      </c>
      <c r="E710">
        <v>43151.866917090003</v>
      </c>
      <c r="F710">
        <v>38987.436940413922</v>
      </c>
      <c r="G710">
        <v>10000</v>
      </c>
      <c r="H710">
        <v>302168.58589866693</v>
      </c>
      <c r="I710">
        <v>48.459335619265488</v>
      </c>
    </row>
    <row r="711" spans="1:9" x14ac:dyDescent="0.2">
      <c r="A711">
        <v>701</v>
      </c>
      <c r="B711">
        <v>950005.89676097466</v>
      </c>
      <c r="C711">
        <v>108865.3915055687</v>
      </c>
      <c r="D711">
        <v>62700.592320635405</v>
      </c>
      <c r="E711">
        <v>60536.007684362783</v>
      </c>
      <c r="F711">
        <v>40190.954378148192</v>
      </c>
      <c r="G711">
        <v>10000</v>
      </c>
      <c r="H711">
        <v>262292.9458887151</v>
      </c>
      <c r="I711">
        <v>37.008835357780114</v>
      </c>
    </row>
    <row r="712" spans="1:9" x14ac:dyDescent="0.2">
      <c r="A712">
        <v>702</v>
      </c>
      <c r="B712">
        <v>1071857.0107949805</v>
      </c>
      <c r="C712">
        <v>145070.62517697518</v>
      </c>
      <c r="D712">
        <v>71144.578873849212</v>
      </c>
      <c r="E712">
        <v>50010.378808506546</v>
      </c>
      <c r="F712">
        <v>39462.256994435069</v>
      </c>
      <c r="G712">
        <v>10000</v>
      </c>
      <c r="H712">
        <v>295687.83985376603</v>
      </c>
      <c r="I712">
        <v>44.318619975501136</v>
      </c>
    </row>
    <row r="713" spans="1:9" x14ac:dyDescent="0.2">
      <c r="A713">
        <v>703</v>
      </c>
      <c r="B713">
        <v>1553881.0395075623</v>
      </c>
      <c r="C713">
        <v>159612.98059291265</v>
      </c>
      <c r="D713">
        <v>48112.776184262417</v>
      </c>
      <c r="E713">
        <v>181501.58778277197</v>
      </c>
      <c r="F713">
        <v>48565.494538807288</v>
      </c>
      <c r="G713">
        <v>10000</v>
      </c>
      <c r="H713">
        <v>427792.83909875434</v>
      </c>
      <c r="I713">
        <v>38.783905018568888</v>
      </c>
    </row>
    <row r="714" spans="1:9" x14ac:dyDescent="0.2">
      <c r="A714">
        <v>704</v>
      </c>
      <c r="B714">
        <v>961046.66200352809</v>
      </c>
      <c r="C714">
        <v>83558.439552927855</v>
      </c>
      <c r="D714">
        <v>64944.406938671542</v>
      </c>
      <c r="E714">
        <v>84935.795294634765</v>
      </c>
      <c r="F714">
        <v>41880.170443474715</v>
      </c>
      <c r="G714">
        <v>10000</v>
      </c>
      <c r="H714">
        <v>265318.81222970888</v>
      </c>
      <c r="I714">
        <v>51.593321526939704</v>
      </c>
    </row>
    <row r="715" spans="1:9" x14ac:dyDescent="0.2">
      <c r="A715">
        <v>705</v>
      </c>
      <c r="B715">
        <v>1372847.4242152225</v>
      </c>
      <c r="C715">
        <v>142859.98423580467</v>
      </c>
      <c r="D715">
        <v>175711.8205373541</v>
      </c>
      <c r="E715">
        <v>31430.446643119096</v>
      </c>
      <c r="F715">
        <v>38175.953998369783</v>
      </c>
      <c r="G715">
        <v>10000</v>
      </c>
      <c r="H715">
        <v>378178.20541464764</v>
      </c>
      <c r="I715">
        <v>39.970942032722448</v>
      </c>
    </row>
    <row r="716" spans="1:9" x14ac:dyDescent="0.2">
      <c r="A716">
        <v>706</v>
      </c>
      <c r="B716">
        <v>849024.79287850193</v>
      </c>
      <c r="C716">
        <v>87215.299598903235</v>
      </c>
      <c r="D716">
        <v>28002.801417763054</v>
      </c>
      <c r="E716">
        <v>87352.191181982023</v>
      </c>
      <c r="F716">
        <v>42047.459389521828</v>
      </c>
      <c r="G716">
        <v>10000</v>
      </c>
      <c r="H716">
        <v>234617.75158817015</v>
      </c>
      <c r="I716">
        <v>32.109929709517068</v>
      </c>
    </row>
    <row r="717" spans="1:9" x14ac:dyDescent="0.2">
      <c r="A717">
        <v>707</v>
      </c>
      <c r="B717">
        <v>1258526.6192708807</v>
      </c>
      <c r="C717">
        <v>87083.180441755889</v>
      </c>
      <c r="D717">
        <v>120770.59224987842</v>
      </c>
      <c r="E717">
        <v>105677.20445141738</v>
      </c>
      <c r="F717">
        <v>43316.11415432889</v>
      </c>
      <c r="G717">
        <v>10000</v>
      </c>
      <c r="H717">
        <v>346847.09129738057</v>
      </c>
      <c r="I717">
        <v>27.780716535453863</v>
      </c>
    </row>
    <row r="718" spans="1:9" x14ac:dyDescent="0.2">
      <c r="A718">
        <v>708</v>
      </c>
      <c r="B718">
        <v>1759398.5234312345</v>
      </c>
      <c r="C718">
        <v>139998.76192825718</v>
      </c>
      <c r="D718">
        <v>125417.2370662012</v>
      </c>
      <c r="E718">
        <v>180224.51677755252</v>
      </c>
      <c r="F718">
        <v>48477.081930753637</v>
      </c>
      <c r="G718">
        <v>10000</v>
      </c>
      <c r="H718">
        <v>484117.59770276456</v>
      </c>
      <c r="I718">
        <v>37.291635107377296</v>
      </c>
    </row>
    <row r="719" spans="1:9" x14ac:dyDescent="0.2">
      <c r="A719">
        <v>709</v>
      </c>
      <c r="B719">
        <v>1317376.7710456841</v>
      </c>
      <c r="C719">
        <v>125161.21888739348</v>
      </c>
      <c r="D719">
        <v>54086.229455772955</v>
      </c>
      <c r="E719">
        <v>147515.67433589385</v>
      </c>
      <c r="F719">
        <v>46212.62360786958</v>
      </c>
      <c r="G719">
        <v>10000</v>
      </c>
      <c r="H719">
        <v>362975.74628692993</v>
      </c>
      <c r="I719">
        <v>43.619439675049918</v>
      </c>
    </row>
    <row r="720" spans="1:9" x14ac:dyDescent="0.2">
      <c r="A720">
        <v>710</v>
      </c>
      <c r="B720">
        <v>1277828.1554615519</v>
      </c>
      <c r="C720">
        <v>141350.83352225198</v>
      </c>
      <c r="D720">
        <v>85094.792555885098</v>
      </c>
      <c r="E720">
        <v>93236.471412610132</v>
      </c>
      <c r="F720">
        <v>42454.832636257626</v>
      </c>
      <c r="G720">
        <v>10000</v>
      </c>
      <c r="H720">
        <v>352136.93012700486</v>
      </c>
      <c r="I720">
        <v>54.305828771190193</v>
      </c>
    </row>
    <row r="721" spans="1:9" x14ac:dyDescent="0.2">
      <c r="A721">
        <v>711</v>
      </c>
      <c r="B721">
        <v>1475587.0610302067</v>
      </c>
      <c r="C721">
        <v>139597.45013345566</v>
      </c>
      <c r="D721">
        <v>63922.587023369073</v>
      </c>
      <c r="E721">
        <v>165366.83813474112</v>
      </c>
      <c r="F721">
        <v>47448.473409328231</v>
      </c>
      <c r="G721">
        <v>10000</v>
      </c>
      <c r="H721">
        <v>406335.34870089404</v>
      </c>
      <c r="I721">
        <v>26.824116294867167</v>
      </c>
    </row>
    <row r="722" spans="1:9" x14ac:dyDescent="0.2">
      <c r="A722">
        <v>712</v>
      </c>
      <c r="B722">
        <v>1009808.4044885078</v>
      </c>
      <c r="C722">
        <v>102212.88575849017</v>
      </c>
      <c r="D722">
        <v>93125.344773143181</v>
      </c>
      <c r="E722">
        <v>53631.430763936813</v>
      </c>
      <c r="F722">
        <v>39712.945206734083</v>
      </c>
      <c r="G722">
        <v>10000</v>
      </c>
      <c r="H722">
        <v>278682.60650230426</v>
      </c>
      <c r="I722">
        <v>39.993927725325207</v>
      </c>
    </row>
    <row r="723" spans="1:9" x14ac:dyDescent="0.2">
      <c r="A723">
        <v>713</v>
      </c>
      <c r="B723">
        <v>1280307.1015910322</v>
      </c>
      <c r="C723">
        <v>122731.67989212641</v>
      </c>
      <c r="D723">
        <v>97342.211388482901</v>
      </c>
      <c r="E723">
        <v>99831.046372174984</v>
      </c>
      <c r="F723">
        <v>42911.380133458268</v>
      </c>
      <c r="G723">
        <v>10000</v>
      </c>
      <c r="H723">
        <v>352816.31778624258</v>
      </c>
      <c r="I723">
        <v>46.357805240139754</v>
      </c>
    </row>
    <row r="724" spans="1:9" x14ac:dyDescent="0.2">
      <c r="A724">
        <v>714</v>
      </c>
      <c r="B724">
        <v>1158990.0010559564</v>
      </c>
      <c r="C724">
        <v>109734.69182607533</v>
      </c>
      <c r="D724">
        <v>102171.91148978013</v>
      </c>
      <c r="E724">
        <v>76373.759762514892</v>
      </c>
      <c r="F724">
        <v>41287.41413740487</v>
      </c>
      <c r="G724">
        <v>10000</v>
      </c>
      <c r="H724">
        <v>319567.77721577522</v>
      </c>
      <c r="I724">
        <v>38.29223380458766</v>
      </c>
    </row>
    <row r="725" spans="1:9" x14ac:dyDescent="0.2">
      <c r="A725">
        <v>715</v>
      </c>
      <c r="B725">
        <v>1564685.9111179144</v>
      </c>
      <c r="C725">
        <v>125871.81721097919</v>
      </c>
      <c r="D725">
        <v>135794.99290974773</v>
      </c>
      <c r="E725">
        <v>133822.60377899153</v>
      </c>
      <c r="F725">
        <v>45264.641800084028</v>
      </c>
      <c r="G725">
        <v>10000</v>
      </c>
      <c r="H725">
        <v>430754.05569980247</v>
      </c>
      <c r="I725">
        <v>50.424955966312382</v>
      </c>
    </row>
    <row r="726" spans="1:9" x14ac:dyDescent="0.2">
      <c r="A726">
        <v>716</v>
      </c>
      <c r="B726">
        <v>1585559.7749904231</v>
      </c>
      <c r="C726">
        <v>115674.92881365929</v>
      </c>
      <c r="D726">
        <v>108295.20910904319</v>
      </c>
      <c r="E726">
        <v>174428.83142850106</v>
      </c>
      <c r="F726">
        <v>48075.842175819307</v>
      </c>
      <c r="G726">
        <v>10000</v>
      </c>
      <c r="H726">
        <v>436474.81152702286</v>
      </c>
      <c r="I726">
        <v>25.36862945775912</v>
      </c>
    </row>
    <row r="727" spans="1:9" x14ac:dyDescent="0.2">
      <c r="A727">
        <v>717</v>
      </c>
      <c r="B727">
        <v>878747.60170769109</v>
      </c>
      <c r="C727">
        <v>95118.952699421439</v>
      </c>
      <c r="D727">
        <v>91721.434436928306</v>
      </c>
      <c r="E727">
        <v>27985.810379280378</v>
      </c>
      <c r="F727">
        <v>37937.479180104026</v>
      </c>
      <c r="G727">
        <v>10000</v>
      </c>
      <c r="H727">
        <v>242763.67669573415</v>
      </c>
      <c r="I727">
        <v>35.432078746931005</v>
      </c>
    </row>
    <row r="728" spans="1:9" x14ac:dyDescent="0.2">
      <c r="A728">
        <v>718</v>
      </c>
      <c r="B728">
        <v>1589272.8649791535</v>
      </c>
      <c r="C728">
        <v>140933.30329386747</v>
      </c>
      <c r="D728">
        <v>115388.26224517831</v>
      </c>
      <c r="E728">
        <v>145123.83238830086</v>
      </c>
      <c r="F728">
        <v>46047.034549959295</v>
      </c>
      <c r="G728">
        <v>10000</v>
      </c>
      <c r="H728">
        <v>437492.43247730593</v>
      </c>
      <c r="I728">
        <v>39.944402201153608</v>
      </c>
    </row>
    <row r="729" spans="1:9" x14ac:dyDescent="0.2">
      <c r="A729">
        <v>719</v>
      </c>
      <c r="B729">
        <v>1513447.0363596359</v>
      </c>
      <c r="C729">
        <v>110333.60539256482</v>
      </c>
      <c r="D729">
        <v>109101.22859253013</v>
      </c>
      <c r="E729">
        <v>160186.6891813651</v>
      </c>
      <c r="F729">
        <v>47089.847712556046</v>
      </c>
      <c r="G729">
        <v>10000</v>
      </c>
      <c r="H729">
        <v>416711.37087901612</v>
      </c>
      <c r="I729">
        <v>43.37595934003906</v>
      </c>
    </row>
    <row r="730" spans="1:9" x14ac:dyDescent="0.2">
      <c r="A730">
        <v>720</v>
      </c>
      <c r="B730">
        <v>1495260.4665166752</v>
      </c>
      <c r="C730">
        <v>92908.320141336546</v>
      </c>
      <c r="D730">
        <v>100255.88684815001</v>
      </c>
      <c r="E730">
        <v>180094.79500043381</v>
      </c>
      <c r="F730">
        <v>48468.10119233773</v>
      </c>
      <c r="G730">
        <v>10000</v>
      </c>
      <c r="H730">
        <v>411727.10318225814</v>
      </c>
      <c r="I730">
        <v>33.404121896990716</v>
      </c>
    </row>
    <row r="731" spans="1:9" x14ac:dyDescent="0.2">
      <c r="A731">
        <v>721</v>
      </c>
      <c r="B731">
        <v>998437.44141057332</v>
      </c>
      <c r="C731">
        <v>105426.4541024838</v>
      </c>
      <c r="D731">
        <v>96232.870370194112</v>
      </c>
      <c r="E731">
        <v>44805.033698152969</v>
      </c>
      <c r="F731">
        <v>39101.886948333668</v>
      </c>
      <c r="G731">
        <v>10000</v>
      </c>
      <c r="H731">
        <v>275566.24511916452</v>
      </c>
      <c r="I731">
        <v>49.500952588003074</v>
      </c>
    </row>
    <row r="732" spans="1:9" x14ac:dyDescent="0.2">
      <c r="A732">
        <v>722</v>
      </c>
      <c r="B732">
        <v>1201944.6111868534</v>
      </c>
      <c r="C732">
        <v>122531.22365711127</v>
      </c>
      <c r="D732">
        <v>43413.58754749495</v>
      </c>
      <c r="E732">
        <v>130369.64854000247</v>
      </c>
      <c r="F732">
        <v>45025.591052769407</v>
      </c>
      <c r="G732">
        <v>10000</v>
      </c>
      <c r="H732">
        <v>331340.05079737812</v>
      </c>
      <c r="I732">
        <v>42.929450384359207</v>
      </c>
    </row>
    <row r="733" spans="1:9" x14ac:dyDescent="0.2">
      <c r="A733">
        <v>723</v>
      </c>
      <c r="B733">
        <v>1082795.8919622209</v>
      </c>
      <c r="C733">
        <v>92412.85950785673</v>
      </c>
      <c r="D733">
        <v>67225.743825953745</v>
      </c>
      <c r="E733">
        <v>105727.57860010778</v>
      </c>
      <c r="F733">
        <v>43319.60159539208</v>
      </c>
      <c r="G733">
        <v>10000</v>
      </c>
      <c r="H733">
        <v>298685.78352931037</v>
      </c>
      <c r="I733">
        <v>35.836637086777912</v>
      </c>
    </row>
    <row r="734" spans="1:9" x14ac:dyDescent="0.2">
      <c r="A734">
        <v>724</v>
      </c>
      <c r="B734">
        <v>1523906.7711220784</v>
      </c>
      <c r="C734">
        <v>132070.65929545529</v>
      </c>
      <c r="D734">
        <v>174223.73893934276</v>
      </c>
      <c r="E734">
        <v>81632.143857812887</v>
      </c>
      <c r="F734">
        <v>41651.456113233202</v>
      </c>
      <c r="G734">
        <v>10000</v>
      </c>
      <c r="H734">
        <v>419577.9982058442</v>
      </c>
      <c r="I734">
        <v>29.944992544072768</v>
      </c>
    </row>
    <row r="735" spans="1:9" x14ac:dyDescent="0.2">
      <c r="A735">
        <v>725</v>
      </c>
      <c r="B735">
        <v>1108016.5365218499</v>
      </c>
      <c r="C735">
        <v>134080.06298068722</v>
      </c>
      <c r="D735">
        <v>59273.20885618277</v>
      </c>
      <c r="E735">
        <v>80660.379581844027</v>
      </c>
      <c r="F735">
        <v>41584.180124896899</v>
      </c>
      <c r="G735">
        <v>10000</v>
      </c>
      <c r="H735">
        <v>305597.8315436109</v>
      </c>
      <c r="I735">
        <v>40.657310380250024</v>
      </c>
    </row>
    <row r="736" spans="1:9" x14ac:dyDescent="0.2">
      <c r="A736">
        <v>726</v>
      </c>
      <c r="B736">
        <v>1744241.1548327755</v>
      </c>
      <c r="C736">
        <v>116908.53377656583</v>
      </c>
      <c r="D736">
        <v>119804.9028344133</v>
      </c>
      <c r="E736">
        <v>203183.53336650366</v>
      </c>
      <c r="F736">
        <v>50066.552309988721</v>
      </c>
      <c r="G736">
        <v>10000</v>
      </c>
      <c r="H736">
        <v>479963.52228747151</v>
      </c>
      <c r="I736">
        <v>30.604878084139926</v>
      </c>
    </row>
    <row r="737" spans="1:9" x14ac:dyDescent="0.2">
      <c r="A737">
        <v>727</v>
      </c>
      <c r="B737">
        <v>1194568.4384190224</v>
      </c>
      <c r="C737">
        <v>139723.782730098</v>
      </c>
      <c r="D737">
        <v>111342.37113199114</v>
      </c>
      <c r="E737">
        <v>48869.113823924759</v>
      </c>
      <c r="F737">
        <v>39383.246341656326</v>
      </c>
      <c r="G737">
        <v>10000</v>
      </c>
      <c r="H737">
        <v>329318.5140276702</v>
      </c>
      <c r="I737">
        <v>36.35834927913271</v>
      </c>
    </row>
    <row r="738" spans="1:9" x14ac:dyDescent="0.2">
      <c r="A738">
        <v>728</v>
      </c>
      <c r="B738">
        <v>1149225.7837245427</v>
      </c>
      <c r="C738">
        <v>128141.06581552853</v>
      </c>
      <c r="D738">
        <v>88505.466088922942</v>
      </c>
      <c r="E738">
        <v>69437.988303191989</v>
      </c>
      <c r="F738">
        <v>40807.245344067138</v>
      </c>
      <c r="G738">
        <v>10000</v>
      </c>
      <c r="H738">
        <v>316891.76555171062</v>
      </c>
      <c r="I738">
        <v>30.101812433870336</v>
      </c>
    </row>
    <row r="739" spans="1:9" x14ac:dyDescent="0.2">
      <c r="A739">
        <v>729</v>
      </c>
      <c r="B739">
        <v>1368100.9696836378</v>
      </c>
      <c r="C739">
        <v>148192.20311592377</v>
      </c>
      <c r="D739">
        <v>93699.159647889319</v>
      </c>
      <c r="E739">
        <v>101929.36618316699</v>
      </c>
      <c r="F739">
        <v>43056.648428065411</v>
      </c>
      <c r="G739">
        <v>10000</v>
      </c>
      <c r="H739">
        <v>376877.3773750455</v>
      </c>
      <c r="I739">
        <v>34.521659365563657</v>
      </c>
    </row>
    <row r="740" spans="1:9" x14ac:dyDescent="0.2">
      <c r="A740">
        <v>730</v>
      </c>
      <c r="B740">
        <v>1194031.2752840095</v>
      </c>
      <c r="C740">
        <v>112464.45410306923</v>
      </c>
      <c r="D740">
        <v>141315.33608119912</v>
      </c>
      <c r="E740">
        <v>46193.495989013863</v>
      </c>
      <c r="F740">
        <v>39198.011260777886</v>
      </c>
      <c r="G740">
        <v>10000</v>
      </c>
      <c r="H740">
        <v>329171.29743406008</v>
      </c>
      <c r="I740">
        <v>44.531149020288048</v>
      </c>
    </row>
    <row r="741" spans="1:9" x14ac:dyDescent="0.2">
      <c r="A741">
        <v>731</v>
      </c>
      <c r="B741">
        <v>1226333.9941682946</v>
      </c>
      <c r="C741">
        <v>97415.705554578817</v>
      </c>
      <c r="D741">
        <v>77722.590028827704</v>
      </c>
      <c r="E741">
        <v>128022.86376616886</v>
      </c>
      <c r="F741">
        <v>44863.121337657838</v>
      </c>
      <c r="G741">
        <v>10000</v>
      </c>
      <c r="H741">
        <v>338024.28068723326</v>
      </c>
      <c r="I741">
        <v>26.40883724245878</v>
      </c>
    </row>
    <row r="742" spans="1:9" x14ac:dyDescent="0.2">
      <c r="A742">
        <v>732</v>
      </c>
      <c r="B742">
        <v>895415.63950808928</v>
      </c>
      <c r="C742">
        <v>112149.5670162942</v>
      </c>
      <c r="D742">
        <v>78152.467927819613</v>
      </c>
      <c r="E742">
        <v>29020.616262973919</v>
      </c>
      <c r="F742">
        <v>38009.119587436653</v>
      </c>
      <c r="G742">
        <v>10000</v>
      </c>
      <c r="H742">
        <v>247331.7707945244</v>
      </c>
      <c r="I742">
        <v>24.436581381889177</v>
      </c>
    </row>
    <row r="743" spans="1:9" x14ac:dyDescent="0.2">
      <c r="A743">
        <v>733</v>
      </c>
      <c r="B743">
        <v>1194350.7631867933</v>
      </c>
      <c r="C743">
        <v>107095.61534501369</v>
      </c>
      <c r="D743">
        <v>96201.908771748786</v>
      </c>
      <c r="E743">
        <v>93489.016626445693</v>
      </c>
      <c r="F743">
        <v>42472.316535677004</v>
      </c>
      <c r="G743">
        <v>10000</v>
      </c>
      <c r="H743">
        <v>329258.85727888515</v>
      </c>
      <c r="I743">
        <v>34.340120631721732</v>
      </c>
    </row>
    <row r="744" spans="1:9" x14ac:dyDescent="0.2">
      <c r="A744">
        <v>734</v>
      </c>
      <c r="B744">
        <v>818340.66458139278</v>
      </c>
      <c r="C744">
        <v>97849.311000547008</v>
      </c>
      <c r="D744">
        <v>50681.574414882314</v>
      </c>
      <c r="E744">
        <v>48331.455060502456</v>
      </c>
      <c r="F744">
        <v>39346.023811880943</v>
      </c>
      <c r="G744">
        <v>10000</v>
      </c>
      <c r="H744">
        <v>226208.3642878127</v>
      </c>
      <c r="I744">
        <v>40.870072445235948</v>
      </c>
    </row>
    <row r="745" spans="1:9" x14ac:dyDescent="0.2">
      <c r="A745">
        <v>735</v>
      </c>
      <c r="B745">
        <v>1445482.8046300393</v>
      </c>
      <c r="C745">
        <v>133501.33549363413</v>
      </c>
      <c r="D745">
        <v>42047.535759947095</v>
      </c>
      <c r="E745">
        <v>183810.65836481642</v>
      </c>
      <c r="F745">
        <v>48725.353271410371</v>
      </c>
      <c r="G745">
        <v>10000</v>
      </c>
      <c r="H745">
        <v>398084.88288980804</v>
      </c>
      <c r="I745">
        <v>33.341548955964029</v>
      </c>
    </row>
    <row r="746" spans="1:9" x14ac:dyDescent="0.2">
      <c r="A746">
        <v>736</v>
      </c>
      <c r="B746">
        <v>1454701.1395031675</v>
      </c>
      <c r="C746">
        <v>94331.202304399252</v>
      </c>
      <c r="D746">
        <v>125275.45928035503</v>
      </c>
      <c r="E746">
        <v>144968.35593523234</v>
      </c>
      <c r="F746">
        <v>46036.27079551608</v>
      </c>
      <c r="G746">
        <v>10000</v>
      </c>
      <c r="H746">
        <v>400611.28831550269</v>
      </c>
      <c r="I746">
        <v>38.830619038594605</v>
      </c>
    </row>
    <row r="747" spans="1:9" x14ac:dyDescent="0.2">
      <c r="A747">
        <v>737</v>
      </c>
      <c r="B747">
        <v>1654492.0855788712</v>
      </c>
      <c r="C747">
        <v>126790.95728961701</v>
      </c>
      <c r="D747">
        <v>135972.8565227502</v>
      </c>
      <c r="E747">
        <v>155815.56871595018</v>
      </c>
      <c r="F747">
        <v>46787.231680335019</v>
      </c>
      <c r="G747">
        <v>10000</v>
      </c>
      <c r="H747">
        <v>455366.61420865241</v>
      </c>
      <c r="I747">
        <v>29.085115347260238</v>
      </c>
    </row>
    <row r="748" spans="1:9" x14ac:dyDescent="0.2">
      <c r="A748">
        <v>738</v>
      </c>
      <c r="B748">
        <v>1212353.9938511087</v>
      </c>
      <c r="C748">
        <v>125408.28479450973</v>
      </c>
      <c r="D748">
        <v>150933.18747129323</v>
      </c>
      <c r="E748">
        <v>29789.084941160661</v>
      </c>
      <c r="F748">
        <v>38062.321265157276</v>
      </c>
      <c r="G748">
        <v>10000</v>
      </c>
      <c r="H748">
        <v>334192.87847212091</v>
      </c>
      <c r="I748">
        <v>38.156155791403862</v>
      </c>
    </row>
    <row r="749" spans="1:9" x14ac:dyDescent="0.2">
      <c r="A749">
        <v>739</v>
      </c>
      <c r="B749">
        <v>1770594.0473445838</v>
      </c>
      <c r="C749">
        <v>139860.60850935167</v>
      </c>
      <c r="D749">
        <v>99042.103050546764</v>
      </c>
      <c r="E749">
        <v>207890.73090810634</v>
      </c>
      <c r="F749">
        <v>50392.435216715057</v>
      </c>
      <c r="G749">
        <v>10000</v>
      </c>
      <c r="H749">
        <v>487185.8776847198</v>
      </c>
      <c r="I749">
        <v>34.724643159275161</v>
      </c>
    </row>
    <row r="750" spans="1:9" x14ac:dyDescent="0.2">
      <c r="A750">
        <v>740</v>
      </c>
      <c r="B750">
        <v>1748500.0243435339</v>
      </c>
      <c r="C750">
        <v>126618.45377658584</v>
      </c>
      <c r="D750">
        <v>123281.03852809181</v>
      </c>
      <c r="E750">
        <v>191942.8760061457</v>
      </c>
      <c r="F750">
        <v>49288.352954271628</v>
      </c>
      <c r="G750">
        <v>10000</v>
      </c>
      <c r="H750">
        <v>481130.72126509494</v>
      </c>
      <c r="I750">
        <v>36.407417186922231</v>
      </c>
    </row>
    <row r="751" spans="1:9" x14ac:dyDescent="0.2">
      <c r="A751">
        <v>741</v>
      </c>
      <c r="B751">
        <v>1205667.1086988242</v>
      </c>
      <c r="C751">
        <v>101005.32861408898</v>
      </c>
      <c r="D751">
        <v>151083.81203878421</v>
      </c>
      <c r="E751">
        <v>50757.152629275748</v>
      </c>
      <c r="F751">
        <v>39513.956720488321</v>
      </c>
      <c r="G751">
        <v>10000</v>
      </c>
      <c r="H751">
        <v>332360.25000263727</v>
      </c>
      <c r="I751">
        <v>52.222285427033086</v>
      </c>
    </row>
    <row r="752" spans="1:9" x14ac:dyDescent="0.2">
      <c r="A752">
        <v>742</v>
      </c>
      <c r="B752">
        <v>1383034.8901848979</v>
      </c>
      <c r="C752">
        <v>105839.97535137401</v>
      </c>
      <c r="D752">
        <v>66193.861411292441</v>
      </c>
      <c r="E752">
        <v>171091.57575144456</v>
      </c>
      <c r="F752">
        <v>47844.801398176933</v>
      </c>
      <c r="G752">
        <v>10000</v>
      </c>
      <c r="H752">
        <v>380970.21391228796</v>
      </c>
      <c r="I752">
        <v>54.605892476013182</v>
      </c>
    </row>
    <row r="753" spans="1:9" x14ac:dyDescent="0.2">
      <c r="A753">
        <v>743</v>
      </c>
      <c r="B753">
        <v>1158411.2871199762</v>
      </c>
      <c r="C753">
        <v>97426.056535113108</v>
      </c>
      <c r="D753">
        <v>59203.276970116902</v>
      </c>
      <c r="E753">
        <v>127923.59097002643</v>
      </c>
      <c r="F753">
        <v>44856.248605617213</v>
      </c>
      <c r="G753">
        <v>10000</v>
      </c>
      <c r="H753">
        <v>319409.17308087368</v>
      </c>
      <c r="I753">
        <v>30.52948699389146</v>
      </c>
    </row>
    <row r="754" spans="1:9" x14ac:dyDescent="0.2">
      <c r="A754">
        <v>744</v>
      </c>
      <c r="B754">
        <v>1328601.5872091218</v>
      </c>
      <c r="C754">
        <v>135446.43566941534</v>
      </c>
      <c r="D754">
        <v>69415.144763453922</v>
      </c>
      <c r="E754">
        <v>126437.13373317898</v>
      </c>
      <c r="F754">
        <v>44753.340027681625</v>
      </c>
      <c r="G754">
        <v>10000</v>
      </c>
      <c r="H754">
        <v>366052.05419372983</v>
      </c>
      <c r="I754">
        <v>39.513553383674264</v>
      </c>
    </row>
    <row r="755" spans="1:9" x14ac:dyDescent="0.2">
      <c r="A755">
        <v>745</v>
      </c>
      <c r="B755">
        <v>1353824.7001669805</v>
      </c>
      <c r="C755">
        <v>127070.80283445294</v>
      </c>
      <c r="D755">
        <v>100840.7325514367</v>
      </c>
      <c r="E755">
        <v>111344.75993864225</v>
      </c>
      <c r="F755">
        <v>43708.483380367543</v>
      </c>
      <c r="G755">
        <v>10000</v>
      </c>
      <c r="H755">
        <v>372964.77870489948</v>
      </c>
      <c r="I755">
        <v>44.078842783810401</v>
      </c>
    </row>
    <row r="756" spans="1:9" x14ac:dyDescent="0.2">
      <c r="A756">
        <v>746</v>
      </c>
      <c r="B756">
        <v>1070733.4747565668</v>
      </c>
      <c r="C756">
        <v>91913.261830263655</v>
      </c>
      <c r="D756">
        <v>45321.798748257097</v>
      </c>
      <c r="E756">
        <v>123588.71752395705</v>
      </c>
      <c r="F756">
        <v>44556.141982427798</v>
      </c>
      <c r="G756">
        <v>10000</v>
      </c>
      <c r="H756">
        <v>295379.92008490558</v>
      </c>
      <c r="I756">
        <v>39.378438209511373</v>
      </c>
    </row>
    <row r="757" spans="1:9" x14ac:dyDescent="0.2">
      <c r="A757">
        <v>747</v>
      </c>
      <c r="B757">
        <v>1729208.5986419939</v>
      </c>
      <c r="C757">
        <v>129075.1721567395</v>
      </c>
      <c r="D757">
        <v>116659.32910408257</v>
      </c>
      <c r="E757">
        <v>190893.45159181723</v>
      </c>
      <c r="F757">
        <v>49215.700494818113</v>
      </c>
      <c r="G757">
        <v>10000</v>
      </c>
      <c r="H757">
        <v>475843.65334745735</v>
      </c>
      <c r="I757">
        <v>29.207408846247596</v>
      </c>
    </row>
    <row r="758" spans="1:9" x14ac:dyDescent="0.2">
      <c r="A758">
        <v>748</v>
      </c>
      <c r="B758">
        <v>948481.51253226865</v>
      </c>
      <c r="C758">
        <v>144801.32935171897</v>
      </c>
      <c r="D758">
        <v>61328.466568178228</v>
      </c>
      <c r="E758">
        <v>27819.413131907455</v>
      </c>
      <c r="F758">
        <v>37925.95937067052</v>
      </c>
      <c r="G758">
        <v>10000</v>
      </c>
      <c r="H758">
        <v>261875.16842247522</v>
      </c>
      <c r="I758">
        <v>48.458163037482969</v>
      </c>
    </row>
    <row r="759" spans="1:9" x14ac:dyDescent="0.2">
      <c r="A759">
        <v>749</v>
      </c>
      <c r="B759">
        <v>1268995.0686504086</v>
      </c>
      <c r="C759">
        <v>106389.12530491686</v>
      </c>
      <c r="D759">
        <v>71042.395778110629</v>
      </c>
      <c r="E759">
        <v>136812.92206114632</v>
      </c>
      <c r="F759">
        <v>45471.663835002437</v>
      </c>
      <c r="G759">
        <v>10000</v>
      </c>
      <c r="H759">
        <v>349716.10697917629</v>
      </c>
      <c r="I759">
        <v>29.310648237714254</v>
      </c>
    </row>
    <row r="760" spans="1:9" x14ac:dyDescent="0.2">
      <c r="A760">
        <v>750</v>
      </c>
      <c r="B760">
        <v>984400.40250651364</v>
      </c>
      <c r="C760">
        <v>102839.99040448373</v>
      </c>
      <c r="D760">
        <v>66002.259215237209</v>
      </c>
      <c r="E760">
        <v>71899.316148318641</v>
      </c>
      <c r="F760">
        <v>40977.644964114363</v>
      </c>
      <c r="G760">
        <v>10000</v>
      </c>
      <c r="H760">
        <v>271719.21073215397</v>
      </c>
      <c r="I760">
        <v>33.044362351213145</v>
      </c>
    </row>
    <row r="761" spans="1:9" x14ac:dyDescent="0.2">
      <c r="A761">
        <v>751</v>
      </c>
      <c r="B761">
        <v>1461801.0044186639</v>
      </c>
      <c r="C761">
        <v>134751.0185244717</v>
      </c>
      <c r="D761">
        <v>153738.67957919094</v>
      </c>
      <c r="E761">
        <v>82365.195362395592</v>
      </c>
      <c r="F761">
        <v>41702.205832781234</v>
      </c>
      <c r="G761">
        <v>10000</v>
      </c>
      <c r="H761">
        <v>402557.09929883946</v>
      </c>
      <c r="I761">
        <v>50.193643003569271</v>
      </c>
    </row>
    <row r="762" spans="1:9" x14ac:dyDescent="0.2">
      <c r="A762">
        <v>752</v>
      </c>
      <c r="B762">
        <v>1367672.0427938104</v>
      </c>
      <c r="C762">
        <v>89104.091569166674</v>
      </c>
      <c r="D762">
        <v>43536.167293691622</v>
      </c>
      <c r="E762">
        <v>203996.71591597528</v>
      </c>
      <c r="F762">
        <v>50122.849563413671</v>
      </c>
      <c r="G762">
        <v>10000</v>
      </c>
      <c r="H762">
        <v>376759.82434224722</v>
      </c>
      <c r="I762">
        <v>48.854887886167312</v>
      </c>
    </row>
    <row r="763" spans="1:9" x14ac:dyDescent="0.2">
      <c r="A763">
        <v>753</v>
      </c>
      <c r="B763">
        <v>1653987.6048680679</v>
      </c>
      <c r="C763">
        <v>114956.86589357199</v>
      </c>
      <c r="D763">
        <v>98244.166321580502</v>
      </c>
      <c r="E763">
        <v>202039.94185630901</v>
      </c>
      <c r="F763">
        <v>49987.380590052162</v>
      </c>
      <c r="G763">
        <v>10000</v>
      </c>
      <c r="H763">
        <v>455228.35466151364</v>
      </c>
      <c r="I763">
        <v>34.691247761957797</v>
      </c>
    </row>
    <row r="764" spans="1:9" x14ac:dyDescent="0.2">
      <c r="A764">
        <v>754</v>
      </c>
      <c r="B764">
        <v>1446623.2596952922</v>
      </c>
      <c r="C764">
        <v>100434.21736478832</v>
      </c>
      <c r="D764">
        <v>75097.591366840119</v>
      </c>
      <c r="E764">
        <v>184118.93528803211</v>
      </c>
      <c r="F764">
        <v>48746.69551994068</v>
      </c>
      <c r="G764">
        <v>10000</v>
      </c>
      <c r="H764">
        <v>398397.43953960121</v>
      </c>
      <c r="I764">
        <v>27.801734547868644</v>
      </c>
    </row>
    <row r="765" spans="1:9" x14ac:dyDescent="0.2">
      <c r="A765">
        <v>755</v>
      </c>
      <c r="B765">
        <v>1430693.7046652837</v>
      </c>
      <c r="C765">
        <v>97246.298969366486</v>
      </c>
      <c r="D765">
        <v>87699.737800759511</v>
      </c>
      <c r="E765">
        <v>171231.22979264084</v>
      </c>
      <c r="F765">
        <v>47854.469754875136</v>
      </c>
      <c r="G765">
        <v>10000</v>
      </c>
      <c r="H765">
        <v>394031.73631764197</v>
      </c>
      <c r="I765">
        <v>40.70834881193241</v>
      </c>
    </row>
    <row r="766" spans="1:9" x14ac:dyDescent="0.2">
      <c r="A766">
        <v>756</v>
      </c>
      <c r="B766">
        <v>912188.78576908109</v>
      </c>
      <c r="C766">
        <v>105165.13616096204</v>
      </c>
      <c r="D766">
        <v>32617.884184857714</v>
      </c>
      <c r="E766">
        <v>82438.378537667522</v>
      </c>
      <c r="F766">
        <v>41707.272360300056</v>
      </c>
      <c r="G766">
        <v>10000</v>
      </c>
      <c r="H766">
        <v>251928.67124378734</v>
      </c>
      <c r="I766">
        <v>45.404545686178537</v>
      </c>
    </row>
    <row r="767" spans="1:9" x14ac:dyDescent="0.2">
      <c r="A767">
        <v>757</v>
      </c>
      <c r="B767">
        <v>882663.95175377838</v>
      </c>
      <c r="C767">
        <v>111128.31257422257</v>
      </c>
      <c r="D767">
        <v>39314.255444747774</v>
      </c>
      <c r="E767">
        <v>63030.767209229161</v>
      </c>
      <c r="F767">
        <v>40363.66849910048</v>
      </c>
      <c r="G767">
        <v>10000</v>
      </c>
      <c r="H767">
        <v>243837.00372729998</v>
      </c>
      <c r="I767">
        <v>34.830091625743123</v>
      </c>
    </row>
    <row r="768" spans="1:9" x14ac:dyDescent="0.2">
      <c r="A768">
        <v>758</v>
      </c>
      <c r="B768">
        <v>1555547.0457096074</v>
      </c>
      <c r="C768">
        <v>116863.11670806633</v>
      </c>
      <c r="D768">
        <v>90480.074630468051</v>
      </c>
      <c r="E768">
        <v>182286.41018591542</v>
      </c>
      <c r="F768">
        <v>48619.828397486446</v>
      </c>
      <c r="G768">
        <v>10000</v>
      </c>
      <c r="H768">
        <v>428249.42992193624</v>
      </c>
      <c r="I768">
        <v>42.332656173885667</v>
      </c>
    </row>
    <row r="769" spans="1:9" x14ac:dyDescent="0.2">
      <c r="A769">
        <v>759</v>
      </c>
      <c r="B769">
        <v>1666620.8854286573</v>
      </c>
      <c r="C769">
        <v>137739.2553528932</v>
      </c>
      <c r="D769">
        <v>77305.842431506535</v>
      </c>
      <c r="E769">
        <v>203553.41350532541</v>
      </c>
      <c r="F769">
        <v>50092.159396522526</v>
      </c>
      <c r="G769">
        <v>10000</v>
      </c>
      <c r="H769">
        <v>458690.6706862477</v>
      </c>
      <c r="I769">
        <v>33.682525083718161</v>
      </c>
    </row>
    <row r="770" spans="1:9" x14ac:dyDescent="0.2">
      <c r="A770">
        <v>760</v>
      </c>
      <c r="B770">
        <v>1631155.4767410329</v>
      </c>
      <c r="C770">
        <v>116903.58592691859</v>
      </c>
      <c r="D770">
        <v>159116.35970475653</v>
      </c>
      <c r="E770">
        <v>137436.15453331801</v>
      </c>
      <c r="F770">
        <v>45514.810698460475</v>
      </c>
      <c r="G770">
        <v>10000</v>
      </c>
      <c r="H770">
        <v>448970.91086345364</v>
      </c>
      <c r="I770">
        <v>27.992117273967164</v>
      </c>
    </row>
    <row r="771" spans="1:9" x14ac:dyDescent="0.2">
      <c r="A771">
        <v>761</v>
      </c>
      <c r="B771">
        <v>1090180.5460069785</v>
      </c>
      <c r="C771">
        <v>123099.43884206955</v>
      </c>
      <c r="D771">
        <v>82100.008987230554</v>
      </c>
      <c r="E771">
        <v>65009.536645457832</v>
      </c>
      <c r="F771">
        <v>40500.660229300927</v>
      </c>
      <c r="G771">
        <v>10000</v>
      </c>
      <c r="H771">
        <v>300709.64470405882</v>
      </c>
      <c r="I771">
        <v>35.175078641992059</v>
      </c>
    </row>
    <row r="772" spans="1:9" x14ac:dyDescent="0.2">
      <c r="A772">
        <v>762</v>
      </c>
      <c r="B772">
        <v>1183274.754652919</v>
      </c>
      <c r="C772">
        <v>108393.83251005715</v>
      </c>
      <c r="D772">
        <v>69480.594960025395</v>
      </c>
      <c r="E772">
        <v>114427.0330624518</v>
      </c>
      <c r="F772">
        <v>43921.871519708198</v>
      </c>
      <c r="G772">
        <v>10000</v>
      </c>
      <c r="H772">
        <v>326223.33205224253</v>
      </c>
      <c r="I772">
        <v>42.975116938830638</v>
      </c>
    </row>
    <row r="773" spans="1:9" x14ac:dyDescent="0.2">
      <c r="A773">
        <v>763</v>
      </c>
      <c r="B773">
        <v>1356371.6275195698</v>
      </c>
      <c r="C773">
        <v>106067.76328311548</v>
      </c>
      <c r="D773">
        <v>121415.02521653388</v>
      </c>
      <c r="E773">
        <v>112398.56957693763</v>
      </c>
      <c r="F773">
        <v>43781.439432249521</v>
      </c>
      <c r="G773">
        <v>10000</v>
      </c>
      <c r="H773">
        <v>373662.79750883649</v>
      </c>
      <c r="I773">
        <v>39.283431456026733</v>
      </c>
    </row>
    <row r="774" spans="1:9" x14ac:dyDescent="0.2">
      <c r="A774">
        <v>764</v>
      </c>
      <c r="B774">
        <v>1000001.6841382233</v>
      </c>
      <c r="C774">
        <v>112618.07101746807</v>
      </c>
      <c r="D774">
        <v>80579.11752986339</v>
      </c>
      <c r="E774">
        <v>53120.205119694205</v>
      </c>
      <c r="F774">
        <v>39677.552662132679</v>
      </c>
      <c r="G774">
        <v>10000</v>
      </c>
      <c r="H774">
        <v>275994.94632915832</v>
      </c>
      <c r="I774">
        <v>29.641503388534417</v>
      </c>
    </row>
    <row r="775" spans="1:9" x14ac:dyDescent="0.2">
      <c r="A775">
        <v>765</v>
      </c>
      <c r="B775">
        <v>1083160.9261107459</v>
      </c>
      <c r="C775">
        <v>125339.99895130814</v>
      </c>
      <c r="D775">
        <v>64960.703513700042</v>
      </c>
      <c r="E775">
        <v>77144.360065262968</v>
      </c>
      <c r="F775">
        <v>41340.763389133594</v>
      </c>
      <c r="G775">
        <v>10000</v>
      </c>
      <c r="H775">
        <v>298785.82591940474</v>
      </c>
      <c r="I775">
        <v>41.677472056735851</v>
      </c>
    </row>
    <row r="776" spans="1:9" x14ac:dyDescent="0.2">
      <c r="A776">
        <v>766</v>
      </c>
      <c r="B776">
        <v>1512667.2089658417</v>
      </c>
      <c r="C776">
        <v>85883.052907553298</v>
      </c>
      <c r="D776">
        <v>92383.466527944853</v>
      </c>
      <c r="E776">
        <v>198489.54560458605</v>
      </c>
      <c r="F776">
        <v>49741.583926471343</v>
      </c>
      <c r="G776">
        <v>10000</v>
      </c>
      <c r="H776">
        <v>416497.64896655554</v>
      </c>
      <c r="I776">
        <v>37.381388516908423</v>
      </c>
    </row>
    <row r="777" spans="1:9" x14ac:dyDescent="0.2">
      <c r="A777">
        <v>767</v>
      </c>
      <c r="B777">
        <v>1247502.3143594922</v>
      </c>
      <c r="C777">
        <v>166528.86801231932</v>
      </c>
      <c r="D777">
        <v>58866.986724824936</v>
      </c>
      <c r="E777">
        <v>86445.212809498029</v>
      </c>
      <c r="F777">
        <v>41984.66857911909</v>
      </c>
      <c r="G777">
        <v>10000</v>
      </c>
      <c r="H777">
        <v>343825.73612576135</v>
      </c>
      <c r="I777">
        <v>26.503909401680179</v>
      </c>
    </row>
    <row r="778" spans="1:9" x14ac:dyDescent="0.2">
      <c r="A778">
        <v>768</v>
      </c>
      <c r="B778">
        <v>1523969.7775980383</v>
      </c>
      <c r="C778">
        <v>124161.30459352573</v>
      </c>
      <c r="D778">
        <v>56027.483551972975</v>
      </c>
      <c r="E778">
        <v>199588.79219679837</v>
      </c>
      <c r="F778">
        <v>49817.685613624504</v>
      </c>
      <c r="G778">
        <v>10000</v>
      </c>
      <c r="H778">
        <v>419595.26595592161</v>
      </c>
      <c r="I778">
        <v>33.319761570836562</v>
      </c>
    </row>
    <row r="779" spans="1:9" x14ac:dyDescent="0.2">
      <c r="A779">
        <v>769</v>
      </c>
      <c r="B779">
        <v>962316.07463523315</v>
      </c>
      <c r="C779">
        <v>121500.12267774207</v>
      </c>
      <c r="D779">
        <v>30640.463696391522</v>
      </c>
      <c r="E779">
        <v>81858.965842029211</v>
      </c>
      <c r="F779">
        <v>41667.159173678941</v>
      </c>
      <c r="G779">
        <v>10000</v>
      </c>
      <c r="H779">
        <v>265666.71138984174</v>
      </c>
      <c r="I779">
        <v>29.463573174234902</v>
      </c>
    </row>
    <row r="780" spans="1:9" x14ac:dyDescent="0.2">
      <c r="A780">
        <v>770</v>
      </c>
      <c r="B780">
        <v>1424400.4448298782</v>
      </c>
      <c r="C780">
        <v>144451.51904310021</v>
      </c>
      <c r="D780">
        <v>96535.393470859097</v>
      </c>
      <c r="E780">
        <v>117205.824144645</v>
      </c>
      <c r="F780">
        <v>44114.249363860043</v>
      </c>
      <c r="G780">
        <v>10000</v>
      </c>
      <c r="H780">
        <v>392306.98602246435</v>
      </c>
      <c r="I780">
        <v>32.494927550105132</v>
      </c>
    </row>
    <row r="781" spans="1:9" x14ac:dyDescent="0.2">
      <c r="A781">
        <v>771</v>
      </c>
      <c r="B781">
        <v>1407163.5497126211</v>
      </c>
      <c r="C781">
        <v>134807.12048588332</v>
      </c>
      <c r="D781">
        <v>52826.054715001286</v>
      </c>
      <c r="E781">
        <v>162686.87633130557</v>
      </c>
      <c r="F781">
        <v>47262.937592167313</v>
      </c>
      <c r="G781">
        <v>10000</v>
      </c>
      <c r="H781">
        <v>387582.98912435747</v>
      </c>
      <c r="I781">
        <v>29.267300823663884</v>
      </c>
    </row>
    <row r="782" spans="1:9" x14ac:dyDescent="0.2">
      <c r="A782">
        <v>772</v>
      </c>
      <c r="B782">
        <v>722782.16827114753</v>
      </c>
      <c r="C782">
        <v>84177.470040336033</v>
      </c>
      <c r="D782">
        <v>41748.591571471188</v>
      </c>
      <c r="E782">
        <v>44979.29389703257</v>
      </c>
      <c r="F782">
        <v>39113.95111594841</v>
      </c>
      <c r="G782">
        <v>10000</v>
      </c>
      <c r="H782">
        <v>200019.30662478821</v>
      </c>
      <c r="I782">
        <v>31.158555091271825</v>
      </c>
    </row>
    <row r="783" spans="1:9" x14ac:dyDescent="0.2">
      <c r="A783">
        <v>773</v>
      </c>
      <c r="B783">
        <v>742557.93876362219</v>
      </c>
      <c r="C783">
        <v>96158.363105434313</v>
      </c>
      <c r="D783">
        <v>26727.52741598017</v>
      </c>
      <c r="E783">
        <v>52891.505447630683</v>
      </c>
      <c r="F783">
        <v>39661.719607912892</v>
      </c>
      <c r="G783">
        <v>10000</v>
      </c>
      <c r="H783">
        <v>205439.11557695805</v>
      </c>
      <c r="I783">
        <v>36.68573112989047</v>
      </c>
    </row>
    <row r="784" spans="1:9" x14ac:dyDescent="0.2">
      <c r="A784">
        <v>774</v>
      </c>
      <c r="B784">
        <v>1500217.9460271453</v>
      </c>
      <c r="C784">
        <v>129706.70938980732</v>
      </c>
      <c r="D784">
        <v>45530.760667544273</v>
      </c>
      <c r="E784">
        <v>198131.49922411997</v>
      </c>
      <c r="F784">
        <v>49716.796100131389</v>
      </c>
      <c r="G784">
        <v>10000</v>
      </c>
      <c r="H784">
        <v>413085.76538160298</v>
      </c>
      <c r="I784">
        <v>40.088496940840372</v>
      </c>
    </row>
    <row r="785" spans="1:9" x14ac:dyDescent="0.2">
      <c r="A785">
        <v>775</v>
      </c>
      <c r="B785">
        <v>1119492.7147988984</v>
      </c>
      <c r="C785">
        <v>121990.75740504687</v>
      </c>
      <c r="D785">
        <v>87917.3923006525</v>
      </c>
      <c r="E785">
        <v>68118.95141870348</v>
      </c>
      <c r="F785">
        <v>40715.927405910246</v>
      </c>
      <c r="G785">
        <v>10000</v>
      </c>
      <c r="H785">
        <v>308743.02853031305</v>
      </c>
      <c r="I785">
        <v>44.144931996788571</v>
      </c>
    </row>
    <row r="786" spans="1:9" x14ac:dyDescent="0.2">
      <c r="A786">
        <v>776</v>
      </c>
      <c r="B786">
        <v>1846169.5653125853</v>
      </c>
      <c r="C786">
        <v>139451.5420480601</v>
      </c>
      <c r="D786">
        <v>155941.82607920538</v>
      </c>
      <c r="E786">
        <v>174429.10886017486</v>
      </c>
      <c r="F786">
        <v>48075.861382627489</v>
      </c>
      <c r="G786">
        <v>10000</v>
      </c>
      <c r="H786">
        <v>507898.33837006788</v>
      </c>
      <c r="I786">
        <v>34.105031230040247</v>
      </c>
    </row>
    <row r="787" spans="1:9" x14ac:dyDescent="0.2">
      <c r="A787">
        <v>777</v>
      </c>
      <c r="B787">
        <v>878186.76721539255</v>
      </c>
      <c r="C787">
        <v>84693.0213788658</v>
      </c>
      <c r="D787">
        <v>26518.528768631448</v>
      </c>
      <c r="E787">
        <v>98574.064217129373</v>
      </c>
      <c r="F787">
        <v>42824.358291955112</v>
      </c>
      <c r="G787">
        <v>10000</v>
      </c>
      <c r="H787">
        <v>242609.97265658173</v>
      </c>
      <c r="I787">
        <v>35.288738742577749</v>
      </c>
    </row>
    <row r="788" spans="1:9" x14ac:dyDescent="0.2">
      <c r="A788">
        <v>778</v>
      </c>
      <c r="B788">
        <v>999499.53310701414</v>
      </c>
      <c r="C788">
        <v>156122.59239652863</v>
      </c>
      <c r="D788">
        <v>45556.758858537913</v>
      </c>
      <c r="E788">
        <v>45058.536840296343</v>
      </c>
      <c r="F788">
        <v>39119.437165866671</v>
      </c>
      <c r="G788">
        <v>10000</v>
      </c>
      <c r="H788">
        <v>275857.32526122959</v>
      </c>
      <c r="I788">
        <v>34.751549549853038</v>
      </c>
    </row>
    <row r="789" spans="1:9" x14ac:dyDescent="0.2">
      <c r="A789">
        <v>779</v>
      </c>
      <c r="B789">
        <v>1289126.4962579678</v>
      </c>
      <c r="C789">
        <v>101743.31143515171</v>
      </c>
      <c r="D789">
        <v>52602.969593908325</v>
      </c>
      <c r="E789">
        <v>163563.48173495941</v>
      </c>
      <c r="F789">
        <v>47323.625658574114</v>
      </c>
      <c r="G789">
        <v>10000</v>
      </c>
      <c r="H789">
        <v>355233.38842259353</v>
      </c>
      <c r="I789">
        <v>33.391242727370226</v>
      </c>
    </row>
    <row r="790" spans="1:9" x14ac:dyDescent="0.2">
      <c r="A790">
        <v>780</v>
      </c>
      <c r="B790">
        <v>922515.28252139466</v>
      </c>
      <c r="C790">
        <v>107827.78311070676</v>
      </c>
      <c r="D790">
        <v>65587.404571914289</v>
      </c>
      <c r="E790">
        <v>51760.19701136143</v>
      </c>
      <c r="F790">
        <v>39583.398254632717</v>
      </c>
      <c r="G790">
        <v>10000</v>
      </c>
      <c r="H790">
        <v>254758.7829486152</v>
      </c>
      <c r="I790">
        <v>35.318556867099744</v>
      </c>
    </row>
    <row r="791" spans="1:9" x14ac:dyDescent="0.2">
      <c r="A791">
        <v>781</v>
      </c>
      <c r="B791">
        <v>1595325.3018936422</v>
      </c>
      <c r="C791">
        <v>129513.32648975478</v>
      </c>
      <c r="D791">
        <v>89307.800849455583</v>
      </c>
      <c r="E791">
        <v>181747.53322614409</v>
      </c>
      <c r="F791">
        <v>48582.521531040744</v>
      </c>
      <c r="G791">
        <v>10000</v>
      </c>
      <c r="H791">
        <v>439151.18209639518</v>
      </c>
      <c r="I791">
        <v>30.682766980795357</v>
      </c>
    </row>
    <row r="792" spans="1:9" x14ac:dyDescent="0.2">
      <c r="A792">
        <v>782</v>
      </c>
      <c r="B792">
        <v>1178716.407528979</v>
      </c>
      <c r="C792">
        <v>104313.74343044724</v>
      </c>
      <c r="D792">
        <v>137381.35438081293</v>
      </c>
      <c r="E792">
        <v>53570.249892572756</v>
      </c>
      <c r="F792">
        <v>39708.709607947349</v>
      </c>
      <c r="G792">
        <v>10000</v>
      </c>
      <c r="H792">
        <v>324974.05731178023</v>
      </c>
      <c r="I792">
        <v>45.103986251468442</v>
      </c>
    </row>
    <row r="793" spans="1:9" x14ac:dyDescent="0.2">
      <c r="A793">
        <v>783</v>
      </c>
      <c r="B793">
        <v>1562033.1627309285</v>
      </c>
      <c r="C793">
        <v>101852.12527468384</v>
      </c>
      <c r="D793">
        <v>128608.68050450172</v>
      </c>
      <c r="E793">
        <v>162328.1282869273</v>
      </c>
      <c r="F793">
        <v>47238.101189094967</v>
      </c>
      <c r="G793">
        <v>10000</v>
      </c>
      <c r="H793">
        <v>430027.0352552078</v>
      </c>
      <c r="I793">
        <v>36.827341554256094</v>
      </c>
    </row>
    <row r="794" spans="1:9" x14ac:dyDescent="0.2">
      <c r="A794">
        <v>784</v>
      </c>
      <c r="B794">
        <v>841768.48107992834</v>
      </c>
      <c r="C794">
        <v>84745.821509007495</v>
      </c>
      <c r="D794">
        <v>67839.176041493571</v>
      </c>
      <c r="E794">
        <v>50544.810617039489</v>
      </c>
      <c r="F794">
        <v>39499.256119641199</v>
      </c>
      <c r="G794">
        <v>10000</v>
      </c>
      <c r="H794">
        <v>232629.06428718177</v>
      </c>
      <c r="I794">
        <v>36.166167958472904</v>
      </c>
    </row>
    <row r="795" spans="1:9" x14ac:dyDescent="0.2">
      <c r="A795">
        <v>785</v>
      </c>
      <c r="B795">
        <v>1665362.5116465809</v>
      </c>
      <c r="C795">
        <v>82096.18067266095</v>
      </c>
      <c r="D795">
        <v>138818.19917137845</v>
      </c>
      <c r="E795">
        <v>197741.61304348375</v>
      </c>
      <c r="F795">
        <v>49689.803979933495</v>
      </c>
      <c r="G795">
        <v>10000</v>
      </c>
      <c r="H795">
        <v>458345.79686745664</v>
      </c>
      <c r="I795">
        <v>40.619866571584069</v>
      </c>
    </row>
    <row r="796" spans="1:9" x14ac:dyDescent="0.2">
      <c r="A796">
        <v>786</v>
      </c>
      <c r="B796">
        <v>1511509.2187247511</v>
      </c>
      <c r="C796">
        <v>119631.41798452607</v>
      </c>
      <c r="D796">
        <v>71084.225030272137</v>
      </c>
      <c r="E796">
        <v>186549.66663634943</v>
      </c>
      <c r="F796">
        <v>48914.976920978042</v>
      </c>
      <c r="G796">
        <v>10000</v>
      </c>
      <c r="H796">
        <v>416180.28657212568</v>
      </c>
      <c r="I796">
        <v>34.285366570337345</v>
      </c>
    </row>
    <row r="797" spans="1:9" x14ac:dyDescent="0.2">
      <c r="A797">
        <v>787</v>
      </c>
      <c r="B797">
        <v>1351179.8889881964</v>
      </c>
      <c r="C797">
        <v>139995.57183701076</v>
      </c>
      <c r="D797">
        <v>35561.864768649779</v>
      </c>
      <c r="E797">
        <v>159631.11225588559</v>
      </c>
      <c r="F797">
        <v>47051.384694638233</v>
      </c>
      <c r="G797">
        <v>10000</v>
      </c>
      <c r="H797">
        <v>372239.93355618435</v>
      </c>
      <c r="I797">
        <v>33.698623657663582</v>
      </c>
    </row>
    <row r="798" spans="1:9" x14ac:dyDescent="0.2">
      <c r="A798">
        <v>788</v>
      </c>
      <c r="B798">
        <v>1087976.1545248241</v>
      </c>
      <c r="C798">
        <v>107582.65602371322</v>
      </c>
      <c r="D798">
        <v>78353.535542535479</v>
      </c>
      <c r="E798">
        <v>82460.506481286851</v>
      </c>
      <c r="F798">
        <v>41708.804294858324</v>
      </c>
      <c r="G798">
        <v>10000</v>
      </c>
      <c r="H798">
        <v>300105.50234239385</v>
      </c>
      <c r="I798">
        <v>36.239913964854843</v>
      </c>
    </row>
    <row r="799" spans="1:9" x14ac:dyDescent="0.2">
      <c r="A799">
        <v>789</v>
      </c>
      <c r="B799">
        <v>1435026.0108007025</v>
      </c>
      <c r="C799">
        <v>142005.06683598299</v>
      </c>
      <c r="D799">
        <v>54041.336892251042</v>
      </c>
      <c r="E799">
        <v>161960.03970272237</v>
      </c>
      <c r="F799">
        <v>47212.618133265394</v>
      </c>
      <c r="G799">
        <v>10000</v>
      </c>
      <c r="H799">
        <v>395219.0615642218</v>
      </c>
      <c r="I799">
        <v>28.032553461151885</v>
      </c>
    </row>
    <row r="800" spans="1:9" x14ac:dyDescent="0.2">
      <c r="A800">
        <v>790</v>
      </c>
      <c r="B800">
        <v>1263895.16964343</v>
      </c>
      <c r="C800">
        <v>171488.44225720636</v>
      </c>
      <c r="D800">
        <v>91536.831016582451</v>
      </c>
      <c r="E800">
        <v>55454.015432127919</v>
      </c>
      <c r="F800">
        <v>39839.124145301161</v>
      </c>
      <c r="G800">
        <v>10000</v>
      </c>
      <c r="H800">
        <v>348318.4128512179</v>
      </c>
      <c r="I800">
        <v>41.400383689692639</v>
      </c>
    </row>
    <row r="801" spans="1:9" x14ac:dyDescent="0.2">
      <c r="A801">
        <v>791</v>
      </c>
      <c r="B801">
        <v>1847217.8651844626</v>
      </c>
      <c r="C801">
        <v>166695.24290316465</v>
      </c>
      <c r="D801">
        <v>131924.42336448302</v>
      </c>
      <c r="E801">
        <v>171680.40585510107</v>
      </c>
      <c r="F801">
        <v>47885.566559199302</v>
      </c>
      <c r="G801">
        <v>10000</v>
      </c>
      <c r="H801">
        <v>508185.63868194801</v>
      </c>
      <c r="I801">
        <v>26.349898991966636</v>
      </c>
    </row>
    <row r="802" spans="1:9" x14ac:dyDescent="0.2">
      <c r="A802">
        <v>792</v>
      </c>
      <c r="B802">
        <v>1250318.6806057226</v>
      </c>
      <c r="C802">
        <v>112523.46136275421</v>
      </c>
      <c r="D802">
        <v>137110.7515474637</v>
      </c>
      <c r="E802">
        <v>64498.13011587481</v>
      </c>
      <c r="F802">
        <v>40465.255161868256</v>
      </c>
      <c r="G802">
        <v>10000</v>
      </c>
      <c r="H802">
        <v>344597.59818796098</v>
      </c>
      <c r="I802">
        <v>37.462303325317542</v>
      </c>
    </row>
    <row r="803" spans="1:9" x14ac:dyDescent="0.2">
      <c r="A803">
        <v>793</v>
      </c>
      <c r="B803">
        <v>913478.27399618435</v>
      </c>
      <c r="C803">
        <v>115424.77623488411</v>
      </c>
      <c r="D803">
        <v>74941.361630191604</v>
      </c>
      <c r="E803">
        <v>33590.442355655701</v>
      </c>
      <c r="F803">
        <v>38325.492163083858</v>
      </c>
      <c r="G803">
        <v>10000</v>
      </c>
      <c r="H803">
        <v>252282.07238381531</v>
      </c>
      <c r="I803">
        <v>41.164902583666503</v>
      </c>
    </row>
    <row r="804" spans="1:9" x14ac:dyDescent="0.2">
      <c r="A804">
        <v>794</v>
      </c>
      <c r="B804">
        <v>1350557.0375911142</v>
      </c>
      <c r="C804">
        <v>145433.72646299668</v>
      </c>
      <c r="D804">
        <v>65929.381344582202</v>
      </c>
      <c r="E804">
        <v>125984.14583713308</v>
      </c>
      <c r="F804">
        <v>44721.979327186142</v>
      </c>
      <c r="G804">
        <v>10000</v>
      </c>
      <c r="H804">
        <v>372069.23297189805</v>
      </c>
      <c r="I804">
        <v>37.777533848714668</v>
      </c>
    </row>
    <row r="805" spans="1:9" x14ac:dyDescent="0.2">
      <c r="A805">
        <v>795</v>
      </c>
      <c r="B805">
        <v>1678809.4792635757</v>
      </c>
      <c r="C805">
        <v>164097.89277291624</v>
      </c>
      <c r="D805">
        <v>96899.06155637349</v>
      </c>
      <c r="E805">
        <v>163701.01309875483</v>
      </c>
      <c r="F805">
        <v>47333.147060683026</v>
      </c>
      <c r="G805">
        <v>10000</v>
      </c>
      <c r="H805">
        <v>462031.11448872753</v>
      </c>
      <c r="I805">
        <v>56.849757483837585</v>
      </c>
    </row>
    <row r="806" spans="1:9" x14ac:dyDescent="0.2">
      <c r="A806">
        <v>796</v>
      </c>
      <c r="B806">
        <v>1204271.4353133359</v>
      </c>
      <c r="C806">
        <v>139240.66210796675</v>
      </c>
      <c r="D806">
        <v>68182.493743111758</v>
      </c>
      <c r="E806">
        <v>92173.359029713349</v>
      </c>
      <c r="F806">
        <v>42381.232548210923</v>
      </c>
      <c r="G806">
        <v>10000</v>
      </c>
      <c r="H806">
        <v>331977.74742900283</v>
      </c>
      <c r="I806">
        <v>47.183345076335939</v>
      </c>
    </row>
    <row r="807" spans="1:9" x14ac:dyDescent="0.2">
      <c r="A807">
        <v>797</v>
      </c>
      <c r="B807">
        <v>1380609.4561670627</v>
      </c>
      <c r="C807">
        <v>95058.337792305916</v>
      </c>
      <c r="D807">
        <v>121044.6768216479</v>
      </c>
      <c r="E807">
        <v>129254.11549247699</v>
      </c>
      <c r="F807">
        <v>44948.361841786864</v>
      </c>
      <c r="G807">
        <v>10000</v>
      </c>
      <c r="H807">
        <v>380305.49194821774</v>
      </c>
      <c r="I807">
        <v>32.955066961137177</v>
      </c>
    </row>
    <row r="808" spans="1:9" x14ac:dyDescent="0.2">
      <c r="A808">
        <v>798</v>
      </c>
      <c r="B808">
        <v>1198834.9400885154</v>
      </c>
      <c r="C808">
        <v>107000.88135403003</v>
      </c>
      <c r="D808">
        <v>45000.798164366264</v>
      </c>
      <c r="E808">
        <v>142612.92283019194</v>
      </c>
      <c r="F808">
        <v>45873.202349782521</v>
      </c>
      <c r="G808">
        <v>10000</v>
      </c>
      <c r="H808">
        <v>330487.80469837075</v>
      </c>
      <c r="I808">
        <v>36.789156589834576</v>
      </c>
    </row>
    <row r="809" spans="1:9" x14ac:dyDescent="0.2">
      <c r="A809">
        <v>799</v>
      </c>
      <c r="B809">
        <v>910165.61652507796</v>
      </c>
      <c r="C809">
        <v>124467.76009125124</v>
      </c>
      <c r="D809">
        <v>70552.269114783703</v>
      </c>
      <c r="E809">
        <v>28388.788349379785</v>
      </c>
      <c r="F809">
        <v>37965.377654957061</v>
      </c>
      <c r="G809">
        <v>10000</v>
      </c>
      <c r="H809">
        <v>251374.19521037181</v>
      </c>
      <c r="I809">
        <v>46.748886513354677</v>
      </c>
    </row>
    <row r="810" spans="1:9" x14ac:dyDescent="0.2">
      <c r="A810">
        <v>800</v>
      </c>
      <c r="B810">
        <v>1335027.7339130044</v>
      </c>
      <c r="C810">
        <v>134433.58455406805</v>
      </c>
      <c r="D810">
        <v>144847.44193992706</v>
      </c>
      <c r="E810">
        <v>58483.350069443317</v>
      </c>
      <c r="F810">
        <v>40048.847312499922</v>
      </c>
      <c r="G810">
        <v>10000</v>
      </c>
      <c r="H810">
        <v>367813.22387593839</v>
      </c>
      <c r="I810">
        <v>34.571739741980061</v>
      </c>
    </row>
    <row r="811" spans="1:9" x14ac:dyDescent="0.2">
      <c r="A811">
        <v>801</v>
      </c>
      <c r="B811">
        <v>1227973.4118898297</v>
      </c>
      <c r="C811">
        <v>102097.46504461342</v>
      </c>
      <c r="D811">
        <v>86507.117653258247</v>
      </c>
      <c r="E811">
        <v>115848.70680469074</v>
      </c>
      <c r="F811">
        <v>44020.295086478589</v>
      </c>
      <c r="G811">
        <v>10000</v>
      </c>
      <c r="H811">
        <v>338473.58458904095</v>
      </c>
      <c r="I811">
        <v>32.367925215384581</v>
      </c>
    </row>
    <row r="812" spans="1:9" x14ac:dyDescent="0.2">
      <c r="A812">
        <v>802</v>
      </c>
      <c r="B812">
        <v>1097396.4325213686</v>
      </c>
      <c r="C812">
        <v>108767.42550919969</v>
      </c>
      <c r="D812">
        <v>86151.227318225108</v>
      </c>
      <c r="E812">
        <v>76474.230308369632</v>
      </c>
      <c r="F812">
        <v>41294.369790579432</v>
      </c>
      <c r="G812">
        <v>10000</v>
      </c>
      <c r="H812">
        <v>302687.25292637385</v>
      </c>
      <c r="I812">
        <v>27.822763665110543</v>
      </c>
    </row>
    <row r="813" spans="1:9" x14ac:dyDescent="0.2">
      <c r="A813">
        <v>803</v>
      </c>
      <c r="B813">
        <v>859753.46215403895</v>
      </c>
      <c r="C813">
        <v>96842.730301322605</v>
      </c>
      <c r="D813">
        <v>68320.586250015433</v>
      </c>
      <c r="E813">
        <v>43390.789645161967</v>
      </c>
      <c r="F813">
        <v>39003.977744665055</v>
      </c>
      <c r="G813">
        <v>10000</v>
      </c>
      <c r="H813">
        <v>237558.08394116507</v>
      </c>
      <c r="I813">
        <v>26.440583202129638</v>
      </c>
    </row>
    <row r="814" spans="1:9" x14ac:dyDescent="0.2">
      <c r="A814">
        <v>804</v>
      </c>
      <c r="B814">
        <v>899177.95100675477</v>
      </c>
      <c r="C814">
        <v>83733.971760269822</v>
      </c>
      <c r="D814">
        <v>73177.807426621992</v>
      </c>
      <c r="E814">
        <v>61213.261197643755</v>
      </c>
      <c r="F814">
        <v>40237.841159836877</v>
      </c>
      <c r="G814">
        <v>10000</v>
      </c>
      <c r="H814">
        <v>248362.88154437245</v>
      </c>
      <c r="I814">
        <v>38.430461059866538</v>
      </c>
    </row>
    <row r="815" spans="1:9" x14ac:dyDescent="0.2">
      <c r="A815">
        <v>805</v>
      </c>
      <c r="B815">
        <v>1414652.6411561547</v>
      </c>
      <c r="C815">
        <v>139434.25522471324</v>
      </c>
      <c r="D815">
        <v>119916.33398762011</v>
      </c>
      <c r="E815">
        <v>97532.624878527175</v>
      </c>
      <c r="F815">
        <v>42752.258645436501</v>
      </c>
      <c r="G815">
        <v>10000</v>
      </c>
      <c r="H815">
        <v>389635.472736297</v>
      </c>
      <c r="I815">
        <v>34.943440781833374</v>
      </c>
    </row>
    <row r="816" spans="1:9" x14ac:dyDescent="0.2">
      <c r="A816">
        <v>806</v>
      </c>
      <c r="B816">
        <v>1447323.9882173331</v>
      </c>
      <c r="C816">
        <v>121473.46929635474</v>
      </c>
      <c r="D816">
        <v>78122.380119395573</v>
      </c>
      <c r="E816">
        <v>161792.60729545189</v>
      </c>
      <c r="F816">
        <v>47201.0266589159</v>
      </c>
      <c r="G816">
        <v>10000</v>
      </c>
      <c r="H816">
        <v>398589.48337011808</v>
      </c>
      <c r="I816">
        <v>36.960530483163353</v>
      </c>
    </row>
    <row r="817" spans="1:9" x14ac:dyDescent="0.2">
      <c r="A817">
        <v>807</v>
      </c>
      <c r="B817">
        <v>744843.71572394262</v>
      </c>
      <c r="C817">
        <v>87527.507665567799</v>
      </c>
      <c r="D817">
        <v>24882.618086707549</v>
      </c>
      <c r="E817">
        <v>63274.869083130332</v>
      </c>
      <c r="F817">
        <v>40380.567859601331</v>
      </c>
      <c r="G817">
        <v>10000</v>
      </c>
      <c r="H817">
        <v>206065.56269500701</v>
      </c>
      <c r="I817">
        <v>55.889578831380462</v>
      </c>
    </row>
    <row r="818" spans="1:9" x14ac:dyDescent="0.2">
      <c r="A818">
        <v>808</v>
      </c>
      <c r="B818">
        <v>1278662.9752721014</v>
      </c>
      <c r="C818">
        <v>123991.61452312293</v>
      </c>
      <c r="D818">
        <v>47963.619141068208</v>
      </c>
      <c r="E818">
        <v>144412.68827171403</v>
      </c>
      <c r="F818">
        <v>45997.801495734049</v>
      </c>
      <c r="G818">
        <v>10000</v>
      </c>
      <c r="H818">
        <v>352365.72343163926</v>
      </c>
      <c r="I818">
        <v>25.761871056045813</v>
      </c>
    </row>
    <row r="819" spans="1:9" x14ac:dyDescent="0.2">
      <c r="A819">
        <v>809</v>
      </c>
      <c r="B819">
        <v>1414575.7443232201</v>
      </c>
      <c r="C819">
        <v>119484.763355029</v>
      </c>
      <c r="D819">
        <v>139715.10469148724</v>
      </c>
      <c r="E819">
        <v>97653.877077012046</v>
      </c>
      <c r="F819">
        <v>42760.653028408524</v>
      </c>
      <c r="G819">
        <v>10000</v>
      </c>
      <c r="H819">
        <v>389614.39815193682</v>
      </c>
      <c r="I819">
        <v>38.719485891501492</v>
      </c>
    </row>
    <row r="820" spans="1:9" x14ac:dyDescent="0.2">
      <c r="A820">
        <v>810</v>
      </c>
      <c r="B820">
        <v>1180657.4017407079</v>
      </c>
      <c r="C820">
        <v>118443.39928585653</v>
      </c>
      <c r="D820">
        <v>85948.703771306682</v>
      </c>
      <c r="E820">
        <v>88955.45459511035</v>
      </c>
      <c r="F820">
        <v>42158.454548892252</v>
      </c>
      <c r="G820">
        <v>10000</v>
      </c>
      <c r="H820">
        <v>325506.01220116584</v>
      </c>
      <c r="I820">
        <v>45.795596655809</v>
      </c>
    </row>
    <row r="821" spans="1:9" x14ac:dyDescent="0.2">
      <c r="A821">
        <v>811</v>
      </c>
      <c r="B821">
        <v>1718845.0816225214</v>
      </c>
      <c r="C821">
        <v>114089.62968792403</v>
      </c>
      <c r="D821">
        <v>135144.26072642999</v>
      </c>
      <c r="E821">
        <v>184964.28556896214</v>
      </c>
      <c r="F821">
        <v>48805.219770158918</v>
      </c>
      <c r="G821">
        <v>10000</v>
      </c>
      <c r="H821">
        <v>473003.39575347508</v>
      </c>
      <c r="I821">
        <v>34.97677514120948</v>
      </c>
    </row>
    <row r="822" spans="1:9" x14ac:dyDescent="0.2">
      <c r="A822">
        <v>812</v>
      </c>
      <c r="B822">
        <v>1362682.9413134442</v>
      </c>
      <c r="C822">
        <v>95270.563241848635</v>
      </c>
      <c r="D822">
        <v>147609.94525733212</v>
      </c>
      <c r="E822">
        <v>99615.527623913542</v>
      </c>
      <c r="F822">
        <v>42896.459604732474</v>
      </c>
      <c r="G822">
        <v>10000</v>
      </c>
      <c r="H822">
        <v>375392.49572782672</v>
      </c>
      <c r="I822">
        <v>30.021067985219425</v>
      </c>
    </row>
    <row r="823" spans="1:9" x14ac:dyDescent="0.2">
      <c r="A823">
        <v>813</v>
      </c>
      <c r="B823">
        <v>1554914.8936340655</v>
      </c>
      <c r="C823">
        <v>128014.54525416181</v>
      </c>
      <c r="D823">
        <v>84400.482425493698</v>
      </c>
      <c r="E823">
        <v>177380.9341660426</v>
      </c>
      <c r="F823">
        <v>48280.218519187561</v>
      </c>
      <c r="G823">
        <v>10000</v>
      </c>
      <c r="H823">
        <v>428076.18036488572</v>
      </c>
      <c r="I823">
        <v>32.779672684697701</v>
      </c>
    </row>
    <row r="824" spans="1:9" x14ac:dyDescent="0.2">
      <c r="A824">
        <v>814</v>
      </c>
      <c r="B824">
        <v>1409064.9332779311</v>
      </c>
      <c r="C824">
        <v>115558.59892356304</v>
      </c>
      <c r="D824">
        <v>126618.22609767802</v>
      </c>
      <c r="E824">
        <v>112162.18858185102</v>
      </c>
      <c r="F824">
        <v>43765.074594128142</v>
      </c>
      <c r="G824">
        <v>10000</v>
      </c>
      <c r="H824">
        <v>388104.08819722018</v>
      </c>
      <c r="I824">
        <v>25.678296301688057</v>
      </c>
    </row>
    <row r="825" spans="1:9" x14ac:dyDescent="0.2">
      <c r="A825">
        <v>815</v>
      </c>
      <c r="B825">
        <v>1488037.3475081241</v>
      </c>
      <c r="C825">
        <v>93834.617147021287</v>
      </c>
      <c r="D825">
        <v>136572.4519659573</v>
      </c>
      <c r="E825">
        <v>143411.92575061787</v>
      </c>
      <c r="F825">
        <v>45928.517936581236</v>
      </c>
      <c r="G825">
        <v>10000</v>
      </c>
      <c r="H825">
        <v>409747.51280017768</v>
      </c>
      <c r="I825">
        <v>34.902717754869073</v>
      </c>
    </row>
    <row r="826" spans="1:9" x14ac:dyDescent="0.2">
      <c r="A826">
        <v>816</v>
      </c>
      <c r="B826">
        <v>976251.94421073224</v>
      </c>
      <c r="C826">
        <v>109952.40073092644</v>
      </c>
      <c r="D826">
        <v>102797.68863470393</v>
      </c>
      <c r="E826">
        <v>28745.833468293211</v>
      </c>
      <c r="F826">
        <v>37990.096163189533</v>
      </c>
      <c r="G826">
        <v>10000</v>
      </c>
      <c r="H826">
        <v>269486.0189971131</v>
      </c>
      <c r="I826">
        <v>48.755260170868553</v>
      </c>
    </row>
    <row r="827" spans="1:9" x14ac:dyDescent="0.2">
      <c r="A827">
        <v>817</v>
      </c>
      <c r="B827">
        <v>1157456.5851665863</v>
      </c>
      <c r="C827">
        <v>90925.3981262249</v>
      </c>
      <c r="D827">
        <v>126630.81843167135</v>
      </c>
      <c r="E827">
        <v>70696.906712765107</v>
      </c>
      <c r="F827">
        <v>40894.401233960663</v>
      </c>
      <c r="G827">
        <v>10000</v>
      </c>
      <c r="H827">
        <v>319147.52450462198</v>
      </c>
      <c r="I827">
        <v>27.111533464338279</v>
      </c>
    </row>
    <row r="828" spans="1:9" x14ac:dyDescent="0.2">
      <c r="A828">
        <v>818</v>
      </c>
      <c r="B828">
        <v>1633610.1816796348</v>
      </c>
      <c r="C828">
        <v>143555.92059537387</v>
      </c>
      <c r="D828">
        <v>138163.43322685463</v>
      </c>
      <c r="E828">
        <v>132734.95784886915</v>
      </c>
      <c r="F828">
        <v>45189.34323569094</v>
      </c>
      <c r="G828">
        <v>10000</v>
      </c>
      <c r="H828">
        <v>449643.65490678861</v>
      </c>
      <c r="I828">
        <v>35.651033681984813</v>
      </c>
    </row>
    <row r="829" spans="1:9" x14ac:dyDescent="0.2">
      <c r="A829">
        <v>819</v>
      </c>
      <c r="B829">
        <v>962443.71542187745</v>
      </c>
      <c r="C829">
        <v>118531.25919281543</v>
      </c>
      <c r="D829">
        <v>88111.392836199855</v>
      </c>
      <c r="E829">
        <v>30918.527544988734</v>
      </c>
      <c r="F829">
        <v>38140.513445422301</v>
      </c>
      <c r="G829">
        <v>10000</v>
      </c>
      <c r="H829">
        <v>265701.69301942631</v>
      </c>
      <c r="I829">
        <v>46.305836412870363</v>
      </c>
    </row>
    <row r="830" spans="1:9" x14ac:dyDescent="0.2">
      <c r="A830">
        <v>820</v>
      </c>
      <c r="B830">
        <v>1152412.90571291</v>
      </c>
      <c r="C830">
        <v>126073.60225337993</v>
      </c>
      <c r="D830">
        <v>59432.552410418124</v>
      </c>
      <c r="E830">
        <v>99378.998880036044</v>
      </c>
      <c r="F830">
        <v>42880.084537848648</v>
      </c>
      <c r="G830">
        <v>10000</v>
      </c>
      <c r="H830">
        <v>317765.23808168276</v>
      </c>
      <c r="I830">
        <v>33.533719607021823</v>
      </c>
    </row>
    <row r="831" spans="1:9" x14ac:dyDescent="0.2">
      <c r="A831">
        <v>821</v>
      </c>
      <c r="B831">
        <v>1262912.0521923658</v>
      </c>
      <c r="C831">
        <v>133511.7362982406</v>
      </c>
      <c r="D831">
        <v>107768.14712661051</v>
      </c>
      <c r="E831">
        <v>75539.439693511231</v>
      </c>
      <c r="F831">
        <v>41229.653517243081</v>
      </c>
      <c r="G831">
        <v>10000</v>
      </c>
      <c r="H831">
        <v>348048.97663560545</v>
      </c>
      <c r="I831">
        <v>36.279758769154384</v>
      </c>
    </row>
    <row r="832" spans="1:9" x14ac:dyDescent="0.2">
      <c r="A832">
        <v>822</v>
      </c>
      <c r="B832">
        <v>1212850.1994218219</v>
      </c>
      <c r="C832">
        <v>168256.55810382759</v>
      </c>
      <c r="D832">
        <v>67312.486931914566</v>
      </c>
      <c r="E832">
        <v>68048.757262496641</v>
      </c>
      <c r="F832">
        <v>40711.067810480534</v>
      </c>
      <c r="G832">
        <v>10000</v>
      </c>
      <c r="H832">
        <v>334328.87010871933</v>
      </c>
      <c r="I832">
        <v>36.639790988255257</v>
      </c>
    </row>
    <row r="833" spans="1:9" x14ac:dyDescent="0.2">
      <c r="A833">
        <v>823</v>
      </c>
      <c r="B833">
        <v>1313300.1078196326</v>
      </c>
      <c r="C833">
        <v>95289.071267835709</v>
      </c>
      <c r="D833">
        <v>46846.23985879471</v>
      </c>
      <c r="E833">
        <v>181179.94522468117</v>
      </c>
      <c r="F833">
        <v>48543.226977093313</v>
      </c>
      <c r="G833">
        <v>10000</v>
      </c>
      <c r="H833">
        <v>361858.48332840489</v>
      </c>
      <c r="I833">
        <v>29.269672176686097</v>
      </c>
    </row>
    <row r="834" spans="1:9" x14ac:dyDescent="0.2">
      <c r="A834">
        <v>824</v>
      </c>
      <c r="B834">
        <v>686750.75002528552</v>
      </c>
      <c r="C834">
        <v>89495.042118955273</v>
      </c>
      <c r="D834">
        <v>27645.376750546107</v>
      </c>
      <c r="E834">
        <v>43960.580775790746</v>
      </c>
      <c r="F834">
        <v>39043.424822939363</v>
      </c>
      <c r="G834">
        <v>10000</v>
      </c>
      <c r="H834">
        <v>190144.42446823147</v>
      </c>
      <c r="I834">
        <v>27.494525523565841</v>
      </c>
    </row>
    <row r="835" spans="1:9" x14ac:dyDescent="0.2">
      <c r="A835">
        <v>825</v>
      </c>
      <c r="B835">
        <v>1065376.4670869219</v>
      </c>
      <c r="C835">
        <v>113024.77951783538</v>
      </c>
      <c r="D835">
        <v>48165.765637496283</v>
      </c>
      <c r="E835">
        <v>99811.209961201137</v>
      </c>
      <c r="F835">
        <v>42910.006843467767</v>
      </c>
      <c r="G835">
        <v>10000</v>
      </c>
      <c r="H835">
        <v>293911.76196000056</v>
      </c>
      <c r="I835">
        <v>28.709516809198544</v>
      </c>
    </row>
    <row r="836" spans="1:9" x14ac:dyDescent="0.2">
      <c r="A836">
        <v>826</v>
      </c>
      <c r="B836">
        <v>1110379.3417098173</v>
      </c>
      <c r="C836">
        <v>116464.74289198349</v>
      </c>
      <c r="D836">
        <v>97502.107371070742</v>
      </c>
      <c r="E836">
        <v>61987.122799590121</v>
      </c>
      <c r="F836">
        <v>40291.416193817779</v>
      </c>
      <c r="G836">
        <v>10000</v>
      </c>
      <c r="H836">
        <v>306245.38925646216</v>
      </c>
      <c r="I836">
        <v>42.274654670572367</v>
      </c>
    </row>
    <row r="837" spans="1:9" x14ac:dyDescent="0.2">
      <c r="A837">
        <v>827</v>
      </c>
      <c r="B837">
        <v>967696.483313062</v>
      </c>
      <c r="C837">
        <v>128684.1609072094</v>
      </c>
      <c r="D837">
        <v>50017.593283552334</v>
      </c>
      <c r="E837">
        <v>58396.681496301433</v>
      </c>
      <c r="F837">
        <v>40042.847180513178</v>
      </c>
      <c r="G837">
        <v>10000</v>
      </c>
      <c r="H837">
        <v>267141.28286757634</v>
      </c>
      <c r="I837">
        <v>36.159555426178599</v>
      </c>
    </row>
    <row r="838" spans="1:9" x14ac:dyDescent="0.2">
      <c r="A838">
        <v>828</v>
      </c>
      <c r="B838">
        <v>1065003.6060962065</v>
      </c>
      <c r="C838">
        <v>117387.77940487996</v>
      </c>
      <c r="D838">
        <v>119592.14792898575</v>
      </c>
      <c r="E838">
        <v>28833.482981032921</v>
      </c>
      <c r="F838">
        <v>37996.164206379202</v>
      </c>
      <c r="G838">
        <v>10000</v>
      </c>
      <c r="H838">
        <v>293809.57452127786</v>
      </c>
      <c r="I838">
        <v>31.165864492783811</v>
      </c>
    </row>
    <row r="839" spans="1:9" x14ac:dyDescent="0.2">
      <c r="A839">
        <v>829</v>
      </c>
      <c r="B839">
        <v>970329.72426652326</v>
      </c>
      <c r="C839">
        <v>114974.31685555528</v>
      </c>
      <c r="D839">
        <v>72387.302557673058</v>
      </c>
      <c r="E839">
        <v>50972.474043616574</v>
      </c>
      <c r="F839">
        <v>39528.863587634987</v>
      </c>
      <c r="G839">
        <v>10000</v>
      </c>
      <c r="H839">
        <v>267862.9570444799</v>
      </c>
      <c r="I839">
        <v>25.916130997984716</v>
      </c>
    </row>
    <row r="840" spans="1:9" x14ac:dyDescent="0.2">
      <c r="A840">
        <v>830</v>
      </c>
      <c r="B840">
        <v>1492788.8075525451</v>
      </c>
      <c r="C840">
        <v>121120.84969971611</v>
      </c>
      <c r="D840">
        <v>68099.275128190915</v>
      </c>
      <c r="E840">
        <v>183149.9742371976</v>
      </c>
      <c r="F840">
        <v>48679.613601036755</v>
      </c>
      <c r="G840">
        <v>10000</v>
      </c>
      <c r="H840">
        <v>411049.71266614139</v>
      </c>
      <c r="I840">
        <v>38.853186404434645</v>
      </c>
    </row>
    <row r="841" spans="1:9" x14ac:dyDescent="0.2">
      <c r="A841">
        <v>831</v>
      </c>
      <c r="B841">
        <v>1444301.2107738077</v>
      </c>
      <c r="C841">
        <v>104021.21143907896</v>
      </c>
      <c r="D841">
        <v>151276.81154752083</v>
      </c>
      <c r="E841">
        <v>108922.25699101851</v>
      </c>
      <c r="F841">
        <v>43540.771637839738</v>
      </c>
      <c r="G841">
        <v>10000</v>
      </c>
      <c r="H841">
        <v>397761.05161545804</v>
      </c>
      <c r="I841">
        <v>29.914175530366165</v>
      </c>
    </row>
    <row r="842" spans="1:9" x14ac:dyDescent="0.2">
      <c r="A842">
        <v>832</v>
      </c>
      <c r="B842">
        <v>1213429.1812410457</v>
      </c>
      <c r="C842">
        <v>93351.446368577774</v>
      </c>
      <c r="D842">
        <v>75523.941006358713</v>
      </c>
      <c r="E842">
        <v>130572.52400811182</v>
      </c>
      <c r="F842">
        <v>45039.636277484671</v>
      </c>
      <c r="G842">
        <v>10000</v>
      </c>
      <c r="H842">
        <v>334487.54766053293</v>
      </c>
      <c r="I842">
        <v>33.310515095175724</v>
      </c>
    </row>
    <row r="843" spans="1:9" x14ac:dyDescent="0.2">
      <c r="A843">
        <v>833</v>
      </c>
      <c r="B843">
        <v>915648.2932056943</v>
      </c>
      <c r="C843">
        <v>101643.80879350923</v>
      </c>
      <c r="D843">
        <v>59310.183407429846</v>
      </c>
      <c r="E843">
        <v>61654.419485511789</v>
      </c>
      <c r="F843">
        <v>40268.382887458509</v>
      </c>
      <c r="G843">
        <v>10000</v>
      </c>
      <c r="H843">
        <v>252876.79457390937</v>
      </c>
      <c r="I843">
        <v>35.295337985981718</v>
      </c>
    </row>
    <row r="844" spans="1:9" x14ac:dyDescent="0.2">
      <c r="A844">
        <v>834</v>
      </c>
      <c r="B844">
        <v>1373520.5687401211</v>
      </c>
      <c r="C844">
        <v>140096.77361076736</v>
      </c>
      <c r="D844">
        <v>78857.522669376267</v>
      </c>
      <c r="E844">
        <v>124770.439692126</v>
      </c>
      <c r="F844">
        <v>44637.95351714718</v>
      </c>
      <c r="G844">
        <v>10000</v>
      </c>
      <c r="H844">
        <v>378362.68948941678</v>
      </c>
      <c r="I844">
        <v>44.197936199091217</v>
      </c>
    </row>
    <row r="845" spans="1:9" x14ac:dyDescent="0.2">
      <c r="A845">
        <v>835</v>
      </c>
      <c r="B845">
        <v>1361801.2554917517</v>
      </c>
      <c r="C845">
        <v>158191.73807766725</v>
      </c>
      <c r="D845">
        <v>85133.289908622042</v>
      </c>
      <c r="E845">
        <v>98973.798021891125</v>
      </c>
      <c r="F845">
        <v>42852.032170746301</v>
      </c>
      <c r="G845">
        <v>10000</v>
      </c>
      <c r="H845">
        <v>375150.85817892669</v>
      </c>
      <c r="I845">
        <v>39.253588403430285</v>
      </c>
    </row>
    <row r="846" spans="1:9" x14ac:dyDescent="0.2">
      <c r="A846">
        <v>836</v>
      </c>
      <c r="B846">
        <v>1549078.682088255</v>
      </c>
      <c r="C846">
        <v>139704.47874427313</v>
      </c>
      <c r="D846">
        <v>151533.50129468358</v>
      </c>
      <c r="E846">
        <v>102165.70009495282</v>
      </c>
      <c r="F846">
        <v>43073.010006573655</v>
      </c>
      <c r="G846">
        <v>10000</v>
      </c>
      <c r="H846">
        <v>426476.6901404832</v>
      </c>
      <c r="I846">
        <v>32.0188306409405</v>
      </c>
    </row>
    <row r="847" spans="1:9" x14ac:dyDescent="0.2">
      <c r="A847">
        <v>837</v>
      </c>
      <c r="B847">
        <v>978518.22139463574</v>
      </c>
      <c r="C847">
        <v>99400.513768784323</v>
      </c>
      <c r="D847">
        <v>63607.979005084242</v>
      </c>
      <c r="E847">
        <v>75847.638794081358</v>
      </c>
      <c r="F847">
        <v>41250.990378051785</v>
      </c>
      <c r="G847">
        <v>10000</v>
      </c>
      <c r="H847">
        <v>270107.12194600166</v>
      </c>
      <c r="I847">
        <v>40.70642096757355</v>
      </c>
    </row>
    <row r="848" spans="1:9" x14ac:dyDescent="0.2">
      <c r="A848">
        <v>838</v>
      </c>
      <c r="B848">
        <v>1637243.0734913021</v>
      </c>
      <c r="C848">
        <v>143205.0946866771</v>
      </c>
      <c r="D848">
        <v>63911.049163200471</v>
      </c>
      <c r="E848">
        <v>203438.9197410786</v>
      </c>
      <c r="F848">
        <v>50084.232905151592</v>
      </c>
      <c r="G848">
        <v>10000</v>
      </c>
      <c r="H848">
        <v>450639.29649610777</v>
      </c>
      <c r="I848">
        <v>40.470463949372288</v>
      </c>
    </row>
    <row r="849" spans="1:9" x14ac:dyDescent="0.2">
      <c r="A849">
        <v>839</v>
      </c>
      <c r="B849">
        <v>1082466.7363917534</v>
      </c>
      <c r="C849">
        <v>121690.23085804742</v>
      </c>
      <c r="D849">
        <v>56800.748804048584</v>
      </c>
      <c r="E849">
        <v>88011.491232264176</v>
      </c>
      <c r="F849">
        <v>42093.10323915675</v>
      </c>
      <c r="G849">
        <v>10000</v>
      </c>
      <c r="H849">
        <v>298595.57413351699</v>
      </c>
      <c r="I849">
        <v>33.075667708058006</v>
      </c>
    </row>
    <row r="850" spans="1:9" x14ac:dyDescent="0.2">
      <c r="A850">
        <v>840</v>
      </c>
      <c r="B850">
        <v>1534554.1609993388</v>
      </c>
      <c r="C850">
        <v>106919.43326506246</v>
      </c>
      <c r="D850">
        <v>87149.442649449586</v>
      </c>
      <c r="E850">
        <v>189320.38320049233</v>
      </c>
      <c r="F850">
        <v>49106.795760034081</v>
      </c>
      <c r="G850">
        <v>10000</v>
      </c>
      <c r="H850">
        <v>422496.05487503839</v>
      </c>
      <c r="I850">
        <v>34.656625775311667</v>
      </c>
    </row>
    <row r="851" spans="1:9" x14ac:dyDescent="0.2">
      <c r="A851">
        <v>841</v>
      </c>
      <c r="B851">
        <v>1156373.6401731607</v>
      </c>
      <c r="C851">
        <v>112811.6144284358</v>
      </c>
      <c r="D851">
        <v>59790.667407802044</v>
      </c>
      <c r="E851">
        <v>112462.57671169202</v>
      </c>
      <c r="F851">
        <v>43785.870695424834</v>
      </c>
      <c r="G851">
        <v>10000</v>
      </c>
      <c r="H851">
        <v>318850.7292433547</v>
      </c>
      <c r="I851">
        <v>33.944194732866663</v>
      </c>
    </row>
    <row r="852" spans="1:9" x14ac:dyDescent="0.2">
      <c r="A852">
        <v>842</v>
      </c>
      <c r="B852">
        <v>1249651.2423813525</v>
      </c>
      <c r="C852">
        <v>92432.697967580971</v>
      </c>
      <c r="D852">
        <v>45398.733034669254</v>
      </c>
      <c r="E852">
        <v>168890.80654428422</v>
      </c>
      <c r="F852">
        <v>47692.440453065828</v>
      </c>
      <c r="G852">
        <v>10000</v>
      </c>
      <c r="H852">
        <v>344414.6779996003</v>
      </c>
      <c r="I852">
        <v>38.882063661346891</v>
      </c>
    </row>
    <row r="853" spans="1:9" x14ac:dyDescent="0.2">
      <c r="A853">
        <v>843</v>
      </c>
      <c r="B853">
        <v>877757.86382387811</v>
      </c>
      <c r="C853">
        <v>102155.32961675718</v>
      </c>
      <c r="D853">
        <v>83053.014612346989</v>
      </c>
      <c r="E853">
        <v>29258.493802237168</v>
      </c>
      <c r="F853">
        <v>38025.588032462576</v>
      </c>
      <c r="G853">
        <v>10000</v>
      </c>
      <c r="H853">
        <v>242492.42606380393</v>
      </c>
      <c r="I853">
        <v>32.311437408268937</v>
      </c>
    </row>
    <row r="854" spans="1:9" x14ac:dyDescent="0.2">
      <c r="A854">
        <v>844</v>
      </c>
      <c r="B854">
        <v>1079157.0191856527</v>
      </c>
      <c r="C854">
        <v>93330.08300934227</v>
      </c>
      <c r="D854">
        <v>34533.327914690781</v>
      </c>
      <c r="E854">
        <v>134512.67583484514</v>
      </c>
      <c r="F854">
        <v>45312.416019335433</v>
      </c>
      <c r="G854">
        <v>10000</v>
      </c>
      <c r="H854">
        <v>297688.50277821365</v>
      </c>
      <c r="I854">
        <v>47.905509541405515</v>
      </c>
    </row>
    <row r="855" spans="1:9" x14ac:dyDescent="0.2">
      <c r="A855">
        <v>845</v>
      </c>
      <c r="B855">
        <v>1312478.4177443034</v>
      </c>
      <c r="C855">
        <v>100563.90829985341</v>
      </c>
      <c r="D855">
        <v>30864.731915345434</v>
      </c>
      <c r="E855">
        <v>190982.76448909976</v>
      </c>
      <c r="F855">
        <v>49221.883695399221</v>
      </c>
      <c r="G855">
        <v>10000</v>
      </c>
      <c r="H855">
        <v>361633.28839969781</v>
      </c>
      <c r="I855">
        <v>32.034944087929546</v>
      </c>
    </row>
    <row r="856" spans="1:9" x14ac:dyDescent="0.2">
      <c r="A856">
        <v>846</v>
      </c>
      <c r="B856">
        <v>1717780.9950913945</v>
      </c>
      <c r="C856">
        <v>93434.063135448785</v>
      </c>
      <c r="D856">
        <v>147642.54214939283</v>
      </c>
      <c r="E856">
        <v>192320.65661927295</v>
      </c>
      <c r="F856">
        <v>49314.50699671889</v>
      </c>
      <c r="G856">
        <v>10000</v>
      </c>
      <c r="H856">
        <v>472711.76890083344</v>
      </c>
      <c r="I856">
        <v>35.796470211519633</v>
      </c>
    </row>
    <row r="857" spans="1:9" x14ac:dyDescent="0.2">
      <c r="A857">
        <v>847</v>
      </c>
      <c r="B857">
        <v>1221102.1599340977</v>
      </c>
      <c r="C857">
        <v>94396.681403353301</v>
      </c>
      <c r="D857">
        <v>79921.912990816752</v>
      </c>
      <c r="E857">
        <v>127448.47745624086</v>
      </c>
      <c r="F857">
        <v>44823.356131585911</v>
      </c>
      <c r="G857">
        <v>10000</v>
      </c>
      <c r="H857">
        <v>336590.42798199679</v>
      </c>
      <c r="I857">
        <v>43.058293191684186</v>
      </c>
    </row>
    <row r="858" spans="1:9" x14ac:dyDescent="0.2">
      <c r="A858">
        <v>848</v>
      </c>
      <c r="B858">
        <v>1342039.1046828446</v>
      </c>
      <c r="C858">
        <v>97605.209562288946</v>
      </c>
      <c r="D858">
        <v>54750.050913045197</v>
      </c>
      <c r="E858">
        <v>178988.04160096875</v>
      </c>
      <c r="F858">
        <v>48391.479803143993</v>
      </c>
      <c r="G858">
        <v>10000</v>
      </c>
      <c r="H858">
        <v>369734.78187944688</v>
      </c>
      <c r="I858">
        <v>35.515222592067133</v>
      </c>
    </row>
    <row r="859" spans="1:9" x14ac:dyDescent="0.2">
      <c r="A859">
        <v>849</v>
      </c>
      <c r="B859">
        <v>1320115.3987645435</v>
      </c>
      <c r="C859">
        <v>99363.115229752657</v>
      </c>
      <c r="D859">
        <v>53820.895132822552</v>
      </c>
      <c r="E859">
        <v>172593.51118147527</v>
      </c>
      <c r="F859">
        <v>47948.781543332901</v>
      </c>
      <c r="G859">
        <v>10000</v>
      </c>
      <c r="H859">
        <v>363726.30308738339</v>
      </c>
      <c r="I859">
        <v>32.964509045447485</v>
      </c>
    </row>
    <row r="860" spans="1:9" x14ac:dyDescent="0.2">
      <c r="A860">
        <v>850</v>
      </c>
      <c r="B860">
        <v>1308565.0976534337</v>
      </c>
      <c r="C860">
        <v>87642.674644858547</v>
      </c>
      <c r="D860">
        <v>127491.86991864433</v>
      </c>
      <c r="E860">
        <v>111693.61249252582</v>
      </c>
      <c r="F860">
        <v>43732.634711021019</v>
      </c>
      <c r="G860">
        <v>10000</v>
      </c>
      <c r="H860">
        <v>360560.79176704976</v>
      </c>
      <c r="I860">
        <v>29.982952311038275</v>
      </c>
    </row>
    <row r="861" spans="1:9" x14ac:dyDescent="0.2">
      <c r="A861">
        <v>851</v>
      </c>
      <c r="B861">
        <v>1015395.2272775851</v>
      </c>
      <c r="C861">
        <v>118137.64506449628</v>
      </c>
      <c r="D861">
        <v>50981.807460825716</v>
      </c>
      <c r="E861">
        <v>79584.593330589749</v>
      </c>
      <c r="F861">
        <v>41509.70261519467</v>
      </c>
      <c r="G861">
        <v>10000</v>
      </c>
      <c r="H861">
        <v>280213.7484711064</v>
      </c>
      <c r="I861">
        <v>37.761002988654553</v>
      </c>
    </row>
    <row r="862" spans="1:9" x14ac:dyDescent="0.2">
      <c r="A862">
        <v>852</v>
      </c>
      <c r="B862">
        <v>1573052.2722375046</v>
      </c>
      <c r="C862">
        <v>162449.49887885235</v>
      </c>
      <c r="D862">
        <v>110270.42550970957</v>
      </c>
      <c r="E862">
        <v>125629.60778444321</v>
      </c>
      <c r="F862">
        <v>44697.434385076835</v>
      </c>
      <c r="G862">
        <v>10000</v>
      </c>
      <c r="H862">
        <v>433046.96655808203</v>
      </c>
      <c r="I862">
        <v>34.942971079822058</v>
      </c>
    </row>
    <row r="863" spans="1:9" x14ac:dyDescent="0.2">
      <c r="A863">
        <v>853</v>
      </c>
      <c r="B863">
        <v>1178097.1075925382</v>
      </c>
      <c r="C863">
        <v>76763.304823898026</v>
      </c>
      <c r="D863">
        <v>28916.857027806269</v>
      </c>
      <c r="E863">
        <v>180619.72565476983</v>
      </c>
      <c r="F863">
        <v>48504.442545330217</v>
      </c>
      <c r="G863">
        <v>10000</v>
      </c>
      <c r="H863">
        <v>324804.33005180437</v>
      </c>
      <c r="I863">
        <v>47.558334522074979</v>
      </c>
    </row>
    <row r="864" spans="1:9" x14ac:dyDescent="0.2">
      <c r="A864">
        <v>854</v>
      </c>
      <c r="B864">
        <v>1137666.5583382756</v>
      </c>
      <c r="C864">
        <v>133879.07662618018</v>
      </c>
      <c r="D864">
        <v>119499.6051136303</v>
      </c>
      <c r="E864">
        <v>32121.341496528883</v>
      </c>
      <c r="F864">
        <v>38223.785180528925</v>
      </c>
      <c r="G864">
        <v>10000</v>
      </c>
      <c r="H864">
        <v>313723.80841686827</v>
      </c>
      <c r="I864">
        <v>49.744883589461367</v>
      </c>
    </row>
    <row r="865" spans="1:9" x14ac:dyDescent="0.2">
      <c r="A865">
        <v>855</v>
      </c>
      <c r="B865">
        <v>946635.50703034131</v>
      </c>
      <c r="C865">
        <v>88829.502922946936</v>
      </c>
      <c r="D865">
        <v>113035.49695017502</v>
      </c>
      <c r="E865">
        <v>31334.906854839232</v>
      </c>
      <c r="F865">
        <v>38169.339705335027</v>
      </c>
      <c r="G865">
        <v>10000</v>
      </c>
      <c r="H865">
        <v>261369.24643329624</v>
      </c>
      <c r="I865">
        <v>41.185849730867325</v>
      </c>
    </row>
    <row r="866" spans="1:9" x14ac:dyDescent="0.2">
      <c r="A866">
        <v>856</v>
      </c>
      <c r="B866">
        <v>1177925.335404037</v>
      </c>
      <c r="C866">
        <v>143055.60428763664</v>
      </c>
      <c r="D866">
        <v>94299.190747144108</v>
      </c>
      <c r="E866">
        <v>57426.75984048262</v>
      </c>
      <c r="F866">
        <v>39975.69875818726</v>
      </c>
      <c r="G866">
        <v>10000</v>
      </c>
      <c r="H866">
        <v>324757.2536334506</v>
      </c>
      <c r="I866">
        <v>36.441727366085956</v>
      </c>
    </row>
    <row r="867" spans="1:9" x14ac:dyDescent="0.2">
      <c r="A867">
        <v>857</v>
      </c>
      <c r="B867">
        <v>1323735.8994460073</v>
      </c>
      <c r="C867">
        <v>102317.38943939198</v>
      </c>
      <c r="D867">
        <v>69110.428845520975</v>
      </c>
      <c r="E867">
        <v>156458.95652684534</v>
      </c>
      <c r="F867">
        <v>46831.773913396988</v>
      </c>
      <c r="G867">
        <v>10000</v>
      </c>
      <c r="H867">
        <v>364718.5487251553</v>
      </c>
      <c r="I867">
        <v>35.501225741857894</v>
      </c>
    </row>
    <row r="868" spans="1:9" x14ac:dyDescent="0.2">
      <c r="A868">
        <v>858</v>
      </c>
      <c r="B868">
        <v>1607026.791454551</v>
      </c>
      <c r="C868">
        <v>121336.54961792675</v>
      </c>
      <c r="D868">
        <v>82555.811642338856</v>
      </c>
      <c r="E868">
        <v>198708.99102954767</v>
      </c>
      <c r="F868">
        <v>49756.776302045604</v>
      </c>
      <c r="G868">
        <v>10000</v>
      </c>
      <c r="H868">
        <v>442358.1285918589</v>
      </c>
      <c r="I868">
        <v>42.29028697683593</v>
      </c>
    </row>
    <row r="869" spans="1:9" x14ac:dyDescent="0.2">
      <c r="A869">
        <v>859</v>
      </c>
      <c r="B869">
        <v>1042006.7496126428</v>
      </c>
      <c r="C869">
        <v>89030.708127033446</v>
      </c>
      <c r="D869">
        <v>94852.433277569406</v>
      </c>
      <c r="E869">
        <v>72597.839108695887</v>
      </c>
      <c r="F869">
        <v>41026.004245986638</v>
      </c>
      <c r="G869">
        <v>10000</v>
      </c>
      <c r="H869">
        <v>287506.98475928535</v>
      </c>
      <c r="I869">
        <v>44.1143405350373</v>
      </c>
    </row>
    <row r="870" spans="1:9" x14ac:dyDescent="0.2">
      <c r="A870">
        <v>860</v>
      </c>
      <c r="B870">
        <v>1830652.4940282973</v>
      </c>
      <c r="C870">
        <v>127425.05322135444</v>
      </c>
      <c r="D870">
        <v>135676.99601842934</v>
      </c>
      <c r="E870">
        <v>200652.31814871449</v>
      </c>
      <c r="F870">
        <v>49891.314333372546</v>
      </c>
      <c r="G870">
        <v>10000</v>
      </c>
      <c r="H870">
        <v>503645.68172187079</v>
      </c>
      <c r="I870">
        <v>38.97800492870627</v>
      </c>
    </row>
    <row r="871" spans="1:9" x14ac:dyDescent="0.2">
      <c r="A871">
        <v>861</v>
      </c>
      <c r="B871">
        <v>1513228.6772446646</v>
      </c>
      <c r="C871">
        <v>162394.59393752139</v>
      </c>
      <c r="D871">
        <v>122099.47932162126</v>
      </c>
      <c r="E871">
        <v>99283.94926423303</v>
      </c>
      <c r="F871">
        <v>42873.504179831514</v>
      </c>
      <c r="G871">
        <v>10000</v>
      </c>
      <c r="H871">
        <v>416651.52670320723</v>
      </c>
      <c r="I871">
        <v>30.324355892142883</v>
      </c>
    </row>
    <row r="872" spans="1:9" x14ac:dyDescent="0.2">
      <c r="A872">
        <v>862</v>
      </c>
      <c r="B872">
        <v>1515104.4862248632</v>
      </c>
      <c r="C872">
        <v>151458.51204039331</v>
      </c>
      <c r="D872">
        <v>43514.672083776502</v>
      </c>
      <c r="E872">
        <v>183489.32545495941</v>
      </c>
      <c r="F872">
        <v>48703.107146881805</v>
      </c>
      <c r="G872">
        <v>10000</v>
      </c>
      <c r="H872">
        <v>417165.61672601104</v>
      </c>
      <c r="I872">
        <v>28.945479300452615</v>
      </c>
    </row>
    <row r="873" spans="1:9" x14ac:dyDescent="0.2">
      <c r="A873">
        <v>863</v>
      </c>
      <c r="B873">
        <v>1243073.6377863011</v>
      </c>
      <c r="C873">
        <v>139235.46924211463</v>
      </c>
      <c r="D873">
        <v>40738.559184608719</v>
      </c>
      <c r="E873">
        <v>127790.90800941162</v>
      </c>
      <c r="F873">
        <v>44847.062862190032</v>
      </c>
      <c r="G873">
        <v>10000</v>
      </c>
      <c r="H873">
        <v>342611.99929832498</v>
      </c>
      <c r="I873">
        <v>50.283828474807486</v>
      </c>
    </row>
    <row r="874" spans="1:9" x14ac:dyDescent="0.2">
      <c r="A874">
        <v>864</v>
      </c>
      <c r="B874">
        <v>876036.00289146393</v>
      </c>
      <c r="C874">
        <v>81719.026734436979</v>
      </c>
      <c r="D874">
        <v>74527.191468458463</v>
      </c>
      <c r="E874">
        <v>55904.030296672368</v>
      </c>
      <c r="F874">
        <v>39870.279020538852</v>
      </c>
      <c r="G874">
        <v>10000</v>
      </c>
      <c r="H874">
        <v>242020.52752010664</v>
      </c>
      <c r="I874">
        <v>31.015895836026701</v>
      </c>
    </row>
    <row r="875" spans="1:9" x14ac:dyDescent="0.2">
      <c r="A875">
        <v>865</v>
      </c>
      <c r="B875">
        <v>1840092.8174616117</v>
      </c>
      <c r="C875">
        <v>162208.79698047347</v>
      </c>
      <c r="D875">
        <v>143291.78862922746</v>
      </c>
      <c r="E875">
        <v>163418.73563588568</v>
      </c>
      <c r="F875">
        <v>47313.604774792082</v>
      </c>
      <c r="G875">
        <v>10000</v>
      </c>
      <c r="H875">
        <v>506232.92602037871</v>
      </c>
      <c r="I875">
        <v>42.667920543200275</v>
      </c>
    </row>
    <row r="876" spans="1:9" x14ac:dyDescent="0.2">
      <c r="A876">
        <v>866</v>
      </c>
      <c r="B876">
        <v>1038700.402451657</v>
      </c>
      <c r="C876">
        <v>116361.88342600568</v>
      </c>
      <c r="D876">
        <v>87170.089041851112</v>
      </c>
      <c r="E876">
        <v>53373.758203938545</v>
      </c>
      <c r="F876">
        <v>39695.10633719575</v>
      </c>
      <c r="G876">
        <v>10000</v>
      </c>
      <c r="H876">
        <v>286600.83700899105</v>
      </c>
      <c r="I876">
        <v>31.627269918474717</v>
      </c>
    </row>
    <row r="877" spans="1:9" x14ac:dyDescent="0.2">
      <c r="A877">
        <v>867</v>
      </c>
      <c r="B877">
        <v>1033615.9200014191</v>
      </c>
      <c r="C877">
        <v>106173.2343919398</v>
      </c>
      <c r="D877">
        <v>93299.938064925926</v>
      </c>
      <c r="E877">
        <v>55866.513808297932</v>
      </c>
      <c r="F877">
        <v>39867.681725189854</v>
      </c>
      <c r="G877">
        <v>10000</v>
      </c>
      <c r="H877">
        <v>285207.36799035349</v>
      </c>
      <c r="I877">
        <v>33.46464609058205</v>
      </c>
    </row>
    <row r="878" spans="1:9" x14ac:dyDescent="0.2">
      <c r="A878">
        <v>868</v>
      </c>
      <c r="B878">
        <v>920343.03505408333</v>
      </c>
      <c r="C878">
        <v>77254.88551114111</v>
      </c>
      <c r="D878">
        <v>66229.347727094282</v>
      </c>
      <c r="E878">
        <v>79196.389847597588</v>
      </c>
      <c r="F878">
        <v>41482.826989449066</v>
      </c>
      <c r="G878">
        <v>10000</v>
      </c>
      <c r="H878">
        <v>254163.45007528202</v>
      </c>
      <c r="I878">
        <v>38.942866578517865</v>
      </c>
    </row>
    <row r="879" spans="1:9" x14ac:dyDescent="0.2">
      <c r="A879">
        <v>869</v>
      </c>
      <c r="B879">
        <v>940917.78531552176</v>
      </c>
      <c r="C879">
        <v>144147.30768843248</v>
      </c>
      <c r="D879">
        <v>44628.36871552722</v>
      </c>
      <c r="E879">
        <v>42111.165139443052</v>
      </c>
      <c r="F879">
        <v>38915.38835580759</v>
      </c>
      <c r="G879">
        <v>10000</v>
      </c>
      <c r="H879">
        <v>259802.22989921033</v>
      </c>
      <c r="I879">
        <v>48.192503180375631</v>
      </c>
    </row>
    <row r="880" spans="1:9" x14ac:dyDescent="0.2">
      <c r="A880">
        <v>870</v>
      </c>
      <c r="B880">
        <v>856504.07978623931</v>
      </c>
      <c r="C880">
        <v>128404.07912276255</v>
      </c>
      <c r="D880">
        <v>31589.359480815885</v>
      </c>
      <c r="E880">
        <v>47393.052083153198</v>
      </c>
      <c r="F880">
        <v>39281.057451910601</v>
      </c>
      <c r="G880">
        <v>10000</v>
      </c>
      <c r="H880">
        <v>236667.54813864222</v>
      </c>
      <c r="I880">
        <v>34.731730262700054</v>
      </c>
    </row>
    <row r="881" spans="1:9" x14ac:dyDescent="0.2">
      <c r="A881">
        <v>871</v>
      </c>
      <c r="B881">
        <v>1134231.470080846</v>
      </c>
      <c r="C881">
        <v>115483.26417197313</v>
      </c>
      <c r="D881">
        <v>50489.654918032174</v>
      </c>
      <c r="E881">
        <v>112987.26324494343</v>
      </c>
      <c r="F881">
        <v>43822.195147726852</v>
      </c>
      <c r="G881">
        <v>10000</v>
      </c>
      <c r="H881">
        <v>312782.3774826756</v>
      </c>
      <c r="I881">
        <v>28.793323013816327</v>
      </c>
    </row>
    <row r="882" spans="1:9" x14ac:dyDescent="0.2">
      <c r="A882">
        <v>872</v>
      </c>
      <c r="B882">
        <v>1186296.3035752105</v>
      </c>
      <c r="C882">
        <v>88246.408913556021</v>
      </c>
      <c r="D882">
        <v>103595.65281048334</v>
      </c>
      <c r="E882">
        <v>102138.25540121175</v>
      </c>
      <c r="F882">
        <v>43071.10998931466</v>
      </c>
      <c r="G882">
        <v>10000</v>
      </c>
      <c r="H882">
        <v>327051.42711456574</v>
      </c>
      <c r="I882">
        <v>26.381015436535883</v>
      </c>
    </row>
    <row r="883" spans="1:9" x14ac:dyDescent="0.2">
      <c r="A883">
        <v>873</v>
      </c>
      <c r="B883">
        <v>1095385.75533765</v>
      </c>
      <c r="C883">
        <v>125308.17789713987</v>
      </c>
      <c r="D883">
        <v>75164.001693814716</v>
      </c>
      <c r="E883">
        <v>70764.911646899636</v>
      </c>
      <c r="F883">
        <v>40899.109267862288</v>
      </c>
      <c r="G883">
        <v>10000</v>
      </c>
      <c r="H883">
        <v>302136.20050571649</v>
      </c>
      <c r="I883">
        <v>34.541184745155164</v>
      </c>
    </row>
    <row r="884" spans="1:9" x14ac:dyDescent="0.2">
      <c r="A884">
        <v>874</v>
      </c>
      <c r="B884">
        <v>1635125.6154586817</v>
      </c>
      <c r="C884">
        <v>140256.10724157043</v>
      </c>
      <c r="D884">
        <v>87944.047052671391</v>
      </c>
      <c r="E884">
        <v>183177.31843025668</v>
      </c>
      <c r="F884">
        <v>48681.506660556239</v>
      </c>
      <c r="G884">
        <v>10000</v>
      </c>
      <c r="H884">
        <v>450058.97938505473</v>
      </c>
      <c r="I884">
        <v>49.087632147829012</v>
      </c>
    </row>
    <row r="885" spans="1:9" x14ac:dyDescent="0.2">
      <c r="A885">
        <v>875</v>
      </c>
      <c r="B885">
        <v>1383582.4641254479</v>
      </c>
      <c r="C885">
        <v>148894.03540444933</v>
      </c>
      <c r="D885">
        <v>135352.91375440487</v>
      </c>
      <c r="E885">
        <v>66284.413621639032</v>
      </c>
      <c r="F885">
        <v>40588.920943036552</v>
      </c>
      <c r="G885">
        <v>10000</v>
      </c>
      <c r="H885">
        <v>381120.28372352978</v>
      </c>
      <c r="I885">
        <v>36.475957885106922</v>
      </c>
    </row>
    <row r="886" spans="1:9" x14ac:dyDescent="0.2">
      <c r="A886">
        <v>876</v>
      </c>
      <c r="B886">
        <v>883170.11203419825</v>
      </c>
      <c r="C886">
        <v>109544.77313774153</v>
      </c>
      <c r="D886">
        <v>51847.813259326074</v>
      </c>
      <c r="E886">
        <v>52919.48082090175</v>
      </c>
      <c r="F886">
        <v>39663.656364523966</v>
      </c>
      <c r="G886">
        <v>10000</v>
      </c>
      <c r="H886">
        <v>243975.72358249332</v>
      </c>
      <c r="I886">
        <v>35.171600266901024</v>
      </c>
    </row>
    <row r="887" spans="1:9" x14ac:dyDescent="0.2">
      <c r="A887">
        <v>877</v>
      </c>
      <c r="B887">
        <v>1159656.4092263533</v>
      </c>
      <c r="C887">
        <v>104293.65564588598</v>
      </c>
      <c r="D887">
        <v>68219.600502770889</v>
      </c>
      <c r="E887">
        <v>113387.27096575765</v>
      </c>
      <c r="F887">
        <v>43849.887989937066</v>
      </c>
      <c r="G887">
        <v>10000</v>
      </c>
      <c r="H887">
        <v>319750.41510435159</v>
      </c>
      <c r="I887">
        <v>30.867636512669876</v>
      </c>
    </row>
    <row r="888" spans="1:9" x14ac:dyDescent="0.2">
      <c r="A888">
        <v>878</v>
      </c>
      <c r="B888">
        <v>1440124.1554505434</v>
      </c>
      <c r="C888">
        <v>134803.36375647347</v>
      </c>
      <c r="D888">
        <v>45588.437793591504</v>
      </c>
      <c r="E888">
        <v>177907.78081930146</v>
      </c>
      <c r="F888">
        <v>48316.692518259326</v>
      </c>
      <c r="G888">
        <v>10000</v>
      </c>
      <c r="H888">
        <v>396616.27488762577</v>
      </c>
      <c r="I888">
        <v>35.011316703714968</v>
      </c>
    </row>
    <row r="889" spans="1:9" x14ac:dyDescent="0.2">
      <c r="A889">
        <v>879</v>
      </c>
      <c r="B889">
        <v>1115384.835310695</v>
      </c>
      <c r="C889">
        <v>132864.1198103769</v>
      </c>
      <c r="D889">
        <v>88324.150014772895</v>
      </c>
      <c r="E889">
        <v>56516.275307488911</v>
      </c>
      <c r="F889">
        <v>39912.665213595385</v>
      </c>
      <c r="G889">
        <v>10000</v>
      </c>
      <c r="H889">
        <v>307617.21034623409</v>
      </c>
      <c r="I889">
        <v>28.745989637234011</v>
      </c>
    </row>
    <row r="890" spans="1:9" x14ac:dyDescent="0.2">
      <c r="A890">
        <v>880</v>
      </c>
      <c r="B890">
        <v>1205329.9652937911</v>
      </c>
      <c r="C890">
        <v>72131.206156053362</v>
      </c>
      <c r="D890">
        <v>161543.52318056056</v>
      </c>
      <c r="E890">
        <v>67892.848006756685</v>
      </c>
      <c r="F890">
        <v>40700.274092775457</v>
      </c>
      <c r="G890">
        <v>10000</v>
      </c>
      <c r="H890">
        <v>332267.85143614607</v>
      </c>
      <c r="I890">
        <v>31.738211440000146</v>
      </c>
    </row>
    <row r="891" spans="1:9" x14ac:dyDescent="0.2">
      <c r="A891">
        <v>881</v>
      </c>
      <c r="B891">
        <v>1254438.4422698249</v>
      </c>
      <c r="C891">
        <v>88703.935138498244</v>
      </c>
      <c r="D891">
        <v>62542.015222855465</v>
      </c>
      <c r="E891">
        <v>157571.89871915925</v>
      </c>
      <c r="F891">
        <v>46908.823757480255</v>
      </c>
      <c r="G891">
        <v>10000</v>
      </c>
      <c r="H891">
        <v>345726.67283799319</v>
      </c>
      <c r="I891">
        <v>29.500248283371526</v>
      </c>
    </row>
    <row r="892" spans="1:9" x14ac:dyDescent="0.2">
      <c r="A892">
        <v>882</v>
      </c>
      <c r="B892">
        <v>934959.61628387065</v>
      </c>
      <c r="C892">
        <v>88669.177834895978</v>
      </c>
      <c r="D892">
        <v>66618.194333387015</v>
      </c>
      <c r="E892">
        <v>71903.975897816301</v>
      </c>
      <c r="F892">
        <v>40977.967562156511</v>
      </c>
      <c r="G892">
        <v>10000</v>
      </c>
      <c r="H892">
        <v>258169.31562825578</v>
      </c>
      <c r="I892">
        <v>30.530581995795679</v>
      </c>
    </row>
    <row r="893" spans="1:9" x14ac:dyDescent="0.2">
      <c r="A893">
        <v>883</v>
      </c>
      <c r="B893">
        <v>1341562.8310559883</v>
      </c>
      <c r="C893">
        <v>133564.95632646029</v>
      </c>
      <c r="D893">
        <v>110747.8266014192</v>
      </c>
      <c r="E893">
        <v>92862.525829396065</v>
      </c>
      <c r="F893">
        <v>42428.944095881263</v>
      </c>
      <c r="G893">
        <v>10000</v>
      </c>
      <c r="H893">
        <v>369604.25285315682</v>
      </c>
      <c r="I893">
        <v>36.906566303930788</v>
      </c>
    </row>
    <row r="894" spans="1:9" x14ac:dyDescent="0.2">
      <c r="A894">
        <v>884</v>
      </c>
      <c r="B894">
        <v>1424610.7872058696</v>
      </c>
      <c r="C894">
        <v>103178.25512533245</v>
      </c>
      <c r="D894">
        <v>98138.316015179968</v>
      </c>
      <c r="E894">
        <v>154361.49680220045</v>
      </c>
      <c r="F894">
        <v>46686.565163229265</v>
      </c>
      <c r="G894">
        <v>10000</v>
      </c>
      <c r="H894">
        <v>392364.63310594211</v>
      </c>
      <c r="I894">
        <v>36.523485591380037</v>
      </c>
    </row>
    <row r="895" spans="1:9" x14ac:dyDescent="0.2">
      <c r="A895">
        <v>885</v>
      </c>
      <c r="B895">
        <v>912009.78582994686</v>
      </c>
      <c r="C895">
        <v>139190.11749546125</v>
      </c>
      <c r="D895">
        <v>35283.496981175922</v>
      </c>
      <c r="E895">
        <v>48077.5534789741</v>
      </c>
      <c r="F895">
        <v>39328.446010082822</v>
      </c>
      <c r="G895">
        <v>10000</v>
      </c>
      <c r="H895">
        <v>251879.61396569406</v>
      </c>
      <c r="I895">
        <v>25.969341138722633</v>
      </c>
    </row>
    <row r="896" spans="1:9" x14ac:dyDescent="0.2">
      <c r="A896">
        <v>886</v>
      </c>
      <c r="B896">
        <v>1756489.5994843631</v>
      </c>
      <c r="C896">
        <v>133702.0529371525</v>
      </c>
      <c r="D896">
        <v>149440.0045257911</v>
      </c>
      <c r="E896">
        <v>162900.57912627028</v>
      </c>
      <c r="F896">
        <v>47277.732401049478</v>
      </c>
      <c r="G896">
        <v>10000</v>
      </c>
      <c r="H896">
        <v>483320.36899026332</v>
      </c>
      <c r="I896">
        <v>35.743810889032432</v>
      </c>
    </row>
    <row r="897" spans="1:9" x14ac:dyDescent="0.2">
      <c r="A897">
        <v>887</v>
      </c>
      <c r="B897">
        <v>1194189.2808373838</v>
      </c>
      <c r="C897">
        <v>113076.74800489392</v>
      </c>
      <c r="D897">
        <v>71749.41643470095</v>
      </c>
      <c r="E897">
        <v>110722.99815249494</v>
      </c>
      <c r="F897">
        <v>43665.438333634265</v>
      </c>
      <c r="G897">
        <v>10000</v>
      </c>
      <c r="H897">
        <v>329214.60092572408</v>
      </c>
      <c r="I897">
        <v>41.594745819781267</v>
      </c>
    </row>
    <row r="898" spans="1:9" x14ac:dyDescent="0.2">
      <c r="A898">
        <v>888</v>
      </c>
      <c r="B898">
        <v>1324651.597221161</v>
      </c>
      <c r="C898">
        <v>141641.34256937855</v>
      </c>
      <c r="D898">
        <v>60170.772079456518</v>
      </c>
      <c r="E898">
        <v>128276.69853279037</v>
      </c>
      <c r="F898">
        <v>44880.694513808565</v>
      </c>
      <c r="G898">
        <v>10000</v>
      </c>
      <c r="H898">
        <v>364969.50769543403</v>
      </c>
      <c r="I898">
        <v>31.476010094601026</v>
      </c>
    </row>
    <row r="899" spans="1:9" x14ac:dyDescent="0.2">
      <c r="A899">
        <v>889</v>
      </c>
      <c r="B899">
        <v>1110302.5712592739</v>
      </c>
      <c r="C899">
        <v>107741.42229141894</v>
      </c>
      <c r="D899">
        <v>82912.31484947876</v>
      </c>
      <c r="E899">
        <v>83771.076128302331</v>
      </c>
      <c r="F899">
        <v>41799.536039651692</v>
      </c>
      <c r="G899">
        <v>10000</v>
      </c>
      <c r="H899">
        <v>306224.34930885176</v>
      </c>
      <c r="I899">
        <v>33.586722966751566</v>
      </c>
    </row>
    <row r="900" spans="1:9" x14ac:dyDescent="0.2">
      <c r="A900">
        <v>890</v>
      </c>
      <c r="B900">
        <v>1503732.7476490512</v>
      </c>
      <c r="C900">
        <v>142758.05326099749</v>
      </c>
      <c r="D900">
        <v>135012.64501693126</v>
      </c>
      <c r="E900">
        <v>103138.02006364609</v>
      </c>
      <c r="F900">
        <v>43140.32446594473</v>
      </c>
      <c r="G900">
        <v>10000</v>
      </c>
      <c r="H900">
        <v>414049.04280751955</v>
      </c>
      <c r="I900">
        <v>31.804755264399663</v>
      </c>
    </row>
    <row r="901" spans="1:9" x14ac:dyDescent="0.2">
      <c r="A901">
        <v>891</v>
      </c>
      <c r="B901">
        <v>1671393.3952817279</v>
      </c>
      <c r="C901">
        <v>121102.80064849026</v>
      </c>
      <c r="D901">
        <v>113644.59541576834</v>
      </c>
      <c r="E901">
        <v>186350.08381501882</v>
      </c>
      <c r="F901">
        <v>48901.159648732064</v>
      </c>
      <c r="G901">
        <v>10000</v>
      </c>
      <c r="H901">
        <v>459998.63952800946</v>
      </c>
      <c r="I901">
        <v>37.33729992956804</v>
      </c>
    </row>
    <row r="902" spans="1:9" x14ac:dyDescent="0.2">
      <c r="A902">
        <v>892</v>
      </c>
      <c r="B902">
        <v>1350095.6526644132</v>
      </c>
      <c r="C902">
        <v>112628.51591376039</v>
      </c>
      <c r="D902">
        <v>117874.10786820325</v>
      </c>
      <c r="E902">
        <v>107965.61783384137</v>
      </c>
      <c r="F902">
        <v>43474.542773112102</v>
      </c>
      <c r="G902">
        <v>10000</v>
      </c>
      <c r="H902">
        <v>371942.78438891715</v>
      </c>
      <c r="I902">
        <v>29.977267389606062</v>
      </c>
    </row>
    <row r="903" spans="1:9" x14ac:dyDescent="0.2">
      <c r="A903">
        <v>893</v>
      </c>
      <c r="B903">
        <v>1119830.5984345383</v>
      </c>
      <c r="C903">
        <v>99462.286118980395</v>
      </c>
      <c r="D903">
        <v>91421.016557075549</v>
      </c>
      <c r="E903">
        <v>85998.579480457149</v>
      </c>
      <c r="F903">
        <v>41953.747810185494</v>
      </c>
      <c r="G903">
        <v>10000</v>
      </c>
      <c r="H903">
        <v>308835.62996669853</v>
      </c>
      <c r="I903">
        <v>40.362768138090672</v>
      </c>
    </row>
    <row r="904" spans="1:9" x14ac:dyDescent="0.2">
      <c r="A904">
        <v>894</v>
      </c>
      <c r="B904">
        <v>1101145.3288928475</v>
      </c>
      <c r="C904">
        <v>129353.53637744646</v>
      </c>
      <c r="D904">
        <v>97722.268738048166</v>
      </c>
      <c r="E904">
        <v>47360.105439000661</v>
      </c>
      <c r="F904">
        <v>39278.776530392352</v>
      </c>
      <c r="G904">
        <v>10000</v>
      </c>
      <c r="H904">
        <v>303714.68708488764</v>
      </c>
      <c r="I904">
        <v>24.988093079269134</v>
      </c>
    </row>
    <row r="905" spans="1:9" x14ac:dyDescent="0.2">
      <c r="A905">
        <v>895</v>
      </c>
      <c r="B905">
        <v>1599890.7348177163</v>
      </c>
      <c r="C905">
        <v>105054.18855619188</v>
      </c>
      <c r="D905">
        <v>134230.74611182924</v>
      </c>
      <c r="E905">
        <v>163778.92328254436</v>
      </c>
      <c r="F905">
        <v>47338.540842637682</v>
      </c>
      <c r="G905">
        <v>10000</v>
      </c>
      <c r="H905">
        <v>440402.39879320317</v>
      </c>
      <c r="I905">
        <v>31.997487482642565</v>
      </c>
    </row>
    <row r="906" spans="1:9" x14ac:dyDescent="0.2">
      <c r="A906">
        <v>896</v>
      </c>
      <c r="B906">
        <v>1779936.9897258414</v>
      </c>
      <c r="C906">
        <v>144383.35096096064</v>
      </c>
      <c r="D906">
        <v>115661.46043668929</v>
      </c>
      <c r="E906">
        <v>190512.30837584869</v>
      </c>
      <c r="F906">
        <v>49189.313656789527</v>
      </c>
      <c r="G906">
        <v>10000</v>
      </c>
      <c r="H906">
        <v>489746.43343028816</v>
      </c>
      <c r="I906">
        <v>46.585534134590759</v>
      </c>
    </row>
    <row r="907" spans="1:9" x14ac:dyDescent="0.2">
      <c r="A907">
        <v>897</v>
      </c>
      <c r="B907">
        <v>1392435.8560111942</v>
      </c>
      <c r="C907">
        <v>106843.9584344297</v>
      </c>
      <c r="D907">
        <v>139208.27063302984</v>
      </c>
      <c r="E907">
        <v>104275.37804190558</v>
      </c>
      <c r="F907">
        <v>43219.064633670387</v>
      </c>
      <c r="G907">
        <v>10000</v>
      </c>
      <c r="H907">
        <v>383546.67174303549</v>
      </c>
      <c r="I907">
        <v>33.917062560773587</v>
      </c>
    </row>
    <row r="908" spans="1:9" x14ac:dyDescent="0.2">
      <c r="A908">
        <v>898</v>
      </c>
      <c r="B908">
        <v>1329686.8918432337</v>
      </c>
      <c r="C908">
        <v>172780.91897545158</v>
      </c>
      <c r="D908">
        <v>80193.458829726951</v>
      </c>
      <c r="E908">
        <v>81717.736577220043</v>
      </c>
      <c r="F908">
        <v>41657.381763038313</v>
      </c>
      <c r="G908">
        <v>10000</v>
      </c>
      <c r="H908">
        <v>366349.49614543689</v>
      </c>
      <c r="I908">
        <v>31.057554890761281</v>
      </c>
    </row>
    <row r="909" spans="1:9" x14ac:dyDescent="0.2">
      <c r="A909">
        <v>899</v>
      </c>
      <c r="B909">
        <v>956253.28668575326</v>
      </c>
      <c r="C909">
        <v>122734.61539144586</v>
      </c>
      <c r="D909">
        <v>83199.03481234645</v>
      </c>
      <c r="E909">
        <v>29994.904423955672</v>
      </c>
      <c r="F909">
        <v>38076.570306273854</v>
      </c>
      <c r="G909">
        <v>10000</v>
      </c>
      <c r="H909">
        <v>264005.12493402185</v>
      </c>
      <c r="I909">
        <v>43.861270485308609</v>
      </c>
    </row>
    <row r="910" spans="1:9" x14ac:dyDescent="0.2">
      <c r="A910">
        <v>900</v>
      </c>
      <c r="B910">
        <v>1453073.6712250595</v>
      </c>
      <c r="C910">
        <v>128760.25103901593</v>
      </c>
      <c r="D910">
        <v>101692.43715751285</v>
      </c>
      <c r="E910">
        <v>134407.4406145805</v>
      </c>
      <c r="F910">
        <v>45305.130504086337</v>
      </c>
      <c r="G910">
        <v>10000</v>
      </c>
      <c r="H910">
        <v>400165.25931519555</v>
      </c>
      <c r="I910">
        <v>51.76295316340412</v>
      </c>
    </row>
    <row r="911" spans="1:9" x14ac:dyDescent="0.2">
      <c r="A911">
        <v>901</v>
      </c>
      <c r="B911">
        <v>1112480.7840144341</v>
      </c>
      <c r="C911">
        <v>76109.37247271424</v>
      </c>
      <c r="D911">
        <v>79580.993521381621</v>
      </c>
      <c r="E911">
        <v>117028.94702832709</v>
      </c>
      <c r="F911">
        <v>44102.004025038033</v>
      </c>
      <c r="G911">
        <v>10000</v>
      </c>
      <c r="H911">
        <v>306821.31704746099</v>
      </c>
      <c r="I911">
        <v>27.197783096452124</v>
      </c>
    </row>
    <row r="912" spans="1:9" x14ac:dyDescent="0.2">
      <c r="A912">
        <v>902</v>
      </c>
      <c r="B912">
        <v>1138721.4394001223</v>
      </c>
      <c r="C912">
        <v>124161.65906552041</v>
      </c>
      <c r="D912">
        <v>79915.610334998666</v>
      </c>
      <c r="E912">
        <v>78500.961069362762</v>
      </c>
      <c r="F912">
        <v>41434.681920186653</v>
      </c>
      <c r="G912">
        <v>10000</v>
      </c>
      <c r="H912">
        <v>314012.91239006852</v>
      </c>
      <c r="I912">
        <v>32.910324886945887</v>
      </c>
    </row>
    <row r="913" spans="1:9" x14ac:dyDescent="0.2">
      <c r="A913">
        <v>903</v>
      </c>
      <c r="B913">
        <v>1143909.1339986813</v>
      </c>
      <c r="C913">
        <v>91177.0047406292</v>
      </c>
      <c r="D913">
        <v>81970.870975732803</v>
      </c>
      <c r="E913">
        <v>108757.43167890472</v>
      </c>
      <c r="F913">
        <v>43529.360654693402</v>
      </c>
      <c r="G913">
        <v>10000</v>
      </c>
      <c r="H913">
        <v>315434.66804996011</v>
      </c>
      <c r="I913">
        <v>34.094268748896937</v>
      </c>
    </row>
    <row r="914" spans="1:9" x14ac:dyDescent="0.2">
      <c r="A914">
        <v>904</v>
      </c>
      <c r="B914">
        <v>1233494.5416442559</v>
      </c>
      <c r="C914">
        <v>113648.38978787517</v>
      </c>
      <c r="D914">
        <v>66002.606856014376</v>
      </c>
      <c r="E914">
        <v>125637.72923773901</v>
      </c>
      <c r="F914">
        <v>44697.996639535777</v>
      </c>
      <c r="G914">
        <v>10000</v>
      </c>
      <c r="H914">
        <v>339986.72252116434</v>
      </c>
      <c r="I914">
        <v>27.400745868750988</v>
      </c>
    </row>
    <row r="915" spans="1:9" x14ac:dyDescent="0.2">
      <c r="A915">
        <v>905</v>
      </c>
      <c r="B915">
        <v>1102420.1052055054</v>
      </c>
      <c r="C915">
        <v>115946.07688197013</v>
      </c>
      <c r="D915">
        <v>123186.42170764867</v>
      </c>
      <c r="E915">
        <v>36410.80930586734</v>
      </c>
      <c r="F915">
        <v>38520.748336560049</v>
      </c>
      <c r="G915">
        <v>10000</v>
      </c>
      <c r="H915">
        <v>304064.05623204616</v>
      </c>
      <c r="I915">
        <v>35.599229055005679</v>
      </c>
    </row>
    <row r="916" spans="1:9" x14ac:dyDescent="0.2">
      <c r="A916">
        <v>906</v>
      </c>
      <c r="B916">
        <v>930299.62496599532</v>
      </c>
      <c r="C916">
        <v>108795.15915549072</v>
      </c>
      <c r="D916">
        <v>60452.998289463889</v>
      </c>
      <c r="E916">
        <v>57652.686673403143</v>
      </c>
      <c r="F916">
        <v>39991.33984662022</v>
      </c>
      <c r="G916">
        <v>10000</v>
      </c>
      <c r="H916">
        <v>256892.18396497797</v>
      </c>
      <c r="I916">
        <v>49.34652651448112</v>
      </c>
    </row>
    <row r="917" spans="1:9" x14ac:dyDescent="0.2">
      <c r="A917">
        <v>907</v>
      </c>
      <c r="B917">
        <v>1197031.2798479949</v>
      </c>
      <c r="C917">
        <v>116278.42312824908</v>
      </c>
      <c r="D917">
        <v>89276.248325917099</v>
      </c>
      <c r="E917">
        <v>92065.080206611194</v>
      </c>
      <c r="F917">
        <v>42373.736321996163</v>
      </c>
      <c r="G917">
        <v>10000</v>
      </c>
      <c r="H917">
        <v>329993.48798277351</v>
      </c>
      <c r="I917">
        <v>36.814905632957107</v>
      </c>
    </row>
    <row r="918" spans="1:9" x14ac:dyDescent="0.2">
      <c r="A918">
        <v>908</v>
      </c>
      <c r="B918">
        <v>1885236.9859200707</v>
      </c>
      <c r="C918">
        <v>131583.67826296235</v>
      </c>
      <c r="D918">
        <v>146814.26452181197</v>
      </c>
      <c r="E918">
        <v>200337.79434972507</v>
      </c>
      <c r="F918">
        <v>49869.539608827123</v>
      </c>
      <c r="G918">
        <v>10000</v>
      </c>
      <c r="H918">
        <v>518605.27674332657</v>
      </c>
      <c r="I918">
        <v>34.125265183881538</v>
      </c>
    </row>
    <row r="919" spans="1:9" x14ac:dyDescent="0.2">
      <c r="A919">
        <v>909</v>
      </c>
      <c r="B919">
        <v>1241683.9308682294</v>
      </c>
      <c r="C919">
        <v>113671.86438599664</v>
      </c>
      <c r="D919">
        <v>47510.109060276664</v>
      </c>
      <c r="E919">
        <v>145010.00432162604</v>
      </c>
      <c r="F919">
        <v>46039.154145343338</v>
      </c>
      <c r="G919">
        <v>10000</v>
      </c>
      <c r="H919">
        <v>342231.13191324269</v>
      </c>
      <c r="I919">
        <v>43.364573644334101</v>
      </c>
    </row>
    <row r="920" spans="1:9" x14ac:dyDescent="0.2">
      <c r="A920">
        <v>910</v>
      </c>
      <c r="B920">
        <v>1578140.760870619</v>
      </c>
      <c r="C920">
        <v>155740.42786341702</v>
      </c>
      <c r="D920">
        <v>74551.961244731981</v>
      </c>
      <c r="E920">
        <v>166614.30772669491</v>
      </c>
      <c r="F920">
        <v>47534.836688771182</v>
      </c>
      <c r="G920">
        <v>10000</v>
      </c>
      <c r="H920">
        <v>434441.5335236151</v>
      </c>
      <c r="I920">
        <v>33.65657260501289</v>
      </c>
    </row>
    <row r="921" spans="1:9" x14ac:dyDescent="0.2">
      <c r="A921">
        <v>911</v>
      </c>
      <c r="B921">
        <v>1162092.7752666189</v>
      </c>
      <c r="C921">
        <v>99511.584306807534</v>
      </c>
      <c r="D921">
        <v>71201.741288458012</v>
      </c>
      <c r="E921">
        <v>115695.14373973869</v>
      </c>
      <c r="F921">
        <v>44009.663797366527</v>
      </c>
      <c r="G921">
        <v>10000</v>
      </c>
      <c r="H921">
        <v>320418.13313237077</v>
      </c>
      <c r="I921">
        <v>37.492467173077713</v>
      </c>
    </row>
    <row r="922" spans="1:9" x14ac:dyDescent="0.2">
      <c r="A922">
        <v>912</v>
      </c>
      <c r="B922">
        <v>1484411.6276518879</v>
      </c>
      <c r="C922">
        <v>128342.20485179833</v>
      </c>
      <c r="D922">
        <v>138659.91798574995</v>
      </c>
      <c r="E922">
        <v>108256.99865045816</v>
      </c>
      <c r="F922">
        <v>43494.715291185559</v>
      </c>
      <c r="G922">
        <v>10000</v>
      </c>
      <c r="H922">
        <v>408753.83677919197</v>
      </c>
      <c r="I922">
        <v>49.973724124995492</v>
      </c>
    </row>
    <row r="923" spans="1:9" x14ac:dyDescent="0.2">
      <c r="A923">
        <v>913</v>
      </c>
      <c r="B923">
        <v>871698.91408465267</v>
      </c>
      <c r="C923">
        <v>102278.08170002075</v>
      </c>
      <c r="D923">
        <v>76316.064634982817</v>
      </c>
      <c r="E923">
        <v>33891.416359864874</v>
      </c>
      <c r="F923">
        <v>38346.328824913719</v>
      </c>
      <c r="G923">
        <v>10000</v>
      </c>
      <c r="H923">
        <v>240831.89151978213</v>
      </c>
      <c r="I923">
        <v>32.782889391646968</v>
      </c>
    </row>
    <row r="924" spans="1:9" x14ac:dyDescent="0.2">
      <c r="A924">
        <v>914</v>
      </c>
      <c r="B924">
        <v>1181927.8913825932</v>
      </c>
      <c r="C924">
        <v>130016.39245074599</v>
      </c>
      <c r="D924">
        <v>108582.97628800075</v>
      </c>
      <c r="E924">
        <v>57288.697214884807</v>
      </c>
      <c r="F924">
        <v>39966.140576415106</v>
      </c>
      <c r="G924">
        <v>10000</v>
      </c>
      <c r="H924">
        <v>325854.20653004665</v>
      </c>
      <c r="I924">
        <v>29.279802958280392</v>
      </c>
    </row>
    <row r="925" spans="1:9" x14ac:dyDescent="0.2">
      <c r="A925">
        <v>915</v>
      </c>
      <c r="B925">
        <v>1386894.7815461576</v>
      </c>
      <c r="C925">
        <v>112709.16403675794</v>
      </c>
      <c r="D925">
        <v>90419.865292296279</v>
      </c>
      <c r="E925">
        <v>142999.10063629449</v>
      </c>
      <c r="F925">
        <v>45899.93773635885</v>
      </c>
      <c r="G925">
        <v>10000</v>
      </c>
      <c r="H925">
        <v>382028.06770170759</v>
      </c>
      <c r="I925">
        <v>31.28133892397679</v>
      </c>
    </row>
    <row r="926" spans="1:9" x14ac:dyDescent="0.2">
      <c r="A926">
        <v>916</v>
      </c>
      <c r="B926">
        <v>1513740.3715325382</v>
      </c>
      <c r="C926">
        <v>88700.298736610959</v>
      </c>
      <c r="D926">
        <v>149747.82660392008</v>
      </c>
      <c r="E926">
        <v>142479.66133139195</v>
      </c>
      <c r="F926">
        <v>45863.976553711749</v>
      </c>
      <c r="G926">
        <v>10000</v>
      </c>
      <c r="H926">
        <v>416791.76322563476</v>
      </c>
      <c r="I926">
        <v>44.287886545127591</v>
      </c>
    </row>
    <row r="927" spans="1:9" x14ac:dyDescent="0.2">
      <c r="A927">
        <v>917</v>
      </c>
      <c r="B927">
        <v>1269647.2909216206</v>
      </c>
      <c r="C927">
        <v>96982.644921096362</v>
      </c>
      <c r="D927">
        <v>134272.38077863981</v>
      </c>
      <c r="E927">
        <v>86641.568875881523</v>
      </c>
      <c r="F927">
        <v>41998.262460637947</v>
      </c>
      <c r="G927">
        <v>10000</v>
      </c>
      <c r="H927">
        <v>349894.85703625565</v>
      </c>
      <c r="I927">
        <v>42.010270187361535</v>
      </c>
    </row>
    <row r="928" spans="1:9" x14ac:dyDescent="0.2">
      <c r="A928">
        <v>918</v>
      </c>
      <c r="B928">
        <v>1633468.2635568129</v>
      </c>
      <c r="C928">
        <v>140186.09381118661</v>
      </c>
      <c r="D928">
        <v>163228.52086705528</v>
      </c>
      <c r="E928">
        <v>112408.04994269599</v>
      </c>
      <c r="F928">
        <v>43782.095765263562</v>
      </c>
      <c r="G928">
        <v>10000</v>
      </c>
      <c r="H928">
        <v>449604.76038620144</v>
      </c>
      <c r="I928">
        <v>33.016392535182078</v>
      </c>
    </row>
    <row r="929" spans="1:9" x14ac:dyDescent="0.2">
      <c r="A929">
        <v>919</v>
      </c>
      <c r="B929">
        <v>1344772.2676894125</v>
      </c>
      <c r="C929">
        <v>97268.432682199549</v>
      </c>
      <c r="D929">
        <v>40146.743813893314</v>
      </c>
      <c r="E929">
        <v>193661.34090659439</v>
      </c>
      <c r="F929">
        <v>49407.323601225769</v>
      </c>
      <c r="G929">
        <v>10000</v>
      </c>
      <c r="H929">
        <v>370483.84100391297</v>
      </c>
      <c r="I929">
        <v>33.914629620427377</v>
      </c>
    </row>
    <row r="930" spans="1:9" x14ac:dyDescent="0.2">
      <c r="A930">
        <v>920</v>
      </c>
      <c r="B930">
        <v>1302570.9021888874</v>
      </c>
      <c r="C930">
        <v>123988.08703210992</v>
      </c>
      <c r="D930">
        <v>128090.91621630499</v>
      </c>
      <c r="E930">
        <v>75604.820828324911</v>
      </c>
      <c r="F930">
        <v>41234.179903499411</v>
      </c>
      <c r="G930">
        <v>10000</v>
      </c>
      <c r="H930">
        <v>358918.00398023927</v>
      </c>
      <c r="I930">
        <v>35.936113634003604</v>
      </c>
    </row>
    <row r="931" spans="1:9" x14ac:dyDescent="0.2">
      <c r="A931">
        <v>921</v>
      </c>
      <c r="B931">
        <v>1504429.3627565315</v>
      </c>
      <c r="C931">
        <v>105839.36588607034</v>
      </c>
      <c r="D931">
        <v>109256.5457941006</v>
      </c>
      <c r="E931">
        <v>161933.28194930861</v>
      </c>
      <c r="F931">
        <v>47210.765673413676</v>
      </c>
      <c r="G931">
        <v>10000</v>
      </c>
      <c r="H931">
        <v>414239.95930289326</v>
      </c>
      <c r="I931">
        <v>30.206237382231304</v>
      </c>
    </row>
    <row r="932" spans="1:9" x14ac:dyDescent="0.2">
      <c r="A932">
        <v>922</v>
      </c>
      <c r="B932">
        <v>1174235.7722651064</v>
      </c>
      <c r="C932">
        <v>96551.863504600697</v>
      </c>
      <c r="D932">
        <v>132663.63582651506</v>
      </c>
      <c r="E932">
        <v>64093.349317591259</v>
      </c>
      <c r="F932">
        <v>40437.23187583324</v>
      </c>
      <c r="G932">
        <v>10000</v>
      </c>
      <c r="H932">
        <v>323746.08052454027</v>
      </c>
      <c r="I932">
        <v>43.45074064722175</v>
      </c>
    </row>
    <row r="933" spans="1:9" x14ac:dyDescent="0.2">
      <c r="A933">
        <v>923</v>
      </c>
      <c r="B933">
        <v>1724357.7267579986</v>
      </c>
      <c r="C933">
        <v>133206.56484845566</v>
      </c>
      <c r="D933">
        <v>119696.4508718834</v>
      </c>
      <c r="E933">
        <v>182945.71973926763</v>
      </c>
      <c r="F933">
        <v>48665.472905026225</v>
      </c>
      <c r="G933">
        <v>10000</v>
      </c>
      <c r="H933">
        <v>474514.20836463291</v>
      </c>
      <c r="I933">
        <v>40.08260598444329</v>
      </c>
    </row>
    <row r="934" spans="1:9" x14ac:dyDescent="0.2">
      <c r="A934">
        <v>924</v>
      </c>
      <c r="B934">
        <v>1206443.5632704515</v>
      </c>
      <c r="C934">
        <v>115116.5310734856</v>
      </c>
      <c r="D934">
        <v>84435.450019208976</v>
      </c>
      <c r="E934">
        <v>100091.64488719347</v>
      </c>
      <c r="F934">
        <v>42929.421569113394</v>
      </c>
      <c r="G934">
        <v>10000</v>
      </c>
      <c r="H934">
        <v>332573.04754900141</v>
      </c>
      <c r="I934">
        <v>40.900283190959215</v>
      </c>
    </row>
    <row r="935" spans="1:9" x14ac:dyDescent="0.2">
      <c r="A935">
        <v>925</v>
      </c>
      <c r="B935">
        <v>1133209.9477911887</v>
      </c>
      <c r="C935">
        <v>122426.22052375125</v>
      </c>
      <c r="D935">
        <v>36098.547823148787</v>
      </c>
      <c r="E935">
        <v>119691.32506646863</v>
      </c>
      <c r="F935">
        <v>44286.322504601674</v>
      </c>
      <c r="G935">
        <v>10000</v>
      </c>
      <c r="H935">
        <v>312502.41591797036</v>
      </c>
      <c r="I935">
        <v>46.331555355604294</v>
      </c>
    </row>
    <row r="936" spans="1:9" x14ac:dyDescent="0.2">
      <c r="A936">
        <v>926</v>
      </c>
      <c r="B936">
        <v>1467397.2374880649</v>
      </c>
      <c r="C936">
        <v>134020.59124812327</v>
      </c>
      <c r="D936">
        <v>166262.56531709174</v>
      </c>
      <c r="E936">
        <v>72769.757429440811</v>
      </c>
      <c r="F936">
        <v>41037.906283576674</v>
      </c>
      <c r="G936">
        <v>10000</v>
      </c>
      <c r="H936">
        <v>404090.82027823245</v>
      </c>
      <c r="I936">
        <v>31.532793523907287</v>
      </c>
    </row>
    <row r="937" spans="1:9" x14ac:dyDescent="0.2">
      <c r="A937">
        <v>927</v>
      </c>
      <c r="B937">
        <v>1019370.6132769848</v>
      </c>
      <c r="C937">
        <v>117129.89971941229</v>
      </c>
      <c r="D937">
        <v>80851.194081005844</v>
      </c>
      <c r="E937">
        <v>53610.65443321268</v>
      </c>
      <c r="F937">
        <v>39711.506845376265</v>
      </c>
      <c r="G937">
        <v>10000</v>
      </c>
      <c r="H937">
        <v>281303.25507900707</v>
      </c>
      <c r="I937">
        <v>27.965957714677742</v>
      </c>
    </row>
    <row r="938" spans="1:9" x14ac:dyDescent="0.2">
      <c r="A938">
        <v>928</v>
      </c>
      <c r="B938">
        <v>948166.0283345218</v>
      </c>
      <c r="C938">
        <v>95979.746554782221</v>
      </c>
      <c r="D938">
        <v>78362.25247505217</v>
      </c>
      <c r="E938">
        <v>57468.143064974713</v>
      </c>
      <c r="F938">
        <v>39978.563750652102</v>
      </c>
      <c r="G938">
        <v>10000</v>
      </c>
      <c r="H938">
        <v>261788.70584546123</v>
      </c>
      <c r="I938">
        <v>35.256999812328971</v>
      </c>
    </row>
    <row r="939" spans="1:9" x14ac:dyDescent="0.2">
      <c r="A939">
        <v>929</v>
      </c>
      <c r="B939">
        <v>1043397.4596110373</v>
      </c>
      <c r="C939">
        <v>104365.63408010545</v>
      </c>
      <c r="D939">
        <v>47662.946947720811</v>
      </c>
      <c r="E939">
        <v>102746.33800791122</v>
      </c>
      <c r="F939">
        <v>43113.208015932316</v>
      </c>
      <c r="G939">
        <v>10000</v>
      </c>
      <c r="H939">
        <v>287888.12705166981</v>
      </c>
      <c r="I939">
        <v>40.542731871687408</v>
      </c>
    </row>
    <row r="940" spans="1:9" x14ac:dyDescent="0.2">
      <c r="A940">
        <v>930</v>
      </c>
      <c r="B940">
        <v>1186084.4164917935</v>
      </c>
      <c r="C940">
        <v>147927.13883530762</v>
      </c>
      <c r="D940">
        <v>122392.46618042636</v>
      </c>
      <c r="E940">
        <v>28687.681416161198</v>
      </c>
      <c r="F940">
        <v>37986.070251888079</v>
      </c>
      <c r="G940">
        <v>10000</v>
      </c>
      <c r="H940">
        <v>326993.35668378323</v>
      </c>
      <c r="I940">
        <v>32.465859137455269</v>
      </c>
    </row>
    <row r="941" spans="1:9" x14ac:dyDescent="0.2">
      <c r="A941">
        <v>931</v>
      </c>
      <c r="B941">
        <v>1419809.2568679806</v>
      </c>
      <c r="C941">
        <v>115982.57527976371</v>
      </c>
      <c r="D941">
        <v>117712.18539204613</v>
      </c>
      <c r="E941">
        <v>122849.0181243636</v>
      </c>
      <c r="F941">
        <v>44504.932023994399</v>
      </c>
      <c r="G941">
        <v>10000</v>
      </c>
      <c r="H941">
        <v>391048.71082016785</v>
      </c>
      <c r="I941">
        <v>44.029297621035013</v>
      </c>
    </row>
    <row r="942" spans="1:9" x14ac:dyDescent="0.2">
      <c r="A942">
        <v>932</v>
      </c>
      <c r="B942">
        <v>1171728.2860861036</v>
      </c>
      <c r="C942">
        <v>90053.676423454919</v>
      </c>
      <c r="D942">
        <v>68479.395752829616</v>
      </c>
      <c r="E942">
        <v>129556.50258199233</v>
      </c>
      <c r="F942">
        <v>44969.296332599471</v>
      </c>
      <c r="G942">
        <v>10000</v>
      </c>
      <c r="H942">
        <v>323058.87109087635</v>
      </c>
      <c r="I942">
        <v>37.269380408890029</v>
      </c>
    </row>
    <row r="943" spans="1:9" x14ac:dyDescent="0.2">
      <c r="A943">
        <v>933</v>
      </c>
      <c r="B943">
        <v>741882.41474634374</v>
      </c>
      <c r="C943">
        <v>87186.092614783003</v>
      </c>
      <c r="D943">
        <v>56591.823535356765</v>
      </c>
      <c r="E943">
        <v>33179.051933302675</v>
      </c>
      <c r="F943">
        <v>38297.011287690184</v>
      </c>
      <c r="G943">
        <v>10000</v>
      </c>
      <c r="H943">
        <v>205253.97937113262</v>
      </c>
      <c r="I943">
        <v>31.678831619704681</v>
      </c>
    </row>
    <row r="944" spans="1:9" x14ac:dyDescent="0.2">
      <c r="A944">
        <v>934</v>
      </c>
      <c r="B944">
        <v>1572704.2178354592</v>
      </c>
      <c r="C944">
        <v>107801.52029490512</v>
      </c>
      <c r="D944">
        <v>80446.83348483796</v>
      </c>
      <c r="E944">
        <v>204542.58351312752</v>
      </c>
      <c r="F944">
        <v>50160.640397062671</v>
      </c>
      <c r="G944">
        <v>10000</v>
      </c>
      <c r="H944">
        <v>432951.57768993324</v>
      </c>
      <c r="I944">
        <v>31.347055329678128</v>
      </c>
    </row>
    <row r="945" spans="1:9" x14ac:dyDescent="0.2">
      <c r="A945">
        <v>935</v>
      </c>
      <c r="B945">
        <v>1876167.4693901008</v>
      </c>
      <c r="C945">
        <v>135461.24026411408</v>
      </c>
      <c r="D945">
        <v>139978.38747127273</v>
      </c>
      <c r="E945">
        <v>200779.88342315436</v>
      </c>
      <c r="F945">
        <v>49900.145775449149</v>
      </c>
      <c r="G945">
        <v>10000</v>
      </c>
      <c r="H945">
        <v>516119.65693399031</v>
      </c>
      <c r="I945">
        <v>42.984324066681765</v>
      </c>
    </row>
    <row r="946" spans="1:9" x14ac:dyDescent="0.2">
      <c r="A946">
        <v>936</v>
      </c>
      <c r="B946">
        <v>1091597.3148356213</v>
      </c>
      <c r="C946">
        <v>131682.13228564092</v>
      </c>
      <c r="D946">
        <v>84409.547767299679</v>
      </c>
      <c r="E946">
        <v>55185.700229834481</v>
      </c>
      <c r="F946">
        <v>39820.54847745008</v>
      </c>
      <c r="G946">
        <v>10000</v>
      </c>
      <c r="H946">
        <v>301097.92876022519</v>
      </c>
      <c r="I946">
        <v>47.903825221052458</v>
      </c>
    </row>
    <row r="947" spans="1:9" x14ac:dyDescent="0.2">
      <c r="A947">
        <v>937</v>
      </c>
      <c r="B947">
        <v>1466552.5235511959</v>
      </c>
      <c r="C947">
        <v>124095.61875442913</v>
      </c>
      <c r="D947">
        <v>134935.11943170303</v>
      </c>
      <c r="E947">
        <v>111134.64052108231</v>
      </c>
      <c r="F947">
        <v>43693.936651459546</v>
      </c>
      <c r="G947">
        <v>10000</v>
      </c>
      <c r="H947">
        <v>403859.31535867404</v>
      </c>
      <c r="I947">
        <v>37.08040712732862</v>
      </c>
    </row>
    <row r="948" spans="1:9" x14ac:dyDescent="0.2">
      <c r="A948">
        <v>938</v>
      </c>
      <c r="B948">
        <v>1292899.7148277145</v>
      </c>
      <c r="C948">
        <v>94681.068166211844</v>
      </c>
      <c r="D948">
        <v>134361.54091019995</v>
      </c>
      <c r="E948">
        <v>94670.750444787715</v>
      </c>
      <c r="F948">
        <v>42554.128876946837</v>
      </c>
      <c r="G948">
        <v>10000</v>
      </c>
      <c r="H948">
        <v>356267.48839814635</v>
      </c>
      <c r="I948">
        <v>26.253286754889167</v>
      </c>
    </row>
    <row r="949" spans="1:9" x14ac:dyDescent="0.2">
      <c r="A949">
        <v>939</v>
      </c>
      <c r="B949">
        <v>1167049.6413805296</v>
      </c>
      <c r="C949">
        <v>117351.71674346474</v>
      </c>
      <c r="D949">
        <v>128757.09935866376</v>
      </c>
      <c r="E949">
        <v>46451.909680785931</v>
      </c>
      <c r="F949">
        <v>39215.901439439032</v>
      </c>
      <c r="G949">
        <v>10000</v>
      </c>
      <c r="H949">
        <v>321776.62722235348</v>
      </c>
      <c r="I949">
        <v>38.608821509697115</v>
      </c>
    </row>
    <row r="950" spans="1:9" x14ac:dyDescent="0.2">
      <c r="A950">
        <v>940</v>
      </c>
      <c r="B950">
        <v>1690750.9754201784</v>
      </c>
      <c r="C950">
        <v>118383.2750595493</v>
      </c>
      <c r="D950">
        <v>110228.20388178235</v>
      </c>
      <c r="E950">
        <v>197050.40769253633</v>
      </c>
      <c r="F950">
        <v>49641.951301790978</v>
      </c>
      <c r="G950">
        <v>10000</v>
      </c>
      <c r="H950">
        <v>465303.83793565899</v>
      </c>
      <c r="I950">
        <v>42.459359966653906</v>
      </c>
    </row>
    <row r="951" spans="1:9" x14ac:dyDescent="0.2">
      <c r="A951">
        <v>941</v>
      </c>
      <c r="B951">
        <v>1251926.3882233254</v>
      </c>
      <c r="C951">
        <v>102807.82376377964</v>
      </c>
      <c r="D951">
        <v>54771.874696674495</v>
      </c>
      <c r="E951">
        <v>151004.36473232901</v>
      </c>
      <c r="F951">
        <v>46454.148327622774</v>
      </c>
      <c r="G951">
        <v>10000</v>
      </c>
      <c r="H951">
        <v>345038.21152040595</v>
      </c>
      <c r="I951">
        <v>34.92375354654542</v>
      </c>
    </row>
    <row r="952" spans="1:9" x14ac:dyDescent="0.2">
      <c r="A952">
        <v>942</v>
      </c>
      <c r="B952">
        <v>991948.28101000364</v>
      </c>
      <c r="C952">
        <v>91266.000256039886</v>
      </c>
      <c r="D952">
        <v>62414.197697113195</v>
      </c>
      <c r="E952">
        <v>88014.309410955306</v>
      </c>
      <c r="F952">
        <v>42093.298343835369</v>
      </c>
      <c r="G952">
        <v>10000</v>
      </c>
      <c r="H952">
        <v>273787.80570794374</v>
      </c>
      <c r="I952">
        <v>38.84876692884152</v>
      </c>
    </row>
    <row r="953" spans="1:9" x14ac:dyDescent="0.2">
      <c r="A953">
        <v>943</v>
      </c>
      <c r="B953">
        <v>1700690.7765923275</v>
      </c>
      <c r="C953">
        <v>151657.77993157061</v>
      </c>
      <c r="D953">
        <v>99741.561053835714</v>
      </c>
      <c r="E953">
        <v>178285.76875227681</v>
      </c>
      <c r="F953">
        <v>48342.860913619159</v>
      </c>
      <c r="G953">
        <v>10000</v>
      </c>
      <c r="H953">
        <v>468027.97065130225</v>
      </c>
      <c r="I953">
        <v>26.307222712707823</v>
      </c>
    </row>
    <row r="954" spans="1:9" x14ac:dyDescent="0.2">
      <c r="A954">
        <v>944</v>
      </c>
      <c r="B954">
        <v>911615.41070013307</v>
      </c>
      <c r="C954">
        <v>109805.6102971778</v>
      </c>
      <c r="D954">
        <v>48755.435135623542</v>
      </c>
      <c r="E954">
        <v>62858.726849848194</v>
      </c>
      <c r="F954">
        <v>40351.758012681799</v>
      </c>
      <c r="G954">
        <v>10000</v>
      </c>
      <c r="H954">
        <v>251771.53029533135</v>
      </c>
      <c r="I954">
        <v>31.329606918032169</v>
      </c>
    </row>
    <row r="955" spans="1:9" x14ac:dyDescent="0.2">
      <c r="A955">
        <v>945</v>
      </c>
      <c r="B955">
        <v>1464547.6969181832</v>
      </c>
      <c r="C955">
        <v>157568.3724940402</v>
      </c>
      <c r="D955">
        <v>123406.32542839473</v>
      </c>
      <c r="E955">
        <v>90097.63954412457</v>
      </c>
      <c r="F955">
        <v>42237.528891516318</v>
      </c>
      <c r="G955">
        <v>10000</v>
      </c>
      <c r="H955">
        <v>403309.86635807581</v>
      </c>
      <c r="I955">
        <v>38.915498835755642</v>
      </c>
    </row>
    <row r="956" spans="1:9" x14ac:dyDescent="0.2">
      <c r="A956">
        <v>946</v>
      </c>
      <c r="B956">
        <v>878975.72060606803</v>
      </c>
      <c r="C956">
        <v>83263.022893548768</v>
      </c>
      <c r="D956">
        <v>53409.550695904094</v>
      </c>
      <c r="E956">
        <v>74963.819210181668</v>
      </c>
      <c r="F956">
        <v>41189.802868397193</v>
      </c>
      <c r="G956">
        <v>10000</v>
      </c>
      <c r="H956">
        <v>242826.19566803175</v>
      </c>
      <c r="I956">
        <v>41.304229343307568</v>
      </c>
    </row>
    <row r="957" spans="1:9" x14ac:dyDescent="0.2">
      <c r="A957">
        <v>947</v>
      </c>
      <c r="B957">
        <v>1222974.3252474605</v>
      </c>
      <c r="C957">
        <v>78097.990633146561</v>
      </c>
      <c r="D957">
        <v>51505.880434330989</v>
      </c>
      <c r="E957">
        <v>169747.87255072416</v>
      </c>
      <c r="F957">
        <v>47751.77579197321</v>
      </c>
      <c r="G957">
        <v>10000</v>
      </c>
      <c r="H957">
        <v>337103.51941017492</v>
      </c>
      <c r="I957">
        <v>35.694443436155524</v>
      </c>
    </row>
    <row r="958" spans="1:9" x14ac:dyDescent="0.2">
      <c r="A958">
        <v>948</v>
      </c>
      <c r="B958">
        <v>1485159.8974538296</v>
      </c>
      <c r="C958">
        <v>123435.36240728953</v>
      </c>
      <c r="D958">
        <v>161957.55266238202</v>
      </c>
      <c r="E958">
        <v>91248.772162386289</v>
      </c>
      <c r="F958">
        <v>42317.222688165202</v>
      </c>
      <c r="G958">
        <v>10000</v>
      </c>
      <c r="H958">
        <v>408958.90992022306</v>
      </c>
      <c r="I958">
        <v>37.071675476195011</v>
      </c>
    </row>
    <row r="959" spans="1:9" x14ac:dyDescent="0.2">
      <c r="A959">
        <v>949</v>
      </c>
      <c r="B959">
        <v>1274722.033932291</v>
      </c>
      <c r="C959">
        <v>94505.019697559808</v>
      </c>
      <c r="D959">
        <v>148493.73105122487</v>
      </c>
      <c r="E959">
        <v>76958.976914136612</v>
      </c>
      <c r="F959">
        <v>41327.929170978685</v>
      </c>
      <c r="G959">
        <v>10000</v>
      </c>
      <c r="H959">
        <v>351285.65683389996</v>
      </c>
      <c r="I959">
        <v>41.969287682843444</v>
      </c>
    </row>
    <row r="960" spans="1:9" x14ac:dyDescent="0.2">
      <c r="A960">
        <v>950</v>
      </c>
      <c r="B960">
        <v>1104972.4215140752</v>
      </c>
      <c r="C960">
        <v>144302.69514654062</v>
      </c>
      <c r="D960">
        <v>96397.139703743116</v>
      </c>
      <c r="E960">
        <v>35599.159877396116</v>
      </c>
      <c r="F960">
        <v>38464.55722228127</v>
      </c>
      <c r="G960">
        <v>10000</v>
      </c>
      <c r="H960">
        <v>304763.55194996117</v>
      </c>
      <c r="I960">
        <v>43.025372672213983</v>
      </c>
    </row>
    <row r="961" spans="1:9" x14ac:dyDescent="0.2">
      <c r="A961">
        <v>951</v>
      </c>
      <c r="B961">
        <v>1268034.53500902</v>
      </c>
      <c r="C961">
        <v>87267.241649613643</v>
      </c>
      <c r="D961">
        <v>68189.73064742265</v>
      </c>
      <c r="E961">
        <v>157118.45626764142</v>
      </c>
      <c r="F961">
        <v>46877.431587759791</v>
      </c>
      <c r="G961">
        <v>10000</v>
      </c>
      <c r="H961">
        <v>349452.86015243753</v>
      </c>
      <c r="I961">
        <v>35.072758293223266</v>
      </c>
    </row>
    <row r="962" spans="1:9" x14ac:dyDescent="0.2">
      <c r="A962">
        <v>952</v>
      </c>
      <c r="B962">
        <v>981384.02010222338</v>
      </c>
      <c r="C962">
        <v>109168.2063204825</v>
      </c>
      <c r="D962">
        <v>70706.915094714117</v>
      </c>
      <c r="E962">
        <v>60807.649833482901</v>
      </c>
      <c r="F962">
        <v>40209.760373087272</v>
      </c>
      <c r="G962">
        <v>10000</v>
      </c>
      <c r="H962">
        <v>270892.5316217668</v>
      </c>
      <c r="I962">
        <v>32.166573075451026</v>
      </c>
    </row>
    <row r="963" spans="1:9" x14ac:dyDescent="0.2">
      <c r="A963">
        <v>953</v>
      </c>
      <c r="B963">
        <v>1336763.8231300747</v>
      </c>
      <c r="C963">
        <v>109592.29780522565</v>
      </c>
      <c r="D963">
        <v>127304.97655026891</v>
      </c>
      <c r="E963">
        <v>98567.821414036705</v>
      </c>
      <c r="F963">
        <v>42823.926097894851</v>
      </c>
      <c r="G963">
        <v>10000</v>
      </c>
      <c r="H963">
        <v>368289.02186742611</v>
      </c>
      <c r="I963">
        <v>28.168636248365203</v>
      </c>
    </row>
    <row r="964" spans="1:9" x14ac:dyDescent="0.2">
      <c r="A964">
        <v>954</v>
      </c>
      <c r="B964">
        <v>1195568.2403514627</v>
      </c>
      <c r="C964">
        <v>131722.84993271113</v>
      </c>
      <c r="D964">
        <v>61038.919831220082</v>
      </c>
      <c r="E964">
        <v>103654.66115398255</v>
      </c>
      <c r="F964">
        <v>43176.091926044945</v>
      </c>
      <c r="G964">
        <v>10000</v>
      </c>
      <c r="H964">
        <v>329592.52284395875</v>
      </c>
      <c r="I964">
        <v>38.774699729282148</v>
      </c>
    </row>
    <row r="965" spans="1:9" x14ac:dyDescent="0.2">
      <c r="A965">
        <v>955</v>
      </c>
      <c r="B965">
        <v>1289983.7259448958</v>
      </c>
      <c r="C965">
        <v>117174.92152872166</v>
      </c>
      <c r="D965">
        <v>97498.84144666986</v>
      </c>
      <c r="E965">
        <v>107361.81914648559</v>
      </c>
      <c r="F965">
        <v>43432.741325525923</v>
      </c>
      <c r="G965">
        <v>10000</v>
      </c>
      <c r="H965">
        <v>355468.32344740303</v>
      </c>
      <c r="I965">
        <v>35.297940510671289</v>
      </c>
    </row>
    <row r="966" spans="1:9" x14ac:dyDescent="0.2">
      <c r="A966">
        <v>956</v>
      </c>
      <c r="B966">
        <v>1040111.6515877042</v>
      </c>
      <c r="C966">
        <v>100121.81859671266</v>
      </c>
      <c r="D966">
        <v>39620.185010232184</v>
      </c>
      <c r="E966">
        <v>113395.16987654565</v>
      </c>
      <c r="F966">
        <v>43850.434837607005</v>
      </c>
      <c r="G966">
        <v>10000</v>
      </c>
      <c r="H966">
        <v>286987.6083210975</v>
      </c>
      <c r="I966">
        <v>28.986061034544093</v>
      </c>
    </row>
    <row r="967" spans="1:9" x14ac:dyDescent="0.2">
      <c r="A967">
        <v>957</v>
      </c>
      <c r="B967">
        <v>1343577.0920519277</v>
      </c>
      <c r="C967">
        <v>118313.28482924751</v>
      </c>
      <c r="D967">
        <v>67955.848813294666</v>
      </c>
      <c r="E967">
        <v>147664.24458168587</v>
      </c>
      <c r="F967">
        <v>46222.909240270557</v>
      </c>
      <c r="G967">
        <v>10000</v>
      </c>
      <c r="H967">
        <v>370156.2874644986</v>
      </c>
      <c r="I967">
        <v>34.384838239980439</v>
      </c>
    </row>
    <row r="968" spans="1:9" x14ac:dyDescent="0.2">
      <c r="A968">
        <v>958</v>
      </c>
      <c r="B968">
        <v>1251421.8937286015</v>
      </c>
      <c r="C968">
        <v>85920.072945479435</v>
      </c>
      <c r="D968">
        <v>45153.876715422841</v>
      </c>
      <c r="E968">
        <v>175664.6029461232</v>
      </c>
      <c r="F968">
        <v>48161.395588577754</v>
      </c>
      <c r="G968">
        <v>10000</v>
      </c>
      <c r="H968">
        <v>344899.94819560321</v>
      </c>
      <c r="I968">
        <v>34.951965263240375</v>
      </c>
    </row>
    <row r="969" spans="1:9" x14ac:dyDescent="0.2">
      <c r="A969">
        <v>959</v>
      </c>
      <c r="B969">
        <v>1002780.9637571198</v>
      </c>
      <c r="C969">
        <v>123119.08229038716</v>
      </c>
      <c r="D969">
        <v>72033.600096219292</v>
      </c>
      <c r="E969">
        <v>52003.705400962979</v>
      </c>
      <c r="F969">
        <v>39600.256527758975</v>
      </c>
      <c r="G969">
        <v>10000</v>
      </c>
      <c r="H969">
        <v>276756.64431532839</v>
      </c>
      <c r="I969">
        <v>30.304451829644179</v>
      </c>
    </row>
    <row r="970" spans="1:9" x14ac:dyDescent="0.2">
      <c r="A970">
        <v>960</v>
      </c>
      <c r="B970">
        <v>1272751.7351406612</v>
      </c>
      <c r="C970">
        <v>102035.97087216849</v>
      </c>
      <c r="D970">
        <v>101154.59309880175</v>
      </c>
      <c r="E970">
        <v>113684.63213699192</v>
      </c>
      <c r="F970">
        <v>43870.474532560984</v>
      </c>
      <c r="G970">
        <v>10000</v>
      </c>
      <c r="H970">
        <v>350745.67064052314</v>
      </c>
      <c r="I970">
        <v>31.435881084673348</v>
      </c>
    </row>
    <row r="971" spans="1:9" x14ac:dyDescent="0.2">
      <c r="A971">
        <v>961</v>
      </c>
      <c r="B971">
        <v>1380972.1225668304</v>
      </c>
      <c r="C971">
        <v>107296.95093518952</v>
      </c>
      <c r="D971">
        <v>125885.3982612409</v>
      </c>
      <c r="E971">
        <v>113373.59503461469</v>
      </c>
      <c r="F971">
        <v>43848.941194704094</v>
      </c>
      <c r="G971">
        <v>10000</v>
      </c>
      <c r="H971">
        <v>380404.88542574918</v>
      </c>
      <c r="I971">
        <v>42.352748281557169</v>
      </c>
    </row>
    <row r="972" spans="1:9" x14ac:dyDescent="0.2">
      <c r="A972">
        <v>962</v>
      </c>
      <c r="B972">
        <v>1256955.5873603921</v>
      </c>
      <c r="C972">
        <v>96724.416648283121</v>
      </c>
      <c r="D972">
        <v>25229.189663175341</v>
      </c>
      <c r="E972">
        <v>185612.80578767572</v>
      </c>
      <c r="F972">
        <v>48850.117323762162</v>
      </c>
      <c r="G972">
        <v>10000</v>
      </c>
      <c r="H972">
        <v>346416.52942289633</v>
      </c>
      <c r="I972">
        <v>37.930688686427708</v>
      </c>
    </row>
    <row r="973" spans="1:9" x14ac:dyDescent="0.2">
      <c r="A973">
        <v>963</v>
      </c>
      <c r="B973">
        <v>1216656.6715357979</v>
      </c>
      <c r="C973">
        <v>131235.44779992421</v>
      </c>
      <c r="D973">
        <v>35992.437617920536</v>
      </c>
      <c r="E973">
        <v>132940.61705508491</v>
      </c>
      <c r="F973">
        <v>45203.581180736641</v>
      </c>
      <c r="G973">
        <v>10000</v>
      </c>
      <c r="H973">
        <v>335372.08365366631</v>
      </c>
      <c r="I973">
        <v>37.320083380878984</v>
      </c>
    </row>
    <row r="974" spans="1:9" x14ac:dyDescent="0.2">
      <c r="A974">
        <v>964</v>
      </c>
      <c r="B974">
        <v>1576277.0344013143</v>
      </c>
      <c r="C974">
        <v>149187.54598947975</v>
      </c>
      <c r="D974">
        <v>55428.641727947441</v>
      </c>
      <c r="E974">
        <v>190150.31460424236</v>
      </c>
      <c r="F974">
        <v>49164.252549524477</v>
      </c>
      <c r="G974">
        <v>10000</v>
      </c>
      <c r="H974">
        <v>433930.75487119408</v>
      </c>
      <c r="I974">
        <v>46.056603017456027</v>
      </c>
    </row>
    <row r="975" spans="1:9" x14ac:dyDescent="0.2">
      <c r="A975">
        <v>965</v>
      </c>
      <c r="B975">
        <v>995918.94970685092</v>
      </c>
      <c r="C975">
        <v>128866.75670020128</v>
      </c>
      <c r="D975">
        <v>67859.211616326706</v>
      </c>
      <c r="E975">
        <v>48773.429143155474</v>
      </c>
      <c r="F975">
        <v>39376.622017603069</v>
      </c>
      <c r="G975">
        <v>10000</v>
      </c>
      <c r="H975">
        <v>274876.01947728655</v>
      </c>
      <c r="I975">
        <v>38.550981200913995</v>
      </c>
    </row>
    <row r="976" spans="1:9" x14ac:dyDescent="0.2">
      <c r="A976">
        <v>966</v>
      </c>
      <c r="B976">
        <v>975028.79346827429</v>
      </c>
      <c r="C976">
        <v>113429.10178973158</v>
      </c>
      <c r="D976">
        <v>58324.603749122718</v>
      </c>
      <c r="E976">
        <v>66774.259616787109</v>
      </c>
      <c r="F976">
        <v>40622.833358085256</v>
      </c>
      <c r="G976">
        <v>10000</v>
      </c>
      <c r="H976">
        <v>269150.79851372668</v>
      </c>
      <c r="I976">
        <v>34.023975600170758</v>
      </c>
    </row>
    <row r="977" spans="1:9" x14ac:dyDescent="0.2">
      <c r="A977">
        <v>967</v>
      </c>
      <c r="B977">
        <v>1271136.1231952398</v>
      </c>
      <c r="C977">
        <v>78080.103651436933</v>
      </c>
      <c r="D977">
        <v>103886.15785528175</v>
      </c>
      <c r="E977">
        <v>133120.58875670037</v>
      </c>
      <c r="F977">
        <v>45216.040760079253</v>
      </c>
      <c r="G977">
        <v>10000</v>
      </c>
      <c r="H977">
        <v>350302.89102349838</v>
      </c>
      <c r="I977">
        <v>31.650726605576807</v>
      </c>
    </row>
    <row r="978" spans="1:9" x14ac:dyDescent="0.2">
      <c r="A978">
        <v>968</v>
      </c>
      <c r="B978">
        <v>1087671.5503419053</v>
      </c>
      <c r="C978">
        <v>127838.921175403</v>
      </c>
      <c r="D978">
        <v>67177.724271454717</v>
      </c>
      <c r="E978">
        <v>73889.92012074693</v>
      </c>
      <c r="F978">
        <v>41115.456008359404</v>
      </c>
      <c r="G978">
        <v>10000</v>
      </c>
      <c r="H978">
        <v>300022.02157596406</v>
      </c>
      <c r="I978">
        <v>28.638522667497785</v>
      </c>
    </row>
    <row r="979" spans="1:9" x14ac:dyDescent="0.2">
      <c r="A979">
        <v>969</v>
      </c>
      <c r="B979">
        <v>1236181.1454891555</v>
      </c>
      <c r="C979">
        <v>88270.274263829269</v>
      </c>
      <c r="D979">
        <v>63213.24834764465</v>
      </c>
      <c r="E979">
        <v>152670.03492936093</v>
      </c>
      <c r="F979">
        <v>46569.463956648069</v>
      </c>
      <c r="G979">
        <v>10000</v>
      </c>
      <c r="H979">
        <v>340723.02149748296</v>
      </c>
      <c r="I979">
        <v>31.1209624832732</v>
      </c>
    </row>
    <row r="980" spans="1:9" x14ac:dyDescent="0.2">
      <c r="A980">
        <v>970</v>
      </c>
      <c r="B980">
        <v>788594.35311075533</v>
      </c>
      <c r="C980">
        <v>105946.90400232344</v>
      </c>
      <c r="D980">
        <v>54383.187636856877</v>
      </c>
      <c r="E980">
        <v>29671.710960147331</v>
      </c>
      <c r="F980">
        <v>38054.195374164039</v>
      </c>
      <c r="G980">
        <v>10000</v>
      </c>
      <c r="H980">
        <v>218055.99797349167</v>
      </c>
      <c r="I980">
        <v>39.353755609985669</v>
      </c>
    </row>
    <row r="981" spans="1:9" x14ac:dyDescent="0.2">
      <c r="A981">
        <v>971</v>
      </c>
      <c r="B981">
        <v>1543906.9053802809</v>
      </c>
      <c r="C981">
        <v>158646.43668399096</v>
      </c>
      <c r="D981">
        <v>77785.840790130635</v>
      </c>
      <c r="E981">
        <v>152097.21249407722</v>
      </c>
      <c r="F981">
        <v>46529.807018820728</v>
      </c>
      <c r="G981">
        <v>10000</v>
      </c>
      <c r="H981">
        <v>425059.29698701954</v>
      </c>
      <c r="I981">
        <v>36.909163836033102</v>
      </c>
    </row>
    <row r="982" spans="1:9" x14ac:dyDescent="0.2">
      <c r="A982">
        <v>972</v>
      </c>
      <c r="B982">
        <v>1503334.2136903172</v>
      </c>
      <c r="C982">
        <v>94431.04180766402</v>
      </c>
      <c r="D982">
        <v>170725.68315979737</v>
      </c>
      <c r="E982">
        <v>114833.10985942282</v>
      </c>
      <c r="F982">
        <v>43949.98452872927</v>
      </c>
      <c r="G982">
        <v>10000</v>
      </c>
      <c r="H982">
        <v>413939.81935561349</v>
      </c>
      <c r="I982">
        <v>36.785376771090675</v>
      </c>
    </row>
    <row r="983" spans="1:9" x14ac:dyDescent="0.2">
      <c r="A983">
        <v>973</v>
      </c>
      <c r="B983">
        <v>1030022.6455093224</v>
      </c>
      <c r="C983">
        <v>74863.819135093552</v>
      </c>
      <c r="D983">
        <v>57885.488872798749</v>
      </c>
      <c r="E983">
        <v>117349.10708639438</v>
      </c>
      <c r="F983">
        <v>44124.168952134998</v>
      </c>
      <c r="G983">
        <v>10000</v>
      </c>
      <c r="H983">
        <v>284222.58404642169</v>
      </c>
      <c r="I983">
        <v>40.044435201984811</v>
      </c>
    </row>
    <row r="984" spans="1:9" x14ac:dyDescent="0.2">
      <c r="A984">
        <v>974</v>
      </c>
      <c r="B984">
        <v>1079817.4574527431</v>
      </c>
      <c r="C984">
        <v>124415.70566616129</v>
      </c>
      <c r="D984">
        <v>117858.30856358421</v>
      </c>
      <c r="E984">
        <v>27679.235538772922</v>
      </c>
      <c r="F984">
        <v>37916.254768068895</v>
      </c>
      <c r="G984">
        <v>10000</v>
      </c>
      <c r="H984">
        <v>297869.50453658734</v>
      </c>
      <c r="I984">
        <v>31.014885285968884</v>
      </c>
    </row>
    <row r="985" spans="1:9" x14ac:dyDescent="0.2">
      <c r="A985">
        <v>975</v>
      </c>
      <c r="B985">
        <v>1523259.9501932054</v>
      </c>
      <c r="C985">
        <v>126291.42882910643</v>
      </c>
      <c r="D985">
        <v>87270.306571849869</v>
      </c>
      <c r="E985">
        <v>168194.74170745275</v>
      </c>
      <c r="F985">
        <v>47644.251348977494</v>
      </c>
      <c r="G985">
        <v>10000</v>
      </c>
      <c r="H985">
        <v>419400.72845738655</v>
      </c>
      <c r="I985">
        <v>45.256534690191373</v>
      </c>
    </row>
    <row r="986" spans="1:9" x14ac:dyDescent="0.2">
      <c r="A986">
        <v>976</v>
      </c>
      <c r="B986">
        <v>1028998.8505259007</v>
      </c>
      <c r="C986">
        <v>84711.033692743542</v>
      </c>
      <c r="D986">
        <v>89433.744138274938</v>
      </c>
      <c r="E986">
        <v>78371.502392778071</v>
      </c>
      <c r="F986">
        <v>41425.719396423097</v>
      </c>
      <c r="G986">
        <v>10000</v>
      </c>
      <c r="H986">
        <v>283941.99962021963</v>
      </c>
      <c r="I986">
        <v>28.966987801921398</v>
      </c>
    </row>
    <row r="987" spans="1:9" x14ac:dyDescent="0.2">
      <c r="A987">
        <v>977</v>
      </c>
      <c r="B987">
        <v>1352203.0977023351</v>
      </c>
      <c r="C987">
        <v>124388.49356139697</v>
      </c>
      <c r="D987">
        <v>99794.557320285778</v>
      </c>
      <c r="E987">
        <v>114416.18586597491</v>
      </c>
      <c r="F987">
        <v>43921.120559952105</v>
      </c>
      <c r="G987">
        <v>10000</v>
      </c>
      <c r="H987">
        <v>372520.35730760975</v>
      </c>
      <c r="I987">
        <v>32.247428087184176</v>
      </c>
    </row>
    <row r="988" spans="1:9" x14ac:dyDescent="0.2">
      <c r="A988">
        <v>978</v>
      </c>
      <c r="B988">
        <v>1185897.9241350428</v>
      </c>
      <c r="C988">
        <v>87488.732383143724</v>
      </c>
      <c r="D988">
        <v>90766.258287403485</v>
      </c>
      <c r="E988">
        <v>114743.47621721905</v>
      </c>
      <c r="F988">
        <v>43943.779122730557</v>
      </c>
      <c r="G988">
        <v>10000</v>
      </c>
      <c r="H988">
        <v>326942.2460104968</v>
      </c>
      <c r="I988">
        <v>44.504530039449818</v>
      </c>
    </row>
    <row r="989" spans="1:9" x14ac:dyDescent="0.2">
      <c r="A989">
        <v>979</v>
      </c>
      <c r="B989">
        <v>1229178.5725454609</v>
      </c>
      <c r="C989">
        <v>103688.81016319721</v>
      </c>
      <c r="D989">
        <v>62228.257681520838</v>
      </c>
      <c r="E989">
        <v>137376.15025279426</v>
      </c>
      <c r="F989">
        <v>45510.656555962676</v>
      </c>
      <c r="G989">
        <v>10000</v>
      </c>
      <c r="H989">
        <v>338803.87465347501</v>
      </c>
      <c r="I989">
        <v>38.789651366557287</v>
      </c>
    </row>
    <row r="990" spans="1:9" x14ac:dyDescent="0.2">
      <c r="A990">
        <v>980</v>
      </c>
      <c r="B990">
        <v>1647714.3292068725</v>
      </c>
      <c r="C990">
        <v>94758.178748492559</v>
      </c>
      <c r="D990">
        <v>131649.94823601961</v>
      </c>
      <c r="E990">
        <v>188080.02920755986</v>
      </c>
      <c r="F990">
        <v>49020.92509898491</v>
      </c>
      <c r="G990">
        <v>10000</v>
      </c>
      <c r="H990">
        <v>453509.08129105694</v>
      </c>
      <c r="I990">
        <v>28.537051511900003</v>
      </c>
    </row>
    <row r="991" spans="1:9" x14ac:dyDescent="0.2">
      <c r="A991">
        <v>981</v>
      </c>
      <c r="B991">
        <v>1055835.3315096577</v>
      </c>
      <c r="C991">
        <v>96571.081757433669</v>
      </c>
      <c r="D991">
        <v>33228.561312448619</v>
      </c>
      <c r="E991">
        <v>126724.04274380603</v>
      </c>
      <c r="F991">
        <v>44773.202959186572</v>
      </c>
      <c r="G991">
        <v>10000</v>
      </c>
      <c r="H991">
        <v>291296.8887728749</v>
      </c>
      <c r="I991">
        <v>44.213442299759066</v>
      </c>
    </row>
    <row r="992" spans="1:9" x14ac:dyDescent="0.2">
      <c r="A992">
        <v>982</v>
      </c>
      <c r="B992">
        <v>1142420.3801882784</v>
      </c>
      <c r="C992">
        <v>83616.796623507005</v>
      </c>
      <c r="D992">
        <v>87825.418393256085</v>
      </c>
      <c r="E992">
        <v>109971.0595070321</v>
      </c>
      <c r="F992">
        <v>43613.381042794528</v>
      </c>
      <c r="G992">
        <v>10000</v>
      </c>
      <c r="H992">
        <v>315026.65556658967</v>
      </c>
      <c r="I992">
        <v>32.779587321999131</v>
      </c>
    </row>
    <row r="993" spans="1:9" x14ac:dyDescent="0.2">
      <c r="A993">
        <v>983</v>
      </c>
      <c r="B993">
        <v>1553517.7461911996</v>
      </c>
      <c r="C993">
        <v>95663.729309498885</v>
      </c>
      <c r="D993">
        <v>125124.95170154361</v>
      </c>
      <c r="E993">
        <v>169191.34577994098</v>
      </c>
      <c r="F993">
        <v>47713.247015534376</v>
      </c>
      <c r="G993">
        <v>10000</v>
      </c>
      <c r="H993">
        <v>427693.27380651789</v>
      </c>
      <c r="I993">
        <v>38.689632976596535</v>
      </c>
    </row>
    <row r="994" spans="1:9" x14ac:dyDescent="0.2">
      <c r="A994">
        <v>984</v>
      </c>
      <c r="B994">
        <v>1364985.1153317296</v>
      </c>
      <c r="C994">
        <v>130669.97824773683</v>
      </c>
      <c r="D994">
        <v>50490.28813372094</v>
      </c>
      <c r="E994">
        <v>157929.58372721306</v>
      </c>
      <c r="F994">
        <v>46933.586565730133</v>
      </c>
      <c r="G994">
        <v>10000</v>
      </c>
      <c r="H994">
        <v>376023.43667440093</v>
      </c>
      <c r="I994">
        <v>54.216456760274745</v>
      </c>
    </row>
    <row r="995" spans="1:9" x14ac:dyDescent="0.2">
      <c r="A995">
        <v>985</v>
      </c>
      <c r="B995">
        <v>754167.95361583738</v>
      </c>
      <c r="C995">
        <v>88075.343621773485</v>
      </c>
      <c r="D995">
        <v>50244.554533249349</v>
      </c>
      <c r="E995">
        <v>41432.677912082756</v>
      </c>
      <c r="F995">
        <v>38868.416163144189</v>
      </c>
      <c r="G995">
        <v>10000</v>
      </c>
      <c r="H995">
        <v>208620.99223024977</v>
      </c>
      <c r="I995">
        <v>33.640939875143751</v>
      </c>
    </row>
    <row r="996" spans="1:9" x14ac:dyDescent="0.2">
      <c r="A996">
        <v>986</v>
      </c>
      <c r="B996">
        <v>1543756.9304129207</v>
      </c>
      <c r="C996">
        <v>111278.99862177213</v>
      </c>
      <c r="D996">
        <v>82087.056470569762</v>
      </c>
      <c r="E996">
        <v>192336.53314920689</v>
      </c>
      <c r="F996">
        <v>49315.606141098935</v>
      </c>
      <c r="G996">
        <v>10000</v>
      </c>
      <c r="H996">
        <v>425018.19438264775</v>
      </c>
      <c r="I996">
        <v>50.689005092732053</v>
      </c>
    </row>
    <row r="997" spans="1:9" x14ac:dyDescent="0.2">
      <c r="A997">
        <v>987</v>
      </c>
      <c r="B997">
        <v>1179432.6460709162</v>
      </c>
      <c r="C997">
        <v>142249.05879859644</v>
      </c>
      <c r="D997">
        <v>59068.384162766801</v>
      </c>
      <c r="E997">
        <v>91517.109047894919</v>
      </c>
      <c r="F997">
        <v>42335.799857161961</v>
      </c>
      <c r="G997">
        <v>10000</v>
      </c>
      <c r="H997">
        <v>325170.35186642013</v>
      </c>
      <c r="I997">
        <v>36.712849984122869</v>
      </c>
    </row>
    <row r="998" spans="1:9" x14ac:dyDescent="0.2">
      <c r="A998">
        <v>988</v>
      </c>
      <c r="B998">
        <v>1164063.6973642206</v>
      </c>
      <c r="C998">
        <v>143627.2358606479</v>
      </c>
      <c r="D998">
        <v>116442.90353431404</v>
      </c>
      <c r="E998">
        <v>32629.20574297681</v>
      </c>
      <c r="F998">
        <v>38258.945012975317</v>
      </c>
      <c r="G998">
        <v>10000</v>
      </c>
      <c r="H998">
        <v>320958.29015091405</v>
      </c>
      <c r="I998">
        <v>44.924129725933149</v>
      </c>
    </row>
    <row r="999" spans="1:9" x14ac:dyDescent="0.2">
      <c r="A999">
        <v>989</v>
      </c>
      <c r="B999">
        <v>1215875.6686889043</v>
      </c>
      <c r="C999">
        <v>126431.34204361124</v>
      </c>
      <c r="D999">
        <v>88721.105859833173</v>
      </c>
      <c r="E999">
        <v>87918.89870235564</v>
      </c>
      <c r="F999">
        <v>42086.692987086164</v>
      </c>
      <c r="G999">
        <v>10000</v>
      </c>
      <c r="H999">
        <v>335158.03959288623</v>
      </c>
      <c r="I999">
        <v>38.344081792211213</v>
      </c>
    </row>
    <row r="1000" spans="1:9" x14ac:dyDescent="0.2">
      <c r="A1000">
        <v>990</v>
      </c>
      <c r="B1000">
        <v>1152058.0730502279</v>
      </c>
      <c r="C1000">
        <v>105011.70294316014</v>
      </c>
      <c r="D1000">
        <v>55273.975565860208</v>
      </c>
      <c r="E1000">
        <v>122875.54456360747</v>
      </c>
      <c r="F1000">
        <v>44506.768469788214</v>
      </c>
      <c r="G1000">
        <v>10000</v>
      </c>
      <c r="H1000">
        <v>317667.99154241604</v>
      </c>
      <c r="I1000">
        <v>30.503280635326895</v>
      </c>
    </row>
    <row r="1001" spans="1:9" x14ac:dyDescent="0.2">
      <c r="A1001">
        <v>991</v>
      </c>
      <c r="B1001">
        <v>902171.85380177316</v>
      </c>
      <c r="C1001">
        <v>94681.877514753651</v>
      </c>
      <c r="D1001">
        <v>93056.069335840788</v>
      </c>
      <c r="E1001">
        <v>33150.423643604539</v>
      </c>
      <c r="F1001">
        <v>38295.029329172619</v>
      </c>
      <c r="G1001">
        <v>10000</v>
      </c>
      <c r="H1001">
        <v>249183.39982337158</v>
      </c>
      <c r="I1001">
        <v>42.070468632671748</v>
      </c>
    </row>
    <row r="1002" spans="1:9" x14ac:dyDescent="0.2">
      <c r="A1002">
        <v>992</v>
      </c>
      <c r="B1002">
        <v>1144732.4490116085</v>
      </c>
      <c r="C1002">
        <v>145329.78599484288</v>
      </c>
      <c r="D1002">
        <v>41328.236881833182</v>
      </c>
      <c r="E1002">
        <v>96333.072711261149</v>
      </c>
      <c r="F1002">
        <v>42669.212726164231</v>
      </c>
      <c r="G1002">
        <v>10000</v>
      </c>
      <c r="H1002">
        <v>315660.30831410142</v>
      </c>
      <c r="I1002">
        <v>30.107027058771024</v>
      </c>
    </row>
    <row r="1003" spans="1:9" x14ac:dyDescent="0.2">
      <c r="A1003">
        <v>993</v>
      </c>
      <c r="B1003">
        <v>1616105.3381418476</v>
      </c>
      <c r="C1003">
        <v>102534.76597404142</v>
      </c>
      <c r="D1003">
        <v>105080.61067186002</v>
      </c>
      <c r="E1003">
        <v>197554.02918320661</v>
      </c>
      <c r="F1003">
        <v>49676.817404991227</v>
      </c>
      <c r="G1003">
        <v>10000</v>
      </c>
      <c r="H1003">
        <v>444846.22323409934</v>
      </c>
      <c r="I1003">
        <v>45.897886824196632</v>
      </c>
    </row>
    <row r="1004" spans="1:9" x14ac:dyDescent="0.2">
      <c r="A1004">
        <v>994</v>
      </c>
      <c r="B1004">
        <v>1290196.8383926938</v>
      </c>
      <c r="C1004">
        <v>105151.81050512668</v>
      </c>
      <c r="D1004">
        <v>129364.63704906308</v>
      </c>
      <c r="E1004">
        <v>88858.537263670936</v>
      </c>
      <c r="F1004">
        <v>42151.744887484907</v>
      </c>
      <c r="G1004">
        <v>10000</v>
      </c>
      <c r="H1004">
        <v>355526.72970534558</v>
      </c>
      <c r="I1004">
        <v>29.96647063045371</v>
      </c>
    </row>
    <row r="1005" spans="1:9" x14ac:dyDescent="0.2">
      <c r="A1005">
        <v>995</v>
      </c>
      <c r="B1005">
        <v>1571880.6673117364</v>
      </c>
      <c r="C1005">
        <v>94570.515235688697</v>
      </c>
      <c r="D1005">
        <v>97646.175760255006</v>
      </c>
      <c r="E1005">
        <v>200620.09816585513</v>
      </c>
      <c r="F1005">
        <v>49889.083719174581</v>
      </c>
      <c r="G1005">
        <v>10000</v>
      </c>
      <c r="H1005">
        <v>432725.87288097339</v>
      </c>
      <c r="I1005">
        <v>29.20724012370691</v>
      </c>
    </row>
    <row r="1006" spans="1:9" x14ac:dyDescent="0.2">
      <c r="A1006">
        <v>996</v>
      </c>
      <c r="B1006">
        <v>792002.00038150104</v>
      </c>
      <c r="C1006">
        <v>100326.11709176458</v>
      </c>
      <c r="D1006">
        <v>64754.376583923804</v>
      </c>
      <c r="E1006">
        <v>26102.330267035151</v>
      </c>
      <c r="F1006">
        <v>37807.084403102432</v>
      </c>
      <c r="G1006">
        <v>10000</v>
      </c>
      <c r="H1006">
        <v>218989.90834582597</v>
      </c>
      <c r="I1006">
        <v>41.875025342122157</v>
      </c>
    </row>
    <row r="1007" spans="1:9" x14ac:dyDescent="0.2">
      <c r="A1007">
        <v>997</v>
      </c>
      <c r="B1007">
        <v>1080635.2619722239</v>
      </c>
      <c r="C1007">
        <v>135909.98741856197</v>
      </c>
      <c r="D1007">
        <v>106406.82279317973</v>
      </c>
      <c r="E1007">
        <v>27848.828543810454</v>
      </c>
      <c r="F1007">
        <v>37927.995822263802</v>
      </c>
      <c r="G1007">
        <v>10000</v>
      </c>
      <c r="H1007">
        <v>298093.634577816</v>
      </c>
      <c r="I1007">
        <v>29.874594833765318</v>
      </c>
    </row>
    <row r="1008" spans="1:9" x14ac:dyDescent="0.2">
      <c r="A1008">
        <v>998</v>
      </c>
      <c r="B1008">
        <v>1658871.8801235058</v>
      </c>
      <c r="C1008">
        <v>107450.42378708145</v>
      </c>
      <c r="D1008">
        <v>115526.33035226743</v>
      </c>
      <c r="E1008">
        <v>194149.10804132512</v>
      </c>
      <c r="F1008">
        <v>49441.092095168664</v>
      </c>
      <c r="G1008">
        <v>10000</v>
      </c>
      <c r="H1008">
        <v>456566.95427584264</v>
      </c>
      <c r="I1008">
        <v>45.639135057994466</v>
      </c>
    </row>
    <row r="1009" spans="1:9" x14ac:dyDescent="0.2">
      <c r="A1009">
        <v>999</v>
      </c>
      <c r="B1009">
        <v>994243.96169024054</v>
      </c>
      <c r="C1009">
        <v>112788.99104867272</v>
      </c>
      <c r="D1009">
        <v>73784.614668323658</v>
      </c>
      <c r="E1009">
        <v>57839.1149346206</v>
      </c>
      <c r="F1009">
        <v>40004.246418550654</v>
      </c>
      <c r="G1009">
        <v>10000</v>
      </c>
      <c r="H1009">
        <v>274416.96707016759</v>
      </c>
      <c r="I1009">
        <v>40.52653198642507</v>
      </c>
    </row>
    <row r="1010" spans="1:9" x14ac:dyDescent="0.2">
      <c r="A1010">
        <v>1000</v>
      </c>
      <c r="B1010">
        <v>919373.55226658215</v>
      </c>
      <c r="C1010">
        <v>79661.938988768394</v>
      </c>
      <c r="D1010">
        <v>29520.569206454162</v>
      </c>
      <c r="E1010">
        <v>111028.64399236065</v>
      </c>
      <c r="F1010">
        <v>43686.598430240352</v>
      </c>
      <c r="G1010">
        <v>10000</v>
      </c>
      <c r="H1010">
        <v>253897.75061782356</v>
      </c>
      <c r="I1010">
        <v>33.66534072635698</v>
      </c>
    </row>
    <row r="1015" spans="1:9" ht="19" x14ac:dyDescent="0.25">
      <c r="A1015" s="4" t="s">
        <v>639</v>
      </c>
    </row>
    <row r="1016" spans="1:9" x14ac:dyDescent="0.2">
      <c r="A1016" t="s">
        <v>640</v>
      </c>
      <c r="B1016" s="15">
        <f>AVERAGE(B11:B1010)</f>
        <v>1280790.1907610788</v>
      </c>
    </row>
    <row r="1017" spans="1:9" x14ac:dyDescent="0.2">
      <c r="A1017" t="s">
        <v>641</v>
      </c>
      <c r="B1017" s="15">
        <f>PERCENTILE(B11:B1010,0.1)</f>
        <v>947699.2963262311</v>
      </c>
    </row>
    <row r="1018" spans="1:9" x14ac:dyDescent="0.2">
      <c r="A1018" t="s">
        <v>642</v>
      </c>
      <c r="B1018" s="15">
        <f>PERCENTILE(B11:B1010,0.5)</f>
        <v>1277746.4717551921</v>
      </c>
    </row>
    <row r="1019" spans="1:9" x14ac:dyDescent="0.2">
      <c r="A1019" t="s">
        <v>643</v>
      </c>
      <c r="B1019" s="15">
        <f>PERCENTILE(B11:B1010,0.9)</f>
        <v>1605966.1118579598</v>
      </c>
    </row>
    <row r="1020" spans="1:9" x14ac:dyDescent="0.2">
      <c r="A1020" t="s">
        <v>644</v>
      </c>
      <c r="B1020" s="15">
        <f>STDEV(B11:B1010)</f>
        <v>248021.90296253961</v>
      </c>
    </row>
    <row r="1021" spans="1:9" x14ac:dyDescent="0.2">
      <c r="A1021" t="s">
        <v>645</v>
      </c>
      <c r="B1021" s="25">
        <f>COUNTIF(B11:B1010,"&gt;0")/1000</f>
        <v>1</v>
      </c>
    </row>
    <row r="1023" spans="1:9" ht="19" x14ac:dyDescent="0.25">
      <c r="A1023" s="4" t="s">
        <v>646</v>
      </c>
    </row>
    <row r="1024" spans="1:9" x14ac:dyDescent="0.2">
      <c r="A1024" t="s">
        <v>647</v>
      </c>
      <c r="B1024" s="23">
        <f>IFERROR(AVERAGE(I11:I1010),"Run MC")</f>
        <v>36.199639712610356</v>
      </c>
    </row>
    <row r="1025" spans="1:2" x14ac:dyDescent="0.2">
      <c r="A1025" t="s">
        <v>648</v>
      </c>
      <c r="B1025" s="23">
        <f>IFERROR(PERCENTILE(I11:I1010,0.1),"Run MC")</f>
        <v>27.961109762436184</v>
      </c>
    </row>
    <row r="1026" spans="1:2" x14ac:dyDescent="0.2">
      <c r="A1026" t="s">
        <v>649</v>
      </c>
      <c r="B1026" s="23">
        <f>IFERROR(PERCENTILE(I11:I1010,0.5),"Run MC")</f>
        <v>35.293523440279998</v>
      </c>
    </row>
    <row r="1027" spans="1:2" x14ac:dyDescent="0.2">
      <c r="A1027" t="s">
        <v>650</v>
      </c>
      <c r="B1027" s="23">
        <f>IFERROR(PERCENTILE(I11:I1010,0.9),"Run MC")</f>
        <v>45.623634451901914</v>
      </c>
    </row>
    <row r="1028" spans="1:2" x14ac:dyDescent="0.2">
      <c r="A1028" t="s">
        <v>651</v>
      </c>
      <c r="B1028" s="25">
        <f>IFERROR(COUNTIF(I11:I1010,"&lt;="&amp;Season_Length)/1000,"Run MC")</f>
        <v>1</v>
      </c>
    </row>
  </sheetData>
  <mergeCells count="2">
    <mergeCell ref="A4:E4"/>
    <mergeCell ref="A3:E3"/>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4472C4"/>
  </sheetPr>
  <dimension ref="A1:D4"/>
  <sheetViews>
    <sheetView workbookViewId="0"/>
  </sheetViews>
  <sheetFormatPr baseColWidth="10" defaultColWidth="8.83203125" defaultRowHeight="15" x14ac:dyDescent="0.2"/>
  <cols>
    <col min="1" max="1" width="60" customWidth="1"/>
    <col min="2" max="4" width="13" customWidth="1"/>
  </cols>
  <sheetData>
    <row r="1" spans="1:4" ht="21" x14ac:dyDescent="0.25">
      <c r="A1" s="5" t="s">
        <v>652</v>
      </c>
    </row>
    <row r="3" spans="1:4" x14ac:dyDescent="0.2">
      <c r="A3" s="36" t="s">
        <v>653</v>
      </c>
      <c r="B3" s="34"/>
      <c r="C3" s="34"/>
      <c r="D3" s="35"/>
    </row>
    <row r="4" spans="1:4" ht="312" customHeight="1" x14ac:dyDescent="0.2">
      <c r="A4" s="33" t="s">
        <v>654</v>
      </c>
      <c r="B4" s="34"/>
      <c r="C4" s="34"/>
      <c r="D4" s="35"/>
    </row>
  </sheetData>
  <mergeCells count="2">
    <mergeCell ref="A4:D4"/>
    <mergeCell ref="A3:D3"/>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4472C4"/>
  </sheetPr>
  <dimension ref="A1:J23"/>
  <sheetViews>
    <sheetView workbookViewId="0"/>
  </sheetViews>
  <sheetFormatPr baseColWidth="10" defaultColWidth="8.83203125" defaultRowHeight="15" x14ac:dyDescent="0.2"/>
  <cols>
    <col min="1" max="5" width="12" customWidth="1"/>
    <col min="6" max="6" width="14" customWidth="1"/>
    <col min="7" max="7" width="12" customWidth="1"/>
    <col min="8" max="8" width="14" customWidth="1"/>
    <col min="9" max="9" width="16" customWidth="1"/>
    <col min="10" max="10" width="14" customWidth="1"/>
  </cols>
  <sheetData>
    <row r="1" spans="1:10" ht="21" x14ac:dyDescent="0.25">
      <c r="A1" s="5" t="s">
        <v>655</v>
      </c>
    </row>
    <row r="3" spans="1:10" x14ac:dyDescent="0.2">
      <c r="A3" s="36" t="s">
        <v>656</v>
      </c>
      <c r="B3" s="34"/>
      <c r="C3" s="34"/>
      <c r="D3" s="34"/>
      <c r="E3" s="34"/>
      <c r="F3" s="34"/>
      <c r="G3" s="34"/>
      <c r="H3" s="34"/>
      <c r="I3" s="34"/>
      <c r="J3" s="35"/>
    </row>
    <row r="4" spans="1:10" ht="249.5" customHeight="1" x14ac:dyDescent="0.2">
      <c r="A4" s="33" t="s">
        <v>657</v>
      </c>
      <c r="B4" s="34"/>
      <c r="C4" s="34"/>
      <c r="D4" s="34"/>
      <c r="E4" s="34"/>
      <c r="F4" s="34"/>
      <c r="G4" s="34"/>
      <c r="H4" s="34"/>
      <c r="I4" s="34"/>
      <c r="J4" s="35"/>
    </row>
    <row r="6" spans="1:10" x14ac:dyDescent="0.2">
      <c r="A6" s="6" t="s">
        <v>655</v>
      </c>
    </row>
    <row r="7" spans="1:10" ht="15.5" customHeight="1" x14ac:dyDescent="0.2">
      <c r="A7" s="7" t="s">
        <v>46</v>
      </c>
      <c r="B7" s="31" t="s">
        <v>658</v>
      </c>
      <c r="C7" s="32"/>
      <c r="D7" s="32"/>
      <c r="E7" s="32"/>
      <c r="F7" s="32"/>
      <c r="G7" s="32"/>
      <c r="H7" s="32"/>
      <c r="I7" s="32"/>
      <c r="J7" s="32"/>
    </row>
    <row r="8" spans="1:10" ht="15.5" customHeight="1" x14ac:dyDescent="0.2">
      <c r="A8" s="7" t="s">
        <v>48</v>
      </c>
      <c r="B8" s="31" t="s">
        <v>659</v>
      </c>
      <c r="C8" s="32"/>
      <c r="D8" s="32"/>
      <c r="E8" s="32"/>
      <c r="F8" s="32"/>
      <c r="G8" s="32"/>
      <c r="H8" s="32"/>
      <c r="I8" s="32"/>
      <c r="J8" s="32"/>
    </row>
    <row r="9" spans="1:10" ht="46.75" customHeight="1" x14ac:dyDescent="0.2">
      <c r="A9" s="7" t="s">
        <v>50</v>
      </c>
      <c r="B9" s="31" t="s">
        <v>660</v>
      </c>
      <c r="C9" s="32"/>
      <c r="D9" s="32"/>
      <c r="E9" s="32"/>
      <c r="F9" s="32"/>
      <c r="G9" s="32"/>
      <c r="H9" s="32"/>
      <c r="I9" s="32"/>
      <c r="J9" s="32"/>
    </row>
    <row r="10" spans="1:10" ht="15.5" customHeight="1" x14ac:dyDescent="0.2">
      <c r="A10" s="7" t="s">
        <v>52</v>
      </c>
      <c r="B10" s="31" t="s">
        <v>661</v>
      </c>
      <c r="C10" s="32"/>
      <c r="D10" s="32"/>
      <c r="E10" s="32"/>
      <c r="F10" s="32"/>
      <c r="G10" s="32"/>
      <c r="H10" s="32"/>
      <c r="I10" s="32"/>
      <c r="J10" s="32"/>
    </row>
    <row r="11" spans="1:10" ht="15.5" customHeight="1" x14ac:dyDescent="0.2">
      <c r="A11" s="7" t="s">
        <v>54</v>
      </c>
      <c r="B11" s="31" t="s">
        <v>662</v>
      </c>
      <c r="C11" s="32"/>
      <c r="D11" s="32"/>
      <c r="E11" s="32"/>
      <c r="F11" s="32"/>
      <c r="G11" s="32"/>
      <c r="H11" s="32"/>
      <c r="I11" s="32"/>
      <c r="J11" s="32"/>
    </row>
    <row r="12" spans="1:10" x14ac:dyDescent="0.2">
      <c r="A12" s="8" t="s">
        <v>295</v>
      </c>
      <c r="B12" s="8" t="s">
        <v>663</v>
      </c>
      <c r="C12" s="8" t="s">
        <v>664</v>
      </c>
      <c r="D12" s="8" t="s">
        <v>665</v>
      </c>
      <c r="E12" s="8" t="s">
        <v>666</v>
      </c>
      <c r="F12" s="8" t="s">
        <v>667</v>
      </c>
      <c r="G12" s="8" t="s">
        <v>668</v>
      </c>
      <c r="H12" s="8" t="s">
        <v>669</v>
      </c>
      <c r="I12" s="8" t="s">
        <v>487</v>
      </c>
      <c r="J12" s="8" t="s">
        <v>670</v>
      </c>
    </row>
    <row r="13" spans="1:10" x14ac:dyDescent="0.2">
      <c r="A13">
        <f>Base_Year+0</f>
        <v>2026</v>
      </c>
      <c r="B13" s="15">
        <f ca="1">S1_Value*INDEX(Timeline_LearningMult,2)</f>
        <v>44943.234704945768</v>
      </c>
      <c r="C13" s="15">
        <f ca="1">S2_Value*INDEX(Timeline_LearningMult,2)</f>
        <v>50637.898741247292</v>
      </c>
      <c r="D13" s="15">
        <f ca="1">S3_Value*INDEX(Timeline_LearningMult,2)</f>
        <v>95003.218987020926</v>
      </c>
      <c r="E13" s="15">
        <f ca="1">S4_Value*INDEX(Timeline_LearningMult,2)</f>
        <v>24577.145929870676</v>
      </c>
      <c r="F13" s="15">
        <f ca="1">SUM(B13:E13)</f>
        <v>215161.49836308468</v>
      </c>
      <c r="G13" s="15">
        <f>Testing_Cost</f>
        <v>10000</v>
      </c>
      <c r="H13" s="15">
        <f ca="1">F13-G13</f>
        <v>205161.49836308468</v>
      </c>
      <c r="I13">
        <f>INDEX(Timeline_DiscountFactor,2)</f>
        <v>0.95419847328244267</v>
      </c>
      <c r="J13" s="15">
        <f ca="1">H13*I13</f>
        <v>195764.78851439376</v>
      </c>
    </row>
    <row r="14" spans="1:10" x14ac:dyDescent="0.2">
      <c r="A14">
        <f>Base_Year+1</f>
        <v>2027</v>
      </c>
      <c r="B14" s="15">
        <f ca="1">S1_Value*INDEX(Timeline_LearningMult,3)</f>
        <v>67414.852057418655</v>
      </c>
      <c r="C14" s="15">
        <f ca="1">S2_Value*INDEX(Timeline_LearningMult,3)</f>
        <v>75956.848111870931</v>
      </c>
      <c r="D14" s="15">
        <f ca="1">S3_Value*INDEX(Timeline_LearningMult,3)</f>
        <v>142504.8284805314</v>
      </c>
      <c r="E14" s="15">
        <f ca="1">S4_Value*INDEX(Timeline_LearningMult,3)</f>
        <v>36865.718894806014</v>
      </c>
      <c r="F14" s="15">
        <f ca="1">SUM(B14:E14)</f>
        <v>322742.247544627</v>
      </c>
      <c r="G14" s="15">
        <f>Testing_Cost</f>
        <v>10000</v>
      </c>
      <c r="H14" s="15">
        <f ca="1">F14-G14</f>
        <v>312742.247544627</v>
      </c>
      <c r="I14">
        <f>INDEX(Timeline_DiscountFactor,3)</f>
        <v>0.91049472641454443</v>
      </c>
      <c r="J14" s="15">
        <f ca="1">H14*I14</f>
        <v>284750.16711641487</v>
      </c>
    </row>
    <row r="15" spans="1:10" x14ac:dyDescent="0.2">
      <c r="A15">
        <f>Base_Year+2</f>
        <v>2028</v>
      </c>
      <c r="B15" s="15">
        <f ca="1">S1_Value*INDEX(Timeline_LearningMult,4)</f>
        <v>89886.469409891535</v>
      </c>
      <c r="C15" s="15">
        <f ca="1">S2_Value*INDEX(Timeline_LearningMult,4)</f>
        <v>101275.79748249458</v>
      </c>
      <c r="D15" s="15">
        <f ca="1">S3_Value*INDEX(Timeline_LearningMult,4)</f>
        <v>190006.43797404185</v>
      </c>
      <c r="E15" s="15">
        <f ca="1">S4_Value*INDEX(Timeline_LearningMult,4)</f>
        <v>49154.291859741352</v>
      </c>
      <c r="F15" s="15">
        <f ca="1">SUM(B15:E15)</f>
        <v>430322.99672616937</v>
      </c>
      <c r="G15" s="15">
        <f>Testing_Cost</f>
        <v>10000</v>
      </c>
      <c r="H15" s="15">
        <f ca="1">F15-G15</f>
        <v>420322.99672616937</v>
      </c>
      <c r="I15">
        <f>INDEX(Timeline_DiscountFactor,4)</f>
        <v>0.86879267787647374</v>
      </c>
      <c r="J15" s="15">
        <f ca="1">H15*I15</f>
        <v>365173.54189879302</v>
      </c>
    </row>
    <row r="16" spans="1:10" x14ac:dyDescent="0.2">
      <c r="A16">
        <f>Base_Year+3</f>
        <v>2029</v>
      </c>
      <c r="B16" s="15">
        <f ca="1">S1_Value*INDEX(Timeline_LearningMult,5)</f>
        <v>89886.469409891535</v>
      </c>
      <c r="C16" s="15">
        <f ca="1">S2_Value*INDEX(Timeline_LearningMult,5)</f>
        <v>101275.79748249458</v>
      </c>
      <c r="D16" s="15">
        <f ca="1">S3_Value*INDEX(Timeline_LearningMult,5)</f>
        <v>190006.43797404185</v>
      </c>
      <c r="E16" s="15">
        <f ca="1">S4_Value*INDEX(Timeline_LearningMult,5)</f>
        <v>49154.291859741352</v>
      </c>
      <c r="F16" s="15">
        <f ca="1">SUM(B16:E16)</f>
        <v>430322.99672616937</v>
      </c>
      <c r="G16" s="15">
        <f>Testing_Cost</f>
        <v>10000</v>
      </c>
      <c r="H16" s="15">
        <f ca="1">F16-G16</f>
        <v>420322.99672616937</v>
      </c>
      <c r="I16">
        <f>INDEX(Timeline_DiscountFactor,5)</f>
        <v>0.82900064682869612</v>
      </c>
      <c r="J16" s="15">
        <f ca="1">H16*I16</f>
        <v>348448.03616297035</v>
      </c>
    </row>
    <row r="17" spans="1:10" x14ac:dyDescent="0.2">
      <c r="A17">
        <f>Base_Year+4</f>
        <v>2030</v>
      </c>
      <c r="B17" s="15">
        <f ca="1">S1_Value*INDEX(Timeline_LearningMult,6)</f>
        <v>89886.469409891535</v>
      </c>
      <c r="C17" s="15">
        <f ca="1">S2_Value*INDEX(Timeline_LearningMult,6)</f>
        <v>101275.79748249458</v>
      </c>
      <c r="D17" s="15">
        <f ca="1">S3_Value*INDEX(Timeline_LearningMult,6)</f>
        <v>190006.43797404185</v>
      </c>
      <c r="E17" s="15">
        <f ca="1">S4_Value*INDEX(Timeline_LearningMult,6)</f>
        <v>49154.291859741352</v>
      </c>
      <c r="F17" s="15">
        <f ca="1">SUM(B17:E17)</f>
        <v>430322.99672616937</v>
      </c>
      <c r="G17" s="15">
        <f>Testing_Cost</f>
        <v>10000</v>
      </c>
      <c r="H17" s="15">
        <f ca="1">F17-G17</f>
        <v>420322.99672616937</v>
      </c>
      <c r="I17">
        <f>INDEX(Timeline_DiscountFactor,6)</f>
        <v>0.79103115155409931</v>
      </c>
      <c r="J17" s="15">
        <f ca="1">H17*I17</f>
        <v>332488.58412497165</v>
      </c>
    </row>
    <row r="20" spans="1:10" ht="19" x14ac:dyDescent="0.25">
      <c r="A20" s="4" t="s">
        <v>671</v>
      </c>
    </row>
    <row r="21" spans="1:10" x14ac:dyDescent="0.2">
      <c r="A21" t="s">
        <v>672</v>
      </c>
      <c r="B21" s="15">
        <f ca="1">SUM(J13:J17)</f>
        <v>1526625.1178175437</v>
      </c>
    </row>
    <row r="22" spans="1:10" x14ac:dyDescent="0.2">
      <c r="A22" t="s">
        <v>673</v>
      </c>
      <c r="B22" s="15">
        <f ca="1">SUM(F13:F17)</f>
        <v>1828872.7360862195</v>
      </c>
    </row>
    <row r="23" spans="1:10" x14ac:dyDescent="0.2">
      <c r="A23" t="s">
        <v>674</v>
      </c>
      <c r="B23" s="15">
        <f ca="1">SUM(H13:H17)</f>
        <v>1778872.7360862195</v>
      </c>
    </row>
  </sheetData>
  <mergeCells count="7">
    <mergeCell ref="B7:J7"/>
    <mergeCell ref="B11:J11"/>
    <mergeCell ref="B10:J10"/>
    <mergeCell ref="A3:J3"/>
    <mergeCell ref="B9:J9"/>
    <mergeCell ref="A4:J4"/>
    <mergeCell ref="B8:J8"/>
  </mergeCell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4472C4"/>
  </sheetPr>
  <dimension ref="A1:D17"/>
  <sheetViews>
    <sheetView workbookViewId="0"/>
  </sheetViews>
  <sheetFormatPr baseColWidth="10" defaultColWidth="8.83203125" defaultRowHeight="15" x14ac:dyDescent="0.2"/>
  <cols>
    <col min="1" max="1" width="12" customWidth="1"/>
    <col min="2" max="4" width="16" customWidth="1"/>
  </cols>
  <sheetData>
    <row r="1" spans="1:4" ht="21" x14ac:dyDescent="0.25">
      <c r="A1" s="5" t="s">
        <v>675</v>
      </c>
    </row>
    <row r="3" spans="1:4" x14ac:dyDescent="0.2">
      <c r="A3" s="36" t="s">
        <v>676</v>
      </c>
      <c r="B3" s="34"/>
      <c r="C3" s="34"/>
      <c r="D3" s="35"/>
    </row>
    <row r="4" spans="1:4" ht="312" customHeight="1" x14ac:dyDescent="0.2">
      <c r="A4" s="33" t="s">
        <v>677</v>
      </c>
      <c r="B4" s="34"/>
      <c r="C4" s="34"/>
      <c r="D4" s="35"/>
    </row>
    <row r="6" spans="1:4" x14ac:dyDescent="0.2">
      <c r="A6" s="6" t="s">
        <v>678</v>
      </c>
    </row>
    <row r="7" spans="1:4" ht="31.25" customHeight="1" x14ac:dyDescent="0.2">
      <c r="A7" s="7" t="s">
        <v>46</v>
      </c>
      <c r="B7" s="31" t="s">
        <v>679</v>
      </c>
      <c r="C7" s="32"/>
      <c r="D7" s="32"/>
    </row>
    <row r="8" spans="1:4" ht="31.25" customHeight="1" x14ac:dyDescent="0.2">
      <c r="A8" s="7" t="s">
        <v>48</v>
      </c>
      <c r="B8" s="31" t="s">
        <v>680</v>
      </c>
      <c r="C8" s="32"/>
      <c r="D8" s="32"/>
    </row>
    <row r="9" spans="1:4" ht="62.5" customHeight="1" x14ac:dyDescent="0.2">
      <c r="A9" s="7" t="s">
        <v>50</v>
      </c>
      <c r="B9" s="31" t="s">
        <v>681</v>
      </c>
      <c r="C9" s="32"/>
      <c r="D9" s="32"/>
    </row>
    <row r="10" spans="1:4" ht="15.5" customHeight="1" x14ac:dyDescent="0.2">
      <c r="A10" s="7" t="s">
        <v>52</v>
      </c>
      <c r="B10" s="31" t="s">
        <v>682</v>
      </c>
      <c r="C10" s="32"/>
      <c r="D10" s="32"/>
    </row>
    <row r="11" spans="1:4" ht="15.5" customHeight="1" x14ac:dyDescent="0.2">
      <c r="A11" s="7" t="s">
        <v>54</v>
      </c>
      <c r="B11" s="31" t="s">
        <v>683</v>
      </c>
      <c r="C11" s="32"/>
      <c r="D11" s="32"/>
    </row>
    <row r="12" spans="1:4" x14ac:dyDescent="0.2">
      <c r="A12" s="8" t="s">
        <v>295</v>
      </c>
      <c r="B12" s="8" t="s">
        <v>684</v>
      </c>
      <c r="C12" s="8" t="s">
        <v>685</v>
      </c>
      <c r="D12" s="8" t="s">
        <v>686</v>
      </c>
    </row>
    <row r="13" spans="1:4" x14ac:dyDescent="0.2">
      <c r="A13">
        <f>Base_Year+0</f>
        <v>2026</v>
      </c>
      <c r="B13" s="15">
        <f ca="1">INDEX(tbl_Annual[Net_Annual],1)</f>
        <v>205161.49836308468</v>
      </c>
      <c r="C13" s="15">
        <f ca="1">B13</f>
        <v>205161.49836308468</v>
      </c>
      <c r="D13" s="15">
        <f ca="1">INDEX(tbl_Annual[Discounted],1)</f>
        <v>195764.78851439376</v>
      </c>
    </row>
    <row r="14" spans="1:4" x14ac:dyDescent="0.2">
      <c r="A14">
        <f>Base_Year+1</f>
        <v>2027</v>
      </c>
      <c r="B14" s="15">
        <f ca="1">INDEX(tbl_Annual[Net_Annual],2)</f>
        <v>312742.247544627</v>
      </c>
      <c r="C14" s="15">
        <f ca="1">C13+B14</f>
        <v>517903.74590771168</v>
      </c>
      <c r="D14" s="15">
        <f ca="1">D13+INDEX(tbl_Annual[Discounted],2)</f>
        <v>480514.9556308086</v>
      </c>
    </row>
    <row r="15" spans="1:4" x14ac:dyDescent="0.2">
      <c r="A15">
        <f>Base_Year+2</f>
        <v>2028</v>
      </c>
      <c r="B15" s="15">
        <f ca="1">INDEX(tbl_Annual[Net_Annual],3)</f>
        <v>420322.99672616937</v>
      </c>
      <c r="C15" s="15">
        <f ca="1">C14+B15</f>
        <v>938226.74263388105</v>
      </c>
      <c r="D15" s="15">
        <f ca="1">D14+INDEX(tbl_Annual[Discounted],3)</f>
        <v>845688.49752960168</v>
      </c>
    </row>
    <row r="16" spans="1:4" x14ac:dyDescent="0.2">
      <c r="A16">
        <f>Base_Year+3</f>
        <v>2029</v>
      </c>
      <c r="B16" s="15">
        <f ca="1">INDEX(tbl_Annual[Net_Annual],4)</f>
        <v>420322.99672616937</v>
      </c>
      <c r="C16" s="15">
        <f ca="1">C15+B16</f>
        <v>1358549.7393600503</v>
      </c>
      <c r="D16" s="15">
        <f ca="1">D15+INDEX(tbl_Annual[Discounted],4)</f>
        <v>1194136.533692572</v>
      </c>
    </row>
    <row r="17" spans="1:4" x14ac:dyDescent="0.2">
      <c r="A17">
        <f>Base_Year+4</f>
        <v>2030</v>
      </c>
      <c r="B17" s="15">
        <f ca="1">INDEX(tbl_Annual[Net_Annual],5)</f>
        <v>420322.99672616937</v>
      </c>
      <c r="C17" s="15">
        <f ca="1">C16+B17</f>
        <v>1778872.7360862195</v>
      </c>
      <c r="D17" s="15">
        <f ca="1">D16+INDEX(tbl_Annual[Discounted],5)</f>
        <v>1526625.1178175437</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4472C4"/>
  </sheetPr>
  <dimension ref="A1:D27"/>
  <sheetViews>
    <sheetView workbookViewId="0"/>
  </sheetViews>
  <sheetFormatPr baseColWidth="10" defaultColWidth="8.83203125" defaultRowHeight="15" x14ac:dyDescent="0.2"/>
  <cols>
    <col min="1" max="1" width="28" customWidth="1"/>
    <col min="2" max="2" width="18" customWidth="1"/>
    <col min="3" max="3" width="10" customWidth="1"/>
    <col min="4" max="4" width="25" customWidth="1"/>
  </cols>
  <sheetData>
    <row r="1" spans="1:4" ht="21" x14ac:dyDescent="0.25">
      <c r="A1" s="5" t="s">
        <v>687</v>
      </c>
    </row>
    <row r="3" spans="1:4" x14ac:dyDescent="0.2">
      <c r="A3" s="36" t="s">
        <v>688</v>
      </c>
      <c r="B3" s="34"/>
      <c r="C3" s="34"/>
      <c r="D3" s="35"/>
    </row>
    <row r="4" spans="1:4" ht="327.5" customHeight="1" x14ac:dyDescent="0.2">
      <c r="A4" s="33" t="s">
        <v>689</v>
      </c>
      <c r="B4" s="34"/>
      <c r="C4" s="34"/>
      <c r="D4" s="35"/>
    </row>
    <row r="6" spans="1:4" x14ac:dyDescent="0.2">
      <c r="A6" s="6" t="s">
        <v>687</v>
      </c>
    </row>
    <row r="7" spans="1:4" ht="31.25" customHeight="1" x14ac:dyDescent="0.2">
      <c r="A7" s="7" t="s">
        <v>46</v>
      </c>
      <c r="B7" s="31" t="s">
        <v>690</v>
      </c>
      <c r="C7" s="32"/>
      <c r="D7" s="32"/>
    </row>
    <row r="8" spans="1:4" ht="31.25" customHeight="1" x14ac:dyDescent="0.2">
      <c r="A8" s="7" t="s">
        <v>48</v>
      </c>
      <c r="B8" s="31" t="s">
        <v>691</v>
      </c>
      <c r="C8" s="32"/>
      <c r="D8" s="32"/>
    </row>
    <row r="9" spans="1:4" ht="78" customHeight="1" x14ac:dyDescent="0.2">
      <c r="A9" s="7" t="s">
        <v>50</v>
      </c>
      <c r="B9" s="31" t="s">
        <v>692</v>
      </c>
      <c r="C9" s="32"/>
      <c r="D9" s="32"/>
    </row>
    <row r="10" spans="1:4" ht="31.25" customHeight="1" x14ac:dyDescent="0.2">
      <c r="A10" s="7" t="s">
        <v>52</v>
      </c>
      <c r="B10" s="31" t="s">
        <v>693</v>
      </c>
      <c r="C10" s="32"/>
      <c r="D10" s="32"/>
    </row>
    <row r="11" spans="1:4" ht="15.5" customHeight="1" x14ac:dyDescent="0.2">
      <c r="A11" s="7" t="s">
        <v>54</v>
      </c>
      <c r="B11" s="31" t="s">
        <v>694</v>
      </c>
      <c r="C11" s="32"/>
      <c r="D11" s="32"/>
    </row>
    <row r="12" spans="1:4" x14ac:dyDescent="0.2">
      <c r="A12" s="8" t="s">
        <v>491</v>
      </c>
      <c r="B12" s="8" t="s">
        <v>57</v>
      </c>
      <c r="C12" s="8" t="s">
        <v>227</v>
      </c>
      <c r="D12" s="8" t="s">
        <v>492</v>
      </c>
    </row>
    <row r="13" spans="1:4" x14ac:dyDescent="0.2">
      <c r="A13" t="s">
        <v>695</v>
      </c>
      <c r="B13">
        <f>Annual_Throughput</f>
        <v>50000</v>
      </c>
      <c r="C13" t="s">
        <v>273</v>
      </c>
      <c r="D13" t="s">
        <v>696</v>
      </c>
    </row>
    <row r="14" spans="1:4" x14ac:dyDescent="0.2">
      <c r="A14" t="s">
        <v>697</v>
      </c>
      <c r="B14" s="28">
        <f ca="1">Gross_Value</f>
        <v>430322.99672616937</v>
      </c>
      <c r="C14" t="s">
        <v>287</v>
      </c>
      <c r="D14" t="s">
        <v>698</v>
      </c>
    </row>
    <row r="15" spans="1:4" x14ac:dyDescent="0.2">
      <c r="A15" t="s">
        <v>699</v>
      </c>
      <c r="B15" s="28">
        <f ca="1">AdjustedValue</f>
        <v>430322.99672616937</v>
      </c>
      <c r="C15" t="s">
        <v>287</v>
      </c>
      <c r="D15" t="s">
        <v>700</v>
      </c>
    </row>
    <row r="16" spans="1:4" x14ac:dyDescent="0.2">
      <c r="A16" t="s">
        <v>701</v>
      </c>
      <c r="B16" s="28">
        <f>Testing_Cost</f>
        <v>10000</v>
      </c>
      <c r="C16" t="s">
        <v>287</v>
      </c>
      <c r="D16" t="s">
        <v>702</v>
      </c>
    </row>
    <row r="17" spans="1:4" x14ac:dyDescent="0.2">
      <c r="A17" t="s">
        <v>703</v>
      </c>
      <c r="B17" s="28">
        <f ca="1">AdjustedValue-Testing_Cost</f>
        <v>420322.99672616937</v>
      </c>
      <c r="C17" t="s">
        <v>287</v>
      </c>
      <c r="D17" t="s">
        <v>704</v>
      </c>
    </row>
    <row r="18" spans="1:4" x14ac:dyDescent="0.2">
      <c r="A18" t="s">
        <v>705</v>
      </c>
      <c r="B18" s="28">
        <f ca="1">Gross_Value/Annual_Throughput</f>
        <v>8.6064599345233876</v>
      </c>
      <c r="C18" t="s">
        <v>276</v>
      </c>
      <c r="D18" t="s">
        <v>706</v>
      </c>
    </row>
    <row r="19" spans="1:4" x14ac:dyDescent="0.2">
      <c r="A19" t="s">
        <v>707</v>
      </c>
      <c r="B19" s="28">
        <f ca="1">(AdjustedValue-Testing_Cost)/Annual_Throughput</f>
        <v>8.4064599345233866</v>
      </c>
      <c r="C19" t="s">
        <v>276</v>
      </c>
      <c r="D19" t="s">
        <v>708</v>
      </c>
    </row>
    <row r="20" spans="1:4" x14ac:dyDescent="0.2">
      <c r="A20" t="s">
        <v>709</v>
      </c>
      <c r="B20" s="28">
        <f>Testing_Cost/Annual_Throughput</f>
        <v>0.2</v>
      </c>
      <c r="C20" t="s">
        <v>276</v>
      </c>
      <c r="D20" t="s">
        <v>710</v>
      </c>
    </row>
    <row r="21" spans="1:4" x14ac:dyDescent="0.2">
      <c r="A21" t="s">
        <v>711</v>
      </c>
      <c r="B21" s="28">
        <f ca="1">NPV_Total/(Annual_Throughput*5)</f>
        <v>6.1065004712701745</v>
      </c>
      <c r="C21" t="s">
        <v>276</v>
      </c>
      <c r="D21" t="s">
        <v>712</v>
      </c>
    </row>
    <row r="24" spans="1:4" ht="19" x14ac:dyDescent="0.25">
      <c r="A24" s="4" t="s">
        <v>713</v>
      </c>
    </row>
    <row r="25" spans="1:4" x14ac:dyDescent="0.2">
      <c r="A25" t="s">
        <v>714</v>
      </c>
      <c r="B25" s="15">
        <f>INDEX(TestOpt_Cost,MATCH(Testing_Option,TestOpt_Option,0))</f>
        <v>10</v>
      </c>
    </row>
    <row r="26" spans="1:4" x14ac:dyDescent="0.2">
      <c r="A26" t="s">
        <v>715</v>
      </c>
      <c r="B26">
        <f>Testing_Cost/INDEX(TestOpt_Cost,MATCH(Testing_Option,TestOpt_Option,0))</f>
        <v>1000</v>
      </c>
    </row>
    <row r="27" spans="1:4" x14ac:dyDescent="0.2">
      <c r="A27" t="s">
        <v>716</v>
      </c>
      <c r="B27" s="28">
        <f ca="1">(AdjustedValue-Testing_Cost)/(Testing_Cost/INDEX(TestOpt_Cost,MATCH(Testing_Option,TestOpt_Option,0)))</f>
        <v>420.32299672616938</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4472C4"/>
  </sheetPr>
  <dimension ref="A1:G27"/>
  <sheetViews>
    <sheetView workbookViewId="0"/>
  </sheetViews>
  <sheetFormatPr baseColWidth="10" defaultColWidth="8.83203125" defaultRowHeight="15" x14ac:dyDescent="0.2"/>
  <cols>
    <col min="1" max="1" width="18" customWidth="1"/>
    <col min="2" max="4" width="12" customWidth="1"/>
    <col min="5" max="7" width="15" customWidth="1"/>
  </cols>
  <sheetData>
    <row r="1" spans="1:7" ht="21" x14ac:dyDescent="0.25">
      <c r="A1" s="5" t="s">
        <v>717</v>
      </c>
    </row>
    <row r="3" spans="1:7" x14ac:dyDescent="0.2">
      <c r="A3" s="36" t="s">
        <v>718</v>
      </c>
      <c r="B3" s="34"/>
      <c r="C3" s="34"/>
      <c r="D3" s="34"/>
      <c r="E3" s="34"/>
      <c r="F3" s="34"/>
      <c r="G3" s="35"/>
    </row>
    <row r="4" spans="1:7" ht="374.5" customHeight="1" x14ac:dyDescent="0.2">
      <c r="A4" s="33" t="s">
        <v>719</v>
      </c>
      <c r="B4" s="34"/>
      <c r="C4" s="34"/>
      <c r="D4" s="34"/>
      <c r="E4" s="34"/>
      <c r="F4" s="34"/>
      <c r="G4" s="35"/>
    </row>
    <row r="6" spans="1:7" x14ac:dyDescent="0.2">
      <c r="A6" s="6" t="s">
        <v>717</v>
      </c>
    </row>
    <row r="7" spans="1:7" ht="31.25" customHeight="1" x14ac:dyDescent="0.2">
      <c r="A7" s="7" t="s">
        <v>46</v>
      </c>
      <c r="B7" s="31" t="s">
        <v>720</v>
      </c>
      <c r="C7" s="32"/>
      <c r="D7" s="32"/>
      <c r="E7" s="32"/>
      <c r="F7" s="32"/>
      <c r="G7" s="32"/>
    </row>
    <row r="8" spans="1:7" ht="15.5" customHeight="1" x14ac:dyDescent="0.2">
      <c r="A8" s="7" t="s">
        <v>48</v>
      </c>
      <c r="B8" s="31" t="s">
        <v>721</v>
      </c>
      <c r="C8" s="32"/>
      <c r="D8" s="32"/>
      <c r="E8" s="32"/>
      <c r="F8" s="32"/>
      <c r="G8" s="32"/>
    </row>
    <row r="9" spans="1:7" ht="46.75" customHeight="1" x14ac:dyDescent="0.2">
      <c r="A9" s="7" t="s">
        <v>50</v>
      </c>
      <c r="B9" s="31" t="s">
        <v>722</v>
      </c>
      <c r="C9" s="32"/>
      <c r="D9" s="32"/>
      <c r="E9" s="32"/>
      <c r="F9" s="32"/>
      <c r="G9" s="32"/>
    </row>
    <row r="10" spans="1:7" ht="15.5" customHeight="1" x14ac:dyDescent="0.2">
      <c r="A10" s="7" t="s">
        <v>52</v>
      </c>
      <c r="B10" s="31" t="s">
        <v>723</v>
      </c>
      <c r="C10" s="32"/>
      <c r="D10" s="32"/>
      <c r="E10" s="32"/>
      <c r="F10" s="32"/>
      <c r="G10" s="32"/>
    </row>
    <row r="11" spans="1:7" ht="15.5" customHeight="1" x14ac:dyDescent="0.2">
      <c r="A11" s="7" t="s">
        <v>54</v>
      </c>
      <c r="B11" s="31" t="s">
        <v>724</v>
      </c>
      <c r="C11" s="32"/>
      <c r="D11" s="32"/>
      <c r="E11" s="32"/>
      <c r="F11" s="32"/>
      <c r="G11" s="32"/>
    </row>
    <row r="12" spans="1:7" x14ac:dyDescent="0.2">
      <c r="A12" s="8" t="s">
        <v>56</v>
      </c>
      <c r="B12" s="8" t="s">
        <v>468</v>
      </c>
      <c r="C12" s="8" t="s">
        <v>65</v>
      </c>
      <c r="D12" s="8" t="s">
        <v>469</v>
      </c>
      <c r="E12" s="8" t="s">
        <v>725</v>
      </c>
      <c r="F12" s="8" t="s">
        <v>726</v>
      </c>
      <c r="G12" s="8" t="s">
        <v>727</v>
      </c>
    </row>
    <row r="13" spans="1:7" x14ac:dyDescent="0.2">
      <c r="A13" t="s">
        <v>728</v>
      </c>
      <c r="B13">
        <v>3</v>
      </c>
      <c r="C13">
        <v>5</v>
      </c>
      <c r="D13">
        <v>10</v>
      </c>
      <c r="E13" s="15">
        <f ca="1">NPV_Total*(B13/C13)</f>
        <v>915975.07069052616</v>
      </c>
      <c r="F13" s="15">
        <f ca="1">NPV_Total*(D13/C13)</f>
        <v>3053250.2356350874</v>
      </c>
      <c r="G13" s="15">
        <f ca="1">ABS(F13-E13)</f>
        <v>2137275.1649445612</v>
      </c>
    </row>
    <row r="14" spans="1:7" x14ac:dyDescent="0.2">
      <c r="A14" t="s">
        <v>67</v>
      </c>
      <c r="B14">
        <v>0.04</v>
      </c>
      <c r="C14">
        <v>4.8000000000000001E-2</v>
      </c>
      <c r="D14">
        <v>0.06</v>
      </c>
      <c r="E14" s="15">
        <f ca="1">NPV_Total*((1+C14)/(1+B14))^2.5</f>
        <v>1556152.8841866569</v>
      </c>
      <c r="F14" s="15">
        <f ca="1">NPV_Total*((1+C14)/(1+D14))^2.5</f>
        <v>1483784.8999608643</v>
      </c>
      <c r="G14" s="15">
        <f ca="1">ABS(F14-E14)</f>
        <v>72367.984225792577</v>
      </c>
    </row>
    <row r="15" spans="1:7" x14ac:dyDescent="0.2">
      <c r="A15" t="s">
        <v>186</v>
      </c>
      <c r="B15">
        <v>80</v>
      </c>
      <c r="C15">
        <v>100</v>
      </c>
      <c r="D15">
        <v>120</v>
      </c>
      <c r="E15" s="15">
        <f ca="1">NPV_Total*(B15/C15)</f>
        <v>1221300.094254035</v>
      </c>
      <c r="F15" s="15">
        <f ca="1">NPV_Total*(D15/C15)</f>
        <v>1831950.1413810523</v>
      </c>
      <c r="G15" s="15">
        <f ca="1">ABS(F15-E15)</f>
        <v>610650.04712701729</v>
      </c>
    </row>
    <row r="16" spans="1:7" x14ac:dyDescent="0.2">
      <c r="A16" t="s">
        <v>729</v>
      </c>
      <c r="B16">
        <v>0.5</v>
      </c>
      <c r="C16">
        <v>1</v>
      </c>
      <c r="D16">
        <v>2</v>
      </c>
      <c r="E16" s="15">
        <f ca="1">NPV_Total*(B16/C16)</f>
        <v>763312.55890877184</v>
      </c>
      <c r="F16" s="15">
        <f ca="1">NPV_Total*(D16/C16)</f>
        <v>3053250.2356350874</v>
      </c>
      <c r="G16" s="15">
        <f ca="1">ABS(F16-E16)</f>
        <v>2289937.6767263156</v>
      </c>
    </row>
    <row r="19" spans="1:1" ht="19" x14ac:dyDescent="0.25">
      <c r="A19" s="4" t="s">
        <v>730</v>
      </c>
    </row>
    <row r="20" spans="1:1" x14ac:dyDescent="0.2">
      <c r="A20" t="s">
        <v>731</v>
      </c>
    </row>
    <row r="21" spans="1:1" x14ac:dyDescent="0.2">
      <c r="A21" t="s">
        <v>732</v>
      </c>
    </row>
    <row r="22" spans="1:1" x14ac:dyDescent="0.2">
      <c r="A22" t="s">
        <v>733</v>
      </c>
    </row>
    <row r="24" spans="1:1" ht="19" x14ac:dyDescent="0.25">
      <c r="A24" s="4" t="s">
        <v>734</v>
      </c>
    </row>
    <row r="25" spans="1:1" x14ac:dyDescent="0.2">
      <c r="A25" t="s">
        <v>735</v>
      </c>
    </row>
    <row r="26" spans="1:1" x14ac:dyDescent="0.2">
      <c r="A26" t="s">
        <v>736</v>
      </c>
    </row>
    <row r="27" spans="1:1" x14ac:dyDescent="0.2">
      <c r="A27" t="s">
        <v>737</v>
      </c>
    </row>
  </sheetData>
  <mergeCells count="7">
    <mergeCell ref="B11:G11"/>
    <mergeCell ref="B10:G10"/>
    <mergeCell ref="A3:G3"/>
    <mergeCell ref="B9:G9"/>
    <mergeCell ref="A4:G4"/>
    <mergeCell ref="B8:G8"/>
    <mergeCell ref="B7:G7"/>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0AD47"/>
  </sheetPr>
  <dimension ref="A1:D68"/>
  <sheetViews>
    <sheetView workbookViewId="0"/>
  </sheetViews>
  <sheetFormatPr baseColWidth="10" defaultColWidth="8.83203125" defaultRowHeight="15" x14ac:dyDescent="0.2"/>
  <cols>
    <col min="1" max="1" width="30" customWidth="1"/>
    <col min="2" max="2" width="18" customWidth="1"/>
    <col min="3" max="3" width="16" customWidth="1"/>
    <col min="4" max="4" width="18" customWidth="1"/>
  </cols>
  <sheetData>
    <row r="1" spans="1:4" ht="21" x14ac:dyDescent="0.25">
      <c r="A1" s="5" t="s">
        <v>738</v>
      </c>
    </row>
    <row r="3" spans="1:4" x14ac:dyDescent="0.2">
      <c r="A3" s="36" t="s">
        <v>739</v>
      </c>
      <c r="B3" s="34"/>
      <c r="C3" s="34"/>
      <c r="D3" s="35"/>
    </row>
    <row r="4" spans="1:4" ht="280.75" customHeight="1" x14ac:dyDescent="0.2">
      <c r="A4" s="33" t="s">
        <v>740</v>
      </c>
      <c r="B4" s="34"/>
      <c r="C4" s="34"/>
      <c r="D4" s="35"/>
    </row>
    <row r="6" spans="1:4" x14ac:dyDescent="0.2">
      <c r="A6" s="6" t="s">
        <v>741</v>
      </c>
    </row>
    <row r="7" spans="1:4" ht="31.25" customHeight="1" x14ac:dyDescent="0.2">
      <c r="A7" s="7" t="s">
        <v>46</v>
      </c>
      <c r="B7" s="31" t="s">
        <v>742</v>
      </c>
      <c r="C7" s="32"/>
      <c r="D7" s="32"/>
    </row>
    <row r="8" spans="1:4" ht="31.25" customHeight="1" x14ac:dyDescent="0.2">
      <c r="A8" s="7" t="s">
        <v>48</v>
      </c>
      <c r="B8" s="31" t="s">
        <v>743</v>
      </c>
      <c r="C8" s="32"/>
      <c r="D8" s="32"/>
    </row>
    <row r="9" spans="1:4" ht="124.75" customHeight="1" x14ac:dyDescent="0.2">
      <c r="A9" s="7" t="s">
        <v>50</v>
      </c>
      <c r="B9" s="31" t="s">
        <v>744</v>
      </c>
      <c r="C9" s="32"/>
      <c r="D9" s="32"/>
    </row>
    <row r="10" spans="1:4" ht="31.25" customHeight="1" x14ac:dyDescent="0.2">
      <c r="A10" s="7" t="s">
        <v>52</v>
      </c>
      <c r="B10" s="31" t="s">
        <v>745</v>
      </c>
      <c r="C10" s="32"/>
      <c r="D10" s="32"/>
    </row>
    <row r="11" spans="1:4" ht="15.5" customHeight="1" x14ac:dyDescent="0.2">
      <c r="A11" s="7" t="s">
        <v>54</v>
      </c>
      <c r="B11" s="31" t="s">
        <v>746</v>
      </c>
      <c r="C11" s="32"/>
      <c r="D11" s="32"/>
    </row>
    <row r="12" spans="1:4" x14ac:dyDescent="0.2">
      <c r="A12" s="8" t="s">
        <v>491</v>
      </c>
      <c r="B12" s="8" t="s">
        <v>57</v>
      </c>
    </row>
    <row r="13" spans="1:4" x14ac:dyDescent="0.2">
      <c r="A13" t="s">
        <v>747</v>
      </c>
      <c r="B13" t="str">
        <f>Testing_Option</f>
        <v>Daily_Biosensor</v>
      </c>
    </row>
    <row r="14" spans="1:4" x14ac:dyDescent="0.2">
      <c r="A14" t="s">
        <v>748</v>
      </c>
      <c r="B14" s="15">
        <f ca="1">NPV_Total</f>
        <v>1526625.1178175437</v>
      </c>
    </row>
    <row r="15" spans="1:4" x14ac:dyDescent="0.2">
      <c r="A15" t="s">
        <v>749</v>
      </c>
      <c r="B15" s="15">
        <f>MC_P10</f>
        <v>947699.2963262311</v>
      </c>
    </row>
    <row r="16" spans="1:4" x14ac:dyDescent="0.2">
      <c r="A16" t="s">
        <v>750</v>
      </c>
      <c r="B16" s="15">
        <f>MC_P50</f>
        <v>1277746.4717551921</v>
      </c>
    </row>
    <row r="17" spans="1:4" x14ac:dyDescent="0.2">
      <c r="A17" t="s">
        <v>751</v>
      </c>
      <c r="B17" s="15">
        <f>MC_P90</f>
        <v>1605966.1118579598</v>
      </c>
    </row>
    <row r="18" spans="1:4" x14ac:dyDescent="0.2">
      <c r="A18" t="s">
        <v>752</v>
      </c>
      <c r="B18" s="25">
        <f>MC_Prob_Positive</f>
        <v>1</v>
      </c>
    </row>
    <row r="19" spans="1:4" x14ac:dyDescent="0.2">
      <c r="A19" t="s">
        <v>753</v>
      </c>
      <c r="B19" s="15" t="str">
        <f ca="1">IF(ComplianceGate=1,"PASS","FAIL")</f>
        <v>PASS</v>
      </c>
    </row>
    <row r="20" spans="1:4" x14ac:dyDescent="0.2">
      <c r="A20" t="s">
        <v>754</v>
      </c>
      <c r="B20" s="15">
        <f>Testing_Cost</f>
        <v>10000</v>
      </c>
    </row>
    <row r="21" spans="1:4" x14ac:dyDescent="0.2">
      <c r="A21" t="s">
        <v>755</v>
      </c>
      <c r="B21" s="15">
        <f ca="1">Year1_Gross_Value</f>
        <v>215161.49836308468</v>
      </c>
    </row>
    <row r="22" spans="1:4" x14ac:dyDescent="0.2">
      <c r="A22" t="s">
        <v>756</v>
      </c>
      <c r="B22" s="15">
        <f ca="1">Year1_Net_Value</f>
        <v>205161.49836308468</v>
      </c>
    </row>
    <row r="24" spans="1:4" x14ac:dyDescent="0.2">
      <c r="A24" s="6" t="s">
        <v>757</v>
      </c>
    </row>
    <row r="25" spans="1:4" ht="31.25" customHeight="1" x14ac:dyDescent="0.2">
      <c r="A25" s="7" t="s">
        <v>46</v>
      </c>
      <c r="B25" s="31" t="s">
        <v>758</v>
      </c>
      <c r="C25" s="32"/>
      <c r="D25" s="32"/>
    </row>
    <row r="26" spans="1:4" ht="31.25" customHeight="1" x14ac:dyDescent="0.2">
      <c r="A26" s="7" t="s">
        <v>48</v>
      </c>
      <c r="B26" s="31" t="s">
        <v>759</v>
      </c>
      <c r="C26" s="32"/>
      <c r="D26" s="32"/>
    </row>
    <row r="27" spans="1:4" ht="124.75" customHeight="1" x14ac:dyDescent="0.2">
      <c r="A27" s="7" t="s">
        <v>50</v>
      </c>
      <c r="B27" s="31" t="s">
        <v>760</v>
      </c>
      <c r="C27" s="32"/>
      <c r="D27" s="32"/>
    </row>
    <row r="28" spans="1:4" ht="31.25" customHeight="1" x14ac:dyDescent="0.2">
      <c r="A28" s="7" t="s">
        <v>52</v>
      </c>
      <c r="B28" s="31" t="s">
        <v>761</v>
      </c>
      <c r="C28" s="32"/>
      <c r="D28" s="32"/>
    </row>
    <row r="29" spans="1:4" ht="15.5" customHeight="1" x14ac:dyDescent="0.2">
      <c r="A29" s="7" t="s">
        <v>54</v>
      </c>
      <c r="B29" s="31" t="s">
        <v>762</v>
      </c>
      <c r="C29" s="32"/>
      <c r="D29" s="32"/>
    </row>
    <row r="30" spans="1:4" x14ac:dyDescent="0.2">
      <c r="A30" s="8" t="s">
        <v>93</v>
      </c>
      <c r="B30" s="8" t="s">
        <v>601</v>
      </c>
      <c r="C30" s="8" t="s">
        <v>550</v>
      </c>
    </row>
    <row r="31" spans="1:4" x14ac:dyDescent="0.2">
      <c r="A31" t="s">
        <v>97</v>
      </c>
      <c r="B31" s="15">
        <f ca="1">S1_Value</f>
        <v>89886.469409891535</v>
      </c>
      <c r="C31" t="str">
        <f>INDEX(Gate_S1,MATCH(Testing_Option,TestOpt_Option,0))</f>
        <v>ENABLED</v>
      </c>
    </row>
    <row r="32" spans="1:4" x14ac:dyDescent="0.2">
      <c r="A32" t="s">
        <v>101</v>
      </c>
      <c r="B32" s="15">
        <f ca="1">S2_Value</f>
        <v>101275.79748249458</v>
      </c>
      <c r="C32" t="str">
        <f>INDEX(Gate_S2,MATCH(Testing_Option,TestOpt_Option,0))</f>
        <v>ENABLED</v>
      </c>
    </row>
    <row r="33" spans="1:4" x14ac:dyDescent="0.2">
      <c r="A33" t="s">
        <v>102</v>
      </c>
      <c r="B33" s="15">
        <f ca="1">S3_Value</f>
        <v>190006.43797404185</v>
      </c>
      <c r="C33" t="str">
        <f>INDEX(Gate_S3,MATCH(Testing_Option,TestOpt_Option,0))</f>
        <v>ENABLED</v>
      </c>
    </row>
    <row r="34" spans="1:4" x14ac:dyDescent="0.2">
      <c r="A34" t="s">
        <v>104</v>
      </c>
      <c r="B34" s="15">
        <f ca="1">S4_Value</f>
        <v>49154.291859741352</v>
      </c>
      <c r="C34" t="str">
        <f>INDEX(Gate_S4,MATCH(Testing_Option,TestOpt_Option,0))</f>
        <v>ENABLED</v>
      </c>
    </row>
    <row r="36" spans="1:4" x14ac:dyDescent="0.2">
      <c r="A36" s="6" t="s">
        <v>489</v>
      </c>
    </row>
    <row r="37" spans="1:4" ht="31.25" customHeight="1" x14ac:dyDescent="0.2">
      <c r="A37" s="7" t="s">
        <v>46</v>
      </c>
      <c r="B37" s="31" t="s">
        <v>763</v>
      </c>
      <c r="C37" s="32"/>
      <c r="D37" s="32"/>
    </row>
    <row r="38" spans="1:4" ht="31.25" customHeight="1" x14ac:dyDescent="0.2">
      <c r="A38" s="7" t="s">
        <v>48</v>
      </c>
      <c r="B38" s="31" t="s">
        <v>764</v>
      </c>
      <c r="C38" s="32"/>
      <c r="D38" s="32"/>
    </row>
    <row r="39" spans="1:4" ht="124.75" customHeight="1" x14ac:dyDescent="0.2">
      <c r="A39" s="7" t="s">
        <v>50</v>
      </c>
      <c r="B39" s="31" t="s">
        <v>765</v>
      </c>
      <c r="C39" s="32"/>
      <c r="D39" s="32"/>
    </row>
    <row r="40" spans="1:4" ht="15.5" customHeight="1" x14ac:dyDescent="0.2">
      <c r="A40" s="7" t="s">
        <v>52</v>
      </c>
      <c r="B40" s="31" t="s">
        <v>766</v>
      </c>
      <c r="C40" s="32"/>
      <c r="D40" s="32"/>
    </row>
    <row r="41" spans="1:4" ht="15.5" customHeight="1" x14ac:dyDescent="0.2">
      <c r="A41" s="7" t="s">
        <v>54</v>
      </c>
      <c r="B41" s="31" t="s">
        <v>767</v>
      </c>
      <c r="C41" s="32"/>
      <c r="D41" s="32"/>
    </row>
    <row r="42" spans="1:4" x14ac:dyDescent="0.2">
      <c r="A42" s="8" t="s">
        <v>491</v>
      </c>
      <c r="B42" s="8" t="s">
        <v>57</v>
      </c>
      <c r="C42" s="8" t="s">
        <v>550</v>
      </c>
    </row>
    <row r="43" spans="1:4" x14ac:dyDescent="0.2">
      <c r="A43" t="s">
        <v>768</v>
      </c>
      <c r="B43" s="29">
        <f>Initial_NAFC</f>
        <v>63.1</v>
      </c>
      <c r="C43" t="str">
        <f>IF(Initial_NAFC&gt;Target_NAFC,"Above Target","At/Below Target")</f>
        <v>Above Target</v>
      </c>
    </row>
    <row r="44" spans="1:4" x14ac:dyDescent="0.2">
      <c r="A44" t="s">
        <v>769</v>
      </c>
      <c r="B44" s="29">
        <f>Target_NAFC</f>
        <v>50</v>
      </c>
      <c r="C44" t="s">
        <v>770</v>
      </c>
    </row>
    <row r="45" spans="1:4" x14ac:dyDescent="0.2">
      <c r="A45" t="s">
        <v>771</v>
      </c>
      <c r="B45" s="30">
        <f ca="1">Days_to_Compliance</f>
        <v>40.282725094355541</v>
      </c>
      <c r="C45" t="str">
        <f ca="1">Compliance_Status</f>
        <v>ACHIEVABLE</v>
      </c>
    </row>
    <row r="46" spans="1:4" x14ac:dyDescent="0.2">
      <c r="A46" t="s">
        <v>772</v>
      </c>
      <c r="B46" s="24">
        <f ca="1">Circulation_Cycles</f>
        <v>3</v>
      </c>
      <c r="C46" t="str">
        <f ca="1">IF(Circulation_Cycles&lt;=3,"Standard","Extended")</f>
        <v>Standard</v>
      </c>
    </row>
    <row r="47" spans="1:4" x14ac:dyDescent="0.2">
      <c r="A47" t="s">
        <v>773</v>
      </c>
      <c r="B47" s="25">
        <f>Treatment_Efficiency</f>
        <v>0.2076069730586371</v>
      </c>
      <c r="C47" t="str">
        <f>IF(Treatment_Efficiency&gt;0.2,"Good","Low")</f>
        <v>Good</v>
      </c>
    </row>
    <row r="48" spans="1:4" x14ac:dyDescent="0.2">
      <c r="A48" t="s">
        <v>774</v>
      </c>
      <c r="B48" s="30">
        <f>MC_Expected_Days</f>
        <v>36.199639712610356</v>
      </c>
      <c r="C48" t="str">
        <f>IF(MC_Expected_Days&lt;=Season_Length,"Achievable","Risk")</f>
        <v>Achievable</v>
      </c>
    </row>
    <row r="49" spans="1:4" x14ac:dyDescent="0.2">
      <c r="A49" t="s">
        <v>775</v>
      </c>
      <c r="B49" s="30">
        <f>MC_P90_Days</f>
        <v>45.623634451901914</v>
      </c>
      <c r="C49" t="str">
        <f>IF(MC_P90_Days&lt;=Season_Length,"Low Risk","High Risk")</f>
        <v>Low Risk</v>
      </c>
    </row>
    <row r="50" spans="1:4" x14ac:dyDescent="0.2">
      <c r="A50" t="s">
        <v>776</v>
      </c>
      <c r="B50" s="25">
        <f>MC_Prob_Achievable</f>
        <v>1</v>
      </c>
      <c r="C50" t="str">
        <f>IF(MC_Prob_Achievable&gt;=0.9,"High Confidence","Review Required")</f>
        <v>High Confidence</v>
      </c>
    </row>
    <row r="52" spans="1:4" x14ac:dyDescent="0.2">
      <c r="A52" s="6" t="s">
        <v>777</v>
      </c>
    </row>
    <row r="53" spans="1:4" ht="31.25" customHeight="1" x14ac:dyDescent="0.2">
      <c r="A53" s="7" t="s">
        <v>46</v>
      </c>
      <c r="B53" s="31" t="s">
        <v>778</v>
      </c>
      <c r="C53" s="32"/>
      <c r="D53" s="32"/>
    </row>
    <row r="54" spans="1:4" ht="31.25" customHeight="1" x14ac:dyDescent="0.2">
      <c r="A54" s="7" t="s">
        <v>48</v>
      </c>
      <c r="B54" s="31" t="s">
        <v>779</v>
      </c>
      <c r="C54" s="32"/>
      <c r="D54" s="32"/>
    </row>
    <row r="55" spans="1:4" ht="78" customHeight="1" x14ac:dyDescent="0.2">
      <c r="A55" s="7" t="s">
        <v>50</v>
      </c>
      <c r="B55" s="31" t="s">
        <v>780</v>
      </c>
      <c r="C55" s="32"/>
      <c r="D55" s="32"/>
    </row>
    <row r="56" spans="1:4" ht="31.25" customHeight="1" x14ac:dyDescent="0.2">
      <c r="A56" s="7" t="s">
        <v>52</v>
      </c>
      <c r="B56" s="31" t="s">
        <v>781</v>
      </c>
      <c r="C56" s="32"/>
      <c r="D56" s="32"/>
    </row>
    <row r="57" spans="1:4" ht="15.5" customHeight="1" x14ac:dyDescent="0.2">
      <c r="A57" s="7" t="s">
        <v>54</v>
      </c>
      <c r="B57" s="31" t="s">
        <v>782</v>
      </c>
      <c r="C57" s="32"/>
      <c r="D57" s="32"/>
    </row>
    <row r="58" spans="1:4" x14ac:dyDescent="0.2">
      <c r="A58" s="8" t="s">
        <v>491</v>
      </c>
      <c r="B58" s="8" t="s">
        <v>312</v>
      </c>
      <c r="C58" s="8" t="s">
        <v>313</v>
      </c>
      <c r="D58" s="8" t="s">
        <v>61</v>
      </c>
    </row>
    <row r="59" spans="1:4" x14ac:dyDescent="0.2">
      <c r="A59" t="s">
        <v>783</v>
      </c>
      <c r="B59" t="s">
        <v>99</v>
      </c>
      <c r="C59" t="s">
        <v>99</v>
      </c>
      <c r="D59" t="s">
        <v>100</v>
      </c>
    </row>
    <row r="60" spans="1:4" x14ac:dyDescent="0.2">
      <c r="A60" t="s">
        <v>784</v>
      </c>
      <c r="B60" t="s">
        <v>99</v>
      </c>
      <c r="C60" t="s">
        <v>99</v>
      </c>
      <c r="D60" t="s">
        <v>100</v>
      </c>
    </row>
    <row r="61" spans="1:4" x14ac:dyDescent="0.2">
      <c r="A61" t="s">
        <v>785</v>
      </c>
      <c r="B61" t="s">
        <v>99</v>
      </c>
      <c r="C61" t="s">
        <v>100</v>
      </c>
      <c r="D61" t="s">
        <v>100</v>
      </c>
    </row>
    <row r="62" spans="1:4" x14ac:dyDescent="0.2">
      <c r="A62" t="s">
        <v>786</v>
      </c>
      <c r="B62" t="s">
        <v>99</v>
      </c>
      <c r="C62" t="s">
        <v>99</v>
      </c>
      <c r="D62" t="s">
        <v>100</v>
      </c>
    </row>
    <row r="63" spans="1:4" x14ac:dyDescent="0.2">
      <c r="A63" t="s">
        <v>787</v>
      </c>
      <c r="B63" t="s">
        <v>788</v>
      </c>
      <c r="C63" t="s">
        <v>789</v>
      </c>
      <c r="D63" t="s">
        <v>790</v>
      </c>
    </row>
    <row r="64" spans="1:4" x14ac:dyDescent="0.2">
      <c r="A64" t="s">
        <v>791</v>
      </c>
      <c r="B64" t="s">
        <v>792</v>
      </c>
      <c r="C64" t="s">
        <v>793</v>
      </c>
      <c r="D64" t="s">
        <v>794</v>
      </c>
    </row>
    <row r="66" spans="1:2" ht="19" x14ac:dyDescent="0.25">
      <c r="A66" s="4" t="s">
        <v>795</v>
      </c>
    </row>
    <row r="67" spans="1:2" x14ac:dyDescent="0.2">
      <c r="A67" t="s">
        <v>796</v>
      </c>
      <c r="B67" t="str">
        <f ca="1">IF(COUNTIF('21_Checks'!D:D,"FAIL")=0,"HEALTHY","REVIEW REQUIRED")</f>
        <v>HEALTHY</v>
      </c>
    </row>
    <row r="68" spans="1:2" x14ac:dyDescent="0.2">
      <c r="A68" t="s">
        <v>797</v>
      </c>
      <c r="B68">
        <f ca="1">COUNTIF('21_Checks'!D:D,"FAIL")</f>
        <v>0</v>
      </c>
    </row>
  </sheetData>
  <mergeCells count="22">
    <mergeCell ref="B25:D25"/>
    <mergeCell ref="B54:D54"/>
    <mergeCell ref="A3:D3"/>
    <mergeCell ref="B27:D27"/>
    <mergeCell ref="B56:D56"/>
    <mergeCell ref="B39:D39"/>
    <mergeCell ref="B11:D11"/>
    <mergeCell ref="A4:D4"/>
    <mergeCell ref="B8:D8"/>
    <mergeCell ref="B57:D57"/>
    <mergeCell ref="B53:D53"/>
    <mergeCell ref="B29:D29"/>
    <mergeCell ref="B38:D38"/>
    <mergeCell ref="B10:D10"/>
    <mergeCell ref="B28:D28"/>
    <mergeCell ref="B37:D37"/>
    <mergeCell ref="B40:D40"/>
    <mergeCell ref="B9:D9"/>
    <mergeCell ref="B55:D55"/>
    <mergeCell ref="B41:D41"/>
    <mergeCell ref="B26:D26"/>
    <mergeCell ref="B7:D7"/>
  </mergeCells>
  <pageMargins left="0.75" right="0.75" top="1" bottom="1" header="0.5" footer="0.5"/>
  <tableParts count="4">
    <tablePart r:id="rId1"/>
    <tablePart r:id="rId2"/>
    <tablePart r:id="rId3"/>
    <tablePart r:id="rId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D35"/>
  <sheetViews>
    <sheetView workbookViewId="0"/>
  </sheetViews>
  <sheetFormatPr baseColWidth="10" defaultColWidth="8.83203125" defaultRowHeight="15" x14ac:dyDescent="0.2"/>
  <cols>
    <col min="1" max="2" width="12" customWidth="1"/>
    <col min="3" max="3" width="40" customWidth="1"/>
    <col min="4" max="4" width="12" customWidth="1"/>
  </cols>
  <sheetData>
    <row r="1" spans="1:4" ht="21" x14ac:dyDescent="0.25">
      <c r="A1" s="5" t="s">
        <v>798</v>
      </c>
    </row>
    <row r="3" spans="1:4" x14ac:dyDescent="0.2">
      <c r="A3" s="36" t="s">
        <v>799</v>
      </c>
      <c r="B3" s="34"/>
      <c r="C3" s="34"/>
      <c r="D3" s="35"/>
    </row>
    <row r="4" spans="1:4" ht="343.25" customHeight="1" x14ac:dyDescent="0.2">
      <c r="A4" s="33" t="s">
        <v>800</v>
      </c>
      <c r="B4" s="34"/>
      <c r="C4" s="34"/>
      <c r="D4" s="35"/>
    </row>
    <row r="6" spans="1:4" x14ac:dyDescent="0.2">
      <c r="A6" s="6" t="s">
        <v>798</v>
      </c>
    </row>
    <row r="7" spans="1:4" ht="31.25" customHeight="1" x14ac:dyDescent="0.2">
      <c r="A7" s="7" t="s">
        <v>46</v>
      </c>
      <c r="B7" s="31" t="s">
        <v>801</v>
      </c>
      <c r="C7" s="32"/>
      <c r="D7" s="32"/>
    </row>
    <row r="8" spans="1:4" ht="31.25" customHeight="1" x14ac:dyDescent="0.2">
      <c r="A8" s="7" t="s">
        <v>48</v>
      </c>
      <c r="B8" s="31" t="s">
        <v>802</v>
      </c>
      <c r="C8" s="32"/>
      <c r="D8" s="32"/>
    </row>
    <row r="9" spans="1:4" ht="78" customHeight="1" x14ac:dyDescent="0.2">
      <c r="A9" s="7" t="s">
        <v>50</v>
      </c>
      <c r="B9" s="31" t="s">
        <v>803</v>
      </c>
      <c r="C9" s="32"/>
      <c r="D9" s="32"/>
    </row>
    <row r="10" spans="1:4" ht="31.25" customHeight="1" x14ac:dyDescent="0.2">
      <c r="A10" s="7" t="s">
        <v>52</v>
      </c>
      <c r="B10" s="31" t="s">
        <v>804</v>
      </c>
      <c r="C10" s="32"/>
      <c r="D10" s="32"/>
    </row>
    <row r="11" spans="1:4" ht="15.5" customHeight="1" x14ac:dyDescent="0.2">
      <c r="A11" s="7" t="s">
        <v>54</v>
      </c>
      <c r="B11" s="31" t="s">
        <v>805</v>
      </c>
      <c r="C11" s="32"/>
      <c r="D11" s="32"/>
    </row>
    <row r="12" spans="1:4" x14ac:dyDescent="0.2">
      <c r="A12" s="8" t="s">
        <v>806</v>
      </c>
      <c r="B12" s="8" t="s">
        <v>807</v>
      </c>
      <c r="C12" s="8" t="s">
        <v>59</v>
      </c>
      <c r="D12" s="8" t="s">
        <v>550</v>
      </c>
    </row>
    <row r="13" spans="1:4" x14ac:dyDescent="0.2">
      <c r="A13" t="s">
        <v>808</v>
      </c>
      <c r="B13" t="s">
        <v>809</v>
      </c>
      <c r="C13" t="s">
        <v>810</v>
      </c>
      <c r="D13" t="str">
        <f>IF(AND(Discount_Rate&gt;=0,Discount_Rate&lt;=0.15),"PASS","FAIL")</f>
        <v>PASS</v>
      </c>
    </row>
    <row r="14" spans="1:4" x14ac:dyDescent="0.2">
      <c r="A14" t="s">
        <v>811</v>
      </c>
      <c r="B14" t="s">
        <v>809</v>
      </c>
      <c r="C14" t="s">
        <v>812</v>
      </c>
      <c r="D14" t="str">
        <f>IF(AND(Season_Length&gt;=60,Season_Length&lt;=150),"PASS","FAIL")</f>
        <v>PASS</v>
      </c>
    </row>
    <row r="15" spans="1:4" x14ac:dyDescent="0.2">
      <c r="A15" t="s">
        <v>813</v>
      </c>
      <c r="B15" t="s">
        <v>809</v>
      </c>
      <c r="C15" t="s">
        <v>814</v>
      </c>
      <c r="D15" t="str">
        <f>IF(AND(Projection_Years&gt;=1,Projection_Years&lt;=10),"PASS","FAIL")</f>
        <v>PASS</v>
      </c>
    </row>
    <row r="16" spans="1:4" x14ac:dyDescent="0.2">
      <c r="A16" t="s">
        <v>815</v>
      </c>
      <c r="B16" t="s">
        <v>809</v>
      </c>
      <c r="C16" t="s">
        <v>816</v>
      </c>
      <c r="D16" t="str">
        <f>IF(Value_Per_M3&gt;0,"PASS","FAIL")</f>
        <v>PASS</v>
      </c>
    </row>
    <row r="17" spans="1:4" x14ac:dyDescent="0.2">
      <c r="A17" t="s">
        <v>817</v>
      </c>
      <c r="B17" t="s">
        <v>818</v>
      </c>
      <c r="C17" t="s">
        <v>819</v>
      </c>
      <c r="D17" t="str">
        <f>IF(COUNTIF(List_TestingOptions,Testing_Option)=1,"PASS","FAIL")</f>
        <v>PASS</v>
      </c>
    </row>
    <row r="18" spans="1:4" x14ac:dyDescent="0.2">
      <c r="A18" t="s">
        <v>820</v>
      </c>
      <c r="B18" t="s">
        <v>818</v>
      </c>
      <c r="C18" t="s">
        <v>821</v>
      </c>
      <c r="D18" t="str">
        <f>IF(COUNTIF(List_Scenarios,Scenario_Select)=1,"PASS","FAIL")</f>
        <v>PASS</v>
      </c>
    </row>
    <row r="19" spans="1:4" x14ac:dyDescent="0.2">
      <c r="A19" t="s">
        <v>822</v>
      </c>
      <c r="B19" t="s">
        <v>823</v>
      </c>
      <c r="C19" t="s">
        <v>824</v>
      </c>
      <c r="D19" t="str">
        <f ca="1">IF(AND(NPV_Total&gt;-1000000,NPV_Total&lt;10000000),"PASS","FAIL")</f>
        <v>PASS</v>
      </c>
    </row>
    <row r="20" spans="1:4" x14ac:dyDescent="0.2">
      <c r="A20" t="s">
        <v>825</v>
      </c>
      <c r="B20" t="s">
        <v>823</v>
      </c>
      <c r="C20" t="s">
        <v>826</v>
      </c>
      <c r="D20" t="str">
        <f>IF(Testing_Cost&gt;0,"PASS","FAIL")</f>
        <v>PASS</v>
      </c>
    </row>
    <row r="21" spans="1:4" x14ac:dyDescent="0.2">
      <c r="A21" t="s">
        <v>827</v>
      </c>
      <c r="B21" t="s">
        <v>823</v>
      </c>
      <c r="C21" t="s">
        <v>828</v>
      </c>
      <c r="D21" t="str">
        <f ca="1">IF(Gross_Value&gt;=0,"PASS","FAIL")</f>
        <v>PASS</v>
      </c>
    </row>
    <row r="22" spans="1:4" x14ac:dyDescent="0.2">
      <c r="A22" t="s">
        <v>829</v>
      </c>
      <c r="B22" t="s">
        <v>830</v>
      </c>
      <c r="C22" t="s">
        <v>831</v>
      </c>
      <c r="D22" t="str">
        <f>IF(ISERROR(Testing_Option),"FAIL","PASS")</f>
        <v>PASS</v>
      </c>
    </row>
    <row r="23" spans="1:4" x14ac:dyDescent="0.2">
      <c r="A23" t="s">
        <v>832</v>
      </c>
      <c r="B23" t="s">
        <v>809</v>
      </c>
      <c r="C23" t="s">
        <v>833</v>
      </c>
      <c r="D23" t="str">
        <f>IF(AND(Initial_NAFC&gt;=40,Initial_NAFC&lt;=100),"PASS","FAIL")</f>
        <v>PASS</v>
      </c>
    </row>
    <row r="24" spans="1:4" x14ac:dyDescent="0.2">
      <c r="A24" t="s">
        <v>834</v>
      </c>
      <c r="B24" t="s">
        <v>818</v>
      </c>
      <c r="C24" t="s">
        <v>835</v>
      </c>
      <c r="D24" t="str">
        <f>IF(Target_NAFC&lt;Initial_NAFC,"PASS","FAIL")</f>
        <v>PASS</v>
      </c>
    </row>
    <row r="25" spans="1:4" x14ac:dyDescent="0.2">
      <c r="A25" t="s">
        <v>836</v>
      </c>
      <c r="B25" t="s">
        <v>823</v>
      </c>
      <c r="C25" t="s">
        <v>837</v>
      </c>
      <c r="D25" t="str">
        <f ca="1">IF(Days_to_Compliance&lt;=Season_Length,"PASS","FAIL")</f>
        <v>PASS</v>
      </c>
    </row>
    <row r="26" spans="1:4" x14ac:dyDescent="0.2">
      <c r="A26" t="s">
        <v>838</v>
      </c>
      <c r="B26" t="s">
        <v>809</v>
      </c>
      <c r="C26" t="s">
        <v>839</v>
      </c>
      <c r="D26" t="str">
        <f ca="1">IF(AND(Eff_Rapid_Rate&gt;0,Eff_Slow_Rate&gt;0),"PASS","FAIL")</f>
        <v>PASS</v>
      </c>
    </row>
    <row r="27" spans="1:4" x14ac:dyDescent="0.2">
      <c r="A27" t="s">
        <v>840</v>
      </c>
      <c r="B27" t="s">
        <v>841</v>
      </c>
      <c r="C27" t="s">
        <v>842</v>
      </c>
      <c r="D27" t="str">
        <f ca="1">IF(ComplianceGate=1,"PASS","FAIL")</f>
        <v>PASS</v>
      </c>
    </row>
    <row r="28" spans="1:4" x14ac:dyDescent="0.2">
      <c r="A28" t="s">
        <v>843</v>
      </c>
      <c r="B28" t="s">
        <v>823</v>
      </c>
      <c r="C28" t="s">
        <v>844</v>
      </c>
      <c r="D28" t="str">
        <f ca="1">IF(AdjustedValue&gt;=0,"PASS","FAIL")</f>
        <v>PASS</v>
      </c>
    </row>
    <row r="31" spans="1:4" ht="19" x14ac:dyDescent="0.25">
      <c r="A31" s="4" t="s">
        <v>213</v>
      </c>
    </row>
    <row r="32" spans="1:4" x14ac:dyDescent="0.2">
      <c r="A32" t="s">
        <v>845</v>
      </c>
      <c r="B32">
        <f>COUNTA(tbl_Checks[Check_ID])</f>
        <v>16</v>
      </c>
    </row>
    <row r="33" spans="1:2" x14ac:dyDescent="0.2">
      <c r="A33" t="s">
        <v>846</v>
      </c>
      <c r="B33">
        <f ca="1">COUNTIF(tbl_Checks[Status],"PASS")</f>
        <v>16</v>
      </c>
    </row>
    <row r="34" spans="1:2" x14ac:dyDescent="0.2">
      <c r="A34" t="s">
        <v>847</v>
      </c>
      <c r="B34">
        <f ca="1">COUNTIF(tbl_Checks[Status],"FAIL")</f>
        <v>0</v>
      </c>
    </row>
    <row r="35" spans="1:2" x14ac:dyDescent="0.2">
      <c r="A35" t="s">
        <v>848</v>
      </c>
      <c r="B35" t="str">
        <f ca="1">IF(COUNTIF(tbl_Checks[Status],"FAIL")=0,"HEALTHY","REVIEW REQUIRED")</f>
        <v>HEALTHY</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22</vt:i4>
      </vt:variant>
      <vt:variant>
        <vt:lpstr>Named Ranges</vt:lpstr>
      </vt:variant>
      <vt:variant>
        <vt:i4>160</vt:i4>
      </vt:variant>
    </vt:vector>
  </HeadingPairs>
  <TitlesOfParts>
    <vt:vector size="182" baseType="lpstr">
      <vt:lpstr>0_Cover</vt:lpstr>
      <vt:lpstr>1_TOC</vt:lpstr>
      <vt:lpstr>3_Instructions</vt:lpstr>
      <vt:lpstr>2_InputMap</vt:lpstr>
      <vt:lpstr>4_Assumptions</vt:lpstr>
      <vt:lpstr>5_EnvironmentalDrivers</vt:lpstr>
      <vt:lpstr>6_Scenarios</vt:lpstr>
      <vt:lpstr>7_ServiceModels</vt:lpstr>
      <vt:lpstr>8_Calc_Timeline</vt:lpstr>
      <vt:lpstr>9_Calc_Kinetics</vt:lpstr>
      <vt:lpstr>10_Calc_Stochastic</vt:lpstr>
      <vt:lpstr>11_Calc_Compliance</vt:lpstr>
      <vt:lpstr>12_Calc_Value</vt:lpstr>
      <vt:lpstr>13_Calc_Costs</vt:lpstr>
      <vt:lpstr>14_Calc_Sim</vt:lpstr>
      <vt:lpstr>15_PL_Monthly</vt:lpstr>
      <vt:lpstr>16_PL_Annual</vt:lpstr>
      <vt:lpstr>17_CashFlow</vt:lpstr>
      <vt:lpstr>18_UnitEconomics</vt:lpstr>
      <vt:lpstr>19_Sensitivity</vt:lpstr>
      <vt:lpstr>20_Dashboard</vt:lpstr>
      <vt:lpstr>21_Checks</vt:lpstr>
      <vt:lpstr>AdjustedValue</vt:lpstr>
      <vt:lpstr>Annual_Throughput</vt:lpstr>
      <vt:lpstr>AnnualThroughput_M3</vt:lpstr>
      <vt:lpstr>Base_Year</vt:lpstr>
      <vt:lpstr>Beta_Efficiency_Gain_Alpha</vt:lpstr>
      <vt:lpstr>Beta_Efficiency_Gain_Beta</vt:lpstr>
      <vt:lpstr>Beta_Efficiency_Gain_Max</vt:lpstr>
      <vt:lpstr>Beta_Efficiency_Gain_Min</vt:lpstr>
      <vt:lpstr>Bioavail_Modifier</vt:lpstr>
      <vt:lpstr>Circulation_Cycles</vt:lpstr>
      <vt:lpstr>Compliance_Status</vt:lpstr>
      <vt:lpstr>ComplianceGate</vt:lpstr>
      <vt:lpstr>Day_80_Survival</vt:lpstr>
      <vt:lpstr>Day_LC50</vt:lpstr>
      <vt:lpstr>Day_Nontoxic</vt:lpstr>
      <vt:lpstr>Days_to_Compliance</vt:lpstr>
      <vt:lpstr>Discount_Rate</vt:lpstr>
      <vt:lpstr>DO_Modifier</vt:lpstr>
      <vt:lpstr>DowntimeCostPerDay</vt:lpstr>
      <vt:lpstr>Eff_Rapid_Rate</vt:lpstr>
      <vt:lpstr>Eff_Slow_Rate</vt:lpstr>
      <vt:lpstr>Effective_Rate</vt:lpstr>
      <vt:lpstr>Env_Bioavail_Index_Aug</vt:lpstr>
      <vt:lpstr>Env_Bioavail_Index_Jul</vt:lpstr>
      <vt:lpstr>Env_Bioavail_Index_Jun</vt:lpstr>
      <vt:lpstr>Env_Bioavail_Index_May</vt:lpstr>
      <vt:lpstr>Env_Bioavail_Index_Sep</vt:lpstr>
      <vt:lpstr>Env_DO_Typical_Aug</vt:lpstr>
      <vt:lpstr>Env_DO_Typical_Jul</vt:lpstr>
      <vt:lpstr>Env_DO_Typical_Jun</vt:lpstr>
      <vt:lpstr>Env_DO_Typical_May</vt:lpstr>
      <vt:lpstr>Env_DO_Typical_Sep</vt:lpstr>
      <vt:lpstr>Env_Nutrient_Index_Aug</vt:lpstr>
      <vt:lpstr>Env_Nutrient_Index_Jul</vt:lpstr>
      <vt:lpstr>Env_Nutrient_Index_Jun</vt:lpstr>
      <vt:lpstr>Env_Nutrient_Index_May</vt:lpstr>
      <vt:lpstr>Env_Nutrient_Index_Sep</vt:lpstr>
      <vt:lpstr>Env_Temp_Water_Aug</vt:lpstr>
      <vt:lpstr>Env_Temp_Water_Jul</vt:lpstr>
      <vt:lpstr>Env_Temp_Water_Jun</vt:lpstr>
      <vt:lpstr>Env_Temp_Water_May</vt:lpstr>
      <vt:lpstr>Env_Temp_Water_Sep</vt:lpstr>
      <vt:lpstr>Env_UV_Relative_Aug</vt:lpstr>
      <vt:lpstr>Env_UV_Relative_Jul</vt:lpstr>
      <vt:lpstr>Env_UV_Relative_Jun</vt:lpstr>
      <vt:lpstr>Env_UV_Relative_May</vt:lpstr>
      <vt:lpstr>Env_UV_Relative_Sep</vt:lpstr>
      <vt:lpstr>Final_NAFC</vt:lpstr>
      <vt:lpstr>Gate_Chloride</vt:lpstr>
      <vt:lpstr>Gate_DO</vt:lpstr>
      <vt:lpstr>Gate_Foam</vt:lpstr>
      <vt:lpstr>Gate_NAFC</vt:lpstr>
      <vt:lpstr>Gate_Odor</vt:lpstr>
      <vt:lpstr>Gate_Oil_Sheen</vt:lpstr>
      <vt:lpstr>Gate_pH_High</vt:lpstr>
      <vt:lpstr>Gate_pH_Low</vt:lpstr>
      <vt:lpstr>Gate_S1</vt:lpstr>
      <vt:lpstr>Gate_S2</vt:lpstr>
      <vt:lpstr>Gate_S3</vt:lpstr>
      <vt:lpstr>Gate_S4</vt:lpstr>
      <vt:lpstr>Gate_SAR</vt:lpstr>
      <vt:lpstr>Gate_Sulfate</vt:lpstr>
      <vt:lpstr>Gate_Temperature</vt:lpstr>
      <vt:lpstr>Gate_Toxicity</vt:lpstr>
      <vt:lpstr>Gate_Turbidity</vt:lpstr>
      <vt:lpstr>Gross_Value</vt:lpstr>
      <vt:lpstr>Initial_NAFC</vt:lpstr>
      <vt:lpstr>Ionic_Chloride_Max</vt:lpstr>
      <vt:lpstr>Ionic_Chloride_Min</vt:lpstr>
      <vt:lpstr>Ionic_Chloride_Mode</vt:lpstr>
      <vt:lpstr>Ionic_Chloride_Threshold</vt:lpstr>
      <vt:lpstr>Ionic_DO_Compliance_Max</vt:lpstr>
      <vt:lpstr>Ionic_DO_Compliance_Min</vt:lpstr>
      <vt:lpstr>Ionic_DO_Compliance_Mode</vt:lpstr>
      <vt:lpstr>Ionic_DO_Compliance_Threshold</vt:lpstr>
      <vt:lpstr>Ionic_SAR_Max</vt:lpstr>
      <vt:lpstr>Ionic_SAR_Min</vt:lpstr>
      <vt:lpstr>Ionic_SAR_Mode</vt:lpstr>
      <vt:lpstr>Ionic_SAR_Threshold</vt:lpstr>
      <vt:lpstr>Ionic_Sulfate_Max</vt:lpstr>
      <vt:lpstr>Ionic_Sulfate_Min</vt:lpstr>
      <vt:lpstr>Ionic_Sulfate_Mode</vt:lpstr>
      <vt:lpstr>Ionic_Sulfate_Threshold</vt:lpstr>
      <vt:lpstr>LaborPerDay</vt:lpstr>
      <vt:lpstr>LearningCurve_Mult</vt:lpstr>
      <vt:lpstr>List_Scenarios</vt:lpstr>
      <vt:lpstr>List_TestingOptions</vt:lpstr>
      <vt:lpstr>MC_Anchor</vt:lpstr>
      <vt:lpstr>MC_Expected_Days</vt:lpstr>
      <vt:lpstr>MC_Expected_NPV</vt:lpstr>
      <vt:lpstr>MC_P10</vt:lpstr>
      <vt:lpstr>MC_P10_Days</vt:lpstr>
      <vt:lpstr>MC_P50</vt:lpstr>
      <vt:lpstr>MC_P50_Days</vt:lpstr>
      <vt:lpstr>MC_P90</vt:lpstr>
      <vt:lpstr>MC_P90_Days</vt:lpstr>
      <vt:lpstr>MC_Prob_Achievable</vt:lpstr>
      <vt:lpstr>MC_Prob_Positive</vt:lpstr>
      <vt:lpstr>MC_StdDev</vt:lpstr>
      <vt:lpstr>NAFC_After_Rapid</vt:lpstr>
      <vt:lpstr>NPV_Total</vt:lpstr>
      <vt:lpstr>Nutrient_Modifier</vt:lpstr>
      <vt:lpstr>Projection_Years</vt:lpstr>
      <vt:lpstr>Q10_Factor</vt:lpstr>
      <vt:lpstr>Rapid_Phase_Duration</vt:lpstr>
      <vt:lpstr>Rapid_Phase_Rate</vt:lpstr>
      <vt:lpstr>Recirculation_Cycle</vt:lpstr>
      <vt:lpstr>RegulatoryPenalty</vt:lpstr>
      <vt:lpstr>S1_Value</vt:lpstr>
      <vt:lpstr>S2_Value</vt:lpstr>
      <vt:lpstr>S3_Value</vt:lpstr>
      <vt:lpstr>S4_Value</vt:lpstr>
      <vt:lpstr>Scenario_BaseValues</vt:lpstr>
      <vt:lpstr>Scenario_Select</vt:lpstr>
      <vt:lpstr>Season_End_Day</vt:lpstr>
      <vt:lpstr>Season_End_Month</vt:lpstr>
      <vt:lpstr>Season_Length</vt:lpstr>
      <vt:lpstr>Season_Start_Day</vt:lpstr>
      <vt:lpstr>Season_Start_Month</vt:lpstr>
      <vt:lpstr>Slow_Phase_Rate</vt:lpstr>
      <vt:lpstr>Stoch_Efficiency</vt:lpstr>
      <vt:lpstr>Stoch_ExtValue</vt:lpstr>
      <vt:lpstr>Stoch_Interventions</vt:lpstr>
      <vt:lpstr>Stoch_SeasonExt</vt:lpstr>
      <vt:lpstr>Stoch_TreatmentRate</vt:lpstr>
      <vt:lpstr>System_Capacity</vt:lpstr>
      <vt:lpstr>Target_NAFC</vt:lpstr>
      <vt:lpstr>Testing_Cost</vt:lpstr>
      <vt:lpstr>Testing_Option</vt:lpstr>
      <vt:lpstr>TestOpt_Cost</vt:lpstr>
      <vt:lpstr>TestOpt_Interval</vt:lpstr>
      <vt:lpstr>TestOpt_Latency</vt:lpstr>
      <vt:lpstr>TestOpt_Method</vt:lpstr>
      <vt:lpstr>TestOpt_Option</vt:lpstr>
      <vt:lpstr>TestOpt_Points</vt:lpstr>
      <vt:lpstr>Timeline_DiscountFactor</vt:lpstr>
      <vt:lpstr>Timeline_LearningMult</vt:lpstr>
      <vt:lpstr>Treatment_Cells</vt:lpstr>
      <vt:lpstr>Treatment_Days</vt:lpstr>
      <vt:lpstr>Treatment_Efficiency</vt:lpstr>
      <vt:lpstr>TreatmentCells</vt:lpstr>
      <vt:lpstr>Tri_Extension_Value_Per_Day_Max</vt:lpstr>
      <vt:lpstr>Tri_Extension_Value_Per_Day_Min</vt:lpstr>
      <vt:lpstr>Tri_Extension_Value_Per_Day_Mode</vt:lpstr>
      <vt:lpstr>Tri_Interventions_Avoided_Max</vt:lpstr>
      <vt:lpstr>Tri_Interventions_Avoided_Min</vt:lpstr>
      <vt:lpstr>Tri_Interventions_Avoided_Mode</vt:lpstr>
      <vt:lpstr>Tri_Season_Extension_Days_Max</vt:lpstr>
      <vt:lpstr>Tri_Season_Extension_Days_Min</vt:lpstr>
      <vt:lpstr>Tri_Season_Extension_Days_Mode</vt:lpstr>
      <vt:lpstr>Tri_Treatment_Rate_Factor_Max</vt:lpstr>
      <vt:lpstr>Tri_Treatment_Rate_Factor_Min</vt:lpstr>
      <vt:lpstr>Tri_Treatment_Rate_Factor_Mode</vt:lpstr>
      <vt:lpstr>UV_Modifier</vt:lpstr>
      <vt:lpstr>Value_Per_M3</vt:lpstr>
      <vt:lpstr>ValuePer_M3</vt:lpstr>
      <vt:lpstr>Wetland_Area</vt:lpstr>
      <vt:lpstr>WetlandArea_Ha</vt:lpstr>
      <vt:lpstr>Year1_Gross_Value</vt:lpstr>
      <vt:lpstr>Year1_Net_Value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Greg Saunders</cp:lastModifiedBy>
  <dcterms:created xsi:type="dcterms:W3CDTF">2026-02-01T02:06:26Z</dcterms:created>
  <dcterms:modified xsi:type="dcterms:W3CDTF">2026-02-01T02:07:51Z</dcterms:modified>
</cp:coreProperties>
</file>