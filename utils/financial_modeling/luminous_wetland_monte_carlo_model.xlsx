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mc:AlternateContent xmlns:mc="http://schemas.openxmlformats.org/markup-compatibility/2006">
    <mc:Choice Requires="x15">
      <x15ac:absPath xmlns:x15ac="http://schemas.microsoft.com/office/spreadsheetml/2010/11/ac" url="/Users/greg/Luminous Dropbox/Obsidian/utils/financial_modeling/"/>
    </mc:Choice>
  </mc:AlternateContent>
  <xr:revisionPtr revIDLastSave="0" documentId="13_ncr:1_{9625D346-53A5-6346-852B-3C603429052C}" xr6:coauthVersionLast="47" xr6:coauthVersionMax="47" xr10:uidLastSave="{00000000-0000-0000-0000-000000000000}"/>
  <bookViews>
    <workbookView xWindow="0" yWindow="680" windowWidth="30240" windowHeight="18960" firstSheet="11" activeTab="14" xr2:uid="{00000000-000D-0000-FFFF-FFFF00000000}"/>
  </bookViews>
  <sheets>
    <sheet name="0_Cover" sheetId="1" r:id="rId1"/>
    <sheet name="1_TOC" sheetId="2" r:id="rId2"/>
    <sheet name="3_Instructions" sheetId="3" r:id="rId3"/>
    <sheet name="2_InputMap" sheetId="4" r:id="rId4"/>
    <sheet name="4_Assumptions" sheetId="5" r:id="rId5"/>
    <sheet name="5_EnvironmentalDrivers" sheetId="6" r:id="rId6"/>
    <sheet name="6_Scenarios" sheetId="7" r:id="rId7"/>
    <sheet name="7_ServiceModels" sheetId="8" r:id="rId8"/>
    <sheet name="8_Calc_Timeline" sheetId="9" r:id="rId9"/>
    <sheet name="9_Calc_Kinetics" sheetId="10" r:id="rId10"/>
    <sheet name="10_Calc_Stochastic" sheetId="11" r:id="rId11"/>
    <sheet name="11_Calc_Compliance" sheetId="12" r:id="rId12"/>
    <sheet name="12_Calc_Value" sheetId="13" r:id="rId13"/>
    <sheet name="13_Calc_Costs" sheetId="14" r:id="rId14"/>
    <sheet name="14_Calc_Sim" sheetId="15" r:id="rId15"/>
    <sheet name="15_PL_Monthly" sheetId="16" r:id="rId16"/>
    <sheet name="16_PL_Annual" sheetId="17" r:id="rId17"/>
    <sheet name="17_CashFlow" sheetId="18" r:id="rId18"/>
    <sheet name="18_UnitEconomics" sheetId="19" r:id="rId19"/>
    <sheet name="19_Sensitivity" sheetId="20" r:id="rId20"/>
    <sheet name="20_Dashboard" sheetId="21" r:id="rId21"/>
    <sheet name="21_Checks" sheetId="22" r:id="rId22"/>
  </sheets>
  <definedNames>
    <definedName name="Annual_Throughput">'4_Assumptions'!$B$39</definedName>
    <definedName name="AnnualThroughput_M3">'4_Assumptions'!$B$39</definedName>
    <definedName name="Base_Year">'1_TOC'!$B$14</definedName>
    <definedName name="Beta_Efficiency_Gain_Alpha">'7_ServiceModels'!$B$23</definedName>
    <definedName name="Beta_Efficiency_Gain_Beta">'7_ServiceModels'!$C$23</definedName>
    <definedName name="Beta_Efficiency_Gain_Max">'7_ServiceModels'!$E$23</definedName>
    <definedName name="Beta_Efficiency_Gain_Min">'7_ServiceModels'!$D$23</definedName>
    <definedName name="Bioavail_Modifier">'9_Calc_Kinetics'!$C$12</definedName>
    <definedName name="Circulation_Cycles">'8_Calc_Timeline'!$C$28</definedName>
    <definedName name="Compliance_Status">'8_Calc_Timeline'!$C$30</definedName>
    <definedName name="Day_80_Survival">'4_Assumptions'!$B$125</definedName>
    <definedName name="Day_LC50">'4_Assumptions'!$B$124</definedName>
    <definedName name="Day_Nontoxic">'4_Assumptions'!$B$126</definedName>
    <definedName name="Days_to_Compliance">'8_Calc_Timeline'!$C$27</definedName>
    <definedName name="Discount_Rate">'1_TOC'!$B$12</definedName>
    <definedName name="DO_Modifier">'9_Calc_Kinetics'!$C$10</definedName>
    <definedName name="DowntimeCostPerDay">'4_Assumptions'!$B$52</definedName>
    <definedName name="Eff_Rapid_Rate">'8_Calc_Timeline'!$C$24</definedName>
    <definedName name="Eff_Slow_Rate">'8_Calc_Timeline'!$C$25</definedName>
    <definedName name="Effective_Rate">'9_Calc_Kinetics'!$C$16</definedName>
    <definedName name="Env_Bioavail_Index_Aug">'5_EnvironmentalDrivers'!$F$12</definedName>
    <definedName name="Env_Bioavail_Index_Jul">'5_EnvironmentalDrivers'!$E$12</definedName>
    <definedName name="Env_Bioavail_Index_Jun">'5_EnvironmentalDrivers'!$D$12</definedName>
    <definedName name="Env_Bioavail_Index_May">'5_EnvironmentalDrivers'!$C$12</definedName>
    <definedName name="Env_Bioavail_Index_Sep">'5_EnvironmentalDrivers'!$G$12</definedName>
    <definedName name="Env_DO_Typical_Aug">'5_EnvironmentalDrivers'!$F$10</definedName>
    <definedName name="Env_DO_Typical_Jul">'5_EnvironmentalDrivers'!$E$10</definedName>
    <definedName name="Env_DO_Typical_Jun">'5_EnvironmentalDrivers'!$D$10</definedName>
    <definedName name="Env_DO_Typical_May">'5_EnvironmentalDrivers'!$C$10</definedName>
    <definedName name="Env_DO_Typical_Sep">'5_EnvironmentalDrivers'!$G$10</definedName>
    <definedName name="Env_Nutrient_Index_Aug">'5_EnvironmentalDrivers'!$F$11</definedName>
    <definedName name="Env_Nutrient_Index_Jul">'5_EnvironmentalDrivers'!$E$11</definedName>
    <definedName name="Env_Nutrient_Index_Jun">'5_EnvironmentalDrivers'!$D$11</definedName>
    <definedName name="Env_Nutrient_Index_May">'5_EnvironmentalDrivers'!$C$11</definedName>
    <definedName name="Env_Nutrient_Index_Sep">'5_EnvironmentalDrivers'!$G$11</definedName>
    <definedName name="Env_Temp_Water_Aug">'5_EnvironmentalDrivers'!$F$8</definedName>
    <definedName name="Env_Temp_Water_Jul">'5_EnvironmentalDrivers'!$E$8</definedName>
    <definedName name="Env_Temp_Water_Jun">'5_EnvironmentalDrivers'!$D$8</definedName>
    <definedName name="Env_Temp_Water_May">'5_EnvironmentalDrivers'!$C$8</definedName>
    <definedName name="Env_Temp_Water_Sep">'5_EnvironmentalDrivers'!$G$8</definedName>
    <definedName name="Env_UV_Relative_Aug">'5_EnvironmentalDrivers'!$F$9</definedName>
    <definedName name="Env_UV_Relative_Jul">'5_EnvironmentalDrivers'!$E$9</definedName>
    <definedName name="Env_UV_Relative_Jun">'5_EnvironmentalDrivers'!$D$9</definedName>
    <definedName name="Env_UV_Relative_May">'5_EnvironmentalDrivers'!$C$9</definedName>
    <definedName name="Env_UV_Relative_Sep">'5_EnvironmentalDrivers'!$G$9</definedName>
    <definedName name="Gate_Chloride">'11_Calc_Compliance'!$D$9</definedName>
    <definedName name="Gate_DO">'11_Calc_Compliance'!$D$11</definedName>
    <definedName name="Gate_Foam">'11_Calc_Compliance'!$D$20</definedName>
    <definedName name="Gate_NAFC">'11_Calc_Compliance'!$D$16</definedName>
    <definedName name="Gate_Odor">'11_Calc_Compliance'!$D$19</definedName>
    <definedName name="Gate_Oil_Sheen">'11_Calc_Compliance'!$D$18</definedName>
    <definedName name="Gate_pH_High">'11_Calc_Compliance'!$D$13</definedName>
    <definedName name="Gate_pH_Low">'11_Calc_Compliance'!$D$12</definedName>
    <definedName name="Gate_S1">'4_Assumptions'!$B$87:$B$89</definedName>
    <definedName name="Gate_S2">'4_Assumptions'!$C$87:$C$89</definedName>
    <definedName name="Gate_S3">'4_Assumptions'!$D$87:$D$89</definedName>
    <definedName name="Gate_S4">'4_Assumptions'!$E$87:$E$89</definedName>
    <definedName name="Gate_SAR">'11_Calc_Compliance'!$D$10</definedName>
    <definedName name="Gate_Sulfate">'11_Calc_Compliance'!$D$14</definedName>
    <definedName name="Gate_Temperature">'11_Calc_Compliance'!$D$15</definedName>
    <definedName name="Gate_Toxicity">'11_Calc_Compliance'!$D$8</definedName>
    <definedName name="Gate_Turbidity">'11_Calc_Compliance'!$D$17</definedName>
    <definedName name="Gross_Value">'12_Calc_Value'!$E$18</definedName>
    <definedName name="Initial_NAFC">'4_Assumptions'!$B$108</definedName>
    <definedName name="Ionic_Chloride_Max">'5_EnvironmentalDrivers'!$E$17</definedName>
    <definedName name="Ionic_Chloride_Min">'5_EnvironmentalDrivers'!$C$17</definedName>
    <definedName name="Ionic_Chloride_Mode">'5_EnvironmentalDrivers'!$D$17</definedName>
    <definedName name="Ionic_Chloride_Threshold">'5_EnvironmentalDrivers'!$F$17</definedName>
    <definedName name="Ionic_DO_Compliance_Max">'5_EnvironmentalDrivers'!$E$20</definedName>
    <definedName name="Ionic_DO_Compliance_Min">'5_EnvironmentalDrivers'!$C$20</definedName>
    <definedName name="Ionic_DO_Compliance_Mode">'5_EnvironmentalDrivers'!$D$20</definedName>
    <definedName name="Ionic_DO_Compliance_Threshold">'5_EnvironmentalDrivers'!$F$20</definedName>
    <definedName name="Ionic_SAR_Max">'5_EnvironmentalDrivers'!$E$18</definedName>
    <definedName name="Ionic_SAR_Min">'5_EnvironmentalDrivers'!$C$18</definedName>
    <definedName name="Ionic_SAR_Mode">'5_EnvironmentalDrivers'!$D$18</definedName>
    <definedName name="Ionic_SAR_Threshold">'5_EnvironmentalDrivers'!$F$18</definedName>
    <definedName name="Ionic_Sulfate_Max">'5_EnvironmentalDrivers'!$E$19</definedName>
    <definedName name="Ionic_Sulfate_Min">'5_EnvironmentalDrivers'!$C$19</definedName>
    <definedName name="Ionic_Sulfate_Mode">'5_EnvironmentalDrivers'!$D$19</definedName>
    <definedName name="Ionic_Sulfate_Threshold">'5_EnvironmentalDrivers'!$F$19</definedName>
    <definedName name="LaborPerDay">'4_Assumptions'!$B$50</definedName>
    <definedName name="LearningCurve_Mult">'4_Assumptions'!$B$62:$B$66</definedName>
    <definedName name="List_Scenarios">'4_Assumptions'!$B$94:$B$96</definedName>
    <definedName name="List_TestingOptions">'4_Assumptions'!$A$94:$A$96</definedName>
    <definedName name="Master_Gate_Status">'11_Calc_Compliance'!$C$24</definedName>
    <definedName name="MC_Anchor">'4_Assumptions'!$B$99</definedName>
    <definedName name="MC_Expected_Days">'14_Calc_Sim'!$B$1024</definedName>
    <definedName name="MC_Expected_NPV">'14_Calc_Sim'!$B$1016</definedName>
    <definedName name="MC_P10">'14_Calc_Sim'!$B$1017</definedName>
    <definedName name="MC_P10_Days">'14_Calc_Sim'!$B$1025</definedName>
    <definedName name="MC_P50">'14_Calc_Sim'!$B$1018</definedName>
    <definedName name="MC_P50_Days">'14_Calc_Sim'!$B$1026</definedName>
    <definedName name="MC_P90">'14_Calc_Sim'!$B$1019</definedName>
    <definedName name="MC_P90_Days">'14_Calc_Sim'!$B$1027</definedName>
    <definedName name="MC_Prob_Achievable">'14_Calc_Sim'!$B$1028</definedName>
    <definedName name="MC_Prob_Positive">'14_Calc_Sim'!$B$1021</definedName>
    <definedName name="MC_StdDev">'14_Calc_Sim'!$B$1020</definedName>
    <definedName name="NAFC_After_Rapid">'8_Calc_Timeline'!$C$26</definedName>
    <definedName name="NPV_Total">'16_PL_Annual'!$B$21</definedName>
    <definedName name="Nutrient_Modifier">'9_Calc_Kinetics'!$C$11</definedName>
    <definedName name="Projection_Years">'1_TOC'!$B$13</definedName>
    <definedName name="Q10_Factor">'9_Calc_Kinetics'!$C$8</definedName>
    <definedName name="Rapid_Phase_Duration">'4_Assumptions'!$B$112</definedName>
    <definedName name="Rapid_Phase_Rate">'4_Assumptions'!$B$110</definedName>
    <definedName name="Recirculation_Cycle">'4_Assumptions'!$B$113</definedName>
    <definedName name="RegulatoryPenalty">'4_Assumptions'!$B$51</definedName>
    <definedName name="S1_Value">'12_Calc_Value'!$E$13</definedName>
    <definedName name="S2_Value">'12_Calc_Value'!$E$14</definedName>
    <definedName name="S3_Value">'12_Calc_Value'!$E$15</definedName>
    <definedName name="S4_Value">'12_Calc_Value'!$E$16</definedName>
    <definedName name="Scenario_BaseValues">'6_Scenarios'!$C$10:$C$13</definedName>
    <definedName name="Scenario_Select">'1_TOC'!$B$11</definedName>
    <definedName name="Season_End_Day">'4_Assumptions'!$B$13</definedName>
    <definedName name="Season_End_Month">'4_Assumptions'!$B$12</definedName>
    <definedName name="Season_Length">'4_Assumptions'!$B$14</definedName>
    <definedName name="Season_Start_Day">'4_Assumptions'!$B$11</definedName>
    <definedName name="Season_Start_Month">'4_Assumptions'!$B$10</definedName>
    <definedName name="Slow_Phase_Rate">'4_Assumptions'!$B$111</definedName>
    <definedName name="Stoch_Efficiency">'10_Calc_Stochastic'!$C$17</definedName>
    <definedName name="Stoch_ExtValue">'10_Calc_Stochastic'!$C$15</definedName>
    <definedName name="Stoch_Interventions">'10_Calc_Stochastic'!$C$16</definedName>
    <definedName name="Stoch_SeasonExt">'10_Calc_Stochastic'!$C$14</definedName>
    <definedName name="Stoch_TreatmentRate">'10_Calc_Stochastic'!$C$18</definedName>
    <definedName name="System_Capacity">'4_Assumptions'!$B$114</definedName>
    <definedName name="Target_NAFC">'4_Assumptions'!$B$109</definedName>
    <definedName name="Testing_Cost">'13_Calc_Costs'!$C$19</definedName>
    <definedName name="Testing_Option">'1_TOC'!$B$10</definedName>
    <definedName name="TestOpt_Cost">'4_Assumptions'!$E$76:$E$78</definedName>
    <definedName name="TestOpt_Interval">'4_Assumptions'!$C$76:$C$78</definedName>
    <definedName name="TestOpt_Latency">'4_Assumptions'!$F$76:$F$78</definedName>
    <definedName name="TestOpt_Method">'4_Assumptions'!$B$76:$B$78</definedName>
    <definedName name="TestOpt_Option">'4_Assumptions'!$A$76:$A$78</definedName>
    <definedName name="TestOpt_Points">'4_Assumptions'!$D$76:$D$78</definedName>
    <definedName name="Timeline_DiscountFactor">'8_Calc_Timeline'!$D$13:$D$18</definedName>
    <definedName name="Timeline_LearningMult">'8_Calc_Timeline'!$E$13:$E$18</definedName>
    <definedName name="Treatment_Cells">'4_Assumptions'!$B$38</definedName>
    <definedName name="Treatment_Days">'4_Assumptions'!$B$14</definedName>
    <definedName name="Treatment_Efficiency">'8_Calc_Timeline'!$C$29</definedName>
    <definedName name="TreatmentCells">'4_Assumptions'!$B$38</definedName>
    <definedName name="Tri_Extension_Value_Per_Day_Max">'7_ServiceModels'!$D$11</definedName>
    <definedName name="Tri_Extension_Value_Per_Day_Min">'7_ServiceModels'!$B$11</definedName>
    <definedName name="Tri_Extension_Value_Per_Day_Mode">'7_ServiceModels'!$C$11</definedName>
    <definedName name="Tri_Interventions_Avoided_Max">'7_ServiceModels'!$D$12</definedName>
    <definedName name="Tri_Interventions_Avoided_Min">'7_ServiceModels'!$B$12</definedName>
    <definedName name="Tri_Interventions_Avoided_Mode">'7_ServiceModels'!$C$12</definedName>
    <definedName name="Tri_Season_Extension_Days_Max">'7_ServiceModels'!$D$10</definedName>
    <definedName name="Tri_Season_Extension_Days_Min">'7_ServiceModels'!$B$10</definedName>
    <definedName name="Tri_Season_Extension_Days_Mode">'7_ServiceModels'!$C$10</definedName>
    <definedName name="Tri_Treatment_Rate_Factor_Max">'7_ServiceModels'!$D$13</definedName>
    <definedName name="Tri_Treatment_Rate_Factor_Min">'7_ServiceModels'!$B$13</definedName>
    <definedName name="Tri_Treatment_Rate_Factor_Mode">'7_ServiceModels'!$C$13</definedName>
    <definedName name="UV_Modifier">'9_Calc_Kinetics'!$C$9</definedName>
    <definedName name="Value_Per_M3">'4_Assumptions'!$B$40</definedName>
    <definedName name="ValuePer_M3">'4_Assumptions'!$B$40</definedName>
    <definedName name="Wetland_Area">'4_Assumptions'!$B$37</definedName>
    <definedName name="WetlandArea_Ha">'4_Assumptions'!$B$37</definedName>
    <definedName name="Year1_Gross_Value">'16_PL_Annual'!$F$13</definedName>
    <definedName name="Year1_Net_Value">'16_PL_Annual'!$H$13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22" l="1"/>
  <c r="D24" i="22"/>
  <c r="D23" i="22"/>
  <c r="D22" i="22"/>
  <c r="D18" i="22"/>
  <c r="D17" i="22"/>
  <c r="D16" i="22"/>
  <c r="D15" i="22"/>
  <c r="D14" i="22"/>
  <c r="D13" i="22"/>
  <c r="B43" i="21"/>
  <c r="C42" i="21"/>
  <c r="B42" i="21"/>
  <c r="B13" i="21"/>
  <c r="B24" i="19"/>
  <c r="B13" i="19"/>
  <c r="A17" i="18"/>
  <c r="A16" i="18"/>
  <c r="A15" i="18"/>
  <c r="A14" i="18"/>
  <c r="A13" i="18"/>
  <c r="A17" i="17"/>
  <c r="A16" i="17"/>
  <c r="A15" i="17"/>
  <c r="A14" i="17"/>
  <c r="A13" i="17"/>
  <c r="B1028" i="15"/>
  <c r="B1027" i="15"/>
  <c r="B1026" i="15"/>
  <c r="B1025" i="15"/>
  <c r="B1024" i="15"/>
  <c r="B1021" i="15"/>
  <c r="B18" i="21" s="1"/>
  <c r="B1020" i="15"/>
  <c r="B1019" i="15"/>
  <c r="B17" i="21" s="1"/>
  <c r="B1018" i="15"/>
  <c r="B16" i="21" s="1"/>
  <c r="B1017" i="15"/>
  <c r="B15" i="21" s="1"/>
  <c r="B1016" i="15"/>
  <c r="C16" i="14"/>
  <c r="C15" i="14"/>
  <c r="C14" i="14"/>
  <c r="C17" i="14" s="1"/>
  <c r="C18" i="14" s="1"/>
  <c r="C19" i="14" s="1"/>
  <c r="C13" i="14"/>
  <c r="B16" i="13"/>
  <c r="B15" i="13"/>
  <c r="B14" i="13"/>
  <c r="B13" i="13"/>
  <c r="B24" i="12"/>
  <c r="D20" i="12"/>
  <c r="E20" i="12" s="1"/>
  <c r="D19" i="12"/>
  <c r="E19" i="12" s="1"/>
  <c r="D18" i="12"/>
  <c r="E18" i="12" s="1"/>
  <c r="E17" i="12"/>
  <c r="D17" i="12"/>
  <c r="D15" i="12"/>
  <c r="E15" i="12" s="1"/>
  <c r="D14" i="12"/>
  <c r="E14" i="12" s="1"/>
  <c r="D13" i="12"/>
  <c r="E13" i="12" s="1"/>
  <c r="D12" i="12"/>
  <c r="E12" i="12" s="1"/>
  <c r="D11" i="12"/>
  <c r="E11" i="12" s="1"/>
  <c r="D10" i="12"/>
  <c r="E10" i="12" s="1"/>
  <c r="D9" i="12"/>
  <c r="E9" i="12" s="1"/>
  <c r="B18" i="11"/>
  <c r="C18" i="11" s="1"/>
  <c r="B17" i="11"/>
  <c r="C17" i="11" s="1"/>
  <c r="B16" i="11"/>
  <c r="C16" i="11" s="1"/>
  <c r="D14" i="13" s="1"/>
  <c r="B15" i="11"/>
  <c r="C15" i="11" s="1"/>
  <c r="B14" i="11"/>
  <c r="C14" i="11" s="1"/>
  <c r="D13" i="13" s="1"/>
  <c r="B16" i="10"/>
  <c r="C12" i="10"/>
  <c r="B12" i="10"/>
  <c r="C11" i="10"/>
  <c r="B11" i="10"/>
  <c r="C10" i="10"/>
  <c r="B10" i="10"/>
  <c r="C9" i="10"/>
  <c r="B9" i="10"/>
  <c r="C8" i="10"/>
  <c r="C16" i="10" s="1"/>
  <c r="B8" i="10"/>
  <c r="C29" i="9"/>
  <c r="E18" i="9"/>
  <c r="D18" i="9"/>
  <c r="I17" i="17" s="1"/>
  <c r="C18" i="9"/>
  <c r="B18" i="9"/>
  <c r="E17" i="9"/>
  <c r="D17" i="9"/>
  <c r="I16" i="17" s="1"/>
  <c r="C17" i="9"/>
  <c r="B17" i="9"/>
  <c r="E16" i="9"/>
  <c r="D16" i="9"/>
  <c r="I15" i="17" s="1"/>
  <c r="C16" i="9"/>
  <c r="B16" i="9"/>
  <c r="E15" i="9"/>
  <c r="D15" i="9"/>
  <c r="I14" i="17" s="1"/>
  <c r="C15" i="9"/>
  <c r="B15" i="9"/>
  <c r="E14" i="9"/>
  <c r="D14" i="9"/>
  <c r="I13" i="17" s="1"/>
  <c r="C14" i="9"/>
  <c r="B14" i="9"/>
  <c r="C13" i="9"/>
  <c r="B13" i="9"/>
  <c r="E89" i="5"/>
  <c r="D89" i="5"/>
  <c r="C89" i="5"/>
  <c r="B89" i="5"/>
  <c r="E88" i="5"/>
  <c r="D88" i="5"/>
  <c r="C88" i="5"/>
  <c r="B88" i="5"/>
  <c r="E87" i="5"/>
  <c r="D87" i="5"/>
  <c r="C87" i="5"/>
  <c r="B87" i="5"/>
  <c r="B28" i="4"/>
  <c r="B27" i="4"/>
  <c r="B26" i="4"/>
  <c r="B25" i="4"/>
  <c r="B24" i="4"/>
  <c r="B23" i="4"/>
  <c r="B22" i="4"/>
  <c r="B21" i="4"/>
  <c r="B20" i="4"/>
  <c r="B19" i="4"/>
  <c r="B18" i="4"/>
  <c r="B17" i="4"/>
  <c r="B16" i="4"/>
  <c r="B15" i="4"/>
  <c r="B14" i="4"/>
  <c r="B13" i="4"/>
  <c r="B11" i="4"/>
  <c r="B10" i="4"/>
  <c r="B9" i="4"/>
  <c r="B8" i="4"/>
  <c r="B7" i="4"/>
  <c r="B6" i="4"/>
  <c r="B5" i="4"/>
  <c r="B5" i="1"/>
  <c r="C49" i="21" l="1"/>
  <c r="B49" i="21"/>
  <c r="C48" i="21"/>
  <c r="B48" i="21"/>
  <c r="C47" i="21"/>
  <c r="B47" i="21"/>
  <c r="G10" i="15"/>
  <c r="G13" i="17"/>
  <c r="G14" i="17"/>
  <c r="G16" i="17"/>
  <c r="G17" i="17"/>
  <c r="B15" i="19"/>
  <c r="B19" i="19"/>
  <c r="G15" i="17"/>
  <c r="B25" i="19"/>
  <c r="B19" i="21"/>
  <c r="D20" i="22"/>
  <c r="C24" i="9"/>
  <c r="C25" i="9"/>
  <c r="B30" i="4" s="1"/>
  <c r="D16" i="13"/>
  <c r="D15" i="13"/>
  <c r="D8" i="12"/>
  <c r="B17" i="10"/>
  <c r="C17" i="10"/>
  <c r="B46" i="21"/>
  <c r="C46" i="21"/>
  <c r="C16" i="13"/>
  <c r="C33" i="21"/>
  <c r="C15" i="13"/>
  <c r="E15" i="13" s="1"/>
  <c r="C32" i="21"/>
  <c r="C14" i="13"/>
  <c r="E14" i="13" s="1"/>
  <c r="C31" i="21"/>
  <c r="C13" i="13"/>
  <c r="E13" i="13" s="1"/>
  <c r="C30" i="21"/>
  <c r="E16" i="13" l="1"/>
  <c r="E18" i="13" s="1"/>
  <c r="C26" i="9"/>
  <c r="B29" i="4"/>
  <c r="D26" i="22"/>
  <c r="E8" i="12"/>
  <c r="B33" i="21"/>
  <c r="F10" i="15"/>
  <c r="E16" i="17"/>
  <c r="E13" i="17"/>
  <c r="E14" i="17"/>
  <c r="E15" i="17"/>
  <c r="E17" i="17"/>
  <c r="D15" i="17"/>
  <c r="B32" i="21"/>
  <c r="E10" i="15"/>
  <c r="D13" i="17"/>
  <c r="D14" i="17"/>
  <c r="D16" i="17"/>
  <c r="D17" i="17"/>
  <c r="D10" i="15"/>
  <c r="C14" i="17"/>
  <c r="C15" i="17"/>
  <c r="C16" i="17"/>
  <c r="C17" i="17"/>
  <c r="C13" i="17"/>
  <c r="B31" i="21"/>
  <c r="B30" i="21"/>
  <c r="C10" i="15"/>
  <c r="B13" i="17"/>
  <c r="B14" i="17"/>
  <c r="B15" i="17"/>
  <c r="B16" i="17"/>
  <c r="B17" i="17"/>
  <c r="F13" i="17" l="1"/>
  <c r="F16" i="17"/>
  <c r="H16" i="17" s="1"/>
  <c r="C27" i="9"/>
  <c r="B31" i="4"/>
  <c r="B14" i="19"/>
  <c r="B16" i="19"/>
  <c r="B17" i="19"/>
  <c r="B18" i="19"/>
  <c r="B26" i="19"/>
  <c r="D21" i="22"/>
  <c r="H10" i="15"/>
  <c r="B20" i="21"/>
  <c r="H13" i="17"/>
  <c r="J16" i="17"/>
  <c r="B16" i="18"/>
  <c r="F15" i="17"/>
  <c r="H15" i="17" s="1"/>
  <c r="F17" i="17"/>
  <c r="H17" i="17" s="1"/>
  <c r="F14" i="17"/>
  <c r="D16" i="12" l="1"/>
  <c r="I10" i="15"/>
  <c r="B44" i="21"/>
  <c r="C28" i="9"/>
  <c r="C30" i="9"/>
  <c r="C44" i="21" s="1"/>
  <c r="D25" i="22"/>
  <c r="B32" i="4"/>
  <c r="J13" i="17"/>
  <c r="B13" i="18"/>
  <c r="C13" i="18" s="1"/>
  <c r="B21" i="21"/>
  <c r="B15" i="18"/>
  <c r="J15" i="17"/>
  <c r="B17" i="18"/>
  <c r="J17" i="17"/>
  <c r="H14" i="17"/>
  <c r="B23" i="17" s="1"/>
  <c r="B22" i="17"/>
  <c r="C25" i="12" l="1"/>
  <c r="C24" i="12"/>
  <c r="D24" i="12" s="1"/>
  <c r="C26" i="12"/>
  <c r="E16" i="12"/>
  <c r="B45" i="21"/>
  <c r="C45" i="21"/>
  <c r="B21" i="17"/>
  <c r="D13" i="18"/>
  <c r="D14" i="18" s="1"/>
  <c r="D15" i="18" s="1"/>
  <c r="D16" i="18" s="1"/>
  <c r="D17" i="18" s="1"/>
  <c r="B14" i="18"/>
  <c r="C14" i="18" s="1"/>
  <c r="C15" i="18" s="1"/>
  <c r="C16" i="18" s="1"/>
  <c r="C17" i="18" s="1"/>
  <c r="J14" i="17"/>
  <c r="B20" i="19" l="1"/>
  <c r="E13" i="20"/>
  <c r="F13" i="20"/>
  <c r="E14" i="20"/>
  <c r="F14" i="20"/>
  <c r="G14" i="20" s="1"/>
  <c r="E15" i="20"/>
  <c r="F15" i="20"/>
  <c r="G15" i="20" s="1"/>
  <c r="E16" i="20"/>
  <c r="F16" i="20"/>
  <c r="B14" i="21"/>
  <c r="B10" i="15"/>
  <c r="D19" i="22"/>
  <c r="B10" i="1" l="1"/>
  <c r="B9" i="1"/>
  <c r="B31" i="22"/>
  <c r="B33" i="22"/>
  <c r="B32" i="22"/>
  <c r="B66" i="21"/>
  <c r="B67" i="21"/>
  <c r="G16" i="20"/>
  <c r="G13" i="20"/>
</calcChain>
</file>

<file path=xl/sharedStrings.xml><?xml version="1.0" encoding="utf-8"?>
<sst xmlns="http://schemas.openxmlformats.org/spreadsheetml/2006/main" count="1265" uniqueCount="829">
  <si>
    <t>Luminous Wetland Monte Carlo Financial Model</t>
  </si>
  <si>
    <t>FAST Standard Compliant (18-Sheet Architecture)</t>
  </si>
  <si>
    <t>Version:</t>
  </si>
  <si>
    <t>3.0</t>
  </si>
  <si>
    <t>Date:</t>
  </si>
  <si>
    <t>Author:</t>
  </si>
  <si>
    <t>Luminous BioSolutions</t>
  </si>
  <si>
    <t>Model Status</t>
  </si>
  <si>
    <t>Health:</t>
  </si>
  <si>
    <t>Errors:</t>
  </si>
  <si>
    <t>Sheet Navigation</t>
  </si>
  <si>
    <t>1_TOC</t>
  </si>
  <si>
    <t>Table of Contents / Control panel</t>
  </si>
  <si>
    <t>3_Instructions</t>
  </si>
  <si>
    <t>Methodology and documentation</t>
  </si>
  <si>
    <t>4_Assumptions</t>
  </si>
  <si>
    <t>ALL inputs (timing, site, test options, validation)</t>
  </si>
  <si>
    <t>6_Scenarios</t>
  </si>
  <si>
    <t>Value scenario definitions</t>
  </si>
  <si>
    <t>7_ServiceModels</t>
  </si>
  <si>
    <t>Monte Carlo distributions</t>
  </si>
  <si>
    <t>8_Calc_Timeline</t>
  </si>
  <si>
    <t>Projection timeline</t>
  </si>
  <si>
    <t>10_Calc_Stochastic</t>
  </si>
  <si>
    <t>Random variable generation</t>
  </si>
  <si>
    <t>12_Calc_Value</t>
  </si>
  <si>
    <t>Gated value calculations</t>
  </si>
  <si>
    <t>13_Calc_Costs</t>
  </si>
  <si>
    <t>Cost calculations</t>
  </si>
  <si>
    <t>14_Calc_Sim</t>
  </si>
  <si>
    <t>1000-iteration Monte Carlo</t>
  </si>
  <si>
    <t>15_PL_Monthly</t>
  </si>
  <si>
    <t>Monthly P&amp;L (placeholder)</t>
  </si>
  <si>
    <t>16_PL_Annual</t>
  </si>
  <si>
    <t>Annual projections</t>
  </si>
  <si>
    <t>17_CashFlow</t>
  </si>
  <si>
    <t>Cumulative projections</t>
  </si>
  <si>
    <t>18_UnitEconomics</t>
  </si>
  <si>
    <t>Unit economics view</t>
  </si>
  <si>
    <t>19_Sensitivity</t>
  </si>
  <si>
    <t>Tornado analysis</t>
  </si>
  <si>
    <t>20_Dashboard</t>
  </si>
  <si>
    <t>Executive dashboard</t>
  </si>
  <si>
    <t>21_Checks</t>
  </si>
  <si>
    <t>Validation checks</t>
  </si>
  <si>
    <t>Control Panel</t>
  </si>
  <si>
    <t>Description:</t>
  </si>
  <si>
    <t>User-editable model parameters that drive all calculations. Change these values to explore different scenarios.</t>
  </si>
  <si>
    <t>Purpose:</t>
  </si>
  <si>
    <t>Provide a single location for users to modify key model inputs</t>
  </si>
  <si>
    <t>Assumptions:</t>
  </si>
  <si>
    <t>- Testing_Option selects between HRMS and biosensor approaches
- Scenario_Select chooses conservative, base, or optimistic parameters
- Discount_Rate applies to all NPV calculations
- Projection_Years determines the financial projection horizon</t>
  </si>
  <si>
    <t>Data Source:</t>
  </si>
  <si>
    <t>User input - default values from Financial Model Framework v2.1</t>
  </si>
  <si>
    <t>Related Tables:</t>
  </si>
  <si>
    <t>tbl_ModelScenarios, tbl_TestOptions</t>
  </si>
  <si>
    <t>Parameter</t>
  </si>
  <si>
    <t>Value</t>
  </si>
  <si>
    <t>Validation</t>
  </si>
  <si>
    <t>Description</t>
  </si>
  <si>
    <t>Testing_Option</t>
  </si>
  <si>
    <t>Daily_Biosensor</t>
  </si>
  <si>
    <t>Dropdown</t>
  </si>
  <si>
    <t>Selected testing method</t>
  </si>
  <si>
    <t>Scenario_Select</t>
  </si>
  <si>
    <t>Base</t>
  </si>
  <si>
    <t>Model scenario</t>
  </si>
  <si>
    <t>Discount_Rate</t>
  </si>
  <si>
    <t>0%-15%</t>
  </si>
  <si>
    <t>NPV discount rate</t>
  </si>
  <si>
    <t>Projection_Years</t>
  </si>
  <si>
    <t>1-10</t>
  </si>
  <si>
    <t>Projection horizon</t>
  </si>
  <si>
    <t>Base_Year</t>
  </si>
  <si>
    <t>2024-2030</t>
  </si>
  <si>
    <t>Model start year</t>
  </si>
  <si>
    <t>Model Instructions &amp; Documentation</t>
  </si>
  <si>
    <t>1. Model Purpose</t>
  </si>
  <si>
    <t xml:space="preserve">  - Quantify value of high-frequency biosensor monitoring vs HRMS for OSPW wetland treatment</t>
  </si>
  <si>
    <t xml:space="preserve">  - Monte Carlo simulation for uncertainty quantification (1000 iterations)</t>
  </si>
  <si>
    <t xml:space="preserve">  - FAST Standard compliance for transparency and auditability</t>
  </si>
  <si>
    <t xml:space="preserve">  - All calculations performed in Excel - Python only generates structure/formulas</t>
  </si>
  <si>
    <t>2. How to Use This Model</t>
  </si>
  <si>
    <t>1. Edit yellow-highlighted cells in 1_TOC and 4_Assumptions</t>
  </si>
  <si>
    <t>2. Go to 14_Calc_Sim and set up the Data Table:</t>
  </si>
  <si>
    <t xml:space="preserve">   - Select range shown in instructions (formula row through 1000 iterations)</t>
  </si>
  <si>
    <t xml:space="preserve">   - Data &gt; What-If Analysis &gt; Data Table</t>
  </si>
  <si>
    <t xml:space="preserve">   - Column Input Cell: $K$1 (blank cell on same sheet)</t>
  </si>
  <si>
    <t>3. Press Ctrl+Alt+F9 to run Monte Carlo simulation</t>
  </si>
  <si>
    <t>4. View results in 20_Dashboard</t>
  </si>
  <si>
    <t>5. Check 21_Checks for any validation errors</t>
  </si>
  <si>
    <t>3. Latency Gating Logic</t>
  </si>
  <si>
    <t>HRMS lab testing has 42-day turnaround, blocking time-sensitive decisions:</t>
  </si>
  <si>
    <t>Scenario</t>
  </si>
  <si>
    <t>Required_Response</t>
  </si>
  <si>
    <t>HRMS_42d</t>
  </si>
  <si>
    <t>Biosensor_1d</t>
  </si>
  <si>
    <t>S1: Season Extension</t>
  </si>
  <si>
    <t>7 days</t>
  </si>
  <si>
    <t>BLOCKED</t>
  </si>
  <si>
    <t>ENABLED</t>
  </si>
  <si>
    <t>S2: Intervention Avoidance</t>
  </si>
  <si>
    <t>S3: Spatial Routing</t>
  </si>
  <si>
    <t>14 days</t>
  </si>
  <si>
    <t>S4: Early Detection</t>
  </si>
  <si>
    <t>3 days</t>
  </si>
  <si>
    <t>4. Glossary</t>
  </si>
  <si>
    <t>HRMS</t>
  </si>
  <si>
    <t>High-Resolution Mass Spectrometry</t>
  </si>
  <si>
    <t>OSPW</t>
  </si>
  <si>
    <t>Oil Sands Process-affected Water</t>
  </si>
  <si>
    <t>ARO</t>
  </si>
  <si>
    <t>Asset Retirement Obligation</t>
  </si>
  <si>
    <t>NPV</t>
  </si>
  <si>
    <t>Net Present Value</t>
  </si>
  <si>
    <t>HLR</t>
  </si>
  <si>
    <t>Hydraulic Loading Rate</t>
  </si>
  <si>
    <t>FAST</t>
  </si>
  <si>
    <t>Flexible, Appropriate, Structured, Transparent</t>
  </si>
  <si>
    <t>NAFC</t>
  </si>
  <si>
    <t>Naphthenic Acid Fraction Compounds</t>
  </si>
  <si>
    <t>5. Data Sources</t>
  </si>
  <si>
    <t xml:space="preserve">  - Zhang (2026) Long-Dated Environmental Liabilities in Oil Sands</t>
  </si>
  <si>
    <t xml:space="preserve">  - Kadlec &amp; Wallace (2009) Treatment Wetlands, 2nd Ed.</t>
  </si>
  <si>
    <t xml:space="preserve">  - FAST Standard Organisation (fast-standard.org)</t>
  </si>
  <si>
    <t xml:space="preserve">  - Luminous BioSolutions Financial Model Framework</t>
  </si>
  <si>
    <t xml:space="preserve">  - Kearl Wetland Pilot Data (GROW Presentation, Dec 2025)</t>
  </si>
  <si>
    <t>6. Value Per Cubic Meter Derivation</t>
  </si>
  <si>
    <t>The $5/m3 operational value is derived from:</t>
  </si>
  <si>
    <t xml:space="preserve">  - Conservative annual value: $250,000/year (Financial Model Framework)</t>
  </si>
  <si>
    <t xml:space="preserve">  - Annual throughput: 50,000 m3/year (4_Assumptions default)</t>
  </si>
  <si>
    <t xml:space="preserve">  - Calculation: $250,000 / 50,000 m3 = $5/m3</t>
  </si>
  <si>
    <t xml:space="preserve">  - This is the OPERATIONAL benefit only - excludes avoided treatment and ARO impacts</t>
  </si>
  <si>
    <t>Value Sensitivity Analysis (19_Sensitivity):</t>
  </si>
  <si>
    <t xml:space="preserve">  - Operational: $3-8/m3 (base $5) - Direct wetland treatment value</t>
  </si>
  <si>
    <t xml:space="preserve">  - Avoided Treatment: $10-30/m3 (base $20) - Alternative treatment costs</t>
  </si>
  <si>
    <t xml:space="preserve">  - ARO Liability: $21-93/m3 (base $50) - Zhang (2026) liability analysis</t>
  </si>
  <si>
    <t>7. Treatment Kinetics (Kearl 2022 Field Data)</t>
  </si>
  <si>
    <t>Source: Vander Meulen &amp; Headley (2024) GROW Presentation</t>
  </si>
  <si>
    <t>Project: Genome Canada LSARP - GROW (Genomics Research for Optimization of Constructed Treatment Wetlands)</t>
  </si>
  <si>
    <t>Two-Phase Kinetics Model:</t>
  </si>
  <si>
    <t xml:space="preserve">  - Rapid Phase (Days 0-15): -0.532 mg/L/day (R^2=0.43)</t>
  </si>
  <si>
    <t xml:space="preserve">  - Slow Phase (Days 30-69): -0.248 mg/L/day (R^2=0.50)</t>
  </si>
  <si>
    <t xml:space="preserve">  - The slowdown reflects preferential removal of labile compounds</t>
  </si>
  <si>
    <t>Toxicity Endpoints (Fathead Minnow Embryo):</t>
  </si>
  <si>
    <t xml:space="preserve">  - Day 14: ~50% survival (1 recirculation cycle = LC50)</t>
  </si>
  <si>
    <t xml:space="preserve">  - Day 28: 80-90% survival (2 cycles)</t>
  </si>
  <si>
    <t xml:space="preserve">  - Day 42: &gt;90% survival (3 cycles = non-toxic, equivalent to controls)</t>
  </si>
  <si>
    <t>The Concentration Paradox:</t>
  </si>
  <si>
    <t xml:space="preserve">  - Water at Day 42 was non-toxic despite ~50 mg/L NAFC concentration</t>
  </si>
  <si>
    <t xml:space="preserve">  - Literature LC50 values for fathead minnow: 18-34 mg/L</t>
  </si>
  <si>
    <t xml:space="preserve">  - Explanation: Wetlands preferentially remove high-carbon, lipophilic (most toxic) compounds</t>
  </si>
  <si>
    <t xml:space="preserve">  - Remaining NAFCs are oxidized (O3, O4 classes) and less bioavailable</t>
  </si>
  <si>
    <t xml:space="preserve">  - Implication: Total NAFC concentration alone may be inadequate for assessing safety</t>
  </si>
  <si>
    <t>Adjusting Parameters:</t>
  </si>
  <si>
    <t xml:space="preserve">  - All kinetics parameters are in 4_Assumptions Section H (yellow cells)</t>
  </si>
  <si>
    <t xml:space="preserve">  - Treatment_Rate_Factor in 7_ServiceModels captures seasonal/vegetation variability</t>
  </si>
  <si>
    <t xml:space="preserve">  - Modify Initial_NAFC to match your source water concentration</t>
  </si>
  <si>
    <t xml:space="preserve">  - Adjust Target_NAFC for different regulatory thresholds</t>
  </si>
  <si>
    <t>8. Change Log</t>
  </si>
  <si>
    <t>Version</t>
  </si>
  <si>
    <t>Date</t>
  </si>
  <si>
    <t>Changes</t>
  </si>
  <si>
    <t>3.2</t>
  </si>
  <si>
    <t>2026-01-29</t>
  </si>
  <si>
    <t>Value/m3 derivation documentation (Section 6)</t>
  </si>
  <si>
    <t>3.1</t>
  </si>
  <si>
    <t>Kearl treatment kinetics integration, Days_to_Compliance MC</t>
  </si>
  <si>
    <t>FAST 18-sheet refactor with LOCATIONS registry</t>
  </si>
  <si>
    <t>2.0</t>
  </si>
  <si>
    <t>2026-01-28</t>
  </si>
  <si>
    <t>Excel-native Monte Carlo via Data Tables</t>
  </si>
  <si>
    <t>1.0</t>
  </si>
  <si>
    <t>2025-12-01</t>
  </si>
  <si>
    <t>Initial Python-based model</t>
  </si>
  <si>
    <t>Input Traceability Map</t>
  </si>
  <si>
    <t>Shows which calculation sheets directly reference each input</t>
  </si>
  <si>
    <t>Input Name</t>
  </si>
  <si>
    <t>Source Sheet</t>
  </si>
  <si>
    <t>Referenced By</t>
  </si>
  <si>
    <t>Initial_NAFC</t>
  </si>
  <si>
    <t>Target_NAFC</t>
  </si>
  <si>
    <t>Rapid_Phase_Rate</t>
  </si>
  <si>
    <t>Slow_Phase_Rate</t>
  </si>
  <si>
    <t>Rapid_Phase_Duration</t>
  </si>
  <si>
    <t>Recirculation_Cycle</t>
  </si>
  <si>
    <t>Season_Length</t>
  </si>
  <si>
    <t>8_Calc_Timeline, 13_Calc_Costs, 14_Calc_Sim</t>
  </si>
  <si>
    <t>LearningCurve_Mult</t>
  </si>
  <si>
    <t>(range - see source sheet)</t>
  </si>
  <si>
    <t>Tri_Season_Extension_Days_Min</t>
  </si>
  <si>
    <t>Tri_Season_Extension_Days_Mode</t>
  </si>
  <si>
    <t>Tri_Season_Extension_Days_Max</t>
  </si>
  <si>
    <t>Tri_Extension_Value_Per_Day_Min</t>
  </si>
  <si>
    <t>Tri_Extension_Value_Per_Day_Mode</t>
  </si>
  <si>
    <t>Tri_Extension_Value_Per_Day_Max</t>
  </si>
  <si>
    <t>Tri_Interventions_Avoided_Min</t>
  </si>
  <si>
    <t>Tri_Interventions_Avoided_Mode</t>
  </si>
  <si>
    <t>Tri_Interventions_Avoided_Max</t>
  </si>
  <si>
    <t>Tri_Treatment_Rate_Factor_Min</t>
  </si>
  <si>
    <t>Tri_Treatment_Rate_Factor_Mode</t>
  </si>
  <si>
    <t>Tri_Treatment_Rate_Factor_Max</t>
  </si>
  <si>
    <t>Beta_Efficiency_Gain_Alpha</t>
  </si>
  <si>
    <t>Beta_Efficiency_Gain_Beta</t>
  </si>
  <si>
    <t>Beta_Efficiency_Gain_Min</t>
  </si>
  <si>
    <t>Beta_Efficiency_Gain_Max</t>
  </si>
  <si>
    <t>Eff_Rapid_Rate</t>
  </si>
  <si>
    <t>Eff_Slow_Rate</t>
  </si>
  <si>
    <t>NAFC_After_Rapid</t>
  </si>
  <si>
    <t>Days_to_Compliance</t>
  </si>
  <si>
    <t>8_Calc_Timeline, 14_Calc_Sim</t>
  </si>
  <si>
    <t>Timeline_LearningMult</t>
  </si>
  <si>
    <t>Timeline_DiscountFactor</t>
  </si>
  <si>
    <t>Summary</t>
  </si>
  <si>
    <t>Total inputs tracked: 30</t>
  </si>
  <si>
    <t>Registry entries: 28</t>
  </si>
  <si>
    <t>Note:</t>
  </si>
  <si>
    <t>'Referenced By' shows direct formula references only,</t>
  </si>
  <si>
    <t>not downstream dependencies. The verify_traceability()</t>
  </si>
  <si>
    <t>function validates this registry against actual formulas.</t>
  </si>
  <si>
    <t>Model Assumptions (Single Source of Truth)</t>
  </si>
  <si>
    <t>A. Timing Parameters</t>
  </si>
  <si>
    <t>Treatment season timing that determines the operational window for wetland treatment.</t>
  </si>
  <si>
    <t>Define the active treatment period for financial projections</t>
  </si>
  <si>
    <t>- Treatment season aligned with Alberta weather patterns (May-September)
- Season length directly impacts annual value capture potential</t>
  </si>
  <si>
    <t>Standard Alberta treatment wetland operational calendar</t>
  </si>
  <si>
    <t>tbl_Seasonality, tbl_Timeline</t>
  </si>
  <si>
    <t>Unit</t>
  </si>
  <si>
    <t>Notes</t>
  </si>
  <si>
    <t>Season_Start_Month</t>
  </si>
  <si>
    <t>month</t>
  </si>
  <si>
    <t>May</t>
  </si>
  <si>
    <t>Season_Start_Day</t>
  </si>
  <si>
    <t>day</t>
  </si>
  <si>
    <t>Mid-May</t>
  </si>
  <si>
    <t>Season_End_Month</t>
  </si>
  <si>
    <t>September</t>
  </si>
  <si>
    <t>Season_End_Day</t>
  </si>
  <si>
    <t>Mid-September</t>
  </si>
  <si>
    <t>Treatment_Days</t>
  </si>
  <si>
    <t>days</t>
  </si>
  <si>
    <t>Active season length</t>
  </si>
  <si>
    <t>Seasonality Index</t>
  </si>
  <si>
    <t>Monthly activity multipliers reflecting natural treatment capacity variation across the season.</t>
  </si>
  <si>
    <t>Weight value calculations by month based on treatment capacity patterns</t>
  </si>
  <si>
    <t>- Peak activity in June-July matches optimal treatment temperatures
- Ramp-up in May and decline in September reflect shoulder seasons</t>
  </si>
  <si>
    <t>Kearl pilot operational data patterns</t>
  </si>
  <si>
    <t>tbl_Timing, tbl_Timeline</t>
  </si>
  <si>
    <t>Month</t>
  </si>
  <si>
    <t>Month_Num</t>
  </si>
  <si>
    <t>Multiplier</t>
  </si>
  <si>
    <t>Activity</t>
  </si>
  <si>
    <t>Ramp-up</t>
  </si>
  <si>
    <t>June</t>
  </si>
  <si>
    <t>Peak</t>
  </si>
  <si>
    <t>July</t>
  </si>
  <si>
    <t>August</t>
  </si>
  <si>
    <t>Slight decline</t>
  </si>
  <si>
    <t>Decline</t>
  </si>
  <si>
    <t>B. Site Configuration</t>
  </si>
  <si>
    <t>Physical wetland parameters that define treatment capacity and value per unit.</t>
  </si>
  <si>
    <t>Establish the operational scale for all calculations</t>
  </si>
  <si>
    <t>- Standard 1.0 ha design based on Kearl pilot scaling
- HLR of 0.05 m3/m2/day is conservative for constructed wetlands</t>
  </si>
  <si>
    <t>Kearl pilot scaling (0.76 ha) extrapolated to standard design</t>
  </si>
  <si>
    <t>tbl_TreatmentKinetics</t>
  </si>
  <si>
    <t>Source</t>
  </si>
  <si>
    <t>WetlandAreaHa</t>
  </si>
  <si>
    <t>ha</t>
  </si>
  <si>
    <t>Standard design (Kearl pilot = 0.76 ha)</t>
  </si>
  <si>
    <t>TreatmentCells</t>
  </si>
  <si>
    <t>count</t>
  </si>
  <si>
    <t>Multi-cell design</t>
  </si>
  <si>
    <t>AnnualThroughputM3</t>
  </si>
  <si>
    <t>m3/yr</t>
  </si>
  <si>
    <t>HLR = 0.05 m3/m2/day</t>
  </si>
  <si>
    <t>ValuePerM3</t>
  </si>
  <si>
    <t>$/m3</t>
  </si>
  <si>
    <t>$250K/yr / 50K m3/yr (Section 6)</t>
  </si>
  <si>
    <t>C. Cost Parameters</t>
  </si>
  <si>
    <t>Operational cost assumptions for labor, penalties, and downtime.</t>
  </si>
  <si>
    <t>Enable cost-benefit calculations for testing options</t>
  </si>
  <si>
    <t>- Labor costs include all direct operational expenses
- Regulatory penalty reflects typical EPEA violation costs</t>
  </si>
  <si>
    <t>Industry estimates from Financial Model Framework v2.1</t>
  </si>
  <si>
    <t>tbl_CostCalc</t>
  </si>
  <si>
    <t>LaborPerDay</t>
  </si>
  <si>
    <t>$/day</t>
  </si>
  <si>
    <t>RegulatoryPenalty</t>
  </si>
  <si>
    <t>$</t>
  </si>
  <si>
    <t>DowntimeCostPerDay</t>
  </si>
  <si>
    <t>D. Learning Curve</t>
  </si>
  <si>
    <t>Year-over-year efficiency multipliers reflecting operational maturity progression.</t>
  </si>
  <si>
    <t>Discount early-year value to account for pilot learning and optimization</t>
  </si>
  <si>
    <t>- Year 1 at 50% reflects pilot learning phase
- Full maturity (100%) achieved by Year 3</t>
  </si>
  <si>
    <t>Standard industrial learning curve for new process technology</t>
  </si>
  <si>
    <t>tbl_Timeline, tbl_GatedValues</t>
  </si>
  <si>
    <t>Year</t>
  </si>
  <si>
    <t>Pilot learning</t>
  </si>
  <si>
    <t>Initial optimization</t>
  </si>
  <si>
    <t>Full maturity</t>
  </si>
  <si>
    <t>Steady state</t>
  </si>
  <si>
    <t>E. Test Options</t>
  </si>
  <si>
    <t>Testing method specifications including frequency, cost, and result latency.</t>
  </si>
  <si>
    <t>Compare HRMS lab testing vs real-time biosensor monitoring approaches</t>
  </si>
  <si>
    <t>- HRMS costs include lab fees and sample logistics
- Biosensor costs assume deployed hardware and consumables
- Latency includes sample processing and reporting time</t>
  </si>
  <si>
    <t>HRMS: Commercial lab quotes; Biosensor: Luminous device specifications</t>
  </si>
  <si>
    <t>tbl_LatencyGating, tbl_CostCalc</t>
  </si>
  <si>
    <t>Option</t>
  </si>
  <si>
    <t>Method</t>
  </si>
  <si>
    <t>Interval</t>
  </si>
  <si>
    <t>Points</t>
  </si>
  <si>
    <t>Cost_Per_Test</t>
  </si>
  <si>
    <t>Latency_Days</t>
  </si>
  <si>
    <t>Monthly_HRMS</t>
  </si>
  <si>
    <t>Weekly_HRMS</t>
  </si>
  <si>
    <t>Biosensor</t>
  </si>
  <si>
    <t>Latency Gating (Calculated)</t>
  </si>
  <si>
    <t>Calculated gate status showing which testing options can capture each value scenario.</t>
  </si>
  <si>
    <t>Determine ENABLED/BLOCKED status based on latency vs required response time</t>
  </si>
  <si>
    <t>- ENABLED if testing latency &lt;= scenario required response days
- BLOCKED if testing latency &gt; scenario required response days
- Gates determine whether value can be captured</t>
  </si>
  <si>
    <t>Calculated from tbl_TestOptions latency vs tbl_ValueScenarios requirements</t>
  </si>
  <si>
    <t>tbl_TestOptions, tbl_ValueScenarios, tbl_GatedValues</t>
  </si>
  <si>
    <t>S1_Gate</t>
  </si>
  <si>
    <t>S2_Gate</t>
  </si>
  <si>
    <t>S3_Gate</t>
  </si>
  <si>
    <t>S4_Gate</t>
  </si>
  <si>
    <t>F. VALIDATION LISTS</t>
  </si>
  <si>
    <t>Testing_Options</t>
  </si>
  <si>
    <t>Scenarios</t>
  </si>
  <si>
    <t>Conservative</t>
  </si>
  <si>
    <t>Optimistic</t>
  </si>
  <si>
    <t>G. MC ANCHOR</t>
  </si>
  <si>
    <t>MC_Anchor --&gt;</t>
  </si>
  <si>
    <t>H. Treatment Kinetics</t>
  </si>
  <si>
    <t>NAFC removal rate parameters from Kearl 2022 pilot field data.</t>
  </si>
  <si>
    <t>Model treatment progression and time-to-compliance calculations</t>
  </si>
  <si>
    <t>- Biphasic removal: rapid initial phase (Days 0-15) then slower steady state
- Rates calibrated from Vander Meulen &amp; Headley (2024) GROW presentation</t>
  </si>
  <si>
    <t>Kearl 2022 pilot data - Vander Meulen &amp; Headley GROW presentation</t>
  </si>
  <si>
    <t>tbl_ToxicityMilestones, tbl_Stochastic</t>
  </si>
  <si>
    <t>mg/L</t>
  </si>
  <si>
    <t>Kearl 2022 Day 0 concentration</t>
  </si>
  <si>
    <t>Regulatory threshold for non-toxicity</t>
  </si>
  <si>
    <t>mg/L/day</t>
  </si>
  <si>
    <t>Kearl Days 0-15 (R^2=0.43)</t>
  </si>
  <si>
    <t>Kearl Days 30-69 (R^2=0.50)</t>
  </si>
  <si>
    <t>Duration of rapid removal phase</t>
  </si>
  <si>
    <t>Standard wetland recirculation</t>
  </si>
  <si>
    <t>System_Capacity</t>
  </si>
  <si>
    <t>m3</t>
  </si>
  <si>
    <t>Kearl 4-bay system volume</t>
  </si>
  <si>
    <t>I. Toxicity Milestones</t>
  </si>
  <si>
    <t>Fathead minnow embryo survival endpoints marking treatment progress toward non-toxicity.</t>
  </si>
  <si>
    <t>Define compliance milestones for treatment effectiveness tracking</t>
  </si>
  <si>
    <t>- LC50 at Day 14 marks start of toxicity reduction
- Non-toxic threshold (&gt;90% survival) typically achieved by Day 42</t>
  </si>
  <si>
    <t>Parrott Lab (Burlington) fathead minnow embryo bioassays</t>
  </si>
  <si>
    <t>Milestone</t>
  </si>
  <si>
    <t>Days</t>
  </si>
  <si>
    <t>Survival</t>
  </si>
  <si>
    <t>Day_LC50</t>
  </si>
  <si>
    <t>50%</t>
  </si>
  <si>
    <t>1 recirculation cycle - LC50 threshold</t>
  </si>
  <si>
    <t>Day_80_Survival</t>
  </si>
  <si>
    <t>80-90%</t>
  </si>
  <si>
    <t>2 recirculation cycles</t>
  </si>
  <si>
    <t>Day_Nontoxic</t>
  </si>
  <si>
    <t>&gt;90%</t>
  </si>
  <si>
    <t>3 cycles - equivalent to negative control</t>
  </si>
  <si>
    <t>Environmental Driver Profiles</t>
  </si>
  <si>
    <t>Environmental Drivers</t>
  </si>
  <si>
    <t>Monthly profiles for key environmental variables affecting treatment kinetics.
Temperature drives Q10 rate modifier (rates double per 10C above 20C).
UV intensity affects photodegradation rates.
Dissolved oxygen controls aerobic biodegradation.
Nutrient availability influences microbial activity.
Bioavailability accounts for sorption and binding effects.</t>
  </si>
  <si>
    <t>Variable</t>
  </si>
  <si>
    <t>Jun</t>
  </si>
  <si>
    <t>Jul</t>
  </si>
  <si>
    <t>Aug</t>
  </si>
  <si>
    <t>Sep</t>
  </si>
  <si>
    <t>Temp_Water</t>
  </si>
  <si>
    <t>C</t>
  </si>
  <si>
    <t>Water temperature - Q10 driver</t>
  </si>
  <si>
    <t>UV_Relative</t>
  </si>
  <si>
    <t>0-1</t>
  </si>
  <si>
    <t>Relative UV intensity</t>
  </si>
  <si>
    <t>DO_Typical</t>
  </si>
  <si>
    <t>Dissolved oxygen</t>
  </si>
  <si>
    <t>Nutrient_Index</t>
  </si>
  <si>
    <t>Nutrient availability</t>
  </si>
  <si>
    <t>Bioavail_Index</t>
  </si>
  <si>
    <t>Bioavailability factor</t>
  </si>
  <si>
    <t>Ionic Parameters (Compliance Gates)</t>
  </si>
  <si>
    <t>Min</t>
  </si>
  <si>
    <t>Mode</t>
  </si>
  <si>
    <t>Max</t>
  </si>
  <si>
    <t>Threshold</t>
  </si>
  <si>
    <t>Direction</t>
  </si>
  <si>
    <t>Chloride</t>
  </si>
  <si>
    <t>below</t>
  </si>
  <si>
    <t>Aquatic life threshold</t>
  </si>
  <si>
    <t>SAR</t>
  </si>
  <si>
    <t>ratio</t>
  </si>
  <si>
    <t>Land application limit</t>
  </si>
  <si>
    <t>Sulfate</t>
  </si>
  <si>
    <t>Process water indicator</t>
  </si>
  <si>
    <t>DO_Compliance</t>
  </si>
  <si>
    <t>above</t>
  </si>
  <si>
    <t>Minimum for discharge</t>
  </si>
  <si>
    <t>Current Site Profile:</t>
  </si>
  <si>
    <t>Kearl</t>
  </si>
  <si>
    <t>(from config/sites/kearl.yaml)</t>
  </si>
  <si>
    <t>Value Scenario Definitions</t>
  </si>
  <si>
    <t>Four value streams enabled by biosensor monitoring that HRMS testing cannot capture due to latency constraints.</t>
  </si>
  <si>
    <t>Quantify the annual financial benefit of each operational improvement enabled by real-time monitoring</t>
  </si>
  <si>
    <t>- Values are additive (a single biosensor deployment captures all four simultaneously)
- Base values calibrated from $250K/year total operational value allocation
- Required response days based on operational decision-making windows
- HRMS 42-day latency blocks all scenarios; biosensor 1-day latency enables all</t>
  </si>
  <si>
    <t>Financial Model Framework v2.1 - operational value allocation</t>
  </si>
  <si>
    <t>tbl_ModelScenarios, tbl_GatedValues, tbl_LatencyGating</t>
  </si>
  <si>
    <t>ID</t>
  </si>
  <si>
    <t>Name</t>
  </si>
  <si>
    <t>Base_Value</t>
  </si>
  <si>
    <t>Required_Response_Days</t>
  </si>
  <si>
    <t>S1</t>
  </si>
  <si>
    <t>Season Extension</t>
  </si>
  <si>
    <t>Temperature-based vs calendar shutdown</t>
  </si>
  <si>
    <t>S2</t>
  </si>
  <si>
    <t>Intervention Avoidance</t>
  </si>
  <si>
    <t>Prevented false-positive interventions</t>
  </si>
  <si>
    <t>S3</t>
  </si>
  <si>
    <t>Spatial Routing</t>
  </si>
  <si>
    <t>Route to high-performing cells</t>
  </si>
  <si>
    <t>S4</t>
  </si>
  <si>
    <t>Early Detection</t>
  </si>
  <si>
    <t>Reduced bio-assay costs</t>
  </si>
  <si>
    <t>Model Scenarios</t>
  </si>
  <si>
    <t>Parameter adjustments for conservative, base, and optimistic financial projections.</t>
  </si>
  <si>
    <t>Enable sensitivity analysis by adjusting discount rate, growth rate, and risk factors</t>
  </si>
  <si>
    <t>- Base scenario uses unadjusted parameters from model inputs
- Conservative adds higher discount (+0.4%), lower growth (-2%), higher risk (+10%)
- Optimistic uses lower discount (-0.3%), higher growth (+1%), lower risk (-10%)</t>
  </si>
  <si>
    <t>Standard financial modeling practice - scenario analysis parameters</t>
  </si>
  <si>
    <t>tbl_ValueScenarios, tbl_Sensitivity</t>
  </si>
  <si>
    <t>Discount_Adj</t>
  </si>
  <si>
    <t>Growth_Adj</t>
  </si>
  <si>
    <t>Risk_Adj</t>
  </si>
  <si>
    <t>Monte Carlo Distribution Parameters</t>
  </si>
  <si>
    <t>Triangular Distributions</t>
  </si>
  <si>
    <t>Monte Carlo input parameters using triangular probability distributions for key uncertain variables.</t>
  </si>
  <si>
    <t>Define the uncertainty ranges for stochastic variables that drive value scenario calculations</t>
  </si>
  <si>
    <t>- Triangular distribution selected for interpretability with stakeholders
- Min/Max represent 10th/90th percentile expert estimates, not absolute bounds
- Mode represents the most likely value (base case assumption)
- Variables are assumed independent (no correlation modeled)</t>
  </si>
  <si>
    <t>Expert judgment calibrated against Financial Model Framework v2.1</t>
  </si>
  <si>
    <t>tbl_Stochastic, tbl_GatedValues, tbl_ValueScenarios</t>
  </si>
  <si>
    <t>Units</t>
  </si>
  <si>
    <t>Season_Extension_Days</t>
  </si>
  <si>
    <t>Extension_Value_Per_Day</t>
  </si>
  <si>
    <t>Interventions_Avoided</t>
  </si>
  <si>
    <t>events</t>
  </si>
  <si>
    <t>Treatment_Rate_Factor</t>
  </si>
  <si>
    <t>multiplier</t>
  </si>
  <si>
    <t>Beta Distributions</t>
  </si>
  <si>
    <t>Monte Carlo input parameters using beta distributions for bounded percentage variables.</t>
  </si>
  <si>
    <t>Model uncertainty in efficiency and probability parameters that must stay within 0-100% bounds</t>
  </si>
  <si>
    <t>- Beta distribution ensures values stay within specified bounds
- Alpha/Beta parameters shape the distribution skewness
- Used for variables that represent percentages or bounded factors</t>
  </si>
  <si>
    <t>Expert judgment for efficiency and probability estimates</t>
  </si>
  <si>
    <t>tbl_Triangular, tbl_Stochastic</t>
  </si>
  <si>
    <t>Alpha</t>
  </si>
  <si>
    <t>Beta</t>
  </si>
  <si>
    <t>Efficiency_Gain</t>
  </si>
  <si>
    <t>%</t>
  </si>
  <si>
    <t>Value Per M3 Sensitivity Frames</t>
  </si>
  <si>
    <t>Alternative value framing approaches for sensitivity analysis and stakeholder communication.</t>
  </si>
  <si>
    <t>Provide multiple perspectives on value per cubic meter of treated water</t>
  </si>
  <si>
    <t>- Operational frame: Direct operational cost savings
- Avoided Treatment frame: Value of alternatives not needed
- ARO Liability frame: Asset retirement obligation cost reduction (Zhang 2026)
- Values are illustrative ranges for framing discussions</t>
  </si>
  <si>
    <t>Zhang (2026) analysis for ARO frame; operational estimates for others</t>
  </si>
  <si>
    <t>tbl_ValueScenarios, tbl_KPIs</t>
  </si>
  <si>
    <t>Frame</t>
  </si>
  <si>
    <t>Low</t>
  </si>
  <si>
    <t>High</t>
  </si>
  <si>
    <t>Context</t>
  </si>
  <si>
    <t>Operational</t>
  </si>
  <si>
    <t>Direct operational benefit</t>
  </si>
  <si>
    <t>Avoided Treatment</t>
  </si>
  <si>
    <t>Alternative treatment costs</t>
  </si>
  <si>
    <t>ARO Liability</t>
  </si>
  <si>
    <t>Zhang (2026) analysis</t>
  </si>
  <si>
    <t>Projection Timeline</t>
  </si>
  <si>
    <t>Understanding the Timeline</t>
  </si>
  <si>
    <t>This sheet generates the projection timeline used throughout the model.
Key outputs:
- Year numbers (1-5) based on Projection_Years setting
- Calendar years starting from Base_Year
- Month indices for seasonal calculations
The timeline drives all time-dependent calculations in sheets 8-15.
Changing Projection_Years or Base_Year in 1_TOC updates this timeline.</t>
  </si>
  <si>
    <t>Year-by-year projection timeline with seasonal month breakdown and learning curve factors.</t>
  </si>
  <si>
    <t>Generate the time dimension for all financial calculations</t>
  </si>
  <si>
    <t>- Projection starts at Base_Year and extends for Projection_Years
- Each year contains 12 months with season flags
- Learning curve multiplier applied from tbl_LearningCurve</t>
  </si>
  <si>
    <t>Generated from 1_TOC control parameters</t>
  </si>
  <si>
    <t>tbl_LearningCurve, tbl_Seasonality, tbl_Annual</t>
  </si>
  <si>
    <t>Year_Index</t>
  </si>
  <si>
    <t>Calendar_Year</t>
  </si>
  <si>
    <t>Discount_Factor</t>
  </si>
  <si>
    <t>Learning_Mult</t>
  </si>
  <si>
    <t>Treatment Kinetics (Kearl 2022)</t>
  </si>
  <si>
    <t>Source: Vander Meulen &amp; Headley (2024) GROW</t>
  </si>
  <si>
    <t>Metric</t>
  </si>
  <si>
    <t>Formula</t>
  </si>
  <si>
    <t>'=Rapid_Phase_Rate * Stoch_TreatmentRate</t>
  </si>
  <si>
    <t>'=Slow_Phase_Rate * Stoch_TreatmentRate</t>
  </si>
  <si>
    <t>'=MAX(0, Initial - Rate * Duration)</t>
  </si>
  <si>
    <t>Two-phase calculation</t>
  </si>
  <si>
    <t>Circulation_Cycles</t>
  </si>
  <si>
    <t>'=CEILING(Days / Cycle, 1)</t>
  </si>
  <si>
    <t>cycles</t>
  </si>
  <si>
    <t>Treatment_Efficiency</t>
  </si>
  <si>
    <t>'=(Initial - Target) / Initial</t>
  </si>
  <si>
    <t>Compliance_Status</t>
  </si>
  <si>
    <t>Achievable within season?</t>
  </si>
  <si>
    <t>status</t>
  </si>
  <si>
    <t>Treatment Kinetics Modifiers</t>
  </si>
  <si>
    <t>Kinetics Cascade</t>
  </si>
  <si>
    <t>Environmental rate modifiers cascade to produce Effective_Rate.
Q10: Temperature coefficient (rate doubles per 10C above reference).
UV: Photodegradation modifier (reduced by turbidity).
DO: Aerobic biodegradation modifier (full above 6.5 mg/L).
Nutrient/Bioavail: Substrate availability modifiers.</t>
  </si>
  <si>
    <t>Modifier</t>
  </si>
  <si>
    <t>Q10_Factor</t>
  </si>
  <si>
    <t>T=20C gives 1.0, T=30C gives 2.0</t>
  </si>
  <si>
    <t>UV_Modifier</t>
  </si>
  <si>
    <t>UV intensity adjusted for turbidity</t>
  </si>
  <si>
    <t>DO_Modifier</t>
  </si>
  <si>
    <t>Full rate above 6.5 mg/L</t>
  </si>
  <si>
    <t>Nutrient_Modifier</t>
  </si>
  <si>
    <t>Nutrient availability factor</t>
  </si>
  <si>
    <t>Bioavail_Modifier</t>
  </si>
  <si>
    <t>Adjusted for clay sorption</t>
  </si>
  <si>
    <t>Combined Rate Calculation</t>
  </si>
  <si>
    <t>Effective_Rate</t>
  </si>
  <si>
    <t>Combined effective treatment rate</t>
  </si>
  <si>
    <t>Rate_vs_Baseline</t>
  </si>
  <si>
    <t>Effective vs baseline rate</t>
  </si>
  <si>
    <t>Stochastic Variables</t>
  </si>
  <si>
    <t>(Press F9 to recalculate random draws)</t>
  </si>
  <si>
    <t>Monte Carlo Random Variables</t>
  </si>
  <si>
    <t>This sheet generates random variables for Monte Carlo simulation.
Each variable uses a triangular distribution defined in 5_ServiceModels:
- Min: Worst-case value
- Mode: Most likely value
- Max: Best-case value
The RAND() functions recalculate when you press F9 or Ctrl+Alt+F9.
Sheet 10_Calc_Sim captures 1000 iterations via Excel Data Tables.
Important: These values change on every recalculation. The simulation
statistics (P10, P50, P90) in the Dashboard are calculated from the
1000 captured iterations, not from individual cell values.</t>
  </si>
  <si>
    <t>Random variable generation using triangular distributions for Monte Carlo simulation.</t>
  </si>
  <si>
    <t>Generate stochastic multipliers that vary across simulation iterations</t>
  </si>
  <si>
    <t>- Uses triangular distribution parameters from 5_ServiceModels
- RAND() functions recalculate on spreadsheet refresh
- Values captured by Data Table in 10_Calc_Sim for 1000 iterations</t>
  </si>
  <si>
    <t>Distribution parameters from tbl_Triangular and tbl_Beta</t>
  </si>
  <si>
    <t>tbl_Triangular, tbl_Beta, tbl_GatedValues</t>
  </si>
  <si>
    <t>Random_U</t>
  </si>
  <si>
    <t>Realized_Value</t>
  </si>
  <si>
    <t>Season_Extension</t>
  </si>
  <si>
    <t>Extension_Value</t>
  </si>
  <si>
    <t>Compliance Gate Matrix</t>
  </si>
  <si>
    <t>Compliance Gates</t>
  </si>
  <si>
    <t>13-variable compliance gates for water release qualification.
Each gate returns 1 (PASS) or 0 (FAIL) as numeric value.
Master_Gate_Status = MIN(all gates) - 0 if ANY gate fails.
Numeric gates enable: value gating, fractional compliance (future).
Gate thresholds defined in 5_EnvironmentalDrivers.</t>
  </si>
  <si>
    <t>Gate</t>
  </si>
  <si>
    <t>Status</t>
  </si>
  <si>
    <t>Toxicity</t>
  </si>
  <si>
    <t>Baseline +/- 5%</t>
  </si>
  <si>
    <t>within</t>
  </si>
  <si>
    <t>Toxicity baseline</t>
  </si>
  <si>
    <t>&lt; 230 mg/L</t>
  </si>
  <si>
    <t>Aquatic life protection</t>
  </si>
  <si>
    <t>&lt; 4.0</t>
  </si>
  <si>
    <t>Land application</t>
  </si>
  <si>
    <t>DO</t>
  </si>
  <si>
    <t>&gt; 6.5 mg/L</t>
  </si>
  <si>
    <t>Minimum oxygen</t>
  </si>
  <si>
    <t>pH_Low</t>
  </si>
  <si>
    <t>&gt; 6.5</t>
  </si>
  <si>
    <t>pH lower limit</t>
  </si>
  <si>
    <t>pH_High</t>
  </si>
  <si>
    <t>&lt; 8.5</t>
  </si>
  <si>
    <t>pH upper limit</t>
  </si>
  <si>
    <t>&lt; 500 mg/L</t>
  </si>
  <si>
    <t>Temperature</t>
  </si>
  <si>
    <t>&lt; 25 C</t>
  </si>
  <si>
    <t>Thermal discharge</t>
  </si>
  <si>
    <t>&lt; Target</t>
  </si>
  <si>
    <t>Treatment complete</t>
  </si>
  <si>
    <t>Turbidity</t>
  </si>
  <si>
    <t>&lt; 100 NTU</t>
  </si>
  <si>
    <t>Sediment control</t>
  </si>
  <si>
    <t>Oil_Sheen</t>
  </si>
  <si>
    <t>None visible</t>
  </si>
  <si>
    <t>absent</t>
  </si>
  <si>
    <t>Visual inspection</t>
  </si>
  <si>
    <t>Odor</t>
  </si>
  <si>
    <t>None detected</t>
  </si>
  <si>
    <t>Sensory inspection</t>
  </si>
  <si>
    <t>Foam</t>
  </si>
  <si>
    <t>None persistent</t>
  </si>
  <si>
    <t>Surface condition</t>
  </si>
  <si>
    <t>Master Gate Status</t>
  </si>
  <si>
    <t>Master_Gate_Status</t>
  </si>
  <si>
    <t>Gates Passing</t>
  </si>
  <si>
    <t>of 13</t>
  </si>
  <si>
    <t>Gates Failing</t>
  </si>
  <si>
    <t>Gated Value Calculations</t>
  </si>
  <si>
    <t>Understanding Gated Value Calculations</t>
  </si>
  <si>
    <t>This sheet calculates value that HRMS testing CANNOT capture due to its
42-day latency. Each scenario requires a response faster than HRMS allows.
The "Gating" Logic:
- HRMS has 42-day turnaround from sample to results
- All four scenarios require decisions within 3-14 days
- Therefore, HRMS is always BLOCKED; Biosensor (1-day) is ENABLED
Value Calculation:
- Gated_Value = Base_Value x Stoch_Mult (if ENABLED)
- Gated_Value = $0 (if BLOCKED)
Since the selected Testing_Option is Biosensor (1-day latency), all
scenarios are ENABLED and contribute value. If HRMS were selected,
all would be BLOCKED and total value would be $0.</t>
  </si>
  <si>
    <t>Scenario values after applying latency gating logic and stochastic multipliers.</t>
  </si>
  <si>
    <t>Calculate the actual value captured based on testing option's ability to meet response time requirements</t>
  </si>
  <si>
    <t>- Gate status determined by comparing testing latency to required response time
- ENABLED scenarios: Gated_Value = Base_Value x Stoch_Mult
- BLOCKED scenarios: Gated_Value = $0 (value cannot be captured)
- Stochastic multipliers vary each Monte Carlo iteration</t>
  </si>
  <si>
    <t>Calculated from tbl_ValueScenarios, tbl_LatencyGating, and tbl_Stochastic</t>
  </si>
  <si>
    <t>tbl_ValueScenarios, tbl_LatencyGating, tbl_Stochastic, tbl_ScenarioBreakdown</t>
  </si>
  <si>
    <t>Gate_Status</t>
  </si>
  <si>
    <t>Stoch_Mult</t>
  </si>
  <si>
    <t>Gated_Value</t>
  </si>
  <si>
    <t>S1_Season_Extension</t>
  </si>
  <si>
    <t>S2_Intervention_Avoidance</t>
  </si>
  <si>
    <t>S3_Spatial_Routing</t>
  </si>
  <si>
    <t>S4_Early_Detection</t>
  </si>
  <si>
    <t>Total_Gross_Value</t>
  </si>
  <si>
    <t>Cost Calculations</t>
  </si>
  <si>
    <t>Understanding Cost Calculations</t>
  </si>
  <si>
    <t>This sheet calculates the annual cost of the selected testing approach.
Cost Components:
- Testing frequency: How often samples are taken (daily vs weekly vs monthly)
- Sample points: Number of locations monitored per test event
- Cost per test: Lab analysis cost for HRMS or sensor cost for Biosensor
- Season length: Number of active treatment days per year
Formula: Annual_Cost = (Season_Days / Test_Interval) x Sample_Points x Cost_Per_Test
The testing option parameters come from 3_Assumptions (Test Options table).
Biosensor has higher frequency but much lower cost per test, resulting
in comparable or lower total annual costs with far better data resolution.</t>
  </si>
  <si>
    <t>Cost Calculation</t>
  </si>
  <si>
    <t>Annual testing cost breakdown for the selected monitoring approach.</t>
  </si>
  <si>
    <t>Calculate total cost of testing to include in ROI and NPV calculations</t>
  </si>
  <si>
    <t>- Cost = (Season_Days / Test_Interval) x Sample_Points x Cost_Per_Test
- Parameters looked up from tbl_TestOptions based on selected option</t>
  </si>
  <si>
    <t>Calculated from tbl_TestOptions parameters</t>
  </si>
  <si>
    <t>tbl_TestOptions, tbl_CostParams, tbl_Annual</t>
  </si>
  <si>
    <t>Component</t>
  </si>
  <si>
    <t>Selected_Option</t>
  </si>
  <si>
    <t>Interval_Days</t>
  </si>
  <si>
    <t>INDEX/MATCH</t>
  </si>
  <si>
    <t>Monitoring_Points</t>
  </si>
  <si>
    <t>Events_Per_Season</t>
  </si>
  <si>
    <t>Season_Length / Interval</t>
  </si>
  <si>
    <t>Total_Tests</t>
  </si>
  <si>
    <t>Events * Points</t>
  </si>
  <si>
    <t>Season_Testing_Cost</t>
  </si>
  <si>
    <t>Total_Tests * Cost_Per_Test</t>
  </si>
  <si>
    <t>Monte Carlo Simulation (1000 iterations)</t>
  </si>
  <si>
    <t>Running the Monte Carlo Simulation</t>
  </si>
  <si>
    <t>This sheet captures 1000 iterations using Excel's Data Table feature.
SETUP INSTRUCTIONS:
1. Select the data range A5:I1005 (headers + 1000 rows)
2. Go to Data &gt; What-If Analysis &gt; Data Table
3. Leave "Row input cell" blank
4. For "Column input cell" enter: $K$1 (any blank cell on this sheet)
5. Click OK
HOW IT WORKS:
- Excel recalculates the model 1000 times
- Each row captures one iteration's outputs (NPV, scenario values, costs)
- The Data Table forces RAND() functions to regenerate each iteration
- Results are stored as values, not formulas
RECALCULATING:
- Press Ctrl+Alt+F9 to force full recalculation
- This regenerates all 1000 iterations (may take several seconds)
- Standard F9 only recalculates changed cells
OUTPUT STATISTICS:
- Expected NPV: Mean of 1000 iterations
- P10/P50/P90: Percentile values for confidence intervals
- Prob(NPV&gt;0): Percentage of iterations with positive NPV</t>
  </si>
  <si>
    <t>Select A8:I1008 &gt; Data &gt; What-If Analysis &gt; Data Table</t>
  </si>
  <si>
    <t>Column Input Cell: $K$1 (blank cell on this sheet)</t>
  </si>
  <si>
    <t>Iteration</t>
  </si>
  <si>
    <t>Cost</t>
  </si>
  <si>
    <t>Net</t>
  </si>
  <si>
    <t>Monte Carlo Statistics</t>
  </si>
  <si>
    <t>Expected NPV</t>
  </si>
  <si>
    <t>P10 NPV</t>
  </si>
  <si>
    <t>P50 NPV (Median)</t>
  </si>
  <si>
    <t>P90 NPV</t>
  </si>
  <si>
    <t>StdDev</t>
  </si>
  <si>
    <t>Prob(NPV&gt;0)</t>
  </si>
  <si>
    <t>Treatment Kinetics Statistics</t>
  </si>
  <si>
    <t>Expected Days to Compliance</t>
  </si>
  <si>
    <t>P10 Days (optimistic)</t>
  </si>
  <si>
    <t>P50 Days (median)</t>
  </si>
  <si>
    <t>P90 Days (conservative)</t>
  </si>
  <si>
    <t>Prob(Achievable in Season)</t>
  </si>
  <si>
    <t>Monthly P&amp;L (Placeholder)</t>
  </si>
  <si>
    <t>Monthly P&amp;L View</t>
  </si>
  <si>
    <t>This sheet is a placeholder for future monthly P&amp;L projections.
CURRENT STATUS: Not implemented in this version.
FUTURE USE CASES:
- Monthly cash flow timing for working capital analysis
- Seasonal revenue recognition patterns
- Monthly cost accruals
- Intra-year variance analysis
The model currently uses annual projections (12_PL_Annual) as the
primary financial view. Monthly detail would add complexity without
significant benefit for the current valuation use case.
If monthly detail is needed, the structure should mirror 12_PL_Annual
with columns for each month and rows for:
- Gross Value by scenario
- Testing costs
- Operating expenses
- Net monthly benefit</t>
  </si>
  <si>
    <t>Annual Projections</t>
  </si>
  <si>
    <t>Annual Financial Projections</t>
  </si>
  <si>
    <t>This sheet projects annual value capture over the planning horizon.
KEY CALCULATIONS:
- Gross Value: Sum of gated scenario values from 8_Calc_Value
- Learning Curve: Year 1 at 50%, Year 2 at 75%, Year 3+ at 100%
- Adjusted Value: Gross Value x Learning Curve Multiplier
- Net Value: Adjusted Value - Testing Costs
- NPV: Discounted sum using rate from 1_TOC
LEARNING CURVE RATIONALE:
Year 1 (50%): Pilot learning, process establishment
Year 2 (75%): Initial optimization, expanded coverage
Year 3+ (100%): Full operational maturity, steady state
The learning curve can be adjusted in 3_Assumptions Section D.
Conservative default reflects typical technology adoption patterns.</t>
  </si>
  <si>
    <t>Year-by-year financial projections with learning curve adjustments and NPV calculations.</t>
  </si>
  <si>
    <t>Project multi-year value capture for ROI and NPV analysis</t>
  </si>
  <si>
    <t>- Learning curve applied: Year 1 (50%), Year 2 (75%), Year 3+ (100%)
- Discount rate from 1_TOC applied to all future cash flows
- Testing costs deducted annually based on selected approach</t>
  </si>
  <si>
    <t>Calculated from tbl_GatedValues, tbl_LearningCurve, tbl_CostCalc</t>
  </si>
  <si>
    <t>tbl_GatedValues, tbl_LearningCurve, tbl_CostCalc, tbl_CashFlow</t>
  </si>
  <si>
    <t>S1_Value</t>
  </si>
  <si>
    <t>S2_Value</t>
  </si>
  <si>
    <t>S3_Value</t>
  </si>
  <si>
    <t>S4_Value</t>
  </si>
  <si>
    <t>Gross_Value</t>
  </si>
  <si>
    <t>Costs</t>
  </si>
  <si>
    <t>Net_Annual</t>
  </si>
  <si>
    <t>Discounted</t>
  </si>
  <si>
    <t>Aggregate KPIs</t>
  </si>
  <si>
    <t>NPV_Total</t>
  </si>
  <si>
    <t>Total_Gross_5Yr</t>
  </si>
  <si>
    <t>Total_Net_5Yr</t>
  </si>
  <si>
    <t>Cumulative Cash Flow</t>
  </si>
  <si>
    <t>Cumulative Cash Flow Analysis</t>
  </si>
  <si>
    <t>This sheet tracks cumulative value capture over the projection horizon.
KEY METRICS:
- Cumulative Net: Running total of annual net benefits
- Cumulative NPV: Running total of discounted net benefits
- Payback Point: Year when cumulative value turns positive
USE CASES:
- Determine when investment breaks even
- Assess cash flow timing for capital planning
- Compare cumulative value vs upfront investment
Note: This model assumes no upfront capital investment for the
biosensor system (included in testing costs). For scenarios with
capital expenditure, add an initial investment row and adjust
payback calculations accordingly.</t>
  </si>
  <si>
    <t>Cash Flow Summary</t>
  </si>
  <si>
    <t>Cumulative cash flow and NPV tracking for payback analysis.</t>
  </si>
  <si>
    <t>Track when cumulative value exceeds investment for breakeven analysis</t>
  </si>
  <si>
    <t>- No upfront capital investment assumed (costs included in testing)
- Annual net values from tbl_Annual
- Cumulative NPV used for total project value</t>
  </si>
  <si>
    <t>Calculated from tbl_Annual</t>
  </si>
  <si>
    <t>tbl_Annual, tbl_KPIs</t>
  </si>
  <si>
    <t>Annual_Net</t>
  </si>
  <si>
    <t>Cumulative_Net</t>
  </si>
  <si>
    <t>Cumulative_NPV</t>
  </si>
  <si>
    <t>Unit Economics</t>
  </si>
  <si>
    <t>Per-Cubic-Meter Economics</t>
  </si>
  <si>
    <t>This sheet expresses all values on a per-m3 basis for comparability.
WHY UNIT ECONOMICS MATTER:
- Allows comparison across different site sizes
- Enables scaling estimates to new deployments
- Provides intuitive metrics for operator discussions
- Connects to industry benchmarks (treatment costs, ARO liabilities)
KEY METRICS:
- Value per m3: Total value divided by annual throughput
- Cost per m3: Testing cost divided by throughput
- Net per m3: Value minus cost per unit volume
- NPV per m3: 5-year NPV divided by total 5-year throughput
BENCHMARKS (from 2_Instructions):
- Operational value: $3-8/m3 (this model's output)
- Avoided treatment: $10-30/m3 (alternative treatment costs)
- ARO liability: $21-93/m3 (Zhang 2026 analysis)
The biosensor's value per m3 can be compared against these benchmarks
to understand its contribution relative to the total value stack.</t>
  </si>
  <si>
    <t>Per-cubic-meter economics for cross-site comparability and scaling estimates.</t>
  </si>
  <si>
    <t>Express all values on per-m3 basis for benchmarking and scaling</t>
  </si>
  <si>
    <t>- Annual throughput from tbl_SiteConfig used as denominator
- NPV values divided by 5-year total throughput
- Benchmarks from industry data and Zhang (2026) analysis</t>
  </si>
  <si>
    <t>Calculated from model outputs and 3_Assumptions throughput</t>
  </si>
  <si>
    <t>tbl_SiteConfig, tbl_Annual, tbl_KPIs</t>
  </si>
  <si>
    <t>Annual Throughput</t>
  </si>
  <si>
    <t>From 4_Assumptions</t>
  </si>
  <si>
    <t>Gross Value per Season</t>
  </si>
  <si>
    <t>Sum of S1-S4</t>
  </si>
  <si>
    <t>Testing Cost per Season</t>
  </si>
  <si>
    <t>Based on option selected</t>
  </si>
  <si>
    <t>Net Value per Season</t>
  </si>
  <si>
    <t>Gross - Testing</t>
  </si>
  <si>
    <t>Value per m3 (Gross)</t>
  </si>
  <si>
    <t>Gross / Throughput</t>
  </si>
  <si>
    <t>Value per m3 (Net)</t>
  </si>
  <si>
    <t>Net / Throughput</t>
  </si>
  <si>
    <t>Cost per m3</t>
  </si>
  <si>
    <t>Testing / Throughput</t>
  </si>
  <si>
    <t>5-Year NPV per m3</t>
  </si>
  <si>
    <t>NPV / (5yr throughput)</t>
  </si>
  <si>
    <t>Breakeven Analysis</t>
  </si>
  <si>
    <t>Testing cost per test:</t>
  </si>
  <si>
    <t>Tests per season:</t>
  </si>
  <si>
    <t>Value per test (net):</t>
  </si>
  <si>
    <t>Sensitivity Analysis</t>
  </si>
  <si>
    <t>Tornado Sensitivity Analysis</t>
  </si>
  <si>
    <t>This sheet shows how NPV changes when individual parameters vary.
METHODOLOGY:
- Each parameter is varied from Low to High while others stay at Base
- NPV is calculated at each extreme
- "Swing" = |NPV_at_High - NPV_at_Low| measures parameter influence
- Parameters are sorted by Swing (largest impact first)
INTERPRETATION:
- Parameters at top of tornado have most influence on outcomes
- Focus validation efforts on high-sensitivity parameters
- Parameters with low swing are less critical to model accuracy
KEY PARAMETERS TESTED:
- Value_Per_M3: Direct impact on operational value
- Annual_Throughput: Volume scaling factor
- Treatment_Rate_Factor: Kinetics uncertainty
- Discount_Rate: Time value of money
- Season_Length: Active treatment period
LIMITATIONS:
- One-at-a-time analysis ignores parameter correlations
- Monte Carlo simulation (10_Calc_Sim) captures joint uncertainty
- Use tornado for directional insight, MC for quantified risk</t>
  </si>
  <si>
    <t>Tornado chart data showing NPV impact when each parameter varies from low to high.</t>
  </si>
  <si>
    <t>Identify which parameters most influence outcomes for validation focus</t>
  </si>
  <si>
    <t>- One-at-a-time analysis: each parameter varied while others at base
- Swing = |NPV_at_High - NPV_at_Low| measures parameter influence
- Parameters sorted by swing (largest impact first)</t>
  </si>
  <si>
    <t>Calculated by evaluating NPV at parameter bounds</t>
  </si>
  <si>
    <t>tbl_Triangular, tbl_SiteConfig, tbl_KPIs</t>
  </si>
  <si>
    <t>NPV_at_Low</t>
  </si>
  <si>
    <t>NPV_at_High</t>
  </si>
  <si>
    <t>Swing</t>
  </si>
  <si>
    <t>Value_Per_M3</t>
  </si>
  <si>
    <t>Wetland_Area</t>
  </si>
  <si>
    <t>Methodology</t>
  </si>
  <si>
    <t>Proportional parameters: NPV scales linearly with parameter ratio (Low/Base, High/Base)</t>
  </si>
  <si>
    <t>Discount Rate: Uses time-value adjustment formula NPV * ((1+Base)/(1+Rate))^2.5</t>
  </si>
  <si>
    <t>Note: These are first-order approximations. For precise sensitivity, use Monte Carlo.</t>
  </si>
  <si>
    <t>Tornado Chart</t>
  </si>
  <si>
    <t>1. Select Parameter and Swing columns (A4:A8, G4:G8)</t>
  </si>
  <si>
    <t>2. Insert -&gt; Chart -&gt; Bar Chart (horizontal)</t>
  </si>
  <si>
    <t>3. Sort data by Swing descending for tornado effect</t>
  </si>
  <si>
    <t>Executive Dashboard</t>
  </si>
  <si>
    <t>Key Results Summary</t>
  </si>
  <si>
    <t>This dashboard presents the key outputs from the Monte Carlo simulation.
PRIMARY METRICS:
- Expected NPV: Mean of 1000 simulation iterations
- P10/P50/P90: Confidence interval bounds
- Probability NPV &gt; 0: Likelihood of positive outcome
INTERPRETATION GUIDE:
- P10 = "Pessimistic but plausible" (10% of outcomes are worse)
- P50 = Median outcome (equally likely to be higher or lower)
- P90 = "Optimistic but plausible" (10% of outcomes are better)
A narrow P10-P90 range indicates low uncertainty.
P10 &gt; 0 means even pessimistic scenarios show positive value.
REFRESH DATA:
Press Ctrl+Alt+F9 to regenerate all 1000 Monte Carlo iterations.
Dashboard values update automatically.</t>
  </si>
  <si>
    <t>Key Performance Indicators</t>
  </si>
  <si>
    <t>Primary Monte Carlo simulation outputs and financial metrics for executive decision-making.</t>
  </si>
  <si>
    <t>Provide at-a-glance summary of biosensor investment value and risk profile</t>
  </si>
  <si>
    <t>- NPV calculated over 5-year horizon with 7% discount rate
- P10/P50/P90 derived from 1000 Monte Carlo iterations
- All metrics assume Daily Biosensor as selected testing option
- Values refresh when Monte Carlo simulation is recalculated</t>
  </si>
  <si>
    <t>Calculated from 10_Calc_Sim Monte Carlo simulation results</t>
  </si>
  <si>
    <t>tbl_ScenarioBreakdown, tbl_Annual, tbl_CashFlow</t>
  </si>
  <si>
    <t>Selected Testing Option</t>
  </si>
  <si>
    <t>Expected NPV (5-Year)</t>
  </si>
  <si>
    <t>Monte Carlo P10</t>
  </si>
  <si>
    <t>Monte Carlo P50</t>
  </si>
  <si>
    <t>Monte Carlo P90</t>
  </si>
  <si>
    <t>Probability NPV &gt; 0</t>
  </si>
  <si>
    <t>Annual Testing Cost</t>
  </si>
  <si>
    <t>Year 1 Gross Value</t>
  </si>
  <si>
    <t>Year 1 Net Value</t>
  </si>
  <si>
    <t>Scenario Value Breakdown</t>
  </si>
  <si>
    <t>Individual scenario contributions to total gated value with gate status.</t>
  </si>
  <si>
    <t>Show which value scenarios are captured by the selected testing option</t>
  </si>
  <si>
    <t>- Gate status determined by testing latency vs required response time
- ENABLED means testing latency allows capturing this value
- BLOCKED means testing latency prevents capturing this value
- Values are stochastic and vary with each Monte Carlo iteration</t>
  </si>
  <si>
    <t>Calculated from 8_Calc_Value gating logic and stochastic multipliers</t>
  </si>
  <si>
    <t>tbl_KPIs, tbl_ValueScenarios, tbl_GatedValues</t>
  </si>
  <si>
    <t>NAFC degradation parameters and Monte Carlo treatment time estimates.</t>
  </si>
  <si>
    <t>Validate that biosensor-enabled treatment achieves regulatory compliance within season</t>
  </si>
  <si>
    <t>- Based on Kearl (2022) first-order kinetics model for NAFC degradation
- Initial/target NAFC concentrations from site characterization data
- Treatment rate factor varies stochastically (0.7-1.3 multiplier)
- Season length constraint of 120 days for Alberta operations</t>
  </si>
  <si>
    <t>Kearl (2022) wetland treatment kinetics research</t>
  </si>
  <si>
    <t>tbl_KPIs, tbl_Triangular, tbl_TreatmentKinetics</t>
  </si>
  <si>
    <t>Initial NAFC Concentration</t>
  </si>
  <si>
    <t>Target NAFC Concentration</t>
  </si>
  <si>
    <t>"-"</t>
  </si>
  <si>
    <t>Days to Regulatory Compliance</t>
  </si>
  <si>
    <t>Circulation Cycles Required</t>
  </si>
  <si>
    <t>Treatment Efficiency</t>
  </si>
  <si>
    <t>MC Expected Days</t>
  </si>
  <si>
    <t>MC P90 Days (conservative)</t>
  </si>
  <si>
    <t>MC Prob(Achievable)</t>
  </si>
  <si>
    <t>Testing Option Comparison</t>
  </si>
  <si>
    <t>Side-by-side comparison of gate status and value across all testing options.</t>
  </si>
  <si>
    <t>Demonstrate the value differential between HRMS and biosensor testing approaches</t>
  </si>
  <si>
    <t>- Monthly HRMS: 42-day turnaround, $60K/season
- Weekly HRMS: 42-day turnaround, $28.6K/season
- Daily Biosensor: 1-day turnaround, $10K/season
- Gate status determined by latency vs required response time</t>
  </si>
  <si>
    <t>Testing cost quotes and operational latency measurements</t>
  </si>
  <si>
    <t>tbl_KPIs, tbl_TestOptions, tbl_LatencyGating</t>
  </si>
  <si>
    <t>S1 Gate</t>
  </si>
  <si>
    <t>S2 Gate</t>
  </si>
  <si>
    <t>S3 Gate</t>
  </si>
  <si>
    <t>S4 Gate</t>
  </si>
  <si>
    <t>Testing Cost/Season</t>
  </si>
  <si>
    <t>$60,000</t>
  </si>
  <si>
    <t>$28,571</t>
  </si>
  <si>
    <t>$10,000</t>
  </si>
  <si>
    <t>Potential 5-Year NPV</t>
  </si>
  <si>
    <t>-$29k</t>
  </si>
  <si>
    <t>$180k</t>
  </si>
  <si>
    <t>$1.1M+</t>
  </si>
  <si>
    <t>Model Health</t>
  </si>
  <si>
    <t>Check Status:</t>
  </si>
  <si>
    <t>Errors Found:</t>
  </si>
  <si>
    <t>Model Validation Checks</t>
  </si>
  <si>
    <t>Model Integrity Checks</t>
  </si>
  <si>
    <t>This sheet validates model inputs and calculations.
CHECK CATEGORIES:
- Range: Input values within acceptable bounds
- Consistency: Related inputs are logically consistent
- Sanity: Output values are reasonable
- Integrity: Calculations produce expected results
INTERPRETING RESULTS:
- PASS: Check passed, no action needed
- FAIL: Issue detected, review the referenced input/output
WHAT TO DO IF CHECKS FAIL:
1. Note which check(s) failed
2. Review the description to understand the issue
3. Navigate to the relevant input (usually 1_TOC or 3_Assumptions)
4. Adjust values to bring them within valid ranges
5. Return here to confirm PASS status
AUTOMATED MONITORING:
The 0_Cover sheet shows overall model health status.
Any FAIL here will trigger the "Review 17_Checks" warning.</t>
  </si>
  <si>
    <t>Automated validation rules that verify model inputs and outputs are within acceptable ranges.</t>
  </si>
  <si>
    <t>Ensure model integrity by detecting invalid inputs, inconsistent parameters, and unreasonable outputs</t>
  </si>
  <si>
    <t>- Range checks based on reasonable operational bounds
- Sanity checks based on expected order-of-magnitude for outputs
- Consistency checks ensure related parameters are logically coherent
- PASS/FAIL status updates automatically when inputs change</t>
  </si>
  <si>
    <t>Validation rules based on domain expertise and operational constraints</t>
  </si>
  <si>
    <t>tbl_Control, tbl_KPIs, tbl_ValueScenarios</t>
  </si>
  <si>
    <t>Check_ID</t>
  </si>
  <si>
    <t>Category</t>
  </si>
  <si>
    <t>CHK001</t>
  </si>
  <si>
    <t>Range</t>
  </si>
  <si>
    <t>Discount rate between 0-15%</t>
  </si>
  <si>
    <t>CHK002</t>
  </si>
  <si>
    <t>Season length between 60-150 days</t>
  </si>
  <si>
    <t>CHK003</t>
  </si>
  <si>
    <t>Projection years between 1-10</t>
  </si>
  <si>
    <t>CHK004</t>
  </si>
  <si>
    <t>Value per M3 positive</t>
  </si>
  <si>
    <t>CHK005</t>
  </si>
  <si>
    <t>Logic</t>
  </si>
  <si>
    <t>Testing option valid</t>
  </si>
  <si>
    <t>CHK006</t>
  </si>
  <si>
    <t>Scenario selection valid</t>
  </si>
  <si>
    <t>CHK007</t>
  </si>
  <si>
    <t>Sanity</t>
  </si>
  <si>
    <t>NPV within reasonable bounds</t>
  </si>
  <si>
    <t>CHK008</t>
  </si>
  <si>
    <t>Testing cost positive</t>
  </si>
  <si>
    <t>CHK009</t>
  </si>
  <si>
    <t>Gross value non-negative</t>
  </si>
  <si>
    <t>CHK010</t>
  </si>
  <si>
    <t>Integrity</t>
  </si>
  <si>
    <t>All named ranges defined</t>
  </si>
  <si>
    <t>CHK011</t>
  </si>
  <si>
    <t>Initial NAFC in range (40-100 mg/L)</t>
  </si>
  <si>
    <t>CHK012</t>
  </si>
  <si>
    <t>Target NAFC &lt; Initial NAFC</t>
  </si>
  <si>
    <t>CHK013</t>
  </si>
  <si>
    <t>Days to compliance &lt;= season length</t>
  </si>
  <si>
    <t>CHK014</t>
  </si>
  <si>
    <t>Treatment rates positive</t>
  </si>
  <si>
    <t>Total Checks:</t>
  </si>
  <si>
    <t>Passed:</t>
  </si>
  <si>
    <t>Failed:</t>
  </si>
  <si>
    <t>Model Health: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</si>
</sst>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numFmt numFmtId="165" formatCode="0.0%"/>
    <numFmt numFmtId="166" formatCode="\$#,##0.00"/>
    <numFmt numFmtId="167" formatCode="\$#,##0"/>
    <numFmt numFmtId="168" formatCode="0.000"/>
    <numFmt numFmtId="169" formatCode="0.0"/>
    <numFmt numFmtId="170" formatCode="0.0\ &quot;mg/L&quot;"/>
    <numFmt numFmtId="171" formatCode="0.0\ &quot;days&quot;"/>
  </numFmts>
  <fonts count="13" x14ac:knownFonts="1">
    <font>
      <sz val="11"/>
      <color theme="1"/>
      <name val="Calibri"/>
      <family val="2"/>
      <scheme val="minor"/>
    </font>
    <font>
      <b/>
      <sz val="20"/>
      <name val="Calibri"/>
      <family val="2"/>
    </font>
    <font>
      <i/>
      <sz val="12"/>
      <name val="Calibri"/>
      <family val="2"/>
    </font>
    <font>
      <b/>
      <sz val="14"/>
      <name val="Calibri"/>
      <family val="2"/>
    </font>
    <font>
      <b/>
      <sz val="16"/>
      <name val="Calibri"/>
      <family val="2"/>
    </font>
    <font>
      <b/>
      <sz val="11"/>
      <name val="Calibri"/>
      <family val="2"/>
    </font>
    <font>
      <b/>
      <sz val="10"/>
      <color rgb="FF666666"/>
      <name val="Calibri"/>
      <family val="2"/>
    </font>
    <font>
      <sz val="10"/>
      <color rgb="FF666666"/>
      <name val="Calibri"/>
      <family val="2"/>
    </font>
    <font>
      <b/>
      <sz val="11"/>
      <color rgb="FFFFFFFF"/>
      <name val="Calibri"/>
      <family val="2"/>
    </font>
    <font>
      <b/>
      <sz val="11"/>
      <name val="Calibri"/>
      <family val="2"/>
    </font>
    <font>
      <i/>
      <sz val="11"/>
      <name val="Calibri"/>
      <family val="2"/>
    </font>
    <font>
      <b/>
      <sz val="11"/>
      <color rgb="FF1F4E79"/>
      <name val="Calibri"/>
      <family val="2"/>
    </font>
    <font>
      <i/>
      <sz val="9"/>
      <name val="Calibri"/>
      <family val="2"/>
    </font>
  </fonts>
  <fills count="6">
    <fill>
      <patternFill patternType="none"/>
    </fill>
    <fill>
      <patternFill patternType="gray125"/>
    </fill>
    <fill>
      <patternFill patternType="solid">
        <fgColor rgb="FFF2F2F2"/>
        <bgColor rgb="FFF2F2F2"/>
      </patternFill>
    </fill>
    <fill>
      <patternFill patternType="solid">
        <fgColor rgb="FF4472C4"/>
        <bgColor rgb="FF4472C4"/>
      </patternFill>
    </fill>
    <fill>
      <patternFill patternType="solid">
        <fgColor rgb="FFFFFF99"/>
        <bgColor rgb="FFFFFF99"/>
      </patternFill>
    </fill>
    <fill>
      <patternFill patternType="solid">
        <fgColor rgb="FFDEEAF6"/>
        <bgColor rgb="FFDEEAF6"/>
      </patternFill>
    </fill>
  </fills>
  <borders count="4">
    <border>
      <left/>
      <right/>
      <top/>
      <bottom/>
      <diagonal/>
    </border>
    <border>
      <left style="medium">
        <color rgb="FF4472C4"/>
      </left>
      <right style="medium">
        <color rgb="FF4472C4"/>
      </right>
      <top style="medium">
        <color rgb="FF4472C4"/>
      </top>
      <bottom style="medium">
        <color rgb="FF4472C4"/>
      </bottom>
      <diagonal/>
    </border>
    <border>
      <left/>
      <right/>
      <top style="medium">
        <color rgb="FF4472C4"/>
      </top>
      <bottom style="medium">
        <color rgb="FF4472C4"/>
      </bottom>
      <diagonal/>
    </border>
    <border>
      <left/>
      <right style="medium">
        <color rgb="FF4472C4"/>
      </right>
      <top style="medium">
        <color rgb="FF4472C4"/>
      </top>
      <bottom style="medium">
        <color rgb="FF4472C4"/>
      </bottom>
      <diagonal/>
    </border>
  </borders>
  <cellStyleXfs count="1">
    <xf numFmtId="0" fontId="0" fillId="0" borderId="0"/>
  </cellStyleXfs>
  <cellXfs count="36">
    <xf numFmtId="0" fontId="0" fillId="0" borderId="0" xfId="0"/>
    <xf numFmtId="0" fontId="1" fillId="0" borderId="0" xfId="0" applyFont="1"/>
    <xf numFmtId="0" fontId="2" fillId="0" borderId="0" xfId="0" applyFont="1"/>
    <xf numFmtId="164" fontId="0" fillId="0" borderId="0" xfId="0" applyNumberFormat="1"/>
    <xf numFmtId="0" fontId="3" fillId="0" borderId="0" xfId="0" applyFont="1"/>
    <xf numFmtId="0" fontId="4" fillId="0" borderId="0" xfId="0" applyFont="1"/>
    <xf numFmtId="0" fontId="5" fillId="0" borderId="0" xfId="0" applyFont="1"/>
    <xf numFmtId="0" fontId="6" fillId="2" borderId="0" xfId="0" applyFont="1" applyFill="1" applyAlignment="1">
      <alignment vertical="top"/>
    </xf>
    <xf numFmtId="0" fontId="8" fillId="3" borderId="0" xfId="0" applyFont="1" applyFill="1"/>
    <xf numFmtId="0" fontId="0" fillId="4" borderId="0" xfId="0" applyFill="1"/>
    <xf numFmtId="165" fontId="0" fillId="4" borderId="0" xfId="0" applyNumberFormat="1" applyFill="1"/>
    <xf numFmtId="0" fontId="9" fillId="0" borderId="0" xfId="0" applyFont="1"/>
    <xf numFmtId="0" fontId="10" fillId="0" borderId="0" xfId="0" applyFont="1"/>
    <xf numFmtId="166" fontId="0" fillId="4" borderId="0" xfId="0" applyNumberFormat="1" applyFill="1"/>
    <xf numFmtId="167" fontId="0" fillId="4" borderId="0" xfId="0" applyNumberFormat="1" applyFill="1"/>
    <xf numFmtId="167" fontId="0" fillId="0" borderId="0" xfId="0" applyNumberFormat="1"/>
    <xf numFmtId="168" fontId="0" fillId="4" borderId="0" xfId="0" applyNumberFormat="1" applyFill="1"/>
    <xf numFmtId="169" fontId="0" fillId="4" borderId="0" xfId="0" applyNumberFormat="1" applyFill="1"/>
    <xf numFmtId="2" fontId="0" fillId="4" borderId="0" xfId="0" applyNumberFormat="1" applyFill="1"/>
    <xf numFmtId="1" fontId="0" fillId="4" borderId="0" xfId="0" applyNumberFormat="1" applyFill="1"/>
    <xf numFmtId="0" fontId="12" fillId="0" borderId="0" xfId="0" applyFont="1"/>
    <xf numFmtId="168" fontId="0" fillId="0" borderId="0" xfId="0" applyNumberFormat="1"/>
    <xf numFmtId="2" fontId="0" fillId="0" borderId="0" xfId="0" applyNumberFormat="1"/>
    <xf numFmtId="169" fontId="0" fillId="0" borderId="0" xfId="0" applyNumberFormat="1"/>
    <xf numFmtId="1" fontId="0" fillId="0" borderId="0" xfId="0" applyNumberFormat="1"/>
    <xf numFmtId="165" fontId="0" fillId="0" borderId="0" xfId="0" applyNumberFormat="1"/>
    <xf numFmtId="167" fontId="9" fillId="0" borderId="0" xfId="0" applyNumberFormat="1" applyFont="1"/>
    <xf numFmtId="166" fontId="0" fillId="0" borderId="0" xfId="0" applyNumberFormat="1"/>
    <xf numFmtId="170" fontId="0" fillId="0" borderId="0" xfId="0" applyNumberFormat="1"/>
    <xf numFmtId="171" fontId="0" fillId="0" borderId="0" xfId="0" applyNumberFormat="1"/>
    <xf numFmtId="0" fontId="7" fillId="2" borderId="0" xfId="0" applyFont="1" applyFill="1" applyAlignment="1">
      <alignment vertical="top" wrapText="1"/>
    </xf>
    <xf numFmtId="0" fontId="0" fillId="0" borderId="0" xfId="0"/>
    <xf numFmtId="0" fontId="0" fillId="5" borderId="1" xfId="0" applyFill="1" applyBorder="1" applyAlignment="1">
      <alignment horizontal="left" vertical="top" wrapText="1"/>
    </xf>
    <xf numFmtId="0" fontId="0" fillId="0" borderId="2" xfId="0" applyBorder="1"/>
    <xf numFmtId="0" fontId="0" fillId="0" borderId="3" xfId="0" applyBorder="1"/>
    <xf numFmtId="0" fontId="11" fillId="5" borderId="1" xfId="0" applyFont="1" applyFill="1" applyBorder="1" applyAlignment="1">
      <alignment horizontal="lef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Control" displayName="tbl_Control" ref="A9:D14">
  <autoFilter ref="A9:D14" xr:uid="{00000000-0009-0000-0100-000001000000}"/>
  <tableColumns count="4">
    <tableColumn id="1" xr3:uid="{00000000-0010-0000-0000-000001000000}" name="Parameter"/>
    <tableColumn id="2" xr3:uid="{00000000-0010-0000-0000-000002000000}" name="Value"/>
    <tableColumn id="3" xr3:uid="{00000000-0010-0000-0000-000003000000}" name="Validation"/>
    <tableColumn id="4" xr3:uid="{00000000-0010-0000-0000-000004000000}" name="Descriptio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InputMap" displayName="tbl_InputMap" ref="A4:D34">
  <autoFilter ref="A4:D34" xr:uid="{00000000-0009-0000-0100-000002000000}"/>
  <tableColumns count="4">
    <tableColumn id="1" xr3:uid="{00000000-0010-0000-0100-000001000000}" name="Input Name"/>
    <tableColumn id="2" xr3:uid="{00000000-0010-0000-0100-000002000000}" name="Value"/>
    <tableColumn id="3" xr3:uid="{00000000-0010-0000-0100-000003000000}" name="Source Sheet"/>
    <tableColumn id="4" xr3:uid="{00000000-0010-0000-0100-000004000000}" name="Referenced By"/>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Timing" displayName="tbl_Timing" ref="A9:E14">
  <autoFilter ref="A9:E14" xr:uid="{00000000-0009-0000-0100-000003000000}"/>
  <tableColumns count="5">
    <tableColumn id="1" xr3:uid="{00000000-0010-0000-0200-000001000000}" name="Parameter"/>
    <tableColumn id="2" xr3:uid="{00000000-0010-0000-0200-000002000000}" name="Value"/>
    <tableColumn id="3" xr3:uid="{00000000-0010-0000-0200-000003000000}" name="Unit"/>
    <tableColumn id="4" xr3:uid="{00000000-0010-0000-0200-000004000000}" name="Notes"/>
    <tableColumn id="5" xr3:uid="{00000000-0010-0000-0200-000005000000}" name="Referenced By"/>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Seasonality" displayName="tbl_Seasonality" ref="A22:D27">
  <autoFilter ref="A22:D27" xr:uid="{00000000-0009-0000-0100-000004000000}"/>
  <tableColumns count="4">
    <tableColumn id="1" xr3:uid="{00000000-0010-0000-0300-000001000000}" name="Month"/>
    <tableColumn id="2" xr3:uid="{00000000-0010-0000-0300-000002000000}" name="Month_Num"/>
    <tableColumn id="3" xr3:uid="{00000000-0010-0000-0300-000003000000}" name="Multiplier"/>
    <tableColumn id="4" xr3:uid="{00000000-0010-0000-0300-000004000000}" name="Activity"/>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_SiteConfig" displayName="tbl_SiteConfig" ref="A36:E40">
  <autoFilter ref="A36:E40" xr:uid="{00000000-0009-0000-0100-000005000000}"/>
  <tableColumns count="5">
    <tableColumn id="1" xr3:uid="{00000000-0010-0000-0400-000001000000}" name="Parameter"/>
    <tableColumn id="2" xr3:uid="{00000000-0010-0000-0400-000002000000}" name="Value"/>
    <tableColumn id="3" xr3:uid="{00000000-0010-0000-0400-000003000000}" name="Unit"/>
    <tableColumn id="4" xr3:uid="{00000000-0010-0000-0400-000004000000}" name="Source"/>
    <tableColumn id="5" xr3:uid="{00000000-0010-0000-0400-000005000000}" name="Referenced By"/>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_CostParams" displayName="tbl_CostParams" ref="A49:D52">
  <autoFilter ref="A49:D52" xr:uid="{00000000-0009-0000-0100-000006000000}"/>
  <tableColumns count="4">
    <tableColumn id="1" xr3:uid="{00000000-0010-0000-0500-000001000000}" name="Parameter"/>
    <tableColumn id="2" xr3:uid="{00000000-0010-0000-0500-000002000000}" name="Value"/>
    <tableColumn id="3" xr3:uid="{00000000-0010-0000-0500-000003000000}" name="Unit"/>
    <tableColumn id="4" xr3:uid="{00000000-0010-0000-0500-000004000000}" name="Referenced By"/>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_LearningCurve" displayName="tbl_LearningCurve" ref="A61:D66">
  <autoFilter ref="A61:D66" xr:uid="{00000000-0009-0000-0100-000007000000}"/>
  <tableColumns count="4">
    <tableColumn id="1" xr3:uid="{00000000-0010-0000-0600-000001000000}" name="Year"/>
    <tableColumn id="2" xr3:uid="{00000000-0010-0000-0600-000002000000}" name="Multiplier"/>
    <tableColumn id="3" xr3:uid="{00000000-0010-0000-0600-000003000000}" name="Notes"/>
    <tableColumn id="4" xr3:uid="{00000000-0010-0000-0600-000004000000}" name="Referenced By"/>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_TestOptions" displayName="tbl_TestOptions" ref="A75:G78">
  <autoFilter ref="A75:G78" xr:uid="{00000000-0009-0000-0100-000008000000}"/>
  <tableColumns count="7">
    <tableColumn id="1" xr3:uid="{00000000-0010-0000-0700-000001000000}" name="Option"/>
    <tableColumn id="2" xr3:uid="{00000000-0010-0000-0700-000002000000}" name="Method"/>
    <tableColumn id="3" xr3:uid="{00000000-0010-0000-0700-000003000000}" name="Interval"/>
    <tableColumn id="4" xr3:uid="{00000000-0010-0000-0700-000004000000}" name="Points"/>
    <tableColumn id="5" xr3:uid="{00000000-0010-0000-0700-000005000000}" name="Cost_Per_Test"/>
    <tableColumn id="6" xr3:uid="{00000000-0010-0000-0700-000006000000}" name="Latency_Days"/>
    <tableColumn id="7" xr3:uid="{00000000-0010-0000-0700-000007000000}" name="Referenced By"/>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_LatencyGating" displayName="tbl_LatencyGating" ref="A86:E89">
  <autoFilter ref="A86:E89" xr:uid="{00000000-0009-0000-0100-000009000000}"/>
  <tableColumns count="5">
    <tableColumn id="1" xr3:uid="{00000000-0010-0000-0800-000001000000}" name="Option"/>
    <tableColumn id="2" xr3:uid="{00000000-0010-0000-0800-000002000000}" name="S1_Gate"/>
    <tableColumn id="3" xr3:uid="{00000000-0010-0000-0800-000003000000}" name="S2_Gate"/>
    <tableColumn id="4" xr3:uid="{00000000-0010-0000-0800-000004000000}" name="S3_Gate"/>
    <tableColumn id="5" xr3:uid="{00000000-0010-0000-0800-000005000000}" name="S4_Gate"/>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_TreatmentKinetics" displayName="tbl_TreatmentKinetics" ref="A107:E114">
  <autoFilter ref="A107:E114" xr:uid="{00000000-0009-0000-0100-00000A000000}"/>
  <tableColumns count="5">
    <tableColumn id="1" xr3:uid="{00000000-0010-0000-0900-000001000000}" name="Parameter"/>
    <tableColumn id="2" xr3:uid="{00000000-0010-0000-0900-000002000000}" name="Value"/>
    <tableColumn id="3" xr3:uid="{00000000-0010-0000-0900-000003000000}" name="Unit"/>
    <tableColumn id="4" xr3:uid="{00000000-0010-0000-0900-000004000000}" name="Notes"/>
    <tableColumn id="5" xr3:uid="{00000000-0010-0000-0900-000005000000}" name="Referenced By"/>
  </tableColumns>
  <tableStyleInfo name="TableStyleMedium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bl_ToxicityMilestones" displayName="tbl_ToxicityMilestones" ref="A123:D126">
  <autoFilter ref="A123:D126" xr:uid="{00000000-0009-0000-0100-00000B000000}"/>
  <tableColumns count="4">
    <tableColumn id="1" xr3:uid="{00000000-0010-0000-0A00-000001000000}" name="Milestone"/>
    <tableColumn id="2" xr3:uid="{00000000-0010-0000-0A00-000002000000}" name="Days"/>
    <tableColumn id="3" xr3:uid="{00000000-0010-0000-0A00-000003000000}" name="Survival"/>
    <tableColumn id="4" xr3:uid="{00000000-0010-0000-0A00-000004000000}" name="Notes"/>
  </tableColumns>
  <tableStyleInfo name="TableStyleMedium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bl_Env_Profiles" displayName="tbl_Env_Profiles" ref="A7:H12">
  <autoFilter ref="A7:H12" xr:uid="{00000000-0009-0000-0100-00000C000000}"/>
  <tableColumns count="8">
    <tableColumn id="1" xr3:uid="{00000000-0010-0000-0B00-000001000000}" name="Variable"/>
    <tableColumn id="2" xr3:uid="{00000000-0010-0000-0B00-000002000000}" name="Unit"/>
    <tableColumn id="3" xr3:uid="{00000000-0010-0000-0B00-000003000000}" name="May"/>
    <tableColumn id="4" xr3:uid="{00000000-0010-0000-0B00-000004000000}" name="Jun"/>
    <tableColumn id="5" xr3:uid="{00000000-0010-0000-0B00-000005000000}" name="Jul"/>
    <tableColumn id="6" xr3:uid="{00000000-0010-0000-0B00-000006000000}" name="Aug"/>
    <tableColumn id="7" xr3:uid="{00000000-0010-0000-0B00-000007000000}" name="Sep"/>
    <tableColumn id="8" xr3:uid="{00000000-0010-0000-0B00-000008000000}" name="Notes"/>
  </tableColumns>
  <tableStyleInfo name="TableStyleMedium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bl_Ionic_Params" displayName="tbl_Ionic_Params" ref="A16:H20">
  <autoFilter ref="A16:H20" xr:uid="{00000000-0009-0000-0100-00000D000000}"/>
  <tableColumns count="8">
    <tableColumn id="1" xr3:uid="{00000000-0010-0000-0C00-000001000000}" name="Parameter"/>
    <tableColumn id="2" xr3:uid="{00000000-0010-0000-0C00-000002000000}" name="Unit"/>
    <tableColumn id="3" xr3:uid="{00000000-0010-0000-0C00-000003000000}" name="Min"/>
    <tableColumn id="4" xr3:uid="{00000000-0010-0000-0C00-000004000000}" name="Mode"/>
    <tableColumn id="5" xr3:uid="{00000000-0010-0000-0C00-000005000000}" name="Max"/>
    <tableColumn id="6" xr3:uid="{00000000-0010-0000-0C00-000006000000}" name="Threshold"/>
    <tableColumn id="7" xr3:uid="{00000000-0010-0000-0C00-000007000000}" name="Direction"/>
    <tableColumn id="8" xr3:uid="{00000000-0010-0000-0C00-000008000000}" name="Notes"/>
  </tableColumns>
  <tableStyleInfo name="TableStyleMedium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bl_ValueScenarios" displayName="tbl_ValueScenarios" ref="A9:E13">
  <autoFilter ref="A9:E13" xr:uid="{00000000-0009-0000-0100-00000E000000}"/>
  <tableColumns count="5">
    <tableColumn id="1" xr3:uid="{00000000-0010-0000-0D00-000001000000}" name="ID"/>
    <tableColumn id="2" xr3:uid="{00000000-0010-0000-0D00-000002000000}" name="Name"/>
    <tableColumn id="3" xr3:uid="{00000000-0010-0000-0D00-000003000000}" name="Base_Value"/>
    <tableColumn id="4" xr3:uid="{00000000-0010-0000-0D00-000004000000}" name="Required_Response_Days"/>
    <tableColumn id="5" xr3:uid="{00000000-0010-0000-0D00-000005000000}" name="Description"/>
  </tableColumns>
  <tableStyleInfo name="TableStyleMedium9"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bl_ModelScenarios" displayName="tbl_ModelScenarios" ref="A22:D25">
  <autoFilter ref="A22:D25" xr:uid="{00000000-0009-0000-0100-00000F000000}"/>
  <tableColumns count="4">
    <tableColumn id="1" xr3:uid="{00000000-0010-0000-0E00-000001000000}" name="Scenario"/>
    <tableColumn id="2" xr3:uid="{00000000-0010-0000-0E00-000002000000}" name="Discount_Adj"/>
    <tableColumn id="3" xr3:uid="{00000000-0010-0000-0E00-000003000000}" name="Growth_Adj"/>
    <tableColumn id="4" xr3:uid="{00000000-0010-0000-0E00-000004000000}" name="Risk_Adj"/>
  </tableColumns>
  <tableStyleInfo name="TableStyleMedium9"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bl_Triangular" displayName="tbl_Triangular" ref="A9:F13">
  <autoFilter ref="A9:F13" xr:uid="{00000000-0009-0000-0100-000010000000}"/>
  <tableColumns count="6">
    <tableColumn id="1" xr3:uid="{00000000-0010-0000-0F00-000001000000}" name="Variable"/>
    <tableColumn id="2" xr3:uid="{00000000-0010-0000-0F00-000002000000}" name="Min"/>
    <tableColumn id="3" xr3:uid="{00000000-0010-0000-0F00-000003000000}" name="Mode"/>
    <tableColumn id="4" xr3:uid="{00000000-0010-0000-0F00-000004000000}" name="Max"/>
    <tableColumn id="5" xr3:uid="{00000000-0010-0000-0F00-000005000000}" name="Units"/>
    <tableColumn id="6" xr3:uid="{00000000-0010-0000-0F00-000006000000}" name="Referenced By"/>
  </tableColumns>
  <tableStyleInfo name="TableStyleMedium9"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bl_Beta" displayName="tbl_Beta" ref="A22:G23">
  <autoFilter ref="A22:G23" xr:uid="{00000000-0009-0000-0100-000011000000}"/>
  <tableColumns count="7">
    <tableColumn id="1" xr3:uid="{00000000-0010-0000-1000-000001000000}" name="Variable"/>
    <tableColumn id="2" xr3:uid="{00000000-0010-0000-1000-000002000000}" name="Alpha"/>
    <tableColumn id="3" xr3:uid="{00000000-0010-0000-1000-000003000000}" name="Beta"/>
    <tableColumn id="4" xr3:uid="{00000000-0010-0000-1000-000004000000}" name="Min"/>
    <tableColumn id="5" xr3:uid="{00000000-0010-0000-1000-000005000000}" name="Max"/>
    <tableColumn id="6" xr3:uid="{00000000-0010-0000-1000-000006000000}" name="Units"/>
    <tableColumn id="7" xr3:uid="{00000000-0010-0000-1000-000007000000}" name="Referenced By"/>
  </tableColumns>
  <tableStyleInfo name="TableStyleMedium9"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bl_ValueSensitivity" displayName="tbl_ValueSensitivity" ref="A32:E35">
  <autoFilter ref="A32:E35" xr:uid="{00000000-0009-0000-0100-000012000000}"/>
  <tableColumns count="5">
    <tableColumn id="1" xr3:uid="{00000000-0010-0000-1100-000001000000}" name="Frame"/>
    <tableColumn id="2" xr3:uid="{00000000-0010-0000-1100-000002000000}" name="Low"/>
    <tableColumn id="3" xr3:uid="{00000000-0010-0000-1100-000003000000}" name="Base"/>
    <tableColumn id="4" xr3:uid="{00000000-0010-0000-1100-000004000000}" name="High"/>
    <tableColumn id="5" xr3:uid="{00000000-0010-0000-1100-000005000000}" name="Context"/>
  </tableColumns>
  <tableStyleInfo name="TableStyleMedium9"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bl_Timeline" displayName="tbl_Timeline" ref="A12:E18">
  <autoFilter ref="A12:E18" xr:uid="{00000000-0009-0000-0100-000013000000}"/>
  <tableColumns count="5">
    <tableColumn id="1" xr3:uid="{00000000-0010-0000-1200-000001000000}" name="Year_Index"/>
    <tableColumn id="2" xr3:uid="{00000000-0010-0000-1200-000002000000}" name="Calendar_Year"/>
    <tableColumn id="3" xr3:uid="{00000000-0010-0000-1200-000003000000}" name="Treatment_Days"/>
    <tableColumn id="4" xr3:uid="{00000000-0010-0000-1200-000004000000}" name="Discount_Factor"/>
    <tableColumn id="5" xr3:uid="{00000000-0010-0000-1200-000005000000}" name="Learning_Mult"/>
  </tableColumns>
  <tableStyleInfo name="TableStyleMedium9"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bl_Rate_Modifiers" displayName="tbl_Rate_Modifiers" ref="A7:E12">
  <autoFilter ref="A7:E12" xr:uid="{00000000-0009-0000-0100-000014000000}"/>
  <tableColumns count="5">
    <tableColumn id="1" xr3:uid="{00000000-0010-0000-1300-000001000000}" name="Modifier"/>
    <tableColumn id="2" xr3:uid="{00000000-0010-0000-1300-000002000000}" name="Formula"/>
    <tableColumn id="3" xr3:uid="{00000000-0010-0000-1300-000003000000}" name="Value"/>
    <tableColumn id="4" xr3:uid="{00000000-0010-0000-1300-000004000000}" name="Unit"/>
    <tableColumn id="5" xr3:uid="{00000000-0010-0000-1300-000005000000}" name="Notes"/>
  </tableColumns>
  <tableStyleInfo name="TableStyleMedium9"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bl_Stochastic" displayName="tbl_Stochastic" ref="A13:C18">
  <autoFilter ref="A13:C18" xr:uid="{00000000-0009-0000-0100-000015000000}"/>
  <tableColumns count="3">
    <tableColumn id="1" xr3:uid="{00000000-0010-0000-1400-000001000000}" name="Variable"/>
    <tableColumn id="2" xr3:uid="{00000000-0010-0000-1400-000002000000}" name="Random_U"/>
    <tableColumn id="3" xr3:uid="{00000000-0010-0000-1400-000003000000}" name="Realized_Value"/>
  </tableColumns>
  <tableStyleInfo name="TableStyleMedium9"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bl_Compliance_Gates" displayName="tbl_Compliance_Gates" ref="A7:F20">
  <autoFilter ref="A7:F20" xr:uid="{00000000-0009-0000-0100-000016000000}"/>
  <tableColumns count="6">
    <tableColumn id="1" xr3:uid="{00000000-0010-0000-1500-000001000000}" name="Gate"/>
    <tableColumn id="2" xr3:uid="{00000000-0010-0000-1500-000002000000}" name="Threshold"/>
    <tableColumn id="3" xr3:uid="{00000000-0010-0000-1500-000003000000}" name="Direction"/>
    <tableColumn id="4" xr3:uid="{00000000-0010-0000-1500-000004000000}" name="Value"/>
    <tableColumn id="5" xr3:uid="{00000000-0010-0000-1500-000005000000}" name="Status"/>
    <tableColumn id="6" xr3:uid="{00000000-0010-0000-1500-000006000000}" name="Notes"/>
  </tableColumns>
  <tableStyleInfo name="TableStyleMedium9"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bl_GatedValues" displayName="tbl_GatedValues" ref="A12:E16">
  <autoFilter ref="A12:E16" xr:uid="{00000000-0009-0000-0100-000017000000}"/>
  <tableColumns count="5">
    <tableColumn id="1" xr3:uid="{00000000-0010-0000-1600-000001000000}" name="Scenario"/>
    <tableColumn id="2" xr3:uid="{00000000-0010-0000-1600-000002000000}" name="Base_Value"/>
    <tableColumn id="3" xr3:uid="{00000000-0010-0000-1600-000003000000}" name="Gate_Status"/>
    <tableColumn id="4" xr3:uid="{00000000-0010-0000-1600-000004000000}" name="Stoch_Mult"/>
    <tableColumn id="5" xr3:uid="{00000000-0010-0000-1600-000005000000}" name="Gated_Value"/>
  </tableColumns>
  <tableStyleInfo name="TableStyleMedium9"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bl_CostCalc" displayName="tbl_CostCalc" ref="A12:C19">
  <autoFilter ref="A12:C19" xr:uid="{00000000-0009-0000-0100-000018000000}"/>
  <tableColumns count="3">
    <tableColumn id="1" xr3:uid="{00000000-0010-0000-1700-000001000000}" name="Component"/>
    <tableColumn id="2" xr3:uid="{00000000-0010-0000-1700-000002000000}" name="Formula"/>
    <tableColumn id="3" xr3:uid="{00000000-0010-0000-1700-000003000000}" name="Value"/>
  </tableColumns>
  <tableStyleInfo name="TableStyleMedium9"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bl_Annual" displayName="tbl_Annual" ref="A12:J17">
  <autoFilter ref="A12:J17" xr:uid="{00000000-0009-0000-0100-000019000000}"/>
  <tableColumns count="10">
    <tableColumn id="1" xr3:uid="{00000000-0010-0000-1800-000001000000}" name="Year"/>
    <tableColumn id="2" xr3:uid="{00000000-0010-0000-1800-000002000000}" name="S1_Value"/>
    <tableColumn id="3" xr3:uid="{00000000-0010-0000-1800-000003000000}" name="S2_Value"/>
    <tableColumn id="4" xr3:uid="{00000000-0010-0000-1800-000004000000}" name="S3_Value"/>
    <tableColumn id="5" xr3:uid="{00000000-0010-0000-1800-000005000000}" name="S4_Value"/>
    <tableColumn id="6" xr3:uid="{00000000-0010-0000-1800-000006000000}" name="Gross_Value"/>
    <tableColumn id="7" xr3:uid="{00000000-0010-0000-1800-000007000000}" name="Costs"/>
    <tableColumn id="8" xr3:uid="{00000000-0010-0000-1800-000008000000}" name="Net_Annual"/>
    <tableColumn id="9" xr3:uid="{00000000-0010-0000-1800-000009000000}" name="Discount_Factor"/>
    <tableColumn id="10" xr3:uid="{00000000-0010-0000-1800-00000A000000}" name="Discounted"/>
  </tableColumns>
  <tableStyleInfo name="TableStyleMedium9"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bl_CashFlow" displayName="tbl_CashFlow" ref="A12:D17">
  <autoFilter ref="A12:D17" xr:uid="{00000000-0009-0000-0100-00001A000000}"/>
  <tableColumns count="4">
    <tableColumn id="1" xr3:uid="{00000000-0010-0000-1900-000001000000}" name="Year"/>
    <tableColumn id="2" xr3:uid="{00000000-0010-0000-1900-000002000000}" name="Annual_Net"/>
    <tableColumn id="3" xr3:uid="{00000000-0010-0000-1900-000003000000}" name="Cumulative_Net"/>
    <tableColumn id="4" xr3:uid="{00000000-0010-0000-1900-000004000000}" name="Cumulative_NPV"/>
  </tableColumns>
  <tableStyleInfo name="TableStyleMedium9"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bl_UnitEconomics" displayName="tbl_UnitEconomics" ref="A12:D20">
  <autoFilter ref="A12:D20" xr:uid="{00000000-0009-0000-0100-00001B000000}"/>
  <tableColumns count="4">
    <tableColumn id="1" xr3:uid="{00000000-0010-0000-1A00-000001000000}" name="Metric"/>
    <tableColumn id="2" xr3:uid="{00000000-0010-0000-1A00-000002000000}" name="Value"/>
    <tableColumn id="3" xr3:uid="{00000000-0010-0000-1A00-000003000000}" name="Unit"/>
    <tableColumn id="4" xr3:uid="{00000000-0010-0000-1A00-000004000000}" name="Formula"/>
  </tableColumns>
  <tableStyleInfo name="TableStyleMedium9"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bl_Sensitivity" displayName="tbl_Sensitivity" ref="A12:G16">
  <autoFilter ref="A12:G16" xr:uid="{00000000-0009-0000-0100-00001C000000}"/>
  <tableColumns count="7">
    <tableColumn id="1" xr3:uid="{00000000-0010-0000-1B00-000001000000}" name="Parameter"/>
    <tableColumn id="2" xr3:uid="{00000000-0010-0000-1B00-000002000000}" name="Low"/>
    <tableColumn id="3" xr3:uid="{00000000-0010-0000-1B00-000003000000}" name="Base"/>
    <tableColumn id="4" xr3:uid="{00000000-0010-0000-1B00-000004000000}" name="High"/>
    <tableColumn id="5" xr3:uid="{00000000-0010-0000-1B00-000005000000}" name="NPV_at_Low"/>
    <tableColumn id="6" xr3:uid="{00000000-0010-0000-1B00-000006000000}" name="NPV_at_High"/>
    <tableColumn id="7" xr3:uid="{00000000-0010-0000-1B00-000007000000}" name="Swing"/>
  </tableColumns>
  <tableStyleInfo name="TableStyleMedium9"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bl_KPIs" displayName="tbl_KPIs" ref="A12:B21">
  <autoFilter ref="A12:B21" xr:uid="{00000000-0009-0000-0100-00001D000000}"/>
  <tableColumns count="2">
    <tableColumn id="1" xr3:uid="{00000000-0010-0000-1C00-000001000000}" name="Metric"/>
    <tableColumn id="2" xr3:uid="{00000000-0010-0000-1C00-000002000000}" name="Value"/>
  </tableColumns>
  <tableStyleInfo name="TableStyleMedium9"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bl_ScenarioBreakdown" displayName="tbl_ScenarioBreakdown" ref="A29:C33">
  <autoFilter ref="A29:C33" xr:uid="{00000000-0009-0000-0100-00001E000000}"/>
  <tableColumns count="3">
    <tableColumn id="1" xr3:uid="{00000000-0010-0000-1D00-000001000000}" name="Scenario"/>
    <tableColumn id="2" xr3:uid="{00000000-0010-0000-1D00-000002000000}" name="Gated_Value"/>
    <tableColumn id="3" xr3:uid="{00000000-0010-0000-1D00-000003000000}" name="Status"/>
  </tableColumns>
  <tableStyleInfo name="TableStyleMedium9"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bl_TreatmentKPIs" displayName="tbl_TreatmentKPIs" ref="A41:C49">
  <autoFilter ref="A41:C49" xr:uid="{00000000-0009-0000-0100-00001F000000}"/>
  <tableColumns count="3">
    <tableColumn id="1" xr3:uid="{00000000-0010-0000-1E00-000001000000}" name="Metric"/>
    <tableColumn id="2" xr3:uid="{00000000-0010-0000-1E00-000002000000}" name="Value"/>
    <tableColumn id="3" xr3:uid="{00000000-0010-0000-1E00-000003000000}" name="Status"/>
  </tableColumns>
  <tableStyleInfo name="TableStyleMedium9"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bl_OptionComparison" displayName="tbl_OptionComparison" ref="A57:D63">
  <autoFilter ref="A57:D63" xr:uid="{00000000-0009-0000-0100-000020000000}"/>
  <tableColumns count="4">
    <tableColumn id="1" xr3:uid="{00000000-0010-0000-1F00-000001000000}" name="Metric"/>
    <tableColumn id="2" xr3:uid="{00000000-0010-0000-1F00-000002000000}" name="Monthly_HRMS"/>
    <tableColumn id="3" xr3:uid="{00000000-0010-0000-1F00-000003000000}" name="Weekly_HRMS"/>
    <tableColumn id="4" xr3:uid="{00000000-0010-0000-1F00-000004000000}" name="Daily_Biosensor"/>
  </tableColumns>
  <tableStyleInfo name="TableStyleMedium9"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bl_Checks" displayName="tbl_Checks" ref="A12:D26">
  <autoFilter ref="A12:D26" xr:uid="{00000000-0009-0000-0100-000021000000}"/>
  <tableColumns count="4">
    <tableColumn id="1" xr3:uid="{00000000-0010-0000-2000-000001000000}" name="Check_ID"/>
    <tableColumn id="2" xr3:uid="{00000000-0010-0000-2000-000002000000}" name="Category"/>
    <tableColumn id="3" xr3:uid="{00000000-0010-0000-2000-000003000000}" name="Description"/>
    <tableColumn id="4" xr3:uid="{00000000-0010-0000-2000-000004000000}" name="Statu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8" Type="http://schemas.openxmlformats.org/officeDocument/2006/relationships/table" Target="../tables/table10.xml"/><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table" Target="../tables/table3.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 Id="rId9" Type="http://schemas.openxmlformats.org/officeDocument/2006/relationships/table" Target="../tables/table1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table" Target="../tables/table1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31.xml"/><Relationship Id="rId2" Type="http://schemas.openxmlformats.org/officeDocument/2006/relationships/table" Target="../tables/table30.xml"/><Relationship Id="rId1" Type="http://schemas.openxmlformats.org/officeDocument/2006/relationships/table" Target="../tables/table29.xml"/><Relationship Id="rId4" Type="http://schemas.openxmlformats.org/officeDocument/2006/relationships/table" Target="../tables/table3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B29"/>
  <sheetViews>
    <sheetView workbookViewId="0"/>
  </sheetViews>
  <sheetFormatPr baseColWidth="10" defaultColWidth="8.83203125" defaultRowHeight="15" x14ac:dyDescent="0.2"/>
  <cols>
    <col min="1" max="1" width="20" customWidth="1"/>
    <col min="2" max="2" width="45" customWidth="1"/>
  </cols>
  <sheetData>
    <row r="1" spans="1:2" ht="26" x14ac:dyDescent="0.3">
      <c r="A1" s="1" t="s">
        <v>0</v>
      </c>
    </row>
    <row r="2" spans="1:2" ht="16" x14ac:dyDescent="0.2">
      <c r="A2" s="2" t="s">
        <v>1</v>
      </c>
    </row>
    <row r="4" spans="1:2" x14ac:dyDescent="0.2">
      <c r="A4" t="s">
        <v>2</v>
      </c>
      <c r="B4" t="s">
        <v>3</v>
      </c>
    </row>
    <row r="5" spans="1:2" x14ac:dyDescent="0.2">
      <c r="A5" t="s">
        <v>4</v>
      </c>
      <c r="B5" s="3">
        <f ca="1">TODAY()</f>
        <v>46053</v>
      </c>
    </row>
    <row r="6" spans="1:2" x14ac:dyDescent="0.2">
      <c r="A6" t="s">
        <v>5</v>
      </c>
      <c r="B6" t="s">
        <v>6</v>
      </c>
    </row>
    <row r="8" spans="1:2" ht="19" x14ac:dyDescent="0.25">
      <c r="A8" s="4" t="s">
        <v>7</v>
      </c>
    </row>
    <row r="9" spans="1:2" x14ac:dyDescent="0.2">
      <c r="A9" t="s">
        <v>8</v>
      </c>
      <c r="B9" t="str">
        <f ca="1">IF(COUNTIF('21_Checks'!D:D,"FAIL")=0, "All Checks Pass", "Review 21_Checks")</f>
        <v>All Checks Pass</v>
      </c>
    </row>
    <row r="10" spans="1:2" x14ac:dyDescent="0.2">
      <c r="A10" t="s">
        <v>9</v>
      </c>
      <c r="B10">
        <f ca="1">COUNTIF('21_Checks'!D:D,"FAIL")</f>
        <v>0</v>
      </c>
    </row>
    <row r="12" spans="1:2" ht="19" x14ac:dyDescent="0.25">
      <c r="A12" s="4" t="s">
        <v>10</v>
      </c>
    </row>
    <row r="13" spans="1:2" x14ac:dyDescent="0.2">
      <c r="A13" t="s">
        <v>11</v>
      </c>
      <c r="B13" t="s">
        <v>12</v>
      </c>
    </row>
    <row r="14" spans="1:2" x14ac:dyDescent="0.2">
      <c r="A14" t="s">
        <v>13</v>
      </c>
      <c r="B14" t="s">
        <v>14</v>
      </c>
    </row>
    <row r="15" spans="1:2" x14ac:dyDescent="0.2">
      <c r="A15" t="s">
        <v>15</v>
      </c>
      <c r="B15" t="s">
        <v>16</v>
      </c>
    </row>
    <row r="16" spans="1:2" x14ac:dyDescent="0.2">
      <c r="A16" t="s">
        <v>17</v>
      </c>
      <c r="B16" t="s">
        <v>18</v>
      </c>
    </row>
    <row r="17" spans="1:2" x14ac:dyDescent="0.2">
      <c r="A17" t="s">
        <v>19</v>
      </c>
      <c r="B17" t="s">
        <v>20</v>
      </c>
    </row>
    <row r="18" spans="1:2" x14ac:dyDescent="0.2">
      <c r="A18" t="s">
        <v>21</v>
      </c>
      <c r="B18" t="s">
        <v>22</v>
      </c>
    </row>
    <row r="19" spans="1:2" x14ac:dyDescent="0.2">
      <c r="A19" t="s">
        <v>23</v>
      </c>
      <c r="B19" t="s">
        <v>24</v>
      </c>
    </row>
    <row r="20" spans="1:2" x14ac:dyDescent="0.2">
      <c r="A20" t="s">
        <v>25</v>
      </c>
      <c r="B20" t="s">
        <v>26</v>
      </c>
    </row>
    <row r="21" spans="1:2" x14ac:dyDescent="0.2">
      <c r="A21" t="s">
        <v>27</v>
      </c>
      <c r="B21" t="s">
        <v>28</v>
      </c>
    </row>
    <row r="22" spans="1:2" x14ac:dyDescent="0.2">
      <c r="A22" t="s">
        <v>29</v>
      </c>
      <c r="B22" t="s">
        <v>30</v>
      </c>
    </row>
    <row r="23" spans="1:2" x14ac:dyDescent="0.2">
      <c r="A23" t="s">
        <v>31</v>
      </c>
      <c r="B23" t="s">
        <v>32</v>
      </c>
    </row>
    <row r="24" spans="1:2" x14ac:dyDescent="0.2">
      <c r="A24" t="s">
        <v>33</v>
      </c>
      <c r="B24" t="s">
        <v>34</v>
      </c>
    </row>
    <row r="25" spans="1:2" x14ac:dyDescent="0.2">
      <c r="A25" t="s">
        <v>35</v>
      </c>
      <c r="B25" t="s">
        <v>36</v>
      </c>
    </row>
    <row r="26" spans="1:2" x14ac:dyDescent="0.2">
      <c r="A26" t="s">
        <v>37</v>
      </c>
      <c r="B26" t="s">
        <v>38</v>
      </c>
    </row>
    <row r="27" spans="1:2" x14ac:dyDescent="0.2">
      <c r="A27" t="s">
        <v>39</v>
      </c>
      <c r="B27" t="s">
        <v>40</v>
      </c>
    </row>
    <row r="28" spans="1:2" x14ac:dyDescent="0.2">
      <c r="A28" t="s">
        <v>41</v>
      </c>
      <c r="B28" t="s">
        <v>42</v>
      </c>
    </row>
    <row r="29" spans="1:2" x14ac:dyDescent="0.2">
      <c r="A29" t="s">
        <v>43</v>
      </c>
      <c r="B29" t="s">
        <v>44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D14"/>
  <sheetViews>
    <sheetView workbookViewId="0"/>
  </sheetViews>
  <sheetFormatPr baseColWidth="10" defaultColWidth="8.83203125" defaultRowHeight="15" x14ac:dyDescent="0.2"/>
  <cols>
    <col min="1" max="1" width="20" customWidth="1"/>
    <col min="2" max="2" width="18" customWidth="1"/>
    <col min="3" max="3" width="12" customWidth="1"/>
    <col min="4" max="4" width="35" customWidth="1"/>
  </cols>
  <sheetData>
    <row r="1" spans="1:4" ht="21" x14ac:dyDescent="0.25">
      <c r="A1" s="5" t="s">
        <v>45</v>
      </c>
    </row>
    <row r="3" spans="1:4" x14ac:dyDescent="0.2">
      <c r="A3" s="6" t="s">
        <v>45</v>
      </c>
    </row>
    <row r="4" spans="1:4" ht="31.25" customHeight="1" x14ac:dyDescent="0.2">
      <c r="A4" s="7" t="s">
        <v>46</v>
      </c>
      <c r="B4" s="30" t="s">
        <v>47</v>
      </c>
      <c r="C4" s="31"/>
      <c r="D4" s="31"/>
    </row>
    <row r="5" spans="1:4" ht="15.5" customHeight="1" x14ac:dyDescent="0.2">
      <c r="A5" s="7" t="s">
        <v>48</v>
      </c>
      <c r="B5" s="30" t="s">
        <v>49</v>
      </c>
      <c r="C5" s="31"/>
      <c r="D5" s="31"/>
    </row>
    <row r="6" spans="1:4" ht="78" customHeight="1" x14ac:dyDescent="0.2">
      <c r="A6" s="7" t="s">
        <v>50</v>
      </c>
      <c r="B6" s="30" t="s">
        <v>51</v>
      </c>
      <c r="C6" s="31"/>
      <c r="D6" s="31"/>
    </row>
    <row r="7" spans="1:4" ht="15.5" customHeight="1" x14ac:dyDescent="0.2">
      <c r="A7" s="7" t="s">
        <v>52</v>
      </c>
      <c r="B7" s="30" t="s">
        <v>53</v>
      </c>
      <c r="C7" s="31"/>
      <c r="D7" s="31"/>
    </row>
    <row r="8" spans="1:4" ht="15.5" customHeight="1" x14ac:dyDescent="0.2">
      <c r="A8" s="7" t="s">
        <v>54</v>
      </c>
      <c r="B8" s="30" t="s">
        <v>55</v>
      </c>
      <c r="C8" s="31"/>
      <c r="D8" s="31"/>
    </row>
    <row r="9" spans="1:4" x14ac:dyDescent="0.2">
      <c r="A9" s="8" t="s">
        <v>56</v>
      </c>
      <c r="B9" s="8" t="s">
        <v>57</v>
      </c>
      <c r="C9" s="8" t="s">
        <v>58</v>
      </c>
      <c r="D9" s="8" t="s">
        <v>59</v>
      </c>
    </row>
    <row r="10" spans="1:4" x14ac:dyDescent="0.2">
      <c r="A10" t="s">
        <v>60</v>
      </c>
      <c r="B10" s="9" t="s">
        <v>61</v>
      </c>
      <c r="C10" t="s">
        <v>62</v>
      </c>
      <c r="D10" t="s">
        <v>63</v>
      </c>
    </row>
    <row r="11" spans="1:4" x14ac:dyDescent="0.2">
      <c r="A11" t="s">
        <v>64</v>
      </c>
      <c r="B11" s="9" t="s">
        <v>65</v>
      </c>
      <c r="C11" t="s">
        <v>62</v>
      </c>
      <c r="D11" t="s">
        <v>66</v>
      </c>
    </row>
    <row r="12" spans="1:4" x14ac:dyDescent="0.2">
      <c r="A12" t="s">
        <v>67</v>
      </c>
      <c r="B12" s="10">
        <v>4.8000000000000001E-2</v>
      </c>
      <c r="C12" t="s">
        <v>68</v>
      </c>
      <c r="D12" t="s">
        <v>69</v>
      </c>
    </row>
    <row r="13" spans="1:4" x14ac:dyDescent="0.2">
      <c r="A13" t="s">
        <v>70</v>
      </c>
      <c r="B13" s="9">
        <v>5</v>
      </c>
      <c r="C13" t="s">
        <v>71</v>
      </c>
      <c r="D13" t="s">
        <v>72</v>
      </c>
    </row>
    <row r="14" spans="1:4" x14ac:dyDescent="0.2">
      <c r="A14" t="s">
        <v>73</v>
      </c>
      <c r="B14" s="9">
        <v>2026</v>
      </c>
      <c r="C14" t="s">
        <v>74</v>
      </c>
      <c r="D14" t="s">
        <v>75</v>
      </c>
    </row>
  </sheetData>
  <mergeCells count="5">
    <mergeCell ref="B5:D5"/>
    <mergeCell ref="B8:D8"/>
    <mergeCell ref="B4:D4"/>
    <mergeCell ref="B7:D7"/>
    <mergeCell ref="B6:D6"/>
  </mergeCells>
  <dataValidations count="2">
    <dataValidation type="list" errorTitle="Invalid Input" error="Select from dropdown" sqref="B5" xr:uid="{00000000-0002-0000-0100-000000000000}">
      <formula1>List_TestingOptions</formula1>
    </dataValidation>
    <dataValidation type="list" sqref="B6" xr:uid="{00000000-0002-0000-0100-000001000000}">
      <formula1>List_Scenarios</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808080"/>
  </sheetPr>
  <dimension ref="A1:D88"/>
  <sheetViews>
    <sheetView workbookViewId="0"/>
  </sheetViews>
  <sheetFormatPr baseColWidth="10" defaultColWidth="8.83203125" defaultRowHeight="15" x14ac:dyDescent="0.2"/>
  <cols>
    <col min="1" max="1" width="35" customWidth="1"/>
    <col min="2" max="2" width="30" customWidth="1"/>
    <col min="3" max="3" width="50" customWidth="1"/>
    <col min="4" max="4" width="15" customWidth="1"/>
  </cols>
  <sheetData>
    <row r="1" spans="1:1" ht="21" x14ac:dyDescent="0.25">
      <c r="A1" s="5" t="s">
        <v>76</v>
      </c>
    </row>
    <row r="3" spans="1:1" ht="19" x14ac:dyDescent="0.25">
      <c r="A3" s="4" t="s">
        <v>77</v>
      </c>
    </row>
    <row r="4" spans="1:1" x14ac:dyDescent="0.2">
      <c r="A4" t="s">
        <v>78</v>
      </c>
    </row>
    <row r="5" spans="1:1" x14ac:dyDescent="0.2">
      <c r="A5" t="s">
        <v>79</v>
      </c>
    </row>
    <row r="6" spans="1:1" x14ac:dyDescent="0.2">
      <c r="A6" t="s">
        <v>80</v>
      </c>
    </row>
    <row r="7" spans="1:1" x14ac:dyDescent="0.2">
      <c r="A7" t="s">
        <v>81</v>
      </c>
    </row>
    <row r="9" spans="1:1" ht="19" x14ac:dyDescent="0.25">
      <c r="A9" s="4" t="s">
        <v>82</v>
      </c>
    </row>
    <row r="10" spans="1:1" x14ac:dyDescent="0.2">
      <c r="A10" t="s">
        <v>83</v>
      </c>
    </row>
    <row r="11" spans="1:1" x14ac:dyDescent="0.2">
      <c r="A11" t="s">
        <v>84</v>
      </c>
    </row>
    <row r="12" spans="1:1" x14ac:dyDescent="0.2">
      <c r="A12" t="s">
        <v>85</v>
      </c>
    </row>
    <row r="13" spans="1:1" x14ac:dyDescent="0.2">
      <c r="A13" t="s">
        <v>86</v>
      </c>
    </row>
    <row r="14" spans="1:1" x14ac:dyDescent="0.2">
      <c r="A14" t="s">
        <v>87</v>
      </c>
    </row>
    <row r="15" spans="1:1" x14ac:dyDescent="0.2">
      <c r="A15" t="s">
        <v>88</v>
      </c>
    </row>
    <row r="16" spans="1:1" x14ac:dyDescent="0.2">
      <c r="A16" t="s">
        <v>89</v>
      </c>
    </row>
    <row r="17" spans="1:4" x14ac:dyDescent="0.2">
      <c r="A17" t="s">
        <v>90</v>
      </c>
    </row>
    <row r="19" spans="1:4" ht="19" x14ac:dyDescent="0.25">
      <c r="A19" s="4" t="s">
        <v>91</v>
      </c>
    </row>
    <row r="20" spans="1:4" x14ac:dyDescent="0.2">
      <c r="A20" t="s">
        <v>92</v>
      </c>
    </row>
    <row r="21" spans="1:4" x14ac:dyDescent="0.2">
      <c r="A21" s="8" t="s">
        <v>93</v>
      </c>
      <c r="B21" s="8" t="s">
        <v>94</v>
      </c>
      <c r="C21" s="8" t="s">
        <v>95</v>
      </c>
      <c r="D21" s="8" t="s">
        <v>96</v>
      </c>
    </row>
    <row r="22" spans="1:4" x14ac:dyDescent="0.2">
      <c r="A22" t="s">
        <v>97</v>
      </c>
      <c r="B22" t="s">
        <v>98</v>
      </c>
      <c r="C22" t="s">
        <v>99</v>
      </c>
      <c r="D22" t="s">
        <v>100</v>
      </c>
    </row>
    <row r="23" spans="1:4" x14ac:dyDescent="0.2">
      <c r="A23" t="s">
        <v>101</v>
      </c>
      <c r="B23" t="s">
        <v>98</v>
      </c>
      <c r="C23" t="s">
        <v>99</v>
      </c>
      <c r="D23" t="s">
        <v>100</v>
      </c>
    </row>
    <row r="24" spans="1:4" x14ac:dyDescent="0.2">
      <c r="A24" t="s">
        <v>102</v>
      </c>
      <c r="B24" t="s">
        <v>103</v>
      </c>
      <c r="C24" t="s">
        <v>99</v>
      </c>
      <c r="D24" t="s">
        <v>100</v>
      </c>
    </row>
    <row r="25" spans="1:4" x14ac:dyDescent="0.2">
      <c r="A25" t="s">
        <v>104</v>
      </c>
      <c r="B25" t="s">
        <v>105</v>
      </c>
      <c r="C25" t="s">
        <v>99</v>
      </c>
      <c r="D25" t="s">
        <v>100</v>
      </c>
    </row>
    <row r="27" spans="1:4" ht="19" x14ac:dyDescent="0.25">
      <c r="A27" s="4" t="s">
        <v>106</v>
      </c>
    </row>
    <row r="28" spans="1:4" x14ac:dyDescent="0.2">
      <c r="A28" s="11" t="s">
        <v>107</v>
      </c>
      <c r="B28" t="s">
        <v>108</v>
      </c>
    </row>
    <row r="29" spans="1:4" x14ac:dyDescent="0.2">
      <c r="A29" s="11" t="s">
        <v>109</v>
      </c>
      <c r="B29" t="s">
        <v>110</v>
      </c>
    </row>
    <row r="30" spans="1:4" x14ac:dyDescent="0.2">
      <c r="A30" s="11" t="s">
        <v>111</v>
      </c>
      <c r="B30" t="s">
        <v>112</v>
      </c>
    </row>
    <row r="31" spans="1:4" x14ac:dyDescent="0.2">
      <c r="A31" s="11" t="s">
        <v>113</v>
      </c>
      <c r="B31" t="s">
        <v>114</v>
      </c>
    </row>
    <row r="32" spans="1:4" x14ac:dyDescent="0.2">
      <c r="A32" s="11" t="s">
        <v>115</v>
      </c>
      <c r="B32" t="s">
        <v>116</v>
      </c>
    </row>
    <row r="33" spans="1:2" x14ac:dyDescent="0.2">
      <c r="A33" s="11" t="s">
        <v>117</v>
      </c>
      <c r="B33" t="s">
        <v>118</v>
      </c>
    </row>
    <row r="34" spans="1:2" x14ac:dyDescent="0.2">
      <c r="A34" s="11" t="s">
        <v>119</v>
      </c>
      <c r="B34" t="s">
        <v>120</v>
      </c>
    </row>
    <row r="36" spans="1:2" ht="19" x14ac:dyDescent="0.25">
      <c r="A36" s="4" t="s">
        <v>121</v>
      </c>
    </row>
    <row r="37" spans="1:2" x14ac:dyDescent="0.2">
      <c r="A37" t="s">
        <v>122</v>
      </c>
    </row>
    <row r="38" spans="1:2" x14ac:dyDescent="0.2">
      <c r="A38" t="s">
        <v>123</v>
      </c>
    </row>
    <row r="39" spans="1:2" x14ac:dyDescent="0.2">
      <c r="A39" t="s">
        <v>124</v>
      </c>
    </row>
    <row r="40" spans="1:2" x14ac:dyDescent="0.2">
      <c r="A40" t="s">
        <v>125</v>
      </c>
    </row>
    <row r="41" spans="1:2" x14ac:dyDescent="0.2">
      <c r="A41" t="s">
        <v>126</v>
      </c>
    </row>
    <row r="43" spans="1:2" ht="19" x14ac:dyDescent="0.25">
      <c r="A43" s="4" t="s">
        <v>127</v>
      </c>
    </row>
    <row r="44" spans="1:2" x14ac:dyDescent="0.2">
      <c r="A44" s="12" t="s">
        <v>128</v>
      </c>
    </row>
    <row r="45" spans="1:2" x14ac:dyDescent="0.2">
      <c r="A45" t="s">
        <v>129</v>
      </c>
    </row>
    <row r="46" spans="1:2" x14ac:dyDescent="0.2">
      <c r="A46" t="s">
        <v>130</v>
      </c>
    </row>
    <row r="47" spans="1:2" x14ac:dyDescent="0.2">
      <c r="A47" t="s">
        <v>131</v>
      </c>
    </row>
    <row r="48" spans="1:2" x14ac:dyDescent="0.2">
      <c r="A48" t="s">
        <v>132</v>
      </c>
    </row>
    <row r="50" spans="1:1" x14ac:dyDescent="0.2">
      <c r="A50" s="11" t="s">
        <v>133</v>
      </c>
    </row>
    <row r="51" spans="1:1" x14ac:dyDescent="0.2">
      <c r="A51" t="s">
        <v>134</v>
      </c>
    </row>
    <row r="52" spans="1:1" x14ac:dyDescent="0.2">
      <c r="A52" t="s">
        <v>135</v>
      </c>
    </row>
    <row r="53" spans="1:1" x14ac:dyDescent="0.2">
      <c r="A53" t="s">
        <v>136</v>
      </c>
    </row>
    <row r="55" spans="1:1" ht="19" x14ac:dyDescent="0.25">
      <c r="A55" s="4" t="s">
        <v>137</v>
      </c>
    </row>
    <row r="56" spans="1:1" x14ac:dyDescent="0.2">
      <c r="A56" s="12" t="s">
        <v>138</v>
      </c>
    </row>
    <row r="57" spans="1:1" x14ac:dyDescent="0.2">
      <c r="A57" t="s">
        <v>139</v>
      </c>
    </row>
    <row r="59" spans="1:1" x14ac:dyDescent="0.2">
      <c r="A59" s="11" t="s">
        <v>140</v>
      </c>
    </row>
    <row r="60" spans="1:1" x14ac:dyDescent="0.2">
      <c r="A60" t="s">
        <v>141</v>
      </c>
    </row>
    <row r="61" spans="1:1" x14ac:dyDescent="0.2">
      <c r="A61" t="s">
        <v>142</v>
      </c>
    </row>
    <row r="62" spans="1:1" x14ac:dyDescent="0.2">
      <c r="A62" t="s">
        <v>143</v>
      </c>
    </row>
    <row r="64" spans="1:1" x14ac:dyDescent="0.2">
      <c r="A64" s="11" t="s">
        <v>144</v>
      </c>
    </row>
    <row r="65" spans="1:1" x14ac:dyDescent="0.2">
      <c r="A65" t="s">
        <v>145</v>
      </c>
    </row>
    <row r="66" spans="1:1" x14ac:dyDescent="0.2">
      <c r="A66" t="s">
        <v>146</v>
      </c>
    </row>
    <row r="67" spans="1:1" x14ac:dyDescent="0.2">
      <c r="A67" t="s">
        <v>147</v>
      </c>
    </row>
    <row r="69" spans="1:1" x14ac:dyDescent="0.2">
      <c r="A69" s="11" t="s">
        <v>148</v>
      </c>
    </row>
    <row r="70" spans="1:1" x14ac:dyDescent="0.2">
      <c r="A70" t="s">
        <v>149</v>
      </c>
    </row>
    <row r="71" spans="1:1" x14ac:dyDescent="0.2">
      <c r="A71" t="s">
        <v>150</v>
      </c>
    </row>
    <row r="72" spans="1:1" x14ac:dyDescent="0.2">
      <c r="A72" t="s">
        <v>151</v>
      </c>
    </row>
    <row r="73" spans="1:1" x14ac:dyDescent="0.2">
      <c r="A73" t="s">
        <v>152</v>
      </c>
    </row>
    <row r="74" spans="1:1" x14ac:dyDescent="0.2">
      <c r="A74" t="s">
        <v>153</v>
      </c>
    </row>
    <row r="76" spans="1:1" x14ac:dyDescent="0.2">
      <c r="A76" s="11" t="s">
        <v>154</v>
      </c>
    </row>
    <row r="77" spans="1:1" x14ac:dyDescent="0.2">
      <c r="A77" t="s">
        <v>155</v>
      </c>
    </row>
    <row r="78" spans="1:1" x14ac:dyDescent="0.2">
      <c r="A78" t="s">
        <v>156</v>
      </c>
    </row>
    <row r="79" spans="1:1" x14ac:dyDescent="0.2">
      <c r="A79" t="s">
        <v>157</v>
      </c>
    </row>
    <row r="80" spans="1:1" x14ac:dyDescent="0.2">
      <c r="A80" t="s">
        <v>158</v>
      </c>
    </row>
    <row r="82" spans="1:3" ht="19" x14ac:dyDescent="0.25">
      <c r="A82" s="4" t="s">
        <v>159</v>
      </c>
    </row>
    <row r="83" spans="1:3" x14ac:dyDescent="0.2">
      <c r="A83" s="8" t="s">
        <v>160</v>
      </c>
      <c r="B83" s="8" t="s">
        <v>161</v>
      </c>
      <c r="C83" s="8" t="s">
        <v>162</v>
      </c>
    </row>
    <row r="84" spans="1:3" x14ac:dyDescent="0.2">
      <c r="A84" t="s">
        <v>163</v>
      </c>
      <c r="B84" t="s">
        <v>164</v>
      </c>
      <c r="C84" t="s">
        <v>165</v>
      </c>
    </row>
    <row r="85" spans="1:3" x14ac:dyDescent="0.2">
      <c r="A85" t="s">
        <v>166</v>
      </c>
      <c r="B85" t="s">
        <v>164</v>
      </c>
      <c r="C85" t="s">
        <v>167</v>
      </c>
    </row>
    <row r="86" spans="1:3" x14ac:dyDescent="0.2">
      <c r="A86" t="s">
        <v>3</v>
      </c>
      <c r="B86" t="s">
        <v>164</v>
      </c>
      <c r="C86" t="s">
        <v>168</v>
      </c>
    </row>
    <row r="87" spans="1:3" x14ac:dyDescent="0.2">
      <c r="A87" t="s">
        <v>169</v>
      </c>
      <c r="B87" t="s">
        <v>170</v>
      </c>
      <c r="C87" t="s">
        <v>171</v>
      </c>
    </row>
    <row r="88" spans="1:3" x14ac:dyDescent="0.2">
      <c r="A88" t="s">
        <v>172</v>
      </c>
      <c r="B88" t="s">
        <v>173</v>
      </c>
      <c r="C88" t="s">
        <v>174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08080"/>
  </sheetPr>
  <dimension ref="A1:D44"/>
  <sheetViews>
    <sheetView workbookViewId="0"/>
  </sheetViews>
  <sheetFormatPr baseColWidth="10" defaultColWidth="8.83203125" defaultRowHeight="15" x14ac:dyDescent="0.2"/>
  <cols>
    <col min="1" max="1" width="32" customWidth="1"/>
    <col min="2" max="3" width="18" customWidth="1"/>
    <col min="4" max="4" width="28" customWidth="1"/>
  </cols>
  <sheetData>
    <row r="1" spans="1:4" ht="21" x14ac:dyDescent="0.25">
      <c r="A1" s="5" t="s">
        <v>175</v>
      </c>
    </row>
    <row r="2" spans="1:4" x14ac:dyDescent="0.2">
      <c r="A2" s="12" t="s">
        <v>176</v>
      </c>
    </row>
    <row r="4" spans="1:4" x14ac:dyDescent="0.2">
      <c r="A4" s="8" t="s">
        <v>177</v>
      </c>
      <c r="B4" s="8" t="s">
        <v>57</v>
      </c>
      <c r="C4" s="8" t="s">
        <v>178</v>
      </c>
      <c r="D4" s="8" t="s">
        <v>179</v>
      </c>
    </row>
    <row r="5" spans="1:4" x14ac:dyDescent="0.2">
      <c r="A5" t="s">
        <v>180</v>
      </c>
      <c r="B5">
        <f>Initial_NAFC</f>
        <v>63.1</v>
      </c>
      <c r="C5" t="s">
        <v>15</v>
      </c>
      <c r="D5" t="s">
        <v>21</v>
      </c>
    </row>
    <row r="6" spans="1:4" x14ac:dyDescent="0.2">
      <c r="A6" t="s">
        <v>181</v>
      </c>
      <c r="B6">
        <f>Target_NAFC</f>
        <v>50</v>
      </c>
      <c r="C6" t="s">
        <v>15</v>
      </c>
      <c r="D6" t="s">
        <v>21</v>
      </c>
    </row>
    <row r="7" spans="1:4" x14ac:dyDescent="0.2">
      <c r="A7" t="s">
        <v>182</v>
      </c>
      <c r="B7">
        <f>Rapid_Phase_Rate</f>
        <v>0.53200000000000003</v>
      </c>
      <c r="C7" t="s">
        <v>15</v>
      </c>
      <c r="D7" t="s">
        <v>21</v>
      </c>
    </row>
    <row r="8" spans="1:4" x14ac:dyDescent="0.2">
      <c r="A8" t="s">
        <v>183</v>
      </c>
      <c r="B8">
        <f>Slow_Phase_Rate</f>
        <v>0.248</v>
      </c>
      <c r="C8" t="s">
        <v>15</v>
      </c>
      <c r="D8" t="s">
        <v>21</v>
      </c>
    </row>
    <row r="9" spans="1:4" x14ac:dyDescent="0.2">
      <c r="A9" t="s">
        <v>184</v>
      </c>
      <c r="B9">
        <f>Rapid_Phase_Duration</f>
        <v>15</v>
      </c>
      <c r="C9" t="s">
        <v>15</v>
      </c>
      <c r="D9" t="s">
        <v>21</v>
      </c>
    </row>
    <row r="10" spans="1:4" x14ac:dyDescent="0.2">
      <c r="A10" t="s">
        <v>185</v>
      </c>
      <c r="B10">
        <f>Recirculation_Cycle</f>
        <v>14</v>
      </c>
      <c r="C10" t="s">
        <v>15</v>
      </c>
      <c r="D10" t="s">
        <v>21</v>
      </c>
    </row>
    <row r="11" spans="1:4" x14ac:dyDescent="0.2">
      <c r="A11" t="s">
        <v>186</v>
      </c>
      <c r="B11">
        <f>Season_Length</f>
        <v>100</v>
      </c>
      <c r="C11" t="s">
        <v>15</v>
      </c>
      <c r="D11" t="s">
        <v>187</v>
      </c>
    </row>
    <row r="12" spans="1:4" x14ac:dyDescent="0.2">
      <c r="A12" t="s">
        <v>188</v>
      </c>
      <c r="B12" t="s">
        <v>189</v>
      </c>
      <c r="C12" t="s">
        <v>15</v>
      </c>
      <c r="D12" t="s">
        <v>21</v>
      </c>
    </row>
    <row r="13" spans="1:4" x14ac:dyDescent="0.2">
      <c r="A13" t="s">
        <v>190</v>
      </c>
      <c r="B13">
        <f>Tri_Season_Extension_Days_Min</f>
        <v>14</v>
      </c>
      <c r="C13" t="s">
        <v>19</v>
      </c>
      <c r="D13" t="s">
        <v>23</v>
      </c>
    </row>
    <row r="14" spans="1:4" x14ac:dyDescent="0.2">
      <c r="A14" t="s">
        <v>191</v>
      </c>
      <c r="B14">
        <f>Tri_Season_Extension_Days_Mode</f>
        <v>21</v>
      </c>
      <c r="C14" t="s">
        <v>19</v>
      </c>
      <c r="D14" t="s">
        <v>23</v>
      </c>
    </row>
    <row r="15" spans="1:4" x14ac:dyDescent="0.2">
      <c r="A15" t="s">
        <v>192</v>
      </c>
      <c r="B15">
        <f>Tri_Season_Extension_Days_Max</f>
        <v>35</v>
      </c>
      <c r="C15" t="s">
        <v>19</v>
      </c>
      <c r="D15" t="s">
        <v>23</v>
      </c>
    </row>
    <row r="16" spans="1:4" x14ac:dyDescent="0.2">
      <c r="A16" t="s">
        <v>193</v>
      </c>
      <c r="B16">
        <f>Tri_Extension_Value_Per_Day_Min</f>
        <v>3000</v>
      </c>
      <c r="C16" t="s">
        <v>19</v>
      </c>
      <c r="D16" t="s">
        <v>23</v>
      </c>
    </row>
    <row r="17" spans="1:4" x14ac:dyDescent="0.2">
      <c r="A17" t="s">
        <v>194</v>
      </c>
      <c r="B17">
        <f>Tri_Extension_Value_Per_Day_Mode</f>
        <v>7500</v>
      </c>
      <c r="C17" t="s">
        <v>19</v>
      </c>
      <c r="D17" t="s">
        <v>23</v>
      </c>
    </row>
    <row r="18" spans="1:4" x14ac:dyDescent="0.2">
      <c r="A18" t="s">
        <v>195</v>
      </c>
      <c r="B18">
        <f>Tri_Extension_Value_Per_Day_Max</f>
        <v>15000</v>
      </c>
      <c r="C18" t="s">
        <v>19</v>
      </c>
      <c r="D18" t="s">
        <v>23</v>
      </c>
    </row>
    <row r="19" spans="1:4" x14ac:dyDescent="0.2">
      <c r="A19" t="s">
        <v>196</v>
      </c>
      <c r="B19">
        <f>Tri_Interventions_Avoided_Min</f>
        <v>1</v>
      </c>
      <c r="C19" t="s">
        <v>19</v>
      </c>
      <c r="D19" t="s">
        <v>23</v>
      </c>
    </row>
    <row r="20" spans="1:4" x14ac:dyDescent="0.2">
      <c r="A20" t="s">
        <v>197</v>
      </c>
      <c r="B20">
        <f>Tri_Interventions_Avoided_Mode</f>
        <v>3</v>
      </c>
      <c r="C20" t="s">
        <v>19</v>
      </c>
      <c r="D20" t="s">
        <v>23</v>
      </c>
    </row>
    <row r="21" spans="1:4" x14ac:dyDescent="0.2">
      <c r="A21" t="s">
        <v>198</v>
      </c>
      <c r="B21">
        <f>Tri_Interventions_Avoided_Max</f>
        <v>8</v>
      </c>
      <c r="C21" t="s">
        <v>19</v>
      </c>
      <c r="D21" t="s">
        <v>23</v>
      </c>
    </row>
    <row r="22" spans="1:4" x14ac:dyDescent="0.2">
      <c r="A22" t="s">
        <v>199</v>
      </c>
      <c r="B22">
        <f>Tri_Treatment_Rate_Factor_Min</f>
        <v>0.7</v>
      </c>
      <c r="C22" t="s">
        <v>19</v>
      </c>
      <c r="D22" t="s">
        <v>23</v>
      </c>
    </row>
    <row r="23" spans="1:4" x14ac:dyDescent="0.2">
      <c r="A23" t="s">
        <v>200</v>
      </c>
      <c r="B23">
        <f>Tri_Treatment_Rate_Factor_Mode</f>
        <v>1</v>
      </c>
      <c r="C23" t="s">
        <v>19</v>
      </c>
      <c r="D23" t="s">
        <v>23</v>
      </c>
    </row>
    <row r="24" spans="1:4" x14ac:dyDescent="0.2">
      <c r="A24" t="s">
        <v>201</v>
      </c>
      <c r="B24">
        <f>Tri_Treatment_Rate_Factor_Max</f>
        <v>1.3</v>
      </c>
      <c r="C24" t="s">
        <v>19</v>
      </c>
      <c r="D24" t="s">
        <v>23</v>
      </c>
    </row>
    <row r="25" spans="1:4" x14ac:dyDescent="0.2">
      <c r="A25" t="s">
        <v>202</v>
      </c>
      <c r="B25">
        <f>Beta_Efficiency_Gain_Alpha</f>
        <v>2</v>
      </c>
      <c r="C25" t="s">
        <v>19</v>
      </c>
    </row>
    <row r="26" spans="1:4" x14ac:dyDescent="0.2">
      <c r="A26" t="s">
        <v>203</v>
      </c>
      <c r="B26">
        <f>Beta_Efficiency_Gain_Beta</f>
        <v>5</v>
      </c>
      <c r="C26" t="s">
        <v>19</v>
      </c>
    </row>
    <row r="27" spans="1:4" x14ac:dyDescent="0.2">
      <c r="A27" t="s">
        <v>204</v>
      </c>
      <c r="B27">
        <f>Beta_Efficiency_Gain_Min</f>
        <v>0.05</v>
      </c>
      <c r="C27" t="s">
        <v>19</v>
      </c>
      <c r="D27" t="s">
        <v>23</v>
      </c>
    </row>
    <row r="28" spans="1:4" x14ac:dyDescent="0.2">
      <c r="A28" t="s">
        <v>205</v>
      </c>
      <c r="B28">
        <f>Beta_Efficiency_Gain_Max</f>
        <v>0.4</v>
      </c>
      <c r="C28" t="s">
        <v>19</v>
      </c>
      <c r="D28" t="s">
        <v>23</v>
      </c>
    </row>
    <row r="29" spans="1:4" x14ac:dyDescent="0.2">
      <c r="A29" t="s">
        <v>206</v>
      </c>
      <c r="B29">
        <f ca="1">Eff_Rapid_Rate</f>
        <v>0.58291437954676917</v>
      </c>
      <c r="C29" t="s">
        <v>21</v>
      </c>
      <c r="D29" t="s">
        <v>21</v>
      </c>
    </row>
    <row r="30" spans="1:4" x14ac:dyDescent="0.2">
      <c r="A30" t="s">
        <v>207</v>
      </c>
      <c r="B30">
        <f ca="1">Eff_Slow_Rate</f>
        <v>0.27173452279623822</v>
      </c>
      <c r="C30" t="s">
        <v>21</v>
      </c>
      <c r="D30" t="s">
        <v>21</v>
      </c>
    </row>
    <row r="31" spans="1:4" x14ac:dyDescent="0.2">
      <c r="A31" t="s">
        <v>208</v>
      </c>
      <c r="B31">
        <f ca="1">NAFC_After_Rapid</f>
        <v>54.356284306798464</v>
      </c>
      <c r="C31" t="s">
        <v>21</v>
      </c>
      <c r="D31" t="s">
        <v>21</v>
      </c>
    </row>
    <row r="32" spans="1:4" x14ac:dyDescent="0.2">
      <c r="A32" t="s">
        <v>209</v>
      </c>
      <c r="B32">
        <f ca="1">Days_to_Compliance</f>
        <v>31.031398079165122</v>
      </c>
      <c r="C32" t="s">
        <v>21</v>
      </c>
      <c r="D32" t="s">
        <v>210</v>
      </c>
    </row>
    <row r="33" spans="1:4" x14ac:dyDescent="0.2">
      <c r="A33" t="s">
        <v>211</v>
      </c>
      <c r="B33" t="s">
        <v>189</v>
      </c>
      <c r="C33" t="s">
        <v>21</v>
      </c>
      <c r="D33" t="s">
        <v>33</v>
      </c>
    </row>
    <row r="34" spans="1:4" x14ac:dyDescent="0.2">
      <c r="A34" t="s">
        <v>212</v>
      </c>
      <c r="B34" t="s">
        <v>189</v>
      </c>
      <c r="C34" t="s">
        <v>21</v>
      </c>
      <c r="D34" t="s">
        <v>33</v>
      </c>
    </row>
    <row r="37" spans="1:4" ht="19" x14ac:dyDescent="0.25">
      <c r="A37" s="4" t="s">
        <v>213</v>
      </c>
    </row>
    <row r="38" spans="1:4" x14ac:dyDescent="0.2">
      <c r="A38" t="s">
        <v>214</v>
      </c>
    </row>
    <row r="39" spans="1:4" x14ac:dyDescent="0.2">
      <c r="A39" t="s">
        <v>215</v>
      </c>
    </row>
    <row r="41" spans="1:4" x14ac:dyDescent="0.2">
      <c r="A41" s="11" t="s">
        <v>216</v>
      </c>
    </row>
    <row r="42" spans="1:4" x14ac:dyDescent="0.2">
      <c r="A42" t="s">
        <v>217</v>
      </c>
    </row>
    <row r="43" spans="1:4" x14ac:dyDescent="0.2">
      <c r="A43" t="s">
        <v>218</v>
      </c>
    </row>
    <row r="44" spans="1:4" x14ac:dyDescent="0.2">
      <c r="A44" t="s">
        <v>219</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A1:G126"/>
  <sheetViews>
    <sheetView workbookViewId="0"/>
  </sheetViews>
  <sheetFormatPr baseColWidth="10" defaultColWidth="8.83203125" defaultRowHeight="15" x14ac:dyDescent="0.2"/>
  <cols>
    <col min="1" max="1" width="24" customWidth="1"/>
    <col min="2" max="2" width="14" customWidth="1"/>
    <col min="3" max="3" width="12" customWidth="1"/>
    <col min="4" max="4" width="42" customWidth="1"/>
    <col min="5" max="5" width="30" customWidth="1"/>
    <col min="6" max="6" width="16" customWidth="1"/>
    <col min="7" max="7" width="14" customWidth="1"/>
  </cols>
  <sheetData>
    <row r="1" spans="1:5" ht="21" x14ac:dyDescent="0.25">
      <c r="A1" s="5" t="s">
        <v>220</v>
      </c>
    </row>
    <row r="3" spans="1:5" x14ac:dyDescent="0.2">
      <c r="A3" s="6" t="s">
        <v>221</v>
      </c>
    </row>
    <row r="4" spans="1:5" ht="15.5" customHeight="1" x14ac:dyDescent="0.2">
      <c r="A4" s="7" t="s">
        <v>46</v>
      </c>
      <c r="B4" s="30" t="s">
        <v>222</v>
      </c>
      <c r="C4" s="31"/>
      <c r="D4" s="31"/>
      <c r="E4" s="31"/>
    </row>
    <row r="5" spans="1:5" ht="15.5" customHeight="1" x14ac:dyDescent="0.2">
      <c r="A5" s="7" t="s">
        <v>48</v>
      </c>
      <c r="B5" s="30" t="s">
        <v>223</v>
      </c>
      <c r="C5" s="31"/>
      <c r="D5" s="31"/>
      <c r="E5" s="31"/>
    </row>
    <row r="6" spans="1:5" ht="31.25" customHeight="1" x14ac:dyDescent="0.2">
      <c r="A6" s="7" t="s">
        <v>50</v>
      </c>
      <c r="B6" s="30" t="s">
        <v>224</v>
      </c>
      <c r="C6" s="31"/>
      <c r="D6" s="31"/>
      <c r="E6" s="31"/>
    </row>
    <row r="7" spans="1:5" ht="15.5" customHeight="1" x14ac:dyDescent="0.2">
      <c r="A7" s="7" t="s">
        <v>52</v>
      </c>
      <c r="B7" s="30" t="s">
        <v>225</v>
      </c>
      <c r="C7" s="31"/>
      <c r="D7" s="31"/>
      <c r="E7" s="31"/>
    </row>
    <row r="8" spans="1:5" ht="15.5" customHeight="1" x14ac:dyDescent="0.2">
      <c r="A8" s="7" t="s">
        <v>54</v>
      </c>
      <c r="B8" s="30" t="s">
        <v>226</v>
      </c>
      <c r="C8" s="31"/>
      <c r="D8" s="31"/>
      <c r="E8" s="31"/>
    </row>
    <row r="9" spans="1:5" x14ac:dyDescent="0.2">
      <c r="A9" s="8" t="s">
        <v>56</v>
      </c>
      <c r="B9" s="8" t="s">
        <v>57</v>
      </c>
      <c r="C9" s="8" t="s">
        <v>227</v>
      </c>
      <c r="D9" s="8" t="s">
        <v>228</v>
      </c>
      <c r="E9" s="8" t="s">
        <v>179</v>
      </c>
    </row>
    <row r="10" spans="1:5" x14ac:dyDescent="0.2">
      <c r="A10" t="s">
        <v>229</v>
      </c>
      <c r="B10" s="9">
        <v>5</v>
      </c>
      <c r="C10" t="s">
        <v>230</v>
      </c>
      <c r="D10" t="s">
        <v>231</v>
      </c>
    </row>
    <row r="11" spans="1:5" x14ac:dyDescent="0.2">
      <c r="A11" t="s">
        <v>232</v>
      </c>
      <c r="B11" s="9">
        <v>15</v>
      </c>
      <c r="C11" t="s">
        <v>233</v>
      </c>
      <c r="D11" t="s">
        <v>234</v>
      </c>
    </row>
    <row r="12" spans="1:5" x14ac:dyDescent="0.2">
      <c r="A12" t="s">
        <v>235</v>
      </c>
      <c r="B12" s="9">
        <v>9</v>
      </c>
      <c r="C12" t="s">
        <v>230</v>
      </c>
      <c r="D12" t="s">
        <v>236</v>
      </c>
    </row>
    <row r="13" spans="1:5" x14ac:dyDescent="0.2">
      <c r="A13" t="s">
        <v>237</v>
      </c>
      <c r="B13" s="9">
        <v>15</v>
      </c>
      <c r="C13" t="s">
        <v>233</v>
      </c>
      <c r="D13" t="s">
        <v>238</v>
      </c>
    </row>
    <row r="14" spans="1:5" x14ac:dyDescent="0.2">
      <c r="A14" t="s">
        <v>239</v>
      </c>
      <c r="B14" s="9">
        <v>100</v>
      </c>
      <c r="C14" t="s">
        <v>240</v>
      </c>
      <c r="D14" t="s">
        <v>241</v>
      </c>
      <c r="E14" t="s">
        <v>187</v>
      </c>
    </row>
    <row r="16" spans="1:5" x14ac:dyDescent="0.2">
      <c r="A16" s="6" t="s">
        <v>242</v>
      </c>
    </row>
    <row r="17" spans="1:5" ht="31.25" customHeight="1" x14ac:dyDescent="0.2">
      <c r="A17" s="7" t="s">
        <v>46</v>
      </c>
      <c r="B17" s="30" t="s">
        <v>243</v>
      </c>
      <c r="C17" s="31"/>
      <c r="D17" s="31"/>
    </row>
    <row r="18" spans="1:5" ht="31.25" customHeight="1" x14ac:dyDescent="0.2">
      <c r="A18" s="7" t="s">
        <v>48</v>
      </c>
      <c r="B18" s="30" t="s">
        <v>244</v>
      </c>
      <c r="C18" s="31"/>
      <c r="D18" s="31"/>
    </row>
    <row r="19" spans="1:5" ht="31.25" customHeight="1" x14ac:dyDescent="0.2">
      <c r="A19" s="7" t="s">
        <v>50</v>
      </c>
      <c r="B19" s="30" t="s">
        <v>245</v>
      </c>
      <c r="C19" s="31"/>
      <c r="D19" s="31"/>
    </row>
    <row r="20" spans="1:5" ht="15.5" customHeight="1" x14ac:dyDescent="0.2">
      <c r="A20" s="7" t="s">
        <v>52</v>
      </c>
      <c r="B20" s="30" t="s">
        <v>246</v>
      </c>
      <c r="C20" s="31"/>
      <c r="D20" s="31"/>
    </row>
    <row r="21" spans="1:5" ht="15.5" customHeight="1" x14ac:dyDescent="0.2">
      <c r="A21" s="7" t="s">
        <v>54</v>
      </c>
      <c r="B21" s="30" t="s">
        <v>247</v>
      </c>
      <c r="C21" s="31"/>
      <c r="D21" s="31"/>
    </row>
    <row r="22" spans="1:5" x14ac:dyDescent="0.2">
      <c r="A22" s="8" t="s">
        <v>248</v>
      </c>
      <c r="B22" s="8" t="s">
        <v>249</v>
      </c>
      <c r="C22" s="8" t="s">
        <v>250</v>
      </c>
      <c r="D22" s="8" t="s">
        <v>251</v>
      </c>
    </row>
    <row r="23" spans="1:5" x14ac:dyDescent="0.2">
      <c r="A23" t="s">
        <v>231</v>
      </c>
      <c r="B23">
        <v>5</v>
      </c>
      <c r="C23" s="9">
        <v>0.85</v>
      </c>
      <c r="D23" t="s">
        <v>252</v>
      </c>
    </row>
    <row r="24" spans="1:5" x14ac:dyDescent="0.2">
      <c r="A24" t="s">
        <v>253</v>
      </c>
      <c r="B24">
        <v>6</v>
      </c>
      <c r="C24" s="9">
        <v>1</v>
      </c>
      <c r="D24" t="s">
        <v>254</v>
      </c>
    </row>
    <row r="25" spans="1:5" x14ac:dyDescent="0.2">
      <c r="A25" t="s">
        <v>255</v>
      </c>
      <c r="B25">
        <v>7</v>
      </c>
      <c r="C25" s="9">
        <v>1</v>
      </c>
      <c r="D25" t="s">
        <v>254</v>
      </c>
    </row>
    <row r="26" spans="1:5" x14ac:dyDescent="0.2">
      <c r="A26" t="s">
        <v>256</v>
      </c>
      <c r="B26">
        <v>8</v>
      </c>
      <c r="C26" s="9">
        <v>0.95</v>
      </c>
      <c r="D26" t="s">
        <v>257</v>
      </c>
    </row>
    <row r="27" spans="1:5" x14ac:dyDescent="0.2">
      <c r="A27" t="s">
        <v>236</v>
      </c>
      <c r="B27">
        <v>9</v>
      </c>
      <c r="C27" s="9">
        <v>0.75</v>
      </c>
      <c r="D27" t="s">
        <v>258</v>
      </c>
    </row>
    <row r="30" spans="1:5" x14ac:dyDescent="0.2">
      <c r="A30" s="6" t="s">
        <v>259</v>
      </c>
    </row>
    <row r="31" spans="1:5" ht="15.5" customHeight="1" x14ac:dyDescent="0.2">
      <c r="A31" s="7" t="s">
        <v>46</v>
      </c>
      <c r="B31" s="30" t="s">
        <v>260</v>
      </c>
      <c r="C31" s="31"/>
      <c r="D31" s="31"/>
      <c r="E31" s="31"/>
    </row>
    <row r="32" spans="1:5" ht="15.5" customHeight="1" x14ac:dyDescent="0.2">
      <c r="A32" s="7" t="s">
        <v>48</v>
      </c>
      <c r="B32" s="30" t="s">
        <v>261</v>
      </c>
      <c r="C32" s="31"/>
      <c r="D32" s="31"/>
      <c r="E32" s="31"/>
    </row>
    <row r="33" spans="1:5" ht="31.25" customHeight="1" x14ac:dyDescent="0.2">
      <c r="A33" s="7" t="s">
        <v>50</v>
      </c>
      <c r="B33" s="30" t="s">
        <v>262</v>
      </c>
      <c r="C33" s="31"/>
      <c r="D33" s="31"/>
      <c r="E33" s="31"/>
    </row>
    <row r="34" spans="1:5" ht="15.5" customHeight="1" x14ac:dyDescent="0.2">
      <c r="A34" s="7" t="s">
        <v>52</v>
      </c>
      <c r="B34" s="30" t="s">
        <v>263</v>
      </c>
      <c r="C34" s="31"/>
      <c r="D34" s="31"/>
      <c r="E34" s="31"/>
    </row>
    <row r="35" spans="1:5" ht="15.5" customHeight="1" x14ac:dyDescent="0.2">
      <c r="A35" s="7" t="s">
        <v>54</v>
      </c>
      <c r="B35" s="30" t="s">
        <v>264</v>
      </c>
      <c r="C35" s="31"/>
      <c r="D35" s="31"/>
      <c r="E35" s="31"/>
    </row>
    <row r="36" spans="1:5" x14ac:dyDescent="0.2">
      <c r="A36" s="8" t="s">
        <v>56</v>
      </c>
      <c r="B36" s="8" t="s">
        <v>57</v>
      </c>
      <c r="C36" s="8" t="s">
        <v>227</v>
      </c>
      <c r="D36" s="8" t="s">
        <v>265</v>
      </c>
      <c r="E36" s="8" t="s">
        <v>179</v>
      </c>
    </row>
    <row r="37" spans="1:5" x14ac:dyDescent="0.2">
      <c r="A37" t="s">
        <v>266</v>
      </c>
      <c r="B37" s="9">
        <v>1</v>
      </c>
      <c r="C37" t="s">
        <v>267</v>
      </c>
      <c r="D37" t="s">
        <v>268</v>
      </c>
    </row>
    <row r="38" spans="1:5" x14ac:dyDescent="0.2">
      <c r="A38" t="s">
        <v>269</v>
      </c>
      <c r="B38" s="9">
        <v>5</v>
      </c>
      <c r="C38" t="s">
        <v>270</v>
      </c>
      <c r="D38" t="s">
        <v>271</v>
      </c>
    </row>
    <row r="39" spans="1:5" x14ac:dyDescent="0.2">
      <c r="A39" t="s">
        <v>272</v>
      </c>
      <c r="B39" s="9">
        <v>50000</v>
      </c>
      <c r="C39" t="s">
        <v>273</v>
      </c>
      <c r="D39" t="s">
        <v>274</v>
      </c>
    </row>
    <row r="40" spans="1:5" x14ac:dyDescent="0.2">
      <c r="A40" t="s">
        <v>275</v>
      </c>
      <c r="B40" s="13">
        <v>5</v>
      </c>
      <c r="C40" t="s">
        <v>276</v>
      </c>
      <c r="D40" t="s">
        <v>277</v>
      </c>
    </row>
    <row r="43" spans="1:5" x14ac:dyDescent="0.2">
      <c r="A43" s="6" t="s">
        <v>278</v>
      </c>
    </row>
    <row r="44" spans="1:5" ht="15.5" customHeight="1" x14ac:dyDescent="0.2">
      <c r="A44" s="7" t="s">
        <v>46</v>
      </c>
      <c r="B44" s="30" t="s">
        <v>279</v>
      </c>
      <c r="C44" s="31"/>
      <c r="D44" s="31"/>
    </row>
    <row r="45" spans="1:5" ht="15.5" customHeight="1" x14ac:dyDescent="0.2">
      <c r="A45" s="7" t="s">
        <v>48</v>
      </c>
      <c r="B45" s="30" t="s">
        <v>280</v>
      </c>
      <c r="C45" s="31"/>
      <c r="D45" s="31"/>
    </row>
    <row r="46" spans="1:5" ht="31.25" customHeight="1" x14ac:dyDescent="0.2">
      <c r="A46" s="7" t="s">
        <v>50</v>
      </c>
      <c r="B46" s="30" t="s">
        <v>281</v>
      </c>
      <c r="C46" s="31"/>
      <c r="D46" s="31"/>
    </row>
    <row r="47" spans="1:5" ht="15.5" customHeight="1" x14ac:dyDescent="0.2">
      <c r="A47" s="7" t="s">
        <v>52</v>
      </c>
      <c r="B47" s="30" t="s">
        <v>282</v>
      </c>
      <c r="C47" s="31"/>
      <c r="D47" s="31"/>
    </row>
    <row r="48" spans="1:5" ht="15.5" customHeight="1" x14ac:dyDescent="0.2">
      <c r="A48" s="7" t="s">
        <v>54</v>
      </c>
      <c r="B48" s="30" t="s">
        <v>283</v>
      </c>
      <c r="C48" s="31"/>
      <c r="D48" s="31"/>
    </row>
    <row r="49" spans="1:4" x14ac:dyDescent="0.2">
      <c r="A49" s="8" t="s">
        <v>56</v>
      </c>
      <c r="B49" s="8" t="s">
        <v>57</v>
      </c>
      <c r="C49" s="8" t="s">
        <v>227</v>
      </c>
      <c r="D49" s="8" t="s">
        <v>179</v>
      </c>
    </row>
    <row r="50" spans="1:4" x14ac:dyDescent="0.2">
      <c r="A50" t="s">
        <v>284</v>
      </c>
      <c r="B50" s="14">
        <v>1500</v>
      </c>
      <c r="C50" t="s">
        <v>285</v>
      </c>
    </row>
    <row r="51" spans="1:4" x14ac:dyDescent="0.2">
      <c r="A51" t="s">
        <v>286</v>
      </c>
      <c r="B51" s="14">
        <v>50000</v>
      </c>
      <c r="C51" t="s">
        <v>287</v>
      </c>
    </row>
    <row r="52" spans="1:4" x14ac:dyDescent="0.2">
      <c r="A52" t="s">
        <v>288</v>
      </c>
      <c r="B52" s="14">
        <v>15000</v>
      </c>
      <c r="C52" t="s">
        <v>285</v>
      </c>
    </row>
    <row r="55" spans="1:4" x14ac:dyDescent="0.2">
      <c r="A55" s="6" t="s">
        <v>289</v>
      </c>
    </row>
    <row r="56" spans="1:4" ht="31.25" customHeight="1" x14ac:dyDescent="0.2">
      <c r="A56" s="7" t="s">
        <v>46</v>
      </c>
      <c r="B56" s="30" t="s">
        <v>290</v>
      </c>
      <c r="C56" s="31"/>
      <c r="D56" s="31"/>
    </row>
    <row r="57" spans="1:4" ht="31.25" customHeight="1" x14ac:dyDescent="0.2">
      <c r="A57" s="7" t="s">
        <v>48</v>
      </c>
      <c r="B57" s="30" t="s">
        <v>291</v>
      </c>
      <c r="C57" s="31"/>
      <c r="D57" s="31"/>
    </row>
    <row r="58" spans="1:4" ht="31.25" customHeight="1" x14ac:dyDescent="0.2">
      <c r="A58" s="7" t="s">
        <v>50</v>
      </c>
      <c r="B58" s="30" t="s">
        <v>292</v>
      </c>
      <c r="C58" s="31"/>
      <c r="D58" s="31"/>
    </row>
    <row r="59" spans="1:4" ht="15.5" customHeight="1" x14ac:dyDescent="0.2">
      <c r="A59" s="7" t="s">
        <v>52</v>
      </c>
      <c r="B59" s="30" t="s">
        <v>293</v>
      </c>
      <c r="C59" s="31"/>
      <c r="D59" s="31"/>
    </row>
    <row r="60" spans="1:4" ht="15.5" customHeight="1" x14ac:dyDescent="0.2">
      <c r="A60" s="7" t="s">
        <v>54</v>
      </c>
      <c r="B60" s="30" t="s">
        <v>294</v>
      </c>
      <c r="C60" s="31"/>
      <c r="D60" s="31"/>
    </row>
    <row r="61" spans="1:4" x14ac:dyDescent="0.2">
      <c r="A61" s="8" t="s">
        <v>295</v>
      </c>
      <c r="B61" s="8" t="s">
        <v>250</v>
      </c>
      <c r="C61" s="8" t="s">
        <v>228</v>
      </c>
      <c r="D61" s="8" t="s">
        <v>179</v>
      </c>
    </row>
    <row r="62" spans="1:4" x14ac:dyDescent="0.2">
      <c r="A62">
        <v>1</v>
      </c>
      <c r="B62" s="9">
        <v>0.5</v>
      </c>
      <c r="C62" t="s">
        <v>296</v>
      </c>
      <c r="D62" t="s">
        <v>21</v>
      </c>
    </row>
    <row r="63" spans="1:4" x14ac:dyDescent="0.2">
      <c r="A63">
        <v>2</v>
      </c>
      <c r="B63" s="9">
        <v>0.75</v>
      </c>
      <c r="C63" t="s">
        <v>297</v>
      </c>
      <c r="D63" t="s">
        <v>21</v>
      </c>
    </row>
    <row r="64" spans="1:4" x14ac:dyDescent="0.2">
      <c r="A64">
        <v>3</v>
      </c>
      <c r="B64" s="9">
        <v>1</v>
      </c>
      <c r="C64" t="s">
        <v>298</v>
      </c>
      <c r="D64" t="s">
        <v>21</v>
      </c>
    </row>
    <row r="65" spans="1:7" x14ac:dyDescent="0.2">
      <c r="A65">
        <v>4</v>
      </c>
      <c r="B65" s="9">
        <v>1</v>
      </c>
      <c r="C65" t="s">
        <v>299</v>
      </c>
      <c r="D65" t="s">
        <v>21</v>
      </c>
    </row>
    <row r="66" spans="1:7" x14ac:dyDescent="0.2">
      <c r="A66">
        <v>5</v>
      </c>
      <c r="B66" s="9">
        <v>1</v>
      </c>
      <c r="C66" t="s">
        <v>299</v>
      </c>
      <c r="D66" t="s">
        <v>21</v>
      </c>
    </row>
    <row r="69" spans="1:7" x14ac:dyDescent="0.2">
      <c r="A69" s="6" t="s">
        <v>300</v>
      </c>
    </row>
    <row r="70" spans="1:7" ht="15.5" customHeight="1" x14ac:dyDescent="0.2">
      <c r="A70" s="7" t="s">
        <v>46</v>
      </c>
      <c r="B70" s="30" t="s">
        <v>301</v>
      </c>
      <c r="C70" s="31"/>
      <c r="D70" s="31"/>
      <c r="E70" s="31"/>
      <c r="F70" s="31"/>
      <c r="G70" s="31"/>
    </row>
    <row r="71" spans="1:7" ht="15.5" customHeight="1" x14ac:dyDescent="0.2">
      <c r="A71" s="7" t="s">
        <v>48</v>
      </c>
      <c r="B71" s="30" t="s">
        <v>302</v>
      </c>
      <c r="C71" s="31"/>
      <c r="D71" s="31"/>
      <c r="E71" s="31"/>
      <c r="F71" s="31"/>
      <c r="G71" s="31"/>
    </row>
    <row r="72" spans="1:7" ht="46.75" customHeight="1" x14ac:dyDescent="0.2">
      <c r="A72" s="7" t="s">
        <v>50</v>
      </c>
      <c r="B72" s="30" t="s">
        <v>303</v>
      </c>
      <c r="C72" s="31"/>
      <c r="D72" s="31"/>
      <c r="E72" s="31"/>
      <c r="F72" s="31"/>
      <c r="G72" s="31"/>
    </row>
    <row r="73" spans="1:7" ht="15.5" customHeight="1" x14ac:dyDescent="0.2">
      <c r="A73" s="7" t="s">
        <v>52</v>
      </c>
      <c r="B73" s="30" t="s">
        <v>304</v>
      </c>
      <c r="C73" s="31"/>
      <c r="D73" s="31"/>
      <c r="E73" s="31"/>
      <c r="F73" s="31"/>
      <c r="G73" s="31"/>
    </row>
    <row r="74" spans="1:7" ht="15.5" customHeight="1" x14ac:dyDescent="0.2">
      <c r="A74" s="7" t="s">
        <v>54</v>
      </c>
      <c r="B74" s="30" t="s">
        <v>305</v>
      </c>
      <c r="C74" s="31"/>
      <c r="D74" s="31"/>
      <c r="E74" s="31"/>
      <c r="F74" s="31"/>
      <c r="G74" s="31"/>
    </row>
    <row r="75" spans="1:7" x14ac:dyDescent="0.2">
      <c r="A75" s="8" t="s">
        <v>306</v>
      </c>
      <c r="B75" s="8" t="s">
        <v>307</v>
      </c>
      <c r="C75" s="8" t="s">
        <v>308</v>
      </c>
      <c r="D75" s="8" t="s">
        <v>309</v>
      </c>
      <c r="E75" s="8" t="s">
        <v>310</v>
      </c>
      <c r="F75" s="8" t="s">
        <v>311</v>
      </c>
      <c r="G75" s="8" t="s">
        <v>179</v>
      </c>
    </row>
    <row r="76" spans="1:7" x14ac:dyDescent="0.2">
      <c r="A76" t="s">
        <v>312</v>
      </c>
      <c r="B76" t="s">
        <v>107</v>
      </c>
      <c r="C76">
        <v>30</v>
      </c>
      <c r="D76">
        <v>2</v>
      </c>
      <c r="E76" s="15">
        <v>1000</v>
      </c>
      <c r="F76">
        <v>42</v>
      </c>
    </row>
    <row r="77" spans="1:7" x14ac:dyDescent="0.2">
      <c r="A77" t="s">
        <v>313</v>
      </c>
      <c r="B77" t="s">
        <v>107</v>
      </c>
      <c r="C77">
        <v>7</v>
      </c>
      <c r="D77">
        <v>2</v>
      </c>
      <c r="E77" s="15">
        <v>1000</v>
      </c>
      <c r="F77">
        <v>42</v>
      </c>
    </row>
    <row r="78" spans="1:7" x14ac:dyDescent="0.2">
      <c r="A78" t="s">
        <v>61</v>
      </c>
      <c r="B78" t="s">
        <v>314</v>
      </c>
      <c r="C78">
        <v>1</v>
      </c>
      <c r="D78">
        <v>10</v>
      </c>
      <c r="E78" s="15">
        <v>10</v>
      </c>
      <c r="F78">
        <v>1</v>
      </c>
    </row>
    <row r="80" spans="1:7" x14ac:dyDescent="0.2">
      <c r="A80" s="6" t="s">
        <v>315</v>
      </c>
    </row>
    <row r="81" spans="1:5" ht="15.5" customHeight="1" x14ac:dyDescent="0.2">
      <c r="A81" s="7" t="s">
        <v>46</v>
      </c>
      <c r="B81" s="30" t="s">
        <v>316</v>
      </c>
      <c r="C81" s="31"/>
      <c r="D81" s="31"/>
      <c r="E81" s="31"/>
    </row>
    <row r="82" spans="1:5" ht="15.5" customHeight="1" x14ac:dyDescent="0.2">
      <c r="A82" s="7" t="s">
        <v>48</v>
      </c>
      <c r="B82" s="30" t="s">
        <v>317</v>
      </c>
      <c r="C82" s="31"/>
      <c r="D82" s="31"/>
      <c r="E82" s="31"/>
    </row>
    <row r="83" spans="1:5" ht="46.75" customHeight="1" x14ac:dyDescent="0.2">
      <c r="A83" s="7" t="s">
        <v>50</v>
      </c>
      <c r="B83" s="30" t="s">
        <v>318</v>
      </c>
      <c r="C83" s="31"/>
      <c r="D83" s="31"/>
      <c r="E83" s="31"/>
    </row>
    <row r="84" spans="1:5" ht="15.5" customHeight="1" x14ac:dyDescent="0.2">
      <c r="A84" s="7" t="s">
        <v>52</v>
      </c>
      <c r="B84" s="30" t="s">
        <v>319</v>
      </c>
      <c r="C84" s="31"/>
      <c r="D84" s="31"/>
      <c r="E84" s="31"/>
    </row>
    <row r="85" spans="1:5" ht="15.5" customHeight="1" x14ac:dyDescent="0.2">
      <c r="A85" s="7" t="s">
        <v>54</v>
      </c>
      <c r="B85" s="30" t="s">
        <v>320</v>
      </c>
      <c r="C85" s="31"/>
      <c r="D85" s="31"/>
      <c r="E85" s="31"/>
    </row>
    <row r="86" spans="1:5" x14ac:dyDescent="0.2">
      <c r="A86" s="8" t="s">
        <v>306</v>
      </c>
      <c r="B86" s="8" t="s">
        <v>321</v>
      </c>
      <c r="C86" s="8" t="s">
        <v>322</v>
      </c>
      <c r="D86" s="8" t="s">
        <v>323</v>
      </c>
      <c r="E86" s="8" t="s">
        <v>324</v>
      </c>
    </row>
    <row r="87" spans="1:5" x14ac:dyDescent="0.2">
      <c r="A87" t="s">
        <v>312</v>
      </c>
      <c r="B87" t="str">
        <f>IF(INDEX(TestOpt_Latency,1)&lt;=7,"ENABLED","BLOCKED")</f>
        <v>BLOCKED</v>
      </c>
      <c r="C87" t="str">
        <f>IF(INDEX(TestOpt_Latency,1)&lt;=7,"ENABLED","BLOCKED")</f>
        <v>BLOCKED</v>
      </c>
      <c r="D87" t="str">
        <f>IF(INDEX(TestOpt_Latency,1)&lt;=14,"ENABLED","BLOCKED")</f>
        <v>BLOCKED</v>
      </c>
      <c r="E87" t="str">
        <f>IF(INDEX(TestOpt_Latency,1)&lt;=3,"ENABLED","BLOCKED")</f>
        <v>BLOCKED</v>
      </c>
    </row>
    <row r="88" spans="1:5" x14ac:dyDescent="0.2">
      <c r="A88" t="s">
        <v>313</v>
      </c>
      <c r="B88" t="str">
        <f>IF(INDEX(TestOpt_Latency,2)&lt;=7,"ENABLED","BLOCKED")</f>
        <v>BLOCKED</v>
      </c>
      <c r="C88" t="str">
        <f>IF(INDEX(TestOpt_Latency,2)&lt;=7,"ENABLED","BLOCKED")</f>
        <v>BLOCKED</v>
      </c>
      <c r="D88" t="str">
        <f>IF(INDEX(TestOpt_Latency,2)&lt;=14,"ENABLED","BLOCKED")</f>
        <v>BLOCKED</v>
      </c>
      <c r="E88" t="str">
        <f>IF(INDEX(TestOpt_Latency,2)&lt;=3,"ENABLED","BLOCKED")</f>
        <v>BLOCKED</v>
      </c>
    </row>
    <row r="89" spans="1:5" x14ac:dyDescent="0.2">
      <c r="A89" t="s">
        <v>61</v>
      </c>
      <c r="B89" t="str">
        <f>IF(INDEX(TestOpt_Latency,3)&lt;=7,"ENABLED","BLOCKED")</f>
        <v>ENABLED</v>
      </c>
      <c r="C89" t="str">
        <f>IF(INDEX(TestOpt_Latency,3)&lt;=7,"ENABLED","BLOCKED")</f>
        <v>ENABLED</v>
      </c>
      <c r="D89" t="str">
        <f>IF(INDEX(TestOpt_Latency,3)&lt;=14,"ENABLED","BLOCKED")</f>
        <v>ENABLED</v>
      </c>
      <c r="E89" t="str">
        <f>IF(INDEX(TestOpt_Latency,3)&lt;=3,"ENABLED","BLOCKED")</f>
        <v>ENABLED</v>
      </c>
    </row>
    <row r="92" spans="1:5" ht="19" x14ac:dyDescent="0.25">
      <c r="A92" s="4" t="s">
        <v>325</v>
      </c>
    </row>
    <row r="93" spans="1:5" x14ac:dyDescent="0.2">
      <c r="A93" t="s">
        <v>326</v>
      </c>
      <c r="B93" t="s">
        <v>327</v>
      </c>
    </row>
    <row r="94" spans="1:5" x14ac:dyDescent="0.2">
      <c r="A94" t="s">
        <v>312</v>
      </c>
      <c r="B94" t="s">
        <v>65</v>
      </c>
    </row>
    <row r="95" spans="1:5" x14ac:dyDescent="0.2">
      <c r="A95" t="s">
        <v>313</v>
      </c>
      <c r="B95" t="s">
        <v>328</v>
      </c>
    </row>
    <row r="96" spans="1:5" x14ac:dyDescent="0.2">
      <c r="A96" t="s">
        <v>61</v>
      </c>
      <c r="B96" t="s">
        <v>329</v>
      </c>
    </row>
    <row r="98" spans="1:5" ht="19" x14ac:dyDescent="0.25">
      <c r="A98" s="4" t="s">
        <v>330</v>
      </c>
    </row>
    <row r="99" spans="1:5" x14ac:dyDescent="0.2">
      <c r="A99" t="s">
        <v>331</v>
      </c>
    </row>
    <row r="101" spans="1:5" x14ac:dyDescent="0.2">
      <c r="A101" s="6" t="s">
        <v>332</v>
      </c>
    </row>
    <row r="102" spans="1:5" ht="15.5" customHeight="1" x14ac:dyDescent="0.2">
      <c r="A102" s="7" t="s">
        <v>46</v>
      </c>
      <c r="B102" s="30" t="s">
        <v>333</v>
      </c>
      <c r="C102" s="31"/>
      <c r="D102" s="31"/>
      <c r="E102" s="31"/>
    </row>
    <row r="103" spans="1:5" ht="15.5" customHeight="1" x14ac:dyDescent="0.2">
      <c r="A103" s="7" t="s">
        <v>48</v>
      </c>
      <c r="B103" s="30" t="s">
        <v>334</v>
      </c>
      <c r="C103" s="31"/>
      <c r="D103" s="31"/>
      <c r="E103" s="31"/>
    </row>
    <row r="104" spans="1:5" ht="31.25" customHeight="1" x14ac:dyDescent="0.2">
      <c r="A104" s="7" t="s">
        <v>50</v>
      </c>
      <c r="B104" s="30" t="s">
        <v>335</v>
      </c>
      <c r="C104" s="31"/>
      <c r="D104" s="31"/>
      <c r="E104" s="31"/>
    </row>
    <row r="105" spans="1:5" ht="15.5" customHeight="1" x14ac:dyDescent="0.2">
      <c r="A105" s="7" t="s">
        <v>52</v>
      </c>
      <c r="B105" s="30" t="s">
        <v>336</v>
      </c>
      <c r="C105" s="31"/>
      <c r="D105" s="31"/>
      <c r="E105" s="31"/>
    </row>
    <row r="106" spans="1:5" ht="15.5" customHeight="1" x14ac:dyDescent="0.2">
      <c r="A106" s="7" t="s">
        <v>54</v>
      </c>
      <c r="B106" s="30" t="s">
        <v>337</v>
      </c>
      <c r="C106" s="31"/>
      <c r="D106" s="31"/>
      <c r="E106" s="31"/>
    </row>
    <row r="107" spans="1:5" x14ac:dyDescent="0.2">
      <c r="A107" s="8" t="s">
        <v>56</v>
      </c>
      <c r="B107" s="8" t="s">
        <v>57</v>
      </c>
      <c r="C107" s="8" t="s">
        <v>227</v>
      </c>
      <c r="D107" s="8" t="s">
        <v>228</v>
      </c>
      <c r="E107" s="8" t="s">
        <v>179</v>
      </c>
    </row>
    <row r="108" spans="1:5" x14ac:dyDescent="0.2">
      <c r="A108" t="s">
        <v>180</v>
      </c>
      <c r="B108" s="16">
        <v>63.1</v>
      </c>
      <c r="C108" t="s">
        <v>338</v>
      </c>
      <c r="D108" t="s">
        <v>339</v>
      </c>
      <c r="E108" t="s">
        <v>21</v>
      </c>
    </row>
    <row r="109" spans="1:5" x14ac:dyDescent="0.2">
      <c r="A109" t="s">
        <v>181</v>
      </c>
      <c r="B109" s="16">
        <v>50</v>
      </c>
      <c r="C109" t="s">
        <v>338</v>
      </c>
      <c r="D109" t="s">
        <v>340</v>
      </c>
      <c r="E109" t="s">
        <v>21</v>
      </c>
    </row>
    <row r="110" spans="1:5" x14ac:dyDescent="0.2">
      <c r="A110" t="s">
        <v>182</v>
      </c>
      <c r="B110" s="16">
        <v>0.53200000000000003</v>
      </c>
      <c r="C110" t="s">
        <v>341</v>
      </c>
      <c r="D110" t="s">
        <v>342</v>
      </c>
      <c r="E110" t="s">
        <v>21</v>
      </c>
    </row>
    <row r="111" spans="1:5" x14ac:dyDescent="0.2">
      <c r="A111" t="s">
        <v>183</v>
      </c>
      <c r="B111" s="16">
        <v>0.248</v>
      </c>
      <c r="C111" t="s">
        <v>341</v>
      </c>
      <c r="D111" t="s">
        <v>343</v>
      </c>
      <c r="E111" t="s">
        <v>21</v>
      </c>
    </row>
    <row r="112" spans="1:5" x14ac:dyDescent="0.2">
      <c r="A112" t="s">
        <v>184</v>
      </c>
      <c r="B112" s="9">
        <v>15</v>
      </c>
      <c r="C112" t="s">
        <v>240</v>
      </c>
      <c r="D112" t="s">
        <v>344</v>
      </c>
      <c r="E112" t="s">
        <v>21</v>
      </c>
    </row>
    <row r="113" spans="1:5" x14ac:dyDescent="0.2">
      <c r="A113" t="s">
        <v>185</v>
      </c>
      <c r="B113" s="9">
        <v>14</v>
      </c>
      <c r="C113" t="s">
        <v>240</v>
      </c>
      <c r="D113" t="s">
        <v>345</v>
      </c>
      <c r="E113" t="s">
        <v>21</v>
      </c>
    </row>
    <row r="114" spans="1:5" x14ac:dyDescent="0.2">
      <c r="A114" t="s">
        <v>346</v>
      </c>
      <c r="B114" s="9">
        <v>8772</v>
      </c>
      <c r="C114" t="s">
        <v>347</v>
      </c>
      <c r="D114" t="s">
        <v>348</v>
      </c>
    </row>
    <row r="117" spans="1:5" x14ac:dyDescent="0.2">
      <c r="A117" s="6" t="s">
        <v>349</v>
      </c>
    </row>
    <row r="118" spans="1:5" ht="31.25" customHeight="1" x14ac:dyDescent="0.2">
      <c r="A118" s="7" t="s">
        <v>46</v>
      </c>
      <c r="B118" s="30" t="s">
        <v>350</v>
      </c>
      <c r="C118" s="31"/>
      <c r="D118" s="31"/>
    </row>
    <row r="119" spans="1:5" ht="15.5" customHeight="1" x14ac:dyDescent="0.2">
      <c r="A119" s="7" t="s">
        <v>48</v>
      </c>
      <c r="B119" s="30" t="s">
        <v>351</v>
      </c>
      <c r="C119" s="31"/>
      <c r="D119" s="31"/>
    </row>
    <row r="120" spans="1:5" ht="31.25" customHeight="1" x14ac:dyDescent="0.2">
      <c r="A120" s="7" t="s">
        <v>50</v>
      </c>
      <c r="B120" s="30" t="s">
        <v>352</v>
      </c>
      <c r="C120" s="31"/>
      <c r="D120" s="31"/>
    </row>
    <row r="121" spans="1:5" ht="15.5" customHeight="1" x14ac:dyDescent="0.2">
      <c r="A121" s="7" t="s">
        <v>52</v>
      </c>
      <c r="B121" s="30" t="s">
        <v>353</v>
      </c>
      <c r="C121" s="31"/>
      <c r="D121" s="31"/>
    </row>
    <row r="122" spans="1:5" ht="15.5" customHeight="1" x14ac:dyDescent="0.2">
      <c r="A122" s="7" t="s">
        <v>54</v>
      </c>
      <c r="B122" s="30" t="s">
        <v>264</v>
      </c>
      <c r="C122" s="31"/>
      <c r="D122" s="31"/>
    </row>
    <row r="123" spans="1:5" x14ac:dyDescent="0.2">
      <c r="A123" s="8" t="s">
        <v>354</v>
      </c>
      <c r="B123" s="8" t="s">
        <v>355</v>
      </c>
      <c r="C123" s="8" t="s">
        <v>356</v>
      </c>
      <c r="D123" s="8" t="s">
        <v>228</v>
      </c>
    </row>
    <row r="124" spans="1:5" x14ac:dyDescent="0.2">
      <c r="A124" t="s">
        <v>357</v>
      </c>
      <c r="B124" s="9">
        <v>14</v>
      </c>
      <c r="C124" t="s">
        <v>358</v>
      </c>
      <c r="D124" t="s">
        <v>359</v>
      </c>
    </row>
    <row r="125" spans="1:5" x14ac:dyDescent="0.2">
      <c r="A125" t="s">
        <v>360</v>
      </c>
      <c r="B125" s="9">
        <v>28</v>
      </c>
      <c r="C125" t="s">
        <v>361</v>
      </c>
      <c r="D125" t="s">
        <v>362</v>
      </c>
    </row>
    <row r="126" spans="1:5" x14ac:dyDescent="0.2">
      <c r="A126" t="s">
        <v>363</v>
      </c>
      <c r="B126" s="9">
        <v>42</v>
      </c>
      <c r="C126" t="s">
        <v>364</v>
      </c>
      <c r="D126" t="s">
        <v>365</v>
      </c>
    </row>
  </sheetData>
  <mergeCells count="45">
    <mergeCell ref="B121:D121"/>
    <mergeCell ref="B59:D59"/>
    <mergeCell ref="B8:E8"/>
    <mergeCell ref="B46:D46"/>
    <mergeCell ref="B122:D122"/>
    <mergeCell ref="B82:E82"/>
    <mergeCell ref="B71:G71"/>
    <mergeCell ref="B18:D18"/>
    <mergeCell ref="B56:D56"/>
    <mergeCell ref="B58:D58"/>
    <mergeCell ref="B21:D21"/>
    <mergeCell ref="B103:E103"/>
    <mergeCell ref="B34:E34"/>
    <mergeCell ref="B70:G70"/>
    <mergeCell ref="B48:D48"/>
    <mergeCell ref="B84:E84"/>
    <mergeCell ref="B4:E4"/>
    <mergeCell ref="B106:E106"/>
    <mergeCell ref="B118:D118"/>
    <mergeCell ref="B7:E7"/>
    <mergeCell ref="B74:G74"/>
    <mergeCell ref="B81:E81"/>
    <mergeCell ref="B20:D20"/>
    <mergeCell ref="B31:E31"/>
    <mergeCell ref="B102:E102"/>
    <mergeCell ref="B105:E105"/>
    <mergeCell ref="B45:D45"/>
    <mergeCell ref="B47:D47"/>
    <mergeCell ref="B72:G72"/>
    <mergeCell ref="B5:E5"/>
    <mergeCell ref="B73:G73"/>
    <mergeCell ref="B85:E85"/>
    <mergeCell ref="B32:E32"/>
    <mergeCell ref="B19:D19"/>
    <mergeCell ref="B35:E35"/>
    <mergeCell ref="B120:D120"/>
    <mergeCell ref="B60:D60"/>
    <mergeCell ref="B83:E83"/>
    <mergeCell ref="B57:D57"/>
    <mergeCell ref="B6:E6"/>
    <mergeCell ref="B17:D17"/>
    <mergeCell ref="B119:D119"/>
    <mergeCell ref="B33:E33"/>
    <mergeCell ref="B104:E104"/>
    <mergeCell ref="B44:D44"/>
  </mergeCells>
  <pageMargins left="0.75" right="0.75" top="1" bottom="1" header="0.5" footer="0.5"/>
  <tableParts count="9">
    <tablePart r:id="rId1"/>
    <tablePart r:id="rId2"/>
    <tablePart r:id="rId3"/>
    <tablePart r:id="rId4"/>
    <tablePart r:id="rId5"/>
    <tablePart r:id="rId6"/>
    <tablePart r:id="rId7"/>
    <tablePart r:id="rId8"/>
    <tablePart r:id="rId9"/>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sheetPr>
  <dimension ref="A1:H23"/>
  <sheetViews>
    <sheetView workbookViewId="0"/>
  </sheetViews>
  <sheetFormatPr baseColWidth="10" defaultColWidth="8.83203125" defaultRowHeight="15" x14ac:dyDescent="0.2"/>
  <cols>
    <col min="1" max="1" width="22" customWidth="1"/>
    <col min="2" max="7" width="10" customWidth="1"/>
    <col min="8" max="8" width="30" customWidth="1"/>
  </cols>
  <sheetData>
    <row r="1" spans="1:8" ht="21" x14ac:dyDescent="0.25">
      <c r="A1" s="5" t="s">
        <v>366</v>
      </c>
    </row>
    <row r="3" spans="1:8" x14ac:dyDescent="0.2">
      <c r="A3" s="35" t="s">
        <v>367</v>
      </c>
      <c r="B3" s="33"/>
      <c r="C3" s="33"/>
      <c r="D3" s="33"/>
      <c r="E3" s="33"/>
      <c r="F3" s="33"/>
      <c r="G3" s="33"/>
      <c r="H3" s="34"/>
    </row>
    <row r="4" spans="1:8" ht="93.5" customHeight="1" x14ac:dyDescent="0.2">
      <c r="A4" s="32" t="s">
        <v>368</v>
      </c>
      <c r="B4" s="33"/>
      <c r="C4" s="33"/>
      <c r="D4" s="33"/>
      <c r="E4" s="33"/>
      <c r="F4" s="33"/>
      <c r="G4" s="33"/>
      <c r="H4" s="34"/>
    </row>
    <row r="7" spans="1:8" x14ac:dyDescent="0.2">
      <c r="A7" s="8" t="s">
        <v>369</v>
      </c>
      <c r="B7" s="8" t="s">
        <v>227</v>
      </c>
      <c r="C7" s="8" t="s">
        <v>231</v>
      </c>
      <c r="D7" s="8" t="s">
        <v>370</v>
      </c>
      <c r="E7" s="8" t="s">
        <v>371</v>
      </c>
      <c r="F7" s="8" t="s">
        <v>372</v>
      </c>
      <c r="G7" s="8" t="s">
        <v>373</v>
      </c>
      <c r="H7" s="8" t="s">
        <v>228</v>
      </c>
    </row>
    <row r="8" spans="1:8" x14ac:dyDescent="0.2">
      <c r="A8" t="s">
        <v>374</v>
      </c>
      <c r="B8" t="s">
        <v>375</v>
      </c>
      <c r="C8" s="17">
        <v>10</v>
      </c>
      <c r="D8" s="17">
        <v>16</v>
      </c>
      <c r="E8" s="17">
        <v>20</v>
      </c>
      <c r="F8" s="17">
        <v>18</v>
      </c>
      <c r="G8" s="17">
        <v>12</v>
      </c>
      <c r="H8" t="s">
        <v>376</v>
      </c>
    </row>
    <row r="9" spans="1:8" x14ac:dyDescent="0.2">
      <c r="A9" t="s">
        <v>377</v>
      </c>
      <c r="B9" t="s">
        <v>378</v>
      </c>
      <c r="C9" s="18">
        <v>0.75</v>
      </c>
      <c r="D9" s="18">
        <v>1</v>
      </c>
      <c r="E9" s="18">
        <v>1</v>
      </c>
      <c r="F9" s="18">
        <v>0.85</v>
      </c>
      <c r="G9" s="18">
        <v>0.55000000000000004</v>
      </c>
      <c r="H9" t="s">
        <v>379</v>
      </c>
    </row>
    <row r="10" spans="1:8" x14ac:dyDescent="0.2">
      <c r="A10" t="s">
        <v>380</v>
      </c>
      <c r="B10" t="s">
        <v>338</v>
      </c>
      <c r="C10" s="18">
        <v>8.5</v>
      </c>
      <c r="D10" s="18">
        <v>7.5</v>
      </c>
      <c r="E10" s="18">
        <v>6.5</v>
      </c>
      <c r="F10" s="18">
        <v>7</v>
      </c>
      <c r="G10" s="18">
        <v>8</v>
      </c>
      <c r="H10" t="s">
        <v>381</v>
      </c>
    </row>
    <row r="11" spans="1:8" x14ac:dyDescent="0.2">
      <c r="A11" t="s">
        <v>382</v>
      </c>
      <c r="B11" t="s">
        <v>378</v>
      </c>
      <c r="C11" s="18">
        <v>1</v>
      </c>
      <c r="D11" s="18">
        <v>0.7</v>
      </c>
      <c r="E11" s="18">
        <v>0.4</v>
      </c>
      <c r="F11" s="18">
        <v>0.3</v>
      </c>
      <c r="G11" s="18">
        <v>0.2</v>
      </c>
      <c r="H11" t="s">
        <v>383</v>
      </c>
    </row>
    <row r="12" spans="1:8" x14ac:dyDescent="0.2">
      <c r="A12" t="s">
        <v>384</v>
      </c>
      <c r="B12" t="s">
        <v>378</v>
      </c>
      <c r="C12" s="18">
        <v>0.7</v>
      </c>
      <c r="D12" s="18">
        <v>0.9</v>
      </c>
      <c r="E12" s="18">
        <v>1</v>
      </c>
      <c r="F12" s="18">
        <v>0.95</v>
      </c>
      <c r="G12" s="18">
        <v>0.8</v>
      </c>
      <c r="H12" t="s">
        <v>385</v>
      </c>
    </row>
    <row r="15" spans="1:8" x14ac:dyDescent="0.2">
      <c r="A15" s="11" t="s">
        <v>386</v>
      </c>
    </row>
    <row r="16" spans="1:8" x14ac:dyDescent="0.2">
      <c r="A16" s="8" t="s">
        <v>56</v>
      </c>
      <c r="B16" s="8" t="s">
        <v>227</v>
      </c>
      <c r="C16" s="8" t="s">
        <v>387</v>
      </c>
      <c r="D16" s="8" t="s">
        <v>388</v>
      </c>
      <c r="E16" s="8" t="s">
        <v>389</v>
      </c>
      <c r="F16" s="8" t="s">
        <v>390</v>
      </c>
      <c r="G16" s="8" t="s">
        <v>391</v>
      </c>
      <c r="H16" s="8" t="s">
        <v>228</v>
      </c>
    </row>
    <row r="17" spans="1:8" x14ac:dyDescent="0.2">
      <c r="A17" t="s">
        <v>392</v>
      </c>
      <c r="B17" t="s">
        <v>338</v>
      </c>
      <c r="C17" s="19">
        <v>50</v>
      </c>
      <c r="D17" s="19">
        <v>150</v>
      </c>
      <c r="E17" s="19">
        <v>300</v>
      </c>
      <c r="F17">
        <v>230</v>
      </c>
      <c r="G17" t="s">
        <v>393</v>
      </c>
      <c r="H17" t="s">
        <v>394</v>
      </c>
    </row>
    <row r="18" spans="1:8" x14ac:dyDescent="0.2">
      <c r="A18" t="s">
        <v>395</v>
      </c>
      <c r="B18" t="s">
        <v>396</v>
      </c>
      <c r="C18" s="17">
        <v>1</v>
      </c>
      <c r="D18" s="17">
        <v>2.5</v>
      </c>
      <c r="E18" s="17">
        <v>6</v>
      </c>
      <c r="F18">
        <v>4</v>
      </c>
      <c r="G18" t="s">
        <v>393</v>
      </c>
      <c r="H18" t="s">
        <v>397</v>
      </c>
    </row>
    <row r="19" spans="1:8" x14ac:dyDescent="0.2">
      <c r="A19" t="s">
        <v>398</v>
      </c>
      <c r="B19" t="s">
        <v>338</v>
      </c>
      <c r="C19" s="19">
        <v>100</v>
      </c>
      <c r="D19" s="19">
        <v>300</v>
      </c>
      <c r="E19" s="19">
        <v>600</v>
      </c>
      <c r="F19">
        <v>500</v>
      </c>
      <c r="G19" t="s">
        <v>393</v>
      </c>
      <c r="H19" t="s">
        <v>399</v>
      </c>
    </row>
    <row r="20" spans="1:8" x14ac:dyDescent="0.2">
      <c r="A20" t="s">
        <v>400</v>
      </c>
      <c r="B20" t="s">
        <v>338</v>
      </c>
      <c r="C20" s="17">
        <v>5</v>
      </c>
      <c r="D20" s="17">
        <v>7</v>
      </c>
      <c r="E20" s="17">
        <v>9</v>
      </c>
      <c r="F20">
        <v>6.5</v>
      </c>
      <c r="G20" t="s">
        <v>401</v>
      </c>
      <c r="H20" t="s">
        <v>402</v>
      </c>
    </row>
    <row r="23" spans="1:8" x14ac:dyDescent="0.2">
      <c r="A23" s="11" t="s">
        <v>403</v>
      </c>
      <c r="B23" t="s">
        <v>404</v>
      </c>
      <c r="C23" t="s">
        <v>405</v>
      </c>
    </row>
  </sheetData>
  <mergeCells count="2">
    <mergeCell ref="A4:H4"/>
    <mergeCell ref="A3:H3"/>
  </mergeCells>
  <pageMargins left="0.75" right="0.75" top="1" bottom="1" header="0.5" footer="0.5"/>
  <tableParts count="2">
    <tablePart r:id="rId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00"/>
  </sheetPr>
  <dimension ref="A1:E25"/>
  <sheetViews>
    <sheetView workbookViewId="0"/>
  </sheetViews>
  <sheetFormatPr baseColWidth="10" defaultColWidth="8.83203125" defaultRowHeight="15" x14ac:dyDescent="0.2"/>
  <cols>
    <col min="1" max="1" width="12" customWidth="1"/>
    <col min="2" max="2" width="22" customWidth="1"/>
    <col min="3" max="3" width="14" customWidth="1"/>
    <col min="4" max="4" width="24" customWidth="1"/>
    <col min="5" max="5" width="40" customWidth="1"/>
  </cols>
  <sheetData>
    <row r="1" spans="1:5" ht="21" x14ac:dyDescent="0.25">
      <c r="A1" s="5" t="s">
        <v>406</v>
      </c>
    </row>
    <row r="3" spans="1:5" x14ac:dyDescent="0.2">
      <c r="A3" s="6" t="s">
        <v>406</v>
      </c>
    </row>
    <row r="4" spans="1:5" ht="31.25" customHeight="1" x14ac:dyDescent="0.2">
      <c r="A4" s="7" t="s">
        <v>46</v>
      </c>
      <c r="B4" s="30" t="s">
        <v>407</v>
      </c>
      <c r="C4" s="31"/>
      <c r="D4" s="31"/>
      <c r="E4" s="31"/>
    </row>
    <row r="5" spans="1:5" ht="31.25" customHeight="1" x14ac:dyDescent="0.2">
      <c r="A5" s="7" t="s">
        <v>48</v>
      </c>
      <c r="B5" s="30" t="s">
        <v>408</v>
      </c>
      <c r="C5" s="31"/>
      <c r="D5" s="31"/>
      <c r="E5" s="31"/>
    </row>
    <row r="6" spans="1:5" ht="62.5" customHeight="1" x14ac:dyDescent="0.2">
      <c r="A6" s="7" t="s">
        <v>50</v>
      </c>
      <c r="B6" s="30" t="s">
        <v>409</v>
      </c>
      <c r="C6" s="31"/>
      <c r="D6" s="31"/>
      <c r="E6" s="31"/>
    </row>
    <row r="7" spans="1:5" ht="15.5" customHeight="1" x14ac:dyDescent="0.2">
      <c r="A7" s="7" t="s">
        <v>52</v>
      </c>
      <c r="B7" s="30" t="s">
        <v>410</v>
      </c>
      <c r="C7" s="31"/>
      <c r="D7" s="31"/>
      <c r="E7" s="31"/>
    </row>
    <row r="8" spans="1:5" ht="15.5" customHeight="1" x14ac:dyDescent="0.2">
      <c r="A8" s="7" t="s">
        <v>54</v>
      </c>
      <c r="B8" s="30" t="s">
        <v>411</v>
      </c>
      <c r="C8" s="31"/>
      <c r="D8" s="31"/>
      <c r="E8" s="31"/>
    </row>
    <row r="9" spans="1:5" x14ac:dyDescent="0.2">
      <c r="A9" s="8" t="s">
        <v>412</v>
      </c>
      <c r="B9" s="8" t="s">
        <v>413</v>
      </c>
      <c r="C9" s="8" t="s">
        <v>414</v>
      </c>
      <c r="D9" s="8" t="s">
        <v>415</v>
      </c>
      <c r="E9" s="8" t="s">
        <v>59</v>
      </c>
    </row>
    <row r="10" spans="1:5" x14ac:dyDescent="0.2">
      <c r="A10" t="s">
        <v>416</v>
      </c>
      <c r="B10" t="s">
        <v>417</v>
      </c>
      <c r="C10" s="14">
        <v>104000</v>
      </c>
      <c r="D10">
        <v>7</v>
      </c>
      <c r="E10" t="s">
        <v>418</v>
      </c>
    </row>
    <row r="11" spans="1:5" x14ac:dyDescent="0.2">
      <c r="A11" t="s">
        <v>419</v>
      </c>
      <c r="B11" t="s">
        <v>420</v>
      </c>
      <c r="C11" s="14">
        <v>67500</v>
      </c>
      <c r="D11">
        <v>7</v>
      </c>
      <c r="E11" t="s">
        <v>421</v>
      </c>
    </row>
    <row r="12" spans="1:5" x14ac:dyDescent="0.2">
      <c r="A12" t="s">
        <v>422</v>
      </c>
      <c r="B12" t="s">
        <v>423</v>
      </c>
      <c r="C12" s="14">
        <v>78000</v>
      </c>
      <c r="D12">
        <v>14</v>
      </c>
      <c r="E12" t="s">
        <v>424</v>
      </c>
    </row>
    <row r="13" spans="1:5" x14ac:dyDescent="0.2">
      <c r="A13" t="s">
        <v>425</v>
      </c>
      <c r="B13" t="s">
        <v>426</v>
      </c>
      <c r="C13" s="14">
        <v>36000</v>
      </c>
      <c r="D13">
        <v>3</v>
      </c>
      <c r="E13" t="s">
        <v>427</v>
      </c>
    </row>
    <row r="16" spans="1:5" x14ac:dyDescent="0.2">
      <c r="A16" s="6" t="s">
        <v>428</v>
      </c>
    </row>
    <row r="17" spans="1:4" ht="31.25" customHeight="1" x14ac:dyDescent="0.2">
      <c r="A17" s="7" t="s">
        <v>46</v>
      </c>
      <c r="B17" s="30" t="s">
        <v>429</v>
      </c>
      <c r="C17" s="31"/>
      <c r="D17" s="31"/>
    </row>
    <row r="18" spans="1:4" ht="31.25" customHeight="1" x14ac:dyDescent="0.2">
      <c r="A18" s="7" t="s">
        <v>48</v>
      </c>
      <c r="B18" s="30" t="s">
        <v>430</v>
      </c>
      <c r="C18" s="31"/>
      <c r="D18" s="31"/>
    </row>
    <row r="19" spans="1:4" ht="78" customHeight="1" x14ac:dyDescent="0.2">
      <c r="A19" s="7" t="s">
        <v>50</v>
      </c>
      <c r="B19" s="30" t="s">
        <v>431</v>
      </c>
      <c r="C19" s="31"/>
      <c r="D19" s="31"/>
    </row>
    <row r="20" spans="1:4" ht="31.25" customHeight="1" x14ac:dyDescent="0.2">
      <c r="A20" s="7" t="s">
        <v>52</v>
      </c>
      <c r="B20" s="30" t="s">
        <v>432</v>
      </c>
      <c r="C20" s="31"/>
      <c r="D20" s="31"/>
    </row>
    <row r="21" spans="1:4" ht="15.5" customHeight="1" x14ac:dyDescent="0.2">
      <c r="A21" s="7" t="s">
        <v>54</v>
      </c>
      <c r="B21" s="30" t="s">
        <v>433</v>
      </c>
      <c r="C21" s="31"/>
      <c r="D21" s="31"/>
    </row>
    <row r="22" spans="1:4" x14ac:dyDescent="0.2">
      <c r="A22" s="8" t="s">
        <v>93</v>
      </c>
      <c r="B22" s="8" t="s">
        <v>434</v>
      </c>
      <c r="C22" s="8" t="s">
        <v>435</v>
      </c>
      <c r="D22" s="8" t="s">
        <v>436</v>
      </c>
    </row>
    <row r="23" spans="1:4" x14ac:dyDescent="0.2">
      <c r="A23" t="s">
        <v>65</v>
      </c>
      <c r="B23" s="10">
        <v>0</v>
      </c>
      <c r="C23" s="10">
        <v>0</v>
      </c>
      <c r="D23" s="10">
        <v>0</v>
      </c>
    </row>
    <row r="24" spans="1:4" x14ac:dyDescent="0.2">
      <c r="A24" t="s">
        <v>328</v>
      </c>
      <c r="B24" s="10">
        <v>4.0000000000000001E-3</v>
      </c>
      <c r="C24" s="10">
        <v>-0.02</v>
      </c>
      <c r="D24" s="10">
        <v>0.1</v>
      </c>
    </row>
    <row r="25" spans="1:4" x14ac:dyDescent="0.2">
      <c r="A25" t="s">
        <v>329</v>
      </c>
      <c r="B25" s="10">
        <v>-3.0000000000000001E-3</v>
      </c>
      <c r="C25" s="10">
        <v>0.01</v>
      </c>
      <c r="D25" s="10">
        <v>-0.1</v>
      </c>
    </row>
  </sheetData>
  <mergeCells count="10">
    <mergeCell ref="B21:D21"/>
    <mergeCell ref="B5:E5"/>
    <mergeCell ref="B20:D20"/>
    <mergeCell ref="B19:D19"/>
    <mergeCell ref="B8:E8"/>
    <mergeCell ref="B4:E4"/>
    <mergeCell ref="B6:E6"/>
    <mergeCell ref="B17:D17"/>
    <mergeCell ref="B18:D18"/>
    <mergeCell ref="B7:E7"/>
  </mergeCells>
  <pageMargins left="0.75" right="0.75" top="1" bottom="1" header="0.5" footer="0.5"/>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G35"/>
  <sheetViews>
    <sheetView workbookViewId="0"/>
  </sheetViews>
  <sheetFormatPr baseColWidth="10" defaultColWidth="8.83203125" defaultRowHeight="15" x14ac:dyDescent="0.2"/>
  <cols>
    <col min="1" max="1" width="28" customWidth="1"/>
    <col min="2" max="5" width="12" customWidth="1"/>
    <col min="6" max="6" width="30" customWidth="1"/>
    <col min="7" max="7" width="35" customWidth="1"/>
  </cols>
  <sheetData>
    <row r="1" spans="1:6" ht="21" x14ac:dyDescent="0.25">
      <c r="A1" s="5" t="s">
        <v>437</v>
      </c>
    </row>
    <row r="3" spans="1:6" x14ac:dyDescent="0.2">
      <c r="A3" s="6" t="s">
        <v>438</v>
      </c>
    </row>
    <row r="4" spans="1:6" ht="31.25" customHeight="1" x14ac:dyDescent="0.2">
      <c r="A4" s="7" t="s">
        <v>46</v>
      </c>
      <c r="B4" s="30" t="s">
        <v>439</v>
      </c>
      <c r="C4" s="31"/>
      <c r="D4" s="31"/>
      <c r="E4" s="31"/>
      <c r="F4" s="31"/>
    </row>
    <row r="5" spans="1:6" ht="31.25" customHeight="1" x14ac:dyDescent="0.2">
      <c r="A5" s="7" t="s">
        <v>48</v>
      </c>
      <c r="B5" s="30" t="s">
        <v>440</v>
      </c>
      <c r="C5" s="31"/>
      <c r="D5" s="31"/>
      <c r="E5" s="31"/>
      <c r="F5" s="31"/>
    </row>
    <row r="6" spans="1:6" ht="62.5" customHeight="1" x14ac:dyDescent="0.2">
      <c r="A6" s="7" t="s">
        <v>50</v>
      </c>
      <c r="B6" s="30" t="s">
        <v>441</v>
      </c>
      <c r="C6" s="31"/>
      <c r="D6" s="31"/>
      <c r="E6" s="31"/>
      <c r="F6" s="31"/>
    </row>
    <row r="7" spans="1:6" ht="15.5" customHeight="1" x14ac:dyDescent="0.2">
      <c r="A7" s="7" t="s">
        <v>52</v>
      </c>
      <c r="B7" s="30" t="s">
        <v>442</v>
      </c>
      <c r="C7" s="31"/>
      <c r="D7" s="31"/>
      <c r="E7" s="31"/>
      <c r="F7" s="31"/>
    </row>
    <row r="8" spans="1:6" ht="15.5" customHeight="1" x14ac:dyDescent="0.2">
      <c r="A8" s="7" t="s">
        <v>54</v>
      </c>
      <c r="B8" s="30" t="s">
        <v>443</v>
      </c>
      <c r="C8" s="31"/>
      <c r="D8" s="31"/>
      <c r="E8" s="31"/>
      <c r="F8" s="31"/>
    </row>
    <row r="9" spans="1:6" x14ac:dyDescent="0.2">
      <c r="A9" s="8" t="s">
        <v>369</v>
      </c>
      <c r="B9" s="8" t="s">
        <v>387</v>
      </c>
      <c r="C9" s="8" t="s">
        <v>388</v>
      </c>
      <c r="D9" s="8" t="s">
        <v>389</v>
      </c>
      <c r="E9" s="8" t="s">
        <v>444</v>
      </c>
      <c r="F9" s="8" t="s">
        <v>179</v>
      </c>
    </row>
    <row r="10" spans="1:6" x14ac:dyDescent="0.2">
      <c r="A10" t="s">
        <v>445</v>
      </c>
      <c r="B10" s="9">
        <v>14</v>
      </c>
      <c r="C10" s="9">
        <v>21</v>
      </c>
      <c r="D10" s="9">
        <v>35</v>
      </c>
      <c r="E10" t="s">
        <v>240</v>
      </c>
      <c r="F10" t="s">
        <v>23</v>
      </c>
    </row>
    <row r="11" spans="1:6" x14ac:dyDescent="0.2">
      <c r="A11" t="s">
        <v>446</v>
      </c>
      <c r="B11" s="14">
        <v>3000</v>
      </c>
      <c r="C11" s="14">
        <v>7500</v>
      </c>
      <c r="D11" s="14">
        <v>15000</v>
      </c>
      <c r="E11" t="s">
        <v>285</v>
      </c>
      <c r="F11" t="s">
        <v>23</v>
      </c>
    </row>
    <row r="12" spans="1:6" x14ac:dyDescent="0.2">
      <c r="A12" t="s">
        <v>447</v>
      </c>
      <c r="B12" s="9">
        <v>1</v>
      </c>
      <c r="C12" s="9">
        <v>3</v>
      </c>
      <c r="D12" s="9">
        <v>8</v>
      </c>
      <c r="E12" t="s">
        <v>448</v>
      </c>
      <c r="F12" t="s">
        <v>23</v>
      </c>
    </row>
    <row r="13" spans="1:6" x14ac:dyDescent="0.2">
      <c r="A13" t="s">
        <v>449</v>
      </c>
      <c r="B13" s="9">
        <v>0.7</v>
      </c>
      <c r="C13" s="9">
        <v>1</v>
      </c>
      <c r="D13" s="9">
        <v>1.3</v>
      </c>
      <c r="E13" t="s">
        <v>450</v>
      </c>
      <c r="F13" t="s">
        <v>23</v>
      </c>
    </row>
    <row r="16" spans="1:6" x14ac:dyDescent="0.2">
      <c r="A16" s="6" t="s">
        <v>451</v>
      </c>
    </row>
    <row r="17" spans="1:7" ht="15.5" customHeight="1" x14ac:dyDescent="0.2">
      <c r="A17" s="7" t="s">
        <v>46</v>
      </c>
      <c r="B17" s="30" t="s">
        <v>452</v>
      </c>
      <c r="C17" s="31"/>
      <c r="D17" s="31"/>
      <c r="E17" s="31"/>
      <c r="F17" s="31"/>
      <c r="G17" s="31"/>
    </row>
    <row r="18" spans="1:7" ht="15.5" customHeight="1" x14ac:dyDescent="0.2">
      <c r="A18" s="7" t="s">
        <v>48</v>
      </c>
      <c r="B18" s="30" t="s">
        <v>453</v>
      </c>
      <c r="C18" s="31"/>
      <c r="D18" s="31"/>
      <c r="E18" s="31"/>
      <c r="F18" s="31"/>
      <c r="G18" s="31"/>
    </row>
    <row r="19" spans="1:7" ht="46.75" customHeight="1" x14ac:dyDescent="0.2">
      <c r="A19" s="7" t="s">
        <v>50</v>
      </c>
      <c r="B19" s="30" t="s">
        <v>454</v>
      </c>
      <c r="C19" s="31"/>
      <c r="D19" s="31"/>
      <c r="E19" s="31"/>
      <c r="F19" s="31"/>
      <c r="G19" s="31"/>
    </row>
    <row r="20" spans="1:7" ht="15.5" customHeight="1" x14ac:dyDescent="0.2">
      <c r="A20" s="7" t="s">
        <v>52</v>
      </c>
      <c r="B20" s="30" t="s">
        <v>455</v>
      </c>
      <c r="C20" s="31"/>
      <c r="D20" s="31"/>
      <c r="E20" s="31"/>
      <c r="F20" s="31"/>
      <c r="G20" s="31"/>
    </row>
    <row r="21" spans="1:7" ht="15.5" customHeight="1" x14ac:dyDescent="0.2">
      <c r="A21" s="7" t="s">
        <v>54</v>
      </c>
      <c r="B21" s="30" t="s">
        <v>456</v>
      </c>
      <c r="C21" s="31"/>
      <c r="D21" s="31"/>
      <c r="E21" s="31"/>
      <c r="F21" s="31"/>
      <c r="G21" s="31"/>
    </row>
    <row r="22" spans="1:7" x14ac:dyDescent="0.2">
      <c r="A22" s="8" t="s">
        <v>369</v>
      </c>
      <c r="B22" s="8" t="s">
        <v>457</v>
      </c>
      <c r="C22" s="8" t="s">
        <v>458</v>
      </c>
      <c r="D22" s="8" t="s">
        <v>387</v>
      </c>
      <c r="E22" s="8" t="s">
        <v>389</v>
      </c>
      <c r="F22" s="8" t="s">
        <v>444</v>
      </c>
      <c r="G22" s="8" t="s">
        <v>179</v>
      </c>
    </row>
    <row r="23" spans="1:7" x14ac:dyDescent="0.2">
      <c r="A23" t="s">
        <v>459</v>
      </c>
      <c r="B23" s="9">
        <v>2</v>
      </c>
      <c r="C23" s="9">
        <v>5</v>
      </c>
      <c r="D23" s="9">
        <v>0.05</v>
      </c>
      <c r="E23" s="9">
        <v>0.4</v>
      </c>
      <c r="F23" t="s">
        <v>460</v>
      </c>
    </row>
    <row r="26" spans="1:7" x14ac:dyDescent="0.2">
      <c r="A26" s="6" t="s">
        <v>461</v>
      </c>
    </row>
    <row r="27" spans="1:7" ht="31.25" customHeight="1" x14ac:dyDescent="0.2">
      <c r="A27" s="7" t="s">
        <v>46</v>
      </c>
      <c r="B27" s="30" t="s">
        <v>462</v>
      </c>
      <c r="C27" s="31"/>
      <c r="D27" s="31"/>
      <c r="E27" s="31"/>
    </row>
    <row r="28" spans="1:7" ht="31.25" customHeight="1" x14ac:dyDescent="0.2">
      <c r="A28" s="7" t="s">
        <v>48</v>
      </c>
      <c r="B28" s="30" t="s">
        <v>463</v>
      </c>
      <c r="C28" s="31"/>
      <c r="D28" s="31"/>
      <c r="E28" s="31"/>
    </row>
    <row r="29" spans="1:7" ht="124.75" customHeight="1" x14ac:dyDescent="0.2">
      <c r="A29" s="7" t="s">
        <v>50</v>
      </c>
      <c r="B29" s="30" t="s">
        <v>464</v>
      </c>
      <c r="C29" s="31"/>
      <c r="D29" s="31"/>
      <c r="E29" s="31"/>
    </row>
    <row r="30" spans="1:7" ht="31.25" customHeight="1" x14ac:dyDescent="0.2">
      <c r="A30" s="7" t="s">
        <v>52</v>
      </c>
      <c r="B30" s="30" t="s">
        <v>465</v>
      </c>
      <c r="C30" s="31"/>
      <c r="D30" s="31"/>
      <c r="E30" s="31"/>
    </row>
    <row r="31" spans="1:7" ht="15.5" customHeight="1" x14ac:dyDescent="0.2">
      <c r="A31" s="7" t="s">
        <v>54</v>
      </c>
      <c r="B31" s="30" t="s">
        <v>466</v>
      </c>
      <c r="C31" s="31"/>
      <c r="D31" s="31"/>
      <c r="E31" s="31"/>
    </row>
    <row r="32" spans="1:7" x14ac:dyDescent="0.2">
      <c r="A32" s="8" t="s">
        <v>467</v>
      </c>
      <c r="B32" s="8" t="s">
        <v>468</v>
      </c>
      <c r="C32" s="8" t="s">
        <v>65</v>
      </c>
      <c r="D32" s="8" t="s">
        <v>469</v>
      </c>
      <c r="E32" s="8" t="s">
        <v>470</v>
      </c>
    </row>
    <row r="33" spans="1:5" x14ac:dyDescent="0.2">
      <c r="A33" t="s">
        <v>471</v>
      </c>
      <c r="B33" s="14">
        <v>3</v>
      </c>
      <c r="C33" s="14">
        <v>5</v>
      </c>
      <c r="D33" s="14">
        <v>8</v>
      </c>
      <c r="E33" t="s">
        <v>472</v>
      </c>
    </row>
    <row r="34" spans="1:5" x14ac:dyDescent="0.2">
      <c r="A34" t="s">
        <v>473</v>
      </c>
      <c r="B34" s="14">
        <v>10</v>
      </c>
      <c r="C34" s="14">
        <v>20</v>
      </c>
      <c r="D34" s="14">
        <v>30</v>
      </c>
      <c r="E34" t="s">
        <v>474</v>
      </c>
    </row>
    <row r="35" spans="1:5" x14ac:dyDescent="0.2">
      <c r="A35" t="s">
        <v>475</v>
      </c>
      <c r="B35" s="14">
        <v>21</v>
      </c>
      <c r="C35" s="14">
        <v>50</v>
      </c>
      <c r="D35" s="14">
        <v>93</v>
      </c>
      <c r="E35" t="s">
        <v>476</v>
      </c>
    </row>
  </sheetData>
  <mergeCells count="15">
    <mergeCell ref="B31:E31"/>
    <mergeCell ref="B6:F6"/>
    <mergeCell ref="B17:G17"/>
    <mergeCell ref="B30:E30"/>
    <mergeCell ref="B5:F5"/>
    <mergeCell ref="B29:E29"/>
    <mergeCell ref="B18:G18"/>
    <mergeCell ref="B8:F8"/>
    <mergeCell ref="B21:G21"/>
    <mergeCell ref="B28:E28"/>
    <mergeCell ref="B4:F4"/>
    <mergeCell ref="B19:G19"/>
    <mergeCell ref="B20:G20"/>
    <mergeCell ref="B27:E27"/>
    <mergeCell ref="B7:F7"/>
  </mergeCells>
  <pageMargins left="0.75" right="0.75" top="1" bottom="1" header="0.5" footer="0.5"/>
  <tableParts count="3">
    <tablePart r:id="rId1"/>
    <tablePart r:id="rId2"/>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E30"/>
  <sheetViews>
    <sheetView workbookViewId="0"/>
  </sheetViews>
  <sheetFormatPr baseColWidth="10" defaultColWidth="8.83203125" defaultRowHeight="15" x14ac:dyDescent="0.2"/>
  <cols>
    <col min="1" max="1" width="20" customWidth="1"/>
    <col min="2" max="2" width="36" customWidth="1"/>
    <col min="3" max="3" width="16" customWidth="1"/>
    <col min="4" max="4" width="12" customWidth="1"/>
    <col min="5" max="5" width="14" customWidth="1"/>
  </cols>
  <sheetData>
    <row r="1" spans="1:5" ht="21" x14ac:dyDescent="0.25">
      <c r="A1" s="5" t="s">
        <v>477</v>
      </c>
    </row>
    <row r="3" spans="1:5" x14ac:dyDescent="0.2">
      <c r="A3" s="35" t="s">
        <v>478</v>
      </c>
      <c r="B3" s="33"/>
      <c r="C3" s="33"/>
      <c r="D3" s="33"/>
      <c r="E3" s="34"/>
    </row>
    <row r="4" spans="1:5" ht="140.5" customHeight="1" x14ac:dyDescent="0.2">
      <c r="A4" s="32" t="s">
        <v>479</v>
      </c>
      <c r="B4" s="33"/>
      <c r="C4" s="33"/>
      <c r="D4" s="33"/>
      <c r="E4" s="34"/>
    </row>
    <row r="6" spans="1:5" x14ac:dyDescent="0.2">
      <c r="A6" s="6" t="s">
        <v>477</v>
      </c>
    </row>
    <row r="7" spans="1:5" ht="31.25" customHeight="1" x14ac:dyDescent="0.2">
      <c r="A7" s="7" t="s">
        <v>46</v>
      </c>
      <c r="B7" s="30" t="s">
        <v>480</v>
      </c>
      <c r="C7" s="31"/>
      <c r="D7" s="31"/>
      <c r="E7" s="31"/>
    </row>
    <row r="8" spans="1:5" ht="15.5" customHeight="1" x14ac:dyDescent="0.2">
      <c r="A8" s="7" t="s">
        <v>48</v>
      </c>
      <c r="B8" s="30" t="s">
        <v>481</v>
      </c>
      <c r="C8" s="31"/>
      <c r="D8" s="31"/>
      <c r="E8" s="31"/>
    </row>
    <row r="9" spans="1:5" ht="46.75" customHeight="1" x14ac:dyDescent="0.2">
      <c r="A9" s="7" t="s">
        <v>50</v>
      </c>
      <c r="B9" s="30" t="s">
        <v>482</v>
      </c>
      <c r="C9" s="31"/>
      <c r="D9" s="31"/>
      <c r="E9" s="31"/>
    </row>
    <row r="10" spans="1:5" ht="15.5" customHeight="1" x14ac:dyDescent="0.2">
      <c r="A10" s="7" t="s">
        <v>52</v>
      </c>
      <c r="B10" s="30" t="s">
        <v>483</v>
      </c>
      <c r="C10" s="31"/>
      <c r="D10" s="31"/>
      <c r="E10" s="31"/>
    </row>
    <row r="11" spans="1:5" ht="15.5" customHeight="1" x14ac:dyDescent="0.2">
      <c r="A11" s="7" t="s">
        <v>54</v>
      </c>
      <c r="B11" s="30" t="s">
        <v>484</v>
      </c>
      <c r="C11" s="31"/>
      <c r="D11" s="31"/>
      <c r="E11" s="31"/>
    </row>
    <row r="12" spans="1:5" x14ac:dyDescent="0.2">
      <c r="A12" s="8" t="s">
        <v>485</v>
      </c>
      <c r="B12" s="8" t="s">
        <v>486</v>
      </c>
      <c r="C12" s="8" t="s">
        <v>239</v>
      </c>
      <c r="D12" s="8" t="s">
        <v>487</v>
      </c>
      <c r="E12" s="8" t="s">
        <v>488</v>
      </c>
    </row>
    <row r="13" spans="1:5" x14ac:dyDescent="0.2">
      <c r="A13">
        <v>0</v>
      </c>
      <c r="B13">
        <f>Base_Year+0</f>
        <v>2026</v>
      </c>
      <c r="C13">
        <f t="shared" ref="C13:C18" si="0">Season_Length</f>
        <v>100</v>
      </c>
      <c r="D13">
        <v>1</v>
      </c>
      <c r="E13">
        <v>1</v>
      </c>
    </row>
    <row r="14" spans="1:5" x14ac:dyDescent="0.2">
      <c r="A14">
        <v>1</v>
      </c>
      <c r="B14">
        <f>Base_Year+1</f>
        <v>2027</v>
      </c>
      <c r="C14">
        <f t="shared" si="0"/>
        <v>100</v>
      </c>
      <c r="D14">
        <f>1/(1+Discount_Rate)^1</f>
        <v>0.95419847328244267</v>
      </c>
      <c r="E14">
        <f>INDEX(LearningCurve_Mult,1)</f>
        <v>0.5</v>
      </c>
    </row>
    <row r="15" spans="1:5" x14ac:dyDescent="0.2">
      <c r="A15">
        <v>2</v>
      </c>
      <c r="B15">
        <f>Base_Year+2</f>
        <v>2028</v>
      </c>
      <c r="C15">
        <f t="shared" si="0"/>
        <v>100</v>
      </c>
      <c r="D15">
        <f>1/(1+Discount_Rate)^2</f>
        <v>0.91049472641454443</v>
      </c>
      <c r="E15">
        <f>INDEX(LearningCurve_Mult,2)</f>
        <v>0.75</v>
      </c>
    </row>
    <row r="16" spans="1:5" x14ac:dyDescent="0.2">
      <c r="A16">
        <v>3</v>
      </c>
      <c r="B16">
        <f>Base_Year+3</f>
        <v>2029</v>
      </c>
      <c r="C16">
        <f t="shared" si="0"/>
        <v>100</v>
      </c>
      <c r="D16">
        <f>1/(1+Discount_Rate)^3</f>
        <v>0.86879267787647374</v>
      </c>
      <c r="E16">
        <f>INDEX(LearningCurve_Mult,3)</f>
        <v>1</v>
      </c>
    </row>
    <row r="17" spans="1:5" x14ac:dyDescent="0.2">
      <c r="A17">
        <v>4</v>
      </c>
      <c r="B17">
        <f>Base_Year+4</f>
        <v>2030</v>
      </c>
      <c r="C17">
        <f t="shared" si="0"/>
        <v>100</v>
      </c>
      <c r="D17">
        <f>1/(1+Discount_Rate)^4</f>
        <v>0.82900064682869612</v>
      </c>
      <c r="E17">
        <f>INDEX(LearningCurve_Mult,4)</f>
        <v>1</v>
      </c>
    </row>
    <row r="18" spans="1:5" x14ac:dyDescent="0.2">
      <c r="A18">
        <v>5</v>
      </c>
      <c r="B18">
        <f>Base_Year+5</f>
        <v>2031</v>
      </c>
      <c r="C18">
        <f t="shared" si="0"/>
        <v>100</v>
      </c>
      <c r="D18">
        <f>1/(1+Discount_Rate)^5</f>
        <v>0.79103115155409931</v>
      </c>
      <c r="E18">
        <f>INDEX(LearningCurve_Mult,5)</f>
        <v>1</v>
      </c>
    </row>
    <row r="21" spans="1:5" ht="19" x14ac:dyDescent="0.25">
      <c r="A21" s="4" t="s">
        <v>489</v>
      </c>
    </row>
    <row r="22" spans="1:5" x14ac:dyDescent="0.2">
      <c r="A22" s="20" t="s">
        <v>490</v>
      </c>
    </row>
    <row r="23" spans="1:5" x14ac:dyDescent="0.2">
      <c r="A23" s="8" t="s">
        <v>491</v>
      </c>
      <c r="B23" s="8" t="s">
        <v>492</v>
      </c>
      <c r="C23" s="8" t="s">
        <v>57</v>
      </c>
      <c r="D23" s="8" t="s">
        <v>227</v>
      </c>
    </row>
    <row r="24" spans="1:5" x14ac:dyDescent="0.2">
      <c r="A24" t="s">
        <v>206</v>
      </c>
      <c r="B24" t="s">
        <v>493</v>
      </c>
      <c r="C24" s="21">
        <f ca="1">Rapid_Phase_Rate*Stoch_TreatmentRate</f>
        <v>0.58291437954676917</v>
      </c>
      <c r="D24" t="s">
        <v>341</v>
      </c>
    </row>
    <row r="25" spans="1:5" x14ac:dyDescent="0.2">
      <c r="A25" t="s">
        <v>207</v>
      </c>
      <c r="B25" t="s">
        <v>494</v>
      </c>
      <c r="C25" s="21">
        <f ca="1">Slow_Phase_Rate*Stoch_TreatmentRate</f>
        <v>0.27173452279623822</v>
      </c>
      <c r="D25" t="s">
        <v>341</v>
      </c>
    </row>
    <row r="26" spans="1:5" x14ac:dyDescent="0.2">
      <c r="A26" t="s">
        <v>208</v>
      </c>
      <c r="B26" t="s">
        <v>495</v>
      </c>
      <c r="C26" s="22">
        <f ca="1">MAX(0,Initial_NAFC-Eff_Rapid_Rate*Rapid_Phase_Duration)</f>
        <v>54.356284306798464</v>
      </c>
      <c r="D26" t="s">
        <v>338</v>
      </c>
    </row>
    <row r="27" spans="1:5" x14ac:dyDescent="0.2">
      <c r="A27" t="s">
        <v>209</v>
      </c>
      <c r="B27" t="s">
        <v>496</v>
      </c>
      <c r="C27" s="23">
        <f ca="1">IF(Initial_NAFC&lt;=Target_NAFC,0,IF(NAFC_After_Rapid&lt;=Target_NAFC,(Initial_NAFC-Target_NAFC)/Eff_Rapid_Rate,Rapid_Phase_Duration+(NAFC_After_Rapid-Target_NAFC)/Eff_Slow_Rate))</f>
        <v>31.031398079165122</v>
      </c>
      <c r="D27" t="s">
        <v>240</v>
      </c>
    </row>
    <row r="28" spans="1:5" x14ac:dyDescent="0.2">
      <c r="A28" t="s">
        <v>497</v>
      </c>
      <c r="B28" t="s">
        <v>498</v>
      </c>
      <c r="C28" s="24">
        <f ca="1">CEILING(Days_to_Compliance/Recirculation_Cycle,1)</f>
        <v>3</v>
      </c>
      <c r="D28" t="s">
        <v>499</v>
      </c>
    </row>
    <row r="29" spans="1:5" x14ac:dyDescent="0.2">
      <c r="A29" t="s">
        <v>500</v>
      </c>
      <c r="B29" t="s">
        <v>501</v>
      </c>
      <c r="C29" s="25">
        <f>(Initial_NAFC-Target_NAFC)/Initial_NAFC</f>
        <v>0.2076069730586371</v>
      </c>
      <c r="D29" t="s">
        <v>460</v>
      </c>
    </row>
    <row r="30" spans="1:5" x14ac:dyDescent="0.2">
      <c r="A30" t="s">
        <v>502</v>
      </c>
      <c r="B30" t="s">
        <v>503</v>
      </c>
      <c r="C30" t="str">
        <f ca="1">IF(Days_to_Compliance&lt;=Season_Length,"ACHIEVABLE","EXCEEDS SEASON")</f>
        <v>ACHIEVABLE</v>
      </c>
      <c r="D30" t="s">
        <v>504</v>
      </c>
    </row>
  </sheetData>
  <mergeCells count="7">
    <mergeCell ref="A3:E3"/>
    <mergeCell ref="B9:E9"/>
    <mergeCell ref="A4:E4"/>
    <mergeCell ref="B8:E8"/>
    <mergeCell ref="B7:E7"/>
    <mergeCell ref="B11:E11"/>
    <mergeCell ref="B10:E10"/>
  </mergeCells>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72C4"/>
  </sheetPr>
  <dimension ref="A1:E17"/>
  <sheetViews>
    <sheetView workbookViewId="0"/>
  </sheetViews>
  <sheetFormatPr baseColWidth="10" defaultColWidth="8.83203125" defaultRowHeight="15" x14ac:dyDescent="0.2"/>
  <cols>
    <col min="1" max="1" width="24" customWidth="1"/>
    <col min="2" max="2" width="55" customWidth="1"/>
    <col min="3" max="3" width="14" customWidth="1"/>
    <col min="4" max="4" width="12" customWidth="1"/>
    <col min="5" max="5" width="35" customWidth="1"/>
  </cols>
  <sheetData>
    <row r="1" spans="1:5" ht="21" x14ac:dyDescent="0.25">
      <c r="A1" s="5" t="s">
        <v>505</v>
      </c>
    </row>
    <row r="3" spans="1:5" x14ac:dyDescent="0.2">
      <c r="A3" s="35" t="s">
        <v>506</v>
      </c>
      <c r="B3" s="33"/>
      <c r="C3" s="33"/>
      <c r="D3" s="33"/>
      <c r="E3" s="34"/>
    </row>
    <row r="4" spans="1:5" ht="78" customHeight="1" x14ac:dyDescent="0.2">
      <c r="A4" s="32" t="s">
        <v>507</v>
      </c>
      <c r="B4" s="33"/>
      <c r="C4" s="33"/>
      <c r="D4" s="33"/>
      <c r="E4" s="34"/>
    </row>
    <row r="7" spans="1:5" x14ac:dyDescent="0.2">
      <c r="A7" s="8" t="s">
        <v>508</v>
      </c>
      <c r="B7" s="8" t="s">
        <v>492</v>
      </c>
      <c r="C7" s="8" t="s">
        <v>57</v>
      </c>
      <c r="D7" s="8" t="s">
        <v>227</v>
      </c>
      <c r="E7" s="8" t="s">
        <v>228</v>
      </c>
    </row>
    <row r="8" spans="1:5" x14ac:dyDescent="0.2">
      <c r="A8" t="s">
        <v>509</v>
      </c>
      <c r="B8" t="e">
        <f>2^((Stoch_Temp-20)/10)</f>
        <v>#NAME?</v>
      </c>
      <c r="C8" s="21">
        <f>2^((Env_Temp_Water_Jul-20)/10)</f>
        <v>1</v>
      </c>
      <c r="D8" t="s">
        <v>450</v>
      </c>
      <c r="E8" t="s">
        <v>510</v>
      </c>
    </row>
    <row r="9" spans="1:5" x14ac:dyDescent="0.2">
      <c r="A9" t="s">
        <v>511</v>
      </c>
      <c r="B9" t="e">
        <f>UV_Relative*(1-MIN(1,Turbidity/100))</f>
        <v>#NAME?</v>
      </c>
      <c r="C9" s="21">
        <f>Env_UV_Relative_Jul*(1-MIN(1,Ionic_Chloride_Mode/1000))</f>
        <v>0.85</v>
      </c>
      <c r="D9" t="s">
        <v>450</v>
      </c>
      <c r="E9" t="s">
        <v>512</v>
      </c>
    </row>
    <row r="10" spans="1:5" x14ac:dyDescent="0.2">
      <c r="A10" t="s">
        <v>513</v>
      </c>
      <c r="B10" t="e">
        <f>IF(DO&gt;=6.5,1,DO/6.5)</f>
        <v>#NAME?</v>
      </c>
      <c r="C10" s="21">
        <f>IF(Env_DO_Typical_Jul&gt;=6.5,1,Env_DO_Typical_Jul/6.5)</f>
        <v>1</v>
      </c>
      <c r="D10" t="s">
        <v>450</v>
      </c>
      <c r="E10" t="s">
        <v>514</v>
      </c>
    </row>
    <row r="11" spans="1:5" x14ac:dyDescent="0.2">
      <c r="A11" t="s">
        <v>515</v>
      </c>
      <c r="B11" t="e">
        <f>Nutrient_Index</f>
        <v>#NAME?</v>
      </c>
      <c r="C11" s="21">
        <f>Env_Nutrient_Index_Jul</f>
        <v>0.4</v>
      </c>
      <c r="D11" t="s">
        <v>450</v>
      </c>
      <c r="E11" t="s">
        <v>516</v>
      </c>
    </row>
    <row r="12" spans="1:5" x14ac:dyDescent="0.2">
      <c r="A12" t="s">
        <v>517</v>
      </c>
      <c r="B12" t="e">
        <f>Bioavail*(1-Clay*0.5)</f>
        <v>#NAME?</v>
      </c>
      <c r="C12" s="21">
        <f>Env_Bioavail_Index_Jul*(1-0.15*0.5)</f>
        <v>0.92500000000000004</v>
      </c>
      <c r="D12" t="s">
        <v>450</v>
      </c>
      <c r="E12" t="s">
        <v>518</v>
      </c>
    </row>
    <row r="15" spans="1:5" x14ac:dyDescent="0.2">
      <c r="A15" s="11" t="s">
        <v>519</v>
      </c>
    </row>
    <row r="16" spans="1:5" x14ac:dyDescent="0.2">
      <c r="A16" t="s">
        <v>520</v>
      </c>
      <c r="B16" t="e">
        <f>Base_Rate * Q10 * UV * DO * Nutrient * Bioavail * Stoch_Treatment</f>
        <v>#NAME?</v>
      </c>
      <c r="C16" s="21">
        <f ca="1">Rapid_Phase_Rate*Q10_Factor*UV_Modifier*DO_Modifier*Nutrient_Modifier*Bioavail_Modifier*Stoch_TreatmentRate</f>
        <v>0.18332657236745892</v>
      </c>
      <c r="D16" t="s">
        <v>341</v>
      </c>
      <c r="E16" t="s">
        <v>521</v>
      </c>
    </row>
    <row r="17" spans="1:5" x14ac:dyDescent="0.2">
      <c r="A17" t="s">
        <v>522</v>
      </c>
      <c r="B17">
        <f ca="1">Effective_Rate / Rapid_Phase_Rate</f>
        <v>0.34459882023958444</v>
      </c>
      <c r="C17" s="25">
        <f ca="1">Effective_Rate/Rapid_Phase_Rate</f>
        <v>0.34459882023958444</v>
      </c>
      <c r="D17" t="s">
        <v>460</v>
      </c>
      <c r="E17" t="s">
        <v>523</v>
      </c>
    </row>
  </sheetData>
  <mergeCells count="2">
    <mergeCell ref="A4:E4"/>
    <mergeCell ref="A3:E3"/>
  </mergeCells>
  <pageMargins left="0.75" right="0.75" top="1" bottom="1" header="0.5" footer="0.5"/>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C18"/>
  <sheetViews>
    <sheetView workbookViewId="0"/>
  </sheetViews>
  <sheetFormatPr baseColWidth="10" defaultColWidth="8.83203125" defaultRowHeight="15" x14ac:dyDescent="0.2"/>
  <cols>
    <col min="1" max="1" width="22" customWidth="1"/>
    <col min="2" max="2" width="12" customWidth="1"/>
    <col min="3" max="3" width="70" customWidth="1"/>
  </cols>
  <sheetData>
    <row r="1" spans="1:3" ht="21" x14ac:dyDescent="0.25">
      <c r="A1" s="5" t="s">
        <v>524</v>
      </c>
    </row>
    <row r="2" spans="1:3" x14ac:dyDescent="0.2">
      <c r="A2" s="12" t="s">
        <v>525</v>
      </c>
    </row>
    <row r="4" spans="1:3" x14ac:dyDescent="0.2">
      <c r="A4" s="35" t="s">
        <v>526</v>
      </c>
      <c r="B4" s="33"/>
      <c r="C4" s="34"/>
    </row>
    <row r="5" spans="1:3" ht="202.75" customHeight="1" x14ac:dyDescent="0.2">
      <c r="A5" s="32" t="s">
        <v>527</v>
      </c>
      <c r="B5" s="33"/>
      <c r="C5" s="34"/>
    </row>
    <row r="7" spans="1:3" x14ac:dyDescent="0.2">
      <c r="A7" s="6" t="s">
        <v>524</v>
      </c>
    </row>
    <row r="8" spans="1:3" ht="31.25" customHeight="1" x14ac:dyDescent="0.2">
      <c r="A8" s="7" t="s">
        <v>46</v>
      </c>
      <c r="B8" s="30" t="s">
        <v>528</v>
      </c>
      <c r="C8" s="31"/>
    </row>
    <row r="9" spans="1:3" ht="15.5" customHeight="1" x14ac:dyDescent="0.2">
      <c r="A9" s="7" t="s">
        <v>48</v>
      </c>
      <c r="B9" s="30" t="s">
        <v>529</v>
      </c>
      <c r="C9" s="31"/>
    </row>
    <row r="10" spans="1:3" ht="46.75" customHeight="1" x14ac:dyDescent="0.2">
      <c r="A10" s="7" t="s">
        <v>50</v>
      </c>
      <c r="B10" s="30" t="s">
        <v>530</v>
      </c>
      <c r="C10" s="31"/>
    </row>
    <row r="11" spans="1:3" ht="15.5" customHeight="1" x14ac:dyDescent="0.2">
      <c r="A11" s="7" t="s">
        <v>52</v>
      </c>
      <c r="B11" s="30" t="s">
        <v>531</v>
      </c>
      <c r="C11" s="31"/>
    </row>
    <row r="12" spans="1:3" ht="15.5" customHeight="1" x14ac:dyDescent="0.2">
      <c r="A12" s="7" t="s">
        <v>54</v>
      </c>
      <c r="B12" s="30" t="s">
        <v>532</v>
      </c>
      <c r="C12" s="31"/>
    </row>
    <row r="13" spans="1:3" x14ac:dyDescent="0.2">
      <c r="A13" s="8" t="s">
        <v>369</v>
      </c>
      <c r="B13" s="8" t="s">
        <v>533</v>
      </c>
      <c r="C13" s="8" t="s">
        <v>534</v>
      </c>
    </row>
    <row r="14" spans="1:3" x14ac:dyDescent="0.2">
      <c r="A14" t="s">
        <v>535</v>
      </c>
      <c r="B14">
        <f ca="1">RAND()</f>
        <v>7.5801376217562888E-2</v>
      </c>
      <c r="C14">
        <f ca="1">IF(B14&lt;(Tri_Season_Extension_Days_Mode-Tri_Season_Extension_Days_Min)/(Tri_Season_Extension_Days_Max-Tri_Season_Extension_Days_Min),Tri_Season_Extension_Days_Min+SQRT(B14*(Tri_Season_Extension_Days_Max-Tri_Season_Extension_Days_Min)*(Tri_Season_Extension_Days_Mode-Tri_Season_Extension_Days_Min)),Tri_Season_Extension_Days_Max-SQRT((1-B14)*(Tri_Season_Extension_Days_Max-Tri_Season_Extension_Days_Min)*(Tri_Season_Extension_Days_Max-Tri_Season_Extension_Days_Mode)))</f>
        <v>17.338083627469771</v>
      </c>
    </row>
    <row r="15" spans="1:3" x14ac:dyDescent="0.2">
      <c r="A15" t="s">
        <v>536</v>
      </c>
      <c r="B15">
        <f ca="1">RAND()</f>
        <v>0.28805913183991649</v>
      </c>
      <c r="C15">
        <f ca="1">IF(B15&lt;(Tri_Extension_Value_Per_Day_Mode-Tri_Extension_Value_Per_Day_Min)/(Tri_Extension_Value_Per_Day_Max-Tri_Extension_Value_Per_Day_Min),Tri_Extension_Value_Per_Day_Min+SQRT(B15*(Tri_Extension_Value_Per_Day_Max-Tri_Extension_Value_Per_Day_Min)*(Tri_Extension_Value_Per_Day_Mode-Tri_Extension_Value_Per_Day_Min)),Tri_Extension_Value_Per_Day_Max-SQRT((1-B15)*(Tri_Extension_Value_Per_Day_Max-Tri_Extension_Value_Per_Day_Min)*(Tri_Extension_Value_Per_Day_Max-Tri_Extension_Value_Per_Day_Mode)))</f>
        <v>6944.0072412909558</v>
      </c>
    </row>
    <row r="16" spans="1:3" x14ac:dyDescent="0.2">
      <c r="A16" t="s">
        <v>447</v>
      </c>
      <c r="B16">
        <f ca="1">RAND()</f>
        <v>0.19000656924860793</v>
      </c>
      <c r="C16">
        <f ca="1">IF(B16&lt;(Tri_Interventions_Avoided_Mode-Tri_Interventions_Avoided_Min)/(Tri_Interventions_Avoided_Max-Tri_Interventions_Avoided_Min),Tri_Interventions_Avoided_Min+SQRT(B16*(Tri_Interventions_Avoided_Max-Tri_Interventions_Avoided_Min)*(Tri_Interventions_Avoided_Mode-Tri_Interventions_Avoided_Min)),Tri_Interventions_Avoided_Max-SQRT((1-B16)*(Tri_Interventions_Avoided_Max-Tri_Interventions_Avoided_Min)*(Tri_Interventions_Avoided_Max-Tri_Interventions_Avoided_Mode)))</f>
        <v>2.6309788378395691</v>
      </c>
    </row>
    <row r="17" spans="1:3" x14ac:dyDescent="0.2">
      <c r="A17" t="s">
        <v>459</v>
      </c>
      <c r="B17">
        <f ca="1">RAND()</f>
        <v>0.99304645685290838</v>
      </c>
      <c r="C17">
        <f ca="1">Beta_Efficiency_Gain_Min+(Beta_Efficiency_Gain_Max-Beta_Efficiency_Gain_Min)*B17</f>
        <v>0.39756625989851796</v>
      </c>
    </row>
    <row r="18" spans="1:3" x14ac:dyDescent="0.2">
      <c r="A18" t="s">
        <v>449</v>
      </c>
      <c r="B18">
        <f ca="1">RAND()</f>
        <v>0.76812794648542271</v>
      </c>
      <c r="C18">
        <f ca="1">IF(B18&lt;(Tri_Treatment_Rate_Factor_Mode-Tri_Treatment_Rate_Factor_Min)/(Tri_Treatment_Rate_Factor_Max-Tri_Treatment_Rate_Factor_Min),Tri_Treatment_Rate_Factor_Min+SQRT(B18*(Tri_Treatment_Rate_Factor_Max-Tri_Treatment_Rate_Factor_Min)*(Tri_Treatment_Rate_Factor_Mode-Tri_Treatment_Rate_Factor_Min)),Tri_Treatment_Rate_Factor_Max-SQRT((1-B18)*(Tri_Treatment_Rate_Factor_Max-Tri_Treatment_Rate_Factor_Min)*(Tri_Treatment_Rate_Factor_Max-Tri_Treatment_Rate_Factor_Mode)))</f>
        <v>1.0957037209525735</v>
      </c>
    </row>
  </sheetData>
  <mergeCells count="7">
    <mergeCell ref="B12:C12"/>
    <mergeCell ref="A5:C5"/>
    <mergeCell ref="B11:C11"/>
    <mergeCell ref="B10:C10"/>
    <mergeCell ref="B9:C9"/>
    <mergeCell ref="A4:C4"/>
    <mergeCell ref="B8:C8"/>
  </mergeCells>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72C4"/>
  </sheetPr>
  <dimension ref="A1:F26"/>
  <sheetViews>
    <sheetView workbookViewId="0"/>
  </sheetViews>
  <sheetFormatPr baseColWidth="10" defaultColWidth="8.83203125" defaultRowHeight="15" x14ac:dyDescent="0.2"/>
  <cols>
    <col min="1" max="1" width="20" customWidth="1"/>
    <col min="2" max="2" width="14" customWidth="1"/>
    <col min="3" max="5" width="10" customWidth="1"/>
    <col min="6" max="6" width="35" customWidth="1"/>
  </cols>
  <sheetData>
    <row r="1" spans="1:6" ht="21" x14ac:dyDescent="0.25">
      <c r="A1" s="5" t="s">
        <v>537</v>
      </c>
    </row>
    <row r="3" spans="1:6" x14ac:dyDescent="0.2">
      <c r="A3" s="35" t="s">
        <v>538</v>
      </c>
      <c r="B3" s="33"/>
      <c r="C3" s="33"/>
      <c r="D3" s="33"/>
      <c r="E3" s="33"/>
      <c r="F3" s="34"/>
    </row>
    <row r="4" spans="1:6" ht="78" customHeight="1" x14ac:dyDescent="0.2">
      <c r="A4" s="32" t="s">
        <v>539</v>
      </c>
      <c r="B4" s="33"/>
      <c r="C4" s="33"/>
      <c r="D4" s="33"/>
      <c r="E4" s="33"/>
      <c r="F4" s="34"/>
    </row>
    <row r="7" spans="1:6" x14ac:dyDescent="0.2">
      <c r="A7" s="8" t="s">
        <v>540</v>
      </c>
      <c r="B7" s="8" t="s">
        <v>390</v>
      </c>
      <c r="C7" s="8" t="s">
        <v>391</v>
      </c>
      <c r="D7" s="8" t="s">
        <v>57</v>
      </c>
      <c r="E7" s="8" t="s">
        <v>541</v>
      </c>
      <c r="F7" s="8" t="s">
        <v>228</v>
      </c>
    </row>
    <row r="8" spans="1:6" x14ac:dyDescent="0.2">
      <c r="A8" t="s">
        <v>542</v>
      </c>
      <c r="B8" t="s">
        <v>543</v>
      </c>
      <c r="C8" t="s">
        <v>544</v>
      </c>
      <c r="D8" s="24">
        <f ca="1">IF(ABS(Stoch_Efficiency-0.2)&lt;0.05,1,0)</f>
        <v>0</v>
      </c>
      <c r="E8" t="str">
        <f t="shared" ref="E8:E20" ca="1" si="0">IF(D8=1,"PASS","FAIL")</f>
        <v>FAIL</v>
      </c>
      <c r="F8" t="s">
        <v>545</v>
      </c>
    </row>
    <row r="9" spans="1:6" x14ac:dyDescent="0.2">
      <c r="A9" t="s">
        <v>392</v>
      </c>
      <c r="B9" t="s">
        <v>546</v>
      </c>
      <c r="C9" t="s">
        <v>393</v>
      </c>
      <c r="D9" s="24">
        <f>IF(Ionic_Chloride_Mode&lt;230,1,0)</f>
        <v>1</v>
      </c>
      <c r="E9" t="str">
        <f t="shared" si="0"/>
        <v>PASS</v>
      </c>
      <c r="F9" t="s">
        <v>547</v>
      </c>
    </row>
    <row r="10" spans="1:6" x14ac:dyDescent="0.2">
      <c r="A10" t="s">
        <v>395</v>
      </c>
      <c r="B10" t="s">
        <v>548</v>
      </c>
      <c r="C10" t="s">
        <v>393</v>
      </c>
      <c r="D10" s="24">
        <f>IF(Ionic_SAR_Mode&lt;4,1,0)</f>
        <v>1</v>
      </c>
      <c r="E10" t="str">
        <f t="shared" si="0"/>
        <v>PASS</v>
      </c>
      <c r="F10" t="s">
        <v>549</v>
      </c>
    </row>
    <row r="11" spans="1:6" x14ac:dyDescent="0.2">
      <c r="A11" t="s">
        <v>550</v>
      </c>
      <c r="B11" t="s">
        <v>551</v>
      </c>
      <c r="C11" t="s">
        <v>401</v>
      </c>
      <c r="D11" s="24">
        <f>IF(Env_DO_Typical_Jul&gt;6.5,1,0)</f>
        <v>0</v>
      </c>
      <c r="E11" t="str">
        <f t="shared" si="0"/>
        <v>FAIL</v>
      </c>
      <c r="F11" t="s">
        <v>552</v>
      </c>
    </row>
    <row r="12" spans="1:6" x14ac:dyDescent="0.2">
      <c r="A12" t="s">
        <v>553</v>
      </c>
      <c r="B12" t="s">
        <v>554</v>
      </c>
      <c r="C12" t="s">
        <v>401</v>
      </c>
      <c r="D12" s="24">
        <f>IF(7.5&gt;6.5,1,0)</f>
        <v>1</v>
      </c>
      <c r="E12" t="str">
        <f t="shared" si="0"/>
        <v>PASS</v>
      </c>
      <c r="F12" t="s">
        <v>555</v>
      </c>
    </row>
    <row r="13" spans="1:6" x14ac:dyDescent="0.2">
      <c r="A13" t="s">
        <v>556</v>
      </c>
      <c r="B13" t="s">
        <v>557</v>
      </c>
      <c r="C13" t="s">
        <v>393</v>
      </c>
      <c r="D13" s="24">
        <f>IF(7.5&lt;8.5,1,0)</f>
        <v>1</v>
      </c>
      <c r="E13" t="str">
        <f t="shared" si="0"/>
        <v>PASS</v>
      </c>
      <c r="F13" t="s">
        <v>558</v>
      </c>
    </row>
    <row r="14" spans="1:6" x14ac:dyDescent="0.2">
      <c r="A14" t="s">
        <v>398</v>
      </c>
      <c r="B14" t="s">
        <v>559</v>
      </c>
      <c r="C14" t="s">
        <v>393</v>
      </c>
      <c r="D14" s="24">
        <f>IF(Ionic_Sulfate_Mode&lt;500,1,0)</f>
        <v>1</v>
      </c>
      <c r="E14" t="str">
        <f t="shared" si="0"/>
        <v>PASS</v>
      </c>
      <c r="F14" t="s">
        <v>399</v>
      </c>
    </row>
    <row r="15" spans="1:6" x14ac:dyDescent="0.2">
      <c r="A15" t="s">
        <v>560</v>
      </c>
      <c r="B15" t="s">
        <v>561</v>
      </c>
      <c r="C15" t="s">
        <v>393</v>
      </c>
      <c r="D15" s="24">
        <f>IF(Env_Temp_Water_Jul&lt;25,1,0)</f>
        <v>1</v>
      </c>
      <c r="E15" t="str">
        <f t="shared" si="0"/>
        <v>PASS</v>
      </c>
      <c r="F15" t="s">
        <v>562</v>
      </c>
    </row>
    <row r="16" spans="1:6" x14ac:dyDescent="0.2">
      <c r="A16" t="s">
        <v>119</v>
      </c>
      <c r="B16" t="s">
        <v>563</v>
      </c>
      <c r="C16" t="s">
        <v>393</v>
      </c>
      <c r="D16" s="24">
        <f ca="1">IF(Days_to_Compliance&lt;Season_Length,1,0)</f>
        <v>1</v>
      </c>
      <c r="E16" t="str">
        <f t="shared" ca="1" si="0"/>
        <v>PASS</v>
      </c>
      <c r="F16" t="s">
        <v>564</v>
      </c>
    </row>
    <row r="17" spans="1:6" x14ac:dyDescent="0.2">
      <c r="A17" t="s">
        <v>565</v>
      </c>
      <c r="B17" t="s">
        <v>566</v>
      </c>
      <c r="C17" t="s">
        <v>393</v>
      </c>
      <c r="D17" s="24">
        <f>1</f>
        <v>1</v>
      </c>
      <c r="E17" t="str">
        <f t="shared" si="0"/>
        <v>PASS</v>
      </c>
      <c r="F17" t="s">
        <v>567</v>
      </c>
    </row>
    <row r="18" spans="1:6" x14ac:dyDescent="0.2">
      <c r="A18" t="s">
        <v>568</v>
      </c>
      <c r="B18" t="s">
        <v>569</v>
      </c>
      <c r="C18" t="s">
        <v>570</v>
      </c>
      <c r="D18" s="24">
        <f>1</f>
        <v>1</v>
      </c>
      <c r="E18" t="str">
        <f t="shared" si="0"/>
        <v>PASS</v>
      </c>
      <c r="F18" t="s">
        <v>571</v>
      </c>
    </row>
    <row r="19" spans="1:6" x14ac:dyDescent="0.2">
      <c r="A19" t="s">
        <v>572</v>
      </c>
      <c r="B19" t="s">
        <v>573</v>
      </c>
      <c r="C19" t="s">
        <v>570</v>
      </c>
      <c r="D19" s="24">
        <f>1</f>
        <v>1</v>
      </c>
      <c r="E19" t="str">
        <f t="shared" si="0"/>
        <v>PASS</v>
      </c>
      <c r="F19" t="s">
        <v>574</v>
      </c>
    </row>
    <row r="20" spans="1:6" x14ac:dyDescent="0.2">
      <c r="A20" t="s">
        <v>575</v>
      </c>
      <c r="B20" t="s">
        <v>576</v>
      </c>
      <c r="C20" t="s">
        <v>570</v>
      </c>
      <c r="D20" s="24">
        <f>1</f>
        <v>1</v>
      </c>
      <c r="E20" t="str">
        <f t="shared" si="0"/>
        <v>PASS</v>
      </c>
      <c r="F20" t="s">
        <v>577</v>
      </c>
    </row>
    <row r="23" spans="1:6" x14ac:dyDescent="0.2">
      <c r="A23" s="11" t="s">
        <v>578</v>
      </c>
    </row>
    <row r="24" spans="1:6" x14ac:dyDescent="0.2">
      <c r="A24" t="s">
        <v>579</v>
      </c>
      <c r="B24" t="e">
        <f>MIN(all gates)</f>
        <v>#NAME?</v>
      </c>
      <c r="C24" s="24">
        <f ca="1">MIN(D8:D20)</f>
        <v>0</v>
      </c>
      <c r="D24" t="str">
        <f ca="1">IF(C24=1,"ALL PASS","BLOCKED")</f>
        <v>BLOCKED</v>
      </c>
    </row>
    <row r="25" spans="1:6" x14ac:dyDescent="0.2">
      <c r="A25" t="s">
        <v>580</v>
      </c>
      <c r="C25">
        <f ca="1">COUNTIF(D8:D20,1)</f>
        <v>11</v>
      </c>
      <c r="D25" t="s">
        <v>581</v>
      </c>
    </row>
    <row r="26" spans="1:6" x14ac:dyDescent="0.2">
      <c r="A26" t="s">
        <v>582</v>
      </c>
      <c r="C26">
        <f ca="1">COUNTIF(D8:D20,0)</f>
        <v>2</v>
      </c>
    </row>
  </sheetData>
  <mergeCells count="2">
    <mergeCell ref="A3:F3"/>
    <mergeCell ref="A4:F4"/>
  </mergeCells>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4472C4"/>
  </sheetPr>
  <dimension ref="A1:E18"/>
  <sheetViews>
    <sheetView workbookViewId="0"/>
  </sheetViews>
  <sheetFormatPr baseColWidth="10" defaultColWidth="8.83203125" defaultRowHeight="15" x14ac:dyDescent="0.2"/>
  <cols>
    <col min="1" max="1" width="28" customWidth="1"/>
    <col min="2" max="5" width="14" customWidth="1"/>
  </cols>
  <sheetData>
    <row r="1" spans="1:5" ht="21" x14ac:dyDescent="0.25">
      <c r="A1" s="5" t="s">
        <v>583</v>
      </c>
    </row>
    <row r="3" spans="1:5" x14ac:dyDescent="0.2">
      <c r="A3" s="35" t="s">
        <v>584</v>
      </c>
      <c r="B3" s="33"/>
      <c r="C3" s="33"/>
      <c r="D3" s="33"/>
      <c r="E3" s="34"/>
    </row>
    <row r="4" spans="1:5" ht="234" customHeight="1" x14ac:dyDescent="0.2">
      <c r="A4" s="32" t="s">
        <v>585</v>
      </c>
      <c r="B4" s="33"/>
      <c r="C4" s="33"/>
      <c r="D4" s="33"/>
      <c r="E4" s="34"/>
    </row>
    <row r="6" spans="1:5" x14ac:dyDescent="0.2">
      <c r="A6" s="6" t="s">
        <v>583</v>
      </c>
    </row>
    <row r="7" spans="1:5" ht="31.25" customHeight="1" x14ac:dyDescent="0.2">
      <c r="A7" s="7" t="s">
        <v>46</v>
      </c>
      <c r="B7" s="30" t="s">
        <v>586</v>
      </c>
      <c r="C7" s="31"/>
      <c r="D7" s="31"/>
      <c r="E7" s="31"/>
    </row>
    <row r="8" spans="1:5" ht="31.25" customHeight="1" x14ac:dyDescent="0.2">
      <c r="A8" s="7" t="s">
        <v>48</v>
      </c>
      <c r="B8" s="30" t="s">
        <v>587</v>
      </c>
      <c r="C8" s="31"/>
      <c r="D8" s="31"/>
      <c r="E8" s="31"/>
    </row>
    <row r="9" spans="1:5" ht="109.25" customHeight="1" x14ac:dyDescent="0.2">
      <c r="A9" s="7" t="s">
        <v>50</v>
      </c>
      <c r="B9" s="30" t="s">
        <v>588</v>
      </c>
      <c r="C9" s="31"/>
      <c r="D9" s="31"/>
      <c r="E9" s="31"/>
    </row>
    <row r="10" spans="1:5" ht="31.25" customHeight="1" x14ac:dyDescent="0.2">
      <c r="A10" s="7" t="s">
        <v>52</v>
      </c>
      <c r="B10" s="30" t="s">
        <v>589</v>
      </c>
      <c r="C10" s="31"/>
      <c r="D10" s="31"/>
      <c r="E10" s="31"/>
    </row>
    <row r="11" spans="1:5" ht="31.25" customHeight="1" x14ac:dyDescent="0.2">
      <c r="A11" s="7" t="s">
        <v>54</v>
      </c>
      <c r="B11" s="30" t="s">
        <v>590</v>
      </c>
      <c r="C11" s="31"/>
      <c r="D11" s="31"/>
      <c r="E11" s="31"/>
    </row>
    <row r="12" spans="1:5" x14ac:dyDescent="0.2">
      <c r="A12" s="8" t="s">
        <v>93</v>
      </c>
      <c r="B12" s="8" t="s">
        <v>414</v>
      </c>
      <c r="C12" s="8" t="s">
        <v>591</v>
      </c>
      <c r="D12" s="8" t="s">
        <v>592</v>
      </c>
      <c r="E12" s="8" t="s">
        <v>593</v>
      </c>
    </row>
    <row r="13" spans="1:5" x14ac:dyDescent="0.2">
      <c r="A13" t="s">
        <v>594</v>
      </c>
      <c r="B13">
        <f>INDEX(Scenario_BaseValues,1)</f>
        <v>104000</v>
      </c>
      <c r="C13" t="str">
        <f>INDEX(Gate_S1,MATCH(Testing_Option,TestOpt_Option,0))</f>
        <v>ENABLED</v>
      </c>
      <c r="D13">
        <f ca="1">Stoch_SeasonExt/21</f>
        <v>0.82562302987951297</v>
      </c>
      <c r="E13">
        <f ca="1">IF(C13="ENABLED",B13*D13,0)</f>
        <v>85864.795107469356</v>
      </c>
    </row>
    <row r="14" spans="1:5" x14ac:dyDescent="0.2">
      <c r="A14" t="s">
        <v>595</v>
      </c>
      <c r="B14">
        <f>INDEX(Scenario_BaseValues,2)</f>
        <v>67500</v>
      </c>
      <c r="C14" t="str">
        <f>INDEX(Gate_S2,MATCH(Testing_Option,TestOpt_Option,0))</f>
        <v>ENABLED</v>
      </c>
      <c r="D14">
        <f ca="1">Stoch_Interventions/3</f>
        <v>0.87699294594652299</v>
      </c>
      <c r="E14">
        <f ca="1">IF(C14="ENABLED",B14*D14,0)</f>
        <v>59197.023851390302</v>
      </c>
    </row>
    <row r="15" spans="1:5" x14ac:dyDescent="0.2">
      <c r="A15" t="s">
        <v>596</v>
      </c>
      <c r="B15">
        <f>INDEX(Scenario_BaseValues,3)</f>
        <v>78000</v>
      </c>
      <c r="C15" t="str">
        <f>INDEX(Gate_S3,MATCH(Testing_Option,TestOpt_Option,0))</f>
        <v>ENABLED</v>
      </c>
      <c r="D15">
        <f ca="1">Stoch_Efficiency/0.15</f>
        <v>2.6504417326567866</v>
      </c>
      <c r="E15">
        <f ca="1">IF(C15="ENABLED",B15*D15,0)</f>
        <v>206734.45514722937</v>
      </c>
    </row>
    <row r="16" spans="1:5" x14ac:dyDescent="0.2">
      <c r="A16" t="s">
        <v>597</v>
      </c>
      <c r="B16">
        <f>INDEX(Scenario_BaseValues,4)</f>
        <v>36000</v>
      </c>
      <c r="C16" t="str">
        <f>INDEX(Gate_S4,MATCH(Testing_Option,TestOpt_Option,0))</f>
        <v>ENABLED</v>
      </c>
      <c r="D16">
        <f ca="1">1+Stoch_Efficiency</f>
        <v>1.3975662598985179</v>
      </c>
      <c r="E16">
        <f ca="1">IF(C16="ENABLED",B16*D16,0)</f>
        <v>50312.385356346647</v>
      </c>
    </row>
    <row r="18" spans="1:5" x14ac:dyDescent="0.2">
      <c r="A18" s="11" t="s">
        <v>598</v>
      </c>
      <c r="E18" s="15">
        <f ca="1">SUM(E13:E16)</f>
        <v>402108.65946243569</v>
      </c>
    </row>
  </sheetData>
  <mergeCells count="7">
    <mergeCell ref="A3:E3"/>
    <mergeCell ref="B9:E9"/>
    <mergeCell ref="A4:E4"/>
    <mergeCell ref="B8:E8"/>
    <mergeCell ref="B7:E7"/>
    <mergeCell ref="B11:E11"/>
    <mergeCell ref="B10:E10"/>
  </mergeCells>
  <pageMargins left="0.75" right="0.75" top="1" bottom="1" header="0.5" footer="0.5"/>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4472C4"/>
  </sheetPr>
  <dimension ref="A1:C19"/>
  <sheetViews>
    <sheetView workbookViewId="0"/>
  </sheetViews>
  <sheetFormatPr baseColWidth="10" defaultColWidth="8.83203125" defaultRowHeight="15" x14ac:dyDescent="0.2"/>
  <cols>
    <col min="1" max="1" width="22" customWidth="1"/>
    <col min="2" max="2" width="25" customWidth="1"/>
    <col min="3" max="3" width="18" customWidth="1"/>
  </cols>
  <sheetData>
    <row r="1" spans="1:3" ht="21" x14ac:dyDescent="0.25">
      <c r="A1" s="5" t="s">
        <v>599</v>
      </c>
    </row>
    <row r="3" spans="1:3" x14ac:dyDescent="0.2">
      <c r="A3" s="35" t="s">
        <v>600</v>
      </c>
      <c r="B3" s="33"/>
      <c r="C3" s="34"/>
    </row>
    <row r="4" spans="1:3" ht="312" customHeight="1" x14ac:dyDescent="0.2">
      <c r="A4" s="32" t="s">
        <v>601</v>
      </c>
      <c r="B4" s="33"/>
      <c r="C4" s="34"/>
    </row>
    <row r="6" spans="1:3" x14ac:dyDescent="0.2">
      <c r="A6" s="6" t="s">
        <v>602</v>
      </c>
    </row>
    <row r="7" spans="1:3" ht="31.25" customHeight="1" x14ac:dyDescent="0.2">
      <c r="A7" s="7" t="s">
        <v>46</v>
      </c>
      <c r="B7" s="30" t="s">
        <v>603</v>
      </c>
      <c r="C7" s="31"/>
    </row>
    <row r="8" spans="1:3" ht="31.25" customHeight="1" x14ac:dyDescent="0.2">
      <c r="A8" s="7" t="s">
        <v>48</v>
      </c>
      <c r="B8" s="30" t="s">
        <v>604</v>
      </c>
      <c r="C8" s="31"/>
    </row>
    <row r="9" spans="1:3" ht="62.5" customHeight="1" x14ac:dyDescent="0.2">
      <c r="A9" s="7" t="s">
        <v>50</v>
      </c>
      <c r="B9" s="30" t="s">
        <v>605</v>
      </c>
      <c r="C9" s="31"/>
    </row>
    <row r="10" spans="1:3" ht="15.5" customHeight="1" x14ac:dyDescent="0.2">
      <c r="A10" s="7" t="s">
        <v>52</v>
      </c>
      <c r="B10" s="30" t="s">
        <v>606</v>
      </c>
      <c r="C10" s="31"/>
    </row>
    <row r="11" spans="1:3" ht="15.5" customHeight="1" x14ac:dyDescent="0.2">
      <c r="A11" s="7" t="s">
        <v>54</v>
      </c>
      <c r="B11" s="30" t="s">
        <v>607</v>
      </c>
      <c r="C11" s="31"/>
    </row>
    <row r="12" spans="1:3" x14ac:dyDescent="0.2">
      <c r="A12" s="8" t="s">
        <v>608</v>
      </c>
      <c r="B12" s="8" t="s">
        <v>492</v>
      </c>
      <c r="C12" s="8" t="s">
        <v>57</v>
      </c>
    </row>
    <row r="13" spans="1:3" x14ac:dyDescent="0.2">
      <c r="A13" t="s">
        <v>609</v>
      </c>
      <c r="B13" t="s">
        <v>60</v>
      </c>
      <c r="C13" t="str">
        <f>Testing_Option</f>
        <v>Daily_Biosensor</v>
      </c>
    </row>
    <row r="14" spans="1:3" x14ac:dyDescent="0.2">
      <c r="A14" t="s">
        <v>610</v>
      </c>
      <c r="B14" t="s">
        <v>611</v>
      </c>
      <c r="C14">
        <f>INDEX(TestOpt_Interval,MATCH(Testing_Option,TestOpt_Option,0))</f>
        <v>1</v>
      </c>
    </row>
    <row r="15" spans="1:3" x14ac:dyDescent="0.2">
      <c r="A15" t="s">
        <v>612</v>
      </c>
      <c r="B15" t="s">
        <v>611</v>
      </c>
      <c r="C15">
        <f>INDEX(TestOpt_Points,MATCH(Testing_Option,TestOpt_Option,0))</f>
        <v>10</v>
      </c>
    </row>
    <row r="16" spans="1:3" x14ac:dyDescent="0.2">
      <c r="A16" t="s">
        <v>310</v>
      </c>
      <c r="B16" t="s">
        <v>611</v>
      </c>
      <c r="C16" s="15">
        <f>INDEX(TestOpt_Cost,MATCH(Testing_Option,TestOpt_Option,0))</f>
        <v>10</v>
      </c>
    </row>
    <row r="17" spans="1:3" x14ac:dyDescent="0.2">
      <c r="A17" t="s">
        <v>613</v>
      </c>
      <c r="B17" t="s">
        <v>614</v>
      </c>
      <c r="C17">
        <f>Season_Length/C14</f>
        <v>100</v>
      </c>
    </row>
    <row r="18" spans="1:3" x14ac:dyDescent="0.2">
      <c r="A18" t="s">
        <v>615</v>
      </c>
      <c r="B18" t="s">
        <v>616</v>
      </c>
      <c r="C18">
        <f>C17*C15</f>
        <v>1000</v>
      </c>
    </row>
    <row r="19" spans="1:3" x14ac:dyDescent="0.2">
      <c r="A19" t="s">
        <v>617</v>
      </c>
      <c r="B19" t="s">
        <v>618</v>
      </c>
      <c r="C19" s="26">
        <f>C18*C16</f>
        <v>10000</v>
      </c>
    </row>
  </sheetData>
  <mergeCells count="7">
    <mergeCell ref="B7:C7"/>
    <mergeCell ref="B11:C11"/>
    <mergeCell ref="B10:C10"/>
    <mergeCell ref="A3:C3"/>
    <mergeCell ref="B9:C9"/>
    <mergeCell ref="A4:C4"/>
    <mergeCell ref="B8:C8"/>
  </mergeCells>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4472C4"/>
  </sheetPr>
  <dimension ref="A1:I1028"/>
  <sheetViews>
    <sheetView tabSelected="1" topLeftCell="A4" workbookViewId="0">
      <selection activeCell="N12" sqref="N12"/>
    </sheetView>
  </sheetViews>
  <sheetFormatPr baseColWidth="10" defaultColWidth="8.83203125" defaultRowHeight="15" x14ac:dyDescent="0.2"/>
  <cols>
    <col min="1" max="1" width="26" customWidth="1"/>
    <col min="2" max="8" width="14" customWidth="1"/>
    <col min="9" max="9" width="18" customWidth="1"/>
    <col min="11" max="11" width="8" customWidth="1"/>
  </cols>
  <sheetData>
    <row r="1" spans="1:9" ht="21" x14ac:dyDescent="0.25">
      <c r="A1" s="5" t="s">
        <v>619</v>
      </c>
    </row>
    <row r="3" spans="1:9" x14ac:dyDescent="0.2">
      <c r="A3" s="35" t="s">
        <v>620</v>
      </c>
      <c r="B3" s="33"/>
      <c r="C3" s="33"/>
      <c r="D3" s="33"/>
      <c r="E3" s="34"/>
    </row>
    <row r="4" spans="1:9" ht="374.5" customHeight="1" x14ac:dyDescent="0.2">
      <c r="A4" s="32" t="s">
        <v>621</v>
      </c>
      <c r="B4" s="33"/>
      <c r="C4" s="33"/>
      <c r="D4" s="33"/>
      <c r="E4" s="34"/>
    </row>
    <row r="7" spans="1:9" x14ac:dyDescent="0.2">
      <c r="A7" s="12" t="s">
        <v>622</v>
      </c>
    </row>
    <row r="8" spans="1:9" x14ac:dyDescent="0.2">
      <c r="A8" s="12" t="s">
        <v>623</v>
      </c>
    </row>
    <row r="9" spans="1:9" x14ac:dyDescent="0.2">
      <c r="A9" s="11" t="s">
        <v>624</v>
      </c>
      <c r="B9" s="11" t="s">
        <v>113</v>
      </c>
      <c r="C9" s="11" t="s">
        <v>416</v>
      </c>
      <c r="D9" s="11" t="s">
        <v>419</v>
      </c>
      <c r="E9" s="11" t="s">
        <v>422</v>
      </c>
      <c r="F9" s="11" t="s">
        <v>425</v>
      </c>
      <c r="G9" s="11" t="s">
        <v>625</v>
      </c>
      <c r="H9" s="11" t="s">
        <v>626</v>
      </c>
      <c r="I9" s="11" t="s">
        <v>209</v>
      </c>
    </row>
    <row r="10" spans="1:9" x14ac:dyDescent="0.2">
      <c r="B10" s="15">
        <f ca="1">NPV_Total</f>
        <v>1423676.7919173308</v>
      </c>
      <c r="C10" s="15">
        <f ca="1">S1_Value</f>
        <v>85864.795107469356</v>
      </c>
      <c r="D10" s="15">
        <f ca="1">S2_Value</f>
        <v>59197.023851390302</v>
      </c>
      <c r="E10" s="15">
        <f ca="1">S3_Value</f>
        <v>206734.45514722937</v>
      </c>
      <c r="F10" s="15">
        <f ca="1">S4_Value</f>
        <v>50312.385356346647</v>
      </c>
      <c r="G10" s="15">
        <f>Testing_Cost</f>
        <v>10000</v>
      </c>
      <c r="H10" s="15">
        <f ca="1">Gross_Value-Testing_Cost</f>
        <v>392108.65946243569</v>
      </c>
      <c r="I10" s="23">
        <f ca="1">Days_to_Compliance</f>
        <v>31.031398079165122</v>
      </c>
    </row>
    <row r="11" spans="1:9" x14ac:dyDescent="0.2">
      <c r="A11">
        <v>1</v>
      </c>
      <c r="B11">
        <f t="dataTable" ref="B11:I1010" dt2D="0" dtr="0" r1="R16" ca="1"/>
        <v>1225268.8390370598</v>
      </c>
      <c r="C11">
        <v>112357.86622589407</v>
      </c>
      <c r="D11">
        <v>49312.919644624475</v>
      </c>
      <c r="E11">
        <v>140345.35800739584</v>
      </c>
      <c r="F11">
        <v>45716.217092819708</v>
      </c>
      <c r="G11">
        <v>10000</v>
      </c>
      <c r="H11">
        <v>337732.36097073409</v>
      </c>
      <c r="I11">
        <v>28.489213423063813</v>
      </c>
    </row>
    <row r="12" spans="1:9" x14ac:dyDescent="0.2">
      <c r="A12">
        <v>2</v>
      </c>
      <c r="B12">
        <v>1162526.3419528808</v>
      </c>
      <c r="C12">
        <v>87027.767079576719</v>
      </c>
      <c r="D12">
        <v>48055.52183567256</v>
      </c>
      <c r="E12">
        <v>149129.33057624739</v>
      </c>
      <c r="F12">
        <v>46324.338270663284</v>
      </c>
      <c r="G12">
        <v>10000</v>
      </c>
      <c r="H12">
        <v>320536.95776215999</v>
      </c>
      <c r="I12">
        <v>45.599059617933747</v>
      </c>
    </row>
    <row r="13" spans="1:9" x14ac:dyDescent="0.2">
      <c r="A13">
        <v>3</v>
      </c>
      <c r="B13">
        <v>1046967.8677690427</v>
      </c>
      <c r="C13">
        <v>112866.23711196761</v>
      </c>
      <c r="D13">
        <v>82014.140231479512</v>
      </c>
      <c r="E13">
        <v>63584.278333735965</v>
      </c>
      <c r="F13">
        <v>40401.988500027874</v>
      </c>
      <c r="G13">
        <v>10000</v>
      </c>
      <c r="H13">
        <v>288866.64417721098</v>
      </c>
      <c r="I13">
        <v>44.395552222584669</v>
      </c>
    </row>
    <row r="14" spans="1:9" x14ac:dyDescent="0.2">
      <c r="A14">
        <v>4</v>
      </c>
      <c r="B14">
        <v>1750055.0131042127</v>
      </c>
      <c r="C14">
        <v>138180.62227762371</v>
      </c>
      <c r="D14">
        <v>106044.78806906905</v>
      </c>
      <c r="E14">
        <v>197648.14298185983</v>
      </c>
      <c r="F14">
        <v>49683.332975667217</v>
      </c>
      <c r="G14">
        <v>10000</v>
      </c>
      <c r="H14">
        <v>481556.88630421984</v>
      </c>
      <c r="I14">
        <v>32.438858888125324</v>
      </c>
    </row>
    <row r="15" spans="1:9" x14ac:dyDescent="0.2">
      <c r="A15">
        <v>5</v>
      </c>
      <c r="B15">
        <v>1214045.0042227558</v>
      </c>
      <c r="C15">
        <v>162942.85119717356</v>
      </c>
      <c r="D15">
        <v>67624.525931023963</v>
      </c>
      <c r="E15">
        <v>73032.826153610193</v>
      </c>
      <c r="F15">
        <v>41056.118733711475</v>
      </c>
      <c r="G15">
        <v>10000</v>
      </c>
      <c r="H15">
        <v>334656.3220155192</v>
      </c>
      <c r="I15">
        <v>39.63894169210095</v>
      </c>
    </row>
    <row r="16" spans="1:9" x14ac:dyDescent="0.2">
      <c r="A16">
        <v>6</v>
      </c>
      <c r="B16">
        <v>1482782.0493462672</v>
      </c>
      <c r="C16">
        <v>105050.54535603526</v>
      </c>
      <c r="D16">
        <v>154432.48311413403</v>
      </c>
      <c r="E16">
        <v>114871.55491830688</v>
      </c>
      <c r="F16">
        <v>43952.646109728936</v>
      </c>
      <c r="G16">
        <v>10000</v>
      </c>
      <c r="H16">
        <v>408307.22949820512</v>
      </c>
      <c r="I16">
        <v>25.320810625777568</v>
      </c>
    </row>
    <row r="17" spans="1:9" x14ac:dyDescent="0.2">
      <c r="A17">
        <v>7</v>
      </c>
      <c r="B17">
        <v>1012754.2553482563</v>
      </c>
      <c r="C17">
        <v>106438.08823333567</v>
      </c>
      <c r="D17">
        <v>116091.30578491749</v>
      </c>
      <c r="E17">
        <v>28955.920828032915</v>
      </c>
      <c r="F17">
        <v>38004.640672709975</v>
      </c>
      <c r="G17">
        <v>10000</v>
      </c>
      <c r="H17">
        <v>279489.95551899605</v>
      </c>
      <c r="I17">
        <v>53.343256458412846</v>
      </c>
    </row>
    <row r="18" spans="1:9" x14ac:dyDescent="0.2">
      <c r="A18">
        <v>8</v>
      </c>
      <c r="B18">
        <v>1337386.7141035136</v>
      </c>
      <c r="C18">
        <v>150609.34622535971</v>
      </c>
      <c r="D18">
        <v>66108.175428177914</v>
      </c>
      <c r="E18">
        <v>117600.62959566325</v>
      </c>
      <c r="F18">
        <v>44141.582048930533</v>
      </c>
      <c r="G18">
        <v>10000</v>
      </c>
      <c r="H18">
        <v>368459.73329813144</v>
      </c>
      <c r="I18">
        <v>27.433162932407576</v>
      </c>
    </row>
    <row r="19" spans="1:9" x14ac:dyDescent="0.2">
      <c r="A19">
        <v>9</v>
      </c>
      <c r="B19">
        <v>1466882.2321568877</v>
      </c>
      <c r="C19">
        <v>101960.80236312869</v>
      </c>
      <c r="D19">
        <v>93662.734512836076</v>
      </c>
      <c r="E19">
        <v>170520.84984069451</v>
      </c>
      <c r="F19">
        <v>47805.289604355778</v>
      </c>
      <c r="G19">
        <v>10000</v>
      </c>
      <c r="H19">
        <v>403949.67632101505</v>
      </c>
      <c r="I19">
        <v>35.677749679691999</v>
      </c>
    </row>
    <row r="20" spans="1:9" x14ac:dyDescent="0.2">
      <c r="A20">
        <v>10</v>
      </c>
      <c r="B20">
        <v>1489357.5564101173</v>
      </c>
      <c r="C20">
        <v>102582.02972922791</v>
      </c>
      <c r="D20">
        <v>66641.593371827534</v>
      </c>
      <c r="E20">
        <v>200972.24698941005</v>
      </c>
      <c r="F20">
        <v>49913.463253113005</v>
      </c>
      <c r="G20">
        <v>10000</v>
      </c>
      <c r="H20">
        <v>410109.3333435785</v>
      </c>
      <c r="I20">
        <v>44.706819326390168</v>
      </c>
    </row>
    <row r="21" spans="1:9" x14ac:dyDescent="0.2">
      <c r="A21">
        <v>11</v>
      </c>
      <c r="B21">
        <v>1325843.1680475338</v>
      </c>
      <c r="C21">
        <v>145127.03640789108</v>
      </c>
      <c r="D21">
        <v>83654.462455243207</v>
      </c>
      <c r="E21">
        <v>103358.95449914446</v>
      </c>
      <c r="F21">
        <v>43155.619926863845</v>
      </c>
      <c r="G21">
        <v>10000</v>
      </c>
      <c r="H21">
        <v>365296.07328914257</v>
      </c>
      <c r="I21">
        <v>34.361168687953111</v>
      </c>
    </row>
    <row r="22" spans="1:9" x14ac:dyDescent="0.2">
      <c r="A22">
        <v>12</v>
      </c>
      <c r="B22">
        <v>1051390.7349590652</v>
      </c>
      <c r="C22">
        <v>107986.09639612463</v>
      </c>
      <c r="D22">
        <v>70436.241802853561</v>
      </c>
      <c r="E22">
        <v>80110.349545717123</v>
      </c>
      <c r="F22">
        <v>41546.101122395805</v>
      </c>
      <c r="G22">
        <v>10000</v>
      </c>
      <c r="H22">
        <v>290078.78886709112</v>
      </c>
      <c r="I22">
        <v>27.763933762747538</v>
      </c>
    </row>
    <row r="23" spans="1:9" x14ac:dyDescent="0.2">
      <c r="A23">
        <v>13</v>
      </c>
      <c r="B23">
        <v>1687152.5566930822</v>
      </c>
      <c r="C23">
        <v>116801.56566753429</v>
      </c>
      <c r="D23">
        <v>135042.80095200779</v>
      </c>
      <c r="E23">
        <v>174399.46819090427</v>
      </c>
      <c r="F23">
        <v>48073.809336293372</v>
      </c>
      <c r="G23">
        <v>10000</v>
      </c>
      <c r="H23">
        <v>464317.64414673974</v>
      </c>
      <c r="I23">
        <v>42.835806059627103</v>
      </c>
    </row>
    <row r="24" spans="1:9" x14ac:dyDescent="0.2">
      <c r="A24">
        <v>14</v>
      </c>
      <c r="B24">
        <v>1213601.3149258278</v>
      </c>
      <c r="C24">
        <v>137339.68691663665</v>
      </c>
      <c r="D24">
        <v>69351.10854134713</v>
      </c>
      <c r="E24">
        <v>95249.716548059208</v>
      </c>
      <c r="F24">
        <v>42594.211145634865</v>
      </c>
      <c r="G24">
        <v>10000</v>
      </c>
      <c r="H24">
        <v>334534.72315167787</v>
      </c>
      <c r="I24">
        <v>36.315380694742927</v>
      </c>
    </row>
    <row r="25" spans="1:9" x14ac:dyDescent="0.2">
      <c r="A25">
        <v>15</v>
      </c>
      <c r="B25">
        <v>1343521.5777171236</v>
      </c>
      <c r="C25">
        <v>125589.93422922502</v>
      </c>
      <c r="D25">
        <v>52615.73581657598</v>
      </c>
      <c r="E25">
        <v>155191.38408953929</v>
      </c>
      <c r="F25">
        <v>46744.018898506562</v>
      </c>
      <c r="G25">
        <v>10000</v>
      </c>
      <c r="H25">
        <v>370141.0730338468</v>
      </c>
      <c r="I25">
        <v>31.201934870823031</v>
      </c>
    </row>
    <row r="26" spans="1:9" x14ac:dyDescent="0.2">
      <c r="A26">
        <v>16</v>
      </c>
      <c r="B26">
        <v>1454132.3519892392</v>
      </c>
      <c r="C26">
        <v>101425.69557894298</v>
      </c>
      <c r="D26">
        <v>153043.73934177504</v>
      </c>
      <c r="E26">
        <v>112217.09398822903</v>
      </c>
      <c r="F26">
        <v>43768.875737646624</v>
      </c>
      <c r="G26">
        <v>10000</v>
      </c>
      <c r="H26">
        <v>400455.40464659361</v>
      </c>
      <c r="I26">
        <v>33.143586064692208</v>
      </c>
    </row>
    <row r="27" spans="1:9" x14ac:dyDescent="0.2">
      <c r="A27">
        <v>17</v>
      </c>
      <c r="B27">
        <v>1258320.9100152997</v>
      </c>
      <c r="C27">
        <v>143611.7621453559</v>
      </c>
      <c r="D27">
        <v>138727.68725350584</v>
      </c>
      <c r="E27">
        <v>35961.614357621649</v>
      </c>
      <c r="F27">
        <v>38489.650224758421</v>
      </c>
      <c r="G27">
        <v>10000</v>
      </c>
      <c r="H27">
        <v>346790.7139812418</v>
      </c>
      <c r="I27">
        <v>35.690233589322389</v>
      </c>
    </row>
    <row r="28" spans="1:9" x14ac:dyDescent="0.2">
      <c r="A28">
        <v>18</v>
      </c>
      <c r="B28">
        <v>1176431.4124721664</v>
      </c>
      <c r="C28">
        <v>131228.76832815414</v>
      </c>
      <c r="D28">
        <v>73189.94482991418</v>
      </c>
      <c r="E28">
        <v>87847.370305417411</v>
      </c>
      <c r="F28">
        <v>42081.741021144284</v>
      </c>
      <c r="G28">
        <v>10000</v>
      </c>
      <c r="H28">
        <v>324347.82448462996</v>
      </c>
      <c r="I28">
        <v>40.603782935333406</v>
      </c>
    </row>
    <row r="29" spans="1:9" x14ac:dyDescent="0.2">
      <c r="A29">
        <v>19</v>
      </c>
      <c r="B29">
        <v>1271768.7950051103</v>
      </c>
      <c r="C29">
        <v>81826.243844962504</v>
      </c>
      <c r="D29">
        <v>94113.28407795589</v>
      </c>
      <c r="E29">
        <v>138919.2673574971</v>
      </c>
      <c r="F29">
        <v>45617.487740134413</v>
      </c>
      <c r="G29">
        <v>10000</v>
      </c>
      <c r="H29">
        <v>350476.28302054986</v>
      </c>
      <c r="I29">
        <v>35.731645317873898</v>
      </c>
    </row>
    <row r="30" spans="1:9" x14ac:dyDescent="0.2">
      <c r="A30">
        <v>20</v>
      </c>
      <c r="B30">
        <v>1361548.3818936846</v>
      </c>
      <c r="C30">
        <v>89618.462013671131</v>
      </c>
      <c r="D30">
        <v>95052.532964670099</v>
      </c>
      <c r="E30">
        <v>153765.27182887724</v>
      </c>
      <c r="F30">
        <v>46645.288049691502</v>
      </c>
      <c r="G30">
        <v>10000</v>
      </c>
      <c r="H30">
        <v>375081.5548569099</v>
      </c>
      <c r="I30">
        <v>33.277906078858067</v>
      </c>
    </row>
    <row r="31" spans="1:9" x14ac:dyDescent="0.2">
      <c r="A31">
        <v>21</v>
      </c>
      <c r="B31">
        <v>1040660.6954142433</v>
      </c>
      <c r="C31">
        <v>89589.973650669854</v>
      </c>
      <c r="D31">
        <v>34387.780202662216</v>
      </c>
      <c r="E31">
        <v>128279.44263069937</v>
      </c>
      <c r="F31">
        <v>44880.884489817647</v>
      </c>
      <c r="G31">
        <v>10000</v>
      </c>
      <c r="H31">
        <v>287138.08097384911</v>
      </c>
      <c r="I31">
        <v>29.46480520859566</v>
      </c>
    </row>
    <row r="32" spans="1:9" x14ac:dyDescent="0.2">
      <c r="A32">
        <v>22</v>
      </c>
      <c r="B32">
        <v>1241286.0948799527</v>
      </c>
      <c r="C32">
        <v>90062.821338004767</v>
      </c>
      <c r="D32">
        <v>115936.89295917023</v>
      </c>
      <c r="E32">
        <v>102992.15905592861</v>
      </c>
      <c r="F32">
        <v>43130.226396179671</v>
      </c>
      <c r="G32">
        <v>10000</v>
      </c>
      <c r="H32">
        <v>342122.09974928328</v>
      </c>
      <c r="I32">
        <v>34.462873772187926</v>
      </c>
    </row>
    <row r="33" spans="1:9" x14ac:dyDescent="0.2">
      <c r="A33">
        <v>23</v>
      </c>
      <c r="B33">
        <v>1160382.0154495523</v>
      </c>
      <c r="C33">
        <v>94973.309451400361</v>
      </c>
      <c r="D33">
        <v>60925.85096777611</v>
      </c>
      <c r="E33">
        <v>129111.61981888293</v>
      </c>
      <c r="F33">
        <v>44938.496756691893</v>
      </c>
      <c r="G33">
        <v>10000</v>
      </c>
      <c r="H33">
        <v>319949.2769947513</v>
      </c>
      <c r="I33">
        <v>44.128766594411424</v>
      </c>
    </row>
    <row r="34" spans="1:9" x14ac:dyDescent="0.2">
      <c r="A34">
        <v>24</v>
      </c>
      <c r="B34">
        <v>1826367.5815497551</v>
      </c>
      <c r="C34">
        <v>144559.01642192694</v>
      </c>
      <c r="D34">
        <v>126146.98399554039</v>
      </c>
      <c r="E34">
        <v>192442.40890892709</v>
      </c>
      <c r="F34">
        <v>49322.936001387265</v>
      </c>
      <c r="G34">
        <v>10000</v>
      </c>
      <c r="H34">
        <v>502471.34532778169</v>
      </c>
      <c r="I34">
        <v>33.399570857903335</v>
      </c>
    </row>
    <row r="35" spans="1:9" x14ac:dyDescent="0.2">
      <c r="A35">
        <v>25</v>
      </c>
      <c r="B35">
        <v>1302253.1128547692</v>
      </c>
      <c r="C35">
        <v>97708.499023197466</v>
      </c>
      <c r="D35">
        <v>58333.046014872823</v>
      </c>
      <c r="E35">
        <v>165342.57122017108</v>
      </c>
      <c r="F35">
        <v>47446.793392165688</v>
      </c>
      <c r="G35">
        <v>10000</v>
      </c>
      <c r="H35">
        <v>358830.90965040703</v>
      </c>
      <c r="I35">
        <v>30.905012388223788</v>
      </c>
    </row>
    <row r="36" spans="1:9" x14ac:dyDescent="0.2">
      <c r="A36">
        <v>26</v>
      </c>
      <c r="B36">
        <v>1231334.0121763935</v>
      </c>
      <c r="C36">
        <v>139374.67191869408</v>
      </c>
      <c r="D36">
        <v>125818.61409053998</v>
      </c>
      <c r="E36">
        <v>45080.366649494179</v>
      </c>
      <c r="F36">
        <v>39120.948460349595</v>
      </c>
      <c r="G36">
        <v>10000</v>
      </c>
      <c r="H36">
        <v>339394.60111907776</v>
      </c>
      <c r="I36">
        <v>30.287549705469743</v>
      </c>
    </row>
    <row r="37" spans="1:9" x14ac:dyDescent="0.2">
      <c r="A37">
        <v>27</v>
      </c>
      <c r="B37">
        <v>1321854.8095460618</v>
      </c>
      <c r="C37">
        <v>163991.40347884409</v>
      </c>
      <c r="D37">
        <v>90841.957093997087</v>
      </c>
      <c r="E37">
        <v>77971.615878820419</v>
      </c>
      <c r="F37">
        <v>41398.034945456799</v>
      </c>
      <c r="G37">
        <v>10000</v>
      </c>
      <c r="H37">
        <v>364203.01139711839</v>
      </c>
      <c r="I37">
        <v>37.722037158528231</v>
      </c>
    </row>
    <row r="38" spans="1:9" x14ac:dyDescent="0.2">
      <c r="A38">
        <v>28</v>
      </c>
      <c r="B38">
        <v>1389152.5271111664</v>
      </c>
      <c r="C38">
        <v>101613.72769436429</v>
      </c>
      <c r="D38">
        <v>107671.06727096315</v>
      </c>
      <c r="E38">
        <v>137820.61059594108</v>
      </c>
      <c r="F38">
        <v>45541.426887411304</v>
      </c>
      <c r="G38">
        <v>10000</v>
      </c>
      <c r="H38">
        <v>382646.83244867984</v>
      </c>
      <c r="I38">
        <v>38.393808802453734</v>
      </c>
    </row>
    <row r="39" spans="1:9" x14ac:dyDescent="0.2">
      <c r="A39">
        <v>29</v>
      </c>
      <c r="B39">
        <v>1205485.5746911215</v>
      </c>
      <c r="C39">
        <v>116367.59144028397</v>
      </c>
      <c r="D39">
        <v>93205.039033747365</v>
      </c>
      <c r="E39">
        <v>90474.264807608022</v>
      </c>
      <c r="F39">
        <v>42263.602948219013</v>
      </c>
      <c r="G39">
        <v>10000</v>
      </c>
      <c r="H39">
        <v>332310.49822985835</v>
      </c>
      <c r="I39">
        <v>48.560176766662124</v>
      </c>
    </row>
    <row r="40" spans="1:9" x14ac:dyDescent="0.2">
      <c r="A40">
        <v>30</v>
      </c>
      <c r="B40">
        <v>1466703.7670918372</v>
      </c>
      <c r="C40">
        <v>117092.81099128725</v>
      </c>
      <c r="D40">
        <v>81405.986722585221</v>
      </c>
      <c r="E40">
        <v>167786.01316099858</v>
      </c>
      <c r="F40">
        <v>47615.9547572999</v>
      </c>
      <c r="G40">
        <v>10000</v>
      </c>
      <c r="H40">
        <v>403900.76563217095</v>
      </c>
      <c r="I40">
        <v>26.85218870968561</v>
      </c>
    </row>
    <row r="41" spans="1:9" x14ac:dyDescent="0.2">
      <c r="A41">
        <v>31</v>
      </c>
      <c r="B41">
        <v>886151.59620338143</v>
      </c>
      <c r="C41">
        <v>104930.76741939766</v>
      </c>
      <c r="D41">
        <v>53428.302945850228</v>
      </c>
      <c r="E41">
        <v>56520.790224393393</v>
      </c>
      <c r="F41">
        <v>39912.977784765702</v>
      </c>
      <c r="G41">
        <v>10000</v>
      </c>
      <c r="H41">
        <v>244792.838374407</v>
      </c>
      <c r="I41">
        <v>41.933392776564901</v>
      </c>
    </row>
    <row r="42" spans="1:9" x14ac:dyDescent="0.2">
      <c r="A42">
        <v>32</v>
      </c>
      <c r="B42">
        <v>881418.33482171583</v>
      </c>
      <c r="C42">
        <v>104880.08427964085</v>
      </c>
      <c r="D42">
        <v>69357.054149471442</v>
      </c>
      <c r="E42">
        <v>40457.578388218266</v>
      </c>
      <c r="F42">
        <v>38800.909273030491</v>
      </c>
      <c r="G42">
        <v>10000</v>
      </c>
      <c r="H42">
        <v>243495.62609036107</v>
      </c>
      <c r="I42">
        <v>29.587101660850276</v>
      </c>
    </row>
    <row r="43" spans="1:9" x14ac:dyDescent="0.2">
      <c r="A43">
        <v>33</v>
      </c>
      <c r="B43">
        <v>911852.18203911406</v>
      </c>
      <c r="C43">
        <v>92314.937003323867</v>
      </c>
      <c r="D43">
        <v>82236.113647721286</v>
      </c>
      <c r="E43">
        <v>47964.734468096314</v>
      </c>
      <c r="F43">
        <v>39320.635463175895</v>
      </c>
      <c r="G43">
        <v>10000</v>
      </c>
      <c r="H43">
        <v>251836.42058231737</v>
      </c>
      <c r="I43">
        <v>53.179419407525387</v>
      </c>
    </row>
    <row r="44" spans="1:9" x14ac:dyDescent="0.2">
      <c r="A44">
        <v>34</v>
      </c>
      <c r="B44">
        <v>1133745.1230461542</v>
      </c>
      <c r="C44">
        <v>79224.527029566554</v>
      </c>
      <c r="D44">
        <v>38915.295935388684</v>
      </c>
      <c r="E44">
        <v>157598.59292422739</v>
      </c>
      <c r="F44">
        <v>46910.671817831128</v>
      </c>
      <c r="G44">
        <v>10000</v>
      </c>
      <c r="H44">
        <v>312649.08770701371</v>
      </c>
      <c r="I44">
        <v>47.523836677596009</v>
      </c>
    </row>
    <row r="45" spans="1:9" x14ac:dyDescent="0.2">
      <c r="A45">
        <v>35</v>
      </c>
      <c r="B45">
        <v>1089427.6316864521</v>
      </c>
      <c r="C45">
        <v>115375.7926588316</v>
      </c>
      <c r="D45">
        <v>95479.233298797757</v>
      </c>
      <c r="E45">
        <v>59527.161531303813</v>
      </c>
      <c r="F45">
        <v>40121.111182936424</v>
      </c>
      <c r="G45">
        <v>10000</v>
      </c>
      <c r="H45">
        <v>300503.29867186962</v>
      </c>
      <c r="I45">
        <v>29.183688402935903</v>
      </c>
    </row>
    <row r="46" spans="1:9" x14ac:dyDescent="0.2">
      <c r="A46">
        <v>36</v>
      </c>
      <c r="B46">
        <v>1211409.1313562444</v>
      </c>
      <c r="C46">
        <v>99925.161736473659</v>
      </c>
      <c r="D46">
        <v>134194.63301179215</v>
      </c>
      <c r="E46">
        <v>69034.799506570518</v>
      </c>
      <c r="F46">
        <v>40779.332273531807</v>
      </c>
      <c r="G46">
        <v>10000</v>
      </c>
      <c r="H46">
        <v>333933.92652836815</v>
      </c>
      <c r="I46">
        <v>40.376337831253714</v>
      </c>
    </row>
    <row r="47" spans="1:9" x14ac:dyDescent="0.2">
      <c r="A47">
        <v>37</v>
      </c>
      <c r="B47">
        <v>1671532.7899217743</v>
      </c>
      <c r="C47">
        <v>136179.61330930956</v>
      </c>
      <c r="D47">
        <v>78038.105782970786</v>
      </c>
      <c r="E47">
        <v>205586.23048319967</v>
      </c>
      <c r="F47">
        <v>50232.89287960613</v>
      </c>
      <c r="G47">
        <v>10000</v>
      </c>
      <c r="H47">
        <v>460036.84245508612</v>
      </c>
      <c r="I47">
        <v>29.467030181859293</v>
      </c>
    </row>
    <row r="48" spans="1:9" x14ac:dyDescent="0.2">
      <c r="A48">
        <v>38</v>
      </c>
      <c r="B48">
        <v>1702691.1097308032</v>
      </c>
      <c r="C48">
        <v>143940.23934893223</v>
      </c>
      <c r="D48">
        <v>128644.05947859751</v>
      </c>
      <c r="E48">
        <v>158985.22023045376</v>
      </c>
      <c r="F48">
        <v>47006.669092877564</v>
      </c>
      <c r="G48">
        <v>10000</v>
      </c>
      <c r="H48">
        <v>468576.18815086107</v>
      </c>
      <c r="I48">
        <v>36.822150482844613</v>
      </c>
    </row>
    <row r="49" spans="1:9" x14ac:dyDescent="0.2">
      <c r="A49">
        <v>39</v>
      </c>
      <c r="B49">
        <v>1153462.3417540409</v>
      </c>
      <c r="C49">
        <v>112610.3148558751</v>
      </c>
      <c r="D49">
        <v>121017.130066408</v>
      </c>
      <c r="E49">
        <v>54642.464970756009</v>
      </c>
      <c r="F49">
        <v>39782.939882590799</v>
      </c>
      <c r="G49">
        <v>10000</v>
      </c>
      <c r="H49">
        <v>318052.84977562993</v>
      </c>
      <c r="I49">
        <v>32.944844796589528</v>
      </c>
    </row>
    <row r="50" spans="1:9" x14ac:dyDescent="0.2">
      <c r="A50">
        <v>40</v>
      </c>
      <c r="B50">
        <v>1426957.7577092287</v>
      </c>
      <c r="C50">
        <v>167251.18847748879</v>
      </c>
      <c r="D50">
        <v>85426.534030424038</v>
      </c>
      <c r="E50">
        <v>106927.4584104911</v>
      </c>
      <c r="F50">
        <v>43402.670197649379</v>
      </c>
      <c r="G50">
        <v>10000</v>
      </c>
      <c r="H50">
        <v>393007.85111605335</v>
      </c>
      <c r="I50">
        <v>31.634877987220865</v>
      </c>
    </row>
    <row r="51" spans="1:9" x14ac:dyDescent="0.2">
      <c r="A51">
        <v>41</v>
      </c>
      <c r="B51">
        <v>1744349.2274558437</v>
      </c>
      <c r="C51">
        <v>134506.3360061385</v>
      </c>
      <c r="D51">
        <v>113142.17704588652</v>
      </c>
      <c r="E51">
        <v>192984.18441691794</v>
      </c>
      <c r="F51">
        <v>49360.44353655586</v>
      </c>
      <c r="G51">
        <v>10000</v>
      </c>
      <c r="H51">
        <v>479993.14100549882</v>
      </c>
      <c r="I51">
        <v>31.602958239519175</v>
      </c>
    </row>
    <row r="52" spans="1:9" x14ac:dyDescent="0.2">
      <c r="A52">
        <v>42</v>
      </c>
      <c r="B52">
        <v>1139992.3272707094</v>
      </c>
      <c r="C52">
        <v>119787.47251900668</v>
      </c>
      <c r="D52">
        <v>46455.728494539937</v>
      </c>
      <c r="E52">
        <v>114211.09302068601</v>
      </c>
      <c r="F52">
        <v>43906.921824509031</v>
      </c>
      <c r="G52">
        <v>10000</v>
      </c>
      <c r="H52">
        <v>314361.21585874166</v>
      </c>
      <c r="I52">
        <v>30.846020647963527</v>
      </c>
    </row>
    <row r="53" spans="1:9" x14ac:dyDescent="0.2">
      <c r="A53">
        <v>43</v>
      </c>
      <c r="B53">
        <v>1318396.6061871792</v>
      </c>
      <c r="C53">
        <v>119075.4638256645</v>
      </c>
      <c r="D53">
        <v>28153.319683960963</v>
      </c>
      <c r="E53">
        <v>177722.59031945479</v>
      </c>
      <c r="F53">
        <v>48303.871637500713</v>
      </c>
      <c r="G53">
        <v>10000</v>
      </c>
      <c r="H53">
        <v>363255.24546658096</v>
      </c>
      <c r="I53">
        <v>31.497118465211152</v>
      </c>
    </row>
    <row r="54" spans="1:9" x14ac:dyDescent="0.2">
      <c r="A54">
        <v>44</v>
      </c>
      <c r="B54">
        <v>1258127.2313636525</v>
      </c>
      <c r="C54">
        <v>110661.79328748416</v>
      </c>
      <c r="D54">
        <v>90004.112093184958</v>
      </c>
      <c r="E54">
        <v>112297.29996960057</v>
      </c>
      <c r="F54">
        <v>43774.428459433882</v>
      </c>
      <c r="G54">
        <v>10000</v>
      </c>
      <c r="H54">
        <v>346737.63380970358</v>
      </c>
      <c r="I54">
        <v>33.615007831984911</v>
      </c>
    </row>
    <row r="55" spans="1:9" x14ac:dyDescent="0.2">
      <c r="A55">
        <v>45</v>
      </c>
      <c r="B55">
        <v>1262590.0035460864</v>
      </c>
      <c r="C55">
        <v>83195.49086237092</v>
      </c>
      <c r="D55">
        <v>90672.013479135407</v>
      </c>
      <c r="E55">
        <v>138504.44160947311</v>
      </c>
      <c r="F55">
        <v>45588.76903450198</v>
      </c>
      <c r="G55">
        <v>10000</v>
      </c>
      <c r="H55">
        <v>347960.71498548146</v>
      </c>
      <c r="I55">
        <v>31.915874707635048</v>
      </c>
    </row>
    <row r="56" spans="1:9" x14ac:dyDescent="0.2">
      <c r="A56">
        <v>46</v>
      </c>
      <c r="B56">
        <v>949565.49063822895</v>
      </c>
      <c r="C56">
        <v>108073.50616776134</v>
      </c>
      <c r="D56">
        <v>58408.262827353916</v>
      </c>
      <c r="E56">
        <v>65178.144729960863</v>
      </c>
      <c r="F56">
        <v>40512.333096689596</v>
      </c>
      <c r="G56">
        <v>10000</v>
      </c>
      <c r="H56">
        <v>262172.24682176567</v>
      </c>
      <c r="I56">
        <v>44.614507035806319</v>
      </c>
    </row>
    <row r="57" spans="1:9" x14ac:dyDescent="0.2">
      <c r="A57">
        <v>47</v>
      </c>
      <c r="B57">
        <v>1583670.599252373</v>
      </c>
      <c r="C57">
        <v>135792.6324748912</v>
      </c>
      <c r="D57">
        <v>55017.959171267707</v>
      </c>
      <c r="E57">
        <v>204957.12696393405</v>
      </c>
      <c r="F57">
        <v>50189.339559041589</v>
      </c>
      <c r="G57">
        <v>10000</v>
      </c>
      <c r="H57">
        <v>435957.05816913454</v>
      </c>
      <c r="I57">
        <v>31.528899191612709</v>
      </c>
    </row>
    <row r="58" spans="1:9" x14ac:dyDescent="0.2">
      <c r="A58">
        <v>48</v>
      </c>
      <c r="B58">
        <v>1604081.7300127877</v>
      </c>
      <c r="C58">
        <v>109763.00775375603</v>
      </c>
      <c r="D58">
        <v>88057.264665545066</v>
      </c>
      <c r="E58">
        <v>203633.05076119953</v>
      </c>
      <c r="F58">
        <v>50097.672745006123</v>
      </c>
      <c r="G58">
        <v>10000</v>
      </c>
      <c r="H58">
        <v>441550.99592550675</v>
      </c>
      <c r="I58">
        <v>34.173922093787482</v>
      </c>
    </row>
    <row r="59" spans="1:9" x14ac:dyDescent="0.2">
      <c r="A59">
        <v>49</v>
      </c>
      <c r="B59">
        <v>1813569.8192973589</v>
      </c>
      <c r="C59">
        <v>136404.780689696</v>
      </c>
      <c r="D59">
        <v>134154.65058702321</v>
      </c>
      <c r="E59">
        <v>189299.19105274996</v>
      </c>
      <c r="F59">
        <v>49105.328611344223</v>
      </c>
      <c r="G59">
        <v>10000</v>
      </c>
      <c r="H59">
        <v>498963.9509408134</v>
      </c>
      <c r="I59">
        <v>32.535770303804412</v>
      </c>
    </row>
    <row r="60" spans="1:9" x14ac:dyDescent="0.2">
      <c r="A60">
        <v>50</v>
      </c>
      <c r="B60">
        <v>1550468.5809438659</v>
      </c>
      <c r="C60">
        <v>95729.63393938115</v>
      </c>
      <c r="D60">
        <v>98872.21320324087</v>
      </c>
      <c r="E60">
        <v>192901.07329620319</v>
      </c>
      <c r="F60">
        <v>49354.689689737148</v>
      </c>
      <c r="G60">
        <v>10000</v>
      </c>
      <c r="H60">
        <v>426857.61012856237</v>
      </c>
      <c r="I60">
        <v>35.157465726142313</v>
      </c>
    </row>
    <row r="61" spans="1:9" x14ac:dyDescent="0.2">
      <c r="A61">
        <v>51</v>
      </c>
      <c r="B61">
        <v>1203196.0972148168</v>
      </c>
      <c r="C61">
        <v>146274.8687238534</v>
      </c>
      <c r="D61">
        <v>45574.592054501307</v>
      </c>
      <c r="E61">
        <v>106463.056838955</v>
      </c>
      <c r="F61">
        <v>43370.519319619962</v>
      </c>
      <c r="G61">
        <v>10000</v>
      </c>
      <c r="H61">
        <v>331683.03693692968</v>
      </c>
      <c r="I61">
        <v>41.675121239787345</v>
      </c>
    </row>
    <row r="62" spans="1:9" x14ac:dyDescent="0.2">
      <c r="A62">
        <v>52</v>
      </c>
      <c r="B62">
        <v>1491325.4486533005</v>
      </c>
      <c r="C62">
        <v>98198.639112155361</v>
      </c>
      <c r="D62">
        <v>100878.96780510385</v>
      </c>
      <c r="E62">
        <v>173555.66114794335</v>
      </c>
      <c r="F62">
        <v>48015.391925626849</v>
      </c>
      <c r="G62">
        <v>10000</v>
      </c>
      <c r="H62">
        <v>410648.65999082942</v>
      </c>
      <c r="I62">
        <v>32.931817561371105</v>
      </c>
    </row>
    <row r="63" spans="1:9" x14ac:dyDescent="0.2">
      <c r="A63">
        <v>53</v>
      </c>
      <c r="B63">
        <v>1027770.2308472106</v>
      </c>
      <c r="C63">
        <v>101384.11393222932</v>
      </c>
      <c r="D63">
        <v>98213.352330589347</v>
      </c>
      <c r="E63">
        <v>54251.912411885663</v>
      </c>
      <c r="F63">
        <v>39755.901628515167</v>
      </c>
      <c r="G63">
        <v>10000</v>
      </c>
      <c r="H63">
        <v>283605.28030321951</v>
      </c>
      <c r="I63">
        <v>41.855064121551507</v>
      </c>
    </row>
    <row r="64" spans="1:9" x14ac:dyDescent="0.2">
      <c r="A64">
        <v>54</v>
      </c>
      <c r="B64">
        <v>1891064.1101306151</v>
      </c>
      <c r="C64">
        <v>143071.37631210752</v>
      </c>
      <c r="D64">
        <v>163202.98415285494</v>
      </c>
      <c r="E64">
        <v>175759.92143838058</v>
      </c>
      <c r="F64">
        <v>48167.994561118656</v>
      </c>
      <c r="G64">
        <v>10000</v>
      </c>
      <c r="H64">
        <v>520202.2764644617</v>
      </c>
      <c r="I64">
        <v>39.778359129261652</v>
      </c>
    </row>
    <row r="65" spans="1:9" x14ac:dyDescent="0.2">
      <c r="A65">
        <v>55</v>
      </c>
      <c r="B65">
        <v>1456187.5254945564</v>
      </c>
      <c r="C65">
        <v>94611.511291632458</v>
      </c>
      <c r="D65">
        <v>92479.413389359644</v>
      </c>
      <c r="E65">
        <v>175759.74485027522</v>
      </c>
      <c r="F65">
        <v>48167.982335788285</v>
      </c>
      <c r="G65">
        <v>10000</v>
      </c>
      <c r="H65">
        <v>401018.65186705557</v>
      </c>
      <c r="I65">
        <v>35.627513113148822</v>
      </c>
    </row>
    <row r="66" spans="1:9" x14ac:dyDescent="0.2">
      <c r="A66">
        <v>56</v>
      </c>
      <c r="B66">
        <v>979328.23354329937</v>
      </c>
      <c r="C66">
        <v>127563.75681571761</v>
      </c>
      <c r="D66">
        <v>65455.10638868776</v>
      </c>
      <c r="E66">
        <v>47988.006572651975</v>
      </c>
      <c r="F66">
        <v>39322.24660887591</v>
      </c>
      <c r="G66">
        <v>10000</v>
      </c>
      <c r="H66">
        <v>270329.11638593324</v>
      </c>
      <c r="I66">
        <v>43.253613175298746</v>
      </c>
    </row>
    <row r="67" spans="1:9" x14ac:dyDescent="0.2">
      <c r="A67">
        <v>57</v>
      </c>
      <c r="B67">
        <v>1174517.4315025145</v>
      </c>
      <c r="C67">
        <v>155869.74870604393</v>
      </c>
      <c r="D67">
        <v>64776.088466206762</v>
      </c>
      <c r="E67">
        <v>72180.335598986625</v>
      </c>
      <c r="F67">
        <v>40997.100156852917</v>
      </c>
      <c r="G67">
        <v>10000</v>
      </c>
      <c r="H67">
        <v>323823.27292809024</v>
      </c>
      <c r="I67">
        <v>38.070409560145031</v>
      </c>
    </row>
    <row r="68" spans="1:9" x14ac:dyDescent="0.2">
      <c r="A68">
        <v>58</v>
      </c>
      <c r="B68">
        <v>1329634.5099948244</v>
      </c>
      <c r="C68">
        <v>103804.14547372071</v>
      </c>
      <c r="D68">
        <v>110121.58860342845</v>
      </c>
      <c r="E68">
        <v>118224.62444427008</v>
      </c>
      <c r="F68">
        <v>44184.781692295626</v>
      </c>
      <c r="G68">
        <v>10000</v>
      </c>
      <c r="H68">
        <v>366335.14021371485</v>
      </c>
      <c r="I68">
        <v>29.074872360099562</v>
      </c>
    </row>
    <row r="69" spans="1:9" x14ac:dyDescent="0.2">
      <c r="A69">
        <v>59</v>
      </c>
      <c r="B69">
        <v>1416597.840599562</v>
      </c>
      <c r="C69">
        <v>128256.48232313067</v>
      </c>
      <c r="D69">
        <v>83225.494435194763</v>
      </c>
      <c r="E69">
        <v>142800.42041441685</v>
      </c>
      <c r="F69">
        <v>45886.182951767318</v>
      </c>
      <c r="G69">
        <v>10000</v>
      </c>
      <c r="H69">
        <v>390168.58012450964</v>
      </c>
      <c r="I69">
        <v>40.922446453269927</v>
      </c>
    </row>
    <row r="70" spans="1:9" x14ac:dyDescent="0.2">
      <c r="A70">
        <v>60</v>
      </c>
      <c r="B70">
        <v>1185992.8891118916</v>
      </c>
      <c r="C70">
        <v>155451.59624275536</v>
      </c>
      <c r="D70">
        <v>97308.036359086371</v>
      </c>
      <c r="E70">
        <v>45087.217083378098</v>
      </c>
      <c r="F70">
        <v>39121.422721156938</v>
      </c>
      <c r="G70">
        <v>10000</v>
      </c>
      <c r="H70">
        <v>326968.27240637678</v>
      </c>
      <c r="I70">
        <v>28.678944459964022</v>
      </c>
    </row>
    <row r="71" spans="1:9" x14ac:dyDescent="0.2">
      <c r="A71">
        <v>61</v>
      </c>
      <c r="B71">
        <v>1030707.3112123751</v>
      </c>
      <c r="C71">
        <v>84407.991818432783</v>
      </c>
      <c r="D71">
        <v>54913.71190637954</v>
      </c>
      <c r="E71">
        <v>111377.75431944043</v>
      </c>
      <c r="F71">
        <v>43710.767606730486</v>
      </c>
      <c r="G71">
        <v>10000</v>
      </c>
      <c r="H71">
        <v>284410.22565098322</v>
      </c>
      <c r="I71">
        <v>24.721251869718969</v>
      </c>
    </row>
    <row r="72" spans="1:9" x14ac:dyDescent="0.2">
      <c r="A72">
        <v>62</v>
      </c>
      <c r="B72">
        <v>1307652.6609729403</v>
      </c>
      <c r="C72">
        <v>146203.69273360871</v>
      </c>
      <c r="D72">
        <v>84571.016063754549</v>
      </c>
      <c r="E72">
        <v>96832.246811980338</v>
      </c>
      <c r="F72">
        <v>42703.770933137101</v>
      </c>
      <c r="G72">
        <v>10000</v>
      </c>
      <c r="H72">
        <v>360310.7265424807</v>
      </c>
      <c r="I72">
        <v>25.951809932507096</v>
      </c>
    </row>
    <row r="73" spans="1:9" x14ac:dyDescent="0.2">
      <c r="A73">
        <v>63</v>
      </c>
      <c r="B73">
        <v>1632353.4821720636</v>
      </c>
      <c r="C73">
        <v>96095.001499374877</v>
      </c>
      <c r="D73">
        <v>108968.60408072149</v>
      </c>
      <c r="E73">
        <v>204105.26954977663</v>
      </c>
      <c r="F73">
        <v>50130.364814984539</v>
      </c>
      <c r="G73">
        <v>10000</v>
      </c>
      <c r="H73">
        <v>449299.23994485755</v>
      </c>
      <c r="I73">
        <v>47.80687826729315</v>
      </c>
    </row>
    <row r="74" spans="1:9" x14ac:dyDescent="0.2">
      <c r="A74">
        <v>64</v>
      </c>
      <c r="B74">
        <v>865850.27792710252</v>
      </c>
      <c r="C74">
        <v>96361.843314736863</v>
      </c>
      <c r="D74">
        <v>44212.991606281132</v>
      </c>
      <c r="E74">
        <v>67949.93497898482</v>
      </c>
      <c r="F74">
        <v>40704.22626777587</v>
      </c>
      <c r="G74">
        <v>10000</v>
      </c>
      <c r="H74">
        <v>239228.99616777868</v>
      </c>
      <c r="I74">
        <v>32.774457986402609</v>
      </c>
    </row>
    <row r="75" spans="1:9" x14ac:dyDescent="0.2">
      <c r="A75">
        <v>65</v>
      </c>
      <c r="B75">
        <v>1356387.1639215886</v>
      </c>
      <c r="C75">
        <v>143035.77724956287</v>
      </c>
      <c r="D75">
        <v>78216.312481909306</v>
      </c>
      <c r="E75">
        <v>118229.82406576225</v>
      </c>
      <c r="F75">
        <v>44185.141666091236</v>
      </c>
      <c r="G75">
        <v>10000</v>
      </c>
      <c r="H75">
        <v>373667.05546332564</v>
      </c>
      <c r="I75">
        <v>39.716055496982413</v>
      </c>
    </row>
    <row r="76" spans="1:9" x14ac:dyDescent="0.2">
      <c r="A76">
        <v>66</v>
      </c>
      <c r="B76">
        <v>1308349.48991196</v>
      </c>
      <c r="C76">
        <v>109849.74925509673</v>
      </c>
      <c r="D76">
        <v>83796.781168573623</v>
      </c>
      <c r="E76">
        <v>131735.05221782299</v>
      </c>
      <c r="F76">
        <v>45120.118999695434</v>
      </c>
      <c r="G76">
        <v>10000</v>
      </c>
      <c r="H76">
        <v>360501.70164118882</v>
      </c>
      <c r="I76">
        <v>52.124384709293842</v>
      </c>
    </row>
    <row r="77" spans="1:9" x14ac:dyDescent="0.2">
      <c r="A77">
        <v>67</v>
      </c>
      <c r="B77">
        <v>1704194.5291134086</v>
      </c>
      <c r="C77">
        <v>96027.338714600046</v>
      </c>
      <c r="D77">
        <v>129888.78219984188</v>
      </c>
      <c r="E77">
        <v>203017.07101838023</v>
      </c>
      <c r="F77">
        <v>50055.027993580166</v>
      </c>
      <c r="G77">
        <v>10000</v>
      </c>
      <c r="H77">
        <v>468988.21992640232</v>
      </c>
      <c r="I77">
        <v>27.693994755594879</v>
      </c>
    </row>
    <row r="78" spans="1:9" x14ac:dyDescent="0.2">
      <c r="A78">
        <v>68</v>
      </c>
      <c r="B78">
        <v>1613785.9477568632</v>
      </c>
      <c r="C78">
        <v>99440.01233789949</v>
      </c>
      <c r="D78">
        <v>117706.3542406585</v>
      </c>
      <c r="E78">
        <v>188045.65218675992</v>
      </c>
      <c r="F78">
        <v>49018.545151391067</v>
      </c>
      <c r="G78">
        <v>10000</v>
      </c>
      <c r="H78">
        <v>444210.56391670898</v>
      </c>
      <c r="I78">
        <v>32.219762253297915</v>
      </c>
    </row>
    <row r="79" spans="1:9" x14ac:dyDescent="0.2">
      <c r="A79">
        <v>69</v>
      </c>
      <c r="B79">
        <v>1191489.8211603782</v>
      </c>
      <c r="C79">
        <v>105931.81942446747</v>
      </c>
      <c r="D79">
        <v>48160.805202800933</v>
      </c>
      <c r="E79">
        <v>138774.6764149855</v>
      </c>
      <c r="F79">
        <v>45607.477597960533</v>
      </c>
      <c r="G79">
        <v>10000</v>
      </c>
      <c r="H79">
        <v>328474.77864021447</v>
      </c>
      <c r="I79">
        <v>37.428696392179987</v>
      </c>
    </row>
    <row r="80" spans="1:9" x14ac:dyDescent="0.2">
      <c r="A80">
        <v>70</v>
      </c>
      <c r="B80">
        <v>1376018.8860698242</v>
      </c>
      <c r="C80">
        <v>135397.86417975652</v>
      </c>
      <c r="D80">
        <v>74794.556272558126</v>
      </c>
      <c r="E80">
        <v>133605.3635365201</v>
      </c>
      <c r="F80">
        <v>45249.602090989851</v>
      </c>
      <c r="G80">
        <v>10000</v>
      </c>
      <c r="H80">
        <v>379047.38607982465</v>
      </c>
      <c r="I80">
        <v>25.332889786965559</v>
      </c>
    </row>
    <row r="81" spans="1:9" x14ac:dyDescent="0.2">
      <c r="A81">
        <v>71</v>
      </c>
      <c r="B81">
        <v>1574817.1958299086</v>
      </c>
      <c r="C81">
        <v>103485.57855757304</v>
      </c>
      <c r="D81">
        <v>126730.97862135913</v>
      </c>
      <c r="E81">
        <v>165833.34010905059</v>
      </c>
      <c r="F81">
        <v>47480.769699857352</v>
      </c>
      <c r="G81">
        <v>10000</v>
      </c>
      <c r="H81">
        <v>433530.66698784009</v>
      </c>
      <c r="I81">
        <v>29.603192799812465</v>
      </c>
    </row>
    <row r="82" spans="1:9" x14ac:dyDescent="0.2">
      <c r="A82">
        <v>72</v>
      </c>
      <c r="B82">
        <v>1561216.5161838513</v>
      </c>
      <c r="C82">
        <v>129536.13145469129</v>
      </c>
      <c r="D82">
        <v>97474.615167974378</v>
      </c>
      <c r="E82">
        <v>165345.48110321231</v>
      </c>
      <c r="F82">
        <v>47446.994845607005</v>
      </c>
      <c r="G82">
        <v>10000</v>
      </c>
      <c r="H82">
        <v>429803.22257148504</v>
      </c>
      <c r="I82">
        <v>26.731028856588246</v>
      </c>
    </row>
    <row r="83" spans="1:9" x14ac:dyDescent="0.2">
      <c r="A83">
        <v>73</v>
      </c>
      <c r="B83">
        <v>1139899.4111672067</v>
      </c>
      <c r="C83">
        <v>115141.95005964032</v>
      </c>
      <c r="D83">
        <v>71365.757568379107</v>
      </c>
      <c r="E83">
        <v>95234.860692120885</v>
      </c>
      <c r="F83">
        <v>42593.182663300671</v>
      </c>
      <c r="G83">
        <v>10000</v>
      </c>
      <c r="H83">
        <v>314335.75098344102</v>
      </c>
      <c r="I83">
        <v>33.057361261444569</v>
      </c>
    </row>
    <row r="84" spans="1:9" x14ac:dyDescent="0.2">
      <c r="A84">
        <v>74</v>
      </c>
      <c r="B84">
        <v>1592907.899051636</v>
      </c>
      <c r="C84">
        <v>160747.57090392979</v>
      </c>
      <c r="D84">
        <v>137732.66877965679</v>
      </c>
      <c r="E84">
        <v>106626.58125682022</v>
      </c>
      <c r="F84">
        <v>43381.840240856793</v>
      </c>
      <c r="G84">
        <v>10000</v>
      </c>
      <c r="H84">
        <v>438488.66118126363</v>
      </c>
      <c r="I84">
        <v>39.535044074148274</v>
      </c>
    </row>
    <row r="85" spans="1:9" x14ac:dyDescent="0.2">
      <c r="A85">
        <v>75</v>
      </c>
      <c r="B85">
        <v>970162.19090600265</v>
      </c>
      <c r="C85">
        <v>114553.02760246115</v>
      </c>
      <c r="D85">
        <v>81052.695892777585</v>
      </c>
      <c r="E85">
        <v>43219.219056393835</v>
      </c>
      <c r="F85">
        <v>38992.099780827266</v>
      </c>
      <c r="G85">
        <v>10000</v>
      </c>
      <c r="H85">
        <v>267817.04233245982</v>
      </c>
      <c r="I85">
        <v>34.861096706908526</v>
      </c>
    </row>
    <row r="86" spans="1:9" x14ac:dyDescent="0.2">
      <c r="A86">
        <v>76</v>
      </c>
      <c r="B86">
        <v>1838550.9597578384</v>
      </c>
      <c r="C86">
        <v>163349.01820362994</v>
      </c>
      <c r="D86">
        <v>119741.46300309036</v>
      </c>
      <c r="E86">
        <v>183982.6201917209</v>
      </c>
      <c r="F86">
        <v>48737.258320965295</v>
      </c>
      <c r="G86">
        <v>10000</v>
      </c>
      <c r="H86">
        <v>505810.35971940646</v>
      </c>
      <c r="I86">
        <v>28.324635665853908</v>
      </c>
    </row>
    <row r="87" spans="1:9" x14ac:dyDescent="0.2">
      <c r="A87">
        <v>77</v>
      </c>
      <c r="B87">
        <v>1015184.3124659373</v>
      </c>
      <c r="C87">
        <v>98946.2509818197</v>
      </c>
      <c r="D87">
        <v>91007.863797945494</v>
      </c>
      <c r="E87">
        <v>60044.876720636865</v>
      </c>
      <c r="F87">
        <v>40156.953003736402</v>
      </c>
      <c r="G87">
        <v>10000</v>
      </c>
      <c r="H87">
        <v>280155.94450413843</v>
      </c>
      <c r="I87">
        <v>34.080779110838478</v>
      </c>
    </row>
    <row r="88" spans="1:9" x14ac:dyDescent="0.2">
      <c r="A88">
        <v>78</v>
      </c>
      <c r="B88">
        <v>1444266.141225466</v>
      </c>
      <c r="C88">
        <v>136107.57265329163</v>
      </c>
      <c r="D88">
        <v>123548.24181965993</v>
      </c>
      <c r="E88">
        <v>104837.63570893243</v>
      </c>
      <c r="F88">
        <v>43257.990164464551</v>
      </c>
      <c r="G88">
        <v>10000</v>
      </c>
      <c r="H88">
        <v>397751.44034634857</v>
      </c>
      <c r="I88">
        <v>40.714695140781558</v>
      </c>
    </row>
    <row r="89" spans="1:9" x14ac:dyDescent="0.2">
      <c r="A89">
        <v>79</v>
      </c>
      <c r="B89">
        <v>1357595.6406722448</v>
      </c>
      <c r="C89">
        <v>142539.61421551957</v>
      </c>
      <c r="D89">
        <v>55538.230860189295</v>
      </c>
      <c r="E89">
        <v>140213.33241203622</v>
      </c>
      <c r="F89">
        <v>45707.076859294815</v>
      </c>
      <c r="G89">
        <v>10000</v>
      </c>
      <c r="H89">
        <v>373998.25434703985</v>
      </c>
      <c r="I89">
        <v>27.189515034192315</v>
      </c>
    </row>
    <row r="90" spans="1:9" x14ac:dyDescent="0.2">
      <c r="A90">
        <v>80</v>
      </c>
      <c r="B90">
        <v>1073041.4381196583</v>
      </c>
      <c r="C90">
        <v>82285.80132284727</v>
      </c>
      <c r="D90">
        <v>68566.753933113316</v>
      </c>
      <c r="E90">
        <v>111444.50370337372</v>
      </c>
      <c r="F90">
        <v>43715.388717925867</v>
      </c>
      <c r="G90">
        <v>10000</v>
      </c>
      <c r="H90">
        <v>296012.44767726015</v>
      </c>
      <c r="I90">
        <v>43.877413977093084</v>
      </c>
    </row>
    <row r="91" spans="1:9" x14ac:dyDescent="0.2">
      <c r="A91">
        <v>81</v>
      </c>
      <c r="B91">
        <v>824289.00072198862</v>
      </c>
      <c r="C91">
        <v>103789.76799570159</v>
      </c>
      <c r="D91">
        <v>38915.189848173206</v>
      </c>
      <c r="E91">
        <v>55304.829961858399</v>
      </c>
      <c r="F91">
        <v>39828.795920436351</v>
      </c>
      <c r="G91">
        <v>10000</v>
      </c>
      <c r="H91">
        <v>227838.58372616957</v>
      </c>
      <c r="I91">
        <v>35.941615887116299</v>
      </c>
    </row>
    <row r="92" spans="1:9" x14ac:dyDescent="0.2">
      <c r="A92">
        <v>82</v>
      </c>
      <c r="B92">
        <v>1222133.402215037</v>
      </c>
      <c r="C92">
        <v>110426.68116669697</v>
      </c>
      <c r="D92">
        <v>133741.24586522684</v>
      </c>
      <c r="E92">
        <v>62386.089444193152</v>
      </c>
      <c r="F92">
        <v>40319.036961521066</v>
      </c>
      <c r="G92">
        <v>10000</v>
      </c>
      <c r="H92">
        <v>336873.05343763804</v>
      </c>
      <c r="I92">
        <v>50.69449414280988</v>
      </c>
    </row>
    <row r="93" spans="1:9" x14ac:dyDescent="0.2">
      <c r="A93">
        <v>83</v>
      </c>
      <c r="B93">
        <v>1462639.9789961549</v>
      </c>
      <c r="C93">
        <v>123109.73350844282</v>
      </c>
      <c r="D93">
        <v>118751.45191965689</v>
      </c>
      <c r="E93">
        <v>126189.63999768539</v>
      </c>
      <c r="F93">
        <v>44736.205845993609</v>
      </c>
      <c r="G93">
        <v>10000</v>
      </c>
      <c r="H93">
        <v>402787.03127177869</v>
      </c>
      <c r="I93">
        <v>34.948934421346792</v>
      </c>
    </row>
    <row r="94" spans="1:9" x14ac:dyDescent="0.2">
      <c r="A94">
        <v>84</v>
      </c>
      <c r="B94">
        <v>1208056.7470782935</v>
      </c>
      <c r="C94">
        <v>106093.19415122912</v>
      </c>
      <c r="D94">
        <v>116752.14542065753</v>
      </c>
      <c r="E94">
        <v>78719.977532804041</v>
      </c>
      <c r="F94">
        <v>41449.84459842489</v>
      </c>
      <c r="G94">
        <v>10000</v>
      </c>
      <c r="H94">
        <v>333015.16170311562</v>
      </c>
      <c r="I94">
        <v>37.222326261313881</v>
      </c>
    </row>
    <row r="95" spans="1:9" x14ac:dyDescent="0.2">
      <c r="A95">
        <v>85</v>
      </c>
      <c r="B95">
        <v>931531.09680927708</v>
      </c>
      <c r="C95">
        <v>124224.47781194265</v>
      </c>
      <c r="D95">
        <v>42923.1707519806</v>
      </c>
      <c r="E95">
        <v>59932.839790258426</v>
      </c>
      <c r="F95">
        <v>40149.196600864045</v>
      </c>
      <c r="G95">
        <v>10000</v>
      </c>
      <c r="H95">
        <v>257229.68495504576</v>
      </c>
      <c r="I95">
        <v>28.915708632218568</v>
      </c>
    </row>
    <row r="96" spans="1:9" x14ac:dyDescent="0.2">
      <c r="A96">
        <v>86</v>
      </c>
      <c r="B96">
        <v>1474228.6433435308</v>
      </c>
      <c r="C96">
        <v>130510.05038821363</v>
      </c>
      <c r="D96">
        <v>80893.599167535634</v>
      </c>
      <c r="E96">
        <v>157645.48854599381</v>
      </c>
      <c r="F96">
        <v>46913.91843779957</v>
      </c>
      <c r="G96">
        <v>10000</v>
      </c>
      <c r="H96">
        <v>405963.05653954262</v>
      </c>
      <c r="I96">
        <v>31.778384718651875</v>
      </c>
    </row>
    <row r="97" spans="1:9" x14ac:dyDescent="0.2">
      <c r="A97">
        <v>87</v>
      </c>
      <c r="B97">
        <v>1661775.5662625888</v>
      </c>
      <c r="C97">
        <v>147072.4619054893</v>
      </c>
      <c r="D97">
        <v>78753.291195319354</v>
      </c>
      <c r="E97">
        <v>192228.84368130134</v>
      </c>
      <c r="F97">
        <v>49308.15071639778</v>
      </c>
      <c r="G97">
        <v>10000</v>
      </c>
      <c r="H97">
        <v>457362.74749850779</v>
      </c>
      <c r="I97">
        <v>47.657914057187632</v>
      </c>
    </row>
    <row r="98" spans="1:9" x14ac:dyDescent="0.2">
      <c r="A98">
        <v>88</v>
      </c>
      <c r="B98">
        <v>1191274.6421758872</v>
      </c>
      <c r="C98">
        <v>112697.56814788425</v>
      </c>
      <c r="D98">
        <v>41579.581574406358</v>
      </c>
      <c r="E98">
        <v>138546.94473963286</v>
      </c>
      <c r="F98">
        <v>45591.711558897659</v>
      </c>
      <c r="G98">
        <v>10000</v>
      </c>
      <c r="H98">
        <v>328415.8060208211</v>
      </c>
      <c r="I98">
        <v>49.522108633914932</v>
      </c>
    </row>
    <row r="99" spans="1:9" x14ac:dyDescent="0.2">
      <c r="A99">
        <v>89</v>
      </c>
      <c r="B99">
        <v>1003174.9428714394</v>
      </c>
      <c r="C99">
        <v>126035.87325130832</v>
      </c>
      <c r="D99">
        <v>73651.689623908605</v>
      </c>
      <c r="E99">
        <v>47863.434208929939</v>
      </c>
      <c r="F99">
        <v>39313.622368310535</v>
      </c>
      <c r="G99">
        <v>10000</v>
      </c>
      <c r="H99">
        <v>276864.61945245741</v>
      </c>
      <c r="I99">
        <v>32.635033598193161</v>
      </c>
    </row>
    <row r="100" spans="1:9" x14ac:dyDescent="0.2">
      <c r="A100">
        <v>90</v>
      </c>
      <c r="B100">
        <v>1055039.6480814265</v>
      </c>
      <c r="C100">
        <v>139799.62258037095</v>
      </c>
      <c r="D100">
        <v>39113.060999950438</v>
      </c>
      <c r="E100">
        <v>80587.035283452002</v>
      </c>
      <c r="F100">
        <v>41579.102442700525</v>
      </c>
      <c r="G100">
        <v>10000</v>
      </c>
      <c r="H100">
        <v>291078.82130647392</v>
      </c>
      <c r="I100">
        <v>37.200506938010591</v>
      </c>
    </row>
    <row r="101" spans="1:9" x14ac:dyDescent="0.2">
      <c r="A101">
        <v>91</v>
      </c>
      <c r="B101">
        <v>1215589.3542468282</v>
      </c>
      <c r="C101">
        <v>109098.68254031992</v>
      </c>
      <c r="D101">
        <v>129128.7315157416</v>
      </c>
      <c r="E101">
        <v>66264.607559346943</v>
      </c>
      <c r="F101">
        <v>40587.54975410863</v>
      </c>
      <c r="G101">
        <v>10000</v>
      </c>
      <c r="H101">
        <v>335079.57136951713</v>
      </c>
      <c r="I101">
        <v>40.143181873762373</v>
      </c>
    </row>
    <row r="102" spans="1:9" x14ac:dyDescent="0.2">
      <c r="A102">
        <v>92</v>
      </c>
      <c r="B102">
        <v>1123564.2769249163</v>
      </c>
      <c r="C102">
        <v>84702.18578756132</v>
      </c>
      <c r="D102">
        <v>95271.29475379955</v>
      </c>
      <c r="E102">
        <v>97159.019281618574</v>
      </c>
      <c r="F102">
        <v>42726.393642573596</v>
      </c>
      <c r="G102">
        <v>10000</v>
      </c>
      <c r="H102">
        <v>309858.89346555306</v>
      </c>
      <c r="I102">
        <v>31.751125476794911</v>
      </c>
    </row>
    <row r="103" spans="1:9" x14ac:dyDescent="0.2">
      <c r="A103">
        <v>93</v>
      </c>
      <c r="B103">
        <v>823566.19738772442</v>
      </c>
      <c r="C103">
        <v>122275.64432370389</v>
      </c>
      <c r="D103">
        <v>42089.32589583876</v>
      </c>
      <c r="E103">
        <v>34861.996920900994</v>
      </c>
      <c r="F103">
        <v>38413.522863754682</v>
      </c>
      <c r="G103">
        <v>10000</v>
      </c>
      <c r="H103">
        <v>227640.49000419833</v>
      </c>
      <c r="I103">
        <v>39.449899442192134</v>
      </c>
    </row>
    <row r="104" spans="1:9" x14ac:dyDescent="0.2">
      <c r="A104">
        <v>94</v>
      </c>
      <c r="B104">
        <v>808910.89262163173</v>
      </c>
      <c r="C104">
        <v>95821.323580636526</v>
      </c>
      <c r="D104">
        <v>65553.395191807809</v>
      </c>
      <c r="E104">
        <v>33902.216462105062</v>
      </c>
      <c r="F104">
        <v>38347.076524299584</v>
      </c>
      <c r="G104">
        <v>10000</v>
      </c>
      <c r="H104">
        <v>223624.01175884897</v>
      </c>
      <c r="I104">
        <v>37.395780527323382</v>
      </c>
    </row>
    <row r="105" spans="1:9" x14ac:dyDescent="0.2">
      <c r="A105">
        <v>95</v>
      </c>
      <c r="B105">
        <v>1100915.6151731729</v>
      </c>
      <c r="C105">
        <v>102704.24726371752</v>
      </c>
      <c r="D105">
        <v>56230.442551748602</v>
      </c>
      <c r="E105">
        <v>111030.32631661376</v>
      </c>
      <c r="F105">
        <v>43686.714898842496</v>
      </c>
      <c r="G105">
        <v>10000</v>
      </c>
      <c r="H105">
        <v>303651.73103092238</v>
      </c>
      <c r="I105">
        <v>37.212430078865388</v>
      </c>
    </row>
    <row r="106" spans="1:9" x14ac:dyDescent="0.2">
      <c r="A106">
        <v>96</v>
      </c>
      <c r="B106">
        <v>1089327.7706447989</v>
      </c>
      <c r="C106">
        <v>101637.74174792464</v>
      </c>
      <c r="D106">
        <v>101661.41956547016</v>
      </c>
      <c r="E106">
        <v>66568.201346381567</v>
      </c>
      <c r="F106">
        <v>40608.567785518724</v>
      </c>
      <c r="G106">
        <v>10000</v>
      </c>
      <c r="H106">
        <v>300475.93044529506</v>
      </c>
      <c r="I106">
        <v>38.661011345342146</v>
      </c>
    </row>
    <row r="107" spans="1:9" x14ac:dyDescent="0.2">
      <c r="A107">
        <v>97</v>
      </c>
      <c r="B107">
        <v>1791474.4517272078</v>
      </c>
      <c r="C107">
        <v>142195.72699420975</v>
      </c>
      <c r="D107">
        <v>122107.45028031713</v>
      </c>
      <c r="E107">
        <v>189486.92329126075</v>
      </c>
      <c r="F107">
        <v>49118.325458625746</v>
      </c>
      <c r="G107">
        <v>10000</v>
      </c>
      <c r="H107">
        <v>492908.42602441338</v>
      </c>
      <c r="I107">
        <v>36.716938411004392</v>
      </c>
    </row>
    <row r="108" spans="1:9" x14ac:dyDescent="0.2">
      <c r="A108">
        <v>98</v>
      </c>
      <c r="B108">
        <v>1182350.2193736592</v>
      </c>
      <c r="C108">
        <v>123993.79430674769</v>
      </c>
      <c r="D108">
        <v>84463.389335988773</v>
      </c>
      <c r="E108">
        <v>85587.480307266611</v>
      </c>
      <c r="F108">
        <v>41925.287098195375</v>
      </c>
      <c r="G108">
        <v>10000</v>
      </c>
      <c r="H108">
        <v>325969.95104819851</v>
      </c>
      <c r="I108">
        <v>29.138350364542713</v>
      </c>
    </row>
    <row r="109" spans="1:9" x14ac:dyDescent="0.2">
      <c r="A109">
        <v>99</v>
      </c>
      <c r="B109">
        <v>1675982.6112774201</v>
      </c>
      <c r="C109">
        <v>110443.81969399477</v>
      </c>
      <c r="D109">
        <v>104263.07838253584</v>
      </c>
      <c r="E109">
        <v>206269.29429768852</v>
      </c>
      <c r="F109">
        <v>50280.181912916902</v>
      </c>
      <c r="G109">
        <v>10000</v>
      </c>
      <c r="H109">
        <v>461256.37428713602</v>
      </c>
      <c r="I109">
        <v>43.500748248136475</v>
      </c>
    </row>
    <row r="110" spans="1:9" x14ac:dyDescent="0.2">
      <c r="A110">
        <v>100</v>
      </c>
      <c r="B110">
        <v>1017437.9368695565</v>
      </c>
      <c r="C110">
        <v>121481.06283032041</v>
      </c>
      <c r="D110">
        <v>70543.489611183846</v>
      </c>
      <c r="E110">
        <v>58686.140688306688</v>
      </c>
      <c r="F110">
        <v>40062.886663036617</v>
      </c>
      <c r="G110">
        <v>10000</v>
      </c>
      <c r="H110">
        <v>280773.57979284757</v>
      </c>
      <c r="I110">
        <v>29.493899995080341</v>
      </c>
    </row>
    <row r="111" spans="1:9" x14ac:dyDescent="0.2">
      <c r="A111">
        <v>101</v>
      </c>
      <c r="B111">
        <v>1370750.887647073</v>
      </c>
      <c r="C111">
        <v>97070.210804986171</v>
      </c>
      <c r="D111">
        <v>59950.267364747786</v>
      </c>
      <c r="E111">
        <v>181984.23533513103</v>
      </c>
      <c r="F111">
        <v>48598.908600124458</v>
      </c>
      <c r="G111">
        <v>10000</v>
      </c>
      <c r="H111">
        <v>377603.62210498942</v>
      </c>
      <c r="I111">
        <v>38.684784107799302</v>
      </c>
    </row>
    <row r="112" spans="1:9" x14ac:dyDescent="0.2">
      <c r="A112">
        <v>102</v>
      </c>
      <c r="B112">
        <v>1480800.0158916349</v>
      </c>
      <c r="C112">
        <v>121379.89237550749</v>
      </c>
      <c r="D112">
        <v>146897.50378249364</v>
      </c>
      <c r="E112">
        <v>106138.57585707199</v>
      </c>
      <c r="F112">
        <v>43348.055251643447</v>
      </c>
      <c r="G112">
        <v>10000</v>
      </c>
      <c r="H112">
        <v>407764.02726671664</v>
      </c>
      <c r="I112">
        <v>25.40572563219477</v>
      </c>
    </row>
    <row r="113" spans="1:9" x14ac:dyDescent="0.2">
      <c r="A113">
        <v>103</v>
      </c>
      <c r="B113">
        <v>1166667.3465848658</v>
      </c>
      <c r="C113">
        <v>119378.07738275435</v>
      </c>
      <c r="D113">
        <v>65605.009695193599</v>
      </c>
      <c r="E113">
        <v>103521.86864907815</v>
      </c>
      <c r="F113">
        <v>43166.898598782333</v>
      </c>
      <c r="G113">
        <v>10000</v>
      </c>
      <c r="H113">
        <v>321671.85432580841</v>
      </c>
      <c r="I113">
        <v>32.619585865590309</v>
      </c>
    </row>
    <row r="114" spans="1:9" x14ac:dyDescent="0.2">
      <c r="A114">
        <v>104</v>
      </c>
      <c r="B114">
        <v>1275937.0387326134</v>
      </c>
      <c r="C114">
        <v>85926.441956767128</v>
      </c>
      <c r="D114">
        <v>162915.60250826506</v>
      </c>
      <c r="E114">
        <v>71805.453564847194</v>
      </c>
      <c r="F114">
        <v>40971.14678525865</v>
      </c>
      <c r="G114">
        <v>10000</v>
      </c>
      <c r="H114">
        <v>351618.64481513802</v>
      </c>
      <c r="I114">
        <v>47.642587270690065</v>
      </c>
    </row>
    <row r="115" spans="1:9" x14ac:dyDescent="0.2">
      <c r="A115">
        <v>105</v>
      </c>
      <c r="B115">
        <v>1207358.0737174801</v>
      </c>
      <c r="C115">
        <v>132109.64654267722</v>
      </c>
      <c r="D115">
        <v>142624.83145662278</v>
      </c>
      <c r="E115">
        <v>30011.484929712627</v>
      </c>
      <c r="F115">
        <v>38077.718187441649</v>
      </c>
      <c r="G115">
        <v>10000</v>
      </c>
      <c r="H115">
        <v>332823.68111645425</v>
      </c>
      <c r="I115">
        <v>51.988405102967896</v>
      </c>
    </row>
    <row r="116" spans="1:9" x14ac:dyDescent="0.2">
      <c r="A116">
        <v>106</v>
      </c>
      <c r="B116">
        <v>1018865.9538699529</v>
      </c>
      <c r="C116">
        <v>93977.123636503806</v>
      </c>
      <c r="D116">
        <v>76747.711426381124</v>
      </c>
      <c r="E116">
        <v>78972.766146347858</v>
      </c>
      <c r="F116">
        <v>41467.345348593313</v>
      </c>
      <c r="G116">
        <v>10000</v>
      </c>
      <c r="H116">
        <v>281164.94655782613</v>
      </c>
      <c r="I116">
        <v>54.122852581388244</v>
      </c>
    </row>
    <row r="117" spans="1:9" x14ac:dyDescent="0.2">
      <c r="A117">
        <v>107</v>
      </c>
      <c r="B117">
        <v>1654024.1061086853</v>
      </c>
      <c r="C117">
        <v>93507.097403176449</v>
      </c>
      <c r="D117">
        <v>149820.78632210245</v>
      </c>
      <c r="E117">
        <v>173873.10572170978</v>
      </c>
      <c r="F117">
        <v>48037.368857656831</v>
      </c>
      <c r="G117">
        <v>10000</v>
      </c>
      <c r="H117">
        <v>455238.35830464552</v>
      </c>
      <c r="I117">
        <v>29.724877189601827</v>
      </c>
    </row>
    <row r="118" spans="1:9" x14ac:dyDescent="0.2">
      <c r="A118">
        <v>108</v>
      </c>
      <c r="B118">
        <v>1191257.537651395</v>
      </c>
      <c r="C118">
        <v>90575.243944525791</v>
      </c>
      <c r="D118">
        <v>58024.796751523711</v>
      </c>
      <c r="E118">
        <v>143852.08696943196</v>
      </c>
      <c r="F118">
        <v>45958.99063634529</v>
      </c>
      <c r="G118">
        <v>10000</v>
      </c>
      <c r="H118">
        <v>328411.11830182676</v>
      </c>
      <c r="I118">
        <v>55.387324362380539</v>
      </c>
    </row>
    <row r="119" spans="1:9" x14ac:dyDescent="0.2">
      <c r="A119">
        <v>109</v>
      </c>
      <c r="B119">
        <v>1113496.5573905585</v>
      </c>
      <c r="C119">
        <v>114075.3287199433</v>
      </c>
      <c r="D119">
        <v>70157.736405372925</v>
      </c>
      <c r="E119">
        <v>90594.697336925601</v>
      </c>
      <c r="F119">
        <v>42271.940584864082</v>
      </c>
      <c r="G119">
        <v>10000</v>
      </c>
      <c r="H119">
        <v>307099.70304710587</v>
      </c>
      <c r="I119">
        <v>37.177030916449752</v>
      </c>
    </row>
    <row r="120" spans="1:9" x14ac:dyDescent="0.2">
      <c r="A120">
        <v>110</v>
      </c>
      <c r="B120">
        <v>977756.52808666811</v>
      </c>
      <c r="C120">
        <v>130398.63982895669</v>
      </c>
      <c r="D120">
        <v>68126.530251722739</v>
      </c>
      <c r="E120">
        <v>42435.366753679184</v>
      </c>
      <c r="F120">
        <v>38937.833082947021</v>
      </c>
      <c r="G120">
        <v>10000</v>
      </c>
      <c r="H120">
        <v>269898.36991730559</v>
      </c>
      <c r="I120">
        <v>49.556949870323137</v>
      </c>
    </row>
    <row r="121" spans="1:9" x14ac:dyDescent="0.2">
      <c r="A121">
        <v>111</v>
      </c>
      <c r="B121">
        <v>1207581.3927336205</v>
      </c>
      <c r="C121">
        <v>136378.35528217218</v>
      </c>
      <c r="D121">
        <v>71913.58856400974</v>
      </c>
      <c r="E121">
        <v>92209.225182416019</v>
      </c>
      <c r="F121">
        <v>42383.715589551881</v>
      </c>
      <c r="G121">
        <v>10000</v>
      </c>
      <c r="H121">
        <v>332884.88461814984</v>
      </c>
      <c r="I121">
        <v>32.490540817372747</v>
      </c>
    </row>
    <row r="122" spans="1:9" x14ac:dyDescent="0.2">
      <c r="A122">
        <v>112</v>
      </c>
      <c r="B122">
        <v>1262224.7017666078</v>
      </c>
      <c r="C122">
        <v>92707.125563294656</v>
      </c>
      <c r="D122">
        <v>106441.77306458473</v>
      </c>
      <c r="E122">
        <v>114766.33870910858</v>
      </c>
      <c r="F122">
        <v>43945.361910630592</v>
      </c>
      <c r="G122">
        <v>10000</v>
      </c>
      <c r="H122">
        <v>347860.59924761858</v>
      </c>
      <c r="I122">
        <v>35.575371272628701</v>
      </c>
    </row>
    <row r="123" spans="1:9" x14ac:dyDescent="0.2">
      <c r="A123">
        <v>113</v>
      </c>
      <c r="B123">
        <v>1476554.8418096201</v>
      </c>
      <c r="C123">
        <v>81510.327429958095</v>
      </c>
      <c r="D123">
        <v>103947.49555556597</v>
      </c>
      <c r="E123">
        <v>182507.61606459133</v>
      </c>
      <c r="F123">
        <v>48635.142650625552</v>
      </c>
      <c r="G123">
        <v>10000</v>
      </c>
      <c r="H123">
        <v>406600.58170074096</v>
      </c>
      <c r="I123">
        <v>34.779128770973053</v>
      </c>
    </row>
    <row r="124" spans="1:9" x14ac:dyDescent="0.2">
      <c r="A124">
        <v>114</v>
      </c>
      <c r="B124">
        <v>1601134.0115483676</v>
      </c>
      <c r="C124">
        <v>151677.19790550659</v>
      </c>
      <c r="D124">
        <v>138111.26153294498</v>
      </c>
      <c r="E124">
        <v>116864.08512049675</v>
      </c>
      <c r="F124">
        <v>44090.59050834208</v>
      </c>
      <c r="G124">
        <v>10000</v>
      </c>
      <c r="H124">
        <v>440743.13506729039</v>
      </c>
      <c r="I124">
        <v>33.406640202718819</v>
      </c>
    </row>
    <row r="125" spans="1:9" x14ac:dyDescent="0.2">
      <c r="A125">
        <v>115</v>
      </c>
      <c r="B125">
        <v>1118476.9838832235</v>
      </c>
      <c r="C125">
        <v>149133.1741574136</v>
      </c>
      <c r="D125">
        <v>99772.067192463204</v>
      </c>
      <c r="E125">
        <v>31386.501196348112</v>
      </c>
      <c r="F125">
        <v>38172.911621285639</v>
      </c>
      <c r="G125">
        <v>10000</v>
      </c>
      <c r="H125">
        <v>308464.65416751057</v>
      </c>
      <c r="I125">
        <v>43.891904683206278</v>
      </c>
    </row>
    <row r="126" spans="1:9" x14ac:dyDescent="0.2">
      <c r="A126">
        <v>116</v>
      </c>
      <c r="B126">
        <v>1030205.6361754851</v>
      </c>
      <c r="C126">
        <v>128492.21485518088</v>
      </c>
      <c r="D126">
        <v>67160.262746327338</v>
      </c>
      <c r="E126">
        <v>58565.708391533823</v>
      </c>
      <c r="F126">
        <v>40054.549042490806</v>
      </c>
      <c r="G126">
        <v>10000</v>
      </c>
      <c r="H126">
        <v>284272.73503553285</v>
      </c>
      <c r="I126">
        <v>28.802108678267071</v>
      </c>
    </row>
    <row r="127" spans="1:9" x14ac:dyDescent="0.2">
      <c r="A127">
        <v>117</v>
      </c>
      <c r="B127">
        <v>1587295.6560181926</v>
      </c>
      <c r="C127">
        <v>146561.13793002968</v>
      </c>
      <c r="D127">
        <v>109205.61101965747</v>
      </c>
      <c r="E127">
        <v>145135.93134198841</v>
      </c>
      <c r="F127">
        <v>46047.872169829963</v>
      </c>
      <c r="G127">
        <v>10000</v>
      </c>
      <c r="H127">
        <v>436950.55246150558</v>
      </c>
      <c r="I127">
        <v>33.494032016051634</v>
      </c>
    </row>
    <row r="128" spans="1:9" x14ac:dyDescent="0.2">
      <c r="A128">
        <v>118</v>
      </c>
      <c r="B128">
        <v>1538761.0719974777</v>
      </c>
      <c r="C128">
        <v>131187.04718817209</v>
      </c>
      <c r="D128">
        <v>160561.9408880822</v>
      </c>
      <c r="E128">
        <v>99043.189658291609</v>
      </c>
      <c r="F128">
        <v>42856.836207112494</v>
      </c>
      <c r="G128">
        <v>10000</v>
      </c>
      <c r="H128">
        <v>423649.01394165837</v>
      </c>
      <c r="I128">
        <v>36.227659100017739</v>
      </c>
    </row>
    <row r="129" spans="1:9" x14ac:dyDescent="0.2">
      <c r="A129">
        <v>119</v>
      </c>
      <c r="B129">
        <v>1436519.1442665828</v>
      </c>
      <c r="C129">
        <v>118670.94590782201</v>
      </c>
      <c r="D129">
        <v>117367.24673166657</v>
      </c>
      <c r="E129">
        <v>124940.36418926247</v>
      </c>
      <c r="F129">
        <v>44649.717520795093</v>
      </c>
      <c r="G129">
        <v>10000</v>
      </c>
      <c r="H129">
        <v>395628.27434954618</v>
      </c>
      <c r="I129">
        <v>51.430714410051706</v>
      </c>
    </row>
    <row r="130" spans="1:9" x14ac:dyDescent="0.2">
      <c r="A130">
        <v>120</v>
      </c>
      <c r="B130">
        <v>1382354.8749219079</v>
      </c>
      <c r="C130">
        <v>102762.67122011537</v>
      </c>
      <c r="D130">
        <v>71624.209122556786</v>
      </c>
      <c r="E130">
        <v>168716.58735452677</v>
      </c>
      <c r="F130">
        <v>47680.379124544161</v>
      </c>
      <c r="G130">
        <v>10000</v>
      </c>
      <c r="H130">
        <v>380783.84682174312</v>
      </c>
      <c r="I130">
        <v>45.220690758000472</v>
      </c>
    </row>
    <row r="131" spans="1:9" x14ac:dyDescent="0.2">
      <c r="A131">
        <v>121</v>
      </c>
      <c r="B131">
        <v>1561910.3407312192</v>
      </c>
      <c r="C131">
        <v>93768.931169141244</v>
      </c>
      <c r="D131">
        <v>147130.50149961456</v>
      </c>
      <c r="E131">
        <v>152533.90222382336</v>
      </c>
      <c r="F131">
        <v>46560.039384726238</v>
      </c>
      <c r="G131">
        <v>10000</v>
      </c>
      <c r="H131">
        <v>429993.37427730544</v>
      </c>
      <c r="I131">
        <v>42.547595866875753</v>
      </c>
    </row>
    <row r="132" spans="1:9" x14ac:dyDescent="0.2">
      <c r="A132">
        <v>122</v>
      </c>
      <c r="B132">
        <v>1565295.712763743</v>
      </c>
      <c r="C132">
        <v>116881.84253820186</v>
      </c>
      <c r="D132">
        <v>73791.925889861173</v>
      </c>
      <c r="E132">
        <v>200375.27684962426</v>
      </c>
      <c r="F132">
        <v>49872.134551127827</v>
      </c>
      <c r="G132">
        <v>10000</v>
      </c>
      <c r="H132">
        <v>430921.1798288151</v>
      </c>
      <c r="I132">
        <v>50.656966525760211</v>
      </c>
    </row>
    <row r="133" spans="1:9" x14ac:dyDescent="0.2">
      <c r="A133">
        <v>123</v>
      </c>
      <c r="B133">
        <v>1480141.4205582615</v>
      </c>
      <c r="C133">
        <v>109555.33451792807</v>
      </c>
      <c r="D133">
        <v>125229.92606460793</v>
      </c>
      <c r="E133">
        <v>137293.34604871445</v>
      </c>
      <c r="F133">
        <v>45504.923957218693</v>
      </c>
      <c r="G133">
        <v>10000</v>
      </c>
      <c r="H133">
        <v>407583.53058846918</v>
      </c>
      <c r="I133">
        <v>31.828559803965021</v>
      </c>
    </row>
    <row r="134" spans="1:9" x14ac:dyDescent="0.2">
      <c r="A134">
        <v>124</v>
      </c>
      <c r="B134">
        <v>1312300.194931969</v>
      </c>
      <c r="C134">
        <v>106778.12943893085</v>
      </c>
      <c r="D134">
        <v>83893.386790292949</v>
      </c>
      <c r="E134">
        <v>135530.07642907064</v>
      </c>
      <c r="F134">
        <v>45382.851445089509</v>
      </c>
      <c r="G134">
        <v>10000</v>
      </c>
      <c r="H134">
        <v>361584.44410338398</v>
      </c>
      <c r="I134">
        <v>35.149614044857984</v>
      </c>
    </row>
    <row r="135" spans="1:9" x14ac:dyDescent="0.2">
      <c r="A135">
        <v>125</v>
      </c>
      <c r="B135">
        <v>1062622.1865735198</v>
      </c>
      <c r="C135">
        <v>118152.83817035904</v>
      </c>
      <c r="D135">
        <v>53655.575352289183</v>
      </c>
      <c r="E135">
        <v>89174.857783142375</v>
      </c>
      <c r="F135">
        <v>42173.644000371394</v>
      </c>
      <c r="G135">
        <v>10000</v>
      </c>
      <c r="H135">
        <v>293156.91530616197</v>
      </c>
      <c r="I135">
        <v>39.800011050701841</v>
      </c>
    </row>
    <row r="136" spans="1:9" x14ac:dyDescent="0.2">
      <c r="A136">
        <v>126</v>
      </c>
      <c r="B136">
        <v>901052.78827809915</v>
      </c>
      <c r="C136">
        <v>105729.22732389119</v>
      </c>
      <c r="D136">
        <v>76455.407893908559</v>
      </c>
      <c r="E136">
        <v>38057.331691933337</v>
      </c>
      <c r="F136">
        <v>38634.738347903076</v>
      </c>
      <c r="G136">
        <v>10000</v>
      </c>
      <c r="H136">
        <v>248876.70525763615</v>
      </c>
      <c r="I136">
        <v>31.768144182448321</v>
      </c>
    </row>
    <row r="137" spans="1:9" x14ac:dyDescent="0.2">
      <c r="A137">
        <v>127</v>
      </c>
      <c r="B137">
        <v>1005643.7430858188</v>
      </c>
      <c r="C137">
        <v>115928.83429926663</v>
      </c>
      <c r="D137">
        <v>87053.285223926505</v>
      </c>
      <c r="E137">
        <v>45414.992127937781</v>
      </c>
      <c r="F137">
        <v>39144.114839626462</v>
      </c>
      <c r="G137">
        <v>10000</v>
      </c>
      <c r="H137">
        <v>277541.22649075737</v>
      </c>
      <c r="I137">
        <v>40.992509347491207</v>
      </c>
    </row>
    <row r="138" spans="1:9" x14ac:dyDescent="0.2">
      <c r="A138">
        <v>128</v>
      </c>
      <c r="B138">
        <v>944895.68571796035</v>
      </c>
      <c r="C138">
        <v>106901.46305199775</v>
      </c>
      <c r="D138">
        <v>82657.199477646398</v>
      </c>
      <c r="E138">
        <v>42398.483458506074</v>
      </c>
      <c r="F138">
        <v>38935.279624050425</v>
      </c>
      <c r="G138">
        <v>10000</v>
      </c>
      <c r="H138">
        <v>260892.42561220063</v>
      </c>
      <c r="I138">
        <v>43.194866519509688</v>
      </c>
    </row>
    <row r="139" spans="1:9" x14ac:dyDescent="0.2">
      <c r="A139">
        <v>129</v>
      </c>
      <c r="B139">
        <v>1794533.0180541845</v>
      </c>
      <c r="C139">
        <v>133531.71257081698</v>
      </c>
      <c r="D139">
        <v>166937.38367533221</v>
      </c>
      <c r="E139">
        <v>156446.64815022761</v>
      </c>
      <c r="F139">
        <v>46830.921795015754</v>
      </c>
      <c r="G139">
        <v>10000</v>
      </c>
      <c r="H139">
        <v>493746.66619139252</v>
      </c>
      <c r="I139">
        <v>38.170736580264638</v>
      </c>
    </row>
    <row r="140" spans="1:9" x14ac:dyDescent="0.2">
      <c r="A140">
        <v>130</v>
      </c>
      <c r="B140">
        <v>1251807.379649258</v>
      </c>
      <c r="C140">
        <v>144990.79309129948</v>
      </c>
      <c r="D140">
        <v>81751.072668083245</v>
      </c>
      <c r="E140">
        <v>86289.819333153006</v>
      </c>
      <c r="F140">
        <v>41973.910569218286</v>
      </c>
      <c r="G140">
        <v>10000</v>
      </c>
      <c r="H140">
        <v>345005.59566175402</v>
      </c>
      <c r="I140">
        <v>38.821140855711917</v>
      </c>
    </row>
    <row r="141" spans="1:9" x14ac:dyDescent="0.2">
      <c r="A141">
        <v>131</v>
      </c>
      <c r="B141">
        <v>1292532.4031984592</v>
      </c>
      <c r="C141">
        <v>138097.50562080511</v>
      </c>
      <c r="D141">
        <v>79929.381064884466</v>
      </c>
      <c r="E141">
        <v>104879.07603857228</v>
      </c>
      <c r="F141">
        <v>43260.859110362697</v>
      </c>
      <c r="G141">
        <v>10000</v>
      </c>
      <c r="H141">
        <v>356166.82183462457</v>
      </c>
      <c r="I141">
        <v>27.08868389146302</v>
      </c>
    </row>
    <row r="142" spans="1:9" x14ac:dyDescent="0.2">
      <c r="A142">
        <v>132</v>
      </c>
      <c r="B142">
        <v>1110921.7697003167</v>
      </c>
      <c r="C142">
        <v>96053.291156603736</v>
      </c>
      <c r="D142">
        <v>67279.961532057467</v>
      </c>
      <c r="E142">
        <v>109481.3200598777</v>
      </c>
      <c r="F142">
        <v>43579.476004145377</v>
      </c>
      <c r="G142">
        <v>10000</v>
      </c>
      <c r="H142">
        <v>306394.04875268432</v>
      </c>
      <c r="I142">
        <v>50.154593033601955</v>
      </c>
    </row>
    <row r="143" spans="1:9" x14ac:dyDescent="0.2">
      <c r="A143">
        <v>133</v>
      </c>
      <c r="B143">
        <v>841304.80937640602</v>
      </c>
      <c r="C143">
        <v>81665.971751391553</v>
      </c>
      <c r="D143">
        <v>59313.633641175475</v>
      </c>
      <c r="E143">
        <v>61279.927099020148</v>
      </c>
      <c r="F143">
        <v>40242.456491470628</v>
      </c>
      <c r="G143">
        <v>10000</v>
      </c>
      <c r="H143">
        <v>232501.98898305779</v>
      </c>
      <c r="I143">
        <v>38.049309461016264</v>
      </c>
    </row>
    <row r="144" spans="1:9" x14ac:dyDescent="0.2">
      <c r="A144">
        <v>134</v>
      </c>
      <c r="B144">
        <v>993661.05870173103</v>
      </c>
      <c r="C144">
        <v>94759.661436819806</v>
      </c>
      <c r="D144">
        <v>82407.701014277263</v>
      </c>
      <c r="E144">
        <v>66486.912334737091</v>
      </c>
      <c r="F144">
        <v>40602.940084712565</v>
      </c>
      <c r="G144">
        <v>10000</v>
      </c>
      <c r="H144">
        <v>274257.21487054671</v>
      </c>
      <c r="I144">
        <v>36.203817600069996</v>
      </c>
    </row>
    <row r="145" spans="1:9" x14ac:dyDescent="0.2">
      <c r="A145">
        <v>135</v>
      </c>
      <c r="B145">
        <v>1511973.3905496306</v>
      </c>
      <c r="C145">
        <v>127229.80783764455</v>
      </c>
      <c r="D145">
        <v>123059.30096266101</v>
      </c>
      <c r="E145">
        <v>130952.45121077647</v>
      </c>
      <c r="F145">
        <v>45065.938929976837</v>
      </c>
      <c r="G145">
        <v>10000</v>
      </c>
      <c r="H145">
        <v>416307.49894105888</v>
      </c>
      <c r="I145">
        <v>34.529965965844085</v>
      </c>
    </row>
    <row r="146" spans="1:9" x14ac:dyDescent="0.2">
      <c r="A146">
        <v>136</v>
      </c>
      <c r="B146">
        <v>1269233.9836628882</v>
      </c>
      <c r="C146">
        <v>100288.45733556483</v>
      </c>
      <c r="D146">
        <v>71103.020350859471</v>
      </c>
      <c r="E146">
        <v>142523.12173093754</v>
      </c>
      <c r="F146">
        <v>45866.985350603361</v>
      </c>
      <c r="G146">
        <v>10000</v>
      </c>
      <c r="H146">
        <v>349781.58476796519</v>
      </c>
      <c r="I146">
        <v>37.97796285165937</v>
      </c>
    </row>
    <row r="147" spans="1:9" x14ac:dyDescent="0.2">
      <c r="A147">
        <v>137</v>
      </c>
      <c r="B147">
        <v>1074956.8701506655</v>
      </c>
      <c r="C147">
        <v>122330.04096543248</v>
      </c>
      <c r="D147">
        <v>76935.146792197556</v>
      </c>
      <c r="E147">
        <v>66657.461802953287</v>
      </c>
      <c r="F147">
        <v>40614.747355589076</v>
      </c>
      <c r="G147">
        <v>10000</v>
      </c>
      <c r="H147">
        <v>296537.39691617235</v>
      </c>
      <c r="I147">
        <v>50.084899472738819</v>
      </c>
    </row>
    <row r="148" spans="1:9" x14ac:dyDescent="0.2">
      <c r="A148">
        <v>138</v>
      </c>
      <c r="B148">
        <v>1429167.7034983651</v>
      </c>
      <c r="C148">
        <v>116841.18148541526</v>
      </c>
      <c r="D148">
        <v>74652.735929643997</v>
      </c>
      <c r="E148">
        <v>164716.17106562486</v>
      </c>
      <c r="F148">
        <v>47403.427227620181</v>
      </c>
      <c r="G148">
        <v>10000</v>
      </c>
      <c r="H148">
        <v>393613.51570830424</v>
      </c>
      <c r="I148">
        <v>28.428279329177144</v>
      </c>
    </row>
    <row r="149" spans="1:9" x14ac:dyDescent="0.2">
      <c r="A149">
        <v>139</v>
      </c>
      <c r="B149">
        <v>1079282.0164355282</v>
      </c>
      <c r="C149">
        <v>131470.60641426555</v>
      </c>
      <c r="D149">
        <v>50004.819541521472</v>
      </c>
      <c r="E149">
        <v>84403.981397820637</v>
      </c>
      <c r="F149">
        <v>41843.35255831066</v>
      </c>
      <c r="G149">
        <v>10000</v>
      </c>
      <c r="H149">
        <v>297722.75991191831</v>
      </c>
      <c r="I149">
        <v>31.045186378986095</v>
      </c>
    </row>
    <row r="150" spans="1:9" x14ac:dyDescent="0.2">
      <c r="A150">
        <v>140</v>
      </c>
      <c r="B150">
        <v>1117060.4305342459</v>
      </c>
      <c r="C150">
        <v>120550.21991997928</v>
      </c>
      <c r="D150">
        <v>66341.441788082942</v>
      </c>
      <c r="E150">
        <v>89021.724961006446</v>
      </c>
      <c r="F150">
        <v>42163.042497300448</v>
      </c>
      <c r="G150">
        <v>10000</v>
      </c>
      <c r="H150">
        <v>308076.42916636908</v>
      </c>
      <c r="I150">
        <v>35.333726307146534</v>
      </c>
    </row>
    <row r="151" spans="1:9" x14ac:dyDescent="0.2">
      <c r="A151">
        <v>141</v>
      </c>
      <c r="B151">
        <v>1429572.5596092129</v>
      </c>
      <c r="C151">
        <v>89240.999117143539</v>
      </c>
      <c r="D151">
        <v>63366.269526429489</v>
      </c>
      <c r="E151">
        <v>201188.75118044007</v>
      </c>
      <c r="F151">
        <v>49928.452004799699</v>
      </c>
      <c r="G151">
        <v>10000</v>
      </c>
      <c r="H151">
        <v>393724.47182881279</v>
      </c>
      <c r="I151">
        <v>38.472768257370767</v>
      </c>
    </row>
    <row r="152" spans="1:9" x14ac:dyDescent="0.2">
      <c r="A152">
        <v>142</v>
      </c>
      <c r="B152">
        <v>1565984.8244469268</v>
      </c>
      <c r="C152">
        <v>100342.05428348153</v>
      </c>
      <c r="D152">
        <v>131269.65266438728</v>
      </c>
      <c r="E152">
        <v>162264.62795250546</v>
      </c>
      <c r="F152">
        <v>47233.705012096529</v>
      </c>
      <c r="G152">
        <v>10000</v>
      </c>
      <c r="H152">
        <v>431110.03991247085</v>
      </c>
      <c r="I152">
        <v>49.734028753166896</v>
      </c>
    </row>
    <row r="153" spans="1:9" x14ac:dyDescent="0.2">
      <c r="A153">
        <v>143</v>
      </c>
      <c r="B153">
        <v>1246675.7267384864</v>
      </c>
      <c r="C153">
        <v>97470.301626162138</v>
      </c>
      <c r="D153">
        <v>142111.65226324729</v>
      </c>
      <c r="E153">
        <v>72965.76877153042</v>
      </c>
      <c r="F153">
        <v>41051.47629956749</v>
      </c>
      <c r="G153">
        <v>10000</v>
      </c>
      <c r="H153">
        <v>343599.19896050735</v>
      </c>
      <c r="I153">
        <v>31.548584120325181</v>
      </c>
    </row>
    <row r="154" spans="1:9" x14ac:dyDescent="0.2">
      <c r="A154">
        <v>144</v>
      </c>
      <c r="B154">
        <v>1446494.2654759556</v>
      </c>
      <c r="C154">
        <v>114320.42922181316</v>
      </c>
      <c r="D154">
        <v>98203.995791627298</v>
      </c>
      <c r="E154">
        <v>149488.46083582964</v>
      </c>
      <c r="F154">
        <v>46349.201134788207</v>
      </c>
      <c r="G154">
        <v>10000</v>
      </c>
      <c r="H154">
        <v>398362.08698405832</v>
      </c>
      <c r="I154">
        <v>37.370289038026996</v>
      </c>
    </row>
    <row r="155" spans="1:9" x14ac:dyDescent="0.2">
      <c r="A155">
        <v>145</v>
      </c>
      <c r="B155">
        <v>1286340.1785388291</v>
      </c>
      <c r="C155">
        <v>110937.64902591228</v>
      </c>
      <c r="D155">
        <v>79522.98610746031</v>
      </c>
      <c r="E155">
        <v>129073.28370167695</v>
      </c>
      <c r="F155">
        <v>44935.842717808402</v>
      </c>
      <c r="G155">
        <v>10000</v>
      </c>
      <c r="H155">
        <v>354469.76155285793</v>
      </c>
      <c r="I155">
        <v>30.431678967722217</v>
      </c>
    </row>
    <row r="156" spans="1:9" x14ac:dyDescent="0.2">
      <c r="A156">
        <v>146</v>
      </c>
      <c r="B156">
        <v>1257581.9651563077</v>
      </c>
      <c r="C156">
        <v>95509.535147994407</v>
      </c>
      <c r="D156">
        <v>77763.311083148728</v>
      </c>
      <c r="E156">
        <v>137776.94625998789</v>
      </c>
      <c r="F156">
        <v>45538.403971845313</v>
      </c>
      <c r="G156">
        <v>10000</v>
      </c>
      <c r="H156">
        <v>346588.19646297628</v>
      </c>
      <c r="I156">
        <v>33.54522399990033</v>
      </c>
    </row>
    <row r="157" spans="1:9" x14ac:dyDescent="0.2">
      <c r="A157">
        <v>147</v>
      </c>
      <c r="B157">
        <v>1678670.3375782727</v>
      </c>
      <c r="C157">
        <v>151402.94497290079</v>
      </c>
      <c r="D157">
        <v>128682.92703451107</v>
      </c>
      <c r="E157">
        <v>145812.40398830219</v>
      </c>
      <c r="F157">
        <v>46094.704891497851</v>
      </c>
      <c r="G157">
        <v>10000</v>
      </c>
      <c r="H157">
        <v>461992.98088721186</v>
      </c>
      <c r="I157">
        <v>28.003291675932292</v>
      </c>
    </row>
    <row r="158" spans="1:9" x14ac:dyDescent="0.2">
      <c r="A158">
        <v>148</v>
      </c>
      <c r="B158">
        <v>1071183.931088665</v>
      </c>
      <c r="C158">
        <v>92921.77522766887</v>
      </c>
      <c r="D158">
        <v>59678.955349371987</v>
      </c>
      <c r="E158">
        <v>109333.40709081957</v>
      </c>
      <c r="F158">
        <v>43569.235875518279</v>
      </c>
      <c r="G158">
        <v>10000</v>
      </c>
      <c r="H158">
        <v>295503.37354337872</v>
      </c>
      <c r="I158">
        <v>32.893132539562558</v>
      </c>
    </row>
    <row r="159" spans="1:9" x14ac:dyDescent="0.2">
      <c r="A159">
        <v>149</v>
      </c>
      <c r="B159">
        <v>1453822.7659318207</v>
      </c>
      <c r="C159">
        <v>118308.69600265917</v>
      </c>
      <c r="D159">
        <v>45921.263601961138</v>
      </c>
      <c r="E159">
        <v>196534.37309773461</v>
      </c>
      <c r="F159">
        <v>49606.22582984317</v>
      </c>
      <c r="G159">
        <v>10000</v>
      </c>
      <c r="H159">
        <v>400370.55853219808</v>
      </c>
      <c r="I159">
        <v>44.223864276370676</v>
      </c>
    </row>
    <row r="160" spans="1:9" x14ac:dyDescent="0.2">
      <c r="A160">
        <v>150</v>
      </c>
      <c r="B160">
        <v>1086604.1013465133</v>
      </c>
      <c r="C160">
        <v>105270.82791071091</v>
      </c>
      <c r="D160">
        <v>33766.194748029506</v>
      </c>
      <c r="E160">
        <v>125971.35661752908</v>
      </c>
      <c r="F160">
        <v>44721.093919675091</v>
      </c>
      <c r="G160">
        <v>10000</v>
      </c>
      <c r="H160">
        <v>299729.47319594456</v>
      </c>
      <c r="I160">
        <v>32.106792583909211</v>
      </c>
    </row>
    <row r="161" spans="1:9" x14ac:dyDescent="0.2">
      <c r="A161">
        <v>151</v>
      </c>
      <c r="B161">
        <v>1366664.4286279986</v>
      </c>
      <c r="C161">
        <v>107449.4292423045</v>
      </c>
      <c r="D161">
        <v>64556.484961244241</v>
      </c>
      <c r="E161">
        <v>166921.64630271622</v>
      </c>
      <c r="F161">
        <v>47556.113974803433</v>
      </c>
      <c r="G161">
        <v>10000</v>
      </c>
      <c r="H161">
        <v>376483.67448106839</v>
      </c>
      <c r="I161">
        <v>29.482510139990925</v>
      </c>
    </row>
    <row r="162" spans="1:9" x14ac:dyDescent="0.2">
      <c r="A162">
        <v>152</v>
      </c>
      <c r="B162">
        <v>1703805.015910842</v>
      </c>
      <c r="C162">
        <v>163748.14135705447</v>
      </c>
      <c r="D162">
        <v>77500.533962517948</v>
      </c>
      <c r="E162">
        <v>188577.43268684324</v>
      </c>
      <c r="F162">
        <v>49055.360724473758</v>
      </c>
      <c r="G162">
        <v>10000</v>
      </c>
      <c r="H162">
        <v>468881.46873088944</v>
      </c>
      <c r="I162">
        <v>49.437723463909798</v>
      </c>
    </row>
    <row r="163" spans="1:9" x14ac:dyDescent="0.2">
      <c r="A163">
        <v>153</v>
      </c>
      <c r="B163">
        <v>1155931.7368886722</v>
      </c>
      <c r="C163">
        <v>128639.56927767047</v>
      </c>
      <c r="D163">
        <v>118809.68784258442</v>
      </c>
      <c r="E163">
        <v>42348.540691490591</v>
      </c>
      <c r="F163">
        <v>38931.822047872425</v>
      </c>
      <c r="G163">
        <v>10000</v>
      </c>
      <c r="H163">
        <v>318729.6198596179</v>
      </c>
      <c r="I163">
        <v>33.366626094780827</v>
      </c>
    </row>
    <row r="164" spans="1:9" x14ac:dyDescent="0.2">
      <c r="A164">
        <v>154</v>
      </c>
      <c r="B164">
        <v>817307.60099247692</v>
      </c>
      <c r="C164">
        <v>105984.17822579849</v>
      </c>
      <c r="D164">
        <v>43390.265675792747</v>
      </c>
      <c r="E164">
        <v>47277.722669390583</v>
      </c>
      <c r="F164">
        <v>39273.073107880889</v>
      </c>
      <c r="G164">
        <v>10000</v>
      </c>
      <c r="H164">
        <v>225925.23967886271</v>
      </c>
      <c r="I164">
        <v>29.799489730859065</v>
      </c>
    </row>
    <row r="165" spans="1:9" x14ac:dyDescent="0.2">
      <c r="A165">
        <v>155</v>
      </c>
      <c r="B165">
        <v>1354585.4490125203</v>
      </c>
      <c r="C165">
        <v>102381.54297739202</v>
      </c>
      <c r="D165">
        <v>116681.15228058466</v>
      </c>
      <c r="E165">
        <v>119815.64721101747</v>
      </c>
      <c r="F165">
        <v>44294.929422301211</v>
      </c>
      <c r="G165">
        <v>10000</v>
      </c>
      <c r="H165">
        <v>373173.27189129533</v>
      </c>
      <c r="I165">
        <v>52.886393136763715</v>
      </c>
    </row>
    <row r="166" spans="1:9" x14ac:dyDescent="0.2">
      <c r="A166">
        <v>156</v>
      </c>
      <c r="B166">
        <v>1760083.2465584048</v>
      </c>
      <c r="C166">
        <v>158528.87408524987</v>
      </c>
      <c r="D166">
        <v>129894.62172008702</v>
      </c>
      <c r="E166">
        <v>158882.22087177486</v>
      </c>
      <c r="F166">
        <v>46999.538368045956</v>
      </c>
      <c r="G166">
        <v>10000</v>
      </c>
      <c r="H166">
        <v>484305.25504515762</v>
      </c>
      <c r="I166">
        <v>29.725722244436778</v>
      </c>
    </row>
    <row r="167" spans="1:9" x14ac:dyDescent="0.2">
      <c r="A167">
        <v>157</v>
      </c>
      <c r="B167">
        <v>1331015.4981412138</v>
      </c>
      <c r="C167">
        <v>112595.80466813297</v>
      </c>
      <c r="D167">
        <v>121961.03718759111</v>
      </c>
      <c r="E167">
        <v>99283.315916783395</v>
      </c>
      <c r="F167">
        <v>42873.460332700386</v>
      </c>
      <c r="G167">
        <v>10000</v>
      </c>
      <c r="H167">
        <v>366713.61810520786</v>
      </c>
      <c r="I167">
        <v>37.295067889960045</v>
      </c>
    </row>
    <row r="168" spans="1:9" x14ac:dyDescent="0.2">
      <c r="A168">
        <v>158</v>
      </c>
      <c r="B168">
        <v>1143294.4231250449</v>
      </c>
      <c r="C168">
        <v>119175.7922102474</v>
      </c>
      <c r="D168">
        <v>121904.78527274572</v>
      </c>
      <c r="E168">
        <v>45065.688704817258</v>
      </c>
      <c r="F168">
        <v>39119.932294948892</v>
      </c>
      <c r="G168">
        <v>10000</v>
      </c>
      <c r="H168">
        <v>315266.1984827593</v>
      </c>
      <c r="I168">
        <v>40.111670994665459</v>
      </c>
    </row>
    <row r="169" spans="1:9" x14ac:dyDescent="0.2">
      <c r="A169">
        <v>159</v>
      </c>
      <c r="B169">
        <v>1126786.3578192354</v>
      </c>
      <c r="C169">
        <v>98870.983847336349</v>
      </c>
      <c r="D169">
        <v>67160.698998637148</v>
      </c>
      <c r="E169">
        <v>111023.98800313986</v>
      </c>
      <c r="F169">
        <v>43686.27609252507</v>
      </c>
      <c r="G169">
        <v>10000</v>
      </c>
      <c r="H169">
        <v>310741.94694163842</v>
      </c>
      <c r="I169">
        <v>39.711750633741687</v>
      </c>
    </row>
    <row r="170" spans="1:9" x14ac:dyDescent="0.2">
      <c r="A170">
        <v>160</v>
      </c>
      <c r="B170">
        <v>1162949.5187518045</v>
      </c>
      <c r="C170">
        <v>119527.52440473656</v>
      </c>
      <c r="D170">
        <v>31830.875224809199</v>
      </c>
      <c r="E170">
        <v>134016.4718424328</v>
      </c>
      <c r="F170">
        <v>45278.063435245342</v>
      </c>
      <c r="G170">
        <v>10000</v>
      </c>
      <c r="H170">
        <v>320652.93490722391</v>
      </c>
      <c r="I170">
        <v>36.297622369594563</v>
      </c>
    </row>
    <row r="171" spans="1:9" x14ac:dyDescent="0.2">
      <c r="A171">
        <v>161</v>
      </c>
      <c r="B171">
        <v>1120633.0761642922</v>
      </c>
      <c r="C171">
        <v>88516.183237605917</v>
      </c>
      <c r="D171">
        <v>85371.967172604491</v>
      </c>
      <c r="E171">
        <v>102099.01569589101</v>
      </c>
      <c r="F171">
        <v>43068.393394330917</v>
      </c>
      <c r="G171">
        <v>10000</v>
      </c>
      <c r="H171">
        <v>309055.55950043234</v>
      </c>
      <c r="I171">
        <v>44.212928006587688</v>
      </c>
    </row>
    <row r="172" spans="1:9" x14ac:dyDescent="0.2">
      <c r="A172">
        <v>162</v>
      </c>
      <c r="B172">
        <v>1218220.1194769035</v>
      </c>
      <c r="C172">
        <v>108324.06295776498</v>
      </c>
      <c r="D172">
        <v>64486.044200281853</v>
      </c>
      <c r="E172">
        <v>128120.57399218317</v>
      </c>
      <c r="F172">
        <v>44869.885891766527</v>
      </c>
      <c r="G172">
        <v>10000</v>
      </c>
      <c r="H172">
        <v>335800.56704199652</v>
      </c>
      <c r="I172">
        <v>39.249251008144242</v>
      </c>
    </row>
    <row r="173" spans="1:9" x14ac:dyDescent="0.2">
      <c r="A173">
        <v>163</v>
      </c>
      <c r="B173">
        <v>1426859.2057125245</v>
      </c>
      <c r="C173">
        <v>111113.18095504514</v>
      </c>
      <c r="D173">
        <v>66577.573328707716</v>
      </c>
      <c r="E173">
        <v>177033.89465944908</v>
      </c>
      <c r="F173">
        <v>48256.192707192633</v>
      </c>
      <c r="G173">
        <v>10000</v>
      </c>
      <c r="H173">
        <v>392980.84165039461</v>
      </c>
      <c r="I173">
        <v>49.038773166267951</v>
      </c>
    </row>
    <row r="174" spans="1:9" x14ac:dyDescent="0.2">
      <c r="A174">
        <v>164</v>
      </c>
      <c r="B174">
        <v>1136727.1427679255</v>
      </c>
      <c r="C174">
        <v>160928.09669898837</v>
      </c>
      <c r="D174">
        <v>96455.527457594144</v>
      </c>
      <c r="E174">
        <v>28134.922771806534</v>
      </c>
      <c r="F174">
        <v>37947.802345740456</v>
      </c>
      <c r="G174">
        <v>10000</v>
      </c>
      <c r="H174">
        <v>313466.34927412949</v>
      </c>
      <c r="I174">
        <v>52.60800669950077</v>
      </c>
    </row>
    <row r="175" spans="1:9" x14ac:dyDescent="0.2">
      <c r="A175">
        <v>165</v>
      </c>
      <c r="B175">
        <v>1235608.1706654725</v>
      </c>
      <c r="C175">
        <v>128671.04519655138</v>
      </c>
      <c r="D175">
        <v>132268.0983712493</v>
      </c>
      <c r="E175">
        <v>50154.60480272612</v>
      </c>
      <c r="F175">
        <v>39472.241870957965</v>
      </c>
      <c r="G175">
        <v>10000</v>
      </c>
      <c r="H175">
        <v>340565.99024148477</v>
      </c>
      <c r="I175">
        <v>32.303016095779562</v>
      </c>
    </row>
    <row r="176" spans="1:9" x14ac:dyDescent="0.2">
      <c r="A176">
        <v>166</v>
      </c>
      <c r="B176">
        <v>1120054.7001820742</v>
      </c>
      <c r="C176">
        <v>151718.92796429247</v>
      </c>
      <c r="D176">
        <v>66058.752901648928</v>
      </c>
      <c r="E176">
        <v>60903.005220372928</v>
      </c>
      <c r="F176">
        <v>40216.361899871968</v>
      </c>
      <c r="G176">
        <v>10000</v>
      </c>
      <c r="H176">
        <v>308897.04798618628</v>
      </c>
      <c r="I176">
        <v>27.283425172154764</v>
      </c>
    </row>
    <row r="177" spans="1:9" x14ac:dyDescent="0.2">
      <c r="A177">
        <v>167</v>
      </c>
      <c r="B177">
        <v>1223724.0769715672</v>
      </c>
      <c r="C177">
        <v>137563.45739804389</v>
      </c>
      <c r="D177">
        <v>117979.25270940976</v>
      </c>
      <c r="E177">
        <v>52155.521697204371</v>
      </c>
      <c r="F177">
        <v>39610.766886729529</v>
      </c>
      <c r="G177">
        <v>10000</v>
      </c>
      <c r="H177">
        <v>337308.99869138753</v>
      </c>
      <c r="I177">
        <v>36.752475073997218</v>
      </c>
    </row>
    <row r="178" spans="1:9" x14ac:dyDescent="0.2">
      <c r="A178">
        <v>168</v>
      </c>
      <c r="B178">
        <v>1139606.5024718328</v>
      </c>
      <c r="C178">
        <v>105058.8589477834</v>
      </c>
      <c r="D178">
        <v>110057.54872673479</v>
      </c>
      <c r="E178">
        <v>68403.44474624077</v>
      </c>
      <c r="F178">
        <v>40735.623097816671</v>
      </c>
      <c r="G178">
        <v>10000</v>
      </c>
      <c r="H178">
        <v>314255.47551857558</v>
      </c>
      <c r="I178">
        <v>45.485314483783782</v>
      </c>
    </row>
    <row r="179" spans="1:9" x14ac:dyDescent="0.2">
      <c r="A179">
        <v>169</v>
      </c>
      <c r="B179">
        <v>1016997.8214858882</v>
      </c>
      <c r="C179">
        <v>102044.70247331899</v>
      </c>
      <c r="D179">
        <v>47474.393159888605</v>
      </c>
      <c r="E179">
        <v>98326.636119141069</v>
      </c>
      <c r="F179">
        <v>42807.228654402075</v>
      </c>
      <c r="G179">
        <v>10000</v>
      </c>
      <c r="H179">
        <v>280652.96040675073</v>
      </c>
      <c r="I179">
        <v>25.413896511684836</v>
      </c>
    </row>
    <row r="180" spans="1:9" x14ac:dyDescent="0.2">
      <c r="A180">
        <v>170</v>
      </c>
      <c r="B180">
        <v>1368092.6431394434</v>
      </c>
      <c r="C180">
        <v>111436.95458224157</v>
      </c>
      <c r="D180">
        <v>95479.661053643795</v>
      </c>
      <c r="E180">
        <v>134637.42709557357</v>
      </c>
      <c r="F180">
        <v>45321.052645078169</v>
      </c>
      <c r="G180">
        <v>10000</v>
      </c>
      <c r="H180">
        <v>376875.09537653707</v>
      </c>
      <c r="I180">
        <v>30.873718801998649</v>
      </c>
    </row>
    <row r="181" spans="1:9" x14ac:dyDescent="0.2">
      <c r="A181">
        <v>171</v>
      </c>
      <c r="B181">
        <v>1503119.9466780012</v>
      </c>
      <c r="C181">
        <v>149315.43901477457</v>
      </c>
      <c r="D181">
        <v>119145.25195668363</v>
      </c>
      <c r="E181">
        <v>111688.14921833629</v>
      </c>
      <c r="F181">
        <v>43732.256484346362</v>
      </c>
      <c r="G181">
        <v>10000</v>
      </c>
      <c r="H181">
        <v>413881.09667414083</v>
      </c>
      <c r="I181">
        <v>46.252428997144406</v>
      </c>
    </row>
    <row r="182" spans="1:9" x14ac:dyDescent="0.2">
      <c r="A182">
        <v>172</v>
      </c>
      <c r="B182">
        <v>917443.79785193689</v>
      </c>
      <c r="C182">
        <v>96082.13841074708</v>
      </c>
      <c r="D182">
        <v>71270.280203895411</v>
      </c>
      <c r="E182">
        <v>56130.499845788261</v>
      </c>
      <c r="F182">
        <v>39885.957681631495</v>
      </c>
      <c r="G182">
        <v>10000</v>
      </c>
      <c r="H182">
        <v>253368.87614206225</v>
      </c>
      <c r="I182">
        <v>54.679279931359048</v>
      </c>
    </row>
    <row r="183" spans="1:9" x14ac:dyDescent="0.2">
      <c r="A183">
        <v>173</v>
      </c>
      <c r="B183">
        <v>846254.41431465524</v>
      </c>
      <c r="C183">
        <v>108807.11805306702</v>
      </c>
      <c r="D183">
        <v>54628.083354545197</v>
      </c>
      <c r="E183">
        <v>41546.9634091068</v>
      </c>
      <c r="F183">
        <v>38876.328236015092</v>
      </c>
      <c r="G183">
        <v>10000</v>
      </c>
      <c r="H183">
        <v>233858.49305273412</v>
      </c>
      <c r="I183">
        <v>38.616799190530898</v>
      </c>
    </row>
    <row r="184" spans="1:9" x14ac:dyDescent="0.2">
      <c r="A184">
        <v>174</v>
      </c>
      <c r="B184">
        <v>1339666.7479634932</v>
      </c>
      <c r="C184">
        <v>101987.53433309332</v>
      </c>
      <c r="D184">
        <v>81259.008420964994</v>
      </c>
      <c r="E184">
        <v>149488.83654483166</v>
      </c>
      <c r="F184">
        <v>46349.227145411423</v>
      </c>
      <c r="G184">
        <v>10000</v>
      </c>
      <c r="H184">
        <v>369084.60644430143</v>
      </c>
      <c r="I184">
        <v>47.856200275921189</v>
      </c>
    </row>
    <row r="185" spans="1:9" x14ac:dyDescent="0.2">
      <c r="A185">
        <v>175</v>
      </c>
      <c r="B185">
        <v>943380.10274442541</v>
      </c>
      <c r="C185">
        <v>98334.515809787423</v>
      </c>
      <c r="D185">
        <v>77554.022626405917</v>
      </c>
      <c r="E185">
        <v>54795.0203969414</v>
      </c>
      <c r="F185">
        <v>39793.501412095946</v>
      </c>
      <c r="G185">
        <v>10000</v>
      </c>
      <c r="H185">
        <v>260477.06024523068</v>
      </c>
      <c r="I185">
        <v>43.869213777054355</v>
      </c>
    </row>
    <row r="186" spans="1:9" x14ac:dyDescent="0.2">
      <c r="A186">
        <v>176</v>
      </c>
      <c r="B186">
        <v>1728504.9343529099</v>
      </c>
      <c r="C186">
        <v>90398.452508270784</v>
      </c>
      <c r="D186">
        <v>164927.20324263477</v>
      </c>
      <c r="E186">
        <v>181742.94527683908</v>
      </c>
      <c r="F186">
        <v>48582.20390378117</v>
      </c>
      <c r="G186">
        <v>10000</v>
      </c>
      <c r="H186">
        <v>475650.80493152584</v>
      </c>
      <c r="I186">
        <v>34.202532882542357</v>
      </c>
    </row>
    <row r="187" spans="1:9" x14ac:dyDescent="0.2">
      <c r="A187">
        <v>177</v>
      </c>
      <c r="B187">
        <v>1162127.2820234341</v>
      </c>
      <c r="C187">
        <v>113211.0676160516</v>
      </c>
      <c r="D187">
        <v>31694.506252149284</v>
      </c>
      <c r="E187">
        <v>139840.7346624145</v>
      </c>
      <c r="F187">
        <v>45681.281630474848</v>
      </c>
      <c r="G187">
        <v>10000</v>
      </c>
      <c r="H187">
        <v>320427.59016109025</v>
      </c>
      <c r="I187">
        <v>43.258668843360375</v>
      </c>
    </row>
    <row r="188" spans="1:9" x14ac:dyDescent="0.2">
      <c r="A188">
        <v>178</v>
      </c>
      <c r="B188">
        <v>1033157.0094332297</v>
      </c>
      <c r="C188">
        <v>88354.239144671315</v>
      </c>
      <c r="D188">
        <v>67361.157390146138</v>
      </c>
      <c r="E188">
        <v>96673.425398412073</v>
      </c>
      <c r="F188">
        <v>42692.775604505448</v>
      </c>
      <c r="G188">
        <v>10000</v>
      </c>
      <c r="H188">
        <v>285081.59753773501</v>
      </c>
      <c r="I188">
        <v>33.318754734231689</v>
      </c>
    </row>
    <row r="189" spans="1:9" x14ac:dyDescent="0.2">
      <c r="A189">
        <v>179</v>
      </c>
      <c r="B189">
        <v>1189266.8327606334</v>
      </c>
      <c r="C189">
        <v>74741.865437630084</v>
      </c>
      <c r="D189">
        <v>150589.3897006397</v>
      </c>
      <c r="E189">
        <v>71578.827147359596</v>
      </c>
      <c r="F189">
        <v>40955.457264047967</v>
      </c>
      <c r="G189">
        <v>10000</v>
      </c>
      <c r="H189">
        <v>327865.5395496774</v>
      </c>
      <c r="I189">
        <v>46.939573334710204</v>
      </c>
    </row>
    <row r="190" spans="1:9" x14ac:dyDescent="0.2">
      <c r="A190">
        <v>180</v>
      </c>
      <c r="B190">
        <v>1234093.669891702</v>
      </c>
      <c r="C190">
        <v>140633.97658648202</v>
      </c>
      <c r="D190">
        <v>100065.21538152528</v>
      </c>
      <c r="E190">
        <v>68695.862119991129</v>
      </c>
      <c r="F190">
        <v>40755.867377537848</v>
      </c>
      <c r="G190">
        <v>10000</v>
      </c>
      <c r="H190">
        <v>340150.92146553629</v>
      </c>
      <c r="I190">
        <v>40.273979623269582</v>
      </c>
    </row>
    <row r="191" spans="1:9" x14ac:dyDescent="0.2">
      <c r="A191">
        <v>181</v>
      </c>
      <c r="B191">
        <v>1707403.9411799854</v>
      </c>
      <c r="C191">
        <v>135168.81788044021</v>
      </c>
      <c r="D191">
        <v>89050.243826430597</v>
      </c>
      <c r="E191">
        <v>205426.87879758826</v>
      </c>
      <c r="F191">
        <v>50221.860839833033</v>
      </c>
      <c r="G191">
        <v>10000</v>
      </c>
      <c r="H191">
        <v>469867.80134429212</v>
      </c>
      <c r="I191">
        <v>33.61246050807361</v>
      </c>
    </row>
    <row r="192" spans="1:9" x14ac:dyDescent="0.2">
      <c r="A192">
        <v>182</v>
      </c>
      <c r="B192">
        <v>1483427.3141498661</v>
      </c>
      <c r="C192">
        <v>107369.7651385779</v>
      </c>
      <c r="D192">
        <v>115755.18121495223</v>
      </c>
      <c r="E192">
        <v>149040.90959827494</v>
      </c>
      <c r="F192">
        <v>46318.216818342116</v>
      </c>
      <c r="G192">
        <v>10000</v>
      </c>
      <c r="H192">
        <v>408484.07277014718</v>
      </c>
      <c r="I192">
        <v>31.582014153378278</v>
      </c>
    </row>
    <row r="193" spans="1:9" x14ac:dyDescent="0.2">
      <c r="A193">
        <v>183</v>
      </c>
      <c r="B193">
        <v>1151387.3105710149</v>
      </c>
      <c r="C193">
        <v>127679.09561311583</v>
      </c>
      <c r="D193">
        <v>37860.351293802058</v>
      </c>
      <c r="E193">
        <v>117790.01971871796</v>
      </c>
      <c r="F193">
        <v>44154.693672834321</v>
      </c>
      <c r="G193">
        <v>10000</v>
      </c>
      <c r="H193">
        <v>317484.16029847017</v>
      </c>
      <c r="I193">
        <v>52.779212585361812</v>
      </c>
    </row>
    <row r="194" spans="1:9" x14ac:dyDescent="0.2">
      <c r="A194">
        <v>184</v>
      </c>
      <c r="B194">
        <v>1077815.9914337925</v>
      </c>
      <c r="C194">
        <v>132768.27555089316</v>
      </c>
      <c r="D194">
        <v>80085.940319122616</v>
      </c>
      <c r="E194">
        <v>54681.143087886594</v>
      </c>
      <c r="F194">
        <v>39785.617598392149</v>
      </c>
      <c r="G194">
        <v>10000</v>
      </c>
      <c r="H194">
        <v>297320.97655629454</v>
      </c>
      <c r="I194">
        <v>34.95778656430943</v>
      </c>
    </row>
    <row r="195" spans="1:9" x14ac:dyDescent="0.2">
      <c r="A195">
        <v>185</v>
      </c>
      <c r="B195">
        <v>1685689.7323233879</v>
      </c>
      <c r="C195">
        <v>140786.88827788338</v>
      </c>
      <c r="D195">
        <v>140412.3528812195</v>
      </c>
      <c r="E195">
        <v>146570.32075488853</v>
      </c>
      <c r="F195">
        <v>46147.176052261515</v>
      </c>
      <c r="G195">
        <v>10000</v>
      </c>
      <c r="H195">
        <v>463916.7379662529</v>
      </c>
      <c r="I195">
        <v>29.647209076826506</v>
      </c>
    </row>
    <row r="196" spans="1:9" x14ac:dyDescent="0.2">
      <c r="A196">
        <v>186</v>
      </c>
      <c r="B196">
        <v>1161282.7776414582</v>
      </c>
      <c r="C196">
        <v>120439.45065376999</v>
      </c>
      <c r="D196">
        <v>125749.2607740299</v>
      </c>
      <c r="E196">
        <v>44899.036416182782</v>
      </c>
      <c r="F196">
        <v>39108.394828812656</v>
      </c>
      <c r="G196">
        <v>10000</v>
      </c>
      <c r="H196">
        <v>320196.14267279534</v>
      </c>
      <c r="I196">
        <v>42.418881563365304</v>
      </c>
    </row>
    <row r="197" spans="1:9" x14ac:dyDescent="0.2">
      <c r="A197">
        <v>187</v>
      </c>
      <c r="B197">
        <v>1311953.3383222544</v>
      </c>
      <c r="C197">
        <v>111491.62205974536</v>
      </c>
      <c r="D197">
        <v>119931.99307076989</v>
      </c>
      <c r="E197">
        <v>97327.697041739477</v>
      </c>
      <c r="F197">
        <v>42738.071333658881</v>
      </c>
      <c r="G197">
        <v>10000</v>
      </c>
      <c r="H197">
        <v>361489.3835059136</v>
      </c>
      <c r="I197">
        <v>27.527962049399843</v>
      </c>
    </row>
    <row r="198" spans="1:9" x14ac:dyDescent="0.2">
      <c r="A198">
        <v>188</v>
      </c>
      <c r="B198">
        <v>1210957.7694517798</v>
      </c>
      <c r="C198">
        <v>93756.025346364535</v>
      </c>
      <c r="D198">
        <v>50816.628278358723</v>
      </c>
      <c r="E198">
        <v>152668.2321147935</v>
      </c>
      <c r="F198">
        <v>46569.339146408776</v>
      </c>
      <c r="G198">
        <v>10000</v>
      </c>
      <c r="H198">
        <v>333810.22488592553</v>
      </c>
      <c r="I198">
        <v>42.281029700164311</v>
      </c>
    </row>
    <row r="199" spans="1:9" x14ac:dyDescent="0.2">
      <c r="A199">
        <v>189</v>
      </c>
      <c r="B199">
        <v>1089279.1892545728</v>
      </c>
      <c r="C199">
        <v>122226.27204557032</v>
      </c>
      <c r="D199">
        <v>33359.445672703572</v>
      </c>
      <c r="E199">
        <v>111179.83299916684</v>
      </c>
      <c r="F199">
        <v>43697.065361480782</v>
      </c>
      <c r="G199">
        <v>10000</v>
      </c>
      <c r="H199">
        <v>300462.61607892148</v>
      </c>
      <c r="I199">
        <v>30.089615821449456</v>
      </c>
    </row>
    <row r="200" spans="1:9" x14ac:dyDescent="0.2">
      <c r="A200">
        <v>190</v>
      </c>
      <c r="B200">
        <v>966038.66022519441</v>
      </c>
      <c r="C200">
        <v>129816.10733325653</v>
      </c>
      <c r="D200">
        <v>48395.084414650439</v>
      </c>
      <c r="E200">
        <v>58430.550994213816</v>
      </c>
      <c r="F200">
        <v>40045.191991907108</v>
      </c>
      <c r="G200">
        <v>10000</v>
      </c>
      <c r="H200">
        <v>266686.93473402789</v>
      </c>
      <c r="I200">
        <v>42.187904500050166</v>
      </c>
    </row>
    <row r="201" spans="1:9" x14ac:dyDescent="0.2">
      <c r="A201">
        <v>191</v>
      </c>
      <c r="B201">
        <v>1385161.4193744767</v>
      </c>
      <c r="C201">
        <v>122894.47500200916</v>
      </c>
      <c r="D201">
        <v>145785.99246586289</v>
      </c>
      <c r="E201">
        <v>81247.708282242296</v>
      </c>
      <c r="F201">
        <v>41624.841342616775</v>
      </c>
      <c r="G201">
        <v>10000</v>
      </c>
      <c r="H201">
        <v>381553.01709273114</v>
      </c>
      <c r="I201">
        <v>38.589902572642778</v>
      </c>
    </row>
    <row r="202" spans="1:9" x14ac:dyDescent="0.2">
      <c r="A202">
        <v>192</v>
      </c>
      <c r="B202">
        <v>1564799.3394397339</v>
      </c>
      <c r="C202">
        <v>109853.73031637966</v>
      </c>
      <c r="D202">
        <v>115141.09479655114</v>
      </c>
      <c r="E202">
        <v>168149.21743567404</v>
      </c>
      <c r="F202">
        <v>47641.099668623589</v>
      </c>
      <c r="G202">
        <v>10000</v>
      </c>
      <c r="H202">
        <v>430785.14221722842</v>
      </c>
      <c r="I202">
        <v>34.801365131577867</v>
      </c>
    </row>
    <row r="203" spans="1:9" x14ac:dyDescent="0.2">
      <c r="A203">
        <v>193</v>
      </c>
      <c r="B203">
        <v>1323484.3911935887</v>
      </c>
      <c r="C203">
        <v>103852.90031439923</v>
      </c>
      <c r="D203">
        <v>63233.976357828171</v>
      </c>
      <c r="E203">
        <v>160454.36388367074</v>
      </c>
      <c r="F203">
        <v>47108.379038100276</v>
      </c>
      <c r="G203">
        <v>10000</v>
      </c>
      <c r="H203">
        <v>364649.61959399842</v>
      </c>
      <c r="I203">
        <v>38.70591535742021</v>
      </c>
    </row>
    <row r="204" spans="1:9" x14ac:dyDescent="0.2">
      <c r="A204">
        <v>194</v>
      </c>
      <c r="B204">
        <v>1385365.6195984548</v>
      </c>
      <c r="C204">
        <v>113094.38720339502</v>
      </c>
      <c r="D204">
        <v>92976.702781818531</v>
      </c>
      <c r="E204">
        <v>139855.58137403734</v>
      </c>
      <c r="F204">
        <v>45682.309479741045</v>
      </c>
      <c r="G204">
        <v>10000</v>
      </c>
      <c r="H204">
        <v>381608.98083899193</v>
      </c>
      <c r="I204">
        <v>38.828288130857594</v>
      </c>
    </row>
    <row r="205" spans="1:9" x14ac:dyDescent="0.2">
      <c r="A205">
        <v>195</v>
      </c>
      <c r="B205">
        <v>1422998.2131454281</v>
      </c>
      <c r="C205">
        <v>119222.82304843764</v>
      </c>
      <c r="D205">
        <v>60287.658631658858</v>
      </c>
      <c r="E205">
        <v>174342.34942107336</v>
      </c>
      <c r="F205">
        <v>48069.854959920463</v>
      </c>
      <c r="G205">
        <v>10000</v>
      </c>
      <c r="H205">
        <v>391922.68606109032</v>
      </c>
      <c r="I205">
        <v>26.930034096912905</v>
      </c>
    </row>
    <row r="206" spans="1:9" x14ac:dyDescent="0.2">
      <c r="A206">
        <v>196</v>
      </c>
      <c r="B206">
        <v>1140932.3664636782</v>
      </c>
      <c r="C206">
        <v>97260.951889115735</v>
      </c>
      <c r="D206">
        <v>87692.537415445637</v>
      </c>
      <c r="E206">
        <v>96953.211216925745</v>
      </c>
      <c r="F206">
        <v>42712.145391941012</v>
      </c>
      <c r="G206">
        <v>10000</v>
      </c>
      <c r="H206">
        <v>314618.84591342811</v>
      </c>
      <c r="I206">
        <v>30.471234285065169</v>
      </c>
    </row>
    <row r="207" spans="1:9" x14ac:dyDescent="0.2">
      <c r="A207">
        <v>197</v>
      </c>
      <c r="B207">
        <v>860260.38010795147</v>
      </c>
      <c r="C207">
        <v>114283.27808884815</v>
      </c>
      <c r="D207">
        <v>67349.304883899385</v>
      </c>
      <c r="E207">
        <v>28117.810802980923</v>
      </c>
      <c r="F207">
        <v>37946.617670975604</v>
      </c>
      <c r="G207">
        <v>10000</v>
      </c>
      <c r="H207">
        <v>237697.01144670407</v>
      </c>
      <c r="I207">
        <v>30.679251742651353</v>
      </c>
    </row>
    <row r="208" spans="1:9" x14ac:dyDescent="0.2">
      <c r="A208">
        <v>198</v>
      </c>
      <c r="B208">
        <v>1531612.0425316654</v>
      </c>
      <c r="C208">
        <v>89653.507453318569</v>
      </c>
      <c r="D208">
        <v>105545.31686250438</v>
      </c>
      <c r="E208">
        <v>187509.47898525361</v>
      </c>
      <c r="F208">
        <v>48981.425468209869</v>
      </c>
      <c r="G208">
        <v>10000</v>
      </c>
      <c r="H208">
        <v>421689.72876928642</v>
      </c>
      <c r="I208">
        <v>29.670984063086713</v>
      </c>
    </row>
    <row r="209" spans="1:9" x14ac:dyDescent="0.2">
      <c r="A209">
        <v>199</v>
      </c>
      <c r="B209">
        <v>831393.54003377096</v>
      </c>
      <c r="C209">
        <v>91588.037186983871</v>
      </c>
      <c r="D209">
        <v>55132.085840722575</v>
      </c>
      <c r="E209">
        <v>53370.660855923328</v>
      </c>
      <c r="F209">
        <v>39694.891905410077</v>
      </c>
      <c r="G209">
        <v>10000</v>
      </c>
      <c r="H209">
        <v>229785.67578903984</v>
      </c>
      <c r="I209">
        <v>45.447912455448609</v>
      </c>
    </row>
    <row r="210" spans="1:9" x14ac:dyDescent="0.2">
      <c r="A210">
        <v>200</v>
      </c>
      <c r="B210">
        <v>1205315.6637417504</v>
      </c>
      <c r="C210">
        <v>118681.14132952293</v>
      </c>
      <c r="D210">
        <v>132713.64434417177</v>
      </c>
      <c r="E210">
        <v>51316.467701587506</v>
      </c>
      <c r="F210">
        <v>39552.67853318683</v>
      </c>
      <c r="G210">
        <v>10000</v>
      </c>
      <c r="H210">
        <v>332263.93190846901</v>
      </c>
      <c r="I210">
        <v>37.856381811243722</v>
      </c>
    </row>
    <row r="211" spans="1:9" x14ac:dyDescent="0.2">
      <c r="A211">
        <v>201</v>
      </c>
      <c r="B211">
        <v>1027551.3832155215</v>
      </c>
      <c r="C211">
        <v>89742.970458093871</v>
      </c>
      <c r="D211">
        <v>76506.694056187</v>
      </c>
      <c r="E211">
        <v>85384.409386576343</v>
      </c>
      <c r="F211">
        <v>41911.228342147595</v>
      </c>
      <c r="G211">
        <v>10000</v>
      </c>
      <c r="H211">
        <v>283545.30224300479</v>
      </c>
      <c r="I211">
        <v>44.453284463345263</v>
      </c>
    </row>
    <row r="212" spans="1:9" x14ac:dyDescent="0.2">
      <c r="A212">
        <v>202</v>
      </c>
      <c r="B212">
        <v>1350711.7963560179</v>
      </c>
      <c r="C212">
        <v>105126.07453919952</v>
      </c>
      <c r="D212">
        <v>119410.84728354179</v>
      </c>
      <c r="E212">
        <v>113702.98004365661</v>
      </c>
      <c r="F212">
        <v>43871.744772253151</v>
      </c>
      <c r="G212">
        <v>10000</v>
      </c>
      <c r="H212">
        <v>372111.64663865109</v>
      </c>
      <c r="I212">
        <v>37.06045532693237</v>
      </c>
    </row>
    <row r="213" spans="1:9" x14ac:dyDescent="0.2">
      <c r="A213">
        <v>203</v>
      </c>
      <c r="B213">
        <v>827434.43595999456</v>
      </c>
      <c r="C213">
        <v>74444.431532111659</v>
      </c>
      <c r="D213">
        <v>87652.632746566989</v>
      </c>
      <c r="E213">
        <v>37974.559230717445</v>
      </c>
      <c r="F213">
        <v>38629.007946741971</v>
      </c>
      <c r="G213">
        <v>10000</v>
      </c>
      <c r="H213">
        <v>228700.63145613807</v>
      </c>
      <c r="I213">
        <v>32.370061150349287</v>
      </c>
    </row>
    <row r="214" spans="1:9" x14ac:dyDescent="0.2">
      <c r="A214">
        <v>204</v>
      </c>
      <c r="B214">
        <v>1017678.5497255079</v>
      </c>
      <c r="C214">
        <v>103928.78820196926</v>
      </c>
      <c r="D214">
        <v>102609.16846049366</v>
      </c>
      <c r="E214">
        <v>45174.126694994782</v>
      </c>
      <c r="F214">
        <v>39127.439540422711</v>
      </c>
      <c r="G214">
        <v>10000</v>
      </c>
      <c r="H214">
        <v>280839.52289788041</v>
      </c>
      <c r="I214">
        <v>34.969169425117073</v>
      </c>
    </row>
    <row r="215" spans="1:9" x14ac:dyDescent="0.2">
      <c r="A215">
        <v>205</v>
      </c>
      <c r="B215">
        <v>1373110.6843800656</v>
      </c>
      <c r="C215">
        <v>127443.44875080866</v>
      </c>
      <c r="D215">
        <v>126703.49365382278</v>
      </c>
      <c r="E215">
        <v>91751.393365992248</v>
      </c>
      <c r="F215">
        <v>42352.01954072254</v>
      </c>
      <c r="G215">
        <v>10000</v>
      </c>
      <c r="H215">
        <v>378250.35531134624</v>
      </c>
      <c r="I215">
        <v>31.864955403058691</v>
      </c>
    </row>
    <row r="216" spans="1:9" x14ac:dyDescent="0.2">
      <c r="A216">
        <v>206</v>
      </c>
      <c r="B216">
        <v>771752.87021814613</v>
      </c>
      <c r="C216">
        <v>84412.176430193314</v>
      </c>
      <c r="D216">
        <v>63156.897725363502</v>
      </c>
      <c r="E216">
        <v>37289.700191007083</v>
      </c>
      <c r="F216">
        <v>38581.594628608182</v>
      </c>
      <c r="G216">
        <v>10000</v>
      </c>
      <c r="H216">
        <v>213440.36897517208</v>
      </c>
      <c r="I216">
        <v>38.731093943807309</v>
      </c>
    </row>
    <row r="217" spans="1:9" x14ac:dyDescent="0.2">
      <c r="A217">
        <v>207</v>
      </c>
      <c r="B217">
        <v>1120056.1661513031</v>
      </c>
      <c r="C217">
        <v>92039.787231171664</v>
      </c>
      <c r="D217">
        <v>119664.20566118143</v>
      </c>
      <c r="E217">
        <v>66583.808575880917</v>
      </c>
      <c r="F217">
        <v>40609.648286022522</v>
      </c>
      <c r="G217">
        <v>10000</v>
      </c>
      <c r="H217">
        <v>308897.44975425658</v>
      </c>
      <c r="I217">
        <v>44.741225325683793</v>
      </c>
    </row>
    <row r="218" spans="1:9" x14ac:dyDescent="0.2">
      <c r="A218">
        <v>208</v>
      </c>
      <c r="B218">
        <v>1965352.0451529722</v>
      </c>
      <c r="C218">
        <v>149666.90934022746</v>
      </c>
      <c r="D218">
        <v>148321.0822966813</v>
      </c>
      <c r="E218">
        <v>202551.09820307852</v>
      </c>
      <c r="F218">
        <v>50022.7683371362</v>
      </c>
      <c r="G218">
        <v>10000</v>
      </c>
      <c r="H218">
        <v>540561.85817712347</v>
      </c>
      <c r="I218">
        <v>30.672418164739703</v>
      </c>
    </row>
    <row r="219" spans="1:9" x14ac:dyDescent="0.2">
      <c r="A219">
        <v>209</v>
      </c>
      <c r="B219">
        <v>1250728.5687928321</v>
      </c>
      <c r="C219">
        <v>84716.759411391991</v>
      </c>
      <c r="D219">
        <v>35129.94998480392</v>
      </c>
      <c r="E219">
        <v>185987.18793114883</v>
      </c>
      <c r="F219">
        <v>48876.03608754107</v>
      </c>
      <c r="G219">
        <v>10000</v>
      </c>
      <c r="H219">
        <v>344709.93341488583</v>
      </c>
      <c r="I219">
        <v>33.186899092975509</v>
      </c>
    </row>
    <row r="220" spans="1:9" x14ac:dyDescent="0.2">
      <c r="A220">
        <v>210</v>
      </c>
      <c r="B220">
        <v>824993.9585519617</v>
      </c>
      <c r="C220">
        <v>94826.693717685979</v>
      </c>
      <c r="D220">
        <v>56444.867705523284</v>
      </c>
      <c r="E220">
        <v>47473.591942397215</v>
      </c>
      <c r="F220">
        <v>39286.633288319812</v>
      </c>
      <c r="G220">
        <v>10000</v>
      </c>
      <c r="H220">
        <v>228031.78665392628</v>
      </c>
      <c r="I220">
        <v>33.858158673232126</v>
      </c>
    </row>
    <row r="221" spans="1:9" x14ac:dyDescent="0.2">
      <c r="A221">
        <v>211</v>
      </c>
      <c r="B221">
        <v>1836088.3140435205</v>
      </c>
      <c r="C221">
        <v>141895.81379467444</v>
      </c>
      <c r="D221">
        <v>157516.84760265937</v>
      </c>
      <c r="E221">
        <v>168086.05137170816</v>
      </c>
      <c r="F221">
        <v>47636.726633425948</v>
      </c>
      <c r="G221">
        <v>10000</v>
      </c>
      <c r="H221">
        <v>505135.43940246792</v>
      </c>
      <c r="I221">
        <v>37.71936607476357</v>
      </c>
    </row>
    <row r="222" spans="1:9" x14ac:dyDescent="0.2">
      <c r="A222">
        <v>212</v>
      </c>
      <c r="B222">
        <v>1574631.2400920507</v>
      </c>
      <c r="C222">
        <v>109827.68814068539</v>
      </c>
      <c r="D222">
        <v>83775.540070553281</v>
      </c>
      <c r="E222">
        <v>200028.35807336515</v>
      </c>
      <c r="F222">
        <v>49848.117097386821</v>
      </c>
      <c r="G222">
        <v>10000</v>
      </c>
      <c r="H222">
        <v>433479.70338199061</v>
      </c>
      <c r="I222">
        <v>33.041086751767253</v>
      </c>
    </row>
    <row r="223" spans="1:9" x14ac:dyDescent="0.2">
      <c r="A223">
        <v>213</v>
      </c>
      <c r="B223">
        <v>1489511.9494503886</v>
      </c>
      <c r="C223">
        <v>116591.14353028304</v>
      </c>
      <c r="D223">
        <v>75357.227980886179</v>
      </c>
      <c r="E223">
        <v>179758.45888330712</v>
      </c>
      <c r="F223">
        <v>48444.81638422895</v>
      </c>
      <c r="G223">
        <v>10000</v>
      </c>
      <c r="H223">
        <v>410151.64677870524</v>
      </c>
      <c r="I223">
        <v>29.976022280536572</v>
      </c>
    </row>
    <row r="224" spans="1:9" x14ac:dyDescent="0.2">
      <c r="A224">
        <v>214</v>
      </c>
      <c r="B224">
        <v>1464829.627316725</v>
      </c>
      <c r="C224">
        <v>119738.79964590198</v>
      </c>
      <c r="D224">
        <v>97868.685656574729</v>
      </c>
      <c r="E224">
        <v>149434.20295448392</v>
      </c>
      <c r="F224">
        <v>46345.444819925811</v>
      </c>
      <c r="G224">
        <v>10000</v>
      </c>
      <c r="H224">
        <v>403387.13307688641</v>
      </c>
      <c r="I224">
        <v>28.688994186798439</v>
      </c>
    </row>
    <row r="225" spans="1:9" x14ac:dyDescent="0.2">
      <c r="A225">
        <v>215</v>
      </c>
      <c r="B225">
        <v>757939.95250419131</v>
      </c>
      <c r="C225">
        <v>107593.52345158951</v>
      </c>
      <c r="D225">
        <v>43457.20897732328</v>
      </c>
      <c r="E225">
        <v>30492.973495967857</v>
      </c>
      <c r="F225">
        <v>38111.052011259315</v>
      </c>
      <c r="G225">
        <v>10000</v>
      </c>
      <c r="H225">
        <v>209654.75793613997</v>
      </c>
      <c r="I225">
        <v>33.570399791647496</v>
      </c>
    </row>
    <row r="226" spans="1:9" x14ac:dyDescent="0.2">
      <c r="A226">
        <v>216</v>
      </c>
      <c r="B226">
        <v>1261659.1231895364</v>
      </c>
      <c r="C226">
        <v>114337.0519137714</v>
      </c>
      <c r="D226">
        <v>130847.37317823732</v>
      </c>
      <c r="E226">
        <v>71566.561812406871</v>
      </c>
      <c r="F226">
        <v>40954.608125474319</v>
      </c>
      <c r="G226">
        <v>10000</v>
      </c>
      <c r="H226">
        <v>347705.5950298899</v>
      </c>
      <c r="I226">
        <v>41.259393761913444</v>
      </c>
    </row>
    <row r="227" spans="1:9" x14ac:dyDescent="0.2">
      <c r="A227">
        <v>217</v>
      </c>
      <c r="B227">
        <v>1149911.6144377929</v>
      </c>
      <c r="C227">
        <v>106605.17751621657</v>
      </c>
      <c r="D227">
        <v>126491.08495906045</v>
      </c>
      <c r="E227">
        <v>54229.13896222358</v>
      </c>
      <c r="F227">
        <v>39754.325005077015</v>
      </c>
      <c r="G227">
        <v>10000</v>
      </c>
      <c r="H227">
        <v>317079.72644257761</v>
      </c>
      <c r="I227">
        <v>44.534088345182269</v>
      </c>
    </row>
    <row r="228" spans="1:9" x14ac:dyDescent="0.2">
      <c r="A228">
        <v>218</v>
      </c>
      <c r="B228">
        <v>1008926.2830585574</v>
      </c>
      <c r="C228">
        <v>106793.08571263605</v>
      </c>
      <c r="D228">
        <v>37654.516459275597</v>
      </c>
      <c r="E228">
        <v>101000.87886082476</v>
      </c>
      <c r="F228">
        <v>42992.368536518632</v>
      </c>
      <c r="G228">
        <v>10000</v>
      </c>
      <c r="H228">
        <v>278440.84956925508</v>
      </c>
      <c r="I228">
        <v>40.400800054293271</v>
      </c>
    </row>
    <row r="229" spans="1:9" x14ac:dyDescent="0.2">
      <c r="A229">
        <v>219</v>
      </c>
      <c r="B229">
        <v>1160554.9504922458</v>
      </c>
      <c r="C229">
        <v>119617.33515944757</v>
      </c>
      <c r="D229">
        <v>72300.339093720177</v>
      </c>
      <c r="E229">
        <v>95469.566339546567</v>
      </c>
      <c r="F229">
        <v>42609.431515814766</v>
      </c>
      <c r="G229">
        <v>10000</v>
      </c>
      <c r="H229">
        <v>319996.67210852914</v>
      </c>
      <c r="I229">
        <v>40.566530181307897</v>
      </c>
    </row>
    <row r="230" spans="1:9" x14ac:dyDescent="0.2">
      <c r="A230">
        <v>220</v>
      </c>
      <c r="B230">
        <v>1525408.6324106047</v>
      </c>
      <c r="C230">
        <v>98310.4111558234</v>
      </c>
      <c r="D230">
        <v>97286.669296759705</v>
      </c>
      <c r="E230">
        <v>185546.96350109574</v>
      </c>
      <c r="F230">
        <v>48845.559011614321</v>
      </c>
      <c r="G230">
        <v>10000</v>
      </c>
      <c r="H230">
        <v>419989.6029652931</v>
      </c>
      <c r="I230">
        <v>30.23174915503736</v>
      </c>
    </row>
    <row r="231" spans="1:9" x14ac:dyDescent="0.2">
      <c r="A231">
        <v>221</v>
      </c>
      <c r="B231">
        <v>1421616.7626515664</v>
      </c>
      <c r="C231">
        <v>95066.861180809254</v>
      </c>
      <c r="D231">
        <v>124821.53584365455</v>
      </c>
      <c r="E231">
        <v>136224.74083638698</v>
      </c>
      <c r="F231">
        <v>45430.943596365258</v>
      </c>
      <c r="G231">
        <v>10000</v>
      </c>
      <c r="H231">
        <v>391544.08145721606</v>
      </c>
      <c r="I231">
        <v>39.534085216767657</v>
      </c>
    </row>
    <row r="232" spans="1:9" x14ac:dyDescent="0.2">
      <c r="A232">
        <v>222</v>
      </c>
      <c r="B232">
        <v>1190225.2467596822</v>
      </c>
      <c r="C232">
        <v>85804.915755428767</v>
      </c>
      <c r="D232">
        <v>107913.30716770017</v>
      </c>
      <c r="E232">
        <v>101390.63115021553</v>
      </c>
      <c r="F232">
        <v>43019.351387322611</v>
      </c>
      <c r="G232">
        <v>10000</v>
      </c>
      <c r="H232">
        <v>328128.20546066703</v>
      </c>
      <c r="I232">
        <v>37.930517945025571</v>
      </c>
    </row>
    <row r="233" spans="1:9" x14ac:dyDescent="0.2">
      <c r="A233">
        <v>223</v>
      </c>
      <c r="B233">
        <v>1724877.9050793354</v>
      </c>
      <c r="C233">
        <v>138491.67223457128</v>
      </c>
      <c r="D233">
        <v>103563.65015770085</v>
      </c>
      <c r="E233">
        <v>193224.3755049512</v>
      </c>
      <c r="F233">
        <v>49377.07215034277</v>
      </c>
      <c r="G233">
        <v>10000</v>
      </c>
      <c r="H233">
        <v>474656.77004756604</v>
      </c>
      <c r="I233">
        <v>33.007894440952327</v>
      </c>
    </row>
    <row r="234" spans="1:9" x14ac:dyDescent="0.2">
      <c r="A234">
        <v>224</v>
      </c>
      <c r="B234">
        <v>1110772.6080177899</v>
      </c>
      <c r="C234">
        <v>137218.89317734638</v>
      </c>
      <c r="D234">
        <v>79484.006734229493</v>
      </c>
      <c r="E234">
        <v>59529.028680955569</v>
      </c>
      <c r="F234">
        <v>40121.240447143078</v>
      </c>
      <c r="G234">
        <v>10000</v>
      </c>
      <c r="H234">
        <v>306353.16903967457</v>
      </c>
      <c r="I234">
        <v>47.340491239573339</v>
      </c>
    </row>
    <row r="235" spans="1:9" x14ac:dyDescent="0.2">
      <c r="A235">
        <v>225</v>
      </c>
      <c r="B235">
        <v>1360441.2702128016</v>
      </c>
      <c r="C235">
        <v>105001.97182115541</v>
      </c>
      <c r="D235">
        <v>159217.17872241695</v>
      </c>
      <c r="E235">
        <v>79083.943605214139</v>
      </c>
      <c r="F235">
        <v>41475.042249591745</v>
      </c>
      <c r="G235">
        <v>10000</v>
      </c>
      <c r="H235">
        <v>374778.13639837824</v>
      </c>
      <c r="I235">
        <v>46.744629591153256</v>
      </c>
    </row>
    <row r="236" spans="1:9" x14ac:dyDescent="0.2">
      <c r="A236">
        <v>226</v>
      </c>
      <c r="B236">
        <v>1233371.8267597253</v>
      </c>
      <c r="C236">
        <v>129043.80564007927</v>
      </c>
      <c r="D236">
        <v>71978.37059155172</v>
      </c>
      <c r="E236">
        <v>105618.84105635512</v>
      </c>
      <c r="F236">
        <v>43312.07361159382</v>
      </c>
      <c r="G236">
        <v>10000</v>
      </c>
      <c r="H236">
        <v>339953.09089957993</v>
      </c>
      <c r="I236">
        <v>44.100603895128273</v>
      </c>
    </row>
    <row r="237" spans="1:9" x14ac:dyDescent="0.2">
      <c r="A237">
        <v>227</v>
      </c>
      <c r="B237">
        <v>1235197.0525215229</v>
      </c>
      <c r="C237">
        <v>117519.3073891993</v>
      </c>
      <c r="D237">
        <v>100868.24926179886</v>
      </c>
      <c r="E237">
        <v>89845.676015188234</v>
      </c>
      <c r="F237">
        <v>42220.085262589957</v>
      </c>
      <c r="G237">
        <v>10000</v>
      </c>
      <c r="H237">
        <v>340453.31792877638</v>
      </c>
      <c r="I237">
        <v>26.850366677854524</v>
      </c>
    </row>
    <row r="238" spans="1:9" x14ac:dyDescent="0.2">
      <c r="A238">
        <v>228</v>
      </c>
      <c r="B238">
        <v>1112893.9522660228</v>
      </c>
      <c r="C238">
        <v>100758.45559478654</v>
      </c>
      <c r="D238">
        <v>72112.887788955006</v>
      </c>
      <c r="E238">
        <v>101066.30948623426</v>
      </c>
      <c r="F238">
        <v>42996.898349046991</v>
      </c>
      <c r="G238">
        <v>10000</v>
      </c>
      <c r="H238">
        <v>306934.55121902283</v>
      </c>
      <c r="I238">
        <v>49.734234234546129</v>
      </c>
    </row>
    <row r="239" spans="1:9" x14ac:dyDescent="0.2">
      <c r="A239">
        <v>229</v>
      </c>
      <c r="B239">
        <v>1029186.6365942933</v>
      </c>
      <c r="C239">
        <v>112447.89293307702</v>
      </c>
      <c r="D239">
        <v>36024.263727715472</v>
      </c>
      <c r="E239">
        <v>102430.00046671691</v>
      </c>
      <c r="F239">
        <v>43091.307724618862</v>
      </c>
      <c r="G239">
        <v>10000</v>
      </c>
      <c r="H239">
        <v>283993.46485212824</v>
      </c>
      <c r="I239">
        <v>38.102884373536142</v>
      </c>
    </row>
    <row r="240" spans="1:9" x14ac:dyDescent="0.2">
      <c r="A240">
        <v>230</v>
      </c>
      <c r="B240">
        <v>1327866.5275067228</v>
      </c>
      <c r="C240">
        <v>127666.34605715066</v>
      </c>
      <c r="D240">
        <v>106354.25586288981</v>
      </c>
      <c r="E240">
        <v>98977.69740541387</v>
      </c>
      <c r="F240">
        <v>42852.302128067116</v>
      </c>
      <c r="G240">
        <v>10000</v>
      </c>
      <c r="H240">
        <v>365850.60145352146</v>
      </c>
      <c r="I240">
        <v>29.654482103902765</v>
      </c>
    </row>
    <row r="241" spans="1:9" x14ac:dyDescent="0.2">
      <c r="A241">
        <v>231</v>
      </c>
      <c r="B241">
        <v>1374917.5701337773</v>
      </c>
      <c r="C241">
        <v>124111.55755894403</v>
      </c>
      <c r="D241">
        <v>91920.84519399899</v>
      </c>
      <c r="E241">
        <v>127861.22248099672</v>
      </c>
      <c r="F241">
        <v>44851.930787145924</v>
      </c>
      <c r="G241">
        <v>10000</v>
      </c>
      <c r="H241">
        <v>378745.55602108565</v>
      </c>
      <c r="I241">
        <v>50.940009351989289</v>
      </c>
    </row>
    <row r="242" spans="1:9" x14ac:dyDescent="0.2">
      <c r="A242">
        <v>232</v>
      </c>
      <c r="B242">
        <v>1627986.888254093</v>
      </c>
      <c r="C242">
        <v>106534.11937549349</v>
      </c>
      <c r="D242">
        <v>95698.939044878207</v>
      </c>
      <c r="E242">
        <v>205633.30722340822</v>
      </c>
      <c r="F242">
        <v>50236.152038543645</v>
      </c>
      <c r="G242">
        <v>10000</v>
      </c>
      <c r="H242">
        <v>448102.51768232358</v>
      </c>
      <c r="I242">
        <v>36.752467174111196</v>
      </c>
    </row>
    <row r="243" spans="1:9" x14ac:dyDescent="0.2">
      <c r="A243">
        <v>233</v>
      </c>
      <c r="B243">
        <v>1280342.8962367582</v>
      </c>
      <c r="C243">
        <v>100811.93118026479</v>
      </c>
      <c r="D243">
        <v>59255.208974725901</v>
      </c>
      <c r="E243">
        <v>155961.6431004584</v>
      </c>
      <c r="F243">
        <v>46797.34452233943</v>
      </c>
      <c r="G243">
        <v>10000</v>
      </c>
      <c r="H243">
        <v>352826.1277777885</v>
      </c>
      <c r="I243">
        <v>29.712654484827436</v>
      </c>
    </row>
    <row r="244" spans="1:9" x14ac:dyDescent="0.2">
      <c r="A244">
        <v>234</v>
      </c>
      <c r="B244">
        <v>1507231.7024399778</v>
      </c>
      <c r="C244">
        <v>125695.64692072982</v>
      </c>
      <c r="D244">
        <v>172272.84904737084</v>
      </c>
      <c r="E244">
        <v>85144.838563913727</v>
      </c>
      <c r="F244">
        <v>41894.642669809415</v>
      </c>
      <c r="G244">
        <v>10000</v>
      </c>
      <c r="H244">
        <v>415007.97720182379</v>
      </c>
      <c r="I244">
        <v>52.996824595845723</v>
      </c>
    </row>
    <row r="245" spans="1:9" x14ac:dyDescent="0.2">
      <c r="A245">
        <v>235</v>
      </c>
      <c r="B245">
        <v>1405320.9211998153</v>
      </c>
      <c r="C245">
        <v>82926.32074959045</v>
      </c>
      <c r="D245">
        <v>95540.945970273518</v>
      </c>
      <c r="E245">
        <v>170787.00985643541</v>
      </c>
      <c r="F245">
        <v>47823.716066983994</v>
      </c>
      <c r="G245">
        <v>10000</v>
      </c>
      <c r="H245">
        <v>387077.99264328339</v>
      </c>
      <c r="I245">
        <v>35.74103617250077</v>
      </c>
    </row>
    <row r="246" spans="1:9" x14ac:dyDescent="0.2">
      <c r="A246">
        <v>236</v>
      </c>
      <c r="B246">
        <v>1500796.8003335954</v>
      </c>
      <c r="C246">
        <v>117037.49022960577</v>
      </c>
      <c r="D246">
        <v>112170.42220767122</v>
      </c>
      <c r="E246">
        <v>147803.91670105877</v>
      </c>
      <c r="F246">
        <v>46232.578848534838</v>
      </c>
      <c r="G246">
        <v>10000</v>
      </c>
      <c r="H246">
        <v>413244.40798687062</v>
      </c>
      <c r="I246">
        <v>36.429171995469424</v>
      </c>
    </row>
    <row r="247" spans="1:9" x14ac:dyDescent="0.2">
      <c r="A247">
        <v>237</v>
      </c>
      <c r="B247">
        <v>1157695.0082616219</v>
      </c>
      <c r="C247">
        <v>120537.44013344488</v>
      </c>
      <c r="D247">
        <v>91721.48114968327</v>
      </c>
      <c r="E247">
        <v>75712.323778433463</v>
      </c>
      <c r="F247">
        <v>41241.622415430007</v>
      </c>
      <c r="G247">
        <v>10000</v>
      </c>
      <c r="H247">
        <v>319212.86747699161</v>
      </c>
      <c r="I247">
        <v>36.201095756138315</v>
      </c>
    </row>
    <row r="248" spans="1:9" x14ac:dyDescent="0.2">
      <c r="A248">
        <v>238</v>
      </c>
      <c r="B248">
        <v>1348581.2829277837</v>
      </c>
      <c r="C248">
        <v>108917.21579270062</v>
      </c>
      <c r="D248">
        <v>61815.96411345253</v>
      </c>
      <c r="E248">
        <v>163476.93748563921</v>
      </c>
      <c r="F248">
        <v>47317.63413362117</v>
      </c>
      <c r="G248">
        <v>10000</v>
      </c>
      <c r="H248">
        <v>371527.75152541354</v>
      </c>
      <c r="I248">
        <v>31.940272777561837</v>
      </c>
    </row>
    <row r="249" spans="1:9" x14ac:dyDescent="0.2">
      <c r="A249">
        <v>239</v>
      </c>
      <c r="B249">
        <v>1196644.6644085424</v>
      </c>
      <c r="C249">
        <v>143250.52013227556</v>
      </c>
      <c r="D249">
        <v>105847.92161610402</v>
      </c>
      <c r="E249">
        <v>51241.594224077358</v>
      </c>
      <c r="F249">
        <v>39547.494984743818</v>
      </c>
      <c r="G249">
        <v>10000</v>
      </c>
      <c r="H249">
        <v>329887.53095720074</v>
      </c>
      <c r="I249">
        <v>33.945796278881673</v>
      </c>
    </row>
    <row r="250" spans="1:9" x14ac:dyDescent="0.2">
      <c r="A250">
        <v>240</v>
      </c>
      <c r="B250">
        <v>1281744.680368813</v>
      </c>
      <c r="C250">
        <v>109130.10415688176</v>
      </c>
      <c r="D250">
        <v>116029.21139179003</v>
      </c>
      <c r="E250">
        <v>95443.371505584408</v>
      </c>
      <c r="F250">
        <v>42607.618027309691</v>
      </c>
      <c r="G250">
        <v>10000</v>
      </c>
      <c r="H250">
        <v>353210.30508156592</v>
      </c>
      <c r="I250">
        <v>40.248078916567103</v>
      </c>
    </row>
    <row r="251" spans="1:9" x14ac:dyDescent="0.2">
      <c r="A251">
        <v>241</v>
      </c>
      <c r="B251">
        <v>1407498.9685647727</v>
      </c>
      <c r="C251">
        <v>112021.24265581675</v>
      </c>
      <c r="D251">
        <v>133945.67672756064</v>
      </c>
      <c r="E251">
        <v>108216.11105936176</v>
      </c>
      <c r="F251">
        <v>43491.884611801965</v>
      </c>
      <c r="G251">
        <v>10000</v>
      </c>
      <c r="H251">
        <v>387674.91505454108</v>
      </c>
      <c r="I251">
        <v>36.187415126467599</v>
      </c>
    </row>
    <row r="252" spans="1:9" x14ac:dyDescent="0.2">
      <c r="A252">
        <v>242</v>
      </c>
      <c r="B252">
        <v>1688432.9843838643</v>
      </c>
      <c r="C252">
        <v>109975.88881585324</v>
      </c>
      <c r="D252">
        <v>122125.21056019688</v>
      </c>
      <c r="E252">
        <v>193192.59106307043</v>
      </c>
      <c r="F252">
        <v>49374.871688981802</v>
      </c>
      <c r="G252">
        <v>10000</v>
      </c>
      <c r="H252">
        <v>464668.56212810229</v>
      </c>
      <c r="I252">
        <v>40.768265153071809</v>
      </c>
    </row>
    <row r="253" spans="1:9" x14ac:dyDescent="0.2">
      <c r="A253">
        <v>243</v>
      </c>
      <c r="B253">
        <v>1448694.8553776764</v>
      </c>
      <c r="C253">
        <v>109960.37015848253</v>
      </c>
      <c r="D253">
        <v>63017.549968833671</v>
      </c>
      <c r="E253">
        <v>187038.45147420035</v>
      </c>
      <c r="F253">
        <v>48948.815871290797</v>
      </c>
      <c r="G253">
        <v>10000</v>
      </c>
      <c r="H253">
        <v>398965.18747280736</v>
      </c>
      <c r="I253">
        <v>35.412863951808589</v>
      </c>
    </row>
    <row r="254" spans="1:9" x14ac:dyDescent="0.2">
      <c r="A254">
        <v>244</v>
      </c>
      <c r="B254">
        <v>1156791.5558145561</v>
      </c>
      <c r="C254">
        <v>126611.58731324183</v>
      </c>
      <c r="D254">
        <v>136455.46550680467</v>
      </c>
      <c r="E254">
        <v>27962.356246765656</v>
      </c>
      <c r="F254">
        <v>37935.855432468394</v>
      </c>
      <c r="G254">
        <v>10000</v>
      </c>
      <c r="H254">
        <v>318965.26449928054</v>
      </c>
      <c r="I254">
        <v>32.803966967082303</v>
      </c>
    </row>
    <row r="255" spans="1:9" x14ac:dyDescent="0.2">
      <c r="A255">
        <v>245</v>
      </c>
      <c r="B255">
        <v>1439120.9104184196</v>
      </c>
      <c r="C255">
        <v>138369.85128296466</v>
      </c>
      <c r="D255">
        <v>95623.820667532156</v>
      </c>
      <c r="E255">
        <v>127519.38535435322</v>
      </c>
      <c r="F255">
        <v>44828.265139916759</v>
      </c>
      <c r="G255">
        <v>10000</v>
      </c>
      <c r="H255">
        <v>396341.32244476676</v>
      </c>
      <c r="I255">
        <v>41.966024743651808</v>
      </c>
    </row>
    <row r="256" spans="1:9" x14ac:dyDescent="0.2">
      <c r="A256">
        <v>246</v>
      </c>
      <c r="B256">
        <v>1146711.407620521</v>
      </c>
      <c r="C256">
        <v>133031.64862323931</v>
      </c>
      <c r="D256">
        <v>56998.426871191157</v>
      </c>
      <c r="E256">
        <v>93686.597161320184</v>
      </c>
      <c r="F256">
        <v>42485.995188091394</v>
      </c>
      <c r="G256">
        <v>10000</v>
      </c>
      <c r="H256">
        <v>316202.66784384206</v>
      </c>
      <c r="I256">
        <v>41.05062157298336</v>
      </c>
    </row>
    <row r="257" spans="1:9" x14ac:dyDescent="0.2">
      <c r="A257">
        <v>247</v>
      </c>
      <c r="B257">
        <v>1459155.160782635</v>
      </c>
      <c r="C257">
        <v>133389.96500377575</v>
      </c>
      <c r="D257">
        <v>94292.714088631896</v>
      </c>
      <c r="E257">
        <v>138556.89189141706</v>
      </c>
      <c r="F257">
        <v>45592.400207867337</v>
      </c>
      <c r="G257">
        <v>10000</v>
      </c>
      <c r="H257">
        <v>401831.97119169199</v>
      </c>
      <c r="I257">
        <v>41.904992758907611</v>
      </c>
    </row>
    <row r="258" spans="1:9" x14ac:dyDescent="0.2">
      <c r="A258">
        <v>248</v>
      </c>
      <c r="B258">
        <v>1241970.8279562742</v>
      </c>
      <c r="C258">
        <v>125234.82902946415</v>
      </c>
      <c r="D258">
        <v>114467.66279761049</v>
      </c>
      <c r="E258">
        <v>71647.085171716724</v>
      </c>
      <c r="F258">
        <v>40960.182819580383</v>
      </c>
      <c r="G258">
        <v>10000</v>
      </c>
      <c r="H258">
        <v>342309.75981837173</v>
      </c>
      <c r="I258">
        <v>28.602427965622027</v>
      </c>
    </row>
    <row r="259" spans="1:9" x14ac:dyDescent="0.2">
      <c r="A259">
        <v>249</v>
      </c>
      <c r="B259">
        <v>1386689.6864993055</v>
      </c>
      <c r="C259">
        <v>151682.14342911198</v>
      </c>
      <c r="D259">
        <v>58606.882144981864</v>
      </c>
      <c r="E259">
        <v>136250.13171687027</v>
      </c>
      <c r="F259">
        <v>45432.70142655255</v>
      </c>
      <c r="G259">
        <v>10000</v>
      </c>
      <c r="H259">
        <v>381971.8587175167</v>
      </c>
      <c r="I259">
        <v>31.878621366483429</v>
      </c>
    </row>
    <row r="260" spans="1:9" x14ac:dyDescent="0.2">
      <c r="A260">
        <v>250</v>
      </c>
      <c r="B260">
        <v>1614620.4981387383</v>
      </c>
      <c r="C260">
        <v>133145.48635806705</v>
      </c>
      <c r="D260">
        <v>102603.64805982973</v>
      </c>
      <c r="E260">
        <v>170861.29039704008</v>
      </c>
      <c r="F260">
        <v>47828.858565948925</v>
      </c>
      <c r="G260">
        <v>10000</v>
      </c>
      <c r="H260">
        <v>444439.28338088578</v>
      </c>
      <c r="I260">
        <v>43.493936198561023</v>
      </c>
    </row>
    <row r="261" spans="1:9" x14ac:dyDescent="0.2">
      <c r="A261">
        <v>251</v>
      </c>
      <c r="B261">
        <v>1042594.6627312509</v>
      </c>
      <c r="C261">
        <v>108449.50765489101</v>
      </c>
      <c r="D261">
        <v>87642.891403815665</v>
      </c>
      <c r="E261">
        <v>61329.801647177606</v>
      </c>
      <c r="F261">
        <v>40245.909344804597</v>
      </c>
      <c r="G261">
        <v>10000</v>
      </c>
      <c r="H261">
        <v>287668.11005068891</v>
      </c>
      <c r="I261">
        <v>33.419329710322565</v>
      </c>
    </row>
    <row r="262" spans="1:9" x14ac:dyDescent="0.2">
      <c r="A262">
        <v>252</v>
      </c>
      <c r="B262">
        <v>1334767.3065928749</v>
      </c>
      <c r="C262">
        <v>103732.9298430504</v>
      </c>
      <c r="D262">
        <v>146023.4386562017</v>
      </c>
      <c r="E262">
        <v>86029.587349386115</v>
      </c>
      <c r="F262">
        <v>41955.894508803656</v>
      </c>
      <c r="G262">
        <v>10000</v>
      </c>
      <c r="H262">
        <v>367741.85035744187</v>
      </c>
      <c r="I262">
        <v>38.186471200677545</v>
      </c>
    </row>
    <row r="263" spans="1:9" x14ac:dyDescent="0.2">
      <c r="A263">
        <v>253</v>
      </c>
      <c r="B263">
        <v>915854.41035744688</v>
      </c>
      <c r="C263">
        <v>87742.753934914639</v>
      </c>
      <c r="D263">
        <v>62645.356879539511</v>
      </c>
      <c r="E263">
        <v>71589.010593056009</v>
      </c>
      <c r="F263">
        <v>40956.162271826957</v>
      </c>
      <c r="G263">
        <v>10000</v>
      </c>
      <c r="H263">
        <v>252933.28367933712</v>
      </c>
      <c r="I263">
        <v>26.275224532888387</v>
      </c>
    </row>
    <row r="264" spans="1:9" x14ac:dyDescent="0.2">
      <c r="A264">
        <v>254</v>
      </c>
      <c r="B264">
        <v>1230001.1310428262</v>
      </c>
      <c r="C264">
        <v>113566.47341871973</v>
      </c>
      <c r="D264">
        <v>128124.7124859934</v>
      </c>
      <c r="E264">
        <v>66719.106607104128</v>
      </c>
      <c r="F264">
        <v>40619.015072799513</v>
      </c>
      <c r="G264">
        <v>10000</v>
      </c>
      <c r="H264">
        <v>339029.30758461676</v>
      </c>
      <c r="I264">
        <v>24.541292170844315</v>
      </c>
    </row>
    <row r="265" spans="1:9" x14ac:dyDescent="0.2">
      <c r="A265">
        <v>255</v>
      </c>
      <c r="B265">
        <v>1370910.0288783552</v>
      </c>
      <c r="C265">
        <v>86874.346758693748</v>
      </c>
      <c r="D265">
        <v>51273.660046715595</v>
      </c>
      <c r="E265">
        <v>199675.53888506963</v>
      </c>
      <c r="F265">
        <v>49823.691153581742</v>
      </c>
      <c r="G265">
        <v>10000</v>
      </c>
      <c r="H265">
        <v>377647.23684406071</v>
      </c>
      <c r="I265">
        <v>35.661003666199434</v>
      </c>
    </row>
    <row r="266" spans="1:9" x14ac:dyDescent="0.2">
      <c r="A266">
        <v>256</v>
      </c>
      <c r="B266">
        <v>1700224.5548448511</v>
      </c>
      <c r="C266">
        <v>162463.08387009831</v>
      </c>
      <c r="D266">
        <v>95376.319353876504</v>
      </c>
      <c r="E266">
        <v>172143.18793189226</v>
      </c>
      <c r="F266">
        <v>47917.60531836177</v>
      </c>
      <c r="G266">
        <v>10000</v>
      </c>
      <c r="H266">
        <v>467900.19647422887</v>
      </c>
      <c r="I266">
        <v>27.612967370310471</v>
      </c>
    </row>
    <row r="267" spans="1:9" x14ac:dyDescent="0.2">
      <c r="A267">
        <v>257</v>
      </c>
      <c r="B267">
        <v>1431220.5454862402</v>
      </c>
      <c r="C267">
        <v>132872.46478613876</v>
      </c>
      <c r="D267">
        <v>109468.78059466554</v>
      </c>
      <c r="E267">
        <v>117687.2964997017</v>
      </c>
      <c r="F267">
        <v>44147.58206536396</v>
      </c>
      <c r="G267">
        <v>10000</v>
      </c>
      <c r="H267">
        <v>394176.12394586991</v>
      </c>
      <c r="I267">
        <v>34.395431889899434</v>
      </c>
    </row>
    <row r="268" spans="1:9" x14ac:dyDescent="0.2">
      <c r="A268">
        <v>258</v>
      </c>
      <c r="B268">
        <v>1253767.3290477605</v>
      </c>
      <c r="C268">
        <v>108444.8826941197</v>
      </c>
      <c r="D268">
        <v>126796.88395065376</v>
      </c>
      <c r="E268">
        <v>78842.642065238397</v>
      </c>
      <c r="F268">
        <v>41458.33675836266</v>
      </c>
      <c r="G268">
        <v>10000</v>
      </c>
      <c r="H268">
        <v>345542.74546837452</v>
      </c>
      <c r="I268">
        <v>34.80428987690545</v>
      </c>
    </row>
    <row r="269" spans="1:9" x14ac:dyDescent="0.2">
      <c r="A269">
        <v>259</v>
      </c>
      <c r="B269">
        <v>839623.19871972979</v>
      </c>
      <c r="C269">
        <v>116394.79497365905</v>
      </c>
      <c r="D269">
        <v>51494.575079372662</v>
      </c>
      <c r="E269">
        <v>35681.494210171688</v>
      </c>
      <c r="F269">
        <v>38470.257291473426</v>
      </c>
      <c r="G269">
        <v>10000</v>
      </c>
      <c r="H269">
        <v>232041.12155467682</v>
      </c>
      <c r="I269">
        <v>34.757299462720937</v>
      </c>
    </row>
    <row r="270" spans="1:9" x14ac:dyDescent="0.2">
      <c r="A270">
        <v>260</v>
      </c>
      <c r="B270">
        <v>1304941.1536337994</v>
      </c>
      <c r="C270">
        <v>94930.832632087506</v>
      </c>
      <c r="D270">
        <v>107757.70858878526</v>
      </c>
      <c r="E270">
        <v>122404.87739670248</v>
      </c>
      <c r="F270">
        <v>44474.183819771708</v>
      </c>
      <c r="G270">
        <v>10000</v>
      </c>
      <c r="H270">
        <v>359567.60243734694</v>
      </c>
      <c r="I270">
        <v>35.21470693980794</v>
      </c>
    </row>
    <row r="271" spans="1:9" x14ac:dyDescent="0.2">
      <c r="A271">
        <v>261</v>
      </c>
      <c r="B271">
        <v>1360119.3702750357</v>
      </c>
      <c r="C271">
        <v>118970.17772850773</v>
      </c>
      <c r="D271">
        <v>119788.67444162753</v>
      </c>
      <c r="E271">
        <v>102813.22470052204</v>
      </c>
      <c r="F271">
        <v>43117.83863311306</v>
      </c>
      <c r="G271">
        <v>10000</v>
      </c>
      <c r="H271">
        <v>374689.91550377035</v>
      </c>
      <c r="I271">
        <v>27.598053388738009</v>
      </c>
    </row>
    <row r="272" spans="1:9" x14ac:dyDescent="0.2">
      <c r="A272">
        <v>262</v>
      </c>
      <c r="B272">
        <v>1426111.5355734024</v>
      </c>
      <c r="C272">
        <v>114294.00876821335</v>
      </c>
      <c r="D272">
        <v>89167.688030968129</v>
      </c>
      <c r="E272">
        <v>152739.93300167104</v>
      </c>
      <c r="F272">
        <v>46574.303053961848</v>
      </c>
      <c r="G272">
        <v>10000</v>
      </c>
      <c r="H272">
        <v>392775.93285481434</v>
      </c>
      <c r="I272">
        <v>43.554907197596606</v>
      </c>
    </row>
    <row r="273" spans="1:9" x14ac:dyDescent="0.2">
      <c r="A273">
        <v>263</v>
      </c>
      <c r="B273">
        <v>1071389.1491452609</v>
      </c>
      <c r="C273">
        <v>158518.60632666084</v>
      </c>
      <c r="D273">
        <v>72509.543900372548</v>
      </c>
      <c r="E273">
        <v>36036.622889826096</v>
      </c>
      <c r="F273">
        <v>38494.843123141807</v>
      </c>
      <c r="G273">
        <v>10000</v>
      </c>
      <c r="H273">
        <v>295559.61624000128</v>
      </c>
      <c r="I273">
        <v>35.45737820788041</v>
      </c>
    </row>
    <row r="274" spans="1:9" x14ac:dyDescent="0.2">
      <c r="A274">
        <v>264</v>
      </c>
      <c r="B274">
        <v>1500668.0790141767</v>
      </c>
      <c r="C274">
        <v>145244.81972974556</v>
      </c>
      <c r="D274">
        <v>121906.03775242461</v>
      </c>
      <c r="E274">
        <v>112284.71551312321</v>
      </c>
      <c r="F274">
        <v>43773.55722783161</v>
      </c>
      <c r="G274">
        <v>10000</v>
      </c>
      <c r="H274">
        <v>413209.13022312499</v>
      </c>
      <c r="I274">
        <v>37.515384415607002</v>
      </c>
    </row>
    <row r="275" spans="1:9" x14ac:dyDescent="0.2">
      <c r="A275">
        <v>265</v>
      </c>
      <c r="B275">
        <v>1570308.7738922858</v>
      </c>
      <c r="C275">
        <v>81795.033452124873</v>
      </c>
      <c r="D275">
        <v>104996.53606895299</v>
      </c>
      <c r="E275">
        <v>205291.04819487312</v>
      </c>
      <c r="F275">
        <v>50212.457182721977</v>
      </c>
      <c r="G275">
        <v>10000</v>
      </c>
      <c r="H275">
        <v>432295.07489867293</v>
      </c>
      <c r="I275">
        <v>38.416980073636296</v>
      </c>
    </row>
    <row r="276" spans="1:9" x14ac:dyDescent="0.2">
      <c r="A276">
        <v>266</v>
      </c>
      <c r="B276">
        <v>1087286.9054576475</v>
      </c>
      <c r="C276">
        <v>134069.7607712695</v>
      </c>
      <c r="D276">
        <v>51404.740133660525</v>
      </c>
      <c r="E276">
        <v>82715.636555757505</v>
      </c>
      <c r="F276">
        <v>41726.46714616783</v>
      </c>
      <c r="G276">
        <v>10000</v>
      </c>
      <c r="H276">
        <v>299916.60460685537</v>
      </c>
      <c r="I276">
        <v>41.058986343862387</v>
      </c>
    </row>
    <row r="277" spans="1:9" x14ac:dyDescent="0.2">
      <c r="A277">
        <v>267</v>
      </c>
      <c r="B277">
        <v>1247659.3586060687</v>
      </c>
      <c r="C277">
        <v>139855.57111375983</v>
      </c>
      <c r="D277">
        <v>122006.39592538918</v>
      </c>
      <c r="E277">
        <v>52380.46896073586</v>
      </c>
      <c r="F277">
        <v>39626.340158820174</v>
      </c>
      <c r="G277">
        <v>10000</v>
      </c>
      <c r="H277">
        <v>343868.776158705</v>
      </c>
      <c r="I277">
        <v>33.696162263398726</v>
      </c>
    </row>
    <row r="278" spans="1:9" x14ac:dyDescent="0.2">
      <c r="A278">
        <v>268</v>
      </c>
      <c r="B278">
        <v>1431828.231054198</v>
      </c>
      <c r="C278">
        <v>114249.66032963282</v>
      </c>
      <c r="D278">
        <v>58176.579338389311</v>
      </c>
      <c r="E278">
        <v>183231.19209237493</v>
      </c>
      <c r="F278">
        <v>48685.236375625951</v>
      </c>
      <c r="G278">
        <v>10000</v>
      </c>
      <c r="H278">
        <v>394342.66813602298</v>
      </c>
      <c r="I278">
        <v>31.115921407755192</v>
      </c>
    </row>
    <row r="279" spans="1:9" x14ac:dyDescent="0.2">
      <c r="A279">
        <v>269</v>
      </c>
      <c r="B279">
        <v>1627061.212784834</v>
      </c>
      <c r="C279">
        <v>108366.26544062533</v>
      </c>
      <c r="D279">
        <v>115024.0889082371</v>
      </c>
      <c r="E279">
        <v>185608.64086261558</v>
      </c>
      <c r="F279">
        <v>48849.828982796462</v>
      </c>
      <c r="G279">
        <v>10000</v>
      </c>
      <c r="H279">
        <v>447848.82419427444</v>
      </c>
      <c r="I279">
        <v>39.702906791042381</v>
      </c>
    </row>
    <row r="280" spans="1:9" x14ac:dyDescent="0.2">
      <c r="A280">
        <v>270</v>
      </c>
      <c r="B280">
        <v>1494560.9928359704</v>
      </c>
      <c r="C280">
        <v>151978.97147176252</v>
      </c>
      <c r="D280">
        <v>53299.107755040459</v>
      </c>
      <c r="E280">
        <v>168585.98650347994</v>
      </c>
      <c r="F280">
        <v>47671.337527163996</v>
      </c>
      <c r="G280">
        <v>10000</v>
      </c>
      <c r="H280">
        <v>411535.40325744695</v>
      </c>
      <c r="I280">
        <v>42.831312598612499</v>
      </c>
    </row>
    <row r="281" spans="1:9" x14ac:dyDescent="0.2">
      <c r="A281">
        <v>271</v>
      </c>
      <c r="B281">
        <v>1217764.494013424</v>
      </c>
      <c r="C281">
        <v>86016.043327577136</v>
      </c>
      <c r="D281">
        <v>76710.621539779386</v>
      </c>
      <c r="E281">
        <v>137434.34651971198</v>
      </c>
      <c r="F281">
        <v>45514.685528287751</v>
      </c>
      <c r="G281">
        <v>10000</v>
      </c>
      <c r="H281">
        <v>335675.69691535633</v>
      </c>
      <c r="I281">
        <v>44.689087588202099</v>
      </c>
    </row>
    <row r="282" spans="1:9" x14ac:dyDescent="0.2">
      <c r="A282">
        <v>272</v>
      </c>
      <c r="B282">
        <v>1308966.0151324559</v>
      </c>
      <c r="C282">
        <v>118306.3511710054</v>
      </c>
      <c r="D282">
        <v>67194.318561605469</v>
      </c>
      <c r="E282">
        <v>139511.50959546259</v>
      </c>
      <c r="F282">
        <v>45658.489125839711</v>
      </c>
      <c r="G282">
        <v>10000</v>
      </c>
      <c r="H282">
        <v>360670.66845391318</v>
      </c>
      <c r="I282">
        <v>33.383228998259632</v>
      </c>
    </row>
    <row r="283" spans="1:9" x14ac:dyDescent="0.2">
      <c r="A283">
        <v>273</v>
      </c>
      <c r="B283">
        <v>873397.9358306902</v>
      </c>
      <c r="C283">
        <v>102572.14376863067</v>
      </c>
      <c r="D283">
        <v>74940.088054545718</v>
      </c>
      <c r="E283">
        <v>35338.768719948857</v>
      </c>
      <c r="F283">
        <v>38446.530142150303</v>
      </c>
      <c r="G283">
        <v>10000</v>
      </c>
      <c r="H283">
        <v>241297.53068527553</v>
      </c>
      <c r="I283">
        <v>33.454779600984153</v>
      </c>
    </row>
    <row r="284" spans="1:9" x14ac:dyDescent="0.2">
      <c r="A284">
        <v>274</v>
      </c>
      <c r="B284">
        <v>1279931.7012564829</v>
      </c>
      <c r="C284">
        <v>83041.98877093535</v>
      </c>
      <c r="D284">
        <v>111859.05731330262</v>
      </c>
      <c r="E284">
        <v>123277.77325157746</v>
      </c>
      <c r="F284">
        <v>44534.615071263055</v>
      </c>
      <c r="G284">
        <v>10000</v>
      </c>
      <c r="H284">
        <v>352713.43440707849</v>
      </c>
      <c r="I284">
        <v>28.529858434358758</v>
      </c>
    </row>
    <row r="285" spans="1:9" x14ac:dyDescent="0.2">
      <c r="A285">
        <v>275</v>
      </c>
      <c r="B285">
        <v>1554456.2174711274</v>
      </c>
      <c r="C285">
        <v>102337.09886983641</v>
      </c>
      <c r="D285">
        <v>122878.38249384667</v>
      </c>
      <c r="E285">
        <v>165291.71987592659</v>
      </c>
      <c r="F285">
        <v>47443.272914487228</v>
      </c>
      <c r="G285">
        <v>10000</v>
      </c>
      <c r="H285">
        <v>427950.47415409685</v>
      </c>
      <c r="I285">
        <v>31.817264487239616</v>
      </c>
    </row>
    <row r="286" spans="1:9" x14ac:dyDescent="0.2">
      <c r="A286">
        <v>276</v>
      </c>
      <c r="B286">
        <v>1230008.4059357888</v>
      </c>
      <c r="C286">
        <v>148216.85793958526</v>
      </c>
      <c r="D286">
        <v>79281.672292608084</v>
      </c>
      <c r="E286">
        <v>79994.678037249265</v>
      </c>
      <c r="F286">
        <v>41538.093094886484</v>
      </c>
      <c r="G286">
        <v>10000</v>
      </c>
      <c r="H286">
        <v>339031.30136432906</v>
      </c>
      <c r="I286">
        <v>30.769325607839747</v>
      </c>
    </row>
    <row r="287" spans="1:9" x14ac:dyDescent="0.2">
      <c r="A287">
        <v>277</v>
      </c>
      <c r="B287">
        <v>1250173.0393651808</v>
      </c>
      <c r="C287">
        <v>113818.57702253392</v>
      </c>
      <c r="D287">
        <v>81491.257440540721</v>
      </c>
      <c r="E287">
        <v>115267.77229183693</v>
      </c>
      <c r="F287">
        <v>43980.076543281015</v>
      </c>
      <c r="G287">
        <v>10000</v>
      </c>
      <c r="H287">
        <v>344557.68329819257</v>
      </c>
      <c r="I287">
        <v>26.873999117730413</v>
      </c>
    </row>
    <row r="288" spans="1:9" x14ac:dyDescent="0.2">
      <c r="A288">
        <v>278</v>
      </c>
      <c r="B288">
        <v>1790299.7781194027</v>
      </c>
      <c r="C288">
        <v>165288.47786178623</v>
      </c>
      <c r="D288">
        <v>94796.333847271439</v>
      </c>
      <c r="E288">
        <v>193131.06727586943</v>
      </c>
      <c r="F288">
        <v>49370.612349867879</v>
      </c>
      <c r="G288">
        <v>10000</v>
      </c>
      <c r="H288">
        <v>492586.49133479496</v>
      </c>
      <c r="I288">
        <v>35.904585065597416</v>
      </c>
    </row>
    <row r="289" spans="1:9" x14ac:dyDescent="0.2">
      <c r="A289">
        <v>279</v>
      </c>
      <c r="B289">
        <v>1450548.9076434488</v>
      </c>
      <c r="C289">
        <v>137617.160248987</v>
      </c>
      <c r="D289">
        <v>74282.214935810654</v>
      </c>
      <c r="E289">
        <v>151112.31760985302</v>
      </c>
      <c r="F289">
        <v>46461.621988374442</v>
      </c>
      <c r="G289">
        <v>10000</v>
      </c>
      <c r="H289">
        <v>399473.31478302513</v>
      </c>
      <c r="I289">
        <v>35.76182391474002</v>
      </c>
    </row>
    <row r="290" spans="1:9" x14ac:dyDescent="0.2">
      <c r="A290">
        <v>280</v>
      </c>
      <c r="B290">
        <v>611343.43358057179</v>
      </c>
      <c r="C290">
        <v>80512.441181577873</v>
      </c>
      <c r="D290">
        <v>29505.365557704881</v>
      </c>
      <c r="E290">
        <v>31293.763551577973</v>
      </c>
      <c r="F290">
        <v>38166.49132280155</v>
      </c>
      <c r="G290">
        <v>10000</v>
      </c>
      <c r="H290">
        <v>169478.06161366228</v>
      </c>
      <c r="I290">
        <v>29.107405414361217</v>
      </c>
    </row>
    <row r="291" spans="1:9" x14ac:dyDescent="0.2">
      <c r="A291">
        <v>281</v>
      </c>
      <c r="B291">
        <v>1154086.3068883908</v>
      </c>
      <c r="C291">
        <v>110313.84338216981</v>
      </c>
      <c r="D291">
        <v>44053.502090162932</v>
      </c>
      <c r="E291">
        <v>128930.54903484328</v>
      </c>
      <c r="F291">
        <v>44925.961087027616</v>
      </c>
      <c r="G291">
        <v>10000</v>
      </c>
      <c r="H291">
        <v>318223.85559420363</v>
      </c>
      <c r="I291">
        <v>42.113244116063278</v>
      </c>
    </row>
    <row r="292" spans="1:9" x14ac:dyDescent="0.2">
      <c r="A292">
        <v>282</v>
      </c>
      <c r="B292">
        <v>772806.15293432923</v>
      </c>
      <c r="C292">
        <v>91389.579488591742</v>
      </c>
      <c r="D292">
        <v>55155.98890476612</v>
      </c>
      <c r="E292">
        <v>38516.9111220739</v>
      </c>
      <c r="F292">
        <v>38666.555385374348</v>
      </c>
      <c r="G292">
        <v>10000</v>
      </c>
      <c r="H292">
        <v>213729.03490080609</v>
      </c>
      <c r="I292">
        <v>46.546556816516585</v>
      </c>
    </row>
    <row r="293" spans="1:9" x14ac:dyDescent="0.2">
      <c r="A293">
        <v>283</v>
      </c>
      <c r="B293">
        <v>966920.31392073329</v>
      </c>
      <c r="C293">
        <v>128342.76694576447</v>
      </c>
      <c r="D293">
        <v>62179.647890309898</v>
      </c>
      <c r="E293">
        <v>47142.441176214656</v>
      </c>
      <c r="F293">
        <v>39263.707466045627</v>
      </c>
      <c r="G293">
        <v>10000</v>
      </c>
      <c r="H293">
        <v>266928.56347833469</v>
      </c>
      <c r="I293">
        <v>29.524067619726569</v>
      </c>
    </row>
    <row r="294" spans="1:9" x14ac:dyDescent="0.2">
      <c r="A294">
        <v>284</v>
      </c>
      <c r="B294">
        <v>1440114.9009811056</v>
      </c>
      <c r="C294">
        <v>129288.12991501293</v>
      </c>
      <c r="D294">
        <v>80827.794244128789</v>
      </c>
      <c r="E294">
        <v>150105.86960135243</v>
      </c>
      <c r="F294">
        <v>46391.944818555166</v>
      </c>
      <c r="G294">
        <v>10000</v>
      </c>
      <c r="H294">
        <v>396613.7385790493</v>
      </c>
      <c r="I294">
        <v>37.850222686976302</v>
      </c>
    </row>
    <row r="295" spans="1:9" x14ac:dyDescent="0.2">
      <c r="A295">
        <v>285</v>
      </c>
      <c r="B295">
        <v>1467022.9358870722</v>
      </c>
      <c r="C295">
        <v>128800.78697018579</v>
      </c>
      <c r="D295">
        <v>67772.259382623903</v>
      </c>
      <c r="E295">
        <v>169668.88429435773</v>
      </c>
      <c r="F295">
        <v>47746.307374224765</v>
      </c>
      <c r="G295">
        <v>10000</v>
      </c>
      <c r="H295">
        <v>403988.2380213922</v>
      </c>
      <c r="I295">
        <v>49.894226703532624</v>
      </c>
    </row>
    <row r="296" spans="1:9" x14ac:dyDescent="0.2">
      <c r="A296">
        <v>286</v>
      </c>
      <c r="B296">
        <v>1603459.4184137529</v>
      </c>
      <c r="C296">
        <v>104507.06771620784</v>
      </c>
      <c r="D296">
        <v>101350.08310860075</v>
      </c>
      <c r="E296">
        <v>195957.03610912155</v>
      </c>
      <c r="F296">
        <v>49566.256346016111</v>
      </c>
      <c r="G296">
        <v>10000</v>
      </c>
      <c r="H296">
        <v>441380.44327994628</v>
      </c>
      <c r="I296">
        <v>30.91805625865404</v>
      </c>
    </row>
    <row r="297" spans="1:9" x14ac:dyDescent="0.2">
      <c r="A297">
        <v>287</v>
      </c>
      <c r="B297">
        <v>1043924.2049256547</v>
      </c>
      <c r="C297">
        <v>86525.753652314961</v>
      </c>
      <c r="D297">
        <v>127368.23685682795</v>
      </c>
      <c r="E297">
        <v>45021.616830783481</v>
      </c>
      <c r="F297">
        <v>39116.881165208084</v>
      </c>
      <c r="G297">
        <v>10000</v>
      </c>
      <c r="H297">
        <v>288032.48850513448</v>
      </c>
      <c r="I297">
        <v>34.376412307174135</v>
      </c>
    </row>
    <row r="298" spans="1:9" x14ac:dyDescent="0.2">
      <c r="A298">
        <v>288</v>
      </c>
      <c r="B298">
        <v>1771190.8236213143</v>
      </c>
      <c r="C298">
        <v>126608.84458058004</v>
      </c>
      <c r="D298">
        <v>154943.75755514193</v>
      </c>
      <c r="E298">
        <v>168155.30854423149</v>
      </c>
      <c r="F298">
        <v>47641.521360754494</v>
      </c>
      <c r="G298">
        <v>10000</v>
      </c>
      <c r="H298">
        <v>487349.43204070791</v>
      </c>
      <c r="I298">
        <v>26.83617527198555</v>
      </c>
    </row>
    <row r="299" spans="1:9" x14ac:dyDescent="0.2">
      <c r="A299">
        <v>289</v>
      </c>
      <c r="B299">
        <v>1443827.1270799052</v>
      </c>
      <c r="C299">
        <v>107000.90659319462</v>
      </c>
      <c r="D299">
        <v>156876.93925181206</v>
      </c>
      <c r="E299">
        <v>100776.44604400433</v>
      </c>
      <c r="F299">
        <v>42976.83087996953</v>
      </c>
      <c r="G299">
        <v>10000</v>
      </c>
      <c r="H299">
        <v>397631.12276898057</v>
      </c>
      <c r="I299">
        <v>28.612295053429854</v>
      </c>
    </row>
    <row r="300" spans="1:9" x14ac:dyDescent="0.2">
      <c r="A300">
        <v>290</v>
      </c>
      <c r="B300">
        <v>1121329.1403383403</v>
      </c>
      <c r="C300">
        <v>112168.85677924607</v>
      </c>
      <c r="D300">
        <v>107985.59232362814</v>
      </c>
      <c r="E300">
        <v>59006.790412323986</v>
      </c>
      <c r="F300">
        <v>40085.085490083969</v>
      </c>
      <c r="G300">
        <v>10000</v>
      </c>
      <c r="H300">
        <v>309246.32500528212</v>
      </c>
      <c r="I300">
        <v>39.000545142284281</v>
      </c>
    </row>
    <row r="301" spans="1:9" x14ac:dyDescent="0.2">
      <c r="A301">
        <v>291</v>
      </c>
      <c r="B301">
        <v>1245341.7616547921</v>
      </c>
      <c r="C301">
        <v>129905.57627964001</v>
      </c>
      <c r="D301">
        <v>135036.03175442154</v>
      </c>
      <c r="E301">
        <v>48906.187350812565</v>
      </c>
      <c r="F301">
        <v>39385.812970440871</v>
      </c>
      <c r="G301">
        <v>10000</v>
      </c>
      <c r="H301">
        <v>343233.60835531499</v>
      </c>
      <c r="I301">
        <v>42.598613246663206</v>
      </c>
    </row>
    <row r="302" spans="1:9" x14ac:dyDescent="0.2">
      <c r="A302">
        <v>292</v>
      </c>
      <c r="B302">
        <v>1020531.1857379267</v>
      </c>
      <c r="C302">
        <v>104955.51422276351</v>
      </c>
      <c r="D302">
        <v>111135.41917510147</v>
      </c>
      <c r="E302">
        <v>36970.86999767751</v>
      </c>
      <c r="F302">
        <v>38559.521769069986</v>
      </c>
      <c r="G302">
        <v>10000</v>
      </c>
      <c r="H302">
        <v>281621.3251646125</v>
      </c>
      <c r="I302">
        <v>36.424551750898374</v>
      </c>
    </row>
    <row r="303" spans="1:9" x14ac:dyDescent="0.2">
      <c r="A303">
        <v>293</v>
      </c>
      <c r="B303">
        <v>953730.01797738706</v>
      </c>
      <c r="C303">
        <v>116831.4556984607</v>
      </c>
      <c r="D303">
        <v>87287.436892638521</v>
      </c>
      <c r="E303">
        <v>31045.400539892533</v>
      </c>
      <c r="F303">
        <v>38149.296960454099</v>
      </c>
      <c r="G303">
        <v>10000</v>
      </c>
      <c r="H303">
        <v>263313.59009144583</v>
      </c>
      <c r="I303">
        <v>26.426129252054494</v>
      </c>
    </row>
    <row r="304" spans="1:9" x14ac:dyDescent="0.2">
      <c r="A304">
        <v>294</v>
      </c>
      <c r="B304">
        <v>928696.49190930382</v>
      </c>
      <c r="C304">
        <v>99128.802538231714</v>
      </c>
      <c r="D304">
        <v>38794.232199400634</v>
      </c>
      <c r="E304">
        <v>86538.652156269483</v>
      </c>
      <c r="F304">
        <v>41991.137456972501</v>
      </c>
      <c r="G304">
        <v>10000</v>
      </c>
      <c r="H304">
        <v>256452.82435087435</v>
      </c>
      <c r="I304">
        <v>33.360467449121003</v>
      </c>
    </row>
    <row r="305" spans="1:9" x14ac:dyDescent="0.2">
      <c r="A305">
        <v>295</v>
      </c>
      <c r="B305">
        <v>1414554.7607133025</v>
      </c>
      <c r="C305">
        <v>126914.45014570103</v>
      </c>
      <c r="D305">
        <v>77748.304837981865</v>
      </c>
      <c r="E305">
        <v>148654.4316802957</v>
      </c>
      <c r="F305">
        <v>46291.460654789706</v>
      </c>
      <c r="G305">
        <v>10000</v>
      </c>
      <c r="H305">
        <v>389608.64731876832</v>
      </c>
      <c r="I305">
        <v>40.948659803830829</v>
      </c>
    </row>
    <row r="306" spans="1:9" x14ac:dyDescent="0.2">
      <c r="A306">
        <v>296</v>
      </c>
      <c r="B306">
        <v>1784827.0523441301</v>
      </c>
      <c r="C306">
        <v>162076.10018208728</v>
      </c>
      <c r="D306">
        <v>125741.10787003857</v>
      </c>
      <c r="E306">
        <v>165791.53555655983</v>
      </c>
      <c r="F306">
        <v>47477.875538531065</v>
      </c>
      <c r="G306">
        <v>10000</v>
      </c>
      <c r="H306">
        <v>491086.61914721673</v>
      </c>
      <c r="I306">
        <v>46.438809518721584</v>
      </c>
    </row>
    <row r="307" spans="1:9" x14ac:dyDescent="0.2">
      <c r="A307">
        <v>297</v>
      </c>
      <c r="B307">
        <v>1167394.0468236469</v>
      </c>
      <c r="C307">
        <v>113013.54923154099</v>
      </c>
      <c r="D307">
        <v>129206.12528558276</v>
      </c>
      <c r="E307">
        <v>50177.513659641038</v>
      </c>
      <c r="F307">
        <v>39473.827868744374</v>
      </c>
      <c r="G307">
        <v>10000</v>
      </c>
      <c r="H307">
        <v>321871.0160455092</v>
      </c>
      <c r="I307">
        <v>27.334754080014225</v>
      </c>
    </row>
    <row r="308" spans="1:9" x14ac:dyDescent="0.2">
      <c r="A308">
        <v>298</v>
      </c>
      <c r="B308">
        <v>1439146.7239858108</v>
      </c>
      <c r="C308">
        <v>129242.43136565707</v>
      </c>
      <c r="D308">
        <v>111125.45165248161</v>
      </c>
      <c r="E308">
        <v>121564.50947106804</v>
      </c>
      <c r="F308">
        <v>44416.00450184317</v>
      </c>
      <c r="G308">
        <v>10000</v>
      </c>
      <c r="H308">
        <v>396348.39699104993</v>
      </c>
      <c r="I308">
        <v>25.752100832696808</v>
      </c>
    </row>
    <row r="309" spans="1:9" x14ac:dyDescent="0.2">
      <c r="A309">
        <v>299</v>
      </c>
      <c r="B309">
        <v>1038033.4185730829</v>
      </c>
      <c r="C309">
        <v>87758.012146291454</v>
      </c>
      <c r="D309">
        <v>76913.909858938452</v>
      </c>
      <c r="E309">
        <v>89546.730313138658</v>
      </c>
      <c r="F309">
        <v>42199.389021678828</v>
      </c>
      <c r="G309">
        <v>10000</v>
      </c>
      <c r="H309">
        <v>286418.04134004738</v>
      </c>
      <c r="I309">
        <v>36.785909742921561</v>
      </c>
    </row>
    <row r="310" spans="1:9" x14ac:dyDescent="0.2">
      <c r="A310">
        <v>300</v>
      </c>
      <c r="B310">
        <v>1263140.1348618104</v>
      </c>
      <c r="C310">
        <v>167810.28003170367</v>
      </c>
      <c r="D310">
        <v>70240.61787827799</v>
      </c>
      <c r="E310">
        <v>78617.81589897869</v>
      </c>
      <c r="F310">
        <v>41442.771869929289</v>
      </c>
      <c r="G310">
        <v>10000</v>
      </c>
      <c r="H310">
        <v>348111.48567888961</v>
      </c>
      <c r="I310">
        <v>27.442826862457554</v>
      </c>
    </row>
    <row r="311" spans="1:9" x14ac:dyDescent="0.2">
      <c r="A311">
        <v>301</v>
      </c>
      <c r="B311">
        <v>1037599.6850144861</v>
      </c>
      <c r="C311">
        <v>150667.32920506599</v>
      </c>
      <c r="D311">
        <v>32384.158440663839</v>
      </c>
      <c r="E311">
        <v>72246.034769980368</v>
      </c>
      <c r="F311">
        <v>41001.648560998641</v>
      </c>
      <c r="G311">
        <v>10000</v>
      </c>
      <c r="H311">
        <v>286299.17097670888</v>
      </c>
      <c r="I311">
        <v>34.380386150398444</v>
      </c>
    </row>
    <row r="312" spans="1:9" x14ac:dyDescent="0.2">
      <c r="A312">
        <v>302</v>
      </c>
      <c r="B312">
        <v>1030110.8009686276</v>
      </c>
      <c r="C312">
        <v>106826.13740664866</v>
      </c>
      <c r="D312">
        <v>75112.1775546524</v>
      </c>
      <c r="E312">
        <v>71367.595695376425</v>
      </c>
      <c r="F312">
        <v>40940.83354814144</v>
      </c>
      <c r="G312">
        <v>10000</v>
      </c>
      <c r="H312">
        <v>284246.74420481891</v>
      </c>
      <c r="I312">
        <v>30.402995855772282</v>
      </c>
    </row>
    <row r="313" spans="1:9" x14ac:dyDescent="0.2">
      <c r="A313">
        <v>303</v>
      </c>
      <c r="B313">
        <v>1214306.7419474493</v>
      </c>
      <c r="C313">
        <v>93294.780827919109</v>
      </c>
      <c r="D313">
        <v>80854.476380067077</v>
      </c>
      <c r="E313">
        <v>125865.06237225568</v>
      </c>
      <c r="F313">
        <v>44713.735087310008</v>
      </c>
      <c r="G313">
        <v>10000</v>
      </c>
      <c r="H313">
        <v>334728.05466755189</v>
      </c>
      <c r="I313">
        <v>31.143507007953147</v>
      </c>
    </row>
    <row r="314" spans="1:9" x14ac:dyDescent="0.2">
      <c r="A314">
        <v>304</v>
      </c>
      <c r="B314">
        <v>992348.53807772161</v>
      </c>
      <c r="C314">
        <v>115001.54076751444</v>
      </c>
      <c r="D314">
        <v>51028.615545178785</v>
      </c>
      <c r="E314">
        <v>76566.581736740103</v>
      </c>
      <c r="F314">
        <v>41300.76335100508</v>
      </c>
      <c r="G314">
        <v>10000</v>
      </c>
      <c r="H314">
        <v>273897.50140043843</v>
      </c>
      <c r="I314">
        <v>34.248791179531111</v>
      </c>
    </row>
    <row r="315" spans="1:9" x14ac:dyDescent="0.2">
      <c r="A315">
        <v>305</v>
      </c>
      <c r="B315">
        <v>1101878.459590957</v>
      </c>
      <c r="C315">
        <v>117923.43500044415</v>
      </c>
      <c r="D315">
        <v>84293.374532136106</v>
      </c>
      <c r="E315">
        <v>70797.440367416013</v>
      </c>
      <c r="F315">
        <v>40901.361256205724</v>
      </c>
      <c r="G315">
        <v>10000</v>
      </c>
      <c r="H315">
        <v>303915.61115620198</v>
      </c>
      <c r="I315">
        <v>35.813776158987928</v>
      </c>
    </row>
    <row r="316" spans="1:9" x14ac:dyDescent="0.2">
      <c r="A316">
        <v>306</v>
      </c>
      <c r="B316">
        <v>1267861.5089201815</v>
      </c>
      <c r="C316">
        <v>89735.294552780906</v>
      </c>
      <c r="D316">
        <v>44416.322482091753</v>
      </c>
      <c r="E316">
        <v>176999.97839339421</v>
      </c>
      <c r="F316">
        <v>48253.844658004215</v>
      </c>
      <c r="G316">
        <v>10000</v>
      </c>
      <c r="H316">
        <v>349405.44008627109</v>
      </c>
      <c r="I316">
        <v>32.487828010306202</v>
      </c>
    </row>
    <row r="317" spans="1:9" x14ac:dyDescent="0.2">
      <c r="A317">
        <v>307</v>
      </c>
      <c r="B317">
        <v>1050271.0823927992</v>
      </c>
      <c r="C317">
        <v>108325.07140448177</v>
      </c>
      <c r="D317">
        <v>58838.351508252672</v>
      </c>
      <c r="E317">
        <v>90353.283203224302</v>
      </c>
      <c r="F317">
        <v>42255.22729868476</v>
      </c>
      <c r="G317">
        <v>10000</v>
      </c>
      <c r="H317">
        <v>289771.93341464351</v>
      </c>
      <c r="I317">
        <v>39.288984571642025</v>
      </c>
    </row>
    <row r="318" spans="1:9" x14ac:dyDescent="0.2">
      <c r="A318">
        <v>308</v>
      </c>
      <c r="B318">
        <v>1569496.1493994072</v>
      </c>
      <c r="C318">
        <v>105656.97787333778</v>
      </c>
      <c r="D318">
        <v>81264.864148004068</v>
      </c>
      <c r="E318">
        <v>204960.92031461996</v>
      </c>
      <c r="F318">
        <v>50189.602175627537</v>
      </c>
      <c r="G318">
        <v>10000</v>
      </c>
      <c r="H318">
        <v>432072.36451158935</v>
      </c>
      <c r="I318">
        <v>29.812963310403937</v>
      </c>
    </row>
    <row r="319" spans="1:9" x14ac:dyDescent="0.2">
      <c r="A319">
        <v>309</v>
      </c>
      <c r="B319">
        <v>1268663.6288237087</v>
      </c>
      <c r="C319">
        <v>158029.79350263928</v>
      </c>
      <c r="D319">
        <v>130078.83556495524</v>
      </c>
      <c r="E319">
        <v>33217.003763366411</v>
      </c>
      <c r="F319">
        <v>38299.638722079209</v>
      </c>
      <c r="G319">
        <v>10000</v>
      </c>
      <c r="H319">
        <v>349625.27155304019</v>
      </c>
      <c r="I319">
        <v>34.602391218176749</v>
      </c>
    </row>
    <row r="320" spans="1:9" x14ac:dyDescent="0.2">
      <c r="A320">
        <v>310</v>
      </c>
      <c r="B320">
        <v>1553588.2243011277</v>
      </c>
      <c r="C320">
        <v>135399.50835350394</v>
      </c>
      <c r="D320">
        <v>50522.926330359325</v>
      </c>
      <c r="E320">
        <v>201818.13017515268</v>
      </c>
      <c r="F320">
        <v>49972.024396741341</v>
      </c>
      <c r="G320">
        <v>10000</v>
      </c>
      <c r="H320">
        <v>427712.58925575734</v>
      </c>
      <c r="I320">
        <v>32.434313242656557</v>
      </c>
    </row>
    <row r="321" spans="1:9" x14ac:dyDescent="0.2">
      <c r="A321">
        <v>311</v>
      </c>
      <c r="B321">
        <v>1970654.128214282</v>
      </c>
      <c r="C321">
        <v>169106.93589048026</v>
      </c>
      <c r="D321">
        <v>132921.11243326211</v>
      </c>
      <c r="E321">
        <v>200131.64728119964</v>
      </c>
      <c r="F321">
        <v>49855.267888698429</v>
      </c>
      <c r="G321">
        <v>10000</v>
      </c>
      <c r="H321">
        <v>542014.96349364042</v>
      </c>
      <c r="I321">
        <v>35.093480494163416</v>
      </c>
    </row>
    <row r="322" spans="1:9" x14ac:dyDescent="0.2">
      <c r="A322">
        <v>312</v>
      </c>
      <c r="B322">
        <v>1013962.2327389246</v>
      </c>
      <c r="C322">
        <v>107507.78434017464</v>
      </c>
      <c r="D322">
        <v>115976.36170436101</v>
      </c>
      <c r="E322">
        <v>28372.613634990805</v>
      </c>
      <c r="F322">
        <v>37964.257867037821</v>
      </c>
      <c r="G322">
        <v>10000</v>
      </c>
      <c r="H322">
        <v>279821.01754656428</v>
      </c>
      <c r="I322">
        <v>26.180595071704957</v>
      </c>
    </row>
    <row r="323" spans="1:9" x14ac:dyDescent="0.2">
      <c r="A323">
        <v>313</v>
      </c>
      <c r="B323">
        <v>1097266.0592112134</v>
      </c>
      <c r="C323">
        <v>110287.34512929112</v>
      </c>
      <c r="D323">
        <v>77537.606714185982</v>
      </c>
      <c r="E323">
        <v>83075.209885097051</v>
      </c>
      <c r="F323">
        <v>41751.360684352876</v>
      </c>
      <c r="G323">
        <v>10000</v>
      </c>
      <c r="H323">
        <v>302651.52241292701</v>
      </c>
      <c r="I323">
        <v>45.995361732647766</v>
      </c>
    </row>
    <row r="324" spans="1:9" x14ac:dyDescent="0.2">
      <c r="A324">
        <v>314</v>
      </c>
      <c r="B324">
        <v>1398840.9153516931</v>
      </c>
      <c r="C324">
        <v>106774.04999964165</v>
      </c>
      <c r="D324">
        <v>109452.59540010559</v>
      </c>
      <c r="E324">
        <v>133811.5408521808</v>
      </c>
      <c r="F324">
        <v>45263.875905150984</v>
      </c>
      <c r="G324">
        <v>10000</v>
      </c>
      <c r="H324">
        <v>385302.062157079</v>
      </c>
      <c r="I324">
        <v>39.049974126843374</v>
      </c>
    </row>
    <row r="325" spans="1:9" x14ac:dyDescent="0.2">
      <c r="A325">
        <v>315</v>
      </c>
      <c r="B325">
        <v>870638.94590066886</v>
      </c>
      <c r="C325">
        <v>124690.88162984677</v>
      </c>
      <c r="D325">
        <v>45229.879587546064</v>
      </c>
      <c r="E325">
        <v>41731.526458811873</v>
      </c>
      <c r="F325">
        <v>38889.105677917745</v>
      </c>
      <c r="G325">
        <v>10000</v>
      </c>
      <c r="H325">
        <v>240541.39335412244</v>
      </c>
      <c r="I325">
        <v>49.684357192666006</v>
      </c>
    </row>
    <row r="326" spans="1:9" x14ac:dyDescent="0.2">
      <c r="A326">
        <v>316</v>
      </c>
      <c r="B326">
        <v>1506318.7860258103</v>
      </c>
      <c r="C326">
        <v>166271.83488999266</v>
      </c>
      <c r="D326">
        <v>48864.228884690216</v>
      </c>
      <c r="E326">
        <v>162380.02283658751</v>
      </c>
      <c r="F326">
        <v>47241.693888686823</v>
      </c>
      <c r="G326">
        <v>10000</v>
      </c>
      <c r="H326">
        <v>414757.78049995721</v>
      </c>
      <c r="I326">
        <v>40.274413108112384</v>
      </c>
    </row>
    <row r="327" spans="1:9" x14ac:dyDescent="0.2">
      <c r="A327">
        <v>317</v>
      </c>
      <c r="B327">
        <v>1044940.8321041621</v>
      </c>
      <c r="C327">
        <v>92897.627962124257</v>
      </c>
      <c r="D327">
        <v>96992.152733325231</v>
      </c>
      <c r="E327">
        <v>67732.177083866321</v>
      </c>
      <c r="F327">
        <v>40689.150721190745</v>
      </c>
      <c r="G327">
        <v>10000</v>
      </c>
      <c r="H327">
        <v>288311.10850050655</v>
      </c>
      <c r="I327">
        <v>25.046205766854094</v>
      </c>
    </row>
    <row r="328" spans="1:9" x14ac:dyDescent="0.2">
      <c r="A328">
        <v>318</v>
      </c>
      <c r="B328">
        <v>1366218.1193578546</v>
      </c>
      <c r="C328">
        <v>133639.83888562227</v>
      </c>
      <c r="D328">
        <v>62963.410735440928</v>
      </c>
      <c r="E328">
        <v>143802.54701125142</v>
      </c>
      <c r="F328">
        <v>45955.56094693279</v>
      </c>
      <c r="G328">
        <v>10000</v>
      </c>
      <c r="H328">
        <v>376361.35757924744</v>
      </c>
      <c r="I328">
        <v>27.004808045476835</v>
      </c>
    </row>
    <row r="329" spans="1:9" x14ac:dyDescent="0.2">
      <c r="A329">
        <v>319</v>
      </c>
      <c r="B329">
        <v>1331137.8761673826</v>
      </c>
      <c r="C329">
        <v>121726.24285176213</v>
      </c>
      <c r="D329">
        <v>108852.11257588635</v>
      </c>
      <c r="E329">
        <v>103035.57019590386</v>
      </c>
      <c r="F329">
        <v>43133.231782793344</v>
      </c>
      <c r="G329">
        <v>10000</v>
      </c>
      <c r="H329">
        <v>366747.15740634565</v>
      </c>
      <c r="I329">
        <v>25.920333805419986</v>
      </c>
    </row>
    <row r="330" spans="1:9" x14ac:dyDescent="0.2">
      <c r="A330">
        <v>320</v>
      </c>
      <c r="B330">
        <v>1267993.662008994</v>
      </c>
      <c r="C330">
        <v>105655.32868658195</v>
      </c>
      <c r="D330">
        <v>43833.545418668014</v>
      </c>
      <c r="E330">
        <v>162689.65434961129</v>
      </c>
      <c r="F330">
        <v>47263.129916511556</v>
      </c>
      <c r="G330">
        <v>10000</v>
      </c>
      <c r="H330">
        <v>349441.65837137279</v>
      </c>
      <c r="I330">
        <v>31.27687191252263</v>
      </c>
    </row>
    <row r="331" spans="1:9" x14ac:dyDescent="0.2">
      <c r="A331">
        <v>321</v>
      </c>
      <c r="B331">
        <v>1164741.1791172149</v>
      </c>
      <c r="C331">
        <v>127327.00541220972</v>
      </c>
      <c r="D331">
        <v>80543.996862243148</v>
      </c>
      <c r="E331">
        <v>81622.193390666071</v>
      </c>
      <c r="F331">
        <v>41650.767234738414</v>
      </c>
      <c r="G331">
        <v>10000</v>
      </c>
      <c r="H331">
        <v>321143.96289985738</v>
      </c>
      <c r="I331">
        <v>38.20004879787372</v>
      </c>
    </row>
    <row r="332" spans="1:9" x14ac:dyDescent="0.2">
      <c r="A332">
        <v>322</v>
      </c>
      <c r="B332">
        <v>1409761.5362695665</v>
      </c>
      <c r="C332">
        <v>130210.43619338056</v>
      </c>
      <c r="D332">
        <v>50366.098008112145</v>
      </c>
      <c r="E332">
        <v>169952.52325307467</v>
      </c>
      <c r="F332">
        <v>47765.943917520555</v>
      </c>
      <c r="G332">
        <v>10000</v>
      </c>
      <c r="H332">
        <v>388295.00137208798</v>
      </c>
      <c r="I332">
        <v>34.936826836613946</v>
      </c>
    </row>
    <row r="333" spans="1:9" x14ac:dyDescent="0.2">
      <c r="A333">
        <v>323</v>
      </c>
      <c r="B333">
        <v>1687670.4548201016</v>
      </c>
      <c r="C333">
        <v>117549.51749623803</v>
      </c>
      <c r="D333">
        <v>133687.16884869497</v>
      </c>
      <c r="E333">
        <v>175100.54887618968</v>
      </c>
      <c r="F333">
        <v>48122.34569142852</v>
      </c>
      <c r="G333">
        <v>10000</v>
      </c>
      <c r="H333">
        <v>464459.5809125512</v>
      </c>
      <c r="I333">
        <v>34.530840824337844</v>
      </c>
    </row>
    <row r="334" spans="1:9" x14ac:dyDescent="0.2">
      <c r="A334">
        <v>324</v>
      </c>
      <c r="B334">
        <v>1424179.3671133851</v>
      </c>
      <c r="C334">
        <v>95555.845341093387</v>
      </c>
      <c r="D334">
        <v>111199.3199335511</v>
      </c>
      <c r="E334">
        <v>149164.46111852344</v>
      </c>
      <c r="F334">
        <v>46326.770385128541</v>
      </c>
      <c r="G334">
        <v>10000</v>
      </c>
      <c r="H334">
        <v>392246.3967782965</v>
      </c>
      <c r="I334">
        <v>30.471605335630741</v>
      </c>
    </row>
    <row r="335" spans="1:9" x14ac:dyDescent="0.2">
      <c r="A335">
        <v>325</v>
      </c>
      <c r="B335">
        <v>1502661.7366887468</v>
      </c>
      <c r="C335">
        <v>125335.59161328994</v>
      </c>
      <c r="D335">
        <v>123831.51216952324</v>
      </c>
      <c r="E335">
        <v>129615.06386619165</v>
      </c>
      <c r="F335">
        <v>44973.350575351731</v>
      </c>
      <c r="G335">
        <v>10000</v>
      </c>
      <c r="H335">
        <v>413755.51822435658</v>
      </c>
      <c r="I335">
        <v>25.72895952506471</v>
      </c>
    </row>
    <row r="336" spans="1:9" x14ac:dyDescent="0.2">
      <c r="A336">
        <v>326</v>
      </c>
      <c r="B336">
        <v>1180465.5934310469</v>
      </c>
      <c r="C336">
        <v>107347.78482707277</v>
      </c>
      <c r="D336">
        <v>158910.72838055901</v>
      </c>
      <c r="E336">
        <v>31045.619307793146</v>
      </c>
      <c r="F336">
        <v>38149.312105924138</v>
      </c>
      <c r="G336">
        <v>10000</v>
      </c>
      <c r="H336">
        <v>325453.44462134904</v>
      </c>
      <c r="I336">
        <v>50.823778921649158</v>
      </c>
    </row>
    <row r="337" spans="1:9" x14ac:dyDescent="0.2">
      <c r="A337">
        <v>327</v>
      </c>
      <c r="B337">
        <v>829515.13400921412</v>
      </c>
      <c r="C337">
        <v>86208.630907198065</v>
      </c>
      <c r="D337">
        <v>79438.172299868238</v>
      </c>
      <c r="E337">
        <v>35187.979889702779</v>
      </c>
      <c r="F337">
        <v>38436.09091544096</v>
      </c>
      <c r="G337">
        <v>10000</v>
      </c>
      <c r="H337">
        <v>229270.87401221006</v>
      </c>
      <c r="I337">
        <v>43.484265480030587</v>
      </c>
    </row>
    <row r="338" spans="1:9" x14ac:dyDescent="0.2">
      <c r="A338">
        <v>328</v>
      </c>
      <c r="B338">
        <v>1389904.6799186051</v>
      </c>
      <c r="C338">
        <v>90533.560390332379</v>
      </c>
      <c r="D338">
        <v>118638.01864936964</v>
      </c>
      <c r="E338">
        <v>138119.28630222235</v>
      </c>
      <c r="F338">
        <v>45562.104436307702</v>
      </c>
      <c r="G338">
        <v>10000</v>
      </c>
      <c r="H338">
        <v>382852.96977823204</v>
      </c>
      <c r="I338">
        <v>31.371744371113664</v>
      </c>
    </row>
    <row r="339" spans="1:9" x14ac:dyDescent="0.2">
      <c r="A339">
        <v>329</v>
      </c>
      <c r="B339">
        <v>1150852.4807263177</v>
      </c>
      <c r="C339">
        <v>89922.371811522447</v>
      </c>
      <c r="D339">
        <v>83831.60376858458</v>
      </c>
      <c r="E339">
        <v>109970.28048315612</v>
      </c>
      <c r="F339">
        <v>43613.327110372353</v>
      </c>
      <c r="G339">
        <v>10000</v>
      </c>
      <c r="H339">
        <v>317337.58317363553</v>
      </c>
      <c r="I339">
        <v>37.596193819915491</v>
      </c>
    </row>
    <row r="340" spans="1:9" x14ac:dyDescent="0.2">
      <c r="A340">
        <v>330</v>
      </c>
      <c r="B340">
        <v>962775.04436693829</v>
      </c>
      <c r="C340">
        <v>103340.49711535338</v>
      </c>
      <c r="D340">
        <v>43899.315844485551</v>
      </c>
      <c r="E340">
        <v>86560.065198780649</v>
      </c>
      <c r="F340">
        <v>41992.619898377125</v>
      </c>
      <c r="G340">
        <v>10000</v>
      </c>
      <c r="H340">
        <v>265792.49805699673</v>
      </c>
      <c r="I340">
        <v>27.799365765954267</v>
      </c>
    </row>
    <row r="341" spans="1:9" x14ac:dyDescent="0.2">
      <c r="A341">
        <v>331</v>
      </c>
      <c r="B341">
        <v>1778695.5775166012</v>
      </c>
      <c r="C341">
        <v>139713.1194321216</v>
      </c>
      <c r="D341">
        <v>141857.14983936251</v>
      </c>
      <c r="E341">
        <v>170062.38888172919</v>
      </c>
      <c r="F341">
        <v>47773.549999504328</v>
      </c>
      <c r="G341">
        <v>10000</v>
      </c>
      <c r="H341">
        <v>489406.20815271768</v>
      </c>
      <c r="I341">
        <v>33.413715845282489</v>
      </c>
    </row>
    <row r="342" spans="1:9" x14ac:dyDescent="0.2">
      <c r="A342">
        <v>332</v>
      </c>
      <c r="B342">
        <v>1862342.2433684061</v>
      </c>
      <c r="C342">
        <v>155946.23848584673</v>
      </c>
      <c r="D342">
        <v>122929.22356914337</v>
      </c>
      <c r="E342">
        <v>194022.85882237574</v>
      </c>
      <c r="F342">
        <v>49432.351764626015</v>
      </c>
      <c r="G342">
        <v>10000</v>
      </c>
      <c r="H342">
        <v>512330.67264199187</v>
      </c>
      <c r="I342">
        <v>32.582907358454648</v>
      </c>
    </row>
    <row r="343" spans="1:9" x14ac:dyDescent="0.2">
      <c r="A343">
        <v>333</v>
      </c>
      <c r="B343">
        <v>937147.13458618382</v>
      </c>
      <c r="C343">
        <v>108775.5122173423</v>
      </c>
      <c r="D343">
        <v>69009.508961211104</v>
      </c>
      <c r="E343">
        <v>51423.709528076579</v>
      </c>
      <c r="F343">
        <v>39560.102967328377</v>
      </c>
      <c r="G343">
        <v>10000</v>
      </c>
      <c r="H343">
        <v>258768.83367395838</v>
      </c>
      <c r="I343">
        <v>52.125534270977596</v>
      </c>
    </row>
    <row r="344" spans="1:9" x14ac:dyDescent="0.2">
      <c r="A344">
        <v>334</v>
      </c>
      <c r="B344">
        <v>1470178.9981198069</v>
      </c>
      <c r="C344">
        <v>118447.84733041577</v>
      </c>
      <c r="D344">
        <v>168509.24890889626</v>
      </c>
      <c r="E344">
        <v>85945.994656768584</v>
      </c>
      <c r="F344">
        <v>41950.107322391676</v>
      </c>
      <c r="G344">
        <v>10000</v>
      </c>
      <c r="H344">
        <v>404853.1982184723</v>
      </c>
      <c r="I344">
        <v>48.26306055751526</v>
      </c>
    </row>
    <row r="345" spans="1:9" x14ac:dyDescent="0.2">
      <c r="A345">
        <v>335</v>
      </c>
      <c r="B345">
        <v>1285174.3069242015</v>
      </c>
      <c r="C345">
        <v>109866.92901174125</v>
      </c>
      <c r="D345">
        <v>69631.349736254939</v>
      </c>
      <c r="E345">
        <v>139027.01333942852</v>
      </c>
      <c r="F345">
        <v>45624.947077345052</v>
      </c>
      <c r="G345">
        <v>10000</v>
      </c>
      <c r="H345">
        <v>354150.23916476977</v>
      </c>
      <c r="I345">
        <v>42.939109256425681</v>
      </c>
    </row>
    <row r="346" spans="1:9" x14ac:dyDescent="0.2">
      <c r="A346">
        <v>336</v>
      </c>
      <c r="B346">
        <v>1630585.788843899</v>
      </c>
      <c r="C346">
        <v>112525.65789642661</v>
      </c>
      <c r="D346">
        <v>88157.242009021531</v>
      </c>
      <c r="E346">
        <v>207749.24078091359</v>
      </c>
      <c r="F346">
        <v>50382.639746370944</v>
      </c>
      <c r="G346">
        <v>10000</v>
      </c>
      <c r="H346">
        <v>448814.78043273266</v>
      </c>
      <c r="I346">
        <v>27.890949497962996</v>
      </c>
    </row>
    <row r="347" spans="1:9" x14ac:dyDescent="0.2">
      <c r="A347">
        <v>337</v>
      </c>
      <c r="B347">
        <v>1543074.3395680506</v>
      </c>
      <c r="C347">
        <v>120981.78000103174</v>
      </c>
      <c r="D347">
        <v>114061.71002002302</v>
      </c>
      <c r="E347">
        <v>153182.67684807497</v>
      </c>
      <c r="F347">
        <v>46604.954551020572</v>
      </c>
      <c r="G347">
        <v>10000</v>
      </c>
      <c r="H347">
        <v>424831.12142015033</v>
      </c>
      <c r="I347">
        <v>28.953451776994836</v>
      </c>
    </row>
    <row r="348" spans="1:9" x14ac:dyDescent="0.2">
      <c r="A348">
        <v>338</v>
      </c>
      <c r="B348">
        <v>1035722.0843004908</v>
      </c>
      <c r="C348">
        <v>77296.887554261571</v>
      </c>
      <c r="D348">
        <v>50907.979750096223</v>
      </c>
      <c r="E348">
        <v>123060.17221716448</v>
      </c>
      <c r="F348">
        <v>44519.550384265232</v>
      </c>
      <c r="G348">
        <v>10000</v>
      </c>
      <c r="H348">
        <v>285784.58990578749</v>
      </c>
      <c r="I348">
        <v>30.615713358145104</v>
      </c>
    </row>
    <row r="349" spans="1:9" x14ac:dyDescent="0.2">
      <c r="A349">
        <v>339</v>
      </c>
      <c r="B349">
        <v>1146917.2672720496</v>
      </c>
      <c r="C349">
        <v>136929.76628920319</v>
      </c>
      <c r="D349">
        <v>58047.567688663912</v>
      </c>
      <c r="E349">
        <v>89112.430302245499</v>
      </c>
      <c r="F349">
        <v>42169.322097847769</v>
      </c>
      <c r="G349">
        <v>10000</v>
      </c>
      <c r="H349">
        <v>316259.08637796034</v>
      </c>
      <c r="I349">
        <v>30.963777965247196</v>
      </c>
    </row>
    <row r="350" spans="1:9" x14ac:dyDescent="0.2">
      <c r="A350">
        <v>340</v>
      </c>
      <c r="B350">
        <v>1519178.3600315342</v>
      </c>
      <c r="C350">
        <v>117990.99652034849</v>
      </c>
      <c r="D350">
        <v>75401.979667964479</v>
      </c>
      <c r="E350">
        <v>186011.42498208155</v>
      </c>
      <c r="F350">
        <v>48877.714037221027</v>
      </c>
      <c r="G350">
        <v>10000</v>
      </c>
      <c r="H350">
        <v>418282.11520761554</v>
      </c>
      <c r="I350">
        <v>39.409608699399087</v>
      </c>
    </row>
    <row r="351" spans="1:9" x14ac:dyDescent="0.2">
      <c r="A351">
        <v>341</v>
      </c>
      <c r="B351">
        <v>1569241.7234542684</v>
      </c>
      <c r="C351">
        <v>115935.76200907813</v>
      </c>
      <c r="D351">
        <v>88876.772668325386</v>
      </c>
      <c r="E351">
        <v>188163.40387946408</v>
      </c>
      <c r="F351">
        <v>49026.697191655207</v>
      </c>
      <c r="G351">
        <v>10000</v>
      </c>
      <c r="H351">
        <v>432002.63574852282</v>
      </c>
      <c r="I351">
        <v>35.315853419288345</v>
      </c>
    </row>
    <row r="352" spans="1:9" x14ac:dyDescent="0.2">
      <c r="A352">
        <v>342</v>
      </c>
      <c r="B352">
        <v>965264.94074896513</v>
      </c>
      <c r="C352">
        <v>131822.507455024</v>
      </c>
      <c r="D352">
        <v>33863.165509125487</v>
      </c>
      <c r="E352">
        <v>69946.746730868152</v>
      </c>
      <c r="F352">
        <v>40842.467081367795</v>
      </c>
      <c r="G352">
        <v>10000</v>
      </c>
      <c r="H352">
        <v>266474.88677638542</v>
      </c>
      <c r="I352">
        <v>30.31683223612248</v>
      </c>
    </row>
    <row r="353" spans="1:9" x14ac:dyDescent="0.2">
      <c r="A353">
        <v>343</v>
      </c>
      <c r="B353">
        <v>974823.18491588847</v>
      </c>
      <c r="C353">
        <v>164148.37521976221</v>
      </c>
      <c r="D353">
        <v>44245.548724623506</v>
      </c>
      <c r="E353">
        <v>32453.728279065846</v>
      </c>
      <c r="F353">
        <v>38246.796573166095</v>
      </c>
      <c r="G353">
        <v>10000</v>
      </c>
      <c r="H353">
        <v>269094.44879661768</v>
      </c>
      <c r="I353">
        <v>33.854810097016646</v>
      </c>
    </row>
    <row r="354" spans="1:9" x14ac:dyDescent="0.2">
      <c r="A354">
        <v>344</v>
      </c>
      <c r="B354">
        <v>1341316.714436654</v>
      </c>
      <c r="C354">
        <v>144047.34307192173</v>
      </c>
      <c r="D354">
        <v>86045.316930115063</v>
      </c>
      <c r="E354">
        <v>106098.8372503076</v>
      </c>
      <c r="F354">
        <v>43345.304117328989</v>
      </c>
      <c r="G354">
        <v>10000</v>
      </c>
      <c r="H354">
        <v>369536.8013696734</v>
      </c>
      <c r="I354">
        <v>48.856461242138771</v>
      </c>
    </row>
    <row r="355" spans="1:9" x14ac:dyDescent="0.2">
      <c r="A355">
        <v>345</v>
      </c>
      <c r="B355">
        <v>1164119.4959057521</v>
      </c>
      <c r="C355">
        <v>96944.522769108502</v>
      </c>
      <c r="D355">
        <v>105026.01379746282</v>
      </c>
      <c r="E355">
        <v>86981.265954850649</v>
      </c>
      <c r="F355">
        <v>42021.779950720433</v>
      </c>
      <c r="G355">
        <v>10000</v>
      </c>
      <c r="H355">
        <v>320973.58247214241</v>
      </c>
      <c r="I355">
        <v>39.187614239839291</v>
      </c>
    </row>
    <row r="356" spans="1:9" x14ac:dyDescent="0.2">
      <c r="A356">
        <v>346</v>
      </c>
      <c r="B356">
        <v>869844.8476322752</v>
      </c>
      <c r="C356">
        <v>84054.031021082119</v>
      </c>
      <c r="D356">
        <v>81244.770347174112</v>
      </c>
      <c r="E356">
        <v>45850.681035444723</v>
      </c>
      <c r="F356">
        <v>39174.277917838481</v>
      </c>
      <c r="G356">
        <v>10000</v>
      </c>
      <c r="H356">
        <v>240323.76032153942</v>
      </c>
      <c r="I356">
        <v>50.445946624628348</v>
      </c>
    </row>
    <row r="357" spans="1:9" x14ac:dyDescent="0.2">
      <c r="A357">
        <v>347</v>
      </c>
      <c r="B357">
        <v>1300476.5919713099</v>
      </c>
      <c r="C357">
        <v>114662.39199437633</v>
      </c>
      <c r="D357">
        <v>57205.947218296184</v>
      </c>
      <c r="E357">
        <v>150085.17921149661</v>
      </c>
      <c r="F357">
        <v>46390.512406949761</v>
      </c>
      <c r="G357">
        <v>10000</v>
      </c>
      <c r="H357">
        <v>358344.03083111893</v>
      </c>
      <c r="I357">
        <v>34.388914101125579</v>
      </c>
    </row>
    <row r="358" spans="1:9" x14ac:dyDescent="0.2">
      <c r="A358">
        <v>348</v>
      </c>
      <c r="B358">
        <v>1408548.4393049732</v>
      </c>
      <c r="C358">
        <v>100969.44581035487</v>
      </c>
      <c r="D358">
        <v>90572.068113523594</v>
      </c>
      <c r="E358">
        <v>159386.56765082563</v>
      </c>
      <c r="F358">
        <v>47034.454683518699</v>
      </c>
      <c r="G358">
        <v>10000</v>
      </c>
      <c r="H358">
        <v>387962.53625822277</v>
      </c>
      <c r="I358">
        <v>33.555492284424972</v>
      </c>
    </row>
    <row r="359" spans="1:9" x14ac:dyDescent="0.2">
      <c r="A359">
        <v>349</v>
      </c>
      <c r="B359">
        <v>1293053.9180523632</v>
      </c>
      <c r="C359">
        <v>71958.906673110934</v>
      </c>
      <c r="D359">
        <v>117127.41367881678</v>
      </c>
      <c r="E359">
        <v>132079.46640133372</v>
      </c>
      <c r="F359">
        <v>45143.963058553876</v>
      </c>
      <c r="G359">
        <v>10000</v>
      </c>
      <c r="H359">
        <v>356309.74981181533</v>
      </c>
      <c r="I359">
        <v>41.46386343788086</v>
      </c>
    </row>
    <row r="360" spans="1:9" x14ac:dyDescent="0.2">
      <c r="A360">
        <v>350</v>
      </c>
      <c r="B360">
        <v>1021083.37382607</v>
      </c>
      <c r="C360">
        <v>85891.269489413913</v>
      </c>
      <c r="D360">
        <v>118639.66276931859</v>
      </c>
      <c r="E360">
        <v>47923.917604406764</v>
      </c>
      <c r="F360">
        <v>39317.809680305087</v>
      </c>
      <c r="G360">
        <v>10000</v>
      </c>
      <c r="H360">
        <v>281772.65954344434</v>
      </c>
      <c r="I360">
        <v>45.474379480659358</v>
      </c>
    </row>
    <row r="361" spans="1:9" x14ac:dyDescent="0.2">
      <c r="A361">
        <v>351</v>
      </c>
      <c r="B361">
        <v>1039406.9511812115</v>
      </c>
      <c r="C361">
        <v>104829.26082325616</v>
      </c>
      <c r="D361">
        <v>77462.691411051361</v>
      </c>
      <c r="E361">
        <v>73419.626490721726</v>
      </c>
      <c r="F361">
        <v>41082.897218588427</v>
      </c>
      <c r="G361">
        <v>10000</v>
      </c>
      <c r="H361">
        <v>286794.4759436177</v>
      </c>
      <c r="I361">
        <v>27.693668163374547</v>
      </c>
    </row>
    <row r="362" spans="1:9" x14ac:dyDescent="0.2">
      <c r="A362">
        <v>352</v>
      </c>
      <c r="B362">
        <v>947399.96739301761</v>
      </c>
      <c r="C362">
        <v>110424.12140571665</v>
      </c>
      <c r="D362">
        <v>92256.636183210139</v>
      </c>
      <c r="E362">
        <v>30767.912940180762</v>
      </c>
      <c r="F362">
        <v>38130.086280474054</v>
      </c>
      <c r="G362">
        <v>10000</v>
      </c>
      <c r="H362">
        <v>261578.7568095816</v>
      </c>
      <c r="I362">
        <v>29.645594392033175</v>
      </c>
    </row>
    <row r="363" spans="1:9" x14ac:dyDescent="0.2">
      <c r="A363">
        <v>353</v>
      </c>
      <c r="B363">
        <v>1076286.7021842175</v>
      </c>
      <c r="C363">
        <v>117391.64424536882</v>
      </c>
      <c r="D363">
        <v>76004.529687773713</v>
      </c>
      <c r="E363">
        <v>72487.327433955244</v>
      </c>
      <c r="F363">
        <v>41018.353437735364</v>
      </c>
      <c r="G363">
        <v>10000</v>
      </c>
      <c r="H363">
        <v>296901.85480483313</v>
      </c>
      <c r="I363">
        <v>41.102913106220591</v>
      </c>
    </row>
    <row r="364" spans="1:9" x14ac:dyDescent="0.2">
      <c r="A364">
        <v>354</v>
      </c>
      <c r="B364">
        <v>1188055.5290863076</v>
      </c>
      <c r="C364">
        <v>116648.54965818166</v>
      </c>
      <c r="D364">
        <v>83812.708910477086</v>
      </c>
      <c r="E364">
        <v>94528.057226183271</v>
      </c>
      <c r="F364">
        <v>42544.250115658841</v>
      </c>
      <c r="G364">
        <v>10000</v>
      </c>
      <c r="H364">
        <v>327533.56591050082</v>
      </c>
      <c r="I364">
        <v>37.390957875508988</v>
      </c>
    </row>
    <row r="365" spans="1:9" x14ac:dyDescent="0.2">
      <c r="A365">
        <v>355</v>
      </c>
      <c r="B365">
        <v>1258191.6706553092</v>
      </c>
      <c r="C365">
        <v>146819.54047199883</v>
      </c>
      <c r="D365">
        <v>52158.728355912666</v>
      </c>
      <c r="E365">
        <v>113892.1820416648</v>
      </c>
      <c r="F365">
        <v>43884.843372115261</v>
      </c>
      <c r="G365">
        <v>10000</v>
      </c>
      <c r="H365">
        <v>346755.29424169159</v>
      </c>
      <c r="I365">
        <v>49.053799000964311</v>
      </c>
    </row>
    <row r="366" spans="1:9" x14ac:dyDescent="0.2">
      <c r="A366">
        <v>356</v>
      </c>
      <c r="B366">
        <v>1214023.5362715514</v>
      </c>
      <c r="C366">
        <v>119166.55356758514</v>
      </c>
      <c r="D366">
        <v>99061.253366595774</v>
      </c>
      <c r="E366">
        <v>84567.928748578692</v>
      </c>
      <c r="F366">
        <v>41854.702759516986</v>
      </c>
      <c r="G366">
        <v>10000</v>
      </c>
      <c r="H366">
        <v>334650.43844227662</v>
      </c>
      <c r="I366">
        <v>24.247829587574458</v>
      </c>
    </row>
    <row r="367" spans="1:9" x14ac:dyDescent="0.2">
      <c r="A367">
        <v>357</v>
      </c>
      <c r="B367">
        <v>1558032.3313872395</v>
      </c>
      <c r="C367">
        <v>136349.42366374881</v>
      </c>
      <c r="D367">
        <v>111874.0601233635</v>
      </c>
      <c r="E367">
        <v>144690.06661824408</v>
      </c>
      <c r="F367">
        <v>46017.00461203228</v>
      </c>
      <c r="G367">
        <v>10000</v>
      </c>
      <c r="H367">
        <v>428930.5550173886</v>
      </c>
      <c r="I367">
        <v>42.617221917107656</v>
      </c>
    </row>
    <row r="368" spans="1:9" x14ac:dyDescent="0.2">
      <c r="A368">
        <v>358</v>
      </c>
      <c r="B368">
        <v>1271113.5803254745</v>
      </c>
      <c r="C368">
        <v>151109.68550594457</v>
      </c>
      <c r="D368">
        <v>143829.33587363324</v>
      </c>
      <c r="E368">
        <v>27456.833753751995</v>
      </c>
      <c r="F368">
        <v>37900.857721413602</v>
      </c>
      <c r="G368">
        <v>10000</v>
      </c>
      <c r="H368">
        <v>350296.71285474341</v>
      </c>
      <c r="I368">
        <v>38.396091280976627</v>
      </c>
    </row>
    <row r="369" spans="1:9" x14ac:dyDescent="0.2">
      <c r="A369">
        <v>359</v>
      </c>
      <c r="B369">
        <v>1471791.5706713435</v>
      </c>
      <c r="C369">
        <v>110163.65875371733</v>
      </c>
      <c r="D369">
        <v>131587.77847732781</v>
      </c>
      <c r="E369">
        <v>128637.99993119924</v>
      </c>
      <c r="F369">
        <v>44905.707687544564</v>
      </c>
      <c r="G369">
        <v>10000</v>
      </c>
      <c r="H369">
        <v>405295.14484978898</v>
      </c>
      <c r="I369">
        <v>34.28134981530927</v>
      </c>
    </row>
    <row r="370" spans="1:9" x14ac:dyDescent="0.2">
      <c r="A370">
        <v>360</v>
      </c>
      <c r="B370">
        <v>1255403.4937422336</v>
      </c>
      <c r="C370">
        <v>126110.44220110284</v>
      </c>
      <c r="D370">
        <v>74603.86272737151</v>
      </c>
      <c r="E370">
        <v>111553.89120801281</v>
      </c>
      <c r="F370">
        <v>43722.961699016269</v>
      </c>
      <c r="G370">
        <v>10000</v>
      </c>
      <c r="H370">
        <v>345991.15783550346</v>
      </c>
      <c r="I370">
        <v>49.160202020930164</v>
      </c>
    </row>
    <row r="371" spans="1:9" x14ac:dyDescent="0.2">
      <c r="A371">
        <v>361</v>
      </c>
      <c r="B371">
        <v>1472379.0049865232</v>
      </c>
      <c r="C371">
        <v>124272.22918155027</v>
      </c>
      <c r="D371">
        <v>81786.179735610931</v>
      </c>
      <c r="E371">
        <v>162170.53885049192</v>
      </c>
      <c r="F371">
        <v>47227.191151187901</v>
      </c>
      <c r="G371">
        <v>10000</v>
      </c>
      <c r="H371">
        <v>405456.13891884102</v>
      </c>
      <c r="I371">
        <v>50.434030360499946</v>
      </c>
    </row>
    <row r="372" spans="1:9" x14ac:dyDescent="0.2">
      <c r="A372">
        <v>362</v>
      </c>
      <c r="B372">
        <v>1326131.409546969</v>
      </c>
      <c r="C372">
        <v>109904.93658111479</v>
      </c>
      <c r="D372">
        <v>63173.498239168148</v>
      </c>
      <c r="E372">
        <v>155529.22681712481</v>
      </c>
      <c r="F372">
        <v>46767.408010416337</v>
      </c>
      <c r="G372">
        <v>10000</v>
      </c>
      <c r="H372">
        <v>365375.06964782404</v>
      </c>
      <c r="I372">
        <v>24.885257871968385</v>
      </c>
    </row>
    <row r="373" spans="1:9" x14ac:dyDescent="0.2">
      <c r="A373">
        <v>363</v>
      </c>
      <c r="B373">
        <v>1397561.0263632408</v>
      </c>
      <c r="C373">
        <v>98502.617965930796</v>
      </c>
      <c r="D373">
        <v>128209.90784787439</v>
      </c>
      <c r="E373">
        <v>123676.54374132659</v>
      </c>
      <c r="F373">
        <v>44562.22225901491</v>
      </c>
      <c r="G373">
        <v>10000</v>
      </c>
      <c r="H373">
        <v>384951.29181414668</v>
      </c>
      <c r="I373">
        <v>31.719796026348352</v>
      </c>
    </row>
    <row r="374" spans="1:9" x14ac:dyDescent="0.2">
      <c r="A374">
        <v>364</v>
      </c>
      <c r="B374">
        <v>1211709.0356794642</v>
      </c>
      <c r="C374">
        <v>114766.58982942211</v>
      </c>
      <c r="D374">
        <v>70791.219964762102</v>
      </c>
      <c r="E374">
        <v>114529.35415485456</v>
      </c>
      <c r="F374">
        <v>43928.955287643774</v>
      </c>
      <c r="G374">
        <v>10000</v>
      </c>
      <c r="H374">
        <v>334016.11923668254</v>
      </c>
      <c r="I374">
        <v>35.444567907708041</v>
      </c>
    </row>
    <row r="375" spans="1:9" x14ac:dyDescent="0.2">
      <c r="A375">
        <v>365</v>
      </c>
      <c r="B375">
        <v>1206812.4895268632</v>
      </c>
      <c r="C375">
        <v>87453.815933511301</v>
      </c>
      <c r="D375">
        <v>88154.371749963917</v>
      </c>
      <c r="E375">
        <v>122579.68318014531</v>
      </c>
      <c r="F375">
        <v>44486.285758625439</v>
      </c>
      <c r="G375">
        <v>10000</v>
      </c>
      <c r="H375">
        <v>332674.15662224597</v>
      </c>
      <c r="I375">
        <v>33.346800041895065</v>
      </c>
    </row>
    <row r="376" spans="1:9" x14ac:dyDescent="0.2">
      <c r="A376">
        <v>366</v>
      </c>
      <c r="B376">
        <v>1183929.2483716533</v>
      </c>
      <c r="C376">
        <v>112096.9165554036</v>
      </c>
      <c r="D376">
        <v>32711.766726298549</v>
      </c>
      <c r="E376">
        <v>145519.58831067482</v>
      </c>
      <c r="F376">
        <v>46074.433036892871</v>
      </c>
      <c r="G376">
        <v>10000</v>
      </c>
      <c r="H376">
        <v>326402.70462926984</v>
      </c>
      <c r="I376">
        <v>28.292944149640505</v>
      </c>
    </row>
    <row r="377" spans="1:9" x14ac:dyDescent="0.2">
      <c r="A377">
        <v>367</v>
      </c>
      <c r="B377">
        <v>1235218.4157344764</v>
      </c>
      <c r="C377">
        <v>155287.14134483502</v>
      </c>
      <c r="D377">
        <v>87102.546461123653</v>
      </c>
      <c r="E377">
        <v>67403.115459368288</v>
      </c>
      <c r="F377">
        <v>40666.369531802426</v>
      </c>
      <c r="G377">
        <v>10000</v>
      </c>
      <c r="H377">
        <v>340459.17279712937</v>
      </c>
      <c r="I377">
        <v>38.145740017685995</v>
      </c>
    </row>
    <row r="378" spans="1:9" x14ac:dyDescent="0.2">
      <c r="A378">
        <v>368</v>
      </c>
      <c r="B378">
        <v>1492206.828360362</v>
      </c>
      <c r="C378">
        <v>96782.366968261471</v>
      </c>
      <c r="D378">
        <v>75508.320022097687</v>
      </c>
      <c r="E378">
        <v>198834.08967700676</v>
      </c>
      <c r="F378">
        <v>49765.436977638929</v>
      </c>
      <c r="G378">
        <v>10000</v>
      </c>
      <c r="H378">
        <v>410890.21364500484</v>
      </c>
      <c r="I378">
        <v>33.740365825155244</v>
      </c>
    </row>
    <row r="379" spans="1:9" x14ac:dyDescent="0.2">
      <c r="A379">
        <v>369</v>
      </c>
      <c r="B379">
        <v>1553695.6138549582</v>
      </c>
      <c r="C379">
        <v>146676.03775239317</v>
      </c>
      <c r="D379">
        <v>81607.525863518793</v>
      </c>
      <c r="E379">
        <v>162227.33402873419</v>
      </c>
      <c r="F379">
        <v>47231.123125066209</v>
      </c>
      <c r="G379">
        <v>10000</v>
      </c>
      <c r="H379">
        <v>427742.02076971234</v>
      </c>
      <c r="I379">
        <v>46.72131592212034</v>
      </c>
    </row>
    <row r="380" spans="1:9" x14ac:dyDescent="0.2">
      <c r="A380">
        <v>370</v>
      </c>
      <c r="B380">
        <v>1480187.251427304</v>
      </c>
      <c r="C380">
        <v>128543.82323679779</v>
      </c>
      <c r="D380">
        <v>91628.726414056538</v>
      </c>
      <c r="E380">
        <v>150971.65750641495</v>
      </c>
      <c r="F380">
        <v>46451.883981213345</v>
      </c>
      <c r="G380">
        <v>10000</v>
      </c>
      <c r="H380">
        <v>407596.09113848256</v>
      </c>
      <c r="I380">
        <v>33.823092977830328</v>
      </c>
    </row>
    <row r="381" spans="1:9" x14ac:dyDescent="0.2">
      <c r="A381">
        <v>371</v>
      </c>
      <c r="B381">
        <v>1298366.3550064238</v>
      </c>
      <c r="C381">
        <v>101006.38293018955</v>
      </c>
      <c r="D381">
        <v>75849.1491317482</v>
      </c>
      <c r="E381">
        <v>144880.00639728858</v>
      </c>
      <c r="F381">
        <v>46030.154289043057</v>
      </c>
      <c r="G381">
        <v>10000</v>
      </c>
      <c r="H381">
        <v>357765.69274826936</v>
      </c>
      <c r="I381">
        <v>38.748385390820047</v>
      </c>
    </row>
    <row r="382" spans="1:9" x14ac:dyDescent="0.2">
      <c r="A382">
        <v>372</v>
      </c>
      <c r="B382">
        <v>1607458.8970019203</v>
      </c>
      <c r="C382">
        <v>93383.845194203313</v>
      </c>
      <c r="D382">
        <v>123157.75654473892</v>
      </c>
      <c r="E382">
        <v>186989.52255394828</v>
      </c>
      <c r="F382">
        <v>48945.428484504111</v>
      </c>
      <c r="G382">
        <v>10000</v>
      </c>
      <c r="H382">
        <v>442476.55277739465</v>
      </c>
      <c r="I382">
        <v>36.376581045258071</v>
      </c>
    </row>
    <row r="383" spans="1:9" x14ac:dyDescent="0.2">
      <c r="A383">
        <v>373</v>
      </c>
      <c r="B383">
        <v>1143098.8200368094</v>
      </c>
      <c r="C383">
        <v>106628.99508599997</v>
      </c>
      <c r="D383">
        <v>132349.47279834465</v>
      </c>
      <c r="E383">
        <v>46981.553894076875</v>
      </c>
      <c r="F383">
        <v>39252.569115743783</v>
      </c>
      <c r="G383">
        <v>10000</v>
      </c>
      <c r="H383">
        <v>315212.59089416527</v>
      </c>
      <c r="I383">
        <v>46.786211882295603</v>
      </c>
    </row>
    <row r="384" spans="1:9" x14ac:dyDescent="0.2">
      <c r="A384">
        <v>374</v>
      </c>
      <c r="B384">
        <v>1313141.6813307812</v>
      </c>
      <c r="C384">
        <v>143862.59282927166</v>
      </c>
      <c r="D384">
        <v>87719.558395818414</v>
      </c>
      <c r="E384">
        <v>97484.019585179907</v>
      </c>
      <c r="F384">
        <v>42748.893663589377</v>
      </c>
      <c r="G384">
        <v>10000</v>
      </c>
      <c r="H384">
        <v>361815.06447385938</v>
      </c>
      <c r="I384">
        <v>28.592607078664123</v>
      </c>
    </row>
    <row r="385" spans="1:9" x14ac:dyDescent="0.2">
      <c r="A385">
        <v>375</v>
      </c>
      <c r="B385">
        <v>1242532.7277558406</v>
      </c>
      <c r="C385">
        <v>87291.375568819232</v>
      </c>
      <c r="D385">
        <v>106798.68846708687</v>
      </c>
      <c r="E385">
        <v>114450.21533664635</v>
      </c>
      <c r="F385">
        <v>43923.476446383203</v>
      </c>
      <c r="G385">
        <v>10000</v>
      </c>
      <c r="H385">
        <v>342463.75581893569</v>
      </c>
      <c r="I385">
        <v>30.7458388710468</v>
      </c>
    </row>
    <row r="386" spans="1:9" x14ac:dyDescent="0.2">
      <c r="A386">
        <v>376</v>
      </c>
      <c r="B386">
        <v>1474752.2993845425</v>
      </c>
      <c r="C386">
        <v>107637.54624284747</v>
      </c>
      <c r="D386">
        <v>85587.156388308358</v>
      </c>
      <c r="E386">
        <v>174781.60382571095</v>
      </c>
      <c r="F386">
        <v>48100.264880241521</v>
      </c>
      <c r="G386">
        <v>10000</v>
      </c>
      <c r="H386">
        <v>406106.57133710833</v>
      </c>
      <c r="I386">
        <v>41.481968702652978</v>
      </c>
    </row>
    <row r="387" spans="1:9" x14ac:dyDescent="0.2">
      <c r="A387">
        <v>377</v>
      </c>
      <c r="B387">
        <v>1454815.4163073834</v>
      </c>
      <c r="C387">
        <v>133341.30939005417</v>
      </c>
      <c r="D387">
        <v>115805.45802631714</v>
      </c>
      <c r="E387">
        <v>117370.21002917594</v>
      </c>
      <c r="F387">
        <v>44125.629925096793</v>
      </c>
      <c r="G387">
        <v>10000</v>
      </c>
      <c r="H387">
        <v>400642.60737064405</v>
      </c>
      <c r="I387">
        <v>32.942236322006892</v>
      </c>
    </row>
    <row r="388" spans="1:9" x14ac:dyDescent="0.2">
      <c r="A388">
        <v>378</v>
      </c>
      <c r="B388">
        <v>1223352.9483978103</v>
      </c>
      <c r="C388">
        <v>118022.03663105691</v>
      </c>
      <c r="D388">
        <v>111754.28210847249</v>
      </c>
      <c r="E388">
        <v>76158.458630291425</v>
      </c>
      <c r="F388">
        <v>41272.508674404795</v>
      </c>
      <c r="G388">
        <v>10000</v>
      </c>
      <c r="H388">
        <v>337207.28604422568</v>
      </c>
      <c r="I388">
        <v>46.245450483634713</v>
      </c>
    </row>
    <row r="389" spans="1:9" x14ac:dyDescent="0.2">
      <c r="A389">
        <v>379</v>
      </c>
      <c r="B389">
        <v>1265804.1395375761</v>
      </c>
      <c r="C389">
        <v>98475.362461189477</v>
      </c>
      <c r="D389">
        <v>165552.24676445051</v>
      </c>
      <c r="E389">
        <v>55005.882288204346</v>
      </c>
      <c r="F389">
        <v>39808.09954302953</v>
      </c>
      <c r="G389">
        <v>10000</v>
      </c>
      <c r="H389">
        <v>348841.59105687379</v>
      </c>
      <c r="I389">
        <v>36.928334977341862</v>
      </c>
    </row>
    <row r="390" spans="1:9" x14ac:dyDescent="0.2">
      <c r="A390">
        <v>380</v>
      </c>
      <c r="B390">
        <v>1320623.0467916341</v>
      </c>
      <c r="C390">
        <v>108558.79409757018</v>
      </c>
      <c r="D390">
        <v>86034.494967978448</v>
      </c>
      <c r="E390">
        <v>133995.52812772599</v>
      </c>
      <c r="F390">
        <v>45276.613485765643</v>
      </c>
      <c r="G390">
        <v>10000</v>
      </c>
      <c r="H390">
        <v>363865.43067904026</v>
      </c>
      <c r="I390">
        <v>32.465945468101893</v>
      </c>
    </row>
    <row r="391" spans="1:9" x14ac:dyDescent="0.2">
      <c r="A391">
        <v>381</v>
      </c>
      <c r="B391">
        <v>1602081.4850710463</v>
      </c>
      <c r="C391">
        <v>93966.067160119041</v>
      </c>
      <c r="D391">
        <v>103761.40286791082</v>
      </c>
      <c r="E391">
        <v>203207.14556849282</v>
      </c>
      <c r="F391">
        <v>50068.187000895661</v>
      </c>
      <c r="G391">
        <v>10000</v>
      </c>
      <c r="H391">
        <v>441002.80259741837</v>
      </c>
      <c r="I391">
        <v>35.524241637213777</v>
      </c>
    </row>
    <row r="392" spans="1:9" x14ac:dyDescent="0.2">
      <c r="A392">
        <v>382</v>
      </c>
      <c r="B392">
        <v>1381833.396260987</v>
      </c>
      <c r="C392">
        <v>103430.12644612815</v>
      </c>
      <c r="D392">
        <v>76537.29653082852</v>
      </c>
      <c r="E392">
        <v>163363.71044804584</v>
      </c>
      <c r="F392">
        <v>47309.795338710865</v>
      </c>
      <c r="G392">
        <v>10000</v>
      </c>
      <c r="H392">
        <v>380640.9287637134</v>
      </c>
      <c r="I392">
        <v>30.593560923599391</v>
      </c>
    </row>
    <row r="393" spans="1:9" x14ac:dyDescent="0.2">
      <c r="A393">
        <v>383</v>
      </c>
      <c r="B393">
        <v>1905708.7711300049</v>
      </c>
      <c r="C393">
        <v>149386.35925448616</v>
      </c>
      <c r="D393">
        <v>165405.59959644123</v>
      </c>
      <c r="E393">
        <v>171547.51254226678</v>
      </c>
      <c r="F393">
        <v>47876.366252926156</v>
      </c>
      <c r="G393">
        <v>10000</v>
      </c>
      <c r="H393">
        <v>524215.83764612034</v>
      </c>
      <c r="I393">
        <v>39.557117643892866</v>
      </c>
    </row>
    <row r="394" spans="1:9" x14ac:dyDescent="0.2">
      <c r="A394">
        <v>384</v>
      </c>
      <c r="B394">
        <v>846940.97443072964</v>
      </c>
      <c r="C394">
        <v>95911.582239157025</v>
      </c>
      <c r="D394">
        <v>83603.667935149657</v>
      </c>
      <c r="E394">
        <v>26684.046599425168</v>
      </c>
      <c r="F394">
        <v>37847.357072267892</v>
      </c>
      <c r="G394">
        <v>10000</v>
      </c>
      <c r="H394">
        <v>234046.65384599974</v>
      </c>
      <c r="I394">
        <v>33.141262919727474</v>
      </c>
    </row>
    <row r="395" spans="1:9" x14ac:dyDescent="0.2">
      <c r="A395">
        <v>385</v>
      </c>
      <c r="B395">
        <v>1267487.3536307102</v>
      </c>
      <c r="C395">
        <v>127043.26525772452</v>
      </c>
      <c r="D395">
        <v>48113.913962663901</v>
      </c>
      <c r="E395">
        <v>138553.54987044667</v>
      </c>
      <c r="F395">
        <v>45592.16883718477</v>
      </c>
      <c r="G395">
        <v>10000</v>
      </c>
      <c r="H395">
        <v>349302.89792801987</v>
      </c>
      <c r="I395">
        <v>43.322384010741771</v>
      </c>
    </row>
    <row r="396" spans="1:9" x14ac:dyDescent="0.2">
      <c r="A396">
        <v>386</v>
      </c>
      <c r="B396">
        <v>1305432.289048105</v>
      </c>
      <c r="C396">
        <v>110109.68097364738</v>
      </c>
      <c r="D396">
        <v>120368.84393017557</v>
      </c>
      <c r="E396">
        <v>96540.13202557317</v>
      </c>
      <c r="F396">
        <v>42683.54760177045</v>
      </c>
      <c r="G396">
        <v>10000</v>
      </c>
      <c r="H396">
        <v>359702.20453116653</v>
      </c>
      <c r="I396">
        <v>48.930678618003121</v>
      </c>
    </row>
    <row r="397" spans="1:9" x14ac:dyDescent="0.2">
      <c r="A397">
        <v>387</v>
      </c>
      <c r="B397">
        <v>1787066.2128101103</v>
      </c>
      <c r="C397">
        <v>154986.63907274522</v>
      </c>
      <c r="D397">
        <v>108104.98331583664</v>
      </c>
      <c r="E397">
        <v>189490.12116582482</v>
      </c>
      <c r="F397">
        <v>49118.546849941718</v>
      </c>
      <c r="G397">
        <v>10000</v>
      </c>
      <c r="H397">
        <v>491700.2904043484</v>
      </c>
      <c r="I397">
        <v>27.203870795523976</v>
      </c>
    </row>
    <row r="398" spans="1:9" x14ac:dyDescent="0.2">
      <c r="A398">
        <v>388</v>
      </c>
      <c r="B398">
        <v>1108068.3012367447</v>
      </c>
      <c r="C398">
        <v>113216.4332792557</v>
      </c>
      <c r="D398">
        <v>81418.75027665525</v>
      </c>
      <c r="E398">
        <v>79474.73756954509</v>
      </c>
      <c r="F398">
        <v>41502.097216353119</v>
      </c>
      <c r="G398">
        <v>10000</v>
      </c>
      <c r="H398">
        <v>305612.01834180916</v>
      </c>
      <c r="I398">
        <v>44.536450837398135</v>
      </c>
    </row>
    <row r="399" spans="1:9" x14ac:dyDescent="0.2">
      <c r="A399">
        <v>389</v>
      </c>
      <c r="B399">
        <v>739110.85827842983</v>
      </c>
      <c r="C399">
        <v>93304.122316765337</v>
      </c>
      <c r="D399">
        <v>34040.0091021361</v>
      </c>
      <c r="E399">
        <v>47838.378831498267</v>
      </c>
      <c r="F399">
        <v>39311.887765257576</v>
      </c>
      <c r="G399">
        <v>10000</v>
      </c>
      <c r="H399">
        <v>204494.39801565727</v>
      </c>
      <c r="I399">
        <v>35.063692172569944</v>
      </c>
    </row>
    <row r="400" spans="1:9" x14ac:dyDescent="0.2">
      <c r="A400">
        <v>390</v>
      </c>
      <c r="B400">
        <v>1350333.1894812682</v>
      </c>
      <c r="C400">
        <v>130085.42196009826</v>
      </c>
      <c r="D400">
        <v>122266.93124874693</v>
      </c>
      <c r="E400">
        <v>87591.504052651435</v>
      </c>
      <c r="F400">
        <v>42064.027203645092</v>
      </c>
      <c r="G400">
        <v>10000</v>
      </c>
      <c r="H400">
        <v>372007.88446514169</v>
      </c>
      <c r="I400">
        <v>31.604688102958058</v>
      </c>
    </row>
    <row r="401" spans="1:9" x14ac:dyDescent="0.2">
      <c r="A401">
        <v>391</v>
      </c>
      <c r="B401">
        <v>1735410.2664064937</v>
      </c>
      <c r="C401">
        <v>166386.94330859662</v>
      </c>
      <c r="D401">
        <v>88066.928186588644</v>
      </c>
      <c r="E401">
        <v>184328.24401641308</v>
      </c>
      <c r="F401">
        <v>48761.186124213214</v>
      </c>
      <c r="G401">
        <v>10000</v>
      </c>
      <c r="H401">
        <v>477543.30163581151</v>
      </c>
      <c r="I401">
        <v>44.802507728092088</v>
      </c>
    </row>
    <row r="402" spans="1:9" x14ac:dyDescent="0.2">
      <c r="A402">
        <v>392</v>
      </c>
      <c r="B402">
        <v>1212507.2625444559</v>
      </c>
      <c r="C402">
        <v>82487.367352115441</v>
      </c>
      <c r="D402">
        <v>128666.86080359008</v>
      </c>
      <c r="E402">
        <v>90794.857764317436</v>
      </c>
      <c r="F402">
        <v>42285.797845221976</v>
      </c>
      <c r="G402">
        <v>10000</v>
      </c>
      <c r="H402">
        <v>334234.88376524497</v>
      </c>
      <c r="I402">
        <v>32.755090157735815</v>
      </c>
    </row>
    <row r="403" spans="1:9" x14ac:dyDescent="0.2">
      <c r="A403">
        <v>393</v>
      </c>
      <c r="B403">
        <v>1315079.8272629085</v>
      </c>
      <c r="C403">
        <v>99983.275473660848</v>
      </c>
      <c r="D403">
        <v>68891.491335897241</v>
      </c>
      <c r="E403">
        <v>156627.99534457337</v>
      </c>
      <c r="F403">
        <v>46843.476600778158</v>
      </c>
      <c r="G403">
        <v>10000</v>
      </c>
      <c r="H403">
        <v>362346.2387549096</v>
      </c>
      <c r="I403">
        <v>25.348312798419354</v>
      </c>
    </row>
    <row r="404" spans="1:9" x14ac:dyDescent="0.2">
      <c r="A404">
        <v>394</v>
      </c>
      <c r="B404">
        <v>1397251.3895894652</v>
      </c>
      <c r="C404">
        <v>136200.55999223024</v>
      </c>
      <c r="D404">
        <v>54258.754430967012</v>
      </c>
      <c r="E404">
        <v>157503.05941740543</v>
      </c>
      <c r="F404">
        <v>46904.057959666527</v>
      </c>
      <c r="G404">
        <v>10000</v>
      </c>
      <c r="H404">
        <v>384866.43180026923</v>
      </c>
      <c r="I404">
        <v>29.766019984547057</v>
      </c>
    </row>
    <row r="405" spans="1:9" x14ac:dyDescent="0.2">
      <c r="A405">
        <v>395</v>
      </c>
      <c r="B405">
        <v>1197710.9048956903</v>
      </c>
      <c r="C405">
        <v>104448.39742692698</v>
      </c>
      <c r="D405">
        <v>60734.305639457969</v>
      </c>
      <c r="E405">
        <v>129997.23639015574</v>
      </c>
      <c r="F405">
        <v>44999.808673164625</v>
      </c>
      <c r="G405">
        <v>10000</v>
      </c>
      <c r="H405">
        <v>330179.74812970532</v>
      </c>
      <c r="I405">
        <v>33.96539879375959</v>
      </c>
    </row>
    <row r="406" spans="1:9" x14ac:dyDescent="0.2">
      <c r="A406">
        <v>396</v>
      </c>
      <c r="B406">
        <v>1370278.8058841974</v>
      </c>
      <c r="C406">
        <v>85419.848858167577</v>
      </c>
      <c r="D406">
        <v>108657.46218649139</v>
      </c>
      <c r="E406">
        <v>147205.76268349437</v>
      </c>
      <c r="F406">
        <v>46191.168185780378</v>
      </c>
      <c r="G406">
        <v>10000</v>
      </c>
      <c r="H406">
        <v>377474.24191393377</v>
      </c>
      <c r="I406">
        <v>40.965652403052431</v>
      </c>
    </row>
    <row r="407" spans="1:9" x14ac:dyDescent="0.2">
      <c r="A407">
        <v>397</v>
      </c>
      <c r="B407">
        <v>1337956.2445167622</v>
      </c>
      <c r="C407">
        <v>85981.557046753194</v>
      </c>
      <c r="D407">
        <v>63305.689481452493</v>
      </c>
      <c r="E407">
        <v>180810.89658428961</v>
      </c>
      <c r="F407">
        <v>48517.67745583543</v>
      </c>
      <c r="G407">
        <v>10000</v>
      </c>
      <c r="H407">
        <v>368615.82056833076</v>
      </c>
      <c r="I407">
        <v>33.678816476348402</v>
      </c>
    </row>
    <row r="408" spans="1:9" x14ac:dyDescent="0.2">
      <c r="A408">
        <v>398</v>
      </c>
      <c r="B408">
        <v>1156214.1932299186</v>
      </c>
      <c r="C408">
        <v>160075.00288707574</v>
      </c>
      <c r="D408">
        <v>100370.54520223325</v>
      </c>
      <c r="E408">
        <v>30266.134834380846</v>
      </c>
      <c r="F408">
        <v>38095.347796226364</v>
      </c>
      <c r="G408">
        <v>10000</v>
      </c>
      <c r="H408">
        <v>318807.03071991622</v>
      </c>
      <c r="I408">
        <v>37.861222623884295</v>
      </c>
    </row>
    <row r="409" spans="1:9" x14ac:dyDescent="0.2">
      <c r="A409">
        <v>399</v>
      </c>
      <c r="B409">
        <v>1062131.5556420905</v>
      </c>
      <c r="C409">
        <v>92137.152862487666</v>
      </c>
      <c r="D409">
        <v>54657.375324930275</v>
      </c>
      <c r="E409">
        <v>112443.38148962928</v>
      </c>
      <c r="F409">
        <v>43784.541795435871</v>
      </c>
      <c r="G409">
        <v>10000</v>
      </c>
      <c r="H409">
        <v>293022.45147248311</v>
      </c>
      <c r="I409">
        <v>31.042133683729407</v>
      </c>
    </row>
    <row r="410" spans="1:9" x14ac:dyDescent="0.2">
      <c r="A410">
        <v>400</v>
      </c>
      <c r="B410">
        <v>1211714.9610529076</v>
      </c>
      <c r="C410">
        <v>117550.63108701041</v>
      </c>
      <c r="D410">
        <v>85439.009720878355</v>
      </c>
      <c r="E410">
        <v>98227.721626982311</v>
      </c>
      <c r="F410">
        <v>42800.380728021853</v>
      </c>
      <c r="G410">
        <v>10000</v>
      </c>
      <c r="H410">
        <v>334017.74316289293</v>
      </c>
      <c r="I410">
        <v>29.384738590108061</v>
      </c>
    </row>
    <row r="411" spans="1:9" x14ac:dyDescent="0.2">
      <c r="A411">
        <v>401</v>
      </c>
      <c r="B411">
        <v>1010556.472802371</v>
      </c>
      <c r="C411">
        <v>118326.81235921581</v>
      </c>
      <c r="D411">
        <v>55328.732194059055</v>
      </c>
      <c r="E411">
        <v>74101.945201796552</v>
      </c>
      <c r="F411">
        <v>41130.134667816681</v>
      </c>
      <c r="G411">
        <v>10000</v>
      </c>
      <c r="H411">
        <v>278887.6244228881</v>
      </c>
      <c r="I411">
        <v>29.436698111957035</v>
      </c>
    </row>
    <row r="412" spans="1:9" x14ac:dyDescent="0.2">
      <c r="A412">
        <v>402</v>
      </c>
      <c r="B412">
        <v>1938563.9516576796</v>
      </c>
      <c r="C412">
        <v>147892.27248804198</v>
      </c>
      <c r="D412">
        <v>149174.30808345304</v>
      </c>
      <c r="E412">
        <v>196546.5788355667</v>
      </c>
      <c r="F412">
        <v>49607.070842462308</v>
      </c>
      <c r="G412">
        <v>10000</v>
      </c>
      <c r="H412">
        <v>533220.230249524</v>
      </c>
      <c r="I412">
        <v>34.926787449261326</v>
      </c>
    </row>
    <row r="413" spans="1:9" x14ac:dyDescent="0.2">
      <c r="A413">
        <v>403</v>
      </c>
      <c r="B413">
        <v>1051589.9425510985</v>
      </c>
      <c r="C413">
        <v>111475.59114346142</v>
      </c>
      <c r="D413">
        <v>77743.854161884767</v>
      </c>
      <c r="E413">
        <v>70063.396198106217</v>
      </c>
      <c r="F413">
        <v>40850.542813715045</v>
      </c>
      <c r="G413">
        <v>10000</v>
      </c>
      <c r="H413">
        <v>290133.38431716745</v>
      </c>
      <c r="I413">
        <v>33.649296691474177</v>
      </c>
    </row>
    <row r="414" spans="1:9" x14ac:dyDescent="0.2">
      <c r="A414">
        <v>404</v>
      </c>
      <c r="B414">
        <v>1596805.2171748311</v>
      </c>
      <c r="C414">
        <v>123597.01005374739</v>
      </c>
      <c r="D414">
        <v>133743.05650330317</v>
      </c>
      <c r="E414">
        <v>146101.95497871013</v>
      </c>
      <c r="F414">
        <v>46114.750729295316</v>
      </c>
      <c r="G414">
        <v>10000</v>
      </c>
      <c r="H414">
        <v>439556.77226505603</v>
      </c>
      <c r="I414">
        <v>51.51072927359224</v>
      </c>
    </row>
    <row r="415" spans="1:9" x14ac:dyDescent="0.2">
      <c r="A415">
        <v>405</v>
      </c>
      <c r="B415">
        <v>1570624.5828475333</v>
      </c>
      <c r="C415">
        <v>140989.03886009459</v>
      </c>
      <c r="D415">
        <v>159381.00983531828</v>
      </c>
      <c r="E415">
        <v>99147.518791091788</v>
      </c>
      <c r="F415">
        <v>42864.058993229432</v>
      </c>
      <c r="G415">
        <v>10000</v>
      </c>
      <c r="H415">
        <v>432381.62647973408</v>
      </c>
      <c r="I415">
        <v>36.113039715951089</v>
      </c>
    </row>
    <row r="416" spans="1:9" x14ac:dyDescent="0.2">
      <c r="A416">
        <v>406</v>
      </c>
      <c r="B416">
        <v>1009617.7232421315</v>
      </c>
      <c r="C416">
        <v>144340.49270780274</v>
      </c>
      <c r="D416">
        <v>42991.044702847743</v>
      </c>
      <c r="E416">
        <v>61070.829868908011</v>
      </c>
      <c r="F416">
        <v>40227.980529385939</v>
      </c>
      <c r="G416">
        <v>10000</v>
      </c>
      <c r="H416">
        <v>278630.34780894441</v>
      </c>
      <c r="I416">
        <v>29.01990219795983</v>
      </c>
    </row>
    <row r="417" spans="1:9" x14ac:dyDescent="0.2">
      <c r="A417">
        <v>407</v>
      </c>
      <c r="B417">
        <v>1309813.0471469539</v>
      </c>
      <c r="C417">
        <v>105816.70159225359</v>
      </c>
      <c r="D417">
        <v>74535.034122790079</v>
      </c>
      <c r="E417">
        <v>144544.16895349455</v>
      </c>
      <c r="F417">
        <v>46006.904004472701</v>
      </c>
      <c r="G417">
        <v>10000</v>
      </c>
      <c r="H417">
        <v>360902.80867301096</v>
      </c>
      <c r="I417">
        <v>31.260451615536255</v>
      </c>
    </row>
    <row r="418" spans="1:9" x14ac:dyDescent="0.2">
      <c r="A418">
        <v>408</v>
      </c>
      <c r="B418">
        <v>1278792.2785761915</v>
      </c>
      <c r="C418">
        <v>141149.02726625314</v>
      </c>
      <c r="D418">
        <v>144779.46962688598</v>
      </c>
      <c r="E418">
        <v>37852.131614100108</v>
      </c>
      <c r="F418">
        <v>38620.532188668469</v>
      </c>
      <c r="G418">
        <v>10000</v>
      </c>
      <c r="H418">
        <v>352401.16069590766</v>
      </c>
      <c r="I418">
        <v>32.636155435129481</v>
      </c>
    </row>
    <row r="419" spans="1:9" x14ac:dyDescent="0.2">
      <c r="A419">
        <v>409</v>
      </c>
      <c r="B419">
        <v>1407353.3902488824</v>
      </c>
      <c r="C419">
        <v>135447.6318025928</v>
      </c>
      <c r="D419">
        <v>37433.358197945723</v>
      </c>
      <c r="E419">
        <v>176532.54362045098</v>
      </c>
      <c r="F419">
        <v>48221.483789108141</v>
      </c>
      <c r="G419">
        <v>10000</v>
      </c>
      <c r="H419">
        <v>387635.01741009764</v>
      </c>
      <c r="I419">
        <v>31.21259545106648</v>
      </c>
    </row>
    <row r="420" spans="1:9" x14ac:dyDescent="0.2">
      <c r="A420">
        <v>410</v>
      </c>
      <c r="B420">
        <v>1582960.5569674238</v>
      </c>
      <c r="C420">
        <v>149446.91632719815</v>
      </c>
      <c r="D420">
        <v>45280.034743732765</v>
      </c>
      <c r="E420">
        <v>201112.34814506865</v>
      </c>
      <c r="F420">
        <v>49923.16256388936</v>
      </c>
      <c r="G420">
        <v>10000</v>
      </c>
      <c r="H420">
        <v>435762.46177988889</v>
      </c>
      <c r="I420">
        <v>34.101766336176738</v>
      </c>
    </row>
    <row r="421" spans="1:9" x14ac:dyDescent="0.2">
      <c r="A421">
        <v>411</v>
      </c>
      <c r="B421">
        <v>2002273.2202359836</v>
      </c>
      <c r="C421">
        <v>152669.72846403421</v>
      </c>
      <c r="D421">
        <v>151711.88545866153</v>
      </c>
      <c r="E421">
        <v>206035.01345727596</v>
      </c>
      <c r="F421">
        <v>50263.962470119099</v>
      </c>
      <c r="G421">
        <v>10000</v>
      </c>
      <c r="H421">
        <v>550680.58985009079</v>
      </c>
      <c r="I421">
        <v>30.771362612803628</v>
      </c>
    </row>
    <row r="422" spans="1:9" x14ac:dyDescent="0.2">
      <c r="A422">
        <v>412</v>
      </c>
      <c r="B422">
        <v>983168.07263684378</v>
      </c>
      <c r="C422">
        <v>96988.063281204086</v>
      </c>
      <c r="D422">
        <v>93235.645555416791</v>
      </c>
      <c r="E422">
        <v>51586.399624260652</v>
      </c>
      <c r="F422">
        <v>39571.366127833433</v>
      </c>
      <c r="G422">
        <v>10000</v>
      </c>
      <c r="H422">
        <v>271381.47458871495</v>
      </c>
      <c r="I422">
        <v>46.446316334388698</v>
      </c>
    </row>
    <row r="423" spans="1:9" x14ac:dyDescent="0.2">
      <c r="A423">
        <v>413</v>
      </c>
      <c r="B423">
        <v>1137691.8928704613</v>
      </c>
      <c r="C423">
        <v>79350.596012641399</v>
      </c>
      <c r="D423">
        <v>124651.20863017609</v>
      </c>
      <c r="E423">
        <v>78307.648305610885</v>
      </c>
      <c r="F423">
        <v>41421.298728849986</v>
      </c>
      <c r="G423">
        <v>10000</v>
      </c>
      <c r="H423">
        <v>313730.75167727831</v>
      </c>
      <c r="I423">
        <v>37.929853594964932</v>
      </c>
    </row>
    <row r="424" spans="1:9" x14ac:dyDescent="0.2">
      <c r="A424">
        <v>414</v>
      </c>
      <c r="B424">
        <v>1535974.2388049841</v>
      </c>
      <c r="C424">
        <v>86624.125618792226</v>
      </c>
      <c r="D424">
        <v>96194.840596916503</v>
      </c>
      <c r="E424">
        <v>200205.87299221972</v>
      </c>
      <c r="F424">
        <v>49860.40659176906</v>
      </c>
      <c r="G424">
        <v>10000</v>
      </c>
      <c r="H424">
        <v>422885.24579969753</v>
      </c>
      <c r="I424">
        <v>41.304115739951087</v>
      </c>
    </row>
    <row r="425" spans="1:9" x14ac:dyDescent="0.2">
      <c r="A425">
        <v>415</v>
      </c>
      <c r="B425">
        <v>1166817.9687889782</v>
      </c>
      <c r="C425">
        <v>111973.22819258776</v>
      </c>
      <c r="D425">
        <v>124333.49244098041</v>
      </c>
      <c r="E425">
        <v>55559.955240589203</v>
      </c>
      <c r="F425">
        <v>39846.458439733098</v>
      </c>
      <c r="G425">
        <v>10000</v>
      </c>
      <c r="H425">
        <v>321713.13431389048</v>
      </c>
      <c r="I425">
        <v>36.996802524267274</v>
      </c>
    </row>
    <row r="426" spans="1:9" x14ac:dyDescent="0.2">
      <c r="A426">
        <v>416</v>
      </c>
      <c r="B426">
        <v>1113932.4232295402</v>
      </c>
      <c r="C426">
        <v>96810.999171975913</v>
      </c>
      <c r="D426">
        <v>154721.20196190555</v>
      </c>
      <c r="E426">
        <v>27764.779606268967</v>
      </c>
      <c r="F426">
        <v>37922.17704966478</v>
      </c>
      <c r="G426">
        <v>10000</v>
      </c>
      <c r="H426">
        <v>307219.15778981522</v>
      </c>
      <c r="I426">
        <v>29.011094492218614</v>
      </c>
    </row>
    <row r="427" spans="1:9" x14ac:dyDescent="0.2">
      <c r="A427">
        <v>417</v>
      </c>
      <c r="B427">
        <v>1326980.4669871379</v>
      </c>
      <c r="C427">
        <v>129118.59773715555</v>
      </c>
      <c r="D427">
        <v>99874.41900378812</v>
      </c>
      <c r="E427">
        <v>103452.64222053192</v>
      </c>
      <c r="F427">
        <v>43162.105999882981</v>
      </c>
      <c r="G427">
        <v>10000</v>
      </c>
      <c r="H427">
        <v>365607.76496135857</v>
      </c>
      <c r="I427">
        <v>36.848718884814076</v>
      </c>
    </row>
    <row r="428" spans="1:9" x14ac:dyDescent="0.2">
      <c r="A428">
        <v>418</v>
      </c>
      <c r="B428">
        <v>1462395.5250544485</v>
      </c>
      <c r="C428">
        <v>151817.32142285921</v>
      </c>
      <c r="D428">
        <v>79173.173036427179</v>
      </c>
      <c r="E428">
        <v>136293.81533084207</v>
      </c>
      <c r="F428">
        <v>45435.725676750604</v>
      </c>
      <c r="G428">
        <v>10000</v>
      </c>
      <c r="H428">
        <v>402720.03546687908</v>
      </c>
      <c r="I428">
        <v>30.183786445283978</v>
      </c>
    </row>
    <row r="429" spans="1:9" x14ac:dyDescent="0.2">
      <c r="A429">
        <v>419</v>
      </c>
      <c r="B429">
        <v>1324477.601148285</v>
      </c>
      <c r="C429">
        <v>156162.42061604693</v>
      </c>
      <c r="D429">
        <v>63750.695098948498</v>
      </c>
      <c r="E429">
        <v>111303.10640336169</v>
      </c>
      <c r="F429">
        <v>43705.599674078891</v>
      </c>
      <c r="G429">
        <v>10000</v>
      </c>
      <c r="H429">
        <v>364921.82179243595</v>
      </c>
      <c r="I429">
        <v>32.931734409817381</v>
      </c>
    </row>
    <row r="430" spans="1:9" x14ac:dyDescent="0.2">
      <c r="A430">
        <v>420</v>
      </c>
      <c r="B430">
        <v>1570942.2969437225</v>
      </c>
      <c r="C430">
        <v>118215.30053921269</v>
      </c>
      <c r="D430">
        <v>91832.040161358236</v>
      </c>
      <c r="E430">
        <v>183703.42973796546</v>
      </c>
      <c r="F430">
        <v>48717.929751089912</v>
      </c>
      <c r="G430">
        <v>10000</v>
      </c>
      <c r="H430">
        <v>432468.70018962631</v>
      </c>
      <c r="I430">
        <v>30.023078413919336</v>
      </c>
    </row>
    <row r="431" spans="1:9" x14ac:dyDescent="0.2">
      <c r="A431">
        <v>421</v>
      </c>
      <c r="B431">
        <v>1101572.9429269985</v>
      </c>
      <c r="C431">
        <v>103188.65091790279</v>
      </c>
      <c r="D431">
        <v>133993.73788408449</v>
      </c>
      <c r="E431">
        <v>38017.510045700721</v>
      </c>
      <c r="F431">
        <v>38631.98146470236</v>
      </c>
      <c r="G431">
        <v>10000</v>
      </c>
      <c r="H431">
        <v>303831.88031239033</v>
      </c>
      <c r="I431">
        <v>32.647774686429464</v>
      </c>
    </row>
    <row r="432" spans="1:9" x14ac:dyDescent="0.2">
      <c r="A432">
        <v>422</v>
      </c>
      <c r="B432">
        <v>1512570.2375365372</v>
      </c>
      <c r="C432">
        <v>103523.71346571449</v>
      </c>
      <c r="D432">
        <v>139676.84466708614</v>
      </c>
      <c r="E432">
        <v>137735.01360164408</v>
      </c>
      <c r="F432">
        <v>45535.500941652281</v>
      </c>
      <c r="G432">
        <v>10000</v>
      </c>
      <c r="H432">
        <v>416471.07267609698</v>
      </c>
      <c r="I432">
        <v>53.64210197487504</v>
      </c>
    </row>
    <row r="433" spans="1:9" x14ac:dyDescent="0.2">
      <c r="A433">
        <v>423</v>
      </c>
      <c r="B433">
        <v>1366102.8048077174</v>
      </c>
      <c r="C433">
        <v>129172.63412306531</v>
      </c>
      <c r="D433">
        <v>90469.764671990648</v>
      </c>
      <c r="E433">
        <v>122225.58411334007</v>
      </c>
      <c r="F433">
        <v>44461.771207846621</v>
      </c>
      <c r="G433">
        <v>10000</v>
      </c>
      <c r="H433">
        <v>376329.75411624269</v>
      </c>
      <c r="I433">
        <v>33.5045963814758</v>
      </c>
    </row>
    <row r="434" spans="1:9" x14ac:dyDescent="0.2">
      <c r="A434">
        <v>424</v>
      </c>
      <c r="B434">
        <v>1311423.9664188363</v>
      </c>
      <c r="C434">
        <v>143302.73031681136</v>
      </c>
      <c r="D434">
        <v>148414.53264645892</v>
      </c>
      <c r="E434">
        <v>40802.266913341547</v>
      </c>
      <c r="F434">
        <v>38824.772324769794</v>
      </c>
      <c r="G434">
        <v>10000</v>
      </c>
      <c r="H434">
        <v>361344.30220138165</v>
      </c>
      <c r="I434">
        <v>36.979652752566466</v>
      </c>
    </row>
    <row r="435" spans="1:9" x14ac:dyDescent="0.2">
      <c r="A435">
        <v>425</v>
      </c>
      <c r="B435">
        <v>1628949.8404690376</v>
      </c>
      <c r="C435">
        <v>126436.76137595702</v>
      </c>
      <c r="D435">
        <v>111623.14243538429</v>
      </c>
      <c r="E435">
        <v>172373.00762685711</v>
      </c>
      <c r="F435">
        <v>47933.515912628565</v>
      </c>
      <c r="G435">
        <v>10000</v>
      </c>
      <c r="H435">
        <v>448366.42735082697</v>
      </c>
      <c r="I435">
        <v>35.413076298321698</v>
      </c>
    </row>
    <row r="436" spans="1:9" x14ac:dyDescent="0.2">
      <c r="A436">
        <v>426</v>
      </c>
      <c r="B436">
        <v>1430283.1304801954</v>
      </c>
      <c r="C436">
        <v>121735.61604656617</v>
      </c>
      <c r="D436">
        <v>66250.740842654341</v>
      </c>
      <c r="E436">
        <v>168282.52737639844</v>
      </c>
      <c r="F436">
        <v>47650.328818366048</v>
      </c>
      <c r="G436">
        <v>10000</v>
      </c>
      <c r="H436">
        <v>393919.21308398503</v>
      </c>
      <c r="I436">
        <v>37.242272127081804</v>
      </c>
    </row>
    <row r="437" spans="1:9" x14ac:dyDescent="0.2">
      <c r="A437">
        <v>427</v>
      </c>
      <c r="B437">
        <v>1534024.5052815401</v>
      </c>
      <c r="C437">
        <v>80120.921453092596</v>
      </c>
      <c r="D437">
        <v>136719.95676682817</v>
      </c>
      <c r="E437">
        <v>167887.06678978266</v>
      </c>
      <c r="F437">
        <v>47622.95077775418</v>
      </c>
      <c r="G437">
        <v>10000</v>
      </c>
      <c r="H437">
        <v>422350.89578745759</v>
      </c>
      <c r="I437">
        <v>24.657537246235258</v>
      </c>
    </row>
    <row r="438" spans="1:9" x14ac:dyDescent="0.2">
      <c r="A438">
        <v>428</v>
      </c>
      <c r="B438">
        <v>1433778.1973622546</v>
      </c>
      <c r="C438">
        <v>127614.8741935721</v>
      </c>
      <c r="D438">
        <v>39039.705793249334</v>
      </c>
      <c r="E438">
        <v>189128.95866679715</v>
      </c>
      <c r="F438">
        <v>49093.543292316725</v>
      </c>
      <c r="G438">
        <v>10000</v>
      </c>
      <c r="H438">
        <v>394877.08194593532</v>
      </c>
      <c r="I438">
        <v>37.069449168276392</v>
      </c>
    </row>
    <row r="439" spans="1:9" x14ac:dyDescent="0.2">
      <c r="A439">
        <v>429</v>
      </c>
      <c r="B439">
        <v>1031393.5559590727</v>
      </c>
      <c r="C439">
        <v>90343.380417321605</v>
      </c>
      <c r="D439">
        <v>75757.237095251345</v>
      </c>
      <c r="E439">
        <v>86508.62392139365</v>
      </c>
      <c r="F439">
        <v>41989.058579173405</v>
      </c>
      <c r="G439">
        <v>10000</v>
      </c>
      <c r="H439">
        <v>284598.30001314002</v>
      </c>
      <c r="I439">
        <v>27.37149091243197</v>
      </c>
    </row>
    <row r="440" spans="1:9" x14ac:dyDescent="0.2">
      <c r="A440">
        <v>430</v>
      </c>
      <c r="B440">
        <v>1554830.8378878476</v>
      </c>
      <c r="C440">
        <v>110461.25944855847</v>
      </c>
      <c r="D440">
        <v>117131.3187638099</v>
      </c>
      <c r="E440">
        <v>163164.55773126154</v>
      </c>
      <c r="F440">
        <v>47296.00784293349</v>
      </c>
      <c r="G440">
        <v>10000</v>
      </c>
      <c r="H440">
        <v>428053.14378656336</v>
      </c>
      <c r="I440">
        <v>40.566448903793088</v>
      </c>
    </row>
    <row r="441" spans="1:9" x14ac:dyDescent="0.2">
      <c r="A441">
        <v>431</v>
      </c>
      <c r="B441">
        <v>835031.6388260579</v>
      </c>
      <c r="C441">
        <v>72965.517442412776</v>
      </c>
      <c r="D441">
        <v>66708.975585373191</v>
      </c>
      <c r="E441">
        <v>60892.609215370874</v>
      </c>
      <c r="F441">
        <v>40215.642176448746</v>
      </c>
      <c r="G441">
        <v>10000</v>
      </c>
      <c r="H441">
        <v>230782.74441960559</v>
      </c>
      <c r="I441">
        <v>38.49924111541587</v>
      </c>
    </row>
    <row r="442" spans="1:9" x14ac:dyDescent="0.2">
      <c r="A442">
        <v>432</v>
      </c>
      <c r="B442">
        <v>1218895.0006980477</v>
      </c>
      <c r="C442">
        <v>129020.7875747588</v>
      </c>
      <c r="D442">
        <v>66497.282315326724</v>
      </c>
      <c r="E442">
        <v>107055.89521463765</v>
      </c>
      <c r="F442">
        <v>43411.561976397992</v>
      </c>
      <c r="G442">
        <v>10000</v>
      </c>
      <c r="H442">
        <v>335985.52708112117</v>
      </c>
      <c r="I442">
        <v>33.819480098273203</v>
      </c>
    </row>
    <row r="443" spans="1:9" x14ac:dyDescent="0.2">
      <c r="A443">
        <v>433</v>
      </c>
      <c r="B443">
        <v>1304786.8297387757</v>
      </c>
      <c r="C443">
        <v>122374.27095725991</v>
      </c>
      <c r="D443">
        <v>79251.270077562775</v>
      </c>
      <c r="E443">
        <v>123359.49423944307</v>
      </c>
      <c r="F443">
        <v>44540.272678115289</v>
      </c>
      <c r="G443">
        <v>10000</v>
      </c>
      <c r="H443">
        <v>359525.30795238109</v>
      </c>
      <c r="I443">
        <v>29.30401862772792</v>
      </c>
    </row>
    <row r="444" spans="1:9" x14ac:dyDescent="0.2">
      <c r="A444">
        <v>434</v>
      </c>
      <c r="B444">
        <v>1528685.696757416</v>
      </c>
      <c r="C444">
        <v>108971.0714414762</v>
      </c>
      <c r="D444">
        <v>125676.35231194941</v>
      </c>
      <c r="E444">
        <v>149865.03029522224</v>
      </c>
      <c r="F444">
        <v>46375.271328130773</v>
      </c>
      <c r="G444">
        <v>10000</v>
      </c>
      <c r="H444">
        <v>420887.72537677863</v>
      </c>
      <c r="I444">
        <v>35.137273178659768</v>
      </c>
    </row>
    <row r="445" spans="1:9" x14ac:dyDescent="0.2">
      <c r="A445">
        <v>435</v>
      </c>
      <c r="B445">
        <v>1497076.7434199611</v>
      </c>
      <c r="C445">
        <v>132449.13558191224</v>
      </c>
      <c r="D445">
        <v>135300.08118843869</v>
      </c>
      <c r="E445">
        <v>110804.57493234987</v>
      </c>
      <c r="F445">
        <v>43671.085956854993</v>
      </c>
      <c r="G445">
        <v>10000</v>
      </c>
      <c r="H445">
        <v>412224.87765955576</v>
      </c>
      <c r="I445">
        <v>41.870173835251023</v>
      </c>
    </row>
    <row r="446" spans="1:9" x14ac:dyDescent="0.2">
      <c r="A446">
        <v>436</v>
      </c>
      <c r="B446">
        <v>1384626.3298001881</v>
      </c>
      <c r="C446">
        <v>97374.814332767244</v>
      </c>
      <c r="D446">
        <v>48329.427493394469</v>
      </c>
      <c r="E446">
        <v>196124.29140091321</v>
      </c>
      <c r="F446">
        <v>49577.835558524763</v>
      </c>
      <c r="G446">
        <v>10000</v>
      </c>
      <c r="H446">
        <v>381406.36878559965</v>
      </c>
      <c r="I446">
        <v>47.280308773334021</v>
      </c>
    </row>
    <row r="447" spans="1:9" x14ac:dyDescent="0.2">
      <c r="A447">
        <v>437</v>
      </c>
      <c r="B447">
        <v>1665559.360855452</v>
      </c>
      <c r="C447">
        <v>112760.27190376363</v>
      </c>
      <c r="D447">
        <v>136071.70064737744</v>
      </c>
      <c r="E447">
        <v>171682.09024947556</v>
      </c>
      <c r="F447">
        <v>47885.683171117533</v>
      </c>
      <c r="G447">
        <v>10000</v>
      </c>
      <c r="H447">
        <v>458399.74597173417</v>
      </c>
      <c r="I447">
        <v>36.853664833369749</v>
      </c>
    </row>
    <row r="448" spans="1:9" x14ac:dyDescent="0.2">
      <c r="A448">
        <v>438</v>
      </c>
      <c r="B448">
        <v>1599651.5701024246</v>
      </c>
      <c r="C448">
        <v>122474.10120501221</v>
      </c>
      <c r="D448">
        <v>80723.838310368694</v>
      </c>
      <c r="E448">
        <v>197468.04818066105</v>
      </c>
      <c r="F448">
        <v>49670.864874045765</v>
      </c>
      <c r="G448">
        <v>10000</v>
      </c>
      <c r="H448">
        <v>440336.85257008771</v>
      </c>
      <c r="I448">
        <v>31.066416049682701</v>
      </c>
    </row>
    <row r="449" spans="1:9" x14ac:dyDescent="0.2">
      <c r="A449">
        <v>439</v>
      </c>
      <c r="B449">
        <v>1282701.0845198268</v>
      </c>
      <c r="C449">
        <v>118108.73818024564</v>
      </c>
      <c r="D449">
        <v>138995.45739542766</v>
      </c>
      <c r="E449">
        <v>65812.008610943085</v>
      </c>
      <c r="F449">
        <v>40556.215980757595</v>
      </c>
      <c r="G449">
        <v>10000</v>
      </c>
      <c r="H449">
        <v>353472.42016737402</v>
      </c>
      <c r="I449">
        <v>28.503218199013389</v>
      </c>
    </row>
    <row r="450" spans="1:9" x14ac:dyDescent="0.2">
      <c r="A450">
        <v>440</v>
      </c>
      <c r="B450">
        <v>1323376.8819702337</v>
      </c>
      <c r="C450">
        <v>81053.815069397271</v>
      </c>
      <c r="D450">
        <v>71328.163449272251</v>
      </c>
      <c r="E450">
        <v>174179.58977962955</v>
      </c>
      <c r="F450">
        <v>48058.586984743582</v>
      </c>
      <c r="G450">
        <v>10000</v>
      </c>
      <c r="H450">
        <v>364620.1552830427</v>
      </c>
      <c r="I450">
        <v>34.723440718790229</v>
      </c>
    </row>
    <row r="451" spans="1:9" x14ac:dyDescent="0.2">
      <c r="A451">
        <v>441</v>
      </c>
      <c r="B451">
        <v>1435188.4789668794</v>
      </c>
      <c r="C451">
        <v>89374.188500730859</v>
      </c>
      <c r="D451">
        <v>78052.407140004972</v>
      </c>
      <c r="E451">
        <v>188768.41020751029</v>
      </c>
      <c r="F451">
        <v>49068.582245135331</v>
      </c>
      <c r="G451">
        <v>10000</v>
      </c>
      <c r="H451">
        <v>395263.58809338143</v>
      </c>
      <c r="I451">
        <v>34.300247879736602</v>
      </c>
    </row>
    <row r="452" spans="1:9" x14ac:dyDescent="0.2">
      <c r="A452">
        <v>442</v>
      </c>
      <c r="B452">
        <v>1587798.6710934949</v>
      </c>
      <c r="C452">
        <v>109098.42013077658</v>
      </c>
      <c r="D452">
        <v>126579.73869602257</v>
      </c>
      <c r="E452">
        <v>164052.75320633707</v>
      </c>
      <c r="F452">
        <v>47357.49829890026</v>
      </c>
      <c r="G452">
        <v>10000</v>
      </c>
      <c r="H452">
        <v>437088.4103320365</v>
      </c>
      <c r="I452">
        <v>50.602658833572363</v>
      </c>
    </row>
    <row r="453" spans="1:9" x14ac:dyDescent="0.2">
      <c r="A453">
        <v>443</v>
      </c>
      <c r="B453">
        <v>1079117.0324326039</v>
      </c>
      <c r="C453">
        <v>125262.82055728107</v>
      </c>
      <c r="D453">
        <v>33765.891974706086</v>
      </c>
      <c r="E453">
        <v>105355.02212847603</v>
      </c>
      <c r="F453">
        <v>43293.809224279117</v>
      </c>
      <c r="G453">
        <v>10000</v>
      </c>
      <c r="H453">
        <v>297677.54388474231</v>
      </c>
      <c r="I453">
        <v>30.707387693291231</v>
      </c>
    </row>
    <row r="454" spans="1:9" x14ac:dyDescent="0.2">
      <c r="A454">
        <v>444</v>
      </c>
      <c r="B454">
        <v>1062916.0157309878</v>
      </c>
      <c r="C454">
        <v>109728.14199803176</v>
      </c>
      <c r="D454">
        <v>86134.381057017206</v>
      </c>
      <c r="E454">
        <v>66753.522284082443</v>
      </c>
      <c r="F454">
        <v>40621.397696590328</v>
      </c>
      <c r="G454">
        <v>10000</v>
      </c>
      <c r="H454">
        <v>293237.44303572172</v>
      </c>
      <c r="I454">
        <v>27.529667804765666</v>
      </c>
    </row>
    <row r="455" spans="1:9" x14ac:dyDescent="0.2">
      <c r="A455">
        <v>445</v>
      </c>
      <c r="B455">
        <v>1683836.387960488</v>
      </c>
      <c r="C455">
        <v>157538.26858345943</v>
      </c>
      <c r="D455">
        <v>77689.355516168696</v>
      </c>
      <c r="E455">
        <v>189090.31276000079</v>
      </c>
      <c r="F455">
        <v>49090.867806461596</v>
      </c>
      <c r="G455">
        <v>10000</v>
      </c>
      <c r="H455">
        <v>463408.80466609047</v>
      </c>
      <c r="I455">
        <v>31.900175458383227</v>
      </c>
    </row>
    <row r="456" spans="1:9" x14ac:dyDescent="0.2">
      <c r="A456">
        <v>446</v>
      </c>
      <c r="B456">
        <v>1377358.8783010407</v>
      </c>
      <c r="C456">
        <v>135472.40685521881</v>
      </c>
      <c r="D456">
        <v>75230.961498286269</v>
      </c>
      <c r="E456">
        <v>133470.96273044188</v>
      </c>
      <c r="F456">
        <v>45240.297419799819</v>
      </c>
      <c r="G456">
        <v>10000</v>
      </c>
      <c r="H456">
        <v>379414.62850374682</v>
      </c>
      <c r="I456">
        <v>42.876106167830187</v>
      </c>
    </row>
    <row r="457" spans="1:9" x14ac:dyDescent="0.2">
      <c r="A457">
        <v>447</v>
      </c>
      <c r="B457">
        <v>1399219.7800028194</v>
      </c>
      <c r="C457">
        <v>94385.101094534431</v>
      </c>
      <c r="D457">
        <v>156358.01878174068</v>
      </c>
      <c r="E457">
        <v>101627.05585014229</v>
      </c>
      <c r="F457">
        <v>43035.719251163697</v>
      </c>
      <c r="G457">
        <v>10000</v>
      </c>
      <c r="H457">
        <v>385405.89497758116</v>
      </c>
      <c r="I457">
        <v>25.963619158451493</v>
      </c>
    </row>
    <row r="458" spans="1:9" x14ac:dyDescent="0.2">
      <c r="A458">
        <v>448</v>
      </c>
      <c r="B458">
        <v>1487218.0155173668</v>
      </c>
      <c r="C458">
        <v>102806.85539071291</v>
      </c>
      <c r="D458">
        <v>81912.090986921365</v>
      </c>
      <c r="E458">
        <v>185931.815169168</v>
      </c>
      <c r="F458">
        <v>48872.202588634711</v>
      </c>
      <c r="G458">
        <v>10000</v>
      </c>
      <c r="H458">
        <v>409522.96413543692</v>
      </c>
      <c r="I458">
        <v>49.959488494366489</v>
      </c>
    </row>
    <row r="459" spans="1:9" x14ac:dyDescent="0.2">
      <c r="A459">
        <v>449</v>
      </c>
      <c r="B459">
        <v>983260.8211051554</v>
      </c>
      <c r="C459">
        <v>105955.20485931437</v>
      </c>
      <c r="D459">
        <v>66741.259810588337</v>
      </c>
      <c r="E459">
        <v>68002.559357511331</v>
      </c>
      <c r="F459">
        <v>40707.869493981554</v>
      </c>
      <c r="G459">
        <v>10000</v>
      </c>
      <c r="H459">
        <v>271406.89352139557</v>
      </c>
      <c r="I459">
        <v>36.923478119823024</v>
      </c>
    </row>
    <row r="460" spans="1:9" x14ac:dyDescent="0.2">
      <c r="A460">
        <v>450</v>
      </c>
      <c r="B460">
        <v>954686.33873785078</v>
      </c>
      <c r="C460">
        <v>100163.85004095112</v>
      </c>
      <c r="D460">
        <v>45672.542809402694</v>
      </c>
      <c r="E460">
        <v>85799.33547799701</v>
      </c>
      <c r="F460">
        <v>41939.953994630559</v>
      </c>
      <c r="G460">
        <v>10000</v>
      </c>
      <c r="H460">
        <v>263575.68232298136</v>
      </c>
      <c r="I460">
        <v>25.318579094081958</v>
      </c>
    </row>
    <row r="461" spans="1:9" x14ac:dyDescent="0.2">
      <c r="A461">
        <v>451</v>
      </c>
      <c r="B461">
        <v>1618992.999665658</v>
      </c>
      <c r="C461">
        <v>109827.89223028775</v>
      </c>
      <c r="D461">
        <v>138657.03819810197</v>
      </c>
      <c r="E461">
        <v>160070.86514708097</v>
      </c>
      <c r="F461">
        <v>47081.829125567143</v>
      </c>
      <c r="G461">
        <v>10000</v>
      </c>
      <c r="H461">
        <v>445637.62470103783</v>
      </c>
      <c r="I461">
        <v>28.818252993772191</v>
      </c>
    </row>
    <row r="462" spans="1:9" x14ac:dyDescent="0.2">
      <c r="A462">
        <v>452</v>
      </c>
      <c r="B462">
        <v>1359813.9891843242</v>
      </c>
      <c r="C462">
        <v>121513.07000209899</v>
      </c>
      <c r="D462">
        <v>46673.724536703732</v>
      </c>
      <c r="E462">
        <v>168737.59385598154</v>
      </c>
      <c r="F462">
        <v>47681.833420798721</v>
      </c>
      <c r="G462">
        <v>10000</v>
      </c>
      <c r="H462">
        <v>374606.22181558301</v>
      </c>
      <c r="I462">
        <v>36.056866950718678</v>
      </c>
    </row>
    <row r="463" spans="1:9" x14ac:dyDescent="0.2">
      <c r="A463">
        <v>453</v>
      </c>
      <c r="B463">
        <v>1151583.2076499825</v>
      </c>
      <c r="C463">
        <v>99417.228425123409</v>
      </c>
      <c r="D463">
        <v>85237.409980329787</v>
      </c>
      <c r="E463">
        <v>99962.714438639596</v>
      </c>
      <c r="F463">
        <v>42920.495614982741</v>
      </c>
      <c r="G463">
        <v>10000</v>
      </c>
      <c r="H463">
        <v>317537.8484590755</v>
      </c>
      <c r="I463">
        <v>26.579795353277255</v>
      </c>
    </row>
    <row r="464" spans="1:9" x14ac:dyDescent="0.2">
      <c r="A464">
        <v>454</v>
      </c>
      <c r="B464">
        <v>1312069.1621295006</v>
      </c>
      <c r="C464">
        <v>121065.16157132456</v>
      </c>
      <c r="D464">
        <v>108064.80231439113</v>
      </c>
      <c r="E464">
        <v>99502.526221093241</v>
      </c>
      <c r="F464">
        <v>42888.636430691069</v>
      </c>
      <c r="G464">
        <v>10000</v>
      </c>
      <c r="H464">
        <v>361521.12653750001</v>
      </c>
      <c r="I464">
        <v>24.899376783354771</v>
      </c>
    </row>
    <row r="465" spans="1:9" x14ac:dyDescent="0.2">
      <c r="A465">
        <v>455</v>
      </c>
      <c r="B465">
        <v>1480837.7503837293</v>
      </c>
      <c r="C465">
        <v>141866.06018161119</v>
      </c>
      <c r="D465">
        <v>115155.57309473335</v>
      </c>
      <c r="E465">
        <v>116675.22036611057</v>
      </c>
      <c r="F465">
        <v>44077.515256115345</v>
      </c>
      <c r="G465">
        <v>10000</v>
      </c>
      <c r="H465">
        <v>407774.36889857048</v>
      </c>
      <c r="I465">
        <v>35.461077518130388</v>
      </c>
    </row>
    <row r="466" spans="1:9" x14ac:dyDescent="0.2">
      <c r="A466">
        <v>456</v>
      </c>
      <c r="B466">
        <v>1045863.5585574036</v>
      </c>
      <c r="C466">
        <v>108903.46168796993</v>
      </c>
      <c r="D466">
        <v>71455.30167660497</v>
      </c>
      <c r="E466">
        <v>76882.589589758616</v>
      </c>
      <c r="F466">
        <v>41322.640817752523</v>
      </c>
      <c r="G466">
        <v>10000</v>
      </c>
      <c r="H466">
        <v>288563.99377208605</v>
      </c>
      <c r="I466">
        <v>35.748010290516596</v>
      </c>
    </row>
    <row r="467" spans="1:9" x14ac:dyDescent="0.2">
      <c r="A467">
        <v>457</v>
      </c>
      <c r="B467">
        <v>1144674.7222926924</v>
      </c>
      <c r="C467">
        <v>118542.65926037371</v>
      </c>
      <c r="D467">
        <v>68269.854116254501</v>
      </c>
      <c r="E467">
        <v>96173.788795803761</v>
      </c>
      <c r="F467">
        <v>42658.185378171023</v>
      </c>
      <c r="G467">
        <v>10000</v>
      </c>
      <c r="H467">
        <v>315644.48755060299</v>
      </c>
      <c r="I467">
        <v>38.182647038316262</v>
      </c>
    </row>
    <row r="468" spans="1:9" x14ac:dyDescent="0.2">
      <c r="A468">
        <v>458</v>
      </c>
      <c r="B468">
        <v>1540457.9242016177</v>
      </c>
      <c r="C468">
        <v>91381.097946152644</v>
      </c>
      <c r="D468">
        <v>124451.05453121454</v>
      </c>
      <c r="E468">
        <v>170479.48046757589</v>
      </c>
      <c r="F468">
        <v>47802.42557083218</v>
      </c>
      <c r="G468">
        <v>10000</v>
      </c>
      <c r="H468">
        <v>424114.05851577525</v>
      </c>
      <c r="I468">
        <v>48.853617201643544</v>
      </c>
    </row>
    <row r="469" spans="1:9" x14ac:dyDescent="0.2">
      <c r="A469">
        <v>459</v>
      </c>
      <c r="B469">
        <v>931672.43169943267</v>
      </c>
      <c r="C469">
        <v>124459.4942617963</v>
      </c>
      <c r="D469">
        <v>61171.049527582174</v>
      </c>
      <c r="E469">
        <v>42682.905465333024</v>
      </c>
      <c r="F469">
        <v>38954.970378369209</v>
      </c>
      <c r="G469">
        <v>10000</v>
      </c>
      <c r="H469">
        <v>257268.41963308072</v>
      </c>
      <c r="I469">
        <v>35.272146045863032</v>
      </c>
    </row>
    <row r="470" spans="1:9" x14ac:dyDescent="0.2">
      <c r="A470">
        <v>460</v>
      </c>
      <c r="B470">
        <v>1073677.9713115704</v>
      </c>
      <c r="C470">
        <v>142728.46147878762</v>
      </c>
      <c r="D470">
        <v>68339.534660030171</v>
      </c>
      <c r="E470">
        <v>55291.05923537472</v>
      </c>
      <c r="F470">
        <v>39827.842562449019</v>
      </c>
      <c r="G470">
        <v>10000</v>
      </c>
      <c r="H470">
        <v>296186.89793664159</v>
      </c>
      <c r="I470">
        <v>45.95056470536872</v>
      </c>
    </row>
    <row r="471" spans="1:9" x14ac:dyDescent="0.2">
      <c r="A471">
        <v>461</v>
      </c>
      <c r="B471">
        <v>906572.45544610033</v>
      </c>
      <c r="C471">
        <v>132714.20404993874</v>
      </c>
      <c r="D471">
        <v>40789.26754328284</v>
      </c>
      <c r="E471">
        <v>47591.195670676367</v>
      </c>
      <c r="F471">
        <v>39294.775084892979</v>
      </c>
      <c r="G471">
        <v>10000</v>
      </c>
      <c r="H471">
        <v>250389.44234879094</v>
      </c>
      <c r="I471">
        <v>29.402367196104937</v>
      </c>
    </row>
    <row r="472" spans="1:9" x14ac:dyDescent="0.2">
      <c r="A472">
        <v>462</v>
      </c>
      <c r="B472">
        <v>1419537.1685909671</v>
      </c>
      <c r="C472">
        <v>155455.00640872843</v>
      </c>
      <c r="D472">
        <v>52240.980668334501</v>
      </c>
      <c r="E472">
        <v>147094.67676446849</v>
      </c>
      <c r="F472">
        <v>46183.477622155508</v>
      </c>
      <c r="G472">
        <v>10000</v>
      </c>
      <c r="H472">
        <v>390974.14146368689</v>
      </c>
      <c r="I472">
        <v>27.421445371716906</v>
      </c>
    </row>
    <row r="473" spans="1:9" x14ac:dyDescent="0.2">
      <c r="A473">
        <v>463</v>
      </c>
      <c r="B473">
        <v>1154791.4093174587</v>
      </c>
      <c r="C473">
        <v>157094.45496755306</v>
      </c>
      <c r="D473">
        <v>97061.024835473596</v>
      </c>
      <c r="E473">
        <v>35784.247376023515</v>
      </c>
      <c r="F473">
        <v>38477.37097218624</v>
      </c>
      <c r="G473">
        <v>10000</v>
      </c>
      <c r="H473">
        <v>318417.09815123642</v>
      </c>
      <c r="I473">
        <v>49.153307717733966</v>
      </c>
    </row>
    <row r="474" spans="1:9" x14ac:dyDescent="0.2">
      <c r="A474">
        <v>464</v>
      </c>
      <c r="B474">
        <v>1191382.2741647477</v>
      </c>
      <c r="C474">
        <v>95929.082397608974</v>
      </c>
      <c r="D474">
        <v>64848.897998022636</v>
      </c>
      <c r="E474">
        <v>132494.61917707356</v>
      </c>
      <c r="F474">
        <v>45172.704404566626</v>
      </c>
      <c r="G474">
        <v>10000</v>
      </c>
      <c r="H474">
        <v>328445.30397727177</v>
      </c>
      <c r="I474">
        <v>31.082922181638128</v>
      </c>
    </row>
    <row r="475" spans="1:9" x14ac:dyDescent="0.2">
      <c r="A475">
        <v>465</v>
      </c>
      <c r="B475">
        <v>1114088.9604377777</v>
      </c>
      <c r="C475">
        <v>90958.086823852878</v>
      </c>
      <c r="D475">
        <v>139793.98857432886</v>
      </c>
      <c r="E475">
        <v>47239.552880073374</v>
      </c>
      <c r="F475">
        <v>39270.43058400508</v>
      </c>
      <c r="G475">
        <v>10000</v>
      </c>
      <c r="H475">
        <v>307262.05886226019</v>
      </c>
      <c r="I475">
        <v>41.36108802404835</v>
      </c>
    </row>
    <row r="476" spans="1:9" x14ac:dyDescent="0.2">
      <c r="A476">
        <v>466</v>
      </c>
      <c r="B476">
        <v>1121769.6428755515</v>
      </c>
      <c r="C476">
        <v>108845.47864440014</v>
      </c>
      <c r="D476">
        <v>113428.59224245137</v>
      </c>
      <c r="E476">
        <v>57137.319058802459</v>
      </c>
      <c r="F476">
        <v>39955.660550224784</v>
      </c>
      <c r="G476">
        <v>10000</v>
      </c>
      <c r="H476">
        <v>309367.05049587874</v>
      </c>
      <c r="I476">
        <v>35.407229421098307</v>
      </c>
    </row>
    <row r="477" spans="1:9" x14ac:dyDescent="0.2">
      <c r="A477">
        <v>467</v>
      </c>
      <c r="B477">
        <v>1456556.4069068744</v>
      </c>
      <c r="C477">
        <v>146120.0388452264</v>
      </c>
      <c r="D477">
        <v>91796.002927476147</v>
      </c>
      <c r="E477">
        <v>128320.01362642598</v>
      </c>
      <c r="F477">
        <v>44883.693251060264</v>
      </c>
      <c r="G477">
        <v>10000</v>
      </c>
      <c r="H477">
        <v>401119.74865018879</v>
      </c>
      <c r="I477">
        <v>37.255762575361018</v>
      </c>
    </row>
    <row r="478" spans="1:9" x14ac:dyDescent="0.2">
      <c r="A478">
        <v>468</v>
      </c>
      <c r="B478">
        <v>1171934.894486184</v>
      </c>
      <c r="C478">
        <v>82095.464452089742</v>
      </c>
      <c r="D478">
        <v>64507.826901977707</v>
      </c>
      <c r="E478">
        <v>140766.80900565372</v>
      </c>
      <c r="F478">
        <v>45745.394469622181</v>
      </c>
      <c r="G478">
        <v>10000</v>
      </c>
      <c r="H478">
        <v>323115.49482934334</v>
      </c>
      <c r="I478">
        <v>41.037956556702341</v>
      </c>
    </row>
    <row r="479" spans="1:9" x14ac:dyDescent="0.2">
      <c r="A479">
        <v>469</v>
      </c>
      <c r="B479">
        <v>1321898.7841171303</v>
      </c>
      <c r="C479">
        <v>99649.815809671243</v>
      </c>
      <c r="D479">
        <v>92311.064189645534</v>
      </c>
      <c r="E479">
        <v>136784.48788960473</v>
      </c>
      <c r="F479">
        <v>45469.695315434175</v>
      </c>
      <c r="G479">
        <v>10000</v>
      </c>
      <c r="H479">
        <v>364215.06320435571</v>
      </c>
      <c r="I479">
        <v>37.175213625028604</v>
      </c>
    </row>
    <row r="480" spans="1:9" x14ac:dyDescent="0.2">
      <c r="A480">
        <v>470</v>
      </c>
      <c r="B480">
        <v>1475566.0693780973</v>
      </c>
      <c r="C480">
        <v>102047.82309641426</v>
      </c>
      <c r="D480">
        <v>66643.848370803869</v>
      </c>
      <c r="E480">
        <v>197934.74924846846</v>
      </c>
      <c r="F480">
        <v>49703.174947970896</v>
      </c>
      <c r="G480">
        <v>10000</v>
      </c>
      <c r="H480">
        <v>406329.59566365753</v>
      </c>
      <c r="I480">
        <v>34.20776932332933</v>
      </c>
    </row>
    <row r="481" spans="1:9" x14ac:dyDescent="0.2">
      <c r="A481">
        <v>471</v>
      </c>
      <c r="B481">
        <v>1514438.4342767703</v>
      </c>
      <c r="C481">
        <v>120257.84015699987</v>
      </c>
      <c r="D481">
        <v>101363.20824508859</v>
      </c>
      <c r="E481">
        <v>158396.14135363701</v>
      </c>
      <c r="F481">
        <v>46965.88670909794</v>
      </c>
      <c r="G481">
        <v>10000</v>
      </c>
      <c r="H481">
        <v>416983.07646482339</v>
      </c>
      <c r="I481">
        <v>41.069396412513477</v>
      </c>
    </row>
    <row r="482" spans="1:9" x14ac:dyDescent="0.2">
      <c r="A482">
        <v>472</v>
      </c>
      <c r="B482">
        <v>1163756.4664758376</v>
      </c>
      <c r="C482">
        <v>120604.5414364993</v>
      </c>
      <c r="D482">
        <v>76721.823031956912</v>
      </c>
      <c r="E482">
        <v>91231.6852826502</v>
      </c>
      <c r="F482">
        <v>42316.039750337317</v>
      </c>
      <c r="G482">
        <v>10000</v>
      </c>
      <c r="H482">
        <v>320874.08950144373</v>
      </c>
      <c r="I482">
        <v>42.811371199796717</v>
      </c>
    </row>
    <row r="483" spans="1:9" x14ac:dyDescent="0.2">
      <c r="A483">
        <v>473</v>
      </c>
      <c r="B483">
        <v>1086400.6838114911</v>
      </c>
      <c r="C483">
        <v>134384.6217327333</v>
      </c>
      <c r="D483">
        <v>80761.162672949795</v>
      </c>
      <c r="E483">
        <v>54738.360730367123</v>
      </c>
      <c r="F483">
        <v>39789.578819794646</v>
      </c>
      <c r="G483">
        <v>10000</v>
      </c>
      <c r="H483">
        <v>299673.72395584488</v>
      </c>
      <c r="I483">
        <v>37.664895942492834</v>
      </c>
    </row>
    <row r="484" spans="1:9" x14ac:dyDescent="0.2">
      <c r="A484">
        <v>474</v>
      </c>
      <c r="B484">
        <v>1280967.8687800267</v>
      </c>
      <c r="C484">
        <v>104300.46004396609</v>
      </c>
      <c r="D484">
        <v>106561.6006632436</v>
      </c>
      <c r="E484">
        <v>108615.79401265604</v>
      </c>
      <c r="F484">
        <v>43519.554970106961</v>
      </c>
      <c r="G484">
        <v>10000</v>
      </c>
      <c r="H484">
        <v>352997.4096899727</v>
      </c>
      <c r="I484">
        <v>38.815266863262949</v>
      </c>
    </row>
    <row r="485" spans="1:9" x14ac:dyDescent="0.2">
      <c r="A485">
        <v>475</v>
      </c>
      <c r="B485">
        <v>1268766.530759925</v>
      </c>
      <c r="C485">
        <v>115280.95138318777</v>
      </c>
      <c r="D485">
        <v>131113.32712804349</v>
      </c>
      <c r="E485">
        <v>72256.80076617538</v>
      </c>
      <c r="F485">
        <v>41002.393899196759</v>
      </c>
      <c r="G485">
        <v>10000</v>
      </c>
      <c r="H485">
        <v>349653.47317660338</v>
      </c>
      <c r="I485">
        <v>27.074495021371046</v>
      </c>
    </row>
    <row r="486" spans="1:9" x14ac:dyDescent="0.2">
      <c r="A486">
        <v>476</v>
      </c>
      <c r="B486">
        <v>1340907.165742253</v>
      </c>
      <c r="C486">
        <v>117078.28213211468</v>
      </c>
      <c r="D486">
        <v>86975.243920237277</v>
      </c>
      <c r="E486">
        <v>130347.0094047961</v>
      </c>
      <c r="F486">
        <v>45024.023728024345</v>
      </c>
      <c r="G486">
        <v>10000</v>
      </c>
      <c r="H486">
        <v>369424.55918517237</v>
      </c>
      <c r="I486">
        <v>32.067870033227138</v>
      </c>
    </row>
    <row r="487" spans="1:9" x14ac:dyDescent="0.2">
      <c r="A487">
        <v>477</v>
      </c>
      <c r="B487">
        <v>1466778.4686460374</v>
      </c>
      <c r="C487">
        <v>84429.590567884632</v>
      </c>
      <c r="D487">
        <v>102899.96818782453</v>
      </c>
      <c r="E487">
        <v>178251.21133863804</v>
      </c>
      <c r="F487">
        <v>48340.46847729032</v>
      </c>
      <c r="G487">
        <v>10000</v>
      </c>
      <c r="H487">
        <v>403921.23857163748</v>
      </c>
      <c r="I487">
        <v>40.062468455632484</v>
      </c>
    </row>
    <row r="488" spans="1:9" x14ac:dyDescent="0.2">
      <c r="A488">
        <v>478</v>
      </c>
      <c r="B488">
        <v>1542886.6225010534</v>
      </c>
      <c r="C488">
        <v>117737.73950688314</v>
      </c>
      <c r="D488">
        <v>123369.18140256811</v>
      </c>
      <c r="E488">
        <v>147463.72693984504</v>
      </c>
      <c r="F488">
        <v>46209.027249681581</v>
      </c>
      <c r="G488">
        <v>10000</v>
      </c>
      <c r="H488">
        <v>424779.67509897792</v>
      </c>
      <c r="I488">
        <v>26.330902283057988</v>
      </c>
    </row>
    <row r="489" spans="1:9" x14ac:dyDescent="0.2">
      <c r="A489">
        <v>479</v>
      </c>
      <c r="B489">
        <v>1524942.5710137212</v>
      </c>
      <c r="C489">
        <v>101042.852297998</v>
      </c>
      <c r="D489">
        <v>93869.678548380267</v>
      </c>
      <c r="E489">
        <v>186067.72982332981</v>
      </c>
      <c r="F489">
        <v>48881.612064692061</v>
      </c>
      <c r="G489">
        <v>10000</v>
      </c>
      <c r="H489">
        <v>419861.87273440015</v>
      </c>
      <c r="I489">
        <v>31.476347130220741</v>
      </c>
    </row>
    <row r="490" spans="1:9" x14ac:dyDescent="0.2">
      <c r="A490">
        <v>480</v>
      </c>
      <c r="B490">
        <v>1663549.0428117639</v>
      </c>
      <c r="C490">
        <v>150982.35881493805</v>
      </c>
      <c r="D490">
        <v>124896.3798560881</v>
      </c>
      <c r="E490">
        <v>145871.27287712568</v>
      </c>
      <c r="F490">
        <v>46098.780429954852</v>
      </c>
      <c r="G490">
        <v>10000</v>
      </c>
      <c r="H490">
        <v>457848.79197810672</v>
      </c>
      <c r="I490">
        <v>28.085397604755208</v>
      </c>
    </row>
    <row r="491" spans="1:9" x14ac:dyDescent="0.2">
      <c r="A491">
        <v>481</v>
      </c>
      <c r="B491">
        <v>1343497.0014833314</v>
      </c>
      <c r="C491">
        <v>135550.2512709735</v>
      </c>
      <c r="D491">
        <v>119537.64321777622</v>
      </c>
      <c r="E491">
        <v>83280.846070635554</v>
      </c>
      <c r="F491">
        <v>41765.597035659383</v>
      </c>
      <c r="G491">
        <v>10000</v>
      </c>
      <c r="H491">
        <v>370134.33759504464</v>
      </c>
      <c r="I491">
        <v>36.087585428966982</v>
      </c>
    </row>
    <row r="492" spans="1:9" x14ac:dyDescent="0.2">
      <c r="A492">
        <v>482</v>
      </c>
      <c r="B492">
        <v>1417060.6652922125</v>
      </c>
      <c r="C492">
        <v>108695.53359939679</v>
      </c>
      <c r="D492">
        <v>78310.133703306579</v>
      </c>
      <c r="E492">
        <v>165810.56315752323</v>
      </c>
      <c r="F492">
        <v>47479.192833982379</v>
      </c>
      <c r="G492">
        <v>10000</v>
      </c>
      <c r="H492">
        <v>390295.42329420894</v>
      </c>
      <c r="I492">
        <v>35.327414878871899</v>
      </c>
    </row>
    <row r="493" spans="1:9" x14ac:dyDescent="0.2">
      <c r="A493">
        <v>483</v>
      </c>
      <c r="B493">
        <v>1015889.1186950174</v>
      </c>
      <c r="C493">
        <v>114098.75752304128</v>
      </c>
      <c r="D493">
        <v>95855.043675076624</v>
      </c>
      <c r="E493">
        <v>41520.788554846506</v>
      </c>
      <c r="F493">
        <v>38874.516130720142</v>
      </c>
      <c r="G493">
        <v>10000</v>
      </c>
      <c r="H493">
        <v>280349.10588368453</v>
      </c>
      <c r="I493">
        <v>28.510588181428865</v>
      </c>
    </row>
    <row r="494" spans="1:9" x14ac:dyDescent="0.2">
      <c r="A494">
        <v>484</v>
      </c>
      <c r="B494">
        <v>786965.35833303398</v>
      </c>
      <c r="C494">
        <v>102412.02942746179</v>
      </c>
      <c r="D494">
        <v>35412.671562347896</v>
      </c>
      <c r="E494">
        <v>50302.377348206923</v>
      </c>
      <c r="F494">
        <v>39482.472277952787</v>
      </c>
      <c r="G494">
        <v>10000</v>
      </c>
      <c r="H494">
        <v>217609.55061596943</v>
      </c>
      <c r="I494">
        <v>34.652319749724896</v>
      </c>
    </row>
    <row r="495" spans="1:9" x14ac:dyDescent="0.2">
      <c r="A495">
        <v>485</v>
      </c>
      <c r="B495">
        <v>1571863.0653218962</v>
      </c>
      <c r="C495">
        <v>137354.59398922906</v>
      </c>
      <c r="D495">
        <v>69859.56669241676</v>
      </c>
      <c r="E495">
        <v>186589.17596148895</v>
      </c>
      <c r="F495">
        <v>48917.712181949231</v>
      </c>
      <c r="G495">
        <v>10000</v>
      </c>
      <c r="H495">
        <v>432721.048825084</v>
      </c>
      <c r="I495">
        <v>33.174839849677454</v>
      </c>
    </row>
    <row r="496" spans="1:9" x14ac:dyDescent="0.2">
      <c r="A496">
        <v>486</v>
      </c>
      <c r="B496">
        <v>1250025.2165990574</v>
      </c>
      <c r="C496">
        <v>89672.545990629471</v>
      </c>
      <c r="D496">
        <v>39901.643866617873</v>
      </c>
      <c r="E496">
        <v>176709.26250227992</v>
      </c>
      <c r="F496">
        <v>48233.718173234767</v>
      </c>
      <c r="G496">
        <v>10000</v>
      </c>
      <c r="H496">
        <v>344517.17053276201</v>
      </c>
      <c r="I496">
        <v>36.502753435120425</v>
      </c>
    </row>
    <row r="497" spans="1:9" x14ac:dyDescent="0.2">
      <c r="A497">
        <v>487</v>
      </c>
      <c r="B497">
        <v>1386886.0720728908</v>
      </c>
      <c r="C497">
        <v>99683.162741660781</v>
      </c>
      <c r="D497">
        <v>74780.707074918624</v>
      </c>
      <c r="E497">
        <v>169806.01023155317</v>
      </c>
      <c r="F497">
        <v>47755.800708338298</v>
      </c>
      <c r="G497">
        <v>10000</v>
      </c>
      <c r="H497">
        <v>382025.68075647089</v>
      </c>
      <c r="I497">
        <v>40.29313635436877</v>
      </c>
    </row>
    <row r="498" spans="1:9" x14ac:dyDescent="0.2">
      <c r="A498">
        <v>488</v>
      </c>
      <c r="B498">
        <v>1518127.0629873294</v>
      </c>
      <c r="C498">
        <v>92536.811590725483</v>
      </c>
      <c r="D498">
        <v>98485.711058662608</v>
      </c>
      <c r="E498">
        <v>187958.92955511727</v>
      </c>
      <c r="F498">
        <v>49012.541276892734</v>
      </c>
      <c r="G498">
        <v>10000</v>
      </c>
      <c r="H498">
        <v>417993.99348139809</v>
      </c>
      <c r="I498">
        <v>25.73460158117814</v>
      </c>
    </row>
    <row r="499" spans="1:9" x14ac:dyDescent="0.2">
      <c r="A499">
        <v>489</v>
      </c>
      <c r="B499">
        <v>1463428.383444191</v>
      </c>
      <c r="C499">
        <v>110682.76675269986</v>
      </c>
      <c r="D499">
        <v>85202.187292647606</v>
      </c>
      <c r="E499">
        <v>169391.07534593396</v>
      </c>
      <c r="F499">
        <v>47727.0744470262</v>
      </c>
      <c r="G499">
        <v>10000</v>
      </c>
      <c r="H499">
        <v>403003.10383830761</v>
      </c>
      <c r="I499">
        <v>44.407157032535537</v>
      </c>
    </row>
    <row r="500" spans="1:9" x14ac:dyDescent="0.2">
      <c r="A500">
        <v>490</v>
      </c>
      <c r="B500">
        <v>1652540.7272202922</v>
      </c>
      <c r="C500">
        <v>97424.511621646699</v>
      </c>
      <c r="D500">
        <v>118055.84586729491</v>
      </c>
      <c r="E500">
        <v>199537.33800011026</v>
      </c>
      <c r="F500">
        <v>49814.123400007629</v>
      </c>
      <c r="G500">
        <v>10000</v>
      </c>
      <c r="H500">
        <v>454831.81888905948</v>
      </c>
      <c r="I500">
        <v>31.870485659322977</v>
      </c>
    </row>
    <row r="501" spans="1:9" x14ac:dyDescent="0.2">
      <c r="A501">
        <v>491</v>
      </c>
      <c r="B501">
        <v>1259289.7061598855</v>
      </c>
      <c r="C501">
        <v>92309.832370202843</v>
      </c>
      <c r="D501">
        <v>81118.124344929296</v>
      </c>
      <c r="E501">
        <v>138069.60367058095</v>
      </c>
      <c r="F501">
        <v>45558.66486950175</v>
      </c>
      <c r="G501">
        <v>10000</v>
      </c>
      <c r="H501">
        <v>347056.22525521484</v>
      </c>
      <c r="I501">
        <v>35.948869534104773</v>
      </c>
    </row>
    <row r="502" spans="1:9" x14ac:dyDescent="0.2">
      <c r="A502">
        <v>492</v>
      </c>
      <c r="B502">
        <v>1409239.8685366004</v>
      </c>
      <c r="C502">
        <v>77778.026065209255</v>
      </c>
      <c r="D502">
        <v>66093.620985806367</v>
      </c>
      <c r="E502">
        <v>204147.12214315365</v>
      </c>
      <c r="F502">
        <v>50133.262302218325</v>
      </c>
      <c r="G502">
        <v>10000</v>
      </c>
      <c r="H502">
        <v>388152.03149638767</v>
      </c>
      <c r="I502">
        <v>35.088431401535537</v>
      </c>
    </row>
    <row r="503" spans="1:9" x14ac:dyDescent="0.2">
      <c r="A503">
        <v>493</v>
      </c>
      <c r="B503">
        <v>1319867.2443495332</v>
      </c>
      <c r="C503">
        <v>102115.77233385037</v>
      </c>
      <c r="D503">
        <v>103418.74983392413</v>
      </c>
      <c r="E503">
        <v>123568.99441509698</v>
      </c>
      <c r="F503">
        <v>44554.776536429788</v>
      </c>
      <c r="G503">
        <v>10000</v>
      </c>
      <c r="H503">
        <v>363658.29311930126</v>
      </c>
      <c r="I503">
        <v>42.717992900825088</v>
      </c>
    </row>
    <row r="504" spans="1:9" x14ac:dyDescent="0.2">
      <c r="A504">
        <v>494</v>
      </c>
      <c r="B504">
        <v>1530253.3740621482</v>
      </c>
      <c r="C504">
        <v>99774.198294553775</v>
      </c>
      <c r="D504">
        <v>88060.626031821201</v>
      </c>
      <c r="E504">
        <v>194048.42202633704</v>
      </c>
      <c r="F504">
        <v>49434.121524900256</v>
      </c>
      <c r="G504">
        <v>10000</v>
      </c>
      <c r="H504">
        <v>421317.3678776123</v>
      </c>
      <c r="I504">
        <v>30.848268455428126</v>
      </c>
    </row>
    <row r="505" spans="1:9" x14ac:dyDescent="0.2">
      <c r="A505">
        <v>495</v>
      </c>
      <c r="B505">
        <v>1233978.8728668997</v>
      </c>
      <c r="C505">
        <v>122562.48806901128</v>
      </c>
      <c r="D505">
        <v>101053.79015424587</v>
      </c>
      <c r="E505">
        <v>84643.263379879922</v>
      </c>
      <c r="F505">
        <v>41859.918233991688</v>
      </c>
      <c r="G505">
        <v>10000</v>
      </c>
      <c r="H505">
        <v>340119.45983712876</v>
      </c>
      <c r="I505">
        <v>31.772920630764773</v>
      </c>
    </row>
    <row r="506" spans="1:9" x14ac:dyDescent="0.2">
      <c r="A506">
        <v>496</v>
      </c>
      <c r="B506">
        <v>822059.44552362023</v>
      </c>
      <c r="C506">
        <v>117009.05782854704</v>
      </c>
      <c r="D506">
        <v>55503.209829322615</v>
      </c>
      <c r="E506">
        <v>26856.01470413915</v>
      </c>
      <c r="F506">
        <v>37859.262556440401</v>
      </c>
      <c r="G506">
        <v>10000</v>
      </c>
      <c r="H506">
        <v>227227.54491844922</v>
      </c>
      <c r="I506">
        <v>39.706906092193591</v>
      </c>
    </row>
    <row r="507" spans="1:9" x14ac:dyDescent="0.2">
      <c r="A507">
        <v>497</v>
      </c>
      <c r="B507">
        <v>1419329.679043392</v>
      </c>
      <c r="C507">
        <v>114843.46151577852</v>
      </c>
      <c r="D507">
        <v>60839.046790903078</v>
      </c>
      <c r="E507">
        <v>176982.15705545494</v>
      </c>
      <c r="F507">
        <v>48252.610873069963</v>
      </c>
      <c r="G507">
        <v>10000</v>
      </c>
      <c r="H507">
        <v>390917.27623520652</v>
      </c>
      <c r="I507">
        <v>30.500574475512146</v>
      </c>
    </row>
    <row r="508" spans="1:9" x14ac:dyDescent="0.2">
      <c r="A508">
        <v>498</v>
      </c>
      <c r="B508">
        <v>1407541.1065818274</v>
      </c>
      <c r="C508">
        <v>125869.61711936715</v>
      </c>
      <c r="D508">
        <v>68803.822500359311</v>
      </c>
      <c r="E508">
        <v>156199.23099530718</v>
      </c>
      <c r="F508">
        <v>46813.792915059727</v>
      </c>
      <c r="G508">
        <v>10000</v>
      </c>
      <c r="H508">
        <v>387686.46353009332</v>
      </c>
      <c r="I508">
        <v>30.150921492007932</v>
      </c>
    </row>
    <row r="509" spans="1:9" x14ac:dyDescent="0.2">
      <c r="A509">
        <v>499</v>
      </c>
      <c r="B509">
        <v>1060788.8402727114</v>
      </c>
      <c r="C509">
        <v>103686.55081001016</v>
      </c>
      <c r="D509">
        <v>93562.85572033943</v>
      </c>
      <c r="E509">
        <v>64911.203646391834</v>
      </c>
      <c r="F509">
        <v>40493.852560134823</v>
      </c>
      <c r="G509">
        <v>10000</v>
      </c>
      <c r="H509">
        <v>292654.46273687622</v>
      </c>
      <c r="I509">
        <v>47.176916184243005</v>
      </c>
    </row>
    <row r="510" spans="1:9" x14ac:dyDescent="0.2">
      <c r="A510">
        <v>500</v>
      </c>
      <c r="B510">
        <v>1817035.3789164757</v>
      </c>
      <c r="C510">
        <v>136570.22773419594</v>
      </c>
      <c r="D510">
        <v>115602.5975173435</v>
      </c>
      <c r="E510">
        <v>207383.58274034355</v>
      </c>
      <c r="F510">
        <v>50357.324958946861</v>
      </c>
      <c r="G510">
        <v>10000</v>
      </c>
      <c r="H510">
        <v>499913.73295082984</v>
      </c>
      <c r="I510">
        <v>42.214250008050371</v>
      </c>
    </row>
    <row r="511" spans="1:9" x14ac:dyDescent="0.2">
      <c r="A511">
        <v>501</v>
      </c>
      <c r="B511">
        <v>1347278.2664270529</v>
      </c>
      <c r="C511">
        <v>91745.117122805663</v>
      </c>
      <c r="D511">
        <v>75445.102683218152</v>
      </c>
      <c r="E511">
        <v>166456.51069956284</v>
      </c>
      <c r="F511">
        <v>47523.9122792005</v>
      </c>
      <c r="G511">
        <v>10000</v>
      </c>
      <c r="H511">
        <v>371170.64278478717</v>
      </c>
      <c r="I511">
        <v>35.07060175327598</v>
      </c>
    </row>
    <row r="512" spans="1:9" x14ac:dyDescent="0.2">
      <c r="A512">
        <v>502</v>
      </c>
      <c r="B512">
        <v>1667173.2510177218</v>
      </c>
      <c r="C512">
        <v>96214.780933783113</v>
      </c>
      <c r="D512">
        <v>122759.97043779964</v>
      </c>
      <c r="E512">
        <v>200019.77916685911</v>
      </c>
      <c r="F512">
        <v>49847.523173090245</v>
      </c>
      <c r="G512">
        <v>10000</v>
      </c>
      <c r="H512">
        <v>458842.05371153209</v>
      </c>
      <c r="I512">
        <v>32.51160661497061</v>
      </c>
    </row>
    <row r="513" spans="1:9" x14ac:dyDescent="0.2">
      <c r="A513">
        <v>503</v>
      </c>
      <c r="B513">
        <v>1245874.2681240824</v>
      </c>
      <c r="C513">
        <v>96454.750423053556</v>
      </c>
      <c r="D513">
        <v>144240.79178561227</v>
      </c>
      <c r="E513">
        <v>71718.855018722781</v>
      </c>
      <c r="F513">
        <v>40965.15150129619</v>
      </c>
      <c r="G513">
        <v>10000</v>
      </c>
      <c r="H513">
        <v>343379.54872868478</v>
      </c>
      <c r="I513">
        <v>29.890648059585498</v>
      </c>
    </row>
    <row r="514" spans="1:9" x14ac:dyDescent="0.2">
      <c r="A514">
        <v>504</v>
      </c>
      <c r="B514">
        <v>1503944.3528827694</v>
      </c>
      <c r="C514">
        <v>120412.8247288687</v>
      </c>
      <c r="D514">
        <v>54734.120600793198</v>
      </c>
      <c r="E514">
        <v>199171.30781528744</v>
      </c>
      <c r="F514">
        <v>49788.78284875067</v>
      </c>
      <c r="G514">
        <v>10000</v>
      </c>
      <c r="H514">
        <v>414107.03599369997</v>
      </c>
      <c r="I514">
        <v>36.553759633287378</v>
      </c>
    </row>
    <row r="515" spans="1:9" x14ac:dyDescent="0.2">
      <c r="A515">
        <v>505</v>
      </c>
      <c r="B515">
        <v>1311319.2089077751</v>
      </c>
      <c r="C515">
        <v>104092.22212154952</v>
      </c>
      <c r="D515">
        <v>87189.660900978022</v>
      </c>
      <c r="E515">
        <v>134707.78540568869</v>
      </c>
      <c r="F515">
        <v>45325.923605009215</v>
      </c>
      <c r="G515">
        <v>10000</v>
      </c>
      <c r="H515">
        <v>361315.59203322546</v>
      </c>
      <c r="I515">
        <v>30.316959742620938</v>
      </c>
    </row>
    <row r="516" spans="1:9" x14ac:dyDescent="0.2">
      <c r="A516">
        <v>506</v>
      </c>
      <c r="B516">
        <v>1358600.5030370667</v>
      </c>
      <c r="C516">
        <v>131291.69968519019</v>
      </c>
      <c r="D516">
        <v>78169.721556125893</v>
      </c>
      <c r="E516">
        <v>129824.38664728995</v>
      </c>
      <c r="F516">
        <v>44987.842152504687</v>
      </c>
      <c r="G516">
        <v>10000</v>
      </c>
      <c r="H516">
        <v>374273.6500411107</v>
      </c>
      <c r="I516">
        <v>33.598996188525355</v>
      </c>
    </row>
    <row r="517" spans="1:9" x14ac:dyDescent="0.2">
      <c r="A517">
        <v>507</v>
      </c>
      <c r="B517">
        <v>1262200.967626269</v>
      </c>
      <c r="C517">
        <v>79807.675307464131</v>
      </c>
      <c r="D517">
        <v>52764.955987609144</v>
      </c>
      <c r="E517">
        <v>177025.828986065</v>
      </c>
      <c r="F517">
        <v>48255.634314419884</v>
      </c>
      <c r="G517">
        <v>10000</v>
      </c>
      <c r="H517">
        <v>347854.09459555818</v>
      </c>
      <c r="I517">
        <v>28.359548388814908</v>
      </c>
    </row>
    <row r="518" spans="1:9" x14ac:dyDescent="0.2">
      <c r="A518">
        <v>508</v>
      </c>
      <c r="B518">
        <v>1088541.7466923464</v>
      </c>
      <c r="C518">
        <v>104547.98562777232</v>
      </c>
      <c r="D518">
        <v>133835.06462776495</v>
      </c>
      <c r="E518">
        <v>33554.459020139722</v>
      </c>
      <c r="F518">
        <v>38323.001009086598</v>
      </c>
      <c r="G518">
        <v>10000</v>
      </c>
      <c r="H518">
        <v>300260.51028476359</v>
      </c>
      <c r="I518">
        <v>38.510286454079278</v>
      </c>
    </row>
    <row r="519" spans="1:9" x14ac:dyDescent="0.2">
      <c r="A519">
        <v>509</v>
      </c>
      <c r="B519">
        <v>1395935.9838417962</v>
      </c>
      <c r="C519">
        <v>106293.96002895359</v>
      </c>
      <c r="D519">
        <v>88264.969535800963</v>
      </c>
      <c r="E519">
        <v>153331.72480382482</v>
      </c>
      <c r="F519">
        <v>46615.273255649408</v>
      </c>
      <c r="G519">
        <v>10000</v>
      </c>
      <c r="H519">
        <v>384505.92762422882</v>
      </c>
      <c r="I519">
        <v>46.321410032287574</v>
      </c>
    </row>
    <row r="520" spans="1:9" x14ac:dyDescent="0.2">
      <c r="A520">
        <v>510</v>
      </c>
      <c r="B520">
        <v>1113802.5703984159</v>
      </c>
      <c r="C520">
        <v>111675.05546107782</v>
      </c>
      <c r="D520">
        <v>122254.43966660647</v>
      </c>
      <c r="E520">
        <v>44194.458439291033</v>
      </c>
      <c r="F520">
        <v>39059.616353489371</v>
      </c>
      <c r="G520">
        <v>10000</v>
      </c>
      <c r="H520">
        <v>307183.56992046465</v>
      </c>
      <c r="I520">
        <v>43.89300262140091</v>
      </c>
    </row>
    <row r="521" spans="1:9" x14ac:dyDescent="0.2">
      <c r="A521">
        <v>511</v>
      </c>
      <c r="B521">
        <v>1054377.1923572964</v>
      </c>
      <c r="C521">
        <v>116798.71950703907</v>
      </c>
      <c r="D521">
        <v>81702.784351724404</v>
      </c>
      <c r="E521">
        <v>62096.756555719461</v>
      </c>
      <c r="F521">
        <v>40299.006223088269</v>
      </c>
      <c r="G521">
        <v>10000</v>
      </c>
      <c r="H521">
        <v>290897.26663757121</v>
      </c>
      <c r="I521">
        <v>49.497970486092903</v>
      </c>
    </row>
    <row r="522" spans="1:9" x14ac:dyDescent="0.2">
      <c r="A522">
        <v>512</v>
      </c>
      <c r="B522">
        <v>1500602.1265237504</v>
      </c>
      <c r="C522">
        <v>123272.30836803629</v>
      </c>
      <c r="D522">
        <v>51983.411488432728</v>
      </c>
      <c r="E522">
        <v>198212.90344571247</v>
      </c>
      <c r="F522">
        <v>49722.431777010868</v>
      </c>
      <c r="G522">
        <v>10000</v>
      </c>
      <c r="H522">
        <v>413191.05507919233</v>
      </c>
      <c r="I522">
        <v>32.78125571750563</v>
      </c>
    </row>
    <row r="523" spans="1:9" x14ac:dyDescent="0.2">
      <c r="A523">
        <v>513</v>
      </c>
      <c r="B523">
        <v>979713.90446061967</v>
      </c>
      <c r="C523">
        <v>98120.589684050196</v>
      </c>
      <c r="D523">
        <v>36170.106543429654</v>
      </c>
      <c r="E523">
        <v>103012.48476472826</v>
      </c>
      <c r="F523">
        <v>43131.633560635026</v>
      </c>
      <c r="G523">
        <v>10000</v>
      </c>
      <c r="H523">
        <v>270434.81455284311</v>
      </c>
      <c r="I523">
        <v>25.937954991581378</v>
      </c>
    </row>
    <row r="524" spans="1:9" x14ac:dyDescent="0.2">
      <c r="A524">
        <v>514</v>
      </c>
      <c r="B524">
        <v>1225748.7901152787</v>
      </c>
      <c r="C524">
        <v>101206.96610842724</v>
      </c>
      <c r="D524">
        <v>83965.859409027355</v>
      </c>
      <c r="E524">
        <v>118488.05326134802</v>
      </c>
      <c r="F524">
        <v>44203.019071939474</v>
      </c>
      <c r="G524">
        <v>10000</v>
      </c>
      <c r="H524">
        <v>337863.89785074204</v>
      </c>
      <c r="I524">
        <v>32.404198600991172</v>
      </c>
    </row>
    <row r="525" spans="1:9" x14ac:dyDescent="0.2">
      <c r="A525">
        <v>515</v>
      </c>
      <c r="B525">
        <v>750019.78455078905</v>
      </c>
      <c r="C525">
        <v>81718.018506995999</v>
      </c>
      <c r="D525">
        <v>54928.279148356385</v>
      </c>
      <c r="E525">
        <v>41934.665363938584</v>
      </c>
      <c r="F525">
        <v>38903.169140580365</v>
      </c>
      <c r="G525">
        <v>10000</v>
      </c>
      <c r="H525">
        <v>207484.13215987134</v>
      </c>
      <c r="I525">
        <v>35.95589824360863</v>
      </c>
    </row>
    <row r="526" spans="1:9" x14ac:dyDescent="0.2">
      <c r="A526">
        <v>516</v>
      </c>
      <c r="B526">
        <v>1001213.6224108607</v>
      </c>
      <c r="C526">
        <v>105412.32673483664</v>
      </c>
      <c r="D526">
        <v>54895.047780961962</v>
      </c>
      <c r="E526">
        <v>84191.104449116086</v>
      </c>
      <c r="F526">
        <v>41828.614923400346</v>
      </c>
      <c r="G526">
        <v>10000</v>
      </c>
      <c r="H526">
        <v>276327.09388831502</v>
      </c>
      <c r="I526">
        <v>31.277960499184776</v>
      </c>
    </row>
    <row r="527" spans="1:9" x14ac:dyDescent="0.2">
      <c r="A527">
        <v>517</v>
      </c>
      <c r="B527">
        <v>1167939.9663644957</v>
      </c>
      <c r="C527">
        <v>143295.62790362973</v>
      </c>
      <c r="D527">
        <v>54006.96943325</v>
      </c>
      <c r="E527">
        <v>92326.219887014595</v>
      </c>
      <c r="F527">
        <v>42391.81522294716</v>
      </c>
      <c r="G527">
        <v>10000</v>
      </c>
      <c r="H527">
        <v>322020.63244684145</v>
      </c>
      <c r="I527">
        <v>36.134463921547791</v>
      </c>
    </row>
    <row r="528" spans="1:9" x14ac:dyDescent="0.2">
      <c r="A528">
        <v>518</v>
      </c>
      <c r="B528">
        <v>1106060.0452031041</v>
      </c>
      <c r="C528">
        <v>119480.3873784364</v>
      </c>
      <c r="D528">
        <v>96674.564657183655</v>
      </c>
      <c r="E528">
        <v>58833.583211117926</v>
      </c>
      <c r="F528">
        <v>40073.094222308166</v>
      </c>
      <c r="G528">
        <v>10000</v>
      </c>
      <c r="H528">
        <v>305061.62946904614</v>
      </c>
      <c r="I528">
        <v>41.674859287596597</v>
      </c>
    </row>
    <row r="529" spans="1:9" x14ac:dyDescent="0.2">
      <c r="A529">
        <v>519</v>
      </c>
      <c r="B529">
        <v>1603852.6615156443</v>
      </c>
      <c r="C529">
        <v>123800.66849618984</v>
      </c>
      <c r="D529">
        <v>88375.466551568417</v>
      </c>
      <c r="E529">
        <v>190147.99003748983</v>
      </c>
      <c r="F529">
        <v>49164.091617980062</v>
      </c>
      <c r="G529">
        <v>10000</v>
      </c>
      <c r="H529">
        <v>441488.21670322813</v>
      </c>
      <c r="I529">
        <v>37.185502550100125</v>
      </c>
    </row>
    <row r="530" spans="1:9" x14ac:dyDescent="0.2">
      <c r="A530">
        <v>520</v>
      </c>
      <c r="B530">
        <v>1190070.5517724245</v>
      </c>
      <c r="C530">
        <v>102039.25394620368</v>
      </c>
      <c r="D530">
        <v>68606.802715956292</v>
      </c>
      <c r="E530">
        <v>122929.26503173336</v>
      </c>
      <c r="F530">
        <v>44510.487579120003</v>
      </c>
      <c r="G530">
        <v>10000</v>
      </c>
      <c r="H530">
        <v>328085.80927301338</v>
      </c>
      <c r="I530">
        <v>40.62074057513297</v>
      </c>
    </row>
    <row r="531" spans="1:9" x14ac:dyDescent="0.2">
      <c r="A531">
        <v>521</v>
      </c>
      <c r="B531">
        <v>1461089.3697126762</v>
      </c>
      <c r="C531">
        <v>124937.76841011042</v>
      </c>
      <c r="D531">
        <v>77257.410356143795</v>
      </c>
      <c r="E531">
        <v>162889.89498945518</v>
      </c>
      <c r="F531">
        <v>47276.992730039208</v>
      </c>
      <c r="G531">
        <v>10000</v>
      </c>
      <c r="H531">
        <v>402362.06648574863</v>
      </c>
      <c r="I531">
        <v>39.011081080192646</v>
      </c>
    </row>
    <row r="532" spans="1:9" x14ac:dyDescent="0.2">
      <c r="A532">
        <v>522</v>
      </c>
      <c r="B532">
        <v>1193005.0690297489</v>
      </c>
      <c r="C532">
        <v>117734.81664247782</v>
      </c>
      <c r="D532">
        <v>86330.570653537172</v>
      </c>
      <c r="E532">
        <v>92425.945563258138</v>
      </c>
      <c r="F532">
        <v>42398.719308225562</v>
      </c>
      <c r="G532">
        <v>10000</v>
      </c>
      <c r="H532">
        <v>328890.05216749868</v>
      </c>
      <c r="I532">
        <v>30.54358679433269</v>
      </c>
    </row>
    <row r="533" spans="1:9" x14ac:dyDescent="0.2">
      <c r="A533">
        <v>523</v>
      </c>
      <c r="B533">
        <v>1485925.084671749</v>
      </c>
      <c r="C533">
        <v>92976.555627544891</v>
      </c>
      <c r="D533">
        <v>114891.35929871825</v>
      </c>
      <c r="E533">
        <v>163950.29924228764</v>
      </c>
      <c r="F533">
        <v>47350.405332158371</v>
      </c>
      <c r="G533">
        <v>10000</v>
      </c>
      <c r="H533">
        <v>409168.61950070917</v>
      </c>
      <c r="I533">
        <v>43.602018375913588</v>
      </c>
    </row>
    <row r="534" spans="1:9" x14ac:dyDescent="0.2">
      <c r="A534">
        <v>524</v>
      </c>
      <c r="B534">
        <v>828549.23020976246</v>
      </c>
      <c r="C534">
        <v>94620.227501997288</v>
      </c>
      <c r="D534">
        <v>51950.762031329905</v>
      </c>
      <c r="E534">
        <v>52781.090400702225</v>
      </c>
      <c r="F534">
        <v>39654.075489279385</v>
      </c>
      <c r="G534">
        <v>10000</v>
      </c>
      <c r="H534">
        <v>229006.15542330881</v>
      </c>
      <c r="I534">
        <v>47.156151073190145</v>
      </c>
    </row>
    <row r="535" spans="1:9" x14ac:dyDescent="0.2">
      <c r="A535">
        <v>525</v>
      </c>
      <c r="B535">
        <v>865074.06731198123</v>
      </c>
      <c r="C535">
        <v>93592.434056495389</v>
      </c>
      <c r="D535">
        <v>88783.583858712125</v>
      </c>
      <c r="E535">
        <v>28656.346644164089</v>
      </c>
      <c r="F535">
        <v>37983.900921519053</v>
      </c>
      <c r="G535">
        <v>10000</v>
      </c>
      <c r="H535">
        <v>239016.26548089067</v>
      </c>
      <c r="I535">
        <v>29.710716119203639</v>
      </c>
    </row>
    <row r="536" spans="1:9" x14ac:dyDescent="0.2">
      <c r="A536">
        <v>526</v>
      </c>
      <c r="B536">
        <v>1102272.199142538</v>
      </c>
      <c r="C536">
        <v>105005.92145429774</v>
      </c>
      <c r="D536">
        <v>93655.286887989467</v>
      </c>
      <c r="E536">
        <v>74223.745312559942</v>
      </c>
      <c r="F536">
        <v>41138.566983177232</v>
      </c>
      <c r="G536">
        <v>10000</v>
      </c>
      <c r="H536">
        <v>304023.52063802438</v>
      </c>
      <c r="I536">
        <v>37.241392030730758</v>
      </c>
    </row>
    <row r="537" spans="1:9" x14ac:dyDescent="0.2">
      <c r="A537">
        <v>527</v>
      </c>
      <c r="B537">
        <v>1061232.0017646577</v>
      </c>
      <c r="C537">
        <v>123773.17047602744</v>
      </c>
      <c r="D537">
        <v>98062.011728540834</v>
      </c>
      <c r="E537">
        <v>42030.902998247642</v>
      </c>
      <c r="F537">
        <v>38909.831746032527</v>
      </c>
      <c r="G537">
        <v>10000</v>
      </c>
      <c r="H537">
        <v>292775.91694884846</v>
      </c>
      <c r="I537">
        <v>29.745835925990288</v>
      </c>
    </row>
    <row r="538" spans="1:9" x14ac:dyDescent="0.2">
      <c r="A538">
        <v>528</v>
      </c>
      <c r="B538">
        <v>948636.87705526373</v>
      </c>
      <c r="C538">
        <v>110860.28205179264</v>
      </c>
      <c r="D538">
        <v>39600.71759040725</v>
      </c>
      <c r="E538">
        <v>79923.577699178946</v>
      </c>
      <c r="F538">
        <v>41533.170763789312</v>
      </c>
      <c r="G538">
        <v>10000</v>
      </c>
      <c r="H538">
        <v>261917.74810516817</v>
      </c>
      <c r="I538">
        <v>41.656795319885163</v>
      </c>
    </row>
    <row r="539" spans="1:9" x14ac:dyDescent="0.2">
      <c r="A539">
        <v>529</v>
      </c>
      <c r="B539">
        <v>1208588.9850428305</v>
      </c>
      <c r="C539">
        <v>140177.70852330409</v>
      </c>
      <c r="D539">
        <v>51469.729501121335</v>
      </c>
      <c r="E539">
        <v>108034.29324047464</v>
      </c>
      <c r="F539">
        <v>43479.297224340553</v>
      </c>
      <c r="G539">
        <v>10000</v>
      </c>
      <c r="H539">
        <v>333161.02848924062</v>
      </c>
      <c r="I539">
        <v>26.323223430443974</v>
      </c>
    </row>
    <row r="540" spans="1:9" x14ac:dyDescent="0.2">
      <c r="A540">
        <v>530</v>
      </c>
      <c r="B540">
        <v>1306142.5691023928</v>
      </c>
      <c r="C540">
        <v>128470.76762739533</v>
      </c>
      <c r="D540">
        <v>144799.33152492196</v>
      </c>
      <c r="E540">
        <v>56701.292814004126</v>
      </c>
      <c r="F540">
        <v>39925.474117892591</v>
      </c>
      <c r="G540">
        <v>10000</v>
      </c>
      <c r="H540">
        <v>359896.86608421395</v>
      </c>
      <c r="I540">
        <v>46.92816782046593</v>
      </c>
    </row>
    <row r="541" spans="1:9" x14ac:dyDescent="0.2">
      <c r="A541">
        <v>531</v>
      </c>
      <c r="B541">
        <v>1677823.6238018442</v>
      </c>
      <c r="C541">
        <v>147447.85659886381</v>
      </c>
      <c r="D541">
        <v>74909.584098698353</v>
      </c>
      <c r="E541">
        <v>199585.99521167096</v>
      </c>
      <c r="F541">
        <v>49817.491976192607</v>
      </c>
      <c r="G541">
        <v>10000</v>
      </c>
      <c r="H541">
        <v>461760.9278854258</v>
      </c>
      <c r="I541">
        <v>49.3870255249021</v>
      </c>
    </row>
    <row r="542" spans="1:9" x14ac:dyDescent="0.2">
      <c r="A542">
        <v>532</v>
      </c>
      <c r="B542">
        <v>1045224.5807312503</v>
      </c>
      <c r="C542">
        <v>116492.94135798285</v>
      </c>
      <c r="D542">
        <v>84359.609085625358</v>
      </c>
      <c r="E542">
        <v>57551.956842142114</v>
      </c>
      <c r="F542">
        <v>39984.366242917531</v>
      </c>
      <c r="G542">
        <v>10000</v>
      </c>
      <c r="H542">
        <v>288388.87352866784</v>
      </c>
      <c r="I542">
        <v>39.197388427776247</v>
      </c>
    </row>
    <row r="543" spans="1:9" x14ac:dyDescent="0.2">
      <c r="A543">
        <v>533</v>
      </c>
      <c r="B543">
        <v>980147.46791358932</v>
      </c>
      <c r="C543">
        <v>120536.70010566429</v>
      </c>
      <c r="D543">
        <v>74321.965849099579</v>
      </c>
      <c r="E543">
        <v>46477.31226206119</v>
      </c>
      <c r="F543">
        <v>39217.660079681154</v>
      </c>
      <c r="G543">
        <v>10000</v>
      </c>
      <c r="H543">
        <v>270553.63829650625</v>
      </c>
      <c r="I543">
        <v>35.414170418487259</v>
      </c>
    </row>
    <row r="544" spans="1:9" x14ac:dyDescent="0.2">
      <c r="A544">
        <v>534</v>
      </c>
      <c r="B544">
        <v>1480435.8356107771</v>
      </c>
      <c r="C544">
        <v>125036.20712238882</v>
      </c>
      <c r="D544">
        <v>147400.02615566162</v>
      </c>
      <c r="E544">
        <v>102155.66999701328</v>
      </c>
      <c r="F544">
        <v>43072.315615177838</v>
      </c>
      <c r="G544">
        <v>10000</v>
      </c>
      <c r="H544">
        <v>407664.21889024158</v>
      </c>
      <c r="I544">
        <v>42.922748226366807</v>
      </c>
    </row>
    <row r="545" spans="1:9" x14ac:dyDescent="0.2">
      <c r="A545">
        <v>535</v>
      </c>
      <c r="B545">
        <v>1454502.5605750503</v>
      </c>
      <c r="C545">
        <v>148093.60149300486</v>
      </c>
      <c r="D545">
        <v>83137.373169878701</v>
      </c>
      <c r="E545">
        <v>134045.79686687869</v>
      </c>
      <c r="F545">
        <v>45280.09362924545</v>
      </c>
      <c r="G545">
        <v>10000</v>
      </c>
      <c r="H545">
        <v>400556.86515900772</v>
      </c>
      <c r="I545">
        <v>38.750736093073378</v>
      </c>
    </row>
    <row r="546" spans="1:9" x14ac:dyDescent="0.2">
      <c r="A546">
        <v>536</v>
      </c>
      <c r="B546">
        <v>1284831.3415819327</v>
      </c>
      <c r="C546">
        <v>108942.08398881368</v>
      </c>
      <c r="D546">
        <v>72538.456120967006</v>
      </c>
      <c r="E546">
        <v>137085.19164275948</v>
      </c>
      <c r="F546">
        <v>45490.513267575654</v>
      </c>
      <c r="G546">
        <v>10000</v>
      </c>
      <c r="H546">
        <v>354056.24502011581</v>
      </c>
      <c r="I546">
        <v>33.339724604236054</v>
      </c>
    </row>
    <row r="547" spans="1:9" x14ac:dyDescent="0.2">
      <c r="A547">
        <v>537</v>
      </c>
      <c r="B547">
        <v>1508527.1426866143</v>
      </c>
      <c r="C547">
        <v>159005.87900848381</v>
      </c>
      <c r="D547">
        <v>90645.463963982955</v>
      </c>
      <c r="E547">
        <v>130665.58746604095</v>
      </c>
      <c r="F547">
        <v>45046.079132264371</v>
      </c>
      <c r="G547">
        <v>10000</v>
      </c>
      <c r="H547">
        <v>415363.00957077206</v>
      </c>
      <c r="I547">
        <v>50.028295602317314</v>
      </c>
    </row>
    <row r="548" spans="1:9" x14ac:dyDescent="0.2">
      <c r="A548">
        <v>538</v>
      </c>
      <c r="B548">
        <v>801206.61506534205</v>
      </c>
      <c r="C548">
        <v>113822.83091569867</v>
      </c>
      <c r="D548">
        <v>33680.125409830856</v>
      </c>
      <c r="E548">
        <v>44901.062174755214</v>
      </c>
      <c r="F548">
        <v>39108.535073636893</v>
      </c>
      <c r="G548">
        <v>10000</v>
      </c>
      <c r="H548">
        <v>221512.55357392161</v>
      </c>
      <c r="I548">
        <v>30.860600860537289</v>
      </c>
    </row>
    <row r="549" spans="1:9" x14ac:dyDescent="0.2">
      <c r="A549">
        <v>539</v>
      </c>
      <c r="B549">
        <v>1042381.0100661127</v>
      </c>
      <c r="C549">
        <v>102746.37962676333</v>
      </c>
      <c r="D549">
        <v>61325.280727855054</v>
      </c>
      <c r="E549">
        <v>91222.492086213198</v>
      </c>
      <c r="F549">
        <v>42315.403298276302</v>
      </c>
      <c r="G549">
        <v>10000</v>
      </c>
      <c r="H549">
        <v>287609.55573910789</v>
      </c>
      <c r="I549">
        <v>48.493617911428991</v>
      </c>
    </row>
    <row r="550" spans="1:9" x14ac:dyDescent="0.2">
      <c r="A550">
        <v>540</v>
      </c>
      <c r="B550">
        <v>1425063.9299721774</v>
      </c>
      <c r="C550">
        <v>133858.63501602563</v>
      </c>
      <c r="D550">
        <v>155332.35246964038</v>
      </c>
      <c r="E550">
        <v>72292.939518421161</v>
      </c>
      <c r="F550">
        <v>41004.895812813775</v>
      </c>
      <c r="G550">
        <v>10000</v>
      </c>
      <c r="H550">
        <v>392488.82281690091</v>
      </c>
      <c r="I550">
        <v>37.92968343552603</v>
      </c>
    </row>
    <row r="551" spans="1:9" x14ac:dyDescent="0.2">
      <c r="A551">
        <v>541</v>
      </c>
      <c r="B551">
        <v>1272040.734502624</v>
      </c>
      <c r="C551">
        <v>145040.72808178538</v>
      </c>
      <c r="D551">
        <v>148933.49690409235</v>
      </c>
      <c r="E551">
        <v>28596.807626645255</v>
      </c>
      <c r="F551">
        <v>37979.778989536979</v>
      </c>
      <c r="G551">
        <v>10000</v>
      </c>
      <c r="H551">
        <v>350550.81160205998</v>
      </c>
      <c r="I551">
        <v>32.614252286366224</v>
      </c>
    </row>
    <row r="552" spans="1:9" x14ac:dyDescent="0.2">
      <c r="A552">
        <v>542</v>
      </c>
      <c r="B552">
        <v>1215803.023243513</v>
      </c>
      <c r="C552">
        <v>115303.11961288078</v>
      </c>
      <c r="D552">
        <v>133153.52487661043</v>
      </c>
      <c r="E552">
        <v>56752.468609874551</v>
      </c>
      <c r="F552">
        <v>39929.017057606703</v>
      </c>
      <c r="G552">
        <v>10000</v>
      </c>
      <c r="H552">
        <v>335138.1301569725</v>
      </c>
      <c r="I552">
        <v>32.17690964874987</v>
      </c>
    </row>
    <row r="553" spans="1:9" x14ac:dyDescent="0.2">
      <c r="A553">
        <v>543</v>
      </c>
      <c r="B553">
        <v>1412397.5213727024</v>
      </c>
      <c r="C553">
        <v>101560.02302202648</v>
      </c>
      <c r="D553">
        <v>84936.827512310439</v>
      </c>
      <c r="E553">
        <v>165091.18720162963</v>
      </c>
      <c r="F553">
        <v>47429.389883189746</v>
      </c>
      <c r="G553">
        <v>10000</v>
      </c>
      <c r="H553">
        <v>389017.42761915631</v>
      </c>
      <c r="I553">
        <v>40.78144504137795</v>
      </c>
    </row>
    <row r="554" spans="1:9" x14ac:dyDescent="0.2">
      <c r="A554">
        <v>544</v>
      </c>
      <c r="B554">
        <v>921594.76611491514</v>
      </c>
      <c r="C554">
        <v>123210.93330152683</v>
      </c>
      <c r="D554">
        <v>40592.98100164935</v>
      </c>
      <c r="E554">
        <v>60513.212795656233</v>
      </c>
      <c r="F554">
        <v>40189.376270468514</v>
      </c>
      <c r="G554">
        <v>10000</v>
      </c>
      <c r="H554">
        <v>254506.50336930092</v>
      </c>
      <c r="I554">
        <v>40.949825704840514</v>
      </c>
    </row>
    <row r="555" spans="1:9" x14ac:dyDescent="0.2">
      <c r="A555">
        <v>545</v>
      </c>
      <c r="B555">
        <v>1048241.8355101733</v>
      </c>
      <c r="C555">
        <v>158216.99957021684</v>
      </c>
      <c r="D555">
        <v>60555.919137431665</v>
      </c>
      <c r="E555">
        <v>41565.276922469675</v>
      </c>
      <c r="F555">
        <v>38877.596094632514</v>
      </c>
      <c r="G555">
        <v>10000</v>
      </c>
      <c r="H555">
        <v>289215.79172475066</v>
      </c>
      <c r="I555">
        <v>36.531541200920159</v>
      </c>
    </row>
    <row r="556" spans="1:9" x14ac:dyDescent="0.2">
      <c r="A556">
        <v>546</v>
      </c>
      <c r="B556">
        <v>1442226.9433333674</v>
      </c>
      <c r="C556">
        <v>146344.49598495479</v>
      </c>
      <c r="D556">
        <v>44698.672016363198</v>
      </c>
      <c r="E556">
        <v>168485.05358692992</v>
      </c>
      <c r="F556">
        <v>47664.349863710529</v>
      </c>
      <c r="G556">
        <v>10000</v>
      </c>
      <c r="H556">
        <v>397192.57145195844</v>
      </c>
      <c r="I556">
        <v>38.6194845474174</v>
      </c>
    </row>
    <row r="557" spans="1:9" x14ac:dyDescent="0.2">
      <c r="A557">
        <v>547</v>
      </c>
      <c r="B557">
        <v>874748.74721179821</v>
      </c>
      <c r="C557">
        <v>91155.865642668039</v>
      </c>
      <c r="D557">
        <v>63204.261574590651</v>
      </c>
      <c r="E557">
        <v>57338.053473523098</v>
      </c>
      <c r="F557">
        <v>39969.557548166988</v>
      </c>
      <c r="G557">
        <v>10000</v>
      </c>
      <c r="H557">
        <v>241667.73823894875</v>
      </c>
      <c r="I557">
        <v>36.79505750314128</v>
      </c>
    </row>
    <row r="558" spans="1:9" x14ac:dyDescent="0.2">
      <c r="A558">
        <v>548</v>
      </c>
      <c r="B558">
        <v>1465472.7766055877</v>
      </c>
      <c r="C558">
        <v>118932.32309831661</v>
      </c>
      <c r="D558">
        <v>68304.94043813202</v>
      </c>
      <c r="E558">
        <v>178002.85822749001</v>
      </c>
      <c r="F558">
        <v>48323.274800364692</v>
      </c>
      <c r="G558">
        <v>10000</v>
      </c>
      <c r="H558">
        <v>403563.39656430337</v>
      </c>
      <c r="I558">
        <v>28.250520705906755</v>
      </c>
    </row>
    <row r="559" spans="1:9" x14ac:dyDescent="0.2">
      <c r="A559">
        <v>549</v>
      </c>
      <c r="B559">
        <v>1408420.6389534869</v>
      </c>
      <c r="C559">
        <v>119944.56237864814</v>
      </c>
      <c r="D559">
        <v>90847.493422833693</v>
      </c>
      <c r="E559">
        <v>141349.70620519263</v>
      </c>
      <c r="F559">
        <v>45785.748891128722</v>
      </c>
      <c r="G559">
        <v>10000</v>
      </c>
      <c r="H559">
        <v>387927.51089780312</v>
      </c>
      <c r="I559">
        <v>31.839085864526982</v>
      </c>
    </row>
    <row r="560" spans="1:9" x14ac:dyDescent="0.2">
      <c r="A560">
        <v>550</v>
      </c>
      <c r="B560">
        <v>895973.2188144431</v>
      </c>
      <c r="C560">
        <v>82647.592208465314</v>
      </c>
      <c r="D560">
        <v>50949.864356195401</v>
      </c>
      <c r="E560">
        <v>82196.592795300356</v>
      </c>
      <c r="F560">
        <v>41690.533347366945</v>
      </c>
      <c r="G560">
        <v>10000</v>
      </c>
      <c r="H560">
        <v>247484.58270732802</v>
      </c>
      <c r="I560">
        <v>43.147183227659582</v>
      </c>
    </row>
    <row r="561" spans="1:9" x14ac:dyDescent="0.2">
      <c r="A561">
        <v>551</v>
      </c>
      <c r="B561">
        <v>1463555.0514088697</v>
      </c>
      <c r="C561">
        <v>107069.37775767155</v>
      </c>
      <c r="D561">
        <v>74359.395545798572</v>
      </c>
      <c r="E561">
        <v>182943.71166529841</v>
      </c>
      <c r="F561">
        <v>48665.33388452066</v>
      </c>
      <c r="G561">
        <v>10000</v>
      </c>
      <c r="H561">
        <v>403037.81885328924</v>
      </c>
      <c r="I561">
        <v>35.467586337463914</v>
      </c>
    </row>
    <row r="562" spans="1:9" x14ac:dyDescent="0.2">
      <c r="A562">
        <v>552</v>
      </c>
      <c r="B562">
        <v>934869.9542357137</v>
      </c>
      <c r="C562">
        <v>96426.007775238861</v>
      </c>
      <c r="D562">
        <v>101928.03393305445</v>
      </c>
      <c r="E562">
        <v>31602.813755037201</v>
      </c>
      <c r="F562">
        <v>38187.88710611796</v>
      </c>
      <c r="G562">
        <v>10000</v>
      </c>
      <c r="H562">
        <v>258144.74256944848</v>
      </c>
      <c r="I562">
        <v>33.2378716387053</v>
      </c>
    </row>
    <row r="563" spans="1:9" x14ac:dyDescent="0.2">
      <c r="A563">
        <v>553</v>
      </c>
      <c r="B563">
        <v>1200886.1720592151</v>
      </c>
      <c r="C563">
        <v>106055.01909482713</v>
      </c>
      <c r="D563">
        <v>70775.699205012876</v>
      </c>
      <c r="E563">
        <v>119917.28734297796</v>
      </c>
      <c r="F563">
        <v>44301.966046821552</v>
      </c>
      <c r="G563">
        <v>10000</v>
      </c>
      <c r="H563">
        <v>331049.9716896395</v>
      </c>
      <c r="I563">
        <v>44.785115070308365</v>
      </c>
    </row>
    <row r="564" spans="1:9" x14ac:dyDescent="0.2">
      <c r="A564">
        <v>554</v>
      </c>
      <c r="B564">
        <v>755766.82778653235</v>
      </c>
      <c r="C564">
        <v>97904.692440388812</v>
      </c>
      <c r="D564">
        <v>32028.33692815384</v>
      </c>
      <c r="E564">
        <v>49686.332269071623</v>
      </c>
      <c r="F564">
        <v>39439.823003243422</v>
      </c>
      <c r="G564">
        <v>10000</v>
      </c>
      <c r="H564">
        <v>209059.18464085771</v>
      </c>
      <c r="I564">
        <v>36.037852152354631</v>
      </c>
    </row>
    <row r="565" spans="1:9" x14ac:dyDescent="0.2">
      <c r="A565">
        <v>555</v>
      </c>
      <c r="B565">
        <v>1411774.200386029</v>
      </c>
      <c r="C565">
        <v>117317.27087217385</v>
      </c>
      <c r="D565">
        <v>127692.4095685561</v>
      </c>
      <c r="E565">
        <v>110207.18940003568</v>
      </c>
      <c r="F565">
        <v>43629.728496925549</v>
      </c>
      <c r="G565">
        <v>10000</v>
      </c>
      <c r="H565">
        <v>388846.59833769116</v>
      </c>
      <c r="I565">
        <v>35.999476728762211</v>
      </c>
    </row>
    <row r="566" spans="1:9" x14ac:dyDescent="0.2">
      <c r="A566">
        <v>556</v>
      </c>
      <c r="B566">
        <v>1142354.1089530317</v>
      </c>
      <c r="C566">
        <v>112258.98787353814</v>
      </c>
      <c r="D566">
        <v>77224.69174978495</v>
      </c>
      <c r="E566">
        <v>93080.760774160357</v>
      </c>
      <c r="F566">
        <v>42444.05266898033</v>
      </c>
      <c r="G566">
        <v>10000</v>
      </c>
      <c r="H566">
        <v>315008.49306646374</v>
      </c>
      <c r="I566">
        <v>43.49012635532408</v>
      </c>
    </row>
    <row r="567" spans="1:9" x14ac:dyDescent="0.2">
      <c r="A567">
        <v>557</v>
      </c>
      <c r="B567">
        <v>1130253.3094797716</v>
      </c>
      <c r="C567">
        <v>112798.02208074711</v>
      </c>
      <c r="D567">
        <v>69297.257020315097</v>
      </c>
      <c r="E567">
        <v>96889.122852598623</v>
      </c>
      <c r="F567">
        <v>42707.708505179908</v>
      </c>
      <c r="G567">
        <v>10000</v>
      </c>
      <c r="H567">
        <v>311692.11045884073</v>
      </c>
      <c r="I567">
        <v>35.246922036601369</v>
      </c>
    </row>
    <row r="568" spans="1:9" x14ac:dyDescent="0.2">
      <c r="A568">
        <v>558</v>
      </c>
      <c r="B568">
        <v>1065665.2980888283</v>
      </c>
      <c r="C568">
        <v>89943.404471995193</v>
      </c>
      <c r="D568">
        <v>72353.386987105187</v>
      </c>
      <c r="E568">
        <v>98850.623702584708</v>
      </c>
      <c r="F568">
        <v>42843.504717871248</v>
      </c>
      <c r="G568">
        <v>10000</v>
      </c>
      <c r="H568">
        <v>293990.91987955634</v>
      </c>
      <c r="I568">
        <v>26.491234453622056</v>
      </c>
    </row>
    <row r="569" spans="1:9" x14ac:dyDescent="0.2">
      <c r="A569">
        <v>559</v>
      </c>
      <c r="B569">
        <v>1285922.6963378678</v>
      </c>
      <c r="C569">
        <v>143259.06396136616</v>
      </c>
      <c r="D569">
        <v>114417.43969445172</v>
      </c>
      <c r="E569">
        <v>66102.51356869482</v>
      </c>
      <c r="F569">
        <v>40576.327862448103</v>
      </c>
      <c r="G569">
        <v>10000</v>
      </c>
      <c r="H569">
        <v>354355.34508696082</v>
      </c>
      <c r="I569">
        <v>46.394028710869726</v>
      </c>
    </row>
    <row r="570" spans="1:9" x14ac:dyDescent="0.2">
      <c r="A570">
        <v>560</v>
      </c>
      <c r="B570">
        <v>1413446.4088326767</v>
      </c>
      <c r="C570">
        <v>92280.768182270855</v>
      </c>
      <c r="D570">
        <v>84810.523456675408</v>
      </c>
      <c r="E570">
        <v>174156.60181783946</v>
      </c>
      <c r="F570">
        <v>48056.995510465807</v>
      </c>
      <c r="G570">
        <v>10000</v>
      </c>
      <c r="H570">
        <v>389304.88896725152</v>
      </c>
      <c r="I570">
        <v>38.576807594078957</v>
      </c>
    </row>
    <row r="571" spans="1:9" x14ac:dyDescent="0.2">
      <c r="A571">
        <v>561</v>
      </c>
      <c r="B571">
        <v>943878.64646964788</v>
      </c>
      <c r="C571">
        <v>93846.413226743854</v>
      </c>
      <c r="D571">
        <v>46330.449451288689</v>
      </c>
      <c r="E571">
        <v>88322.215113214785</v>
      </c>
      <c r="F571">
        <v>42114.614892453326</v>
      </c>
      <c r="G571">
        <v>10000</v>
      </c>
      <c r="H571">
        <v>260613.69268370065</v>
      </c>
      <c r="I571">
        <v>38.160047383457638</v>
      </c>
    </row>
    <row r="572" spans="1:9" x14ac:dyDescent="0.2">
      <c r="A572">
        <v>562</v>
      </c>
      <c r="B572">
        <v>1412848.9109377323</v>
      </c>
      <c r="C572">
        <v>82929.905085109611</v>
      </c>
      <c r="D572">
        <v>63523.305826601558</v>
      </c>
      <c r="E572">
        <v>202657.77245310525</v>
      </c>
      <c r="F572">
        <v>50030.153477522668</v>
      </c>
      <c r="G572">
        <v>10000</v>
      </c>
      <c r="H572">
        <v>389141.13684233907</v>
      </c>
      <c r="I572">
        <v>38.346756917097579</v>
      </c>
    </row>
    <row r="573" spans="1:9" x14ac:dyDescent="0.2">
      <c r="A573">
        <v>563</v>
      </c>
      <c r="B573">
        <v>1324141.4548502855</v>
      </c>
      <c r="C573">
        <v>119320.90832600887</v>
      </c>
      <c r="D573">
        <v>125458.40865286998</v>
      </c>
      <c r="E573">
        <v>87960.786598922903</v>
      </c>
      <c r="F573">
        <v>42089.592918386967</v>
      </c>
      <c r="G573">
        <v>10000</v>
      </c>
      <c r="H573">
        <v>364829.69649618876</v>
      </c>
      <c r="I573">
        <v>29.691707334420208</v>
      </c>
    </row>
    <row r="574" spans="1:9" x14ac:dyDescent="0.2">
      <c r="A574">
        <v>564</v>
      </c>
      <c r="B574">
        <v>1433892.5072756782</v>
      </c>
      <c r="C574">
        <v>139041.02835790845</v>
      </c>
      <c r="D574">
        <v>70451.182182494187</v>
      </c>
      <c r="E574">
        <v>149094.28733459846</v>
      </c>
      <c r="F574">
        <v>46321.91220008758</v>
      </c>
      <c r="G574">
        <v>10000</v>
      </c>
      <c r="H574">
        <v>394908.41007508861</v>
      </c>
      <c r="I574">
        <v>37.699949639167549</v>
      </c>
    </row>
    <row r="575" spans="1:9" x14ac:dyDescent="0.2">
      <c r="A575">
        <v>565</v>
      </c>
      <c r="B575">
        <v>920876.82666429458</v>
      </c>
      <c r="C575">
        <v>80708.148854309533</v>
      </c>
      <c r="D575">
        <v>116137.32058414817</v>
      </c>
      <c r="E575">
        <v>29427.018119329055</v>
      </c>
      <c r="F575">
        <v>38037.255100568938</v>
      </c>
      <c r="G575">
        <v>10000</v>
      </c>
      <c r="H575">
        <v>254309.74265835568</v>
      </c>
      <c r="I575">
        <v>33.247986872838794</v>
      </c>
    </row>
    <row r="576" spans="1:9" x14ac:dyDescent="0.2">
      <c r="A576">
        <v>566</v>
      </c>
      <c r="B576">
        <v>981879.54297295236</v>
      </c>
      <c r="C576">
        <v>110750.49191547335</v>
      </c>
      <c r="D576">
        <v>75435.332459891288</v>
      </c>
      <c r="E576">
        <v>55032.564974219575</v>
      </c>
      <c r="F576">
        <v>39809.946805907508</v>
      </c>
      <c r="G576">
        <v>10000</v>
      </c>
      <c r="H576">
        <v>271028.33615549171</v>
      </c>
      <c r="I576">
        <v>26.319638814187783</v>
      </c>
    </row>
    <row r="577" spans="1:9" x14ac:dyDescent="0.2">
      <c r="A577">
        <v>567</v>
      </c>
      <c r="B577">
        <v>1785539.8747792975</v>
      </c>
      <c r="C577">
        <v>98607.725824369118</v>
      </c>
      <c r="D577">
        <v>157735.53734989822</v>
      </c>
      <c r="E577">
        <v>195410.30833698891</v>
      </c>
      <c r="F577">
        <v>49528.405961791541</v>
      </c>
      <c r="G577">
        <v>10000</v>
      </c>
      <c r="H577">
        <v>491281.97747304779</v>
      </c>
      <c r="I577">
        <v>43.137843333580577</v>
      </c>
    </row>
    <row r="578" spans="1:9" x14ac:dyDescent="0.2">
      <c r="A578">
        <v>568</v>
      </c>
      <c r="B578">
        <v>1291835.2440616838</v>
      </c>
      <c r="C578">
        <v>106096.70138372923</v>
      </c>
      <c r="D578">
        <v>59815.725766356132</v>
      </c>
      <c r="E578">
        <v>153440.52361011069</v>
      </c>
      <c r="F578">
        <v>46622.805480699972</v>
      </c>
      <c r="G578">
        <v>10000</v>
      </c>
      <c r="H578">
        <v>355975.75624089607</v>
      </c>
      <c r="I578">
        <v>49.487569690470849</v>
      </c>
    </row>
    <row r="579" spans="1:9" x14ac:dyDescent="0.2">
      <c r="A579">
        <v>569</v>
      </c>
      <c r="B579">
        <v>1060634.6327464436</v>
      </c>
      <c r="C579">
        <v>106381.68768834081</v>
      </c>
      <c r="D579">
        <v>116472.22447850258</v>
      </c>
      <c r="E579">
        <v>40925.017532865844</v>
      </c>
      <c r="F579">
        <v>38833.270444583024</v>
      </c>
      <c r="G579">
        <v>10000</v>
      </c>
      <c r="H579">
        <v>292612.20014429226</v>
      </c>
      <c r="I579">
        <v>34.126225379627805</v>
      </c>
    </row>
    <row r="580" spans="1:9" x14ac:dyDescent="0.2">
      <c r="A580">
        <v>570</v>
      </c>
      <c r="B580">
        <v>1000259.433189292</v>
      </c>
      <c r="C580">
        <v>73474.39685478351</v>
      </c>
      <c r="D580">
        <v>82568.364083979322</v>
      </c>
      <c r="E580">
        <v>87935.016088074975</v>
      </c>
      <c r="F580">
        <v>42087.808806097499</v>
      </c>
      <c r="G580">
        <v>10000</v>
      </c>
      <c r="H580">
        <v>276065.58583293529</v>
      </c>
      <c r="I580">
        <v>28.766757325596721</v>
      </c>
    </row>
    <row r="581" spans="1:9" x14ac:dyDescent="0.2">
      <c r="A581">
        <v>571</v>
      </c>
      <c r="B581">
        <v>1138173.7004793307</v>
      </c>
      <c r="C581">
        <v>125648.00521302999</v>
      </c>
      <c r="D581">
        <v>43954.54937735726</v>
      </c>
      <c r="E581">
        <v>110603.10475214107</v>
      </c>
      <c r="F581">
        <v>43657.138021302075</v>
      </c>
      <c r="G581">
        <v>10000</v>
      </c>
      <c r="H581">
        <v>313862.79736383038</v>
      </c>
      <c r="I581">
        <v>35.281297188320544</v>
      </c>
    </row>
    <row r="582" spans="1:9" x14ac:dyDescent="0.2">
      <c r="A582">
        <v>572</v>
      </c>
      <c r="B582">
        <v>818675.02347004437</v>
      </c>
      <c r="C582">
        <v>95901.623994371126</v>
      </c>
      <c r="D582">
        <v>55005.49883926825</v>
      </c>
      <c r="E582">
        <v>46194.776945120444</v>
      </c>
      <c r="F582">
        <v>39198.099942354493</v>
      </c>
      <c r="G582">
        <v>10000</v>
      </c>
      <c r="H582">
        <v>226299.99972111432</v>
      </c>
      <c r="I582">
        <v>37.279279368650627</v>
      </c>
    </row>
    <row r="583" spans="1:9" x14ac:dyDescent="0.2">
      <c r="A583">
        <v>573</v>
      </c>
      <c r="B583">
        <v>1737873.1532385086</v>
      </c>
      <c r="C583">
        <v>121957.51475025892</v>
      </c>
      <c r="D583">
        <v>120286.84546803701</v>
      </c>
      <c r="E583">
        <v>196378.49364078607</v>
      </c>
      <c r="F583">
        <v>49595.43417513134</v>
      </c>
      <c r="G583">
        <v>10000</v>
      </c>
      <c r="H583">
        <v>478218.2880342133</v>
      </c>
      <c r="I583">
        <v>32.886160802920756</v>
      </c>
    </row>
    <row r="584" spans="1:9" x14ac:dyDescent="0.2">
      <c r="A584">
        <v>574</v>
      </c>
      <c r="B584">
        <v>1452672.093169773</v>
      </c>
      <c r="C584">
        <v>92479.458204132461</v>
      </c>
      <c r="D584">
        <v>109027.37234053225</v>
      </c>
      <c r="E584">
        <v>161376.17435778116</v>
      </c>
      <c r="F584">
        <v>47172.196686307929</v>
      </c>
      <c r="G584">
        <v>10000</v>
      </c>
      <c r="H584">
        <v>400055.20158875373</v>
      </c>
      <c r="I584">
        <v>42.979235697223004</v>
      </c>
    </row>
    <row r="585" spans="1:9" x14ac:dyDescent="0.2">
      <c r="A585">
        <v>575</v>
      </c>
      <c r="B585">
        <v>1146037.0852763527</v>
      </c>
      <c r="C585">
        <v>125250.79481870652</v>
      </c>
      <c r="D585">
        <v>116592.57354021746</v>
      </c>
      <c r="E585">
        <v>45055.280861406012</v>
      </c>
      <c r="F585">
        <v>39119.211751943491</v>
      </c>
      <c r="G585">
        <v>10000</v>
      </c>
      <c r="H585">
        <v>316017.86097227351</v>
      </c>
      <c r="I585">
        <v>30.588200347312405</v>
      </c>
    </row>
    <row r="586" spans="1:9" x14ac:dyDescent="0.2">
      <c r="A586">
        <v>576</v>
      </c>
      <c r="B586">
        <v>1491788.0762615949</v>
      </c>
      <c r="C586">
        <v>115779.46092519992</v>
      </c>
      <c r="D586">
        <v>100951.35578889614</v>
      </c>
      <c r="E586">
        <v>157164.04472140159</v>
      </c>
      <c r="F586">
        <v>46880.587711481647</v>
      </c>
      <c r="G586">
        <v>10000</v>
      </c>
      <c r="H586">
        <v>410775.44914697931</v>
      </c>
      <c r="I586">
        <v>38.780587161100698</v>
      </c>
    </row>
    <row r="587" spans="1:9" x14ac:dyDescent="0.2">
      <c r="A587">
        <v>577</v>
      </c>
      <c r="B587">
        <v>1587692.3806790479</v>
      </c>
      <c r="C587">
        <v>161576.84597124954</v>
      </c>
      <c r="D587">
        <v>52707.601378924395</v>
      </c>
      <c r="E587">
        <v>184034.016195604</v>
      </c>
      <c r="F587">
        <v>48740.816505849507</v>
      </c>
      <c r="G587">
        <v>10000</v>
      </c>
      <c r="H587">
        <v>437059.28005162743</v>
      </c>
      <c r="I587">
        <v>53.391559710735123</v>
      </c>
    </row>
    <row r="588" spans="1:9" x14ac:dyDescent="0.2">
      <c r="A588">
        <v>578</v>
      </c>
      <c r="B588">
        <v>1313834.3049540324</v>
      </c>
      <c r="C588">
        <v>79543.615267799774</v>
      </c>
      <c r="D588">
        <v>48571.091131885813</v>
      </c>
      <c r="E588">
        <v>194429.66535705869</v>
      </c>
      <c r="F588">
        <v>49460.515293950215</v>
      </c>
      <c r="G588">
        <v>10000</v>
      </c>
      <c r="H588">
        <v>362004.88705069449</v>
      </c>
      <c r="I588">
        <v>30.941990388424198</v>
      </c>
    </row>
    <row r="589" spans="1:9" x14ac:dyDescent="0.2">
      <c r="A589">
        <v>579</v>
      </c>
      <c r="B589">
        <v>1232791.1635385766</v>
      </c>
      <c r="C589">
        <v>105630.55709904739</v>
      </c>
      <c r="D589">
        <v>133582.21742100277</v>
      </c>
      <c r="E589">
        <v>69752.180879670152</v>
      </c>
      <c r="F589">
        <v>40828.997137823317</v>
      </c>
      <c r="G589">
        <v>10000</v>
      </c>
      <c r="H589">
        <v>339793.95253754361</v>
      </c>
      <c r="I589">
        <v>41.756492163473723</v>
      </c>
    </row>
    <row r="590" spans="1:9" x14ac:dyDescent="0.2">
      <c r="A590">
        <v>580</v>
      </c>
      <c r="B590">
        <v>1270033.827066933</v>
      </c>
      <c r="C590">
        <v>82148.327716526095</v>
      </c>
      <c r="D590">
        <v>91208.453062826069</v>
      </c>
      <c r="E590">
        <v>140890.08274542599</v>
      </c>
      <c r="F590">
        <v>45753.928805452568</v>
      </c>
      <c r="G590">
        <v>10000</v>
      </c>
      <c r="H590">
        <v>350000.7923302307</v>
      </c>
      <c r="I590">
        <v>37.722359605999003</v>
      </c>
    </row>
    <row r="591" spans="1:9" x14ac:dyDescent="0.2">
      <c r="A591">
        <v>581</v>
      </c>
      <c r="B591">
        <v>1210555.6805791974</v>
      </c>
      <c r="C591">
        <v>88639.966704405393</v>
      </c>
      <c r="D591">
        <v>48564.975629586173</v>
      </c>
      <c r="E591">
        <v>159455.83473245843</v>
      </c>
      <c r="F591">
        <v>47039.25009686251</v>
      </c>
      <c r="G591">
        <v>10000</v>
      </c>
      <c r="H591">
        <v>333700.02716331248</v>
      </c>
      <c r="I591">
        <v>35.035242872817321</v>
      </c>
    </row>
    <row r="592" spans="1:9" x14ac:dyDescent="0.2">
      <c r="A592">
        <v>582</v>
      </c>
      <c r="B592">
        <v>1739421.2113041198</v>
      </c>
      <c r="C592">
        <v>126420.30114496723</v>
      </c>
      <c r="D592">
        <v>163186.57900754467</v>
      </c>
      <c r="E592">
        <v>152479.40684530389</v>
      </c>
      <c r="F592">
        <v>46556.266627751807</v>
      </c>
      <c r="G592">
        <v>10000</v>
      </c>
      <c r="H592">
        <v>478642.55362556758</v>
      </c>
      <c r="I592">
        <v>33.871961355882803</v>
      </c>
    </row>
    <row r="593" spans="1:9" x14ac:dyDescent="0.2">
      <c r="A593">
        <v>583</v>
      </c>
      <c r="B593">
        <v>1316950.0047063697</v>
      </c>
      <c r="C593">
        <v>86301.707724541469</v>
      </c>
      <c r="D593">
        <v>31614.123403501864</v>
      </c>
      <c r="E593">
        <v>204766.79174765141</v>
      </c>
      <c r="F593">
        <v>50176.162505606633</v>
      </c>
      <c r="G593">
        <v>10000</v>
      </c>
      <c r="H593">
        <v>362858.78538130142</v>
      </c>
      <c r="I593">
        <v>30.113061438598891</v>
      </c>
    </row>
    <row r="594" spans="1:9" x14ac:dyDescent="0.2">
      <c r="A594">
        <v>584</v>
      </c>
      <c r="B594">
        <v>1456435.6961513581</v>
      </c>
      <c r="C594">
        <v>111691.54501191454</v>
      </c>
      <c r="D594">
        <v>79200.492885075946</v>
      </c>
      <c r="E594">
        <v>172268.35748651071</v>
      </c>
      <c r="F594">
        <v>47926.270902912278</v>
      </c>
      <c r="G594">
        <v>10000</v>
      </c>
      <c r="H594">
        <v>401086.66628641344</v>
      </c>
      <c r="I594">
        <v>41.357306865472538</v>
      </c>
    </row>
    <row r="595" spans="1:9" x14ac:dyDescent="0.2">
      <c r="A595">
        <v>585</v>
      </c>
      <c r="B595">
        <v>947302.43478813197</v>
      </c>
      <c r="C595">
        <v>118864.13840253126</v>
      </c>
      <c r="D595">
        <v>74404.743307754165</v>
      </c>
      <c r="E595">
        <v>39545.387420657666</v>
      </c>
      <c r="F595">
        <v>38737.75759066092</v>
      </c>
      <c r="G595">
        <v>10000</v>
      </c>
      <c r="H595">
        <v>261552.02672160405</v>
      </c>
      <c r="I595">
        <v>33.031495483800754</v>
      </c>
    </row>
    <row r="596" spans="1:9" x14ac:dyDescent="0.2">
      <c r="A596">
        <v>586</v>
      </c>
      <c r="B596">
        <v>1181546.6364725977</v>
      </c>
      <c r="C596">
        <v>105453.09068019468</v>
      </c>
      <c r="D596">
        <v>129702.14552124419</v>
      </c>
      <c r="E596">
        <v>60412.105866372294</v>
      </c>
      <c r="F596">
        <v>40182.376559979617</v>
      </c>
      <c r="G596">
        <v>10000</v>
      </c>
      <c r="H596">
        <v>325749.7186277908</v>
      </c>
      <c r="I596">
        <v>43.35596427610713</v>
      </c>
    </row>
    <row r="597" spans="1:9" x14ac:dyDescent="0.2">
      <c r="A597">
        <v>587</v>
      </c>
      <c r="B597">
        <v>1327168.5384612894</v>
      </c>
      <c r="C597">
        <v>124112.65775434341</v>
      </c>
      <c r="D597">
        <v>113764.32600272587</v>
      </c>
      <c r="E597">
        <v>95192.102195683561</v>
      </c>
      <c r="F597">
        <v>42590.222459701174</v>
      </c>
      <c r="G597">
        <v>10000</v>
      </c>
      <c r="H597">
        <v>365659.30841245403</v>
      </c>
      <c r="I597">
        <v>30.427974095383409</v>
      </c>
    </row>
    <row r="598" spans="1:9" x14ac:dyDescent="0.2">
      <c r="A598">
        <v>588</v>
      </c>
      <c r="B598">
        <v>1351484.9797798297</v>
      </c>
      <c r="C598">
        <v>77634.340452273551</v>
      </c>
      <c r="D598">
        <v>104594.76231719693</v>
      </c>
      <c r="E598">
        <v>153469.62474030716</v>
      </c>
      <c r="F598">
        <v>46624.820174328954</v>
      </c>
      <c r="G598">
        <v>10000</v>
      </c>
      <c r="H598">
        <v>372323.54768410663</v>
      </c>
      <c r="I598">
        <v>41.717195503498431</v>
      </c>
    </row>
    <row r="599" spans="1:9" x14ac:dyDescent="0.2">
      <c r="A599">
        <v>589</v>
      </c>
      <c r="B599">
        <v>1576103.3736828156</v>
      </c>
      <c r="C599">
        <v>103635.5417760977</v>
      </c>
      <c r="D599">
        <v>129794.93848118337</v>
      </c>
      <c r="E599">
        <v>163157.18331289751</v>
      </c>
      <c r="F599">
        <v>47295.497306277517</v>
      </c>
      <c r="G599">
        <v>10000</v>
      </c>
      <c r="H599">
        <v>433883.16087645607</v>
      </c>
      <c r="I599">
        <v>37.9926327143408</v>
      </c>
    </row>
    <row r="600" spans="1:9" x14ac:dyDescent="0.2">
      <c r="A600">
        <v>590</v>
      </c>
      <c r="B600">
        <v>1324540.8292632825</v>
      </c>
      <c r="C600">
        <v>124900.63645837008</v>
      </c>
      <c r="D600">
        <v>40864.271131516703</v>
      </c>
      <c r="E600">
        <v>161961.52194562636</v>
      </c>
      <c r="F600">
        <v>47212.720750081826</v>
      </c>
      <c r="G600">
        <v>10000</v>
      </c>
      <c r="H600">
        <v>364939.15028559498</v>
      </c>
      <c r="I600">
        <v>31.164666583963321</v>
      </c>
    </row>
    <row r="601" spans="1:9" x14ac:dyDescent="0.2">
      <c r="A601">
        <v>591</v>
      </c>
      <c r="B601">
        <v>1048619.8004822326</v>
      </c>
      <c r="C601">
        <v>132653.96662274798</v>
      </c>
      <c r="D601">
        <v>65095.022971540886</v>
      </c>
      <c r="E601">
        <v>61324.823666740638</v>
      </c>
      <c r="F601">
        <v>40245.564715389737</v>
      </c>
      <c r="G601">
        <v>10000</v>
      </c>
      <c r="H601">
        <v>289319.37797641923</v>
      </c>
      <c r="I601">
        <v>36.153817795685313</v>
      </c>
    </row>
    <row r="602" spans="1:9" x14ac:dyDescent="0.2">
      <c r="A602">
        <v>592</v>
      </c>
      <c r="B602">
        <v>1622679.9114800517</v>
      </c>
      <c r="C602">
        <v>101172.52105132563</v>
      </c>
      <c r="D602">
        <v>116908.1790416217</v>
      </c>
      <c r="E602">
        <v>189451.49813871601</v>
      </c>
      <c r="F602">
        <v>49115.872948064956</v>
      </c>
      <c r="G602">
        <v>10000</v>
      </c>
      <c r="H602">
        <v>446648.07117972826</v>
      </c>
      <c r="I602">
        <v>43.741627197058335</v>
      </c>
    </row>
    <row r="603" spans="1:9" x14ac:dyDescent="0.2">
      <c r="A603">
        <v>593</v>
      </c>
      <c r="B603">
        <v>861175.84012053732</v>
      </c>
      <c r="C603">
        <v>108942.0801166582</v>
      </c>
      <c r="D603">
        <v>62465.873799688692</v>
      </c>
      <c r="E603">
        <v>37915.062403091069</v>
      </c>
      <c r="F603">
        <v>38624.888935598618</v>
      </c>
      <c r="G603">
        <v>10000</v>
      </c>
      <c r="H603">
        <v>237947.90525503654</v>
      </c>
      <c r="I603">
        <v>34.844883139232167</v>
      </c>
    </row>
    <row r="604" spans="1:9" x14ac:dyDescent="0.2">
      <c r="A604">
        <v>594</v>
      </c>
      <c r="B604">
        <v>1685766.7024381293</v>
      </c>
      <c r="C604">
        <v>147367.07370214126</v>
      </c>
      <c r="D604">
        <v>74174.236067934762</v>
      </c>
      <c r="E604">
        <v>202385.23721128714</v>
      </c>
      <c r="F604">
        <v>50011.285653089108</v>
      </c>
      <c r="G604">
        <v>10000</v>
      </c>
      <c r="H604">
        <v>463937.83263445226</v>
      </c>
      <c r="I604">
        <v>35.698013640710627</v>
      </c>
    </row>
    <row r="605" spans="1:9" x14ac:dyDescent="0.2">
      <c r="A605">
        <v>595</v>
      </c>
      <c r="B605">
        <v>963546.62473202217</v>
      </c>
      <c r="C605">
        <v>82957.028082340577</v>
      </c>
      <c r="D605">
        <v>74528.978179080092</v>
      </c>
      <c r="E605">
        <v>77175.064426132914</v>
      </c>
      <c r="F605">
        <v>41342.889075655352</v>
      </c>
      <c r="G605">
        <v>10000</v>
      </c>
      <c r="H605">
        <v>266003.95976320893</v>
      </c>
      <c r="I605">
        <v>32.586596673183394</v>
      </c>
    </row>
    <row r="606" spans="1:9" x14ac:dyDescent="0.2">
      <c r="A606">
        <v>596</v>
      </c>
      <c r="B606">
        <v>953573.81787690637</v>
      </c>
      <c r="C606">
        <v>127353.94206885829</v>
      </c>
      <c r="D606">
        <v>63316.959260022908</v>
      </c>
      <c r="E606">
        <v>43582.621656540367</v>
      </c>
      <c r="F606">
        <v>39017.258422375868</v>
      </c>
      <c r="G606">
        <v>10000</v>
      </c>
      <c r="H606">
        <v>263270.78140779748</v>
      </c>
      <c r="I606">
        <v>32.038976123199916</v>
      </c>
    </row>
    <row r="607" spans="1:9" x14ac:dyDescent="0.2">
      <c r="A607">
        <v>597</v>
      </c>
      <c r="B607">
        <v>1391969.1564041041</v>
      </c>
      <c r="C607">
        <v>121205.03609395328</v>
      </c>
      <c r="D607">
        <v>116667.33795967308</v>
      </c>
      <c r="E607">
        <v>111805.97864262137</v>
      </c>
      <c r="F607">
        <v>43740.413906027628</v>
      </c>
      <c r="G607">
        <v>10000</v>
      </c>
      <c r="H607">
        <v>383418.76660227537</v>
      </c>
      <c r="I607">
        <v>37.488931090357127</v>
      </c>
    </row>
    <row r="608" spans="1:9" x14ac:dyDescent="0.2">
      <c r="A608">
        <v>598</v>
      </c>
      <c r="B608">
        <v>1101963.2768696705</v>
      </c>
      <c r="C608">
        <v>122743.51723210933</v>
      </c>
      <c r="D608">
        <v>113330.0771331038</v>
      </c>
      <c r="E608">
        <v>39154.561654997909</v>
      </c>
      <c r="F608">
        <v>38710.700422269088</v>
      </c>
      <c r="G608">
        <v>10000</v>
      </c>
      <c r="H608">
        <v>303938.85644248012</v>
      </c>
      <c r="I608">
        <v>32.735713987261761</v>
      </c>
    </row>
    <row r="609" spans="1:9" x14ac:dyDescent="0.2">
      <c r="A609">
        <v>599</v>
      </c>
      <c r="B609">
        <v>1162582.3653132287</v>
      </c>
      <c r="C609">
        <v>160174.39322785303</v>
      </c>
      <c r="D609">
        <v>64735.548011889347</v>
      </c>
      <c r="E609">
        <v>65133.152227081919</v>
      </c>
      <c r="F609">
        <v>40509.218231105668</v>
      </c>
      <c r="G609">
        <v>10000</v>
      </c>
      <c r="H609">
        <v>320552.31169792998</v>
      </c>
      <c r="I609">
        <v>27.217906378203839</v>
      </c>
    </row>
    <row r="610" spans="1:9" x14ac:dyDescent="0.2">
      <c r="A610">
        <v>600</v>
      </c>
      <c r="B610">
        <v>1107028.7213411361</v>
      </c>
      <c r="C610">
        <v>137986.9610942594</v>
      </c>
      <c r="D610">
        <v>32391.223507190418</v>
      </c>
      <c r="E610">
        <v>101894.67642292197</v>
      </c>
      <c r="F610">
        <v>43054.246829279218</v>
      </c>
      <c r="G610">
        <v>10000</v>
      </c>
      <c r="H610">
        <v>305327.10785365105</v>
      </c>
      <c r="I610">
        <v>42.960055043171479</v>
      </c>
    </row>
    <row r="611" spans="1:9" x14ac:dyDescent="0.2">
      <c r="A611">
        <v>601</v>
      </c>
      <c r="B611">
        <v>1372720.8825355365</v>
      </c>
      <c r="C611">
        <v>119020.00478749968</v>
      </c>
      <c r="D611">
        <v>79105.10863465532</v>
      </c>
      <c r="E611">
        <v>144045.99644880433</v>
      </c>
      <c r="F611">
        <v>45972.415138763376</v>
      </c>
      <c r="G611">
        <v>10000</v>
      </c>
      <c r="H611">
        <v>378143.52500972268</v>
      </c>
      <c r="I611">
        <v>26.634784255652722</v>
      </c>
    </row>
    <row r="612" spans="1:9" x14ac:dyDescent="0.2">
      <c r="A612">
        <v>602</v>
      </c>
      <c r="B612">
        <v>1387458.8868201044</v>
      </c>
      <c r="C612">
        <v>153553.20337611611</v>
      </c>
      <c r="D612">
        <v>125824.3606797774</v>
      </c>
      <c r="E612">
        <v>71832.11173466107</v>
      </c>
      <c r="F612">
        <v>40972.992350861154</v>
      </c>
      <c r="G612">
        <v>10000</v>
      </c>
      <c r="H612">
        <v>382182.66814141575</v>
      </c>
      <c r="I612">
        <v>32.412141151593353</v>
      </c>
    </row>
    <row r="613" spans="1:9" x14ac:dyDescent="0.2">
      <c r="A613">
        <v>603</v>
      </c>
      <c r="B613">
        <v>1029175.2183554934</v>
      </c>
      <c r="C613">
        <v>95619.991496633476</v>
      </c>
      <c r="D613">
        <v>95025.207358508036</v>
      </c>
      <c r="E613">
        <v>62984.660203449283</v>
      </c>
      <c r="F613">
        <v>40360.476475623414</v>
      </c>
      <c r="G613">
        <v>10000</v>
      </c>
      <c r="H613">
        <v>283990.33553421422</v>
      </c>
      <c r="I613">
        <v>32.854030646846269</v>
      </c>
    </row>
    <row r="614" spans="1:9" x14ac:dyDescent="0.2">
      <c r="A614">
        <v>604</v>
      </c>
      <c r="B614">
        <v>1003591.962788103</v>
      </c>
      <c r="C614">
        <v>88275.463525196072</v>
      </c>
      <c r="D614">
        <v>120343.20018466127</v>
      </c>
      <c r="E614">
        <v>39617.495803927181</v>
      </c>
      <c r="F614">
        <v>38742.749709502648</v>
      </c>
      <c r="G614">
        <v>10000</v>
      </c>
      <c r="H614">
        <v>276978.90922328713</v>
      </c>
      <c r="I614">
        <v>29.385086711884458</v>
      </c>
    </row>
    <row r="615" spans="1:9" x14ac:dyDescent="0.2">
      <c r="A615">
        <v>605</v>
      </c>
      <c r="B615">
        <v>1188757.8867315454</v>
      </c>
      <c r="C615">
        <v>138196.39869539216</v>
      </c>
      <c r="D615">
        <v>69959.564585728571</v>
      </c>
      <c r="E615">
        <v>87511.597715959913</v>
      </c>
      <c r="F615">
        <v>42058.495226489533</v>
      </c>
      <c r="G615">
        <v>10000</v>
      </c>
      <c r="H615">
        <v>327726.05622357019</v>
      </c>
      <c r="I615">
        <v>23.89764850410268</v>
      </c>
    </row>
    <row r="616" spans="1:9" x14ac:dyDescent="0.2">
      <c r="A616">
        <v>606</v>
      </c>
      <c r="B616">
        <v>1531686.2765373504</v>
      </c>
      <c r="C616">
        <v>115014.48659046458</v>
      </c>
      <c r="D616">
        <v>80643.392653085917</v>
      </c>
      <c r="E616">
        <v>187099.17455081249</v>
      </c>
      <c r="F616">
        <v>48953.019776594709</v>
      </c>
      <c r="G616">
        <v>10000</v>
      </c>
      <c r="H616">
        <v>421710.0735709577</v>
      </c>
      <c r="I616">
        <v>32.353550257587145</v>
      </c>
    </row>
    <row r="617" spans="1:9" x14ac:dyDescent="0.2">
      <c r="A617">
        <v>607</v>
      </c>
      <c r="B617">
        <v>1239996.6905234165</v>
      </c>
      <c r="C617">
        <v>146735.1315671971</v>
      </c>
      <c r="D617">
        <v>35242.352776169522</v>
      </c>
      <c r="E617">
        <v>125128.49527138942</v>
      </c>
      <c r="F617">
        <v>44662.741980326966</v>
      </c>
      <c r="G617">
        <v>10000</v>
      </c>
      <c r="H617">
        <v>341768.72159508296</v>
      </c>
      <c r="I617">
        <v>42.329250004144725</v>
      </c>
    </row>
    <row r="618" spans="1:9" x14ac:dyDescent="0.2">
      <c r="A618">
        <v>608</v>
      </c>
      <c r="B618">
        <v>1198793.4358838159</v>
      </c>
      <c r="C618">
        <v>97022.991812934662</v>
      </c>
      <c r="D618">
        <v>150550.365919562</v>
      </c>
      <c r="E618">
        <v>53218.70061393558</v>
      </c>
      <c r="F618">
        <v>39684.371580964769</v>
      </c>
      <c r="G618">
        <v>10000</v>
      </c>
      <c r="H618">
        <v>330476.429927397</v>
      </c>
      <c r="I618">
        <v>31.43117658207245</v>
      </c>
    </row>
    <row r="619" spans="1:9" x14ac:dyDescent="0.2">
      <c r="A619">
        <v>609</v>
      </c>
      <c r="B619">
        <v>1063022.1046983493</v>
      </c>
      <c r="C619">
        <v>105729.5998304829</v>
      </c>
      <c r="D619">
        <v>72315.03150336181</v>
      </c>
      <c r="E619">
        <v>83444.930075536307</v>
      </c>
      <c r="F619">
        <v>41776.956697537127</v>
      </c>
      <c r="G619">
        <v>10000</v>
      </c>
      <c r="H619">
        <v>293266.51810691814</v>
      </c>
      <c r="I619">
        <v>29.656999303159772</v>
      </c>
    </row>
    <row r="620" spans="1:9" x14ac:dyDescent="0.2">
      <c r="A620">
        <v>610</v>
      </c>
      <c r="B620">
        <v>1233967.0177649856</v>
      </c>
      <c r="C620">
        <v>74107.291620682852</v>
      </c>
      <c r="D620">
        <v>68480.360853115533</v>
      </c>
      <c r="E620">
        <v>160422.39267090976</v>
      </c>
      <c r="F620">
        <v>47106.165646447596</v>
      </c>
      <c r="G620">
        <v>10000</v>
      </c>
      <c r="H620">
        <v>340116.2107911557</v>
      </c>
      <c r="I620">
        <v>41.982183956273076</v>
      </c>
    </row>
    <row r="621" spans="1:9" x14ac:dyDescent="0.2">
      <c r="A621">
        <v>611</v>
      </c>
      <c r="B621">
        <v>1054829.7475538028</v>
      </c>
      <c r="C621">
        <v>111238.32523209347</v>
      </c>
      <c r="D621">
        <v>118798.98013207907</v>
      </c>
      <c r="E621">
        <v>32718.83952453496</v>
      </c>
      <c r="F621">
        <v>38265.150428621651</v>
      </c>
      <c r="G621">
        <v>10000</v>
      </c>
      <c r="H621">
        <v>291021.29531732912</v>
      </c>
      <c r="I621">
        <v>29.825396308614899</v>
      </c>
    </row>
    <row r="622" spans="1:9" x14ac:dyDescent="0.2">
      <c r="A622">
        <v>612</v>
      </c>
      <c r="B622">
        <v>1427058.3360985627</v>
      </c>
      <c r="C622">
        <v>107033.1628374479</v>
      </c>
      <c r="D622">
        <v>111504.43805949646</v>
      </c>
      <c r="E622">
        <v>138882.84860250069</v>
      </c>
      <c r="F622">
        <v>45614.966441711586</v>
      </c>
      <c r="G622">
        <v>10000</v>
      </c>
      <c r="H622">
        <v>393035.41594115662</v>
      </c>
      <c r="I622">
        <v>36.867947399134891</v>
      </c>
    </row>
    <row r="623" spans="1:9" x14ac:dyDescent="0.2">
      <c r="A623">
        <v>613</v>
      </c>
      <c r="B623">
        <v>1351819.965866491</v>
      </c>
      <c r="C623">
        <v>79170.677720190652</v>
      </c>
      <c r="D623">
        <v>114001.10853852777</v>
      </c>
      <c r="E623">
        <v>143321.32329185345</v>
      </c>
      <c r="F623">
        <v>45922.245458666781</v>
      </c>
      <c r="G623">
        <v>10000</v>
      </c>
      <c r="H623">
        <v>372415.35500923864</v>
      </c>
      <c r="I623">
        <v>24.277548044474027</v>
      </c>
    </row>
    <row r="624" spans="1:9" x14ac:dyDescent="0.2">
      <c r="A624">
        <v>614</v>
      </c>
      <c r="B624">
        <v>810503.79002374562</v>
      </c>
      <c r="C624">
        <v>118399.30811127948</v>
      </c>
      <c r="D624">
        <v>51134.117373415684</v>
      </c>
      <c r="E624">
        <v>26680.059622268152</v>
      </c>
      <c r="F624">
        <v>37847.081050772409</v>
      </c>
      <c r="G624">
        <v>10000</v>
      </c>
      <c r="H624">
        <v>224060.56615773571</v>
      </c>
      <c r="I624">
        <v>29.384350668040987</v>
      </c>
    </row>
    <row r="625" spans="1:9" x14ac:dyDescent="0.2">
      <c r="A625">
        <v>615</v>
      </c>
      <c r="B625">
        <v>1231443.9344187954</v>
      </c>
      <c r="C625">
        <v>121971.65122902636</v>
      </c>
      <c r="D625">
        <v>135265.3437927101</v>
      </c>
      <c r="E625">
        <v>52549.677155473677</v>
      </c>
      <c r="F625">
        <v>39638.054572302026</v>
      </c>
      <c r="G625">
        <v>10000</v>
      </c>
      <c r="H625">
        <v>339424.72674951219</v>
      </c>
      <c r="I625">
        <v>40.029678664784704</v>
      </c>
    </row>
    <row r="626" spans="1:9" x14ac:dyDescent="0.2">
      <c r="A626">
        <v>616</v>
      </c>
      <c r="B626">
        <v>1342652.9262671245</v>
      </c>
      <c r="C626">
        <v>124682.57744597849</v>
      </c>
      <c r="D626">
        <v>37767.900718094395</v>
      </c>
      <c r="E626">
        <v>169703.80462556175</v>
      </c>
      <c r="F626">
        <v>47748.724935615806</v>
      </c>
      <c r="G626">
        <v>10000</v>
      </c>
      <c r="H626">
        <v>369903.00772525044</v>
      </c>
      <c r="I626">
        <v>32.281480258742832</v>
      </c>
    </row>
    <row r="627" spans="1:9" x14ac:dyDescent="0.2">
      <c r="A627">
        <v>617</v>
      </c>
      <c r="B627">
        <v>1533631.4902689261</v>
      </c>
      <c r="C627">
        <v>104966.92503110168</v>
      </c>
      <c r="D627">
        <v>84499.120798971067</v>
      </c>
      <c r="E627">
        <v>193388.69119312559</v>
      </c>
      <c r="F627">
        <v>49388.44785183177</v>
      </c>
      <c r="G627">
        <v>10000</v>
      </c>
      <c r="H627">
        <v>422243.18487503013</v>
      </c>
      <c r="I627">
        <v>35.005543382230421</v>
      </c>
    </row>
    <row r="628" spans="1:9" x14ac:dyDescent="0.2">
      <c r="A628">
        <v>618</v>
      </c>
      <c r="B628">
        <v>1773955.3690000661</v>
      </c>
      <c r="C628">
        <v>121220.50792213873</v>
      </c>
      <c r="D628">
        <v>125201.00020625733</v>
      </c>
      <c r="E628">
        <v>201720.33016046803</v>
      </c>
      <c r="F628">
        <v>49965.253626493941</v>
      </c>
      <c r="G628">
        <v>10000</v>
      </c>
      <c r="H628">
        <v>488107.09191535809</v>
      </c>
      <c r="I628">
        <v>25.634538084206493</v>
      </c>
    </row>
    <row r="629" spans="1:9" x14ac:dyDescent="0.2">
      <c r="A629">
        <v>619</v>
      </c>
      <c r="B629">
        <v>1593166.0351009141</v>
      </c>
      <c r="C629">
        <v>109973.6760610418</v>
      </c>
      <c r="D629">
        <v>128389.2257462487</v>
      </c>
      <c r="E629">
        <v>162917.59454790095</v>
      </c>
      <c r="F629">
        <v>47278.910391777754</v>
      </c>
      <c r="G629">
        <v>10000</v>
      </c>
      <c r="H629">
        <v>438559.40674696921</v>
      </c>
      <c r="I629">
        <v>50.893920598950416</v>
      </c>
    </row>
    <row r="630" spans="1:9" x14ac:dyDescent="0.2">
      <c r="A630">
        <v>620</v>
      </c>
      <c r="B630">
        <v>1741034.7172799101</v>
      </c>
      <c r="C630">
        <v>113545.15785980001</v>
      </c>
      <c r="D630">
        <v>117970.36068265088</v>
      </c>
      <c r="E630">
        <v>207223.0279072306</v>
      </c>
      <c r="F630">
        <v>50346.209624346731</v>
      </c>
      <c r="G630">
        <v>10000</v>
      </c>
      <c r="H630">
        <v>479084.75607402826</v>
      </c>
      <c r="I630">
        <v>35.164681592952448</v>
      </c>
    </row>
    <row r="631" spans="1:9" x14ac:dyDescent="0.2">
      <c r="A631">
        <v>621</v>
      </c>
      <c r="B631">
        <v>1403875.128379348</v>
      </c>
      <c r="C631">
        <v>170737.81101183925</v>
      </c>
      <c r="D631">
        <v>68926.80397783652</v>
      </c>
      <c r="E631">
        <v>113181.49708631233</v>
      </c>
      <c r="F631">
        <v>43835.642105975472</v>
      </c>
      <c r="G631">
        <v>10000</v>
      </c>
      <c r="H631">
        <v>386681.75418196357</v>
      </c>
      <c r="I631">
        <v>35.884544726085629</v>
      </c>
    </row>
    <row r="632" spans="1:9" x14ac:dyDescent="0.2">
      <c r="A632">
        <v>622</v>
      </c>
      <c r="B632">
        <v>1433359.6630518083</v>
      </c>
      <c r="C632">
        <v>111370.44009152277</v>
      </c>
      <c r="D632">
        <v>76924.122167892696</v>
      </c>
      <c r="E632">
        <v>168782.84844540097</v>
      </c>
      <c r="F632">
        <v>47684.966430835455</v>
      </c>
      <c r="G632">
        <v>10000</v>
      </c>
      <c r="H632">
        <v>394762.37713565188</v>
      </c>
      <c r="I632">
        <v>36.121648639649962</v>
      </c>
    </row>
    <row r="633" spans="1:9" x14ac:dyDescent="0.2">
      <c r="A633">
        <v>623</v>
      </c>
      <c r="B633">
        <v>1014153.4927463955</v>
      </c>
      <c r="C633">
        <v>90536.950617812035</v>
      </c>
      <c r="D633">
        <v>73660.818685421778</v>
      </c>
      <c r="E633">
        <v>83869.327496312675</v>
      </c>
      <c r="F633">
        <v>41806.338057437031</v>
      </c>
      <c r="G633">
        <v>10000</v>
      </c>
      <c r="H633">
        <v>279873.43485698354</v>
      </c>
      <c r="I633">
        <v>40.169370319624093</v>
      </c>
    </row>
    <row r="634" spans="1:9" x14ac:dyDescent="0.2">
      <c r="A634">
        <v>624</v>
      </c>
      <c r="B634">
        <v>1268413.5947807983</v>
      </c>
      <c r="C634">
        <v>80059.690557909416</v>
      </c>
      <c r="D634">
        <v>85020.874590387379</v>
      </c>
      <c r="E634">
        <v>148215.13358994061</v>
      </c>
      <c r="F634">
        <v>46261.047710072817</v>
      </c>
      <c r="G634">
        <v>10000</v>
      </c>
      <c r="H634">
        <v>349556.74644831021</v>
      </c>
      <c r="I634">
        <v>29.841816398774611</v>
      </c>
    </row>
    <row r="635" spans="1:9" x14ac:dyDescent="0.2">
      <c r="A635">
        <v>625</v>
      </c>
      <c r="B635">
        <v>1605893.1115643948</v>
      </c>
      <c r="C635">
        <v>94480.308484052235</v>
      </c>
      <c r="D635">
        <v>124374.73618932116</v>
      </c>
      <c r="E635">
        <v>184424.53188664102</v>
      </c>
      <c r="F635">
        <v>48767.852207536685</v>
      </c>
      <c r="G635">
        <v>10000</v>
      </c>
      <c r="H635">
        <v>442047.42876755109</v>
      </c>
      <c r="I635">
        <v>42.735275979094453</v>
      </c>
    </row>
    <row r="636" spans="1:9" x14ac:dyDescent="0.2">
      <c r="A636">
        <v>626</v>
      </c>
      <c r="B636">
        <v>1549413.4563524439</v>
      </c>
      <c r="C636">
        <v>119464.7343324369</v>
      </c>
      <c r="D636">
        <v>120480.79315342409</v>
      </c>
      <c r="E636">
        <v>150222.86726988503</v>
      </c>
      <c r="F636">
        <v>46400.044657145889</v>
      </c>
      <c r="G636">
        <v>10000</v>
      </c>
      <c r="H636">
        <v>426568.43941289186</v>
      </c>
      <c r="I636">
        <v>33.298708377969774</v>
      </c>
    </row>
    <row r="637" spans="1:9" x14ac:dyDescent="0.2">
      <c r="A637">
        <v>627</v>
      </c>
      <c r="B637">
        <v>1372212.7929189929</v>
      </c>
      <c r="C637">
        <v>107458.26706394057</v>
      </c>
      <c r="D637">
        <v>43943.66723064299</v>
      </c>
      <c r="E637">
        <v>187613.70124470541</v>
      </c>
      <c r="F637">
        <v>48988.640855402686</v>
      </c>
      <c r="G637">
        <v>10000</v>
      </c>
      <c r="H637">
        <v>378004.27639469167</v>
      </c>
      <c r="I637">
        <v>34.213455513719154</v>
      </c>
    </row>
    <row r="638" spans="1:9" x14ac:dyDescent="0.2">
      <c r="A638">
        <v>628</v>
      </c>
      <c r="B638">
        <v>1397816.4249196609</v>
      </c>
      <c r="C638">
        <v>98979.648928299008</v>
      </c>
      <c r="D638">
        <v>118542.79248256837</v>
      </c>
      <c r="E638">
        <v>132337.04995695714</v>
      </c>
      <c r="F638">
        <v>45161.795766250878</v>
      </c>
      <c r="G638">
        <v>10000</v>
      </c>
      <c r="H638">
        <v>385021.28713407536</v>
      </c>
      <c r="I638">
        <v>37.842822341317827</v>
      </c>
    </row>
    <row r="639" spans="1:9" x14ac:dyDescent="0.2">
      <c r="A639">
        <v>629</v>
      </c>
      <c r="B639">
        <v>1200281.8250090908</v>
      </c>
      <c r="C639">
        <v>101890.57126971263</v>
      </c>
      <c r="D639">
        <v>78923.821455793921</v>
      </c>
      <c r="E639">
        <v>116036.64364034659</v>
      </c>
      <c r="F639">
        <v>44033.30609817784</v>
      </c>
      <c r="G639">
        <v>10000</v>
      </c>
      <c r="H639">
        <v>330884.34246403101</v>
      </c>
      <c r="I639">
        <v>36.448190881306843</v>
      </c>
    </row>
    <row r="640" spans="1:9" x14ac:dyDescent="0.2">
      <c r="A640">
        <v>630</v>
      </c>
      <c r="B640">
        <v>1054206.1621149501</v>
      </c>
      <c r="C640">
        <v>117177.5844134854</v>
      </c>
      <c r="D640">
        <v>83283.337425856153</v>
      </c>
      <c r="E640">
        <v>60220.369234475002</v>
      </c>
      <c r="F640">
        <v>40169.102485463656</v>
      </c>
      <c r="G640">
        <v>10000</v>
      </c>
      <c r="H640">
        <v>290850.3935592802</v>
      </c>
      <c r="I640">
        <v>43.271135918655034</v>
      </c>
    </row>
    <row r="641" spans="1:9" x14ac:dyDescent="0.2">
      <c r="A641">
        <v>631</v>
      </c>
      <c r="B641">
        <v>1532457.3393697306</v>
      </c>
      <c r="C641">
        <v>104232.95408829657</v>
      </c>
      <c r="D641">
        <v>86641.094648554805</v>
      </c>
      <c r="E641">
        <v>191770.89792432549</v>
      </c>
      <c r="F641">
        <v>49276.446779376376</v>
      </c>
      <c r="G641">
        <v>10000</v>
      </c>
      <c r="H641">
        <v>421921.39344055322</v>
      </c>
      <c r="I641">
        <v>27.186614932141286</v>
      </c>
    </row>
    <row r="642" spans="1:9" x14ac:dyDescent="0.2">
      <c r="A642">
        <v>632</v>
      </c>
      <c r="B642">
        <v>1217517.3660048831</v>
      </c>
      <c r="C642">
        <v>105159.9552320435</v>
      </c>
      <c r="D642">
        <v>89427.217179655723</v>
      </c>
      <c r="E642">
        <v>107573.40617728561</v>
      </c>
      <c r="F642">
        <v>43447.389658427463</v>
      </c>
      <c r="G642">
        <v>10000</v>
      </c>
      <c r="H642">
        <v>335607.9682474123</v>
      </c>
      <c r="I642">
        <v>35.534814444935783</v>
      </c>
    </row>
    <row r="643" spans="1:9" x14ac:dyDescent="0.2">
      <c r="A643">
        <v>633</v>
      </c>
      <c r="B643">
        <v>951748.31281130435</v>
      </c>
      <c r="C643">
        <v>118526.95449350805</v>
      </c>
      <c r="D643">
        <v>56262.811798153038</v>
      </c>
      <c r="E643">
        <v>57967.571943953764</v>
      </c>
      <c r="F643">
        <v>40013.13959611988</v>
      </c>
      <c r="G643">
        <v>10000</v>
      </c>
      <c r="H643">
        <v>262770.47783173469</v>
      </c>
      <c r="I643">
        <v>29.13762582659535</v>
      </c>
    </row>
    <row r="644" spans="1:9" x14ac:dyDescent="0.2">
      <c r="A644">
        <v>634</v>
      </c>
      <c r="B644">
        <v>856138.13182518817</v>
      </c>
      <c r="C644">
        <v>114386.42707219918</v>
      </c>
      <c r="D644">
        <v>40966.658934098828</v>
      </c>
      <c r="E644">
        <v>51639.151143844509</v>
      </c>
      <c r="F644">
        <v>39575.01815611231</v>
      </c>
      <c r="G644">
        <v>10000</v>
      </c>
      <c r="H644">
        <v>236567.25530625484</v>
      </c>
      <c r="I644">
        <v>43.948919927017613</v>
      </c>
    </row>
    <row r="645" spans="1:9" x14ac:dyDescent="0.2">
      <c r="A645">
        <v>635</v>
      </c>
      <c r="B645">
        <v>1563691.8127117902</v>
      </c>
      <c r="C645">
        <v>108479.34583786035</v>
      </c>
      <c r="D645">
        <v>146746.3325728894</v>
      </c>
      <c r="E645">
        <v>139591.87847375695</v>
      </c>
      <c r="F645">
        <v>45664.053125106249</v>
      </c>
      <c r="G645">
        <v>10000</v>
      </c>
      <c r="H645">
        <v>430481.61000961298</v>
      </c>
      <c r="I645">
        <v>33.429091616723603</v>
      </c>
    </row>
    <row r="646" spans="1:9" x14ac:dyDescent="0.2">
      <c r="A646">
        <v>636</v>
      </c>
      <c r="B646">
        <v>1722402.1019026993</v>
      </c>
      <c r="C646">
        <v>102927.87692636787</v>
      </c>
      <c r="D646">
        <v>132072.42211359937</v>
      </c>
      <c r="E646">
        <v>199188.00584927062</v>
      </c>
      <c r="F646">
        <v>49789.938866487966</v>
      </c>
      <c r="G646">
        <v>10000</v>
      </c>
      <c r="H646">
        <v>473978.24375572579</v>
      </c>
      <c r="I646">
        <v>35.857875554604675</v>
      </c>
    </row>
    <row r="647" spans="1:9" x14ac:dyDescent="0.2">
      <c r="A647">
        <v>637</v>
      </c>
      <c r="B647">
        <v>1131491.910402911</v>
      </c>
      <c r="C647">
        <v>148557.45912202582</v>
      </c>
      <c r="D647">
        <v>77782.875385739841</v>
      </c>
      <c r="E647">
        <v>55826.330925556103</v>
      </c>
      <c r="F647">
        <v>39864.899833307725</v>
      </c>
      <c r="G647">
        <v>10000</v>
      </c>
      <c r="H647">
        <v>312031.56526662945</v>
      </c>
      <c r="I647">
        <v>31.493696819425875</v>
      </c>
    </row>
    <row r="648" spans="1:9" x14ac:dyDescent="0.2">
      <c r="A648">
        <v>638</v>
      </c>
      <c r="B648">
        <v>902752.15560341382</v>
      </c>
      <c r="C648">
        <v>91502.213207226858</v>
      </c>
      <c r="D648">
        <v>76045.369405916354</v>
      </c>
      <c r="E648">
        <v>52182.239911272176</v>
      </c>
      <c r="F648">
        <v>39612.616609241923</v>
      </c>
      <c r="G648">
        <v>10000</v>
      </c>
      <c r="H648">
        <v>249342.43913365732</v>
      </c>
      <c r="I648">
        <v>47.142857012965798</v>
      </c>
    </row>
    <row r="649" spans="1:9" x14ac:dyDescent="0.2">
      <c r="A649">
        <v>639</v>
      </c>
      <c r="B649">
        <v>931686.74709741585</v>
      </c>
      <c r="C649">
        <v>132016.40149561837</v>
      </c>
      <c r="D649">
        <v>61041.648116222881</v>
      </c>
      <c r="E649">
        <v>35739.98658032516</v>
      </c>
      <c r="F649">
        <v>38474.306763253277</v>
      </c>
      <c r="G649">
        <v>10000</v>
      </c>
      <c r="H649">
        <v>257272.34295541968</v>
      </c>
      <c r="I649">
        <v>29.149053533514774</v>
      </c>
    </row>
    <row r="650" spans="1:9" x14ac:dyDescent="0.2">
      <c r="A650">
        <v>640</v>
      </c>
      <c r="B650">
        <v>990825.84048258513</v>
      </c>
      <c r="C650">
        <v>102788.01528985874</v>
      </c>
      <c r="D650">
        <v>75122.486714234517</v>
      </c>
      <c r="E650">
        <v>65065.17224918514</v>
      </c>
      <c r="F650">
        <v>40504.511924943581</v>
      </c>
      <c r="G650">
        <v>10000</v>
      </c>
      <c r="H650">
        <v>273480.18617822201</v>
      </c>
      <c r="I650">
        <v>39.673044670978378</v>
      </c>
    </row>
    <row r="651" spans="1:9" x14ac:dyDescent="0.2">
      <c r="A651">
        <v>641</v>
      </c>
      <c r="B651">
        <v>849332.20731596998</v>
      </c>
      <c r="C651">
        <v>94074.864479679061</v>
      </c>
      <c r="D651">
        <v>50892.788451779634</v>
      </c>
      <c r="E651">
        <v>59607.665103076761</v>
      </c>
      <c r="F651">
        <v>40126.68450713608</v>
      </c>
      <c r="G651">
        <v>10000</v>
      </c>
      <c r="H651">
        <v>234702.00254167154</v>
      </c>
      <c r="I651">
        <v>44.223373744804931</v>
      </c>
    </row>
    <row r="652" spans="1:9" x14ac:dyDescent="0.2">
      <c r="A652">
        <v>642</v>
      </c>
      <c r="B652">
        <v>928228.4658824139</v>
      </c>
      <c r="C652">
        <v>134889.14152375649</v>
      </c>
      <c r="D652">
        <v>49829.334627766635</v>
      </c>
      <c r="E652">
        <v>42653.167911245029</v>
      </c>
      <c r="F652">
        <v>38952.911624624656</v>
      </c>
      <c r="G652">
        <v>10000</v>
      </c>
      <c r="H652">
        <v>256324.55568739283</v>
      </c>
      <c r="I652">
        <v>33.859375671930287</v>
      </c>
    </row>
    <row r="653" spans="1:9" x14ac:dyDescent="0.2">
      <c r="A653">
        <v>643</v>
      </c>
      <c r="B653">
        <v>1132567.4299445085</v>
      </c>
      <c r="C653">
        <v>142615.85147040788</v>
      </c>
      <c r="D653">
        <v>109459.95021866322</v>
      </c>
      <c r="E653">
        <v>32032.863982323033</v>
      </c>
      <c r="F653">
        <v>38217.659814160826</v>
      </c>
      <c r="G653">
        <v>10000</v>
      </c>
      <c r="H653">
        <v>312326.32548555499</v>
      </c>
      <c r="I653">
        <v>48.404866847478544</v>
      </c>
    </row>
    <row r="654" spans="1:9" x14ac:dyDescent="0.2">
      <c r="A654">
        <v>644</v>
      </c>
      <c r="B654">
        <v>989879.57037522946</v>
      </c>
      <c r="C654">
        <v>89895.260271841151</v>
      </c>
      <c r="D654">
        <v>57028.967914600551</v>
      </c>
      <c r="E654">
        <v>93802.5945002886</v>
      </c>
      <c r="F654">
        <v>42494.02577309691</v>
      </c>
      <c r="G654">
        <v>10000</v>
      </c>
      <c r="H654">
        <v>273220.84845982719</v>
      </c>
      <c r="I654">
        <v>28.978780507730509</v>
      </c>
    </row>
    <row r="655" spans="1:9" x14ac:dyDescent="0.2">
      <c r="A655">
        <v>645</v>
      </c>
      <c r="B655">
        <v>1354272.4554436817</v>
      </c>
      <c r="C655">
        <v>98600.553467468533</v>
      </c>
      <c r="D655">
        <v>94245.433724106013</v>
      </c>
      <c r="E655">
        <v>144254.64469484886</v>
      </c>
      <c r="F655">
        <v>45986.86001733569</v>
      </c>
      <c r="G655">
        <v>10000</v>
      </c>
      <c r="H655">
        <v>373087.49190375907</v>
      </c>
      <c r="I655">
        <v>28.501762601888686</v>
      </c>
    </row>
    <row r="656" spans="1:9" x14ac:dyDescent="0.2">
      <c r="A656">
        <v>646</v>
      </c>
      <c r="B656">
        <v>1268977.0507474532</v>
      </c>
      <c r="C656">
        <v>116975.932108614</v>
      </c>
      <c r="D656">
        <v>42899.894331457544</v>
      </c>
      <c r="E656">
        <v>153227.29873799373</v>
      </c>
      <c r="F656">
        <v>46608.043758784181</v>
      </c>
      <c r="G656">
        <v>10000</v>
      </c>
      <c r="H656">
        <v>349711.16893684946</v>
      </c>
      <c r="I656">
        <v>29.874278146720592</v>
      </c>
    </row>
    <row r="657" spans="1:9" x14ac:dyDescent="0.2">
      <c r="A657">
        <v>647</v>
      </c>
      <c r="B657">
        <v>1273850.7726587201</v>
      </c>
      <c r="C657">
        <v>78252.816091744913</v>
      </c>
      <c r="D657">
        <v>94421.490063865276</v>
      </c>
      <c r="E657">
        <v>142506.72024990199</v>
      </c>
      <c r="F657">
        <v>45865.84986345475</v>
      </c>
      <c r="G657">
        <v>10000</v>
      </c>
      <c r="H657">
        <v>351046.87626896694</v>
      </c>
      <c r="I657">
        <v>46.03241827149963</v>
      </c>
    </row>
    <row r="658" spans="1:9" x14ac:dyDescent="0.2">
      <c r="A658">
        <v>648</v>
      </c>
      <c r="B658">
        <v>1028306.8578560692</v>
      </c>
      <c r="C658">
        <v>105481.99668967516</v>
      </c>
      <c r="D658">
        <v>43856.608891750031</v>
      </c>
      <c r="E658">
        <v>101394.14942295809</v>
      </c>
      <c r="F658">
        <v>43019.594960050941</v>
      </c>
      <c r="G658">
        <v>10000</v>
      </c>
      <c r="H658">
        <v>283752.34996443422</v>
      </c>
      <c r="I658">
        <v>34.920791204833833</v>
      </c>
    </row>
    <row r="659" spans="1:9" x14ac:dyDescent="0.2">
      <c r="A659">
        <v>649</v>
      </c>
      <c r="B659">
        <v>1411897.4162027412</v>
      </c>
      <c r="C659">
        <v>88117.421427374895</v>
      </c>
      <c r="D659">
        <v>70785.029116516089</v>
      </c>
      <c r="E659">
        <v>190770.71346268643</v>
      </c>
      <c r="F659">
        <v>49207.20323972444</v>
      </c>
      <c r="G659">
        <v>10000</v>
      </c>
      <c r="H659">
        <v>388880.3672463019</v>
      </c>
      <c r="I659">
        <v>36.998995130243785</v>
      </c>
    </row>
    <row r="660" spans="1:9" x14ac:dyDescent="0.2">
      <c r="A660">
        <v>650</v>
      </c>
      <c r="B660">
        <v>876032.52791176166</v>
      </c>
      <c r="C660">
        <v>91675.620606738739</v>
      </c>
      <c r="D660">
        <v>59327.552190901981</v>
      </c>
      <c r="E660">
        <v>60806.707242004552</v>
      </c>
      <c r="F660">
        <v>40209.695116754163</v>
      </c>
      <c r="G660">
        <v>10000</v>
      </c>
      <c r="H660">
        <v>242019.57515639943</v>
      </c>
      <c r="I660">
        <v>40.537509277823304</v>
      </c>
    </row>
    <row r="661" spans="1:9" x14ac:dyDescent="0.2">
      <c r="A661">
        <v>651</v>
      </c>
      <c r="B661">
        <v>1081333.9794275882</v>
      </c>
      <c r="C661">
        <v>162195.58812836642</v>
      </c>
      <c r="D661">
        <v>63824.356286465088</v>
      </c>
      <c r="E661">
        <v>43269.595456572388</v>
      </c>
      <c r="F661">
        <v>38995.587377762706</v>
      </c>
      <c r="G661">
        <v>10000</v>
      </c>
      <c r="H661">
        <v>298285.1272491666</v>
      </c>
      <c r="I661">
        <v>31.320937119632116</v>
      </c>
    </row>
    <row r="662" spans="1:9" x14ac:dyDescent="0.2">
      <c r="A662">
        <v>652</v>
      </c>
      <c r="B662">
        <v>1557474.6801059898</v>
      </c>
      <c r="C662">
        <v>107976.62196848165</v>
      </c>
      <c r="D662">
        <v>178602.02102252346</v>
      </c>
      <c r="E662">
        <v>108675.39892395092</v>
      </c>
      <c r="F662">
        <v>43523.681463965826</v>
      </c>
      <c r="G662">
        <v>10000</v>
      </c>
      <c r="H662">
        <v>428777.72337892186</v>
      </c>
      <c r="I662">
        <v>44.066547002307757</v>
      </c>
    </row>
    <row r="663" spans="1:9" x14ac:dyDescent="0.2">
      <c r="A663">
        <v>653</v>
      </c>
      <c r="B663">
        <v>935290.76475531328</v>
      </c>
      <c r="C663">
        <v>149826.90886253584</v>
      </c>
      <c r="D663">
        <v>49262.971936883499</v>
      </c>
      <c r="E663">
        <v>31022.480235123792</v>
      </c>
      <c r="F663">
        <v>38147.710170123952</v>
      </c>
      <c r="G663">
        <v>10000</v>
      </c>
      <c r="H663">
        <v>258260.0712046671</v>
      </c>
      <c r="I663">
        <v>36.546451367269768</v>
      </c>
    </row>
    <row r="664" spans="1:9" x14ac:dyDescent="0.2">
      <c r="A664">
        <v>654</v>
      </c>
      <c r="B664">
        <v>907776.93790699542</v>
      </c>
      <c r="C664">
        <v>105123.04129816341</v>
      </c>
      <c r="D664">
        <v>77391.356678799246</v>
      </c>
      <c r="E664">
        <v>39472.44110686647</v>
      </c>
      <c r="F664">
        <v>38732.707461244601</v>
      </c>
      <c r="G664">
        <v>10000</v>
      </c>
      <c r="H664">
        <v>250719.54654507374</v>
      </c>
      <c r="I664">
        <v>32.543199488807218</v>
      </c>
    </row>
    <row r="665" spans="1:9" x14ac:dyDescent="0.2">
      <c r="A665">
        <v>655</v>
      </c>
      <c r="B665">
        <v>1065189.3008373948</v>
      </c>
      <c r="C665">
        <v>121689.86055013422</v>
      </c>
      <c r="D665">
        <v>71296.39954914352</v>
      </c>
      <c r="E665">
        <v>70026.236293367954</v>
      </c>
      <c r="F665">
        <v>40847.970204925477</v>
      </c>
      <c r="G665">
        <v>10000</v>
      </c>
      <c r="H665">
        <v>293860.46659757115</v>
      </c>
      <c r="I665">
        <v>35.029000263635133</v>
      </c>
    </row>
    <row r="666" spans="1:9" x14ac:dyDescent="0.2">
      <c r="A666">
        <v>656</v>
      </c>
      <c r="B666">
        <v>1342427.8056239358</v>
      </c>
      <c r="C666">
        <v>75716.912171087111</v>
      </c>
      <c r="D666">
        <v>133092.86790554464</v>
      </c>
      <c r="E666">
        <v>126288.48165730909</v>
      </c>
      <c r="F666">
        <v>44743.048730121394</v>
      </c>
      <c r="G666">
        <v>10000</v>
      </c>
      <c r="H666">
        <v>369841.31046406226</v>
      </c>
      <c r="I666">
        <v>38.843831321650228</v>
      </c>
    </row>
    <row r="667" spans="1:9" x14ac:dyDescent="0.2">
      <c r="A667">
        <v>657</v>
      </c>
      <c r="B667">
        <v>1458529.137803671</v>
      </c>
      <c r="C667">
        <v>99510.236057430564</v>
      </c>
      <c r="D667">
        <v>84508.272435888983</v>
      </c>
      <c r="E667">
        <v>179233.42501488031</v>
      </c>
      <c r="F667">
        <v>48408.467885645558</v>
      </c>
      <c r="G667">
        <v>10000</v>
      </c>
      <c r="H667">
        <v>401660.40139384544</v>
      </c>
      <c r="I667">
        <v>44.124449552457591</v>
      </c>
    </row>
    <row r="668" spans="1:9" x14ac:dyDescent="0.2">
      <c r="A668">
        <v>658</v>
      </c>
      <c r="B668">
        <v>1482555.8620988945</v>
      </c>
      <c r="C668">
        <v>97953.751202234882</v>
      </c>
      <c r="D668">
        <v>147255.26718560906</v>
      </c>
      <c r="E668">
        <v>128163.37265613089</v>
      </c>
      <c r="F668">
        <v>44872.848876193675</v>
      </c>
      <c r="G668">
        <v>10000</v>
      </c>
      <c r="H668">
        <v>408245.23992016853</v>
      </c>
      <c r="I668">
        <v>34.803261473540999</v>
      </c>
    </row>
    <row r="669" spans="1:9" x14ac:dyDescent="0.2">
      <c r="A669">
        <v>659</v>
      </c>
      <c r="B669">
        <v>1200607.7108096485</v>
      </c>
      <c r="C669">
        <v>108432.91404541822</v>
      </c>
      <c r="D669">
        <v>62186.111173451303</v>
      </c>
      <c r="E669">
        <v>125655.40983667861</v>
      </c>
      <c r="F669">
        <v>44699.220681000828</v>
      </c>
      <c r="G669">
        <v>10000</v>
      </c>
      <c r="H669">
        <v>330973.655736549</v>
      </c>
      <c r="I669">
        <v>31.589625238134744</v>
      </c>
    </row>
    <row r="670" spans="1:9" x14ac:dyDescent="0.2">
      <c r="A670">
        <v>660</v>
      </c>
      <c r="B670">
        <v>1302503.1763835039</v>
      </c>
      <c r="C670">
        <v>158577.13057024611</v>
      </c>
      <c r="D670">
        <v>57376.779999426508</v>
      </c>
      <c r="E670">
        <v>109373.51938587986</v>
      </c>
      <c r="F670">
        <v>43572.012880560913</v>
      </c>
      <c r="G670">
        <v>10000</v>
      </c>
      <c r="H670">
        <v>358899.44283611339</v>
      </c>
      <c r="I670">
        <v>31.421246218903548</v>
      </c>
    </row>
    <row r="671" spans="1:9" x14ac:dyDescent="0.2">
      <c r="A671">
        <v>661</v>
      </c>
      <c r="B671">
        <v>1184118.9763165151</v>
      </c>
      <c r="C671">
        <v>101740.57186546415</v>
      </c>
      <c r="D671">
        <v>75234.045694729677</v>
      </c>
      <c r="E671">
        <v>115484.97111292715</v>
      </c>
      <c r="F671">
        <v>43995.113384741111</v>
      </c>
      <c r="G671">
        <v>10000</v>
      </c>
      <c r="H671">
        <v>326454.70205786207</v>
      </c>
      <c r="I671">
        <v>30.977766081773385</v>
      </c>
    </row>
    <row r="672" spans="1:9" x14ac:dyDescent="0.2">
      <c r="A672">
        <v>662</v>
      </c>
      <c r="B672">
        <v>1254253.7446768382</v>
      </c>
      <c r="C672">
        <v>95602.64267342331</v>
      </c>
      <c r="D672">
        <v>52933.442884287804</v>
      </c>
      <c r="E672">
        <v>160058.96333177693</v>
      </c>
      <c r="F672">
        <v>47081.005153738406</v>
      </c>
      <c r="G672">
        <v>10000</v>
      </c>
      <c r="H672">
        <v>345676.05404322647</v>
      </c>
      <c r="I672">
        <v>40.569288048138063</v>
      </c>
    </row>
    <row r="673" spans="1:9" x14ac:dyDescent="0.2">
      <c r="A673">
        <v>663</v>
      </c>
      <c r="B673">
        <v>1409169.9576207623</v>
      </c>
      <c r="C673">
        <v>130900.56071518689</v>
      </c>
      <c r="D673">
        <v>64881.385557247348</v>
      </c>
      <c r="E673">
        <v>155580.00200589158</v>
      </c>
      <c r="F673">
        <v>46770.923215792493</v>
      </c>
      <c r="G673">
        <v>10000</v>
      </c>
      <c r="H673">
        <v>388132.87149411836</v>
      </c>
      <c r="I673">
        <v>25.500977446448772</v>
      </c>
    </row>
    <row r="674" spans="1:9" x14ac:dyDescent="0.2">
      <c r="A674">
        <v>664</v>
      </c>
      <c r="B674">
        <v>1465484.2662006887</v>
      </c>
      <c r="C674">
        <v>125633.21449486491</v>
      </c>
      <c r="D674">
        <v>86141.81039753856</v>
      </c>
      <c r="E674">
        <v>155056.81777678113</v>
      </c>
      <c r="F674">
        <v>46734.70276916177</v>
      </c>
      <c r="G674">
        <v>10000</v>
      </c>
      <c r="H674">
        <v>403566.54543834634</v>
      </c>
      <c r="I674">
        <v>29.324954294679372</v>
      </c>
    </row>
    <row r="675" spans="1:9" x14ac:dyDescent="0.2">
      <c r="A675">
        <v>665</v>
      </c>
      <c r="B675">
        <v>1131021.7221191353</v>
      </c>
      <c r="C675">
        <v>148178.45009265858</v>
      </c>
      <c r="D675">
        <v>64511.459006088458</v>
      </c>
      <c r="E675">
        <v>68472.398116870841</v>
      </c>
      <c r="F675">
        <v>40740.396792706444</v>
      </c>
      <c r="G675">
        <v>10000</v>
      </c>
      <c r="H675">
        <v>311902.7040083243</v>
      </c>
      <c r="I675">
        <v>37.082937531153931</v>
      </c>
    </row>
    <row r="676" spans="1:9" x14ac:dyDescent="0.2">
      <c r="A676">
        <v>666</v>
      </c>
      <c r="B676">
        <v>1314331.8980958618</v>
      </c>
      <c r="C676">
        <v>93341.736055813832</v>
      </c>
      <c r="D676">
        <v>99815.050560317803</v>
      </c>
      <c r="E676">
        <v>133726.48493464928</v>
      </c>
      <c r="F676">
        <v>45257.987418552642</v>
      </c>
      <c r="G676">
        <v>10000</v>
      </c>
      <c r="H676">
        <v>362141.25896933355</v>
      </c>
      <c r="I676">
        <v>30.813957395332615</v>
      </c>
    </row>
    <row r="677" spans="1:9" x14ac:dyDescent="0.2">
      <c r="A677">
        <v>667</v>
      </c>
      <c r="B677">
        <v>1472726.2911037309</v>
      </c>
      <c r="C677">
        <v>108139.22768552514</v>
      </c>
      <c r="D677">
        <v>150301.27814568477</v>
      </c>
      <c r="E677">
        <v>113269.10418448421</v>
      </c>
      <c r="F677">
        <v>43841.707212771988</v>
      </c>
      <c r="G677">
        <v>10000</v>
      </c>
      <c r="H677">
        <v>405551.3172284661</v>
      </c>
      <c r="I677">
        <v>39.632497873969079</v>
      </c>
    </row>
    <row r="678" spans="1:9" x14ac:dyDescent="0.2">
      <c r="A678">
        <v>668</v>
      </c>
      <c r="B678">
        <v>979195.92025490594</v>
      </c>
      <c r="C678">
        <v>86966.506927439303</v>
      </c>
      <c r="D678">
        <v>99037.678819811015</v>
      </c>
      <c r="E678">
        <v>54514.582002463198</v>
      </c>
      <c r="F678">
        <v>39774.086446324378</v>
      </c>
      <c r="G678">
        <v>10000</v>
      </c>
      <c r="H678">
        <v>270292.85419603792</v>
      </c>
      <c r="I678">
        <v>38.210170934642065</v>
      </c>
    </row>
    <row r="679" spans="1:9" x14ac:dyDescent="0.2">
      <c r="A679">
        <v>669</v>
      </c>
      <c r="B679">
        <v>1074514.2367565732</v>
      </c>
      <c r="C679">
        <v>152037.12611260716</v>
      </c>
      <c r="D679">
        <v>50933.511539618659</v>
      </c>
      <c r="E679">
        <v>63078.47821535368</v>
      </c>
      <c r="F679">
        <v>40366.97156875526</v>
      </c>
      <c r="G679">
        <v>10000</v>
      </c>
      <c r="H679">
        <v>296416.08743633475</v>
      </c>
      <c r="I679">
        <v>27.725576977817205</v>
      </c>
    </row>
    <row r="680" spans="1:9" x14ac:dyDescent="0.2">
      <c r="A680">
        <v>670</v>
      </c>
      <c r="B680">
        <v>1426375.2452123491</v>
      </c>
      <c r="C680">
        <v>149424.31748507087</v>
      </c>
      <c r="D680">
        <v>111381.83976518837</v>
      </c>
      <c r="E680">
        <v>99176.016756241283</v>
      </c>
      <c r="F680">
        <v>42866.031929278237</v>
      </c>
      <c r="G680">
        <v>10000</v>
      </c>
      <c r="H680">
        <v>392848.20593577874</v>
      </c>
      <c r="I680">
        <v>25.983992963315416</v>
      </c>
    </row>
    <row r="681" spans="1:9" x14ac:dyDescent="0.2">
      <c r="A681">
        <v>671</v>
      </c>
      <c r="B681">
        <v>1544012.5269650221</v>
      </c>
      <c r="C681">
        <v>100013.54418247554</v>
      </c>
      <c r="D681">
        <v>133514.2609211035</v>
      </c>
      <c r="E681">
        <v>154840.69821654647</v>
      </c>
      <c r="F681">
        <v>46719.74064576091</v>
      </c>
      <c r="G681">
        <v>10000</v>
      </c>
      <c r="H681">
        <v>425088.24396588642</v>
      </c>
      <c r="I681">
        <v>28.782384244352528</v>
      </c>
    </row>
    <row r="682" spans="1:9" x14ac:dyDescent="0.2">
      <c r="A682">
        <v>672</v>
      </c>
      <c r="B682">
        <v>1711546.681257528</v>
      </c>
      <c r="C682">
        <v>109878.51807895031</v>
      </c>
      <c r="D682">
        <v>139071.61653057212</v>
      </c>
      <c r="E682">
        <v>183358.95726331527</v>
      </c>
      <c r="F682">
        <v>48694.081656691051</v>
      </c>
      <c r="G682">
        <v>10000</v>
      </c>
      <c r="H682">
        <v>471003.17352952872</v>
      </c>
      <c r="I682">
        <v>36.602054700693955</v>
      </c>
    </row>
    <row r="683" spans="1:9" x14ac:dyDescent="0.2">
      <c r="A683">
        <v>673</v>
      </c>
      <c r="B683">
        <v>1301251.7358806124</v>
      </c>
      <c r="C683">
        <v>82820.605185988752</v>
      </c>
      <c r="D683">
        <v>84252.221783594301</v>
      </c>
      <c r="E683">
        <v>154768.87400348013</v>
      </c>
      <c r="F683">
        <v>46714.768200240927</v>
      </c>
      <c r="G683">
        <v>10000</v>
      </c>
      <c r="H683">
        <v>358556.4691733041</v>
      </c>
      <c r="I683">
        <v>28.406729874617525</v>
      </c>
    </row>
    <row r="684" spans="1:9" x14ac:dyDescent="0.2">
      <c r="A684">
        <v>674</v>
      </c>
      <c r="B684">
        <v>968766.18474183243</v>
      </c>
      <c r="C684">
        <v>116430.14173246831</v>
      </c>
      <c r="D684">
        <v>75659.728914142179</v>
      </c>
      <c r="E684">
        <v>46149.605239435492</v>
      </c>
      <c r="F684">
        <v>39194.972670422459</v>
      </c>
      <c r="G684">
        <v>10000</v>
      </c>
      <c r="H684">
        <v>267434.44855646847</v>
      </c>
      <c r="I684">
        <v>41.34811901780354</v>
      </c>
    </row>
    <row r="685" spans="1:9" x14ac:dyDescent="0.2">
      <c r="A685">
        <v>675</v>
      </c>
      <c r="B685">
        <v>1633688.6203023803</v>
      </c>
      <c r="C685">
        <v>171248.58621210605</v>
      </c>
      <c r="D685">
        <v>138362.87646523383</v>
      </c>
      <c r="E685">
        <v>106668.91810788047</v>
      </c>
      <c r="F685">
        <v>43384.771253622494</v>
      </c>
      <c r="G685">
        <v>10000</v>
      </c>
      <c r="H685">
        <v>449665.15203884285</v>
      </c>
      <c r="I685">
        <v>31.215728406106141</v>
      </c>
    </row>
    <row r="686" spans="1:9" x14ac:dyDescent="0.2">
      <c r="A686">
        <v>676</v>
      </c>
      <c r="B686">
        <v>1360490.9500564123</v>
      </c>
      <c r="C686">
        <v>110984.52743763241</v>
      </c>
      <c r="D686">
        <v>109491.7763943036</v>
      </c>
      <c r="E686">
        <v>120007.25350493615</v>
      </c>
      <c r="F686">
        <v>44308.194473418655</v>
      </c>
      <c r="G686">
        <v>10000</v>
      </c>
      <c r="H686">
        <v>374791.75181029079</v>
      </c>
      <c r="I686">
        <v>24.112844385520702</v>
      </c>
    </row>
    <row r="687" spans="1:9" x14ac:dyDescent="0.2">
      <c r="A687">
        <v>677</v>
      </c>
      <c r="B687">
        <v>1040671.9688395241</v>
      </c>
      <c r="C687">
        <v>116680.85635993359</v>
      </c>
      <c r="D687">
        <v>101380.3176290148</v>
      </c>
      <c r="E687">
        <v>40290.644315974598</v>
      </c>
      <c r="F687">
        <v>38789.352298798243</v>
      </c>
      <c r="G687">
        <v>10000</v>
      </c>
      <c r="H687">
        <v>287141.17060372129</v>
      </c>
      <c r="I687">
        <v>32.539971260815037</v>
      </c>
    </row>
    <row r="688" spans="1:9" x14ac:dyDescent="0.2">
      <c r="A688">
        <v>678</v>
      </c>
      <c r="B688">
        <v>1501478.9466129029</v>
      </c>
      <c r="C688">
        <v>151714.58602420951</v>
      </c>
      <c r="D688">
        <v>55733.041970148122</v>
      </c>
      <c r="E688">
        <v>168330.10823798043</v>
      </c>
      <c r="F688">
        <v>47653.62287801403</v>
      </c>
      <c r="G688">
        <v>10000</v>
      </c>
      <c r="H688">
        <v>413431.35911035212</v>
      </c>
      <c r="I688">
        <v>49.904293956375284</v>
      </c>
    </row>
    <row r="689" spans="1:9" x14ac:dyDescent="0.2">
      <c r="A689">
        <v>679</v>
      </c>
      <c r="B689">
        <v>1104414.2819507113</v>
      </c>
      <c r="C689">
        <v>89775.845505017904</v>
      </c>
      <c r="D689">
        <v>104878.74105260367</v>
      </c>
      <c r="E689">
        <v>78519.999938051988</v>
      </c>
      <c r="F689">
        <v>41435.999995711296</v>
      </c>
      <c r="G689">
        <v>10000</v>
      </c>
      <c r="H689">
        <v>304610.58649138489</v>
      </c>
      <c r="I689">
        <v>42.87895546516053</v>
      </c>
    </row>
    <row r="690" spans="1:9" x14ac:dyDescent="0.2">
      <c r="A690">
        <v>680</v>
      </c>
      <c r="B690">
        <v>1240163.2651295471</v>
      </c>
      <c r="C690">
        <v>113849.11150123182</v>
      </c>
      <c r="D690">
        <v>96536.742403364638</v>
      </c>
      <c r="E690">
        <v>98602.212616042394</v>
      </c>
      <c r="F690">
        <v>42826.307027264469</v>
      </c>
      <c r="G690">
        <v>10000</v>
      </c>
      <c r="H690">
        <v>341814.37354790338</v>
      </c>
      <c r="I690">
        <v>40.454896743682696</v>
      </c>
    </row>
    <row r="691" spans="1:9" x14ac:dyDescent="0.2">
      <c r="A691">
        <v>681</v>
      </c>
      <c r="B691">
        <v>1391724.0472219584</v>
      </c>
      <c r="C691">
        <v>77053.409878734587</v>
      </c>
      <c r="D691">
        <v>120711.43320404003</v>
      </c>
      <c r="E691">
        <v>149253.79322200586</v>
      </c>
      <c r="F691">
        <v>46332.954915369635</v>
      </c>
      <c r="G691">
        <v>10000</v>
      </c>
      <c r="H691">
        <v>383351.59122015012</v>
      </c>
      <c r="I691">
        <v>36.614157433089062</v>
      </c>
    </row>
    <row r="692" spans="1:9" x14ac:dyDescent="0.2">
      <c r="A692">
        <v>682</v>
      </c>
      <c r="B692">
        <v>980726.00418003486</v>
      </c>
      <c r="C692">
        <v>77237.043242492073</v>
      </c>
      <c r="D692">
        <v>69292.077936875939</v>
      </c>
      <c r="E692">
        <v>91825.895199416831</v>
      </c>
      <c r="F692">
        <v>42357.177359959627</v>
      </c>
      <c r="G692">
        <v>10000</v>
      </c>
      <c r="H692">
        <v>270712.19373874448</v>
      </c>
      <c r="I692">
        <v>29.609101333420689</v>
      </c>
    </row>
    <row r="693" spans="1:9" x14ac:dyDescent="0.2">
      <c r="A693">
        <v>683</v>
      </c>
      <c r="B693">
        <v>1300467.9747642372</v>
      </c>
      <c r="C693">
        <v>112424.04468480191</v>
      </c>
      <c r="D693">
        <v>123517.76217358839</v>
      </c>
      <c r="E693">
        <v>90158.144610450516</v>
      </c>
      <c r="F693">
        <v>42241.717703800423</v>
      </c>
      <c r="G693">
        <v>10000</v>
      </c>
      <c r="H693">
        <v>358341.66917264124</v>
      </c>
      <c r="I693">
        <v>35.407566353050591</v>
      </c>
    </row>
    <row r="694" spans="1:9" x14ac:dyDescent="0.2">
      <c r="A694">
        <v>684</v>
      </c>
      <c r="B694">
        <v>1021690.209837313</v>
      </c>
      <c r="C694">
        <v>138084.25996410561</v>
      </c>
      <c r="D694">
        <v>71289.983983500264</v>
      </c>
      <c r="E694">
        <v>43549.744633092683</v>
      </c>
      <c r="F694">
        <v>39014.982320752577</v>
      </c>
      <c r="G694">
        <v>10000</v>
      </c>
      <c r="H694">
        <v>281938.97090145119</v>
      </c>
      <c r="I694">
        <v>24.922748515606248</v>
      </c>
    </row>
    <row r="695" spans="1:9" x14ac:dyDescent="0.2">
      <c r="A695">
        <v>685</v>
      </c>
      <c r="B695">
        <v>1305166.4766225338</v>
      </c>
      <c r="C695">
        <v>104111.98670042799</v>
      </c>
      <c r="D695">
        <v>141031.52881605588</v>
      </c>
      <c r="E695">
        <v>82756.540668164278</v>
      </c>
      <c r="F695">
        <v>41729.29896933445</v>
      </c>
      <c r="G695">
        <v>10000</v>
      </c>
      <c r="H695">
        <v>359629.35515398259</v>
      </c>
      <c r="I695">
        <v>53.963820393910261</v>
      </c>
    </row>
    <row r="696" spans="1:9" x14ac:dyDescent="0.2">
      <c r="A696">
        <v>686</v>
      </c>
      <c r="B696">
        <v>1696147.3124148964</v>
      </c>
      <c r="C696">
        <v>129362.58200995221</v>
      </c>
      <c r="D696">
        <v>144845.36714499316</v>
      </c>
      <c r="E696">
        <v>155789.40525830502</v>
      </c>
      <c r="F696">
        <v>46785.420364036501</v>
      </c>
      <c r="G696">
        <v>10000</v>
      </c>
      <c r="H696">
        <v>466782.77477728692</v>
      </c>
      <c r="I696">
        <v>41.364867412944605</v>
      </c>
    </row>
    <row r="697" spans="1:9" x14ac:dyDescent="0.2">
      <c r="A697">
        <v>687</v>
      </c>
      <c r="B697">
        <v>1173199.8059496633</v>
      </c>
      <c r="C697">
        <v>96056.799565641413</v>
      </c>
      <c r="D697">
        <v>64004.662362870033</v>
      </c>
      <c r="E697">
        <v>128504.25035532771</v>
      </c>
      <c r="F697">
        <v>44896.448101522685</v>
      </c>
      <c r="G697">
        <v>10000</v>
      </c>
      <c r="H697">
        <v>323462.16038536181</v>
      </c>
      <c r="I697">
        <v>33.423536986837192</v>
      </c>
    </row>
    <row r="698" spans="1:9" x14ac:dyDescent="0.2">
      <c r="A698">
        <v>688</v>
      </c>
      <c r="B698">
        <v>1636601.5099003734</v>
      </c>
      <c r="C698">
        <v>162402.54176942632</v>
      </c>
      <c r="D698">
        <v>158241.64729726315</v>
      </c>
      <c r="E698">
        <v>97097.166964229647</v>
      </c>
      <c r="F698">
        <v>42722.111559062054</v>
      </c>
      <c r="G698">
        <v>10000</v>
      </c>
      <c r="H698">
        <v>450463.46758998116</v>
      </c>
      <c r="I698">
        <v>33.328738671965887</v>
      </c>
    </row>
    <row r="699" spans="1:9" x14ac:dyDescent="0.2">
      <c r="A699">
        <v>689</v>
      </c>
      <c r="B699">
        <v>1359403.9382092394</v>
      </c>
      <c r="C699">
        <v>90274.792801325952</v>
      </c>
      <c r="D699">
        <v>60051.05272530963</v>
      </c>
      <c r="E699">
        <v>185336.97509510745</v>
      </c>
      <c r="F699">
        <v>48831.021352738207</v>
      </c>
      <c r="G699">
        <v>10000</v>
      </c>
      <c r="H699">
        <v>374493.84197448124</v>
      </c>
      <c r="I699">
        <v>37.129799918655515</v>
      </c>
    </row>
    <row r="700" spans="1:9" x14ac:dyDescent="0.2">
      <c r="A700">
        <v>690</v>
      </c>
      <c r="B700">
        <v>1449566.7974432053</v>
      </c>
      <c r="C700">
        <v>128091.87312944194</v>
      </c>
      <c r="D700">
        <v>102618.65179349936</v>
      </c>
      <c r="E700">
        <v>133267.42345552446</v>
      </c>
      <c r="F700">
        <v>45226.206239228617</v>
      </c>
      <c r="G700">
        <v>10000</v>
      </c>
      <c r="H700">
        <v>399204.15461769432</v>
      </c>
      <c r="I700">
        <v>39.915587374231755</v>
      </c>
    </row>
    <row r="701" spans="1:9" x14ac:dyDescent="0.2">
      <c r="A701">
        <v>691</v>
      </c>
      <c r="B701">
        <v>1508159.7000636179</v>
      </c>
      <c r="C701">
        <v>121499.23050568752</v>
      </c>
      <c r="D701">
        <v>109862.06115078073</v>
      </c>
      <c r="E701">
        <v>147677.20869446095</v>
      </c>
      <c r="F701">
        <v>46223.806755770376</v>
      </c>
      <c r="G701">
        <v>10000</v>
      </c>
      <c r="H701">
        <v>415262.30710669956</v>
      </c>
      <c r="I701">
        <v>30.979406352862533</v>
      </c>
    </row>
    <row r="702" spans="1:9" x14ac:dyDescent="0.2">
      <c r="A702">
        <v>692</v>
      </c>
      <c r="B702">
        <v>1092958.1792353215</v>
      </c>
      <c r="C702">
        <v>74738.954120802358</v>
      </c>
      <c r="D702">
        <v>62063.336701495595</v>
      </c>
      <c r="E702">
        <v>129690.05816470725</v>
      </c>
      <c r="F702">
        <v>44978.542488325882</v>
      </c>
      <c r="G702">
        <v>10000</v>
      </c>
      <c r="H702">
        <v>301470.89147533104</v>
      </c>
      <c r="I702">
        <v>31.434952724710072</v>
      </c>
    </row>
    <row r="703" spans="1:9" x14ac:dyDescent="0.2">
      <c r="A703">
        <v>693</v>
      </c>
      <c r="B703">
        <v>1158270.2119686303</v>
      </c>
      <c r="C703">
        <v>130552.43478562878</v>
      </c>
      <c r="D703">
        <v>49470.152767220723</v>
      </c>
      <c r="E703">
        <v>106008.84794622743</v>
      </c>
      <c r="F703">
        <v>43339.074088584974</v>
      </c>
      <c r="G703">
        <v>10000</v>
      </c>
      <c r="H703">
        <v>319370.50958766189</v>
      </c>
      <c r="I703">
        <v>34.28806139220692</v>
      </c>
    </row>
    <row r="704" spans="1:9" x14ac:dyDescent="0.2">
      <c r="A704">
        <v>694</v>
      </c>
      <c r="B704">
        <v>1341406.3529570517</v>
      </c>
      <c r="C704">
        <v>153910.71171135278</v>
      </c>
      <c r="D704">
        <v>120469.01828836754</v>
      </c>
      <c r="E704">
        <v>64702.251348827755</v>
      </c>
      <c r="F704">
        <v>40479.386631841924</v>
      </c>
      <c r="G704">
        <v>10000</v>
      </c>
      <c r="H704">
        <v>369561.36798039003</v>
      </c>
      <c r="I704">
        <v>33.228397712489837</v>
      </c>
    </row>
    <row r="705" spans="1:9" x14ac:dyDescent="0.2">
      <c r="A705">
        <v>695</v>
      </c>
      <c r="B705">
        <v>1188239.9712742991</v>
      </c>
      <c r="C705">
        <v>100868.78748158239</v>
      </c>
      <c r="D705">
        <v>54786.540111514194</v>
      </c>
      <c r="E705">
        <v>136480.16061123184</v>
      </c>
      <c r="F705">
        <v>45448.62650385451</v>
      </c>
      <c r="G705">
        <v>10000</v>
      </c>
      <c r="H705">
        <v>327584.11470818298</v>
      </c>
      <c r="I705">
        <v>39.682095189874119</v>
      </c>
    </row>
    <row r="706" spans="1:9" x14ac:dyDescent="0.2">
      <c r="A706">
        <v>696</v>
      </c>
      <c r="B706">
        <v>1964544.7768165537</v>
      </c>
      <c r="C706">
        <v>161472.89418161986</v>
      </c>
      <c r="D706">
        <v>144852.11699018706</v>
      </c>
      <c r="E706">
        <v>194546.96827769384</v>
      </c>
      <c r="F706">
        <v>49468.636265378809</v>
      </c>
      <c r="G706">
        <v>10000</v>
      </c>
      <c r="H706">
        <v>540340.61571487959</v>
      </c>
      <c r="I706">
        <v>36.105214385671886</v>
      </c>
    </row>
    <row r="707" spans="1:9" x14ac:dyDescent="0.2">
      <c r="A707">
        <v>697</v>
      </c>
      <c r="B707">
        <v>1388793.596070847</v>
      </c>
      <c r="C707">
        <v>81664.408823105012</v>
      </c>
      <c r="D707">
        <v>116824.1620344992</v>
      </c>
      <c r="E707">
        <v>147825.79812161942</v>
      </c>
      <c r="F707">
        <v>46234.093716112111</v>
      </c>
      <c r="G707">
        <v>10000</v>
      </c>
      <c r="H707">
        <v>382548.46269533574</v>
      </c>
      <c r="I707">
        <v>33.644526854452259</v>
      </c>
    </row>
    <row r="708" spans="1:9" x14ac:dyDescent="0.2">
      <c r="A708">
        <v>698</v>
      </c>
      <c r="B708">
        <v>1153332.05301483</v>
      </c>
      <c r="C708">
        <v>81535.885548651393</v>
      </c>
      <c r="D708">
        <v>143816.30782987433</v>
      </c>
      <c r="E708">
        <v>62348.513510692239</v>
      </c>
      <c r="F708">
        <v>40316.435550740229</v>
      </c>
      <c r="G708">
        <v>10000</v>
      </c>
      <c r="H708">
        <v>318017.14243995817</v>
      </c>
      <c r="I708">
        <v>35.044311076092825</v>
      </c>
    </row>
    <row r="709" spans="1:9" x14ac:dyDescent="0.2">
      <c r="A709">
        <v>699</v>
      </c>
      <c r="B709">
        <v>1641062.3710314962</v>
      </c>
      <c r="C709">
        <v>85004.295547408838</v>
      </c>
      <c r="D709">
        <v>143975.41768151862</v>
      </c>
      <c r="E709">
        <v>183969.93188823186</v>
      </c>
      <c r="F709">
        <v>48736.379899954518</v>
      </c>
      <c r="G709">
        <v>10000</v>
      </c>
      <c r="H709">
        <v>451686.02501711389</v>
      </c>
      <c r="I709">
        <v>37.46389865706459</v>
      </c>
    </row>
    <row r="710" spans="1:9" x14ac:dyDescent="0.2">
      <c r="A710">
        <v>700</v>
      </c>
      <c r="B710">
        <v>958036.91296904837</v>
      </c>
      <c r="C710">
        <v>123736.2323556546</v>
      </c>
      <c r="D710">
        <v>73700.179938695335</v>
      </c>
      <c r="E710">
        <v>38399.136994905821</v>
      </c>
      <c r="F710">
        <v>38658.401791955024</v>
      </c>
      <c r="G710">
        <v>10000</v>
      </c>
      <c r="H710">
        <v>264493.95108121075</v>
      </c>
      <c r="I710">
        <v>40.512823377334541</v>
      </c>
    </row>
    <row r="711" spans="1:9" x14ac:dyDescent="0.2">
      <c r="A711">
        <v>701</v>
      </c>
      <c r="B711">
        <v>1291872.7304953844</v>
      </c>
      <c r="C711">
        <v>103087.37157070347</v>
      </c>
      <c r="D711">
        <v>78570.324931171766</v>
      </c>
      <c r="E711">
        <v>138724.34057797783</v>
      </c>
      <c r="F711">
        <v>45603.992809244613</v>
      </c>
      <c r="G711">
        <v>10000</v>
      </c>
      <c r="H711">
        <v>355986.02988909767</v>
      </c>
      <c r="I711">
        <v>35.348668607912273</v>
      </c>
    </row>
    <row r="712" spans="1:9" x14ac:dyDescent="0.2">
      <c r="A712">
        <v>702</v>
      </c>
      <c r="B712">
        <v>1307533.1446503578</v>
      </c>
      <c r="C712">
        <v>82220.964613877557</v>
      </c>
      <c r="D712">
        <v>91449.017317788283</v>
      </c>
      <c r="E712">
        <v>150208.91113391405</v>
      </c>
      <c r="F712">
        <v>46399.078463117126</v>
      </c>
      <c r="G712">
        <v>10000</v>
      </c>
      <c r="H712">
        <v>360277.97152869706</v>
      </c>
      <c r="I712">
        <v>36.515618518309537</v>
      </c>
    </row>
    <row r="713" spans="1:9" x14ac:dyDescent="0.2">
      <c r="A713">
        <v>703</v>
      </c>
      <c r="B713">
        <v>1476695.4732379187</v>
      </c>
      <c r="C713">
        <v>104211.55905174123</v>
      </c>
      <c r="D713">
        <v>74366.041935693895</v>
      </c>
      <c r="E713">
        <v>188978.40243016204</v>
      </c>
      <c r="F713">
        <v>49083.120168241985</v>
      </c>
      <c r="G713">
        <v>10000</v>
      </c>
      <c r="H713">
        <v>406639.12358583912</v>
      </c>
      <c r="I713">
        <v>38.10093798821098</v>
      </c>
    </row>
    <row r="714" spans="1:9" x14ac:dyDescent="0.2">
      <c r="A714">
        <v>704</v>
      </c>
      <c r="B714">
        <v>1193181.6038949604</v>
      </c>
      <c r="C714">
        <v>93480.658790955509</v>
      </c>
      <c r="D714">
        <v>138309.5757105294</v>
      </c>
      <c r="E714">
        <v>66541.481414244598</v>
      </c>
      <c r="F714">
        <v>40606.717944063086</v>
      </c>
      <c r="G714">
        <v>10000</v>
      </c>
      <c r="H714">
        <v>328938.4338597926</v>
      </c>
      <c r="I714">
        <v>28.499443296015045</v>
      </c>
    </row>
    <row r="715" spans="1:9" x14ac:dyDescent="0.2">
      <c r="A715">
        <v>705</v>
      </c>
      <c r="B715">
        <v>1754692.8632121307</v>
      </c>
      <c r="C715">
        <v>111436.93804844501</v>
      </c>
      <c r="D715">
        <v>166804.57495291351</v>
      </c>
      <c r="E715">
        <v>167023.28628832439</v>
      </c>
      <c r="F715">
        <v>47563.15058919169</v>
      </c>
      <c r="G715">
        <v>10000</v>
      </c>
      <c r="H715">
        <v>482827.94987887458</v>
      </c>
      <c r="I715">
        <v>27.703725108653799</v>
      </c>
    </row>
    <row r="716" spans="1:9" x14ac:dyDescent="0.2">
      <c r="A716">
        <v>706</v>
      </c>
      <c r="B716">
        <v>983462.91532270878</v>
      </c>
      <c r="C716">
        <v>118577.97094421722</v>
      </c>
      <c r="D716">
        <v>97960.934059801715</v>
      </c>
      <c r="E716">
        <v>27050.63856869522</v>
      </c>
      <c r="F716">
        <v>37872.736516294281</v>
      </c>
      <c r="G716">
        <v>10000</v>
      </c>
      <c r="H716">
        <v>271462.28008900845</v>
      </c>
      <c r="I716">
        <v>43.211451807430095</v>
      </c>
    </row>
    <row r="717" spans="1:9" x14ac:dyDescent="0.2">
      <c r="A717">
        <v>707</v>
      </c>
      <c r="B717">
        <v>1059967.8101268429</v>
      </c>
      <c r="C717">
        <v>109228.05023855422</v>
      </c>
      <c r="D717">
        <v>115746.59193883304</v>
      </c>
      <c r="E717">
        <v>38770.682331671967</v>
      </c>
      <c r="F717">
        <v>38684.124161423446</v>
      </c>
      <c r="G717">
        <v>10000</v>
      </c>
      <c r="H717">
        <v>292429.44867048261</v>
      </c>
      <c r="I717">
        <v>41.897410377483602</v>
      </c>
    </row>
    <row r="718" spans="1:9" x14ac:dyDescent="0.2">
      <c r="A718">
        <v>708</v>
      </c>
      <c r="B718">
        <v>1604214.8563141613</v>
      </c>
      <c r="C718">
        <v>119700.49466803618</v>
      </c>
      <c r="D718">
        <v>85801.471716833737</v>
      </c>
      <c r="E718">
        <v>196482.85533209072</v>
      </c>
      <c r="F718">
        <v>49602.659215298583</v>
      </c>
      <c r="G718">
        <v>10000</v>
      </c>
      <c r="H718">
        <v>441587.48093225923</v>
      </c>
      <c r="I718">
        <v>35.290070457045289</v>
      </c>
    </row>
    <row r="719" spans="1:9" x14ac:dyDescent="0.2">
      <c r="A719">
        <v>709</v>
      </c>
      <c r="B719">
        <v>1075010.6283314633</v>
      </c>
      <c r="C719">
        <v>118840.5246553522</v>
      </c>
      <c r="D719">
        <v>84633.904394377838</v>
      </c>
      <c r="E719">
        <v>62734.540503676093</v>
      </c>
      <c r="F719">
        <v>40343.160496408345</v>
      </c>
      <c r="G719">
        <v>10000</v>
      </c>
      <c r="H719">
        <v>296552.13004981447</v>
      </c>
      <c r="I719">
        <v>44.107714567369271</v>
      </c>
    </row>
    <row r="720" spans="1:9" x14ac:dyDescent="0.2">
      <c r="A720">
        <v>710</v>
      </c>
      <c r="B720">
        <v>867560.98221787647</v>
      </c>
      <c r="C720">
        <v>135940.06555156893</v>
      </c>
      <c r="D720">
        <v>39601.108949503112</v>
      </c>
      <c r="E720">
        <v>35686.087311225667</v>
      </c>
      <c r="F720">
        <v>38470.575275392548</v>
      </c>
      <c r="G720">
        <v>10000</v>
      </c>
      <c r="H720">
        <v>239697.83708769025</v>
      </c>
      <c r="I720">
        <v>33.386996561675474</v>
      </c>
    </row>
    <row r="721" spans="1:9" x14ac:dyDescent="0.2">
      <c r="A721">
        <v>711</v>
      </c>
      <c r="B721">
        <v>1447743.614505013</v>
      </c>
      <c r="C721">
        <v>139915.58408876005</v>
      </c>
      <c r="D721">
        <v>98179.425969842268</v>
      </c>
      <c r="E721">
        <v>125893.75583467876</v>
      </c>
      <c r="F721">
        <v>44715.721557785451</v>
      </c>
      <c r="G721">
        <v>10000</v>
      </c>
      <c r="H721">
        <v>398704.48745106655</v>
      </c>
      <c r="I721">
        <v>40.701054160515589</v>
      </c>
    </row>
    <row r="722" spans="1:9" x14ac:dyDescent="0.2">
      <c r="A722">
        <v>712</v>
      </c>
      <c r="B722">
        <v>1192059.3913821704</v>
      </c>
      <c r="C722">
        <v>150669.35804491868</v>
      </c>
      <c r="D722">
        <v>67705.572177918715</v>
      </c>
      <c r="E722">
        <v>78800.525594904975</v>
      </c>
      <c r="F722">
        <v>41455.421002724193</v>
      </c>
      <c r="G722">
        <v>10000</v>
      </c>
      <c r="H722">
        <v>328630.8768204666</v>
      </c>
      <c r="I722">
        <v>40.801444603574502</v>
      </c>
    </row>
    <row r="723" spans="1:9" x14ac:dyDescent="0.2">
      <c r="A723">
        <v>713</v>
      </c>
      <c r="B723">
        <v>928713.42407481489</v>
      </c>
      <c r="C723">
        <v>116057.36275970233</v>
      </c>
      <c r="D723">
        <v>83027.729644593026</v>
      </c>
      <c r="E723">
        <v>29341.067738732199</v>
      </c>
      <c r="F723">
        <v>38031.304689604534</v>
      </c>
      <c r="G723">
        <v>10000</v>
      </c>
      <c r="H723">
        <v>256457.4648326321</v>
      </c>
      <c r="I723">
        <v>36.341290373243325</v>
      </c>
    </row>
    <row r="724" spans="1:9" x14ac:dyDescent="0.2">
      <c r="A724">
        <v>714</v>
      </c>
      <c r="B724">
        <v>1431522.5114605161</v>
      </c>
      <c r="C724">
        <v>125452.85541180363</v>
      </c>
      <c r="D724">
        <v>46766.289142939073</v>
      </c>
      <c r="E724">
        <v>183346.5167327307</v>
      </c>
      <c r="F724">
        <v>48693.220389189046</v>
      </c>
      <c r="G724">
        <v>10000</v>
      </c>
      <c r="H724">
        <v>394258.88167666242</v>
      </c>
      <c r="I724">
        <v>34.855182216706552</v>
      </c>
    </row>
    <row r="725" spans="1:9" x14ac:dyDescent="0.2">
      <c r="A725">
        <v>715</v>
      </c>
      <c r="B725">
        <v>836125.5330329031</v>
      </c>
      <c r="C725">
        <v>84013.872908516263</v>
      </c>
      <c r="D725">
        <v>42205.576414621071</v>
      </c>
      <c r="E725">
        <v>73756.847822323907</v>
      </c>
      <c r="F725">
        <v>41106.24331077627</v>
      </c>
      <c r="G725">
        <v>10000</v>
      </c>
      <c r="H725">
        <v>231082.54045623753</v>
      </c>
      <c r="I725">
        <v>39.821242932883422</v>
      </c>
    </row>
    <row r="726" spans="1:9" x14ac:dyDescent="0.2">
      <c r="A726">
        <v>716</v>
      </c>
      <c r="B726">
        <v>1089821.1964749147</v>
      </c>
      <c r="C726">
        <v>162740.94308553709</v>
      </c>
      <c r="D726">
        <v>78179.026552980649</v>
      </c>
      <c r="E726">
        <v>31509.746622135353</v>
      </c>
      <c r="F726">
        <v>38181.443996917056</v>
      </c>
      <c r="G726">
        <v>10000</v>
      </c>
      <c r="H726">
        <v>300611.16025757015</v>
      </c>
      <c r="I726">
        <v>32.247684032595878</v>
      </c>
    </row>
    <row r="727" spans="1:9" x14ac:dyDescent="0.2">
      <c r="A727">
        <v>717</v>
      </c>
      <c r="B727">
        <v>1419040.8286203963</v>
      </c>
      <c r="C727">
        <v>152714.47202832456</v>
      </c>
      <c r="D727">
        <v>44389.929539251083</v>
      </c>
      <c r="E727">
        <v>156873.25529000911</v>
      </c>
      <c r="F727">
        <v>46860.456135462169</v>
      </c>
      <c r="G727">
        <v>10000</v>
      </c>
      <c r="H727">
        <v>390838.11299304687</v>
      </c>
      <c r="I727">
        <v>35.790367564740585</v>
      </c>
    </row>
    <row r="728" spans="1:9" x14ac:dyDescent="0.2">
      <c r="A728">
        <v>718</v>
      </c>
      <c r="B728">
        <v>1394089.794513213</v>
      </c>
      <c r="C728">
        <v>109433.45184702196</v>
      </c>
      <c r="D728">
        <v>118959.5873721573</v>
      </c>
      <c r="E728">
        <v>121215.10132841568</v>
      </c>
      <c r="F728">
        <v>44391.814707351856</v>
      </c>
      <c r="G728">
        <v>10000</v>
      </c>
      <c r="H728">
        <v>383999.95525494678</v>
      </c>
      <c r="I728">
        <v>35.342196223703084</v>
      </c>
    </row>
    <row r="729" spans="1:9" x14ac:dyDescent="0.2">
      <c r="A729">
        <v>719</v>
      </c>
      <c r="B729">
        <v>1501906.2165677208</v>
      </c>
      <c r="C729">
        <v>83121.799005056702</v>
      </c>
      <c r="D729">
        <v>116952.2880605781</v>
      </c>
      <c r="E729">
        <v>175335.74263640508</v>
      </c>
      <c r="F729">
        <v>48138.628336366506</v>
      </c>
      <c r="G729">
        <v>10000</v>
      </c>
      <c r="H729">
        <v>413548.45803840633</v>
      </c>
      <c r="I729">
        <v>31.800496783231555</v>
      </c>
    </row>
    <row r="730" spans="1:9" x14ac:dyDescent="0.2">
      <c r="A730">
        <v>720</v>
      </c>
      <c r="B730">
        <v>1543524.972873972</v>
      </c>
      <c r="C730">
        <v>101717.678494191</v>
      </c>
      <c r="D730">
        <v>130191.28602573456</v>
      </c>
      <c r="E730">
        <v>156229.75289129504</v>
      </c>
      <c r="F730">
        <v>46815.905969397347</v>
      </c>
      <c r="G730">
        <v>10000</v>
      </c>
      <c r="H730">
        <v>424954.62338061794</v>
      </c>
      <c r="I730">
        <v>34.538820901012258</v>
      </c>
    </row>
    <row r="731" spans="1:9" x14ac:dyDescent="0.2">
      <c r="A731">
        <v>721</v>
      </c>
      <c r="B731">
        <v>1212560.7068612336</v>
      </c>
      <c r="C731">
        <v>92264.539995940475</v>
      </c>
      <c r="D731">
        <v>89675.253597033996</v>
      </c>
      <c r="E731">
        <v>118131.40897379594</v>
      </c>
      <c r="F731">
        <v>44178.328313570491</v>
      </c>
      <c r="G731">
        <v>10000</v>
      </c>
      <c r="H731">
        <v>334249.5308803409</v>
      </c>
      <c r="I731">
        <v>27.323077534724433</v>
      </c>
    </row>
    <row r="732" spans="1:9" x14ac:dyDescent="0.2">
      <c r="A732">
        <v>722</v>
      </c>
      <c r="B732">
        <v>1388309.3567697494</v>
      </c>
      <c r="C732">
        <v>129368.67623584313</v>
      </c>
      <c r="D732">
        <v>56922.232620770053</v>
      </c>
      <c r="E732">
        <v>159109.56419394279</v>
      </c>
      <c r="F732">
        <v>47015.277521119118</v>
      </c>
      <c r="G732">
        <v>10000</v>
      </c>
      <c r="H732">
        <v>382415.75057167507</v>
      </c>
      <c r="I732">
        <v>24.106684076957038</v>
      </c>
    </row>
    <row r="733" spans="1:9" x14ac:dyDescent="0.2">
      <c r="A733">
        <v>723</v>
      </c>
      <c r="B733">
        <v>1426052.5919864387</v>
      </c>
      <c r="C733">
        <v>97383.023267547047</v>
      </c>
      <c r="D733">
        <v>111838.29366761453</v>
      </c>
      <c r="E733">
        <v>147338.12960775793</v>
      </c>
      <c r="F733">
        <v>46200.332049767851</v>
      </c>
      <c r="G733">
        <v>10000</v>
      </c>
      <c r="H733">
        <v>392759.77859268733</v>
      </c>
      <c r="I733">
        <v>27.283662032400635</v>
      </c>
    </row>
    <row r="734" spans="1:9" x14ac:dyDescent="0.2">
      <c r="A734">
        <v>724</v>
      </c>
      <c r="B734">
        <v>1171134.1445112298</v>
      </c>
      <c r="C734">
        <v>119833.2114148432</v>
      </c>
      <c r="D734">
        <v>112697.90872345529</v>
      </c>
      <c r="E734">
        <v>60197.405951431749</v>
      </c>
      <c r="F734">
        <v>40167.512719714505</v>
      </c>
      <c r="G734">
        <v>10000</v>
      </c>
      <c r="H734">
        <v>322896.0388094447</v>
      </c>
      <c r="I734">
        <v>40.967601586000896</v>
      </c>
    </row>
    <row r="735" spans="1:9" x14ac:dyDescent="0.2">
      <c r="A735">
        <v>725</v>
      </c>
      <c r="B735">
        <v>1508856.1064396887</v>
      </c>
      <c r="C735">
        <v>88222.981542227019</v>
      </c>
      <c r="D735">
        <v>87204.845879682209</v>
      </c>
      <c r="E735">
        <v>200167.58321364256</v>
      </c>
      <c r="F735">
        <v>49857.755760944485</v>
      </c>
      <c r="G735">
        <v>10000</v>
      </c>
      <c r="H735">
        <v>415453.16639649629</v>
      </c>
      <c r="I735">
        <v>35.828634538191665</v>
      </c>
    </row>
    <row r="736" spans="1:9" x14ac:dyDescent="0.2">
      <c r="A736">
        <v>726</v>
      </c>
      <c r="B736">
        <v>1717624.4753321772</v>
      </c>
      <c r="C736">
        <v>104952.15649539676</v>
      </c>
      <c r="D736">
        <v>125510.2339707381</v>
      </c>
      <c r="E736">
        <v>202207.50128611643</v>
      </c>
      <c r="F736">
        <v>49998.980858269599</v>
      </c>
      <c r="G736">
        <v>10000</v>
      </c>
      <c r="H736">
        <v>472668.87261052092</v>
      </c>
      <c r="I736">
        <v>34.713662470875178</v>
      </c>
    </row>
    <row r="737" spans="1:9" x14ac:dyDescent="0.2">
      <c r="A737">
        <v>727</v>
      </c>
      <c r="B737">
        <v>1109575.043172477</v>
      </c>
      <c r="C737">
        <v>140553.88302528427</v>
      </c>
      <c r="D737">
        <v>111036.78867647069</v>
      </c>
      <c r="E737">
        <v>26593.219932549589</v>
      </c>
      <c r="F737">
        <v>37841.069072253435</v>
      </c>
      <c r="G737">
        <v>10000</v>
      </c>
      <c r="H737">
        <v>306024.96070655796</v>
      </c>
      <c r="I737">
        <v>39.405465505996403</v>
      </c>
    </row>
    <row r="738" spans="1:9" x14ac:dyDescent="0.2">
      <c r="A738">
        <v>728</v>
      </c>
      <c r="B738">
        <v>1369154.722440023</v>
      </c>
      <c r="C738">
        <v>86309.286312475684</v>
      </c>
      <c r="D738">
        <v>78689.294709155525</v>
      </c>
      <c r="E738">
        <v>174113.57440981272</v>
      </c>
      <c r="F738">
        <v>48054.01668991011</v>
      </c>
      <c r="G738">
        <v>10000</v>
      </c>
      <c r="H738">
        <v>377166.17212135403</v>
      </c>
      <c r="I738">
        <v>32.81229343519805</v>
      </c>
    </row>
    <row r="739" spans="1:9" x14ac:dyDescent="0.2">
      <c r="A739">
        <v>729</v>
      </c>
      <c r="B739">
        <v>1843698.0022471938</v>
      </c>
      <c r="C739">
        <v>166670.04339532045</v>
      </c>
      <c r="D739">
        <v>95771.004529766564</v>
      </c>
      <c r="E739">
        <v>204614.31947807231</v>
      </c>
      <c r="F739">
        <v>50165.606733097316</v>
      </c>
      <c r="G739">
        <v>10000</v>
      </c>
      <c r="H739">
        <v>507220.97413625673</v>
      </c>
      <c r="I739">
        <v>38.119377665612532</v>
      </c>
    </row>
    <row r="740" spans="1:9" x14ac:dyDescent="0.2">
      <c r="A740">
        <v>730</v>
      </c>
      <c r="B740">
        <v>1412535.5319371743</v>
      </c>
      <c r="C740">
        <v>118704.40558639556</v>
      </c>
      <c r="D740">
        <v>68449.482897037364</v>
      </c>
      <c r="E740">
        <v>164512.06587078117</v>
      </c>
      <c r="F740">
        <v>47389.296867977158</v>
      </c>
      <c r="G740">
        <v>10000</v>
      </c>
      <c r="H740">
        <v>389055.25122219126</v>
      </c>
      <c r="I740">
        <v>31.953159886064174</v>
      </c>
    </row>
    <row r="741" spans="1:9" x14ac:dyDescent="0.2">
      <c r="A741">
        <v>731</v>
      </c>
      <c r="B741">
        <v>873458.19450617896</v>
      </c>
      <c r="C741">
        <v>114709.24630304685</v>
      </c>
      <c r="D741">
        <v>38091.852668329077</v>
      </c>
      <c r="E741">
        <v>58465.345547656645</v>
      </c>
      <c r="F741">
        <v>40047.600845607005</v>
      </c>
      <c r="G741">
        <v>10000</v>
      </c>
      <c r="H741">
        <v>241314.04536463958</v>
      </c>
      <c r="I741">
        <v>38.464461946376701</v>
      </c>
    </row>
    <row r="742" spans="1:9" x14ac:dyDescent="0.2">
      <c r="A742">
        <v>732</v>
      </c>
      <c r="B742">
        <v>1184078.503824092</v>
      </c>
      <c r="C742">
        <v>116076.14212024586</v>
      </c>
      <c r="D742">
        <v>68517.843035274083</v>
      </c>
      <c r="E742">
        <v>108348.57003692231</v>
      </c>
      <c r="F742">
        <v>43501.054848710002</v>
      </c>
      <c r="G742">
        <v>10000</v>
      </c>
      <c r="H742">
        <v>326443.61004115228</v>
      </c>
      <c r="I742">
        <v>37.665509204699305</v>
      </c>
    </row>
    <row r="743" spans="1:9" x14ac:dyDescent="0.2">
      <c r="A743">
        <v>733</v>
      </c>
      <c r="B743">
        <v>1251988.2972246851</v>
      </c>
      <c r="C743">
        <v>85299.374737047299</v>
      </c>
      <c r="D743">
        <v>64933.53066573017</v>
      </c>
      <c r="E743">
        <v>157891.33454499301</v>
      </c>
      <c r="F743">
        <v>46930.938545422592</v>
      </c>
      <c r="G743">
        <v>10000</v>
      </c>
      <c r="H743">
        <v>345055.17849319306</v>
      </c>
      <c r="I743">
        <v>42.193837463684069</v>
      </c>
    </row>
    <row r="744" spans="1:9" x14ac:dyDescent="0.2">
      <c r="A744">
        <v>734</v>
      </c>
      <c r="B744">
        <v>1723489.5852101482</v>
      </c>
      <c r="C744">
        <v>108063.15390080718</v>
      </c>
      <c r="D744">
        <v>128362.84326948192</v>
      </c>
      <c r="E744">
        <v>198133.36066219001</v>
      </c>
      <c r="F744">
        <v>49716.924968920845</v>
      </c>
      <c r="G744">
        <v>10000</v>
      </c>
      <c r="H744">
        <v>474276.28280139994</v>
      </c>
      <c r="I744">
        <v>27.966268165420601</v>
      </c>
    </row>
    <row r="745" spans="1:9" x14ac:dyDescent="0.2">
      <c r="A745">
        <v>735</v>
      </c>
      <c r="B745">
        <v>1561196.9551912609</v>
      </c>
      <c r="C745">
        <v>137415.93422638834</v>
      </c>
      <c r="D745">
        <v>130410.69494754716</v>
      </c>
      <c r="E745">
        <v>127167.3397026498</v>
      </c>
      <c r="F745">
        <v>44803.892748644983</v>
      </c>
      <c r="G745">
        <v>10000</v>
      </c>
      <c r="H745">
        <v>429797.86162523029</v>
      </c>
      <c r="I745">
        <v>34.669091711902844</v>
      </c>
    </row>
    <row r="746" spans="1:9" x14ac:dyDescent="0.2">
      <c r="A746">
        <v>736</v>
      </c>
      <c r="B746">
        <v>1324445.7265506831</v>
      </c>
      <c r="C746">
        <v>73510.508038039508</v>
      </c>
      <c r="D746">
        <v>55502.719900734621</v>
      </c>
      <c r="E746">
        <v>196309.2199017629</v>
      </c>
      <c r="F746">
        <v>49590.638300891274</v>
      </c>
      <c r="G746">
        <v>10000</v>
      </c>
      <c r="H746">
        <v>364913.08614142833</v>
      </c>
      <c r="I746">
        <v>26.556494072887261</v>
      </c>
    </row>
    <row r="747" spans="1:9" x14ac:dyDescent="0.2">
      <c r="A747">
        <v>737</v>
      </c>
      <c r="B747">
        <v>1135139.4959425284</v>
      </c>
      <c r="C747">
        <v>83855.99938036222</v>
      </c>
      <c r="D747">
        <v>34410.287015626964</v>
      </c>
      <c r="E747">
        <v>157837.72065406918</v>
      </c>
      <c r="F747">
        <v>46927.226814512476</v>
      </c>
      <c r="G747">
        <v>10000</v>
      </c>
      <c r="H747">
        <v>313031.23386457079</v>
      </c>
      <c r="I747">
        <v>48.002820498406038</v>
      </c>
    </row>
    <row r="748" spans="1:9" x14ac:dyDescent="0.2">
      <c r="A748">
        <v>738</v>
      </c>
      <c r="B748">
        <v>1196695.2173607729</v>
      </c>
      <c r="C748">
        <v>94281.591958654535</v>
      </c>
      <c r="D748">
        <v>59367.933649210398</v>
      </c>
      <c r="E748">
        <v>140523.32234714652</v>
      </c>
      <c r="F748">
        <v>45728.537700956294</v>
      </c>
      <c r="G748">
        <v>10000</v>
      </c>
      <c r="H748">
        <v>329901.38565596769</v>
      </c>
      <c r="I748">
        <v>40.172761925931013</v>
      </c>
    </row>
    <row r="749" spans="1:9" x14ac:dyDescent="0.2">
      <c r="A749">
        <v>739</v>
      </c>
      <c r="B749">
        <v>1165222.9489923927</v>
      </c>
      <c r="C749">
        <v>146640.17286508312</v>
      </c>
      <c r="D749">
        <v>59635.877612716708</v>
      </c>
      <c r="E749">
        <v>83237.361221119514</v>
      </c>
      <c r="F749">
        <v>41762.586546077502</v>
      </c>
      <c r="G749">
        <v>10000</v>
      </c>
      <c r="H749">
        <v>321275.99824499688</v>
      </c>
      <c r="I749">
        <v>41.747625738447027</v>
      </c>
    </row>
    <row r="750" spans="1:9" x14ac:dyDescent="0.2">
      <c r="A750">
        <v>740</v>
      </c>
      <c r="B750">
        <v>1041609.8643286626</v>
      </c>
      <c r="C750">
        <v>120255.99710854943</v>
      </c>
      <c r="D750">
        <v>104828.77778804926</v>
      </c>
      <c r="E750">
        <v>33962.208436835499</v>
      </c>
      <c r="F750">
        <v>38351.229814857841</v>
      </c>
      <c r="G750">
        <v>10000</v>
      </c>
      <c r="H750">
        <v>287398.21314829204</v>
      </c>
      <c r="I750">
        <v>27.141370693243509</v>
      </c>
    </row>
    <row r="751" spans="1:9" x14ac:dyDescent="0.2">
      <c r="A751">
        <v>741</v>
      </c>
      <c r="B751">
        <v>1463372.2383738537</v>
      </c>
      <c r="C751">
        <v>123432.28879454295</v>
      </c>
      <c r="D751">
        <v>57193.762179386584</v>
      </c>
      <c r="E751">
        <v>183647.60089504227</v>
      </c>
      <c r="F751">
        <v>48714.064677349073</v>
      </c>
      <c r="G751">
        <v>10000</v>
      </c>
      <c r="H751">
        <v>402987.71654632082</v>
      </c>
      <c r="I751">
        <v>24.59381595148821</v>
      </c>
    </row>
    <row r="752" spans="1:9" x14ac:dyDescent="0.2">
      <c r="A752">
        <v>742</v>
      </c>
      <c r="B752">
        <v>1133753.419634959</v>
      </c>
      <c r="C752">
        <v>124481.92658711931</v>
      </c>
      <c r="D752">
        <v>56534.909482977935</v>
      </c>
      <c r="E752">
        <v>98794.879894593701</v>
      </c>
      <c r="F752">
        <v>42839.645531164177</v>
      </c>
      <c r="G752">
        <v>10000</v>
      </c>
      <c r="H752">
        <v>312651.36149585509</v>
      </c>
      <c r="I752">
        <v>39.32592724691861</v>
      </c>
    </row>
    <row r="753" spans="1:9" x14ac:dyDescent="0.2">
      <c r="A753">
        <v>743</v>
      </c>
      <c r="B753">
        <v>1427044.1140427133</v>
      </c>
      <c r="C753">
        <v>126095.29328049171</v>
      </c>
      <c r="D753">
        <v>80434.298157875586</v>
      </c>
      <c r="E753">
        <v>150109.71567676991</v>
      </c>
      <c r="F753">
        <v>46392.211085314841</v>
      </c>
      <c r="G753">
        <v>10000</v>
      </c>
      <c r="H753">
        <v>393031.51820045209</v>
      </c>
      <c r="I753">
        <v>43.477264683323526</v>
      </c>
    </row>
    <row r="754" spans="1:9" x14ac:dyDescent="0.2">
      <c r="A754">
        <v>744</v>
      </c>
      <c r="B754">
        <v>1108157.8063695338</v>
      </c>
      <c r="C754">
        <v>99325.775931196898</v>
      </c>
      <c r="D754">
        <v>126289.31941479389</v>
      </c>
      <c r="E754">
        <v>50523.661125818478</v>
      </c>
      <c r="F754">
        <v>39497.791924095123</v>
      </c>
      <c r="G754">
        <v>10000</v>
      </c>
      <c r="H754">
        <v>305636.54839590442</v>
      </c>
      <c r="I754">
        <v>37.725489274995823</v>
      </c>
    </row>
    <row r="755" spans="1:9" x14ac:dyDescent="0.2">
      <c r="A755">
        <v>745</v>
      </c>
      <c r="B755">
        <v>1534657.944320651</v>
      </c>
      <c r="C755">
        <v>145681.86324669607</v>
      </c>
      <c r="D755">
        <v>51138.521229316844</v>
      </c>
      <c r="E755">
        <v>186773.63140362271</v>
      </c>
      <c r="F755">
        <v>48930.482174096964</v>
      </c>
      <c r="G755">
        <v>10000</v>
      </c>
      <c r="H755">
        <v>422524.49805373256</v>
      </c>
      <c r="I755">
        <v>25.546939913555775</v>
      </c>
    </row>
    <row r="756" spans="1:9" x14ac:dyDescent="0.2">
      <c r="A756">
        <v>746</v>
      </c>
      <c r="B756">
        <v>1059186.989602492</v>
      </c>
      <c r="C756">
        <v>120168.39395283874</v>
      </c>
      <c r="D756">
        <v>97668.216198234251</v>
      </c>
      <c r="E756">
        <v>45246.40126220417</v>
      </c>
      <c r="F756">
        <v>39132.443164306445</v>
      </c>
      <c r="G756">
        <v>10000</v>
      </c>
      <c r="H756">
        <v>292215.45457758365</v>
      </c>
      <c r="I756">
        <v>34.96312920533515</v>
      </c>
    </row>
    <row r="757" spans="1:9" x14ac:dyDescent="0.2">
      <c r="A757">
        <v>747</v>
      </c>
      <c r="B757">
        <v>1144711.4793291765</v>
      </c>
      <c r="C757">
        <v>116382.8316679397</v>
      </c>
      <c r="D757">
        <v>66273.232112708763</v>
      </c>
      <c r="E757">
        <v>100070.53724639042</v>
      </c>
      <c r="F757">
        <v>42927.960270903954</v>
      </c>
      <c r="G757">
        <v>10000</v>
      </c>
      <c r="H757">
        <v>315654.56129794283</v>
      </c>
      <c r="I757">
        <v>38.024823059903298</v>
      </c>
    </row>
    <row r="758" spans="1:9" x14ac:dyDescent="0.2">
      <c r="A758">
        <v>748</v>
      </c>
      <c r="B758">
        <v>1465795.1688871586</v>
      </c>
      <c r="C758">
        <v>126071.32498727065</v>
      </c>
      <c r="D758">
        <v>103007.4191652881</v>
      </c>
      <c r="E758">
        <v>138953.17317374682</v>
      </c>
      <c r="F758">
        <v>45619.83506587478</v>
      </c>
      <c r="G758">
        <v>10000</v>
      </c>
      <c r="H758">
        <v>403651.75239218032</v>
      </c>
      <c r="I758">
        <v>30.004358665660881</v>
      </c>
    </row>
    <row r="759" spans="1:9" x14ac:dyDescent="0.2">
      <c r="A759">
        <v>749</v>
      </c>
      <c r="B759">
        <v>1036493.8704528701</v>
      </c>
      <c r="C759">
        <v>118550.310823387</v>
      </c>
      <c r="D759">
        <v>88724.57152621272</v>
      </c>
      <c r="E759">
        <v>49307.621121895827</v>
      </c>
      <c r="F759">
        <v>39413.604539208172</v>
      </c>
      <c r="G759">
        <v>10000</v>
      </c>
      <c r="H759">
        <v>285996.1080107037</v>
      </c>
      <c r="I759">
        <v>51.127071275089406</v>
      </c>
    </row>
    <row r="760" spans="1:9" x14ac:dyDescent="0.2">
      <c r="A760">
        <v>750</v>
      </c>
      <c r="B760">
        <v>1413606.9475195552</v>
      </c>
      <c r="C760">
        <v>99740.478864169563</v>
      </c>
      <c r="D760">
        <v>137803.02685619969</v>
      </c>
      <c r="E760">
        <v>117659.70882737766</v>
      </c>
      <c r="F760">
        <v>44145.672149587685</v>
      </c>
      <c r="G760">
        <v>10000</v>
      </c>
      <c r="H760">
        <v>389348.88669733459</v>
      </c>
      <c r="I760">
        <v>52.041808269578901</v>
      </c>
    </row>
    <row r="761" spans="1:9" x14ac:dyDescent="0.2">
      <c r="A761">
        <v>751</v>
      </c>
      <c r="B761">
        <v>1284329.4108130026</v>
      </c>
      <c r="C761">
        <v>139106.88535253942</v>
      </c>
      <c r="D761">
        <v>74006.553965259081</v>
      </c>
      <c r="E761">
        <v>107371.81187064527</v>
      </c>
      <c r="F761">
        <v>43433.433129506207</v>
      </c>
      <c r="G761">
        <v>10000</v>
      </c>
      <c r="H761">
        <v>353918.68431794993</v>
      </c>
      <c r="I761">
        <v>36.969254494042893</v>
      </c>
    </row>
    <row r="762" spans="1:9" x14ac:dyDescent="0.2">
      <c r="A762">
        <v>752</v>
      </c>
      <c r="B762">
        <v>1331366.0331108356</v>
      </c>
      <c r="C762">
        <v>123525.70650698621</v>
      </c>
      <c r="D762">
        <v>124347.86166956602</v>
      </c>
      <c r="E762">
        <v>86918.672098917363</v>
      </c>
      <c r="F762">
        <v>42017.446529925044</v>
      </c>
      <c r="G762">
        <v>10000</v>
      </c>
      <c r="H762">
        <v>366809.68680539465</v>
      </c>
      <c r="I762">
        <v>31.603207687734951</v>
      </c>
    </row>
    <row r="763" spans="1:9" x14ac:dyDescent="0.2">
      <c r="A763">
        <v>753</v>
      </c>
      <c r="B763">
        <v>1298476.15433293</v>
      </c>
      <c r="C763">
        <v>112155.21077357099</v>
      </c>
      <c r="D763">
        <v>119784.64577169828</v>
      </c>
      <c r="E763">
        <v>93390.436396215999</v>
      </c>
      <c r="F763">
        <v>42465.491750507259</v>
      </c>
      <c r="G763">
        <v>10000</v>
      </c>
      <c r="H763">
        <v>357795.78469199251</v>
      </c>
      <c r="I763">
        <v>32.435656270893688</v>
      </c>
    </row>
    <row r="764" spans="1:9" x14ac:dyDescent="0.2">
      <c r="A764">
        <v>754</v>
      </c>
      <c r="B764">
        <v>1394107.2410558434</v>
      </c>
      <c r="C764">
        <v>109583.04704825577</v>
      </c>
      <c r="D764">
        <v>109643.55152403715</v>
      </c>
      <c r="E764">
        <v>129792.50329284815</v>
      </c>
      <c r="F764">
        <v>44985.634843351021</v>
      </c>
      <c r="G764">
        <v>10000</v>
      </c>
      <c r="H764">
        <v>384004.7367084921</v>
      </c>
      <c r="I764">
        <v>39.797453414377387</v>
      </c>
    </row>
    <row r="765" spans="1:9" x14ac:dyDescent="0.2">
      <c r="A765">
        <v>755</v>
      </c>
      <c r="B765">
        <v>1561565.9303789919</v>
      </c>
      <c r="C765">
        <v>147041.68092546691</v>
      </c>
      <c r="D765">
        <v>41062.659573363671</v>
      </c>
      <c r="E765">
        <v>201822.32855603402</v>
      </c>
      <c r="F765">
        <v>49972.315053879283</v>
      </c>
      <c r="G765">
        <v>10000</v>
      </c>
      <c r="H765">
        <v>429898.98410874384</v>
      </c>
      <c r="I765">
        <v>38.754741101018695</v>
      </c>
    </row>
    <row r="766" spans="1:9" x14ac:dyDescent="0.2">
      <c r="A766">
        <v>756</v>
      </c>
      <c r="B766">
        <v>1259944.9952061949</v>
      </c>
      <c r="C766">
        <v>111310.70351658481</v>
      </c>
      <c r="D766">
        <v>68699.422653099522</v>
      </c>
      <c r="E766">
        <v>132081.5802318326</v>
      </c>
      <c r="F766">
        <v>45144.109400665337</v>
      </c>
      <c r="G766">
        <v>10000</v>
      </c>
      <c r="H766">
        <v>347235.81580218225</v>
      </c>
      <c r="I766">
        <v>44.156670261155824</v>
      </c>
    </row>
    <row r="767" spans="1:9" x14ac:dyDescent="0.2">
      <c r="A767">
        <v>757</v>
      </c>
      <c r="B767">
        <v>1483173.7426980548</v>
      </c>
      <c r="C767">
        <v>127016.23142558699</v>
      </c>
      <c r="D767">
        <v>58742.820142101547</v>
      </c>
      <c r="E767">
        <v>183922.43497253698</v>
      </c>
      <c r="F767">
        <v>48733.091651944866</v>
      </c>
      <c r="G767">
        <v>10000</v>
      </c>
      <c r="H767">
        <v>408414.57819217036</v>
      </c>
      <c r="I767">
        <v>36.947681446706682</v>
      </c>
    </row>
    <row r="768" spans="1:9" x14ac:dyDescent="0.2">
      <c r="A768">
        <v>758</v>
      </c>
      <c r="B768">
        <v>1000775.1935435713</v>
      </c>
      <c r="C768">
        <v>140495.59091911154</v>
      </c>
      <c r="D768">
        <v>66848.847924951115</v>
      </c>
      <c r="E768">
        <v>40087.228223798411</v>
      </c>
      <c r="F768">
        <v>38775.269646262968</v>
      </c>
      <c r="G768">
        <v>10000</v>
      </c>
      <c r="H768">
        <v>276206.93671412405</v>
      </c>
      <c r="I768">
        <v>36.674291387785857</v>
      </c>
    </row>
    <row r="769" spans="1:9" x14ac:dyDescent="0.2">
      <c r="A769">
        <v>759</v>
      </c>
      <c r="B769">
        <v>1372122.1721994281</v>
      </c>
      <c r="C769">
        <v>157731.60578629011</v>
      </c>
      <c r="D769">
        <v>72488.821931196479</v>
      </c>
      <c r="E769">
        <v>113875.33578886522</v>
      </c>
      <c r="F769">
        <v>43883.677093075283</v>
      </c>
      <c r="G769">
        <v>10000</v>
      </c>
      <c r="H769">
        <v>377979.44059942709</v>
      </c>
      <c r="I769">
        <v>34.945665438818551</v>
      </c>
    </row>
    <row r="770" spans="1:9" x14ac:dyDescent="0.2">
      <c r="A770">
        <v>760</v>
      </c>
      <c r="B770">
        <v>1162602.8973572054</v>
      </c>
      <c r="C770">
        <v>112807.94375455512</v>
      </c>
      <c r="D770">
        <v>72908.08804266993</v>
      </c>
      <c r="E770">
        <v>101794.5892584214</v>
      </c>
      <c r="F770">
        <v>43047.317717890714</v>
      </c>
      <c r="G770">
        <v>10000</v>
      </c>
      <c r="H770">
        <v>320557.93877353717</v>
      </c>
      <c r="I770">
        <v>41.357113263571634</v>
      </c>
    </row>
    <row r="771" spans="1:9" x14ac:dyDescent="0.2">
      <c r="A771">
        <v>761</v>
      </c>
      <c r="B771">
        <v>1435525.0849922015</v>
      </c>
      <c r="C771">
        <v>155376.05912379868</v>
      </c>
      <c r="D771">
        <v>93298.938704067419</v>
      </c>
      <c r="E771">
        <v>112866.974117176</v>
      </c>
      <c r="F771">
        <v>43813.867438881411</v>
      </c>
      <c r="G771">
        <v>10000</v>
      </c>
      <c r="H771">
        <v>395355.83938392357</v>
      </c>
      <c r="I771">
        <v>42.41434880136628</v>
      </c>
    </row>
    <row r="772" spans="1:9" x14ac:dyDescent="0.2">
      <c r="A772">
        <v>762</v>
      </c>
      <c r="B772">
        <v>1552847.7137262188</v>
      </c>
      <c r="C772">
        <v>117151.66799299668</v>
      </c>
      <c r="D772">
        <v>101490.81193117217</v>
      </c>
      <c r="E772">
        <v>171026.84282077412</v>
      </c>
      <c r="F772">
        <v>47840.319887592057</v>
      </c>
      <c r="G772">
        <v>10000</v>
      </c>
      <c r="H772">
        <v>427509.64263253502</v>
      </c>
      <c r="I772">
        <v>35.247938350592705</v>
      </c>
    </row>
    <row r="773" spans="1:9" x14ac:dyDescent="0.2">
      <c r="A773">
        <v>763</v>
      </c>
      <c r="B773">
        <v>834860.77749491937</v>
      </c>
      <c r="C773">
        <v>113419.82251464622</v>
      </c>
      <c r="D773">
        <v>57531.398447481006</v>
      </c>
      <c r="E773">
        <v>31597.198325878642</v>
      </c>
      <c r="F773">
        <v>38187.498345637752</v>
      </c>
      <c r="G773">
        <v>10000</v>
      </c>
      <c r="H773">
        <v>230735.91763364364</v>
      </c>
      <c r="I773">
        <v>33.509601432278764</v>
      </c>
    </row>
    <row r="774" spans="1:9" x14ac:dyDescent="0.2">
      <c r="A774">
        <v>764</v>
      </c>
      <c r="B774">
        <v>1627042.8227121944</v>
      </c>
      <c r="C774">
        <v>104878.09250443481</v>
      </c>
      <c r="D774">
        <v>94970.390464019176</v>
      </c>
      <c r="E774">
        <v>207621.50470587885</v>
      </c>
      <c r="F774">
        <v>50373.796479637764</v>
      </c>
      <c r="G774">
        <v>10000</v>
      </c>
      <c r="H774">
        <v>447843.78415397054</v>
      </c>
      <c r="I774">
        <v>33.640508144316243</v>
      </c>
    </row>
    <row r="775" spans="1:9" x14ac:dyDescent="0.2">
      <c r="A775">
        <v>765</v>
      </c>
      <c r="B775">
        <v>1189244.2650178275</v>
      </c>
      <c r="C775">
        <v>97711.092317484799</v>
      </c>
      <c r="D775">
        <v>77795.920435820866</v>
      </c>
      <c r="E775">
        <v>118171.254930996</v>
      </c>
      <c r="F775">
        <v>44181.086879838185</v>
      </c>
      <c r="G775">
        <v>10000</v>
      </c>
      <c r="H775">
        <v>327859.35456413985</v>
      </c>
      <c r="I775">
        <v>29.084076902727819</v>
      </c>
    </row>
    <row r="776" spans="1:9" x14ac:dyDescent="0.2">
      <c r="A776">
        <v>766</v>
      </c>
      <c r="B776">
        <v>1219305.0815504221</v>
      </c>
      <c r="C776">
        <v>113632.19698351518</v>
      </c>
      <c r="D776">
        <v>66636.875726379789</v>
      </c>
      <c r="E776">
        <v>121422.65836026469</v>
      </c>
      <c r="F776">
        <v>44406.184040326014</v>
      </c>
      <c r="G776">
        <v>10000</v>
      </c>
      <c r="H776">
        <v>336097.91511048563</v>
      </c>
      <c r="I776">
        <v>29.349075009063363</v>
      </c>
    </row>
    <row r="777" spans="1:9" x14ac:dyDescent="0.2">
      <c r="A777">
        <v>767</v>
      </c>
      <c r="B777">
        <v>1712678.9095030772</v>
      </c>
      <c r="C777">
        <v>156729.50605855082</v>
      </c>
      <c r="D777">
        <v>88349.57318069163</v>
      </c>
      <c r="E777">
        <v>187269.57924754394</v>
      </c>
      <c r="F777">
        <v>48964.817024829965</v>
      </c>
      <c r="G777">
        <v>10000</v>
      </c>
      <c r="H777">
        <v>471313.47551161639</v>
      </c>
      <c r="I777">
        <v>37.87814378987251</v>
      </c>
    </row>
    <row r="778" spans="1:9" x14ac:dyDescent="0.2">
      <c r="A778">
        <v>768</v>
      </c>
      <c r="B778">
        <v>1270889.8943140144</v>
      </c>
      <c r="C778">
        <v>124061.78684136982</v>
      </c>
      <c r="D778">
        <v>88410.459743926098</v>
      </c>
      <c r="E778">
        <v>104526.69844909376</v>
      </c>
      <c r="F778">
        <v>43236.463738783415</v>
      </c>
      <c r="G778">
        <v>10000</v>
      </c>
      <c r="H778">
        <v>350235.40877317311</v>
      </c>
      <c r="I778">
        <v>30.24428966465549</v>
      </c>
    </row>
    <row r="779" spans="1:9" x14ac:dyDescent="0.2">
      <c r="A779">
        <v>769</v>
      </c>
      <c r="B779">
        <v>1341515.2544953995</v>
      </c>
      <c r="C779">
        <v>161528.66006437733</v>
      </c>
      <c r="D779">
        <v>49931.688016938533</v>
      </c>
      <c r="E779">
        <v>123575.6298775897</v>
      </c>
      <c r="F779">
        <v>44555.235914602359</v>
      </c>
      <c r="G779">
        <v>10000</v>
      </c>
      <c r="H779">
        <v>369591.21387350792</v>
      </c>
      <c r="I779">
        <v>34.855017945103477</v>
      </c>
    </row>
    <row r="780" spans="1:9" x14ac:dyDescent="0.2">
      <c r="A780">
        <v>770</v>
      </c>
      <c r="B780">
        <v>1024254.4046336045</v>
      </c>
      <c r="C780">
        <v>83995.692293252228</v>
      </c>
      <c r="D780">
        <v>43340.322190392537</v>
      </c>
      <c r="E780">
        <v>120933.39558859405</v>
      </c>
      <c r="F780">
        <v>44372.312002287283</v>
      </c>
      <c r="G780">
        <v>10000</v>
      </c>
      <c r="H780">
        <v>282641.72207452613</v>
      </c>
      <c r="I780">
        <v>45.984179905237511</v>
      </c>
    </row>
    <row r="781" spans="1:9" x14ac:dyDescent="0.2">
      <c r="A781">
        <v>771</v>
      </c>
      <c r="B781">
        <v>1407730.5804410544</v>
      </c>
      <c r="C781">
        <v>98635.430871989622</v>
      </c>
      <c r="D781">
        <v>105033.2492734869</v>
      </c>
      <c r="E781">
        <v>147834.9816769973</v>
      </c>
      <c r="F781">
        <v>46234.729500715199</v>
      </c>
      <c r="G781">
        <v>10000</v>
      </c>
      <c r="H781">
        <v>387738.39132318908</v>
      </c>
      <c r="I781">
        <v>40.747440221916648</v>
      </c>
    </row>
    <row r="782" spans="1:9" x14ac:dyDescent="0.2">
      <c r="A782">
        <v>772</v>
      </c>
      <c r="B782">
        <v>859003.2706323982</v>
      </c>
      <c r="C782">
        <v>85201.916567564098</v>
      </c>
      <c r="D782">
        <v>66831.702034133195</v>
      </c>
      <c r="E782">
        <v>55478.075671779829</v>
      </c>
      <c r="F782">
        <v>39840.789854200142</v>
      </c>
      <c r="G782">
        <v>10000</v>
      </c>
      <c r="H782">
        <v>237352.48412767728</v>
      </c>
      <c r="I782">
        <v>44.804825149654441</v>
      </c>
    </row>
    <row r="783" spans="1:9" x14ac:dyDescent="0.2">
      <c r="A783">
        <v>773</v>
      </c>
      <c r="B783">
        <v>1291567.8708492212</v>
      </c>
      <c r="C783">
        <v>114095.8814526093</v>
      </c>
      <c r="D783">
        <v>90731.823237856719</v>
      </c>
      <c r="E783">
        <v>116976.40773014344</v>
      </c>
      <c r="F783">
        <v>44098.366689009934</v>
      </c>
      <c r="G783">
        <v>10000</v>
      </c>
      <c r="H783">
        <v>355902.47910961939</v>
      </c>
      <c r="I783">
        <v>42.120463935786262</v>
      </c>
    </row>
    <row r="784" spans="1:9" x14ac:dyDescent="0.2">
      <c r="A784">
        <v>774</v>
      </c>
      <c r="B784">
        <v>1667958.2549526352</v>
      </c>
      <c r="C784">
        <v>119520.34448456447</v>
      </c>
      <c r="D784">
        <v>102166.29102203931</v>
      </c>
      <c r="E784">
        <v>197684.69529581236</v>
      </c>
      <c r="F784">
        <v>49685.863520479317</v>
      </c>
      <c r="G784">
        <v>10000</v>
      </c>
      <c r="H784">
        <v>459057.19432289543</v>
      </c>
      <c r="I784">
        <v>27.349794944793086</v>
      </c>
    </row>
    <row r="785" spans="1:9" x14ac:dyDescent="0.2">
      <c r="A785">
        <v>775</v>
      </c>
      <c r="B785">
        <v>1466228.1931798419</v>
      </c>
      <c r="C785">
        <v>121005.79715806352</v>
      </c>
      <c r="D785">
        <v>158177.86505974759</v>
      </c>
      <c r="E785">
        <v>92203.45035994325</v>
      </c>
      <c r="F785">
        <v>42383.315794149923</v>
      </c>
      <c r="G785">
        <v>10000</v>
      </c>
      <c r="H785">
        <v>403770.4283719043</v>
      </c>
      <c r="I785">
        <v>54.581996466252434</v>
      </c>
    </row>
    <row r="786" spans="1:9" x14ac:dyDescent="0.2">
      <c r="A786">
        <v>776</v>
      </c>
      <c r="B786">
        <v>1064085.5344187035</v>
      </c>
      <c r="C786">
        <v>108601.49240972077</v>
      </c>
      <c r="D786">
        <v>126183.75194043403</v>
      </c>
      <c r="E786">
        <v>30650.7458865839</v>
      </c>
      <c r="F786">
        <v>38121.974715225042</v>
      </c>
      <c r="G786">
        <v>10000</v>
      </c>
      <c r="H786">
        <v>293557.96495196375</v>
      </c>
      <c r="I786">
        <v>29.068364672895342</v>
      </c>
    </row>
    <row r="787" spans="1:9" x14ac:dyDescent="0.2">
      <c r="A787">
        <v>777</v>
      </c>
      <c r="B787">
        <v>1297026.6574091231</v>
      </c>
      <c r="C787">
        <v>122611.73096560645</v>
      </c>
      <c r="D787">
        <v>108478.70381140448</v>
      </c>
      <c r="E787">
        <v>93813.327470724151</v>
      </c>
      <c r="F787">
        <v>42494.768824896288</v>
      </c>
      <c r="G787">
        <v>10000</v>
      </c>
      <c r="H787">
        <v>357398.53107263136</v>
      </c>
      <c r="I787">
        <v>36.863651410207851</v>
      </c>
    </row>
    <row r="788" spans="1:9" x14ac:dyDescent="0.2">
      <c r="A788">
        <v>778</v>
      </c>
      <c r="B788">
        <v>1009736.0334015701</v>
      </c>
      <c r="C788">
        <v>90720.966665426706</v>
      </c>
      <c r="D788">
        <v>125681.42592249585</v>
      </c>
      <c r="E788">
        <v>33912.585302873915</v>
      </c>
      <c r="F788">
        <v>38347.794367122035</v>
      </c>
      <c r="G788">
        <v>10000</v>
      </c>
      <c r="H788">
        <v>278662.77225791855</v>
      </c>
      <c r="I788">
        <v>38.813557383647542</v>
      </c>
    </row>
    <row r="789" spans="1:9" x14ac:dyDescent="0.2">
      <c r="A789">
        <v>779</v>
      </c>
      <c r="B789">
        <v>1626255.1599021899</v>
      </c>
      <c r="C789">
        <v>104651.67473442484</v>
      </c>
      <c r="D789">
        <v>100246.49409960152</v>
      </c>
      <c r="E789">
        <v>202696.88475664929</v>
      </c>
      <c r="F789">
        <v>50032.861252383409</v>
      </c>
      <c r="G789">
        <v>10000</v>
      </c>
      <c r="H789">
        <v>447627.91484305909</v>
      </c>
      <c r="I789">
        <v>36.346036296100515</v>
      </c>
    </row>
    <row r="790" spans="1:9" x14ac:dyDescent="0.2">
      <c r="A790">
        <v>780</v>
      </c>
      <c r="B790">
        <v>1445848.9535440779</v>
      </c>
      <c r="C790">
        <v>107414.9890427425</v>
      </c>
      <c r="D790">
        <v>52855.4763821589</v>
      </c>
      <c r="E790">
        <v>198193.66545497876</v>
      </c>
      <c r="F790">
        <v>49721.099916113912</v>
      </c>
      <c r="G790">
        <v>10000</v>
      </c>
      <c r="H790">
        <v>398185.23079599405</v>
      </c>
      <c r="I790">
        <v>28.286911951026806</v>
      </c>
    </row>
    <row r="791" spans="1:9" x14ac:dyDescent="0.2">
      <c r="A791">
        <v>781</v>
      </c>
      <c r="B791">
        <v>1487744.8307605828</v>
      </c>
      <c r="C791">
        <v>133116.11406083673</v>
      </c>
      <c r="D791">
        <v>93052.874372779261</v>
      </c>
      <c r="E791">
        <v>147300.62101883031</v>
      </c>
      <c r="F791">
        <v>46197.735301303634</v>
      </c>
      <c r="G791">
        <v>10000</v>
      </c>
      <c r="H791">
        <v>409667.34475374996</v>
      </c>
      <c r="I791">
        <v>41.080163176040749</v>
      </c>
    </row>
    <row r="792" spans="1:9" x14ac:dyDescent="0.2">
      <c r="A792">
        <v>782</v>
      </c>
      <c r="B792">
        <v>1249022.754906696</v>
      </c>
      <c r="C792">
        <v>93832.950233503056</v>
      </c>
      <c r="D792">
        <v>54777.113893719921</v>
      </c>
      <c r="E792">
        <v>158648.97787148491</v>
      </c>
      <c r="F792">
        <v>46983.390775718188</v>
      </c>
      <c r="G792">
        <v>10000</v>
      </c>
      <c r="H792">
        <v>344242.43277442612</v>
      </c>
      <c r="I792">
        <v>39.272968630582248</v>
      </c>
    </row>
    <row r="793" spans="1:9" x14ac:dyDescent="0.2">
      <c r="A793">
        <v>783</v>
      </c>
      <c r="B793">
        <v>1359967.905988279</v>
      </c>
      <c r="C793">
        <v>112380.97098632982</v>
      </c>
      <c r="D793">
        <v>95635.541234680539</v>
      </c>
      <c r="E793">
        <v>131526.23040587638</v>
      </c>
      <c r="F793">
        <v>45105.662105022209</v>
      </c>
      <c r="G793">
        <v>10000</v>
      </c>
      <c r="H793">
        <v>374648.40473190893</v>
      </c>
      <c r="I793">
        <v>38.932577086439096</v>
      </c>
    </row>
    <row r="794" spans="1:9" x14ac:dyDescent="0.2">
      <c r="A794">
        <v>784</v>
      </c>
      <c r="B794">
        <v>1316792.0878795995</v>
      </c>
      <c r="C794">
        <v>108571.79887060306</v>
      </c>
      <c r="D794">
        <v>147050.81241727437</v>
      </c>
      <c r="E794">
        <v>75935.801002865133</v>
      </c>
      <c r="F794">
        <v>41257.093915582969</v>
      </c>
      <c r="G794">
        <v>10000</v>
      </c>
      <c r="H794">
        <v>362815.50620632555</v>
      </c>
      <c r="I794">
        <v>38.940413384100417</v>
      </c>
    </row>
    <row r="795" spans="1:9" x14ac:dyDescent="0.2">
      <c r="A795">
        <v>785</v>
      </c>
      <c r="B795">
        <v>1070596.7997036211</v>
      </c>
      <c r="C795">
        <v>124062.72145928898</v>
      </c>
      <c r="D795">
        <v>108008.84861211856</v>
      </c>
      <c r="E795">
        <v>34857.669174358496</v>
      </c>
      <c r="F795">
        <v>38413.223250532516</v>
      </c>
      <c r="G795">
        <v>10000</v>
      </c>
      <c r="H795">
        <v>295342.46249629854</v>
      </c>
      <c r="I795">
        <v>41.748211921635992</v>
      </c>
    </row>
    <row r="796" spans="1:9" x14ac:dyDescent="0.2">
      <c r="A796">
        <v>786</v>
      </c>
      <c r="B796">
        <v>1295066.8216863847</v>
      </c>
      <c r="C796">
        <v>113856.63025363213</v>
      </c>
      <c r="D796">
        <v>62615.078238389753</v>
      </c>
      <c r="E796">
        <v>144393.24827828599</v>
      </c>
      <c r="F796">
        <v>45996.455650035183</v>
      </c>
      <c r="G796">
        <v>10000</v>
      </c>
      <c r="H796">
        <v>356861.41242034303</v>
      </c>
      <c r="I796">
        <v>27.219845178870756</v>
      </c>
    </row>
    <row r="797" spans="1:9" x14ac:dyDescent="0.2">
      <c r="A797">
        <v>787</v>
      </c>
      <c r="B797">
        <v>990067.21525385254</v>
      </c>
      <c r="C797">
        <v>99968.800955823899</v>
      </c>
      <c r="D797">
        <v>34137.117866977693</v>
      </c>
      <c r="E797">
        <v>105839.03814837191</v>
      </c>
      <c r="F797">
        <v>43327.318025656517</v>
      </c>
      <c r="G797">
        <v>10000</v>
      </c>
      <c r="H797">
        <v>273272.27499683003</v>
      </c>
      <c r="I797">
        <v>29.861334891650397</v>
      </c>
    </row>
    <row r="798" spans="1:9" x14ac:dyDescent="0.2">
      <c r="A798">
        <v>788</v>
      </c>
      <c r="B798">
        <v>968621.82621612353</v>
      </c>
      <c r="C798">
        <v>141862.23455124613</v>
      </c>
      <c r="D798">
        <v>43616.92091267003</v>
      </c>
      <c r="E798">
        <v>52295.286814289546</v>
      </c>
      <c r="F798">
        <v>39620.442933296967</v>
      </c>
      <c r="G798">
        <v>10000</v>
      </c>
      <c r="H798">
        <v>267394.88521150267</v>
      </c>
      <c r="I798">
        <v>32.217406508134005</v>
      </c>
    </row>
    <row r="799" spans="1:9" x14ac:dyDescent="0.2">
      <c r="A799">
        <v>789</v>
      </c>
      <c r="B799">
        <v>1229904.6258435324</v>
      </c>
      <c r="C799">
        <v>94163.387017916961</v>
      </c>
      <c r="D799">
        <v>106998.04904719883</v>
      </c>
      <c r="E799">
        <v>104599.89201951746</v>
      </c>
      <c r="F799">
        <v>43241.530985966594</v>
      </c>
      <c r="G799">
        <v>10000</v>
      </c>
      <c r="H799">
        <v>339002.85907059984</v>
      </c>
      <c r="I799">
        <v>31.445456676608401</v>
      </c>
    </row>
    <row r="800" spans="1:9" x14ac:dyDescent="0.2">
      <c r="A800">
        <v>790</v>
      </c>
      <c r="B800">
        <v>1255791.4136324923</v>
      </c>
      <c r="C800">
        <v>89968.028969882973</v>
      </c>
      <c r="D800">
        <v>129442.85103213022</v>
      </c>
      <c r="E800">
        <v>94167.31659651942</v>
      </c>
      <c r="F800">
        <v>42519.275764374419</v>
      </c>
      <c r="G800">
        <v>10000</v>
      </c>
      <c r="H800">
        <v>346097.47236290702</v>
      </c>
      <c r="I800">
        <v>52.212355335241327</v>
      </c>
    </row>
    <row r="801" spans="1:9" x14ac:dyDescent="0.2">
      <c r="A801">
        <v>791</v>
      </c>
      <c r="B801">
        <v>1462520.7277955431</v>
      </c>
      <c r="C801">
        <v>113372.36040455106</v>
      </c>
      <c r="D801">
        <v>174109.62041003644</v>
      </c>
      <c r="E801">
        <v>83492.142830664423</v>
      </c>
      <c r="F801">
        <v>41780.225272892159</v>
      </c>
      <c r="G801">
        <v>10000</v>
      </c>
      <c r="H801">
        <v>402754.34891814407</v>
      </c>
      <c r="I801">
        <v>39.474778232065667</v>
      </c>
    </row>
    <row r="802" spans="1:9" x14ac:dyDescent="0.2">
      <c r="A802">
        <v>792</v>
      </c>
      <c r="B802">
        <v>963428.78217797028</v>
      </c>
      <c r="C802">
        <v>84570.918085864687</v>
      </c>
      <c r="D802">
        <v>72844.318335602307</v>
      </c>
      <c r="E802">
        <v>77211.046877693632</v>
      </c>
      <c r="F802">
        <v>41345.380168455711</v>
      </c>
      <c r="G802">
        <v>10000</v>
      </c>
      <c r="H802">
        <v>265971.66346761631</v>
      </c>
      <c r="I802">
        <v>43.883513588565748</v>
      </c>
    </row>
    <row r="803" spans="1:9" x14ac:dyDescent="0.2">
      <c r="A803">
        <v>793</v>
      </c>
      <c r="B803">
        <v>1323694.0947617602</v>
      </c>
      <c r="C803">
        <v>126307.8717193857</v>
      </c>
      <c r="D803">
        <v>111122.96392523735</v>
      </c>
      <c r="E803">
        <v>94718.800537383475</v>
      </c>
      <c r="F803">
        <v>42557.455421818857</v>
      </c>
      <c r="G803">
        <v>10000</v>
      </c>
      <c r="H803">
        <v>364707.09160382533</v>
      </c>
      <c r="I803">
        <v>41.382673667039086</v>
      </c>
    </row>
    <row r="804" spans="1:9" x14ac:dyDescent="0.2">
      <c r="A804">
        <v>794</v>
      </c>
      <c r="B804">
        <v>1101703.6651331317</v>
      </c>
      <c r="C804">
        <v>88866.249262931378</v>
      </c>
      <c r="D804">
        <v>133134.70610271511</v>
      </c>
      <c r="E804">
        <v>52249.47942706108</v>
      </c>
      <c r="F804">
        <v>39617.271652642688</v>
      </c>
      <c r="G804">
        <v>10000</v>
      </c>
      <c r="H804">
        <v>303867.70644535025</v>
      </c>
      <c r="I804">
        <v>40.705727270839901</v>
      </c>
    </row>
    <row r="805" spans="1:9" x14ac:dyDescent="0.2">
      <c r="A805">
        <v>795</v>
      </c>
      <c r="B805">
        <v>1347842.9494935824</v>
      </c>
      <c r="C805">
        <v>128809.70012859283</v>
      </c>
      <c r="D805">
        <v>146878.82171391763</v>
      </c>
      <c r="E805">
        <v>65128.017017046019</v>
      </c>
      <c r="F805">
        <v>40508.862716564727</v>
      </c>
      <c r="G805">
        <v>10000</v>
      </c>
      <c r="H805">
        <v>371325.40157612116</v>
      </c>
      <c r="I805">
        <v>36.918809157740107</v>
      </c>
    </row>
    <row r="806" spans="1:9" x14ac:dyDescent="0.2">
      <c r="A806">
        <v>796</v>
      </c>
      <c r="B806">
        <v>826002.48738780827</v>
      </c>
      <c r="C806">
        <v>105808.7008767416</v>
      </c>
      <c r="D806">
        <v>44087.886267478098</v>
      </c>
      <c r="E806">
        <v>49018.043210537318</v>
      </c>
      <c r="F806">
        <v>39393.556837652584</v>
      </c>
      <c r="G806">
        <v>10000</v>
      </c>
      <c r="H806">
        <v>228308.18719240959</v>
      </c>
      <c r="I806">
        <v>46.270253810084427</v>
      </c>
    </row>
    <row r="807" spans="1:9" x14ac:dyDescent="0.2">
      <c r="A807">
        <v>797</v>
      </c>
      <c r="B807">
        <v>1397498.9658018597</v>
      </c>
      <c r="C807">
        <v>114274.18216405035</v>
      </c>
      <c r="D807">
        <v>65960.163227274199</v>
      </c>
      <c r="E807">
        <v>167129.43833592357</v>
      </c>
      <c r="F807">
        <v>47570.499577102397</v>
      </c>
      <c r="G807">
        <v>10000</v>
      </c>
      <c r="H807">
        <v>384934.28330435045</v>
      </c>
      <c r="I807">
        <v>36.237118049013674</v>
      </c>
    </row>
    <row r="808" spans="1:9" x14ac:dyDescent="0.2">
      <c r="A808">
        <v>798</v>
      </c>
      <c r="B808">
        <v>1446935.7094719978</v>
      </c>
      <c r="C808">
        <v>127626.88413806164</v>
      </c>
      <c r="D808">
        <v>129877.4126230853</v>
      </c>
      <c r="E808">
        <v>107534.10492980074</v>
      </c>
      <c r="F808">
        <v>43444.668802832362</v>
      </c>
      <c r="G808">
        <v>10000</v>
      </c>
      <c r="H808">
        <v>398483.07049378002</v>
      </c>
      <c r="I808">
        <v>37.010983135928292</v>
      </c>
    </row>
    <row r="809" spans="1:9" x14ac:dyDescent="0.2">
      <c r="A809">
        <v>799</v>
      </c>
      <c r="B809">
        <v>1013756.0481592286</v>
      </c>
      <c r="C809">
        <v>131511.81414708533</v>
      </c>
      <c r="D809">
        <v>73038.476671101802</v>
      </c>
      <c r="E809">
        <v>46027.686968683272</v>
      </c>
      <c r="F809">
        <v>39186.53217475499</v>
      </c>
      <c r="G809">
        <v>10000</v>
      </c>
      <c r="H809">
        <v>279764.50996162539</v>
      </c>
      <c r="I809">
        <v>47.593332892609901</v>
      </c>
    </row>
    <row r="810" spans="1:9" x14ac:dyDescent="0.2">
      <c r="A810">
        <v>800</v>
      </c>
      <c r="B810">
        <v>1405131.3823153472</v>
      </c>
      <c r="C810">
        <v>131604.93623610353</v>
      </c>
      <c r="D810">
        <v>52049.159021913038</v>
      </c>
      <c r="E810">
        <v>165887.43690827175</v>
      </c>
      <c r="F810">
        <v>47484.514862880351</v>
      </c>
      <c r="G810">
        <v>10000</v>
      </c>
      <c r="H810">
        <v>387026.04702916869</v>
      </c>
      <c r="I810">
        <v>29.459411212377056</v>
      </c>
    </row>
    <row r="811" spans="1:9" x14ac:dyDescent="0.2">
      <c r="A811">
        <v>801</v>
      </c>
      <c r="B811">
        <v>1245839.3524859974</v>
      </c>
      <c r="C811">
        <v>117123.39193432823</v>
      </c>
      <c r="D811">
        <v>82670.105736620346</v>
      </c>
      <c r="E811">
        <v>109963.61623070022</v>
      </c>
      <c r="F811">
        <v>43612.86573904848</v>
      </c>
      <c r="G811">
        <v>10000</v>
      </c>
      <c r="H811">
        <v>343369.97964069725</v>
      </c>
      <c r="I811">
        <v>35.877317483538093</v>
      </c>
    </row>
    <row r="812" spans="1:9" x14ac:dyDescent="0.2">
      <c r="A812">
        <v>802</v>
      </c>
      <c r="B812">
        <v>995174.14653666434</v>
      </c>
      <c r="C812">
        <v>93881.919776736017</v>
      </c>
      <c r="D812">
        <v>67442.147359393784</v>
      </c>
      <c r="E812">
        <v>81692.21443076196</v>
      </c>
      <c r="F812">
        <v>41655.61484520659</v>
      </c>
      <c r="G812">
        <v>10000</v>
      </c>
      <c r="H812">
        <v>274671.89641209837</v>
      </c>
      <c r="I812">
        <v>43.804338806810179</v>
      </c>
    </row>
    <row r="813" spans="1:9" x14ac:dyDescent="0.2">
      <c r="A813">
        <v>803</v>
      </c>
      <c r="B813">
        <v>1375669.2761076889</v>
      </c>
      <c r="C813">
        <v>116711.25219732712</v>
      </c>
      <c r="D813">
        <v>95554.611813504074</v>
      </c>
      <c r="E813">
        <v>131576.56039064226</v>
      </c>
      <c r="F813">
        <v>45109.146488582919</v>
      </c>
      <c r="G813">
        <v>10000</v>
      </c>
      <c r="H813">
        <v>378951.57089005644</v>
      </c>
      <c r="I813">
        <v>54.975829177212084</v>
      </c>
    </row>
    <row r="814" spans="1:9" x14ac:dyDescent="0.2">
      <c r="A814">
        <v>804</v>
      </c>
      <c r="B814">
        <v>1361799.7227704376</v>
      </c>
      <c r="C814">
        <v>135604.67790184729</v>
      </c>
      <c r="D814">
        <v>104682.13755589641</v>
      </c>
      <c r="E814">
        <v>101814.89888955261</v>
      </c>
      <c r="F814">
        <v>43048.723769276723</v>
      </c>
      <c r="G814">
        <v>10000</v>
      </c>
      <c r="H814">
        <v>375150.43811657303</v>
      </c>
      <c r="I814">
        <v>31.227076982569645</v>
      </c>
    </row>
    <row r="815" spans="1:9" x14ac:dyDescent="0.2">
      <c r="A815">
        <v>805</v>
      </c>
      <c r="B815">
        <v>1350463.3594399444</v>
      </c>
      <c r="C815">
        <v>139135.13446856249</v>
      </c>
      <c r="D815">
        <v>75838.804791254835</v>
      </c>
      <c r="E815">
        <v>122583.09783016189</v>
      </c>
      <c r="F815">
        <v>44486.522157472747</v>
      </c>
      <c r="G815">
        <v>10000</v>
      </c>
      <c r="H815">
        <v>372043.55924745195</v>
      </c>
      <c r="I815">
        <v>30.060282656897435</v>
      </c>
    </row>
    <row r="816" spans="1:9" x14ac:dyDescent="0.2">
      <c r="A816">
        <v>806</v>
      </c>
      <c r="B816">
        <v>1094547.8191918149</v>
      </c>
      <c r="C816">
        <v>144659.2474841442</v>
      </c>
      <c r="D816">
        <v>70194.396464662103</v>
      </c>
      <c r="E816">
        <v>57099.843117769553</v>
      </c>
      <c r="F816">
        <v>39953.066061999431</v>
      </c>
      <c r="G816">
        <v>10000</v>
      </c>
      <c r="H816">
        <v>301906.55312857527</v>
      </c>
      <c r="I816">
        <v>35.958890188687697</v>
      </c>
    </row>
    <row r="817" spans="1:9" x14ac:dyDescent="0.2">
      <c r="A817">
        <v>807</v>
      </c>
      <c r="B817">
        <v>1577830.7789601574</v>
      </c>
      <c r="C817">
        <v>134993.18207129918</v>
      </c>
      <c r="D817">
        <v>51533.160378194159</v>
      </c>
      <c r="E817">
        <v>207467.12763476171</v>
      </c>
      <c r="F817">
        <v>50363.10883625273</v>
      </c>
      <c r="G817">
        <v>10000</v>
      </c>
      <c r="H817">
        <v>434356.57892050775</v>
      </c>
      <c r="I817">
        <v>33.905098994917779</v>
      </c>
    </row>
    <row r="818" spans="1:9" x14ac:dyDescent="0.2">
      <c r="A818">
        <v>808</v>
      </c>
      <c r="B818">
        <v>1585684.109388472</v>
      </c>
      <c r="C818">
        <v>163452.59920892975</v>
      </c>
      <c r="D818">
        <v>51248.537511787581</v>
      </c>
      <c r="E818">
        <v>183129.55061857507</v>
      </c>
      <c r="F818">
        <v>48678.199658209043</v>
      </c>
      <c r="G818">
        <v>10000</v>
      </c>
      <c r="H818">
        <v>436508.88699750142</v>
      </c>
      <c r="I818">
        <v>33.457354841483706</v>
      </c>
    </row>
    <row r="819" spans="1:9" x14ac:dyDescent="0.2">
      <c r="A819">
        <v>809</v>
      </c>
      <c r="B819">
        <v>1026261.1937944051</v>
      </c>
      <c r="C819">
        <v>84765.5124849977</v>
      </c>
      <c r="D819">
        <v>97618.467314944428</v>
      </c>
      <c r="E819">
        <v>69964.063216632654</v>
      </c>
      <c r="F819">
        <v>40843.665914997648</v>
      </c>
      <c r="G819">
        <v>10000</v>
      </c>
      <c r="H819">
        <v>283191.70893157239</v>
      </c>
      <c r="I819">
        <v>41.602969426018731</v>
      </c>
    </row>
    <row r="820" spans="1:9" x14ac:dyDescent="0.2">
      <c r="A820">
        <v>810</v>
      </c>
      <c r="B820">
        <v>1295318.8416324938</v>
      </c>
      <c r="C820">
        <v>152847.88718839822</v>
      </c>
      <c r="D820">
        <v>138497.18087634014</v>
      </c>
      <c r="E820">
        <v>37022.329381335527</v>
      </c>
      <c r="F820">
        <v>38563.084341784772</v>
      </c>
      <c r="G820">
        <v>10000</v>
      </c>
      <c r="H820">
        <v>356930.48178785865</v>
      </c>
      <c r="I820">
        <v>46.359577209486204</v>
      </c>
    </row>
    <row r="821" spans="1:9" x14ac:dyDescent="0.2">
      <c r="A821">
        <v>811</v>
      </c>
      <c r="B821">
        <v>1022379.0421921213</v>
      </c>
      <c r="C821">
        <v>91243.103767423599</v>
      </c>
      <c r="D821">
        <v>40737.662475495403</v>
      </c>
      <c r="E821">
        <v>116108.69398932645</v>
      </c>
      <c r="F821">
        <v>44038.294199261065</v>
      </c>
      <c r="G821">
        <v>10000</v>
      </c>
      <c r="H821">
        <v>282127.7544315065</v>
      </c>
      <c r="I821">
        <v>43.279864153161199</v>
      </c>
    </row>
    <row r="822" spans="1:9" x14ac:dyDescent="0.2">
      <c r="A822">
        <v>812</v>
      </c>
      <c r="B822">
        <v>995835.22727815958</v>
      </c>
      <c r="C822">
        <v>169948.93684993175</v>
      </c>
      <c r="D822">
        <v>33863.48379048505</v>
      </c>
      <c r="E822">
        <v>42124.352295795965</v>
      </c>
      <c r="F822">
        <v>38916.301312785872</v>
      </c>
      <c r="G822">
        <v>10000</v>
      </c>
      <c r="H822">
        <v>274853.07424899866</v>
      </c>
      <c r="I822">
        <v>27.177591704814745</v>
      </c>
    </row>
    <row r="823" spans="1:9" x14ac:dyDescent="0.2">
      <c r="A823">
        <v>813</v>
      </c>
      <c r="B823">
        <v>1364536.9889037227</v>
      </c>
      <c r="C823">
        <v>102124.78720463882</v>
      </c>
      <c r="D823">
        <v>123165.64631316798</v>
      </c>
      <c r="E823">
        <v>116541.90266943483</v>
      </c>
      <c r="F823">
        <v>44068.285569422413</v>
      </c>
      <c r="G823">
        <v>10000</v>
      </c>
      <c r="H823">
        <v>375900.62175666407</v>
      </c>
      <c r="I823">
        <v>43.007228182427731</v>
      </c>
    </row>
    <row r="824" spans="1:9" x14ac:dyDescent="0.2">
      <c r="A824">
        <v>814</v>
      </c>
      <c r="B824">
        <v>806277.86894950329</v>
      </c>
      <c r="C824">
        <v>115839.40502346972</v>
      </c>
      <c r="D824">
        <v>51246.422895405609</v>
      </c>
      <c r="E824">
        <v>27885.999982320362</v>
      </c>
      <c r="F824">
        <v>37930.569229545261</v>
      </c>
      <c r="G824">
        <v>10000</v>
      </c>
      <c r="H824">
        <v>222902.39713074092</v>
      </c>
      <c r="I824">
        <v>41.659815543348515</v>
      </c>
    </row>
    <row r="825" spans="1:9" x14ac:dyDescent="0.2">
      <c r="A825">
        <v>815</v>
      </c>
      <c r="B825">
        <v>1589323.2173832166</v>
      </c>
      <c r="C825">
        <v>101000.29435867716</v>
      </c>
      <c r="D825">
        <v>138505.89769754899</v>
      </c>
      <c r="E825">
        <v>160863.34690941926</v>
      </c>
      <c r="F825">
        <v>47136.693247575175</v>
      </c>
      <c r="G825">
        <v>10000</v>
      </c>
      <c r="H825">
        <v>437506.23221322056</v>
      </c>
      <c r="I825">
        <v>32.576859595658469</v>
      </c>
    </row>
    <row r="826" spans="1:9" x14ac:dyDescent="0.2">
      <c r="A826">
        <v>816</v>
      </c>
      <c r="B826">
        <v>1286086.0662557273</v>
      </c>
      <c r="C826">
        <v>121549.07110133721</v>
      </c>
      <c r="D826">
        <v>81415.356757174057</v>
      </c>
      <c r="E826">
        <v>117313.95551281389</v>
      </c>
      <c r="F826">
        <v>44121.735381656348</v>
      </c>
      <c r="G826">
        <v>10000</v>
      </c>
      <c r="H826">
        <v>354400.11875298148</v>
      </c>
      <c r="I826">
        <v>30.173382315050212</v>
      </c>
    </row>
    <row r="827" spans="1:9" x14ac:dyDescent="0.2">
      <c r="A827">
        <v>817</v>
      </c>
      <c r="B827">
        <v>1483247.7136982225</v>
      </c>
      <c r="C827">
        <v>115561.62065890647</v>
      </c>
      <c r="D827">
        <v>130765.89274998929</v>
      </c>
      <c r="E827">
        <v>127294.63219877001</v>
      </c>
      <c r="F827">
        <v>44812.705306068696</v>
      </c>
      <c r="G827">
        <v>10000</v>
      </c>
      <c r="H827">
        <v>408434.85091373447</v>
      </c>
      <c r="I827">
        <v>32.884836983616445</v>
      </c>
    </row>
    <row r="828" spans="1:9" x14ac:dyDescent="0.2">
      <c r="A828">
        <v>818</v>
      </c>
      <c r="B828">
        <v>1171066.5039098985</v>
      </c>
      <c r="C828">
        <v>100633.55705313591</v>
      </c>
      <c r="D828">
        <v>83299.344679496688</v>
      </c>
      <c r="E828">
        <v>105631.63961810421</v>
      </c>
      <c r="F828">
        <v>43312.959665868751</v>
      </c>
      <c r="G828">
        <v>10000</v>
      </c>
      <c r="H828">
        <v>322877.50101660553</v>
      </c>
      <c r="I828">
        <v>35.471144844709471</v>
      </c>
    </row>
    <row r="829" spans="1:9" x14ac:dyDescent="0.2">
      <c r="A829">
        <v>819</v>
      </c>
      <c r="B829">
        <v>1135692.9415413365</v>
      </c>
      <c r="C829">
        <v>91503.592658564667</v>
      </c>
      <c r="D829">
        <v>46587.725024112311</v>
      </c>
      <c r="E829">
        <v>139438.18255927679</v>
      </c>
      <c r="F829">
        <v>45653.412638719165</v>
      </c>
      <c r="G829">
        <v>10000</v>
      </c>
      <c r="H829">
        <v>313182.91288067296</v>
      </c>
      <c r="I829">
        <v>32.448138178177231</v>
      </c>
    </row>
    <row r="830" spans="1:9" x14ac:dyDescent="0.2">
      <c r="A830">
        <v>820</v>
      </c>
      <c r="B830">
        <v>1075977.9999660144</v>
      </c>
      <c r="C830">
        <v>105608.07896091486</v>
      </c>
      <c r="D830">
        <v>127330.35915107345</v>
      </c>
      <c r="E830">
        <v>35426.227804326074</v>
      </c>
      <c r="F830">
        <v>38452.585001837957</v>
      </c>
      <c r="G830">
        <v>10000</v>
      </c>
      <c r="H830">
        <v>296817.25091815228</v>
      </c>
      <c r="I830">
        <v>27.307546865108456</v>
      </c>
    </row>
    <row r="831" spans="1:9" x14ac:dyDescent="0.2">
      <c r="A831">
        <v>821</v>
      </c>
      <c r="B831">
        <v>1308927.0605737688</v>
      </c>
      <c r="C831">
        <v>141557.48259255767</v>
      </c>
      <c r="D831">
        <v>127046.66040600081</v>
      </c>
      <c r="E831">
        <v>61778.852001978383</v>
      </c>
      <c r="F831">
        <v>40276.997446290814</v>
      </c>
      <c r="G831">
        <v>10000</v>
      </c>
      <c r="H831">
        <v>360659.99244682764</v>
      </c>
      <c r="I831">
        <v>45.424847938637974</v>
      </c>
    </row>
    <row r="832" spans="1:9" x14ac:dyDescent="0.2">
      <c r="A832">
        <v>822</v>
      </c>
      <c r="B832">
        <v>1181212.9656083821</v>
      </c>
      <c r="C832">
        <v>160431.91819763763</v>
      </c>
      <c r="D832">
        <v>43337.173444326116</v>
      </c>
      <c r="E832">
        <v>89680.528164766307</v>
      </c>
      <c r="F832">
        <v>42208.651949868436</v>
      </c>
      <c r="G832">
        <v>10000</v>
      </c>
      <c r="H832">
        <v>325658.27175659849</v>
      </c>
      <c r="I832">
        <v>37.708927851998979</v>
      </c>
    </row>
    <row r="833" spans="1:9" x14ac:dyDescent="0.2">
      <c r="A833">
        <v>823</v>
      </c>
      <c r="B833">
        <v>1380096.1142732613</v>
      </c>
      <c r="C833">
        <v>97319.457997490594</v>
      </c>
      <c r="D833">
        <v>99183.967700364126</v>
      </c>
      <c r="E833">
        <v>147453.08750642656</v>
      </c>
      <c r="F833">
        <v>46208.290673521835</v>
      </c>
      <c r="G833">
        <v>10000</v>
      </c>
      <c r="H833">
        <v>380164.80387780309</v>
      </c>
      <c r="I833">
        <v>41.850644728105522</v>
      </c>
    </row>
    <row r="834" spans="1:9" x14ac:dyDescent="0.2">
      <c r="A834">
        <v>824</v>
      </c>
      <c r="B834">
        <v>1003961.6809978443</v>
      </c>
      <c r="C834">
        <v>88236.615740042034</v>
      </c>
      <c r="D834">
        <v>66142.426370442045</v>
      </c>
      <c r="E834">
        <v>90439.964892518765</v>
      </c>
      <c r="F834">
        <v>42261.228338712834</v>
      </c>
      <c r="G834">
        <v>10000</v>
      </c>
      <c r="H834">
        <v>277080.23534171568</v>
      </c>
      <c r="I834">
        <v>24.284909914107011</v>
      </c>
    </row>
    <row r="835" spans="1:9" x14ac:dyDescent="0.2">
      <c r="A835">
        <v>825</v>
      </c>
      <c r="B835">
        <v>1457823.2310584891</v>
      </c>
      <c r="C835">
        <v>133765.022142578</v>
      </c>
      <c r="D835">
        <v>153624.08051003597</v>
      </c>
      <c r="E835">
        <v>82374.954299338991</v>
      </c>
      <c r="F835">
        <v>41702.8814514927</v>
      </c>
      <c r="G835">
        <v>10000</v>
      </c>
      <c r="H835">
        <v>401466.9384034457</v>
      </c>
      <c r="I835">
        <v>37.556819353438115</v>
      </c>
    </row>
    <row r="836" spans="1:9" x14ac:dyDescent="0.2">
      <c r="A836">
        <v>826</v>
      </c>
      <c r="B836">
        <v>1274701.0490484042</v>
      </c>
      <c r="C836">
        <v>108228.61713341152</v>
      </c>
      <c r="D836">
        <v>43681.547741459719</v>
      </c>
      <c r="E836">
        <v>162144.36187750072</v>
      </c>
      <c r="F836">
        <v>47225.378899211588</v>
      </c>
      <c r="G836">
        <v>10000</v>
      </c>
      <c r="H836">
        <v>351279.90565158351</v>
      </c>
      <c r="I836">
        <v>31.876554001282631</v>
      </c>
    </row>
    <row r="837" spans="1:9" x14ac:dyDescent="0.2">
      <c r="A837">
        <v>827</v>
      </c>
      <c r="B837">
        <v>1055435.4838909684</v>
      </c>
      <c r="C837">
        <v>112034.36777543272</v>
      </c>
      <c r="D837">
        <v>59012.774598596654</v>
      </c>
      <c r="E837">
        <v>88044.75668891141</v>
      </c>
      <c r="F837">
        <v>42095.406232309251</v>
      </c>
      <c r="G837">
        <v>10000</v>
      </c>
      <c r="H837">
        <v>291187.30529525003</v>
      </c>
      <c r="I837">
        <v>37.335847590260485</v>
      </c>
    </row>
    <row r="838" spans="1:9" x14ac:dyDescent="0.2">
      <c r="A838">
        <v>828</v>
      </c>
      <c r="B838">
        <v>1468760.9872561933</v>
      </c>
      <c r="C838">
        <v>128449.07742576877</v>
      </c>
      <c r="D838">
        <v>127170.23622332732</v>
      </c>
      <c r="E838">
        <v>114891.25046937641</v>
      </c>
      <c r="F838">
        <v>43954.00964787991</v>
      </c>
      <c r="G838">
        <v>10000</v>
      </c>
      <c r="H838">
        <v>404464.57376635243</v>
      </c>
      <c r="I838">
        <v>31.60625580968799</v>
      </c>
    </row>
    <row r="839" spans="1:9" x14ac:dyDescent="0.2">
      <c r="A839">
        <v>829</v>
      </c>
      <c r="B839">
        <v>1249280.2794176305</v>
      </c>
      <c r="C839">
        <v>91710.963326951052</v>
      </c>
      <c r="D839">
        <v>92453.964519892077</v>
      </c>
      <c r="E839">
        <v>125462.23579939085</v>
      </c>
      <c r="F839">
        <v>44685.847093803983</v>
      </c>
      <c r="G839">
        <v>10000</v>
      </c>
      <c r="H839">
        <v>344313.01074003795</v>
      </c>
      <c r="I839">
        <v>44.078867540006797</v>
      </c>
    </row>
    <row r="840" spans="1:9" x14ac:dyDescent="0.2">
      <c r="A840">
        <v>830</v>
      </c>
      <c r="B840">
        <v>1169103.915950702</v>
      </c>
      <c r="C840">
        <v>130985.76274614787</v>
      </c>
      <c r="D840">
        <v>102567.18354395869</v>
      </c>
      <c r="E840">
        <v>58721.357067686455</v>
      </c>
      <c r="F840">
        <v>40065.324720070603</v>
      </c>
      <c r="G840">
        <v>10000</v>
      </c>
      <c r="H840">
        <v>322339.6280778636</v>
      </c>
      <c r="I840">
        <v>46.819616159984804</v>
      </c>
    </row>
    <row r="841" spans="1:9" x14ac:dyDescent="0.2">
      <c r="A841">
        <v>831</v>
      </c>
      <c r="B841">
        <v>842816.85579104489</v>
      </c>
      <c r="C841">
        <v>138662.19749543577</v>
      </c>
      <c r="D841">
        <v>37762.073519473153</v>
      </c>
      <c r="E841">
        <v>28517.804549118737</v>
      </c>
      <c r="F841">
        <v>37974.309545708216</v>
      </c>
      <c r="G841">
        <v>10000</v>
      </c>
      <c r="H841">
        <v>232916.38510973586</v>
      </c>
      <c r="I841">
        <v>43.707970967317209</v>
      </c>
    </row>
    <row r="842" spans="1:9" x14ac:dyDescent="0.2">
      <c r="A842">
        <v>832</v>
      </c>
      <c r="B842">
        <v>1521820.6482516185</v>
      </c>
      <c r="C842">
        <v>150061.65878235284</v>
      </c>
      <c r="D842">
        <v>115512.94884560251</v>
      </c>
      <c r="E842">
        <v>119180.69040434741</v>
      </c>
      <c r="F842">
        <v>44250.970874147126</v>
      </c>
      <c r="G842">
        <v>10000</v>
      </c>
      <c r="H842">
        <v>419006.2689064499</v>
      </c>
      <c r="I842">
        <v>42.041567801621746</v>
      </c>
    </row>
    <row r="843" spans="1:9" x14ac:dyDescent="0.2">
      <c r="A843">
        <v>833</v>
      </c>
      <c r="B843">
        <v>1485429.9715576498</v>
      </c>
      <c r="C843">
        <v>121873.38806930081</v>
      </c>
      <c r="D843">
        <v>128243.99864672685</v>
      </c>
      <c r="E843">
        <v>124309.49835623524</v>
      </c>
      <c r="F843">
        <v>44606.042193893205</v>
      </c>
      <c r="G843">
        <v>10000</v>
      </c>
      <c r="H843">
        <v>409032.92726615613</v>
      </c>
      <c r="I843">
        <v>37.77809830589888</v>
      </c>
    </row>
    <row r="844" spans="1:9" x14ac:dyDescent="0.2">
      <c r="A844">
        <v>834</v>
      </c>
      <c r="B844">
        <v>1448725.7022588297</v>
      </c>
      <c r="C844">
        <v>127279.99160479658</v>
      </c>
      <c r="D844">
        <v>141889.22689745933</v>
      </c>
      <c r="E844">
        <v>97083.273274190855</v>
      </c>
      <c r="F844">
        <v>42721.149688213212</v>
      </c>
      <c r="G844">
        <v>10000</v>
      </c>
      <c r="H844">
        <v>398973.64146465994</v>
      </c>
      <c r="I844">
        <v>41.652247418253971</v>
      </c>
    </row>
    <row r="845" spans="1:9" x14ac:dyDescent="0.2">
      <c r="A845">
        <v>835</v>
      </c>
      <c r="B845">
        <v>1456124.8772671523</v>
      </c>
      <c r="C845">
        <v>153843.81442967887</v>
      </c>
      <c r="D845">
        <v>123093.88565774563</v>
      </c>
      <c r="E845">
        <v>91714.32868772815</v>
      </c>
      <c r="F845">
        <v>42349.453524535027</v>
      </c>
      <c r="G845">
        <v>10000</v>
      </c>
      <c r="H845">
        <v>401001.48229968769</v>
      </c>
      <c r="I845">
        <v>34.177165478254651</v>
      </c>
    </row>
    <row r="846" spans="1:9" x14ac:dyDescent="0.2">
      <c r="A846">
        <v>836</v>
      </c>
      <c r="B846">
        <v>1027745.8252589114</v>
      </c>
      <c r="C846">
        <v>97713.764298805341</v>
      </c>
      <c r="D846">
        <v>54867.174672451678</v>
      </c>
      <c r="E846">
        <v>98217.948531676899</v>
      </c>
      <c r="F846">
        <v>42799.704129116093</v>
      </c>
      <c r="G846">
        <v>10000</v>
      </c>
      <c r="H846">
        <v>283598.59163205</v>
      </c>
      <c r="I846">
        <v>46.787892043502005</v>
      </c>
    </row>
    <row r="847" spans="1:9" x14ac:dyDescent="0.2">
      <c r="A847">
        <v>837</v>
      </c>
      <c r="B847">
        <v>1041901.7925431768</v>
      </c>
      <c r="C847">
        <v>92848.296244977872</v>
      </c>
      <c r="D847">
        <v>124376.26280258333</v>
      </c>
      <c r="E847">
        <v>41388.315904723066</v>
      </c>
      <c r="F847">
        <v>38865.344947250058</v>
      </c>
      <c r="G847">
        <v>10000</v>
      </c>
      <c r="H847">
        <v>287478.21989953431</v>
      </c>
      <c r="I847">
        <v>32.216243526815248</v>
      </c>
    </row>
    <row r="848" spans="1:9" x14ac:dyDescent="0.2">
      <c r="A848">
        <v>838</v>
      </c>
      <c r="B848">
        <v>1547596.7468269155</v>
      </c>
      <c r="C848">
        <v>115157.94958124886</v>
      </c>
      <c r="D848">
        <v>136250.32729827592</v>
      </c>
      <c r="E848">
        <v>139036.65491896402</v>
      </c>
      <c r="F848">
        <v>45625.614571312901</v>
      </c>
      <c r="G848">
        <v>10000</v>
      </c>
      <c r="H848">
        <v>426070.54636980174</v>
      </c>
      <c r="I848">
        <v>35.513362470243365</v>
      </c>
    </row>
    <row r="849" spans="1:9" x14ac:dyDescent="0.2">
      <c r="A849">
        <v>839</v>
      </c>
      <c r="B849">
        <v>1550417.8295818367</v>
      </c>
      <c r="C849">
        <v>93455.102232078731</v>
      </c>
      <c r="D849">
        <v>149535.31820913055</v>
      </c>
      <c r="E849">
        <v>147632.56460094688</v>
      </c>
      <c r="F849">
        <v>46220.716010834782</v>
      </c>
      <c r="G849">
        <v>10000</v>
      </c>
      <c r="H849">
        <v>426843.70105299097</v>
      </c>
      <c r="I849">
        <v>45.829435780169149</v>
      </c>
    </row>
    <row r="850" spans="1:9" x14ac:dyDescent="0.2">
      <c r="A850">
        <v>840</v>
      </c>
      <c r="B850">
        <v>1689223.1743060616</v>
      </c>
      <c r="C850">
        <v>109090.76541195261</v>
      </c>
      <c r="D850">
        <v>141444.53288847365</v>
      </c>
      <c r="E850">
        <v>176154.51326965718</v>
      </c>
      <c r="F850">
        <v>48195.312457130109</v>
      </c>
      <c r="G850">
        <v>10000</v>
      </c>
      <c r="H850">
        <v>464885.12402721361</v>
      </c>
      <c r="I850">
        <v>32.85988873392337</v>
      </c>
    </row>
    <row r="851" spans="1:9" x14ac:dyDescent="0.2">
      <c r="A851">
        <v>841</v>
      </c>
      <c r="B851">
        <v>1216970.7716698439</v>
      </c>
      <c r="C851">
        <v>105710.84737851559</v>
      </c>
      <c r="D851">
        <v>107701.82234123745</v>
      </c>
      <c r="E851">
        <v>89826.723990778279</v>
      </c>
      <c r="F851">
        <v>42218.773199361574</v>
      </c>
      <c r="G851">
        <v>10000</v>
      </c>
      <c r="H851">
        <v>335458.16690989287</v>
      </c>
      <c r="I851">
        <v>28.294317579044709</v>
      </c>
    </row>
    <row r="852" spans="1:9" x14ac:dyDescent="0.2">
      <c r="A852">
        <v>842</v>
      </c>
      <c r="B852">
        <v>960890.48933860206</v>
      </c>
      <c r="C852">
        <v>117367.19451063433</v>
      </c>
      <c r="D852">
        <v>58153.201756848648</v>
      </c>
      <c r="E852">
        <v>59627.553407874679</v>
      </c>
      <c r="F852">
        <v>40128.061389775932</v>
      </c>
      <c r="G852">
        <v>10000</v>
      </c>
      <c r="H852">
        <v>265276.01106513361</v>
      </c>
      <c r="I852">
        <v>37.688634691872466</v>
      </c>
    </row>
    <row r="853" spans="1:9" x14ac:dyDescent="0.2">
      <c r="A853">
        <v>843</v>
      </c>
      <c r="B853">
        <v>1284118.253158957</v>
      </c>
      <c r="C853">
        <v>97658.595041251174</v>
      </c>
      <c r="D853">
        <v>112435.52710945831</v>
      </c>
      <c r="E853">
        <v>110141.51017264171</v>
      </c>
      <c r="F853">
        <v>43625.181473490578</v>
      </c>
      <c r="G853">
        <v>10000</v>
      </c>
      <c r="H853">
        <v>353860.81379684177</v>
      </c>
      <c r="I853">
        <v>40.578892275629556</v>
      </c>
    </row>
    <row r="854" spans="1:9" x14ac:dyDescent="0.2">
      <c r="A854">
        <v>844</v>
      </c>
      <c r="B854">
        <v>1369902.0060648653</v>
      </c>
      <c r="C854">
        <v>145257.84173255647</v>
      </c>
      <c r="D854">
        <v>113707.44909441337</v>
      </c>
      <c r="E854">
        <v>86422.58230853366</v>
      </c>
      <c r="F854">
        <v>41983.101852129257</v>
      </c>
      <c r="G854">
        <v>10000</v>
      </c>
      <c r="H854">
        <v>377370.97498763277</v>
      </c>
      <c r="I854">
        <v>52.113366926268291</v>
      </c>
    </row>
    <row r="855" spans="1:9" x14ac:dyDescent="0.2">
      <c r="A855">
        <v>845</v>
      </c>
      <c r="B855">
        <v>1594447.4389123921</v>
      </c>
      <c r="C855">
        <v>109261.01879581637</v>
      </c>
      <c r="D855">
        <v>115798.05206494273</v>
      </c>
      <c r="E855">
        <v>175688.47323892571</v>
      </c>
      <c r="F855">
        <v>48163.048147310234</v>
      </c>
      <c r="G855">
        <v>10000</v>
      </c>
      <c r="H855">
        <v>438910.59224699502</v>
      </c>
      <c r="I855">
        <v>27.111970775089155</v>
      </c>
    </row>
    <row r="856" spans="1:9" x14ac:dyDescent="0.2">
      <c r="A856">
        <v>846</v>
      </c>
      <c r="B856">
        <v>1580004.6803621654</v>
      </c>
      <c r="C856">
        <v>124039.36834441447</v>
      </c>
      <c r="D856">
        <v>119183.58107240892</v>
      </c>
      <c r="E856">
        <v>154998.73407002338</v>
      </c>
      <c r="F856">
        <v>46730.681589463158</v>
      </c>
      <c r="G856">
        <v>10000</v>
      </c>
      <c r="H856">
        <v>434952.36507630988</v>
      </c>
      <c r="I856">
        <v>28.745869412155344</v>
      </c>
    </row>
    <row r="857" spans="1:9" x14ac:dyDescent="0.2">
      <c r="A857">
        <v>847</v>
      </c>
      <c r="B857">
        <v>1442100.7140583913</v>
      </c>
      <c r="C857">
        <v>106261.28211616665</v>
      </c>
      <c r="D857">
        <v>58117.886954244867</v>
      </c>
      <c r="E857">
        <v>193390.25170776414</v>
      </c>
      <c r="F857">
        <v>49388.555887460592</v>
      </c>
      <c r="G857">
        <v>10000</v>
      </c>
      <c r="H857">
        <v>397157.97666563629</v>
      </c>
      <c r="I857">
        <v>37.784103093713455</v>
      </c>
    </row>
    <row r="858" spans="1:9" x14ac:dyDescent="0.2">
      <c r="A858">
        <v>848</v>
      </c>
      <c r="B858">
        <v>1112744.6488159953</v>
      </c>
      <c r="C858">
        <v>139358.91047881375</v>
      </c>
      <c r="D858">
        <v>106888.86463241895</v>
      </c>
      <c r="E858">
        <v>32402.600578418453</v>
      </c>
      <c r="F858">
        <v>38243.256963121283</v>
      </c>
      <c r="G858">
        <v>10000</v>
      </c>
      <c r="H858">
        <v>306893.63265277247</v>
      </c>
      <c r="I858">
        <v>40.046615928630821</v>
      </c>
    </row>
    <row r="859" spans="1:9" x14ac:dyDescent="0.2">
      <c r="A859">
        <v>849</v>
      </c>
      <c r="B859">
        <v>1013237.459679482</v>
      </c>
      <c r="C859">
        <v>95194.537684300667</v>
      </c>
      <c r="D859">
        <v>116369.38805868918</v>
      </c>
      <c r="E859">
        <v>39335.248725468256</v>
      </c>
      <c r="F859">
        <v>38723.209527147803</v>
      </c>
      <c r="G859">
        <v>10000</v>
      </c>
      <c r="H859">
        <v>279622.38399560592</v>
      </c>
      <c r="I859">
        <v>37.881650960157856</v>
      </c>
    </row>
    <row r="860" spans="1:9" x14ac:dyDescent="0.2">
      <c r="A860">
        <v>850</v>
      </c>
      <c r="B860">
        <v>1292282.0341812228</v>
      </c>
      <c r="C860">
        <v>110782.76605189765</v>
      </c>
      <c r="D860">
        <v>95366.730704102287</v>
      </c>
      <c r="E860">
        <v>115923.25224512981</v>
      </c>
      <c r="F860">
        <v>44025.455924662834</v>
      </c>
      <c r="G860">
        <v>10000</v>
      </c>
      <c r="H860">
        <v>356098.20492579258</v>
      </c>
      <c r="I860">
        <v>31.147243021520094</v>
      </c>
    </row>
    <row r="861" spans="1:9" x14ac:dyDescent="0.2">
      <c r="A861">
        <v>851</v>
      </c>
      <c r="B861">
        <v>1261798.768961322</v>
      </c>
      <c r="C861">
        <v>105304.17780075048</v>
      </c>
      <c r="D861">
        <v>110989.5192672712</v>
      </c>
      <c r="E861">
        <v>98622.460884427317</v>
      </c>
      <c r="F861">
        <v>42827.708830460353</v>
      </c>
      <c r="G861">
        <v>10000</v>
      </c>
      <c r="H861">
        <v>347743.86678290938</v>
      </c>
      <c r="I861">
        <v>37.375448072117337</v>
      </c>
    </row>
    <row r="862" spans="1:9" x14ac:dyDescent="0.2">
      <c r="A862">
        <v>852</v>
      </c>
      <c r="B862">
        <v>722417.51724398846</v>
      </c>
      <c r="C862">
        <v>80462.82872499396</v>
      </c>
      <c r="D862">
        <v>58632.595669667207</v>
      </c>
      <c r="E862">
        <v>32569.157044100877</v>
      </c>
      <c r="F862">
        <v>38254.787795360826</v>
      </c>
      <c r="G862">
        <v>10000</v>
      </c>
      <c r="H862">
        <v>199919.36923412286</v>
      </c>
      <c r="I862">
        <v>41.240818627617443</v>
      </c>
    </row>
    <row r="863" spans="1:9" x14ac:dyDescent="0.2">
      <c r="A863">
        <v>853</v>
      </c>
      <c r="B863">
        <v>988711.11548011471</v>
      </c>
      <c r="C863">
        <v>119630.87479241687</v>
      </c>
      <c r="D863">
        <v>95694.78762550051</v>
      </c>
      <c r="E863">
        <v>29530.534081693873</v>
      </c>
      <c r="F863">
        <v>38044.421590271108</v>
      </c>
      <c r="G863">
        <v>10000</v>
      </c>
      <c r="H863">
        <v>272900.61808988237</v>
      </c>
      <c r="I863">
        <v>44.171254464495433</v>
      </c>
    </row>
    <row r="864" spans="1:9" x14ac:dyDescent="0.2">
      <c r="A864">
        <v>854</v>
      </c>
      <c r="B864">
        <v>1466168.2395671373</v>
      </c>
      <c r="C864">
        <v>123762.31747069368</v>
      </c>
      <c r="D864">
        <v>46198.889731436604</v>
      </c>
      <c r="E864">
        <v>194338.58066613012</v>
      </c>
      <c r="F864">
        <v>49454.209430732088</v>
      </c>
      <c r="G864">
        <v>10000</v>
      </c>
      <c r="H864">
        <v>403753.99729899247</v>
      </c>
      <c r="I864">
        <v>25.632943805113975</v>
      </c>
    </row>
    <row r="865" spans="1:9" x14ac:dyDescent="0.2">
      <c r="A865">
        <v>855</v>
      </c>
      <c r="B865">
        <v>1200695.6510882447</v>
      </c>
      <c r="C865">
        <v>167421.81539710573</v>
      </c>
      <c r="D865">
        <v>48435.273590542434</v>
      </c>
      <c r="E865">
        <v>83368.97001040852</v>
      </c>
      <c r="F865">
        <v>41771.69792379751</v>
      </c>
      <c r="G865">
        <v>10000</v>
      </c>
      <c r="H865">
        <v>330997.75692185422</v>
      </c>
      <c r="I865">
        <v>45.528899701849475</v>
      </c>
    </row>
    <row r="866" spans="1:9" x14ac:dyDescent="0.2">
      <c r="A866">
        <v>856</v>
      </c>
      <c r="B866">
        <v>1205973.0384090659</v>
      </c>
      <c r="C866">
        <v>133673.71276170659</v>
      </c>
      <c r="D866">
        <v>58447.932803112031</v>
      </c>
      <c r="E866">
        <v>106920.27555905553</v>
      </c>
      <c r="F866">
        <v>43402.172923319224</v>
      </c>
      <c r="G866">
        <v>10000</v>
      </c>
      <c r="H866">
        <v>332444.09404719336</v>
      </c>
      <c r="I866">
        <v>48.359344441040655</v>
      </c>
    </row>
    <row r="867" spans="1:9" x14ac:dyDescent="0.2">
      <c r="A867">
        <v>857</v>
      </c>
      <c r="B867">
        <v>1479654.1385879915</v>
      </c>
      <c r="C867">
        <v>103224.39995343151</v>
      </c>
      <c r="D867">
        <v>95236.256089800692</v>
      </c>
      <c r="E867">
        <v>171141.09863287967</v>
      </c>
      <c r="F867">
        <v>47848.229905353204</v>
      </c>
      <c r="G867">
        <v>10000</v>
      </c>
      <c r="H867">
        <v>407449.98458146508</v>
      </c>
      <c r="I867">
        <v>35.356324676944013</v>
      </c>
    </row>
    <row r="868" spans="1:9" x14ac:dyDescent="0.2">
      <c r="A868">
        <v>858</v>
      </c>
      <c r="B868">
        <v>1033463.9901100247</v>
      </c>
      <c r="C868">
        <v>93647.751166244067</v>
      </c>
      <c r="D868">
        <v>54415.852460550363</v>
      </c>
      <c r="E868">
        <v>103908.4631529797</v>
      </c>
      <c r="F868">
        <v>43193.662833667826</v>
      </c>
      <c r="G868">
        <v>10000</v>
      </c>
      <c r="H868">
        <v>285165.72961344197</v>
      </c>
      <c r="I868">
        <v>34.363717620285819</v>
      </c>
    </row>
    <row r="869" spans="1:9" x14ac:dyDescent="0.2">
      <c r="A869">
        <v>859</v>
      </c>
      <c r="B869">
        <v>909868.08838176937</v>
      </c>
      <c r="C869">
        <v>123280.25022908939</v>
      </c>
      <c r="D869">
        <v>45129.278527519979</v>
      </c>
      <c r="E869">
        <v>53200.044934735721</v>
      </c>
      <c r="F869">
        <v>39683.080033943246</v>
      </c>
      <c r="G869">
        <v>10000</v>
      </c>
      <c r="H869">
        <v>251292.65372528834</v>
      </c>
      <c r="I869">
        <v>45.958932156916703</v>
      </c>
    </row>
    <row r="870" spans="1:9" x14ac:dyDescent="0.2">
      <c r="A870">
        <v>860</v>
      </c>
      <c r="B870">
        <v>1576248.2257216279</v>
      </c>
      <c r="C870">
        <v>122878.41518136951</v>
      </c>
      <c r="D870">
        <v>65375.910713153848</v>
      </c>
      <c r="E870">
        <v>205445.39111857401</v>
      </c>
      <c r="F870">
        <v>50223.142462055126</v>
      </c>
      <c r="G870">
        <v>10000</v>
      </c>
      <c r="H870">
        <v>433922.85947515251</v>
      </c>
      <c r="I870">
        <v>52.932144032070369</v>
      </c>
    </row>
    <row r="871" spans="1:9" x14ac:dyDescent="0.2">
      <c r="A871">
        <v>861</v>
      </c>
      <c r="B871">
        <v>1533322.5550488415</v>
      </c>
      <c r="C871">
        <v>130254.41619502449</v>
      </c>
      <c r="D871">
        <v>93396.601183014354</v>
      </c>
      <c r="E871">
        <v>161337.94940936723</v>
      </c>
      <c r="F871">
        <v>47169.550343725423</v>
      </c>
      <c r="G871">
        <v>10000</v>
      </c>
      <c r="H871">
        <v>422158.51713113149</v>
      </c>
      <c r="I871">
        <v>31.167218495433481</v>
      </c>
    </row>
    <row r="872" spans="1:9" x14ac:dyDescent="0.2">
      <c r="A872">
        <v>862</v>
      </c>
      <c r="B872">
        <v>1152415.006799499</v>
      </c>
      <c r="C872">
        <v>130539.2740693154</v>
      </c>
      <c r="D872">
        <v>113321.14998592297</v>
      </c>
      <c r="E872">
        <v>44803.602024295629</v>
      </c>
      <c r="F872">
        <v>39101.787832451235</v>
      </c>
      <c r="G872">
        <v>10000</v>
      </c>
      <c r="H872">
        <v>317765.8139119852</v>
      </c>
      <c r="I872">
        <v>34.782027990106627</v>
      </c>
    </row>
    <row r="873" spans="1:9" x14ac:dyDescent="0.2">
      <c r="A873">
        <v>863</v>
      </c>
      <c r="B873">
        <v>1764630.049352895</v>
      </c>
      <c r="C873">
        <v>108062.57999071165</v>
      </c>
      <c r="D873">
        <v>130412.88452703826</v>
      </c>
      <c r="E873">
        <v>206761.63439648217</v>
      </c>
      <c r="F873">
        <v>50314.266996679537</v>
      </c>
      <c r="G873">
        <v>10000</v>
      </c>
      <c r="H873">
        <v>485551.36591091164</v>
      </c>
      <c r="I873">
        <v>30.616507548835131</v>
      </c>
    </row>
    <row r="874" spans="1:9" x14ac:dyDescent="0.2">
      <c r="A874">
        <v>864</v>
      </c>
      <c r="B874">
        <v>1380036.4529961816</v>
      </c>
      <c r="C874">
        <v>109551.04301018621</v>
      </c>
      <c r="D874">
        <v>138594.27616869911</v>
      </c>
      <c r="E874">
        <v>99139.621487580735</v>
      </c>
      <c r="F874">
        <v>42863.51225683251</v>
      </c>
      <c r="G874">
        <v>10000</v>
      </c>
      <c r="H874">
        <v>380148.45292329852</v>
      </c>
      <c r="I874">
        <v>36.995867209817639</v>
      </c>
    </row>
    <row r="875" spans="1:9" x14ac:dyDescent="0.2">
      <c r="A875">
        <v>865</v>
      </c>
      <c r="B875">
        <v>1368520.9250589637</v>
      </c>
      <c r="C875">
        <v>86691.264846028498</v>
      </c>
      <c r="D875">
        <v>140557.7113356565</v>
      </c>
      <c r="E875">
        <v>115731.32669396813</v>
      </c>
      <c r="F875">
        <v>44012.168771120872</v>
      </c>
      <c r="G875">
        <v>10000</v>
      </c>
      <c r="H875">
        <v>376992.47164677404</v>
      </c>
      <c r="I875">
        <v>31.042506513861507</v>
      </c>
    </row>
    <row r="876" spans="1:9" x14ac:dyDescent="0.2">
      <c r="A876">
        <v>866</v>
      </c>
      <c r="B876">
        <v>1458666.314985398</v>
      </c>
      <c r="C876">
        <v>91664.962780351794</v>
      </c>
      <c r="D876">
        <v>131844.5004745344</v>
      </c>
      <c r="E876">
        <v>142334.5995289908</v>
      </c>
      <c r="F876">
        <v>45853.933813545511</v>
      </c>
      <c r="G876">
        <v>10000</v>
      </c>
      <c r="H876">
        <v>401697.99659742252</v>
      </c>
      <c r="I876">
        <v>26.267579613211176</v>
      </c>
    </row>
    <row r="877" spans="1:9" x14ac:dyDescent="0.2">
      <c r="A877">
        <v>867</v>
      </c>
      <c r="B877">
        <v>1238352.4642762702</v>
      </c>
      <c r="C877">
        <v>128033.65214880128</v>
      </c>
      <c r="D877">
        <v>156586.25643120057</v>
      </c>
      <c r="E877">
        <v>28710.538601434397</v>
      </c>
      <c r="F877">
        <v>37987.652672406999</v>
      </c>
      <c r="G877">
        <v>10000</v>
      </c>
      <c r="H877">
        <v>341318.09985384322</v>
      </c>
      <c r="I877">
        <v>32.915083722266104</v>
      </c>
    </row>
    <row r="878" spans="1:9" x14ac:dyDescent="0.2">
      <c r="A878">
        <v>868</v>
      </c>
      <c r="B878">
        <v>1124586.1403487544</v>
      </c>
      <c r="C878">
        <v>136879.34101149879</v>
      </c>
      <c r="D878">
        <v>38668.738369747924</v>
      </c>
      <c r="E878">
        <v>101559.80567172174</v>
      </c>
      <c r="F878">
        <v>43031.063469580738</v>
      </c>
      <c r="G878">
        <v>10000</v>
      </c>
      <c r="H878">
        <v>310138.94852254918</v>
      </c>
      <c r="I878">
        <v>40.887476799807033</v>
      </c>
    </row>
    <row r="879" spans="1:9" x14ac:dyDescent="0.2">
      <c r="A879">
        <v>869</v>
      </c>
      <c r="B879">
        <v>916971.16529141972</v>
      </c>
      <c r="C879">
        <v>126240.83292481842</v>
      </c>
      <c r="D879">
        <v>41086.589182579672</v>
      </c>
      <c r="E879">
        <v>56032.733638409816</v>
      </c>
      <c r="F879">
        <v>39879.189251889911</v>
      </c>
      <c r="G879">
        <v>10000</v>
      </c>
      <c r="H879">
        <v>253239.34499769786</v>
      </c>
      <c r="I879">
        <v>36.871809994181191</v>
      </c>
    </row>
    <row r="880" spans="1:9" x14ac:dyDescent="0.2">
      <c r="A880">
        <v>870</v>
      </c>
      <c r="B880">
        <v>988778.72326967772</v>
      </c>
      <c r="C880">
        <v>120240.04194560858</v>
      </c>
      <c r="D880">
        <v>94564.171486578736</v>
      </c>
      <c r="E880">
        <v>30035.549277302984</v>
      </c>
      <c r="F880">
        <v>38079.384180736357</v>
      </c>
      <c r="G880">
        <v>10000</v>
      </c>
      <c r="H880">
        <v>272919.14689022669</v>
      </c>
      <c r="I880">
        <v>41.463752824615867</v>
      </c>
    </row>
    <row r="881" spans="1:9" x14ac:dyDescent="0.2">
      <c r="A881">
        <v>871</v>
      </c>
      <c r="B881">
        <v>1278168.6239437661</v>
      </c>
      <c r="C881">
        <v>163854.50426319326</v>
      </c>
      <c r="D881">
        <v>87064.666208451716</v>
      </c>
      <c r="E881">
        <v>70434.813204065809</v>
      </c>
      <c r="F881">
        <v>40876.256298743014</v>
      </c>
      <c r="G881">
        <v>10000</v>
      </c>
      <c r="H881">
        <v>352230.23997445375</v>
      </c>
      <c r="I881">
        <v>49.686095416151716</v>
      </c>
    </row>
    <row r="882" spans="1:9" x14ac:dyDescent="0.2">
      <c r="A882">
        <v>872</v>
      </c>
      <c r="B882">
        <v>1182202.9663828802</v>
      </c>
      <c r="C882">
        <v>157315.71508666966</v>
      </c>
      <c r="D882">
        <v>38459.90739500535</v>
      </c>
      <c r="E882">
        <v>97410.189598659432</v>
      </c>
      <c r="F882">
        <v>42743.782356830263</v>
      </c>
      <c r="G882">
        <v>10000</v>
      </c>
      <c r="H882">
        <v>325929.59443716466</v>
      </c>
      <c r="I882">
        <v>37.540124464298628</v>
      </c>
    </row>
    <row r="883" spans="1:9" x14ac:dyDescent="0.2">
      <c r="A883">
        <v>873</v>
      </c>
      <c r="B883">
        <v>1241313.7567179557</v>
      </c>
      <c r="C883">
        <v>84692.608553623504</v>
      </c>
      <c r="D883">
        <v>81949.478496444441</v>
      </c>
      <c r="E883">
        <v>139808.54095305901</v>
      </c>
      <c r="F883">
        <v>45679.052835211776</v>
      </c>
      <c r="G883">
        <v>10000</v>
      </c>
      <c r="H883">
        <v>342129.68083833874</v>
      </c>
      <c r="I883">
        <v>31.258296043393845</v>
      </c>
    </row>
    <row r="884" spans="1:9" x14ac:dyDescent="0.2">
      <c r="A884">
        <v>874</v>
      </c>
      <c r="B884">
        <v>1433470.376147313</v>
      </c>
      <c r="C884">
        <v>152733.84523519073</v>
      </c>
      <c r="D884">
        <v>82226.414835622272</v>
      </c>
      <c r="E884">
        <v>125167.04839611764</v>
      </c>
      <c r="F884">
        <v>44665.411042808148</v>
      </c>
      <c r="G884">
        <v>10000</v>
      </c>
      <c r="H884">
        <v>394792.71950973879</v>
      </c>
      <c r="I884">
        <v>39.236751748332338</v>
      </c>
    </row>
    <row r="885" spans="1:9" x14ac:dyDescent="0.2">
      <c r="A885">
        <v>875</v>
      </c>
      <c r="B885">
        <v>1251564.9814148028</v>
      </c>
      <c r="C885">
        <v>78091.009622908081</v>
      </c>
      <c r="D885">
        <v>61027.157780641173</v>
      </c>
      <c r="E885">
        <v>168177.90978478224</v>
      </c>
      <c r="F885">
        <v>47643.086062023387</v>
      </c>
      <c r="G885">
        <v>10000</v>
      </c>
      <c r="H885">
        <v>344939.16325035493</v>
      </c>
      <c r="I885">
        <v>46.025171428870266</v>
      </c>
    </row>
    <row r="886" spans="1:9" x14ac:dyDescent="0.2">
      <c r="A886">
        <v>876</v>
      </c>
      <c r="B886">
        <v>1113485.3081979766</v>
      </c>
      <c r="C886">
        <v>96482.704753427504</v>
      </c>
      <c r="D886">
        <v>87775.621471876235</v>
      </c>
      <c r="E886">
        <v>90568.188477110831</v>
      </c>
      <c r="F886">
        <v>42270.105356107677</v>
      </c>
      <c r="G886">
        <v>10000</v>
      </c>
      <c r="H886">
        <v>307096.62005852227</v>
      </c>
      <c r="I886">
        <v>37.407714879456563</v>
      </c>
    </row>
    <row r="887" spans="1:9" x14ac:dyDescent="0.2">
      <c r="A887">
        <v>877</v>
      </c>
      <c r="B887">
        <v>1359561.6878856334</v>
      </c>
      <c r="C887">
        <v>95049.784554631042</v>
      </c>
      <c r="D887">
        <v>57956.824200457406</v>
      </c>
      <c r="E887">
        <v>182870.22054676557</v>
      </c>
      <c r="F887">
        <v>48660.246037853001</v>
      </c>
      <c r="G887">
        <v>10000</v>
      </c>
      <c r="H887">
        <v>374537.07533970702</v>
      </c>
      <c r="I887">
        <v>39.236326266921282</v>
      </c>
    </row>
    <row r="888" spans="1:9" x14ac:dyDescent="0.2">
      <c r="A888">
        <v>878</v>
      </c>
      <c r="B888">
        <v>1630254.1904938477</v>
      </c>
      <c r="C888">
        <v>118108.71038489851</v>
      </c>
      <c r="D888">
        <v>102291.40075810729</v>
      </c>
      <c r="E888">
        <v>189223.6888803214</v>
      </c>
      <c r="F888">
        <v>49100.101537868402</v>
      </c>
      <c r="G888">
        <v>10000</v>
      </c>
      <c r="H888">
        <v>448723.90156119561</v>
      </c>
      <c r="I888">
        <v>49.284039209678546</v>
      </c>
    </row>
    <row r="889" spans="1:9" x14ac:dyDescent="0.2">
      <c r="A889">
        <v>879</v>
      </c>
      <c r="B889">
        <v>1309726.5927885422</v>
      </c>
      <c r="C889">
        <v>111872.45379446112</v>
      </c>
      <c r="D889">
        <v>128630.93330046427</v>
      </c>
      <c r="E889">
        <v>88265.069005232348</v>
      </c>
      <c r="F889">
        <v>42110.658623439158</v>
      </c>
      <c r="G889">
        <v>10000</v>
      </c>
      <c r="H889">
        <v>360879.1147235969</v>
      </c>
      <c r="I889">
        <v>37.598379217827294</v>
      </c>
    </row>
    <row r="890" spans="1:9" x14ac:dyDescent="0.2">
      <c r="A890">
        <v>880</v>
      </c>
      <c r="B890">
        <v>1193359.2834557414</v>
      </c>
      <c r="C890">
        <v>95838.268245151005</v>
      </c>
      <c r="D890">
        <v>102273.79808708343</v>
      </c>
      <c r="E890">
        <v>98084.591237602843</v>
      </c>
      <c r="F890">
        <v>42790.471701064816</v>
      </c>
      <c r="G890">
        <v>10000</v>
      </c>
      <c r="H890">
        <v>328987.12927090214</v>
      </c>
      <c r="I890">
        <v>37.609474184692928</v>
      </c>
    </row>
    <row r="891" spans="1:9" x14ac:dyDescent="0.2">
      <c r="A891">
        <v>881</v>
      </c>
      <c r="B891">
        <v>1348602.269659542</v>
      </c>
      <c r="C891">
        <v>127847.98864674932</v>
      </c>
      <c r="D891">
        <v>68316.6856836605</v>
      </c>
      <c r="E891">
        <v>139697.46586250333</v>
      </c>
      <c r="F891">
        <v>45671.363021250225</v>
      </c>
      <c r="G891">
        <v>10000</v>
      </c>
      <c r="H891">
        <v>371533.50321416336</v>
      </c>
      <c r="I891">
        <v>34.487074104316335</v>
      </c>
    </row>
    <row r="892" spans="1:9" x14ac:dyDescent="0.2">
      <c r="A892">
        <v>882</v>
      </c>
      <c r="B892">
        <v>907194.3313399225</v>
      </c>
      <c r="C892">
        <v>87618.797032560382</v>
      </c>
      <c r="D892">
        <v>78674.351434044976</v>
      </c>
      <c r="E892">
        <v>54494.061332469515</v>
      </c>
      <c r="F892">
        <v>39772.665784555575</v>
      </c>
      <c r="G892">
        <v>10000</v>
      </c>
      <c r="H892">
        <v>250559.87558363043</v>
      </c>
      <c r="I892">
        <v>40.110710407953391</v>
      </c>
    </row>
    <row r="893" spans="1:9" x14ac:dyDescent="0.2">
      <c r="A893">
        <v>883</v>
      </c>
      <c r="B893">
        <v>1373366.03695471</v>
      </c>
      <c r="C893">
        <v>91640.122052947889</v>
      </c>
      <c r="D893">
        <v>81210.322592083976</v>
      </c>
      <c r="E893">
        <v>167849.54057527744</v>
      </c>
      <c r="F893">
        <v>47620.352809057666</v>
      </c>
      <c r="G893">
        <v>10000</v>
      </c>
      <c r="H893">
        <v>378320.33802936703</v>
      </c>
      <c r="I893">
        <v>37.005403821756076</v>
      </c>
    </row>
    <row r="894" spans="1:9" x14ac:dyDescent="0.2">
      <c r="A894">
        <v>884</v>
      </c>
      <c r="B894">
        <v>1169549.6538203913</v>
      </c>
      <c r="C894">
        <v>98179.106073060466</v>
      </c>
      <c r="D894">
        <v>81527.771053067278</v>
      </c>
      <c r="E894">
        <v>109195.24074094278</v>
      </c>
      <c r="F894">
        <v>43559.670512834498</v>
      </c>
      <c r="G894">
        <v>10000</v>
      </c>
      <c r="H894">
        <v>322461.78837990505</v>
      </c>
      <c r="I894">
        <v>47.675394230154573</v>
      </c>
    </row>
    <row r="895" spans="1:9" x14ac:dyDescent="0.2">
      <c r="A895">
        <v>885</v>
      </c>
      <c r="B895">
        <v>1404862.3785069329</v>
      </c>
      <c r="C895">
        <v>100050.367353033</v>
      </c>
      <c r="D895">
        <v>116416.96585777069</v>
      </c>
      <c r="E895">
        <v>135129.84657638884</v>
      </c>
      <c r="F895">
        <v>45355.143224519226</v>
      </c>
      <c r="G895">
        <v>10000</v>
      </c>
      <c r="H895">
        <v>386952.32301171171</v>
      </c>
      <c r="I895">
        <v>25.417011646783578</v>
      </c>
    </row>
    <row r="896" spans="1:9" x14ac:dyDescent="0.2">
      <c r="A896">
        <v>886</v>
      </c>
      <c r="B896">
        <v>941356.39828203607</v>
      </c>
      <c r="C896">
        <v>90134.024876366806</v>
      </c>
      <c r="D896">
        <v>60173.270818117984</v>
      </c>
      <c r="E896">
        <v>78201.211786932981</v>
      </c>
      <c r="F896">
        <v>41413.930046787667</v>
      </c>
      <c r="G896">
        <v>10000</v>
      </c>
      <c r="H896">
        <v>259922.43752820545</v>
      </c>
      <c r="I896">
        <v>39.106948323008211</v>
      </c>
    </row>
    <row r="897" spans="1:9" x14ac:dyDescent="0.2">
      <c r="A897">
        <v>887</v>
      </c>
      <c r="B897">
        <v>1217821.971628861</v>
      </c>
      <c r="C897">
        <v>99342.613282628707</v>
      </c>
      <c r="D897">
        <v>123250.02707284692</v>
      </c>
      <c r="E897">
        <v>81459.317819640244</v>
      </c>
      <c r="F897">
        <v>41639.491233667402</v>
      </c>
      <c r="G897">
        <v>10000</v>
      </c>
      <c r="H897">
        <v>335691.44940878329</v>
      </c>
      <c r="I897">
        <v>35.569695166282173</v>
      </c>
    </row>
    <row r="898" spans="1:9" x14ac:dyDescent="0.2">
      <c r="A898">
        <v>888</v>
      </c>
      <c r="B898">
        <v>1506668.9226106447</v>
      </c>
      <c r="C898">
        <v>110511.15141455941</v>
      </c>
      <c r="D898">
        <v>82172.141431581083</v>
      </c>
      <c r="E898">
        <v>183468.76354162893</v>
      </c>
      <c r="F898">
        <v>48701.683629805077</v>
      </c>
      <c r="G898">
        <v>10000</v>
      </c>
      <c r="H898">
        <v>414853.74001757451</v>
      </c>
      <c r="I898">
        <v>47.723895155299239</v>
      </c>
    </row>
    <row r="899" spans="1:9" x14ac:dyDescent="0.2">
      <c r="A899">
        <v>889</v>
      </c>
      <c r="B899">
        <v>1157010.1962661752</v>
      </c>
      <c r="C899">
        <v>139890.56227578194</v>
      </c>
      <c r="D899">
        <v>59519.781435087847</v>
      </c>
      <c r="E899">
        <v>87553.449416314674</v>
      </c>
      <c r="F899">
        <v>42061.392651898706</v>
      </c>
      <c r="G899">
        <v>10000</v>
      </c>
      <c r="H899">
        <v>319025.18577908317</v>
      </c>
      <c r="I899">
        <v>39.03902180528921</v>
      </c>
    </row>
    <row r="900" spans="1:9" x14ac:dyDescent="0.2">
      <c r="A900">
        <v>890</v>
      </c>
      <c r="B900">
        <v>1373701.3958500633</v>
      </c>
      <c r="C900">
        <v>107085.36579165192</v>
      </c>
      <c r="D900">
        <v>146088.43022690521</v>
      </c>
      <c r="E900">
        <v>92812.940260260206</v>
      </c>
      <c r="F900">
        <v>42425.511248787247</v>
      </c>
      <c r="G900">
        <v>10000</v>
      </c>
      <c r="H900">
        <v>378412.24752760457</v>
      </c>
      <c r="I900">
        <v>45.536079247958071</v>
      </c>
    </row>
    <row r="901" spans="1:9" x14ac:dyDescent="0.2">
      <c r="A901">
        <v>891</v>
      </c>
      <c r="B901">
        <v>1482470.136406749</v>
      </c>
      <c r="C901">
        <v>112655.27613229203</v>
      </c>
      <c r="D901">
        <v>57784.362035527869</v>
      </c>
      <c r="E901">
        <v>198069.59694569116</v>
      </c>
      <c r="F901">
        <v>49712.510557778623</v>
      </c>
      <c r="G901">
        <v>10000</v>
      </c>
      <c r="H901">
        <v>408221.74567128968</v>
      </c>
      <c r="I901">
        <v>47.960840085770265</v>
      </c>
    </row>
    <row r="902" spans="1:9" x14ac:dyDescent="0.2">
      <c r="A902">
        <v>892</v>
      </c>
      <c r="B902">
        <v>1461231.0114304109</v>
      </c>
      <c r="C902">
        <v>107719.7935545076</v>
      </c>
      <c r="D902">
        <v>60656.00365356628</v>
      </c>
      <c r="E902">
        <v>194555.83774070145</v>
      </c>
      <c r="F902">
        <v>49469.25030512549</v>
      </c>
      <c r="G902">
        <v>10000</v>
      </c>
      <c r="H902">
        <v>402400.88525390084</v>
      </c>
      <c r="I902">
        <v>36.95559389114517</v>
      </c>
    </row>
    <row r="903" spans="1:9" x14ac:dyDescent="0.2">
      <c r="A903">
        <v>893</v>
      </c>
      <c r="B903">
        <v>1493231.096917151</v>
      </c>
      <c r="C903">
        <v>110873.24647710258</v>
      </c>
      <c r="D903">
        <v>108084.12536911706</v>
      </c>
      <c r="E903">
        <v>155451.52720731212</v>
      </c>
      <c r="F903">
        <v>46762.028806660062</v>
      </c>
      <c r="G903">
        <v>10000</v>
      </c>
      <c r="H903">
        <v>411170.92786019179</v>
      </c>
      <c r="I903">
        <v>31.252901610188498</v>
      </c>
    </row>
    <row r="904" spans="1:9" x14ac:dyDescent="0.2">
      <c r="A904">
        <v>894</v>
      </c>
      <c r="B904">
        <v>1040519.3059469261</v>
      </c>
      <c r="C904">
        <v>123189.2470143463</v>
      </c>
      <c r="D904">
        <v>74340.957472755821</v>
      </c>
      <c r="E904">
        <v>59453.140220477573</v>
      </c>
      <c r="F904">
        <v>40115.986630648447</v>
      </c>
      <c r="G904">
        <v>10000</v>
      </c>
      <c r="H904">
        <v>287099.33133822813</v>
      </c>
      <c r="I904">
        <v>28.596765230381127</v>
      </c>
    </row>
    <row r="905" spans="1:9" x14ac:dyDescent="0.2">
      <c r="A905">
        <v>895</v>
      </c>
      <c r="B905">
        <v>1659073.2754795894</v>
      </c>
      <c r="C905">
        <v>122211.89402682662</v>
      </c>
      <c r="D905">
        <v>139008.7034271372</v>
      </c>
      <c r="E905">
        <v>158433.10605363784</v>
      </c>
      <c r="F905">
        <v>46968.445803713395</v>
      </c>
      <c r="G905">
        <v>10000</v>
      </c>
      <c r="H905">
        <v>456622.14931131504</v>
      </c>
      <c r="I905">
        <v>36.888111013523371</v>
      </c>
    </row>
    <row r="906" spans="1:9" x14ac:dyDescent="0.2">
      <c r="A906">
        <v>896</v>
      </c>
      <c r="B906">
        <v>1293495.6358209956</v>
      </c>
      <c r="C906">
        <v>126577.07456891633</v>
      </c>
      <c r="D906">
        <v>34679.939879771198</v>
      </c>
      <c r="E906">
        <v>158220.09501795567</v>
      </c>
      <c r="F906">
        <v>46953.698885858474</v>
      </c>
      <c r="G906">
        <v>10000</v>
      </c>
      <c r="H906">
        <v>356430.80835250166</v>
      </c>
      <c r="I906">
        <v>35.390560629138136</v>
      </c>
    </row>
    <row r="907" spans="1:9" x14ac:dyDescent="0.2">
      <c r="A907">
        <v>897</v>
      </c>
      <c r="B907">
        <v>1790659.4764263118</v>
      </c>
      <c r="C907">
        <v>129526.98199313908</v>
      </c>
      <c r="D907">
        <v>126605.21840646025</v>
      </c>
      <c r="E907">
        <v>196919.95126503534</v>
      </c>
      <c r="F907">
        <v>49632.919702963991</v>
      </c>
      <c r="G907">
        <v>10000</v>
      </c>
      <c r="H907">
        <v>492685.07136759872</v>
      </c>
      <c r="I907">
        <v>43.640975881792258</v>
      </c>
    </row>
    <row r="908" spans="1:9" x14ac:dyDescent="0.2">
      <c r="A908">
        <v>898</v>
      </c>
      <c r="B908">
        <v>1301917.8668911073</v>
      </c>
      <c r="C908">
        <v>134232.45114806117</v>
      </c>
      <c r="D908">
        <v>68001.29164126447</v>
      </c>
      <c r="E908">
        <v>122055.30561671154</v>
      </c>
      <c r="F908">
        <v>44449.98269654157</v>
      </c>
      <c r="G908">
        <v>10000</v>
      </c>
      <c r="H908">
        <v>358739.0311025788</v>
      </c>
      <c r="I908">
        <v>35.039114661113643</v>
      </c>
    </row>
    <row r="909" spans="1:9" x14ac:dyDescent="0.2">
      <c r="A909">
        <v>899</v>
      </c>
      <c r="B909">
        <v>1260386.0877029707</v>
      </c>
      <c r="C909">
        <v>140053.08052216092</v>
      </c>
      <c r="D909">
        <v>76524.255308733555</v>
      </c>
      <c r="E909">
        <v>97995.091577295389</v>
      </c>
      <c r="F909">
        <v>42784.27557073583</v>
      </c>
      <c r="G909">
        <v>10000</v>
      </c>
      <c r="H909">
        <v>347356.70297892566</v>
      </c>
      <c r="I909">
        <v>30.097245419247692</v>
      </c>
    </row>
    <row r="910" spans="1:9" x14ac:dyDescent="0.2">
      <c r="A910">
        <v>900</v>
      </c>
      <c r="B910">
        <v>1163371.2238528193</v>
      </c>
      <c r="C910">
        <v>94116.614620380205</v>
      </c>
      <c r="D910">
        <v>86512.84769897681</v>
      </c>
      <c r="E910">
        <v>106748.74842682942</v>
      </c>
      <c r="F910">
        <v>43390.297968011269</v>
      </c>
      <c r="G910">
        <v>10000</v>
      </c>
      <c r="H910">
        <v>320768.50871419773</v>
      </c>
      <c r="I910">
        <v>39.425773241317067</v>
      </c>
    </row>
    <row r="911" spans="1:9" x14ac:dyDescent="0.2">
      <c r="A911">
        <v>901</v>
      </c>
      <c r="B911">
        <v>1394803.0619420328</v>
      </c>
      <c r="C911">
        <v>99232.840367626166</v>
      </c>
      <c r="D911">
        <v>160484.04009689647</v>
      </c>
      <c r="E911">
        <v>92102.245751347524</v>
      </c>
      <c r="F911">
        <v>42376.309321247143</v>
      </c>
      <c r="G911">
        <v>10000</v>
      </c>
      <c r="H911">
        <v>384195.4355371173</v>
      </c>
      <c r="I911">
        <v>33.416195155712614</v>
      </c>
    </row>
    <row r="912" spans="1:9" x14ac:dyDescent="0.2">
      <c r="A912">
        <v>902</v>
      </c>
      <c r="B912">
        <v>1251321.1049859556</v>
      </c>
      <c r="C912">
        <v>138520.75327681081</v>
      </c>
      <c r="D912">
        <v>79473.463675305306</v>
      </c>
      <c r="E912">
        <v>94346.432661002953</v>
      </c>
      <c r="F912">
        <v>42531.676107300205</v>
      </c>
      <c r="G912">
        <v>10000</v>
      </c>
      <c r="H912">
        <v>344872.32572041929</v>
      </c>
      <c r="I912">
        <v>33.998786697724142</v>
      </c>
    </row>
    <row r="913" spans="1:9" x14ac:dyDescent="0.2">
      <c r="A913">
        <v>903</v>
      </c>
      <c r="B913">
        <v>1270212.6226625482</v>
      </c>
      <c r="C913">
        <v>118855.32593054039</v>
      </c>
      <c r="D913">
        <v>56769.382256834346</v>
      </c>
      <c r="E913">
        <v>138814.82808871244</v>
      </c>
      <c r="F913">
        <v>45610.257329218555</v>
      </c>
      <c r="G913">
        <v>10000</v>
      </c>
      <c r="H913">
        <v>350049.79360530572</v>
      </c>
      <c r="I913">
        <v>28.010916708609109</v>
      </c>
    </row>
    <row r="914" spans="1:9" x14ac:dyDescent="0.2">
      <c r="A914">
        <v>904</v>
      </c>
      <c r="B914">
        <v>1035909.9426423273</v>
      </c>
      <c r="C914">
        <v>101048.59814552491</v>
      </c>
      <c r="D914">
        <v>110816.76270238093</v>
      </c>
      <c r="E914">
        <v>44864.696637738554</v>
      </c>
      <c r="F914">
        <v>39106.017459535753</v>
      </c>
      <c r="G914">
        <v>10000</v>
      </c>
      <c r="H914">
        <v>285836.07494518015</v>
      </c>
      <c r="I914">
        <v>46.968568315380786</v>
      </c>
    </row>
    <row r="915" spans="1:9" x14ac:dyDescent="0.2">
      <c r="A915">
        <v>905</v>
      </c>
      <c r="B915">
        <v>1207246.350036971</v>
      </c>
      <c r="C915">
        <v>86761.707141759558</v>
      </c>
      <c r="D915">
        <v>85123.61607206265</v>
      </c>
      <c r="E915">
        <v>126172.70513225383</v>
      </c>
      <c r="F915">
        <v>44735.033432232958</v>
      </c>
      <c r="G915">
        <v>10000</v>
      </c>
      <c r="H915">
        <v>332793.061778309</v>
      </c>
      <c r="I915">
        <v>30.844978586711832</v>
      </c>
    </row>
    <row r="916" spans="1:9" x14ac:dyDescent="0.2">
      <c r="A916">
        <v>906</v>
      </c>
      <c r="B916">
        <v>1039581.0389355478</v>
      </c>
      <c r="C916">
        <v>96055.096914669572</v>
      </c>
      <c r="D916">
        <v>101798.88292154575</v>
      </c>
      <c r="E916">
        <v>58909.834012933243</v>
      </c>
      <c r="F916">
        <v>40078.373123972306</v>
      </c>
      <c r="G916">
        <v>10000</v>
      </c>
      <c r="H916">
        <v>286842.1869731209</v>
      </c>
      <c r="I916">
        <v>35.927501922980291</v>
      </c>
    </row>
    <row r="917" spans="1:9" x14ac:dyDescent="0.2">
      <c r="A917">
        <v>907</v>
      </c>
      <c r="B917">
        <v>1301374.6997664641</v>
      </c>
      <c r="C917">
        <v>163235.57071596631</v>
      </c>
      <c r="D917">
        <v>65902.505959386428</v>
      </c>
      <c r="E917">
        <v>96753.755446109702</v>
      </c>
      <c r="F917">
        <v>42698.336915499902</v>
      </c>
      <c r="G917">
        <v>10000</v>
      </c>
      <c r="H917">
        <v>358590.16903696232</v>
      </c>
      <c r="I917">
        <v>32.788377367628968</v>
      </c>
    </row>
    <row r="918" spans="1:9" x14ac:dyDescent="0.2">
      <c r="A918">
        <v>908</v>
      </c>
      <c r="B918">
        <v>871965.74291088176</v>
      </c>
      <c r="C918">
        <v>88608.829701366209</v>
      </c>
      <c r="D918">
        <v>83914.135815366171</v>
      </c>
      <c r="E918">
        <v>39637.892172368694</v>
      </c>
      <c r="F918">
        <v>38744.161765779369</v>
      </c>
      <c r="G918">
        <v>10000</v>
      </c>
      <c r="H918">
        <v>240905.01945488044</v>
      </c>
      <c r="I918">
        <v>48.577908988249817</v>
      </c>
    </row>
    <row r="919" spans="1:9" x14ac:dyDescent="0.2">
      <c r="A919">
        <v>909</v>
      </c>
      <c r="B919">
        <v>1750828.3151598435</v>
      </c>
      <c r="C919">
        <v>98230.026233004246</v>
      </c>
      <c r="D919">
        <v>147028.40800626381</v>
      </c>
      <c r="E919">
        <v>196880.21676972273</v>
      </c>
      <c r="F919">
        <v>49630.168853288495</v>
      </c>
      <c r="G919">
        <v>10000</v>
      </c>
      <c r="H919">
        <v>481768.81986227934</v>
      </c>
      <c r="I919">
        <v>40.645525214052896</v>
      </c>
    </row>
    <row r="920" spans="1:9" x14ac:dyDescent="0.2">
      <c r="A920">
        <v>910</v>
      </c>
      <c r="B920">
        <v>1277872.5633405317</v>
      </c>
      <c r="C920">
        <v>115585.85437729048</v>
      </c>
      <c r="D920">
        <v>131278.92145308675</v>
      </c>
      <c r="E920">
        <v>74150.807420752695</v>
      </c>
      <c r="F920">
        <v>41133.517436821341</v>
      </c>
      <c r="G920">
        <v>10000</v>
      </c>
      <c r="H920">
        <v>352149.10068795132</v>
      </c>
      <c r="I920">
        <v>37.940126805888077</v>
      </c>
    </row>
    <row r="921" spans="1:9" x14ac:dyDescent="0.2">
      <c r="A921">
        <v>911</v>
      </c>
      <c r="B921">
        <v>1295775.2096117924</v>
      </c>
      <c r="C921">
        <v>138156.67738935337</v>
      </c>
      <c r="D921">
        <v>46993.661902042717</v>
      </c>
      <c r="E921">
        <v>136458.11579501879</v>
      </c>
      <c r="F921">
        <v>45447.100324270534</v>
      </c>
      <c r="G921">
        <v>10000</v>
      </c>
      <c r="H921">
        <v>357055.55541068543</v>
      </c>
      <c r="I921">
        <v>48.463814794023627</v>
      </c>
    </row>
    <row r="922" spans="1:9" x14ac:dyDescent="0.2">
      <c r="A922">
        <v>912</v>
      </c>
      <c r="B922">
        <v>1429898.4985085977</v>
      </c>
      <c r="C922">
        <v>116735.01203391387</v>
      </c>
      <c r="D922">
        <v>64641.667896164945</v>
      </c>
      <c r="E922">
        <v>174365.65154013337</v>
      </c>
      <c r="F922">
        <v>48071.468183547695</v>
      </c>
      <c r="G922">
        <v>10000</v>
      </c>
      <c r="H922">
        <v>393813.79965375992</v>
      </c>
      <c r="I922">
        <v>31.079778439551266</v>
      </c>
    </row>
    <row r="923" spans="1:9" x14ac:dyDescent="0.2">
      <c r="A923">
        <v>913</v>
      </c>
      <c r="B923">
        <v>1253450.6624601656</v>
      </c>
      <c r="C923">
        <v>109494.27692525336</v>
      </c>
      <c r="D923">
        <v>92741.999164366935</v>
      </c>
      <c r="E923">
        <v>109629.91912086906</v>
      </c>
      <c r="F923">
        <v>43589.763631444781</v>
      </c>
      <c r="G923">
        <v>10000</v>
      </c>
      <c r="H923">
        <v>345455.95884193416</v>
      </c>
      <c r="I923">
        <v>41.300225848472522</v>
      </c>
    </row>
    <row r="924" spans="1:9" x14ac:dyDescent="0.2">
      <c r="A924">
        <v>914</v>
      </c>
      <c r="B924">
        <v>1650426.8747302226</v>
      </c>
      <c r="C924">
        <v>136306.75698610747</v>
      </c>
      <c r="D924">
        <v>102180.84807927154</v>
      </c>
      <c r="E924">
        <v>177477.94986793649</v>
      </c>
      <c r="F924">
        <v>48286.934990857146</v>
      </c>
      <c r="G924">
        <v>10000</v>
      </c>
      <c r="H924">
        <v>454252.48992417264</v>
      </c>
      <c r="I924">
        <v>37.484852007318722</v>
      </c>
    </row>
    <row r="925" spans="1:9" x14ac:dyDescent="0.2">
      <c r="A925">
        <v>915</v>
      </c>
      <c r="B925">
        <v>1253342.7519745978</v>
      </c>
      <c r="C925">
        <v>88630.374206306762</v>
      </c>
      <c r="D925">
        <v>81514.243400846884</v>
      </c>
      <c r="E925">
        <v>139616.04103486106</v>
      </c>
      <c r="F925">
        <v>45665.725917798074</v>
      </c>
      <c r="G925">
        <v>10000</v>
      </c>
      <c r="H925">
        <v>345426.38455981278</v>
      </c>
      <c r="I925">
        <v>36.47037300234129</v>
      </c>
    </row>
    <row r="926" spans="1:9" x14ac:dyDescent="0.2">
      <c r="A926">
        <v>916</v>
      </c>
      <c r="B926">
        <v>1456804.9490209166</v>
      </c>
      <c r="C926">
        <v>137135.74442605622</v>
      </c>
      <c r="D926">
        <v>54382.733501100207</v>
      </c>
      <c r="E926">
        <v>171777.12448104078</v>
      </c>
      <c r="F926">
        <v>47892.262464072053</v>
      </c>
      <c r="G926">
        <v>10000</v>
      </c>
      <c r="H926">
        <v>401187.86487226927</v>
      </c>
      <c r="I926">
        <v>39.272636546385584</v>
      </c>
    </row>
    <row r="927" spans="1:9" x14ac:dyDescent="0.2">
      <c r="A927">
        <v>917</v>
      </c>
      <c r="B927">
        <v>1425146.0155458462</v>
      </c>
      <c r="C927">
        <v>116081.03415557941</v>
      </c>
      <c r="D927">
        <v>146325.5407278394</v>
      </c>
      <c r="E927">
        <v>97364.149588685017</v>
      </c>
      <c r="F927">
        <v>42740.594971524348</v>
      </c>
      <c r="G927">
        <v>10000</v>
      </c>
      <c r="H927">
        <v>392511.31944362819</v>
      </c>
      <c r="I927">
        <v>42.52626189095588</v>
      </c>
    </row>
    <row r="928" spans="1:9" x14ac:dyDescent="0.2">
      <c r="A928">
        <v>918</v>
      </c>
      <c r="B928">
        <v>971585.29656754783</v>
      </c>
      <c r="C928">
        <v>89737.713481122468</v>
      </c>
      <c r="D928">
        <v>34966.978078629174</v>
      </c>
      <c r="E928">
        <v>109894.3043001593</v>
      </c>
      <c r="F928">
        <v>43608.067220780264</v>
      </c>
      <c r="G928">
        <v>10000</v>
      </c>
      <c r="H928">
        <v>268207.06308069121</v>
      </c>
      <c r="I928">
        <v>31.434132432807971</v>
      </c>
    </row>
    <row r="929" spans="1:9" x14ac:dyDescent="0.2">
      <c r="A929">
        <v>919</v>
      </c>
      <c r="B929">
        <v>1384255.9499284341</v>
      </c>
      <c r="C929">
        <v>152013.14179523088</v>
      </c>
      <c r="D929">
        <v>52869.474607052834</v>
      </c>
      <c r="E929">
        <v>140682.67511228003</v>
      </c>
      <c r="F929">
        <v>45739.569815465547</v>
      </c>
      <c r="G929">
        <v>10000</v>
      </c>
      <c r="H929">
        <v>381304.86133002926</v>
      </c>
      <c r="I929">
        <v>35.56341774364985</v>
      </c>
    </row>
    <row r="930" spans="1:9" x14ac:dyDescent="0.2">
      <c r="A930">
        <v>920</v>
      </c>
      <c r="B930">
        <v>760892.0305228756</v>
      </c>
      <c r="C930">
        <v>112101.80159083659</v>
      </c>
      <c r="D930">
        <v>34007.131312383768</v>
      </c>
      <c r="E930">
        <v>35871.471143392781</v>
      </c>
      <c r="F930">
        <v>38483.409540696419</v>
      </c>
      <c r="G930">
        <v>10000</v>
      </c>
      <c r="H930">
        <v>210463.81358730956</v>
      </c>
      <c r="I930">
        <v>44.879799317786365</v>
      </c>
    </row>
    <row r="931" spans="1:9" x14ac:dyDescent="0.2">
      <c r="A931">
        <v>921</v>
      </c>
      <c r="B931">
        <v>1150213.2754814092</v>
      </c>
      <c r="C931">
        <v>116649.25929989183</v>
      </c>
      <c r="D931">
        <v>82800.75038107505</v>
      </c>
      <c r="E931">
        <v>85774.178560294997</v>
      </c>
      <c r="F931">
        <v>41938.212361866579</v>
      </c>
      <c r="G931">
        <v>10000</v>
      </c>
      <c r="H931">
        <v>317162.40060312848</v>
      </c>
      <c r="I931">
        <v>31.222184005267671</v>
      </c>
    </row>
    <row r="932" spans="1:9" x14ac:dyDescent="0.2">
      <c r="A932">
        <v>922</v>
      </c>
      <c r="B932">
        <v>1536419.1461203769</v>
      </c>
      <c r="C932">
        <v>97332.949548057615</v>
      </c>
      <c r="D932">
        <v>79018.455985849752</v>
      </c>
      <c r="E932">
        <v>206368.7085083533</v>
      </c>
      <c r="F932">
        <v>50287.064435193693</v>
      </c>
      <c r="G932">
        <v>10000</v>
      </c>
      <c r="H932">
        <v>423007.17847745435</v>
      </c>
      <c r="I932">
        <v>27.995595458018844</v>
      </c>
    </row>
    <row r="933" spans="1:9" x14ac:dyDescent="0.2">
      <c r="A933">
        <v>923</v>
      </c>
      <c r="B933">
        <v>1507724.6999616912</v>
      </c>
      <c r="C933">
        <v>90069.034317477272</v>
      </c>
      <c r="D933">
        <v>151314.45494604087</v>
      </c>
      <c r="E933">
        <v>138192.43199796291</v>
      </c>
      <c r="F933">
        <v>45567.168369089741</v>
      </c>
      <c r="G933">
        <v>10000</v>
      </c>
      <c r="H933">
        <v>415143.08963057073</v>
      </c>
      <c r="I933">
        <v>39.253384712648156</v>
      </c>
    </row>
    <row r="934" spans="1:9" x14ac:dyDescent="0.2">
      <c r="A934">
        <v>924</v>
      </c>
      <c r="B934">
        <v>1408157.8918208983</v>
      </c>
      <c r="C934">
        <v>155053.98499790192</v>
      </c>
      <c r="D934">
        <v>135526.11213068321</v>
      </c>
      <c r="E934">
        <v>66660.450229099195</v>
      </c>
      <c r="F934">
        <v>40614.954246629939</v>
      </c>
      <c r="G934">
        <v>10000</v>
      </c>
      <c r="H934">
        <v>387855.50160431425</v>
      </c>
      <c r="I934">
        <v>33.829444214067813</v>
      </c>
    </row>
    <row r="935" spans="1:9" x14ac:dyDescent="0.2">
      <c r="A935">
        <v>925</v>
      </c>
      <c r="B935">
        <v>1661676.5439484296</v>
      </c>
      <c r="C935">
        <v>115865.07922075104</v>
      </c>
      <c r="D935">
        <v>165122.75571001731</v>
      </c>
      <c r="E935">
        <v>140613.02623528615</v>
      </c>
      <c r="F935">
        <v>45734.747970135191</v>
      </c>
      <c r="G935">
        <v>10000</v>
      </c>
      <c r="H935">
        <v>457335.60913618968</v>
      </c>
      <c r="I935">
        <v>37.018399936373612</v>
      </c>
    </row>
    <row r="936" spans="1:9" x14ac:dyDescent="0.2">
      <c r="A936">
        <v>926</v>
      </c>
      <c r="B936">
        <v>1883678.7533201892</v>
      </c>
      <c r="C936">
        <v>139068.82264989027</v>
      </c>
      <c r="D936">
        <v>133717.53583241938</v>
      </c>
      <c r="E936">
        <v>205186.63558765943</v>
      </c>
      <c r="F936">
        <v>50205.228617607194</v>
      </c>
      <c r="G936">
        <v>10000</v>
      </c>
      <c r="H936">
        <v>518178.2226875762</v>
      </c>
      <c r="I936">
        <v>46.163524257925204</v>
      </c>
    </row>
    <row r="937" spans="1:9" x14ac:dyDescent="0.2">
      <c r="A937">
        <v>927</v>
      </c>
      <c r="B937">
        <v>1707398.5136090741</v>
      </c>
      <c r="C937">
        <v>138168.13953010706</v>
      </c>
      <c r="D937">
        <v>130079.28196680039</v>
      </c>
      <c r="E937">
        <v>164247.88493210266</v>
      </c>
      <c r="F937">
        <v>47371.007418376335</v>
      </c>
      <c r="G937">
        <v>10000</v>
      </c>
      <c r="H937">
        <v>469866.31384738645</v>
      </c>
      <c r="I937">
        <v>29.594246801075052</v>
      </c>
    </row>
    <row r="938" spans="1:9" x14ac:dyDescent="0.2">
      <c r="A938">
        <v>928</v>
      </c>
      <c r="B938">
        <v>1352181.3857928605</v>
      </c>
      <c r="C938">
        <v>79112.589878085375</v>
      </c>
      <c r="D938">
        <v>125706.61799712929</v>
      </c>
      <c r="E938">
        <v>132520.68971147528</v>
      </c>
      <c r="F938">
        <v>45174.509287717527</v>
      </c>
      <c r="G938">
        <v>10000</v>
      </c>
      <c r="H938">
        <v>372514.40687440743</v>
      </c>
      <c r="I938">
        <v>26.170829744226829</v>
      </c>
    </row>
    <row r="939" spans="1:9" x14ac:dyDescent="0.2">
      <c r="A939">
        <v>929</v>
      </c>
      <c r="B939">
        <v>1536106.1740257561</v>
      </c>
      <c r="C939">
        <v>121114.70811976021</v>
      </c>
      <c r="D939">
        <v>62961.236716072584</v>
      </c>
      <c r="E939">
        <v>199064.09884977614</v>
      </c>
      <c r="F939">
        <v>49781.360689599889</v>
      </c>
      <c r="G939">
        <v>10000</v>
      </c>
      <c r="H939">
        <v>422921.40437520883</v>
      </c>
      <c r="I939">
        <v>26.224530521457709</v>
      </c>
    </row>
    <row r="940" spans="1:9" x14ac:dyDescent="0.2">
      <c r="A940">
        <v>930</v>
      </c>
      <c r="B940">
        <v>1160737.689951123</v>
      </c>
      <c r="C940">
        <v>152420.74736428549</v>
      </c>
      <c r="D940">
        <v>43445.08150149836</v>
      </c>
      <c r="E940">
        <v>91823.887050915015</v>
      </c>
      <c r="F940">
        <v>42357.038334294113</v>
      </c>
      <c r="G940">
        <v>10000</v>
      </c>
      <c r="H940">
        <v>320046.75425099296</v>
      </c>
      <c r="I940">
        <v>35.039374827308677</v>
      </c>
    </row>
    <row r="941" spans="1:9" x14ac:dyDescent="0.2">
      <c r="A941">
        <v>931</v>
      </c>
      <c r="B941">
        <v>1564624.0193536091</v>
      </c>
      <c r="C941">
        <v>94406.121784680974</v>
      </c>
      <c r="D941">
        <v>91143.574070439281</v>
      </c>
      <c r="E941">
        <v>204995.40782353689</v>
      </c>
      <c r="F941">
        <v>50191.989772398709</v>
      </c>
      <c r="G941">
        <v>10000</v>
      </c>
      <c r="H941">
        <v>430737.09345105587</v>
      </c>
      <c r="I941">
        <v>30.810459720298738</v>
      </c>
    </row>
    <row r="942" spans="1:9" x14ac:dyDescent="0.2">
      <c r="A942">
        <v>932</v>
      </c>
      <c r="B942">
        <v>1534647.2430731817</v>
      </c>
      <c r="C942">
        <v>124138.13193707225</v>
      </c>
      <c r="D942">
        <v>78562.582067924362</v>
      </c>
      <c r="E942">
        <v>181271.29971308971</v>
      </c>
      <c r="F942">
        <v>48549.551518598513</v>
      </c>
      <c r="G942">
        <v>10000</v>
      </c>
      <c r="H942">
        <v>422521.56523668481</v>
      </c>
      <c r="I942">
        <v>25.226963586539618</v>
      </c>
    </row>
    <row r="943" spans="1:9" x14ac:dyDescent="0.2">
      <c r="A943">
        <v>933</v>
      </c>
      <c r="B943">
        <v>1043041.6618795601</v>
      </c>
      <c r="C943">
        <v>89464.68309754724</v>
      </c>
      <c r="D943">
        <v>95634.267559180589</v>
      </c>
      <c r="E943">
        <v>71726.017968136133</v>
      </c>
      <c r="F943">
        <v>40965.64739779404</v>
      </c>
      <c r="G943">
        <v>10000</v>
      </c>
      <c r="H943">
        <v>287790.61602265801</v>
      </c>
      <c r="I943">
        <v>36.721792370161722</v>
      </c>
    </row>
    <row r="944" spans="1:9" x14ac:dyDescent="0.2">
      <c r="A944">
        <v>934</v>
      </c>
      <c r="B944">
        <v>1156356.2741224202</v>
      </c>
      <c r="C944">
        <v>76049.363315508817</v>
      </c>
      <c r="D944">
        <v>64308.812652645553</v>
      </c>
      <c r="E944">
        <v>142614.48348630601</v>
      </c>
      <c r="F944">
        <v>45873.310395205801</v>
      </c>
      <c r="G944">
        <v>10000</v>
      </c>
      <c r="H944">
        <v>318845.96984966617</v>
      </c>
      <c r="I944">
        <v>39.736505834026346</v>
      </c>
    </row>
    <row r="945" spans="1:9" x14ac:dyDescent="0.2">
      <c r="A945">
        <v>935</v>
      </c>
      <c r="B945">
        <v>1063109.0797581521</v>
      </c>
      <c r="C945">
        <v>95610.386551817268</v>
      </c>
      <c r="D945">
        <v>52794.355638295252</v>
      </c>
      <c r="E945">
        <v>111187.98298031207</v>
      </c>
      <c r="F945">
        <v>43697.629590944685</v>
      </c>
      <c r="G945">
        <v>10000</v>
      </c>
      <c r="H945">
        <v>293290.35476136929</v>
      </c>
      <c r="I945">
        <v>38.621377626202566</v>
      </c>
    </row>
    <row r="946" spans="1:9" x14ac:dyDescent="0.2">
      <c r="A946">
        <v>936</v>
      </c>
      <c r="B946">
        <v>1283265.0068792934</v>
      </c>
      <c r="C946">
        <v>121584.35982925064</v>
      </c>
      <c r="D946">
        <v>113575.3413847948</v>
      </c>
      <c r="E946">
        <v>86480.179886191021</v>
      </c>
      <c r="F946">
        <v>41987.089376736309</v>
      </c>
      <c r="G946">
        <v>10000</v>
      </c>
      <c r="H946">
        <v>353626.97047697275</v>
      </c>
      <c r="I946">
        <v>38.994370405010997</v>
      </c>
    </row>
    <row r="947" spans="1:9" x14ac:dyDescent="0.2">
      <c r="A947">
        <v>937</v>
      </c>
      <c r="B947">
        <v>1326702.0345924862</v>
      </c>
      <c r="C947">
        <v>100631.59374045618</v>
      </c>
      <c r="D947">
        <v>37092.316158197791</v>
      </c>
      <c r="E947">
        <v>188740.87131150067</v>
      </c>
      <c r="F947">
        <v>49066.675706180817</v>
      </c>
      <c r="G947">
        <v>10000</v>
      </c>
      <c r="H947">
        <v>365531.45691633545</v>
      </c>
      <c r="I947">
        <v>30.799695178772289</v>
      </c>
    </row>
    <row r="948" spans="1:9" x14ac:dyDescent="0.2">
      <c r="A948">
        <v>938</v>
      </c>
      <c r="B948">
        <v>1638853.5916427551</v>
      </c>
      <c r="C948">
        <v>139560.00397747598</v>
      </c>
      <c r="D948">
        <v>152665.03745419363</v>
      </c>
      <c r="E948">
        <v>124253.47500622364</v>
      </c>
      <c r="F948">
        <v>44602.163654277021</v>
      </c>
      <c r="G948">
        <v>10000</v>
      </c>
      <c r="H948">
        <v>451080.68009217031</v>
      </c>
      <c r="I948">
        <v>29.703144219971662</v>
      </c>
    </row>
    <row r="949" spans="1:9" x14ac:dyDescent="0.2">
      <c r="A949">
        <v>939</v>
      </c>
      <c r="B949">
        <v>872887.52152290766</v>
      </c>
      <c r="C949">
        <v>86775.490460192028</v>
      </c>
      <c r="D949">
        <v>96161.77813407869</v>
      </c>
      <c r="E949">
        <v>30134.164944643435</v>
      </c>
      <c r="F949">
        <v>38086.211419244552</v>
      </c>
      <c r="G949">
        <v>10000</v>
      </c>
      <c r="H949">
        <v>241157.64495815872</v>
      </c>
      <c r="I949">
        <v>44.662130753387302</v>
      </c>
    </row>
    <row r="950" spans="1:9" x14ac:dyDescent="0.2">
      <c r="A950">
        <v>940</v>
      </c>
      <c r="B950">
        <v>1343197.1760117202</v>
      </c>
      <c r="C950">
        <v>132855.62011797907</v>
      </c>
      <c r="D950">
        <v>90268.019537801738</v>
      </c>
      <c r="E950">
        <v>113098.6222256441</v>
      </c>
      <c r="F950">
        <v>43829.904615621519</v>
      </c>
      <c r="G950">
        <v>10000</v>
      </c>
      <c r="H950">
        <v>370052.16649704648</v>
      </c>
      <c r="I950">
        <v>34.444746692128049</v>
      </c>
    </row>
    <row r="951" spans="1:9" x14ac:dyDescent="0.2">
      <c r="A951">
        <v>941</v>
      </c>
      <c r="B951">
        <v>1169030.7775484936</v>
      </c>
      <c r="C951">
        <v>102670.27180621019</v>
      </c>
      <c r="D951">
        <v>43061.118607005374</v>
      </c>
      <c r="E951">
        <v>140837.87846453197</v>
      </c>
      <c r="F951">
        <v>45750.314662929137</v>
      </c>
      <c r="G951">
        <v>10000</v>
      </c>
      <c r="H951">
        <v>322319.58354067669</v>
      </c>
      <c r="I951">
        <v>55.651259081004241</v>
      </c>
    </row>
    <row r="952" spans="1:9" x14ac:dyDescent="0.2">
      <c r="A952">
        <v>942</v>
      </c>
      <c r="B952">
        <v>801398.55522252619</v>
      </c>
      <c r="C952">
        <v>103447.54780910701</v>
      </c>
      <c r="D952">
        <v>43168.900664099041</v>
      </c>
      <c r="E952">
        <v>45779.367956543276</v>
      </c>
      <c r="F952">
        <v>39169.340858529926</v>
      </c>
      <c r="G952">
        <v>10000</v>
      </c>
      <c r="H952">
        <v>221565.15728827927</v>
      </c>
      <c r="I952">
        <v>44.498772768023045</v>
      </c>
    </row>
    <row r="953" spans="1:9" x14ac:dyDescent="0.2">
      <c r="A953">
        <v>943</v>
      </c>
      <c r="B953">
        <v>1628230.8252024113</v>
      </c>
      <c r="C953">
        <v>158240.36247376839</v>
      </c>
      <c r="D953">
        <v>66617.165868395168</v>
      </c>
      <c r="E953">
        <v>184536.25646987354</v>
      </c>
      <c r="F953">
        <v>48775.586986375856</v>
      </c>
      <c r="G953">
        <v>10000</v>
      </c>
      <c r="H953">
        <v>448169.37179841293</v>
      </c>
      <c r="I953">
        <v>37.108539091582657</v>
      </c>
    </row>
    <row r="954" spans="1:9" x14ac:dyDescent="0.2">
      <c r="A954">
        <v>944</v>
      </c>
      <c r="B954">
        <v>1113029.5998164271</v>
      </c>
      <c r="C954">
        <v>115698.03661087947</v>
      </c>
      <c r="D954">
        <v>106591.80275265413</v>
      </c>
      <c r="E954">
        <v>54882.341148658146</v>
      </c>
      <c r="F954">
        <v>39799.546694907098</v>
      </c>
      <c r="G954">
        <v>10000</v>
      </c>
      <c r="H954">
        <v>306971.72720709885</v>
      </c>
      <c r="I954">
        <v>25.418492093980703</v>
      </c>
    </row>
    <row r="955" spans="1:9" x14ac:dyDescent="0.2">
      <c r="A955">
        <v>945</v>
      </c>
      <c r="B955">
        <v>802237.85899827373</v>
      </c>
      <c r="C955">
        <v>72323.942735949226</v>
      </c>
      <c r="D955">
        <v>27281.372333192307</v>
      </c>
      <c r="E955">
        <v>89961.743695771846</v>
      </c>
      <c r="F955">
        <v>42228.120717399594</v>
      </c>
      <c r="G955">
        <v>10000</v>
      </c>
      <c r="H955">
        <v>221795.17948231299</v>
      </c>
      <c r="I955">
        <v>47.406698390307952</v>
      </c>
    </row>
    <row r="956" spans="1:9" x14ac:dyDescent="0.2">
      <c r="A956">
        <v>946</v>
      </c>
      <c r="B956">
        <v>1444536.7060362026</v>
      </c>
      <c r="C956">
        <v>120294.97779630781</v>
      </c>
      <c r="D956">
        <v>87130.691573755714</v>
      </c>
      <c r="E956">
        <v>153755.32348844552</v>
      </c>
      <c r="F956">
        <v>46644.599318430846</v>
      </c>
      <c r="G956">
        <v>10000</v>
      </c>
      <c r="H956">
        <v>397825.59217693994</v>
      </c>
      <c r="I956">
        <v>38.807011602186023</v>
      </c>
    </row>
    <row r="957" spans="1:9" x14ac:dyDescent="0.2">
      <c r="A957">
        <v>947</v>
      </c>
      <c r="B957">
        <v>1041431.2428421385</v>
      </c>
      <c r="C957">
        <v>101730.33310448845</v>
      </c>
      <c r="D957">
        <v>68979.358726395949</v>
      </c>
      <c r="E957">
        <v>84770.818767606135</v>
      </c>
      <c r="F957">
        <v>41868.748991603497</v>
      </c>
      <c r="G957">
        <v>10000</v>
      </c>
      <c r="H957">
        <v>287349.25959009404</v>
      </c>
      <c r="I957">
        <v>33.748100082055238</v>
      </c>
    </row>
    <row r="958" spans="1:9" x14ac:dyDescent="0.2">
      <c r="A958">
        <v>948</v>
      </c>
      <c r="B958">
        <v>1372890.1613965633</v>
      </c>
      <c r="C958">
        <v>106621.30284369171</v>
      </c>
      <c r="D958">
        <v>64885.883690071394</v>
      </c>
      <c r="E958">
        <v>168983.84966534932</v>
      </c>
      <c r="F958">
        <v>47698.881899908796</v>
      </c>
      <c r="G958">
        <v>10000</v>
      </c>
      <c r="H958">
        <v>378189.91809902119</v>
      </c>
      <c r="I958">
        <v>39.767818130724294</v>
      </c>
    </row>
    <row r="959" spans="1:9" x14ac:dyDescent="0.2">
      <c r="A959">
        <v>949</v>
      </c>
      <c r="B959">
        <v>1456983.2539724987</v>
      </c>
      <c r="C959">
        <v>124526.58145797947</v>
      </c>
      <c r="D959">
        <v>74141.094148216391</v>
      </c>
      <c r="E959">
        <v>165136.52726319525</v>
      </c>
      <c r="F959">
        <v>47432.5288105289</v>
      </c>
      <c r="G959">
        <v>10000</v>
      </c>
      <c r="H959">
        <v>401236.73167992005</v>
      </c>
      <c r="I959">
        <v>32.358736754912456</v>
      </c>
    </row>
    <row r="960" spans="1:9" x14ac:dyDescent="0.2">
      <c r="A960">
        <v>950</v>
      </c>
      <c r="B960">
        <v>1027018.8246684343</v>
      </c>
      <c r="C960">
        <v>111762.21497343633</v>
      </c>
      <c r="D960">
        <v>93303.976647498843</v>
      </c>
      <c r="E960">
        <v>48944.678251026329</v>
      </c>
      <c r="F960">
        <v>39388.477725071054</v>
      </c>
      <c r="G960">
        <v>10000</v>
      </c>
      <c r="H960">
        <v>283399.34759703255</v>
      </c>
      <c r="I960">
        <v>36.712762617367488</v>
      </c>
    </row>
    <row r="961" spans="1:9" x14ac:dyDescent="0.2">
      <c r="A961">
        <v>951</v>
      </c>
      <c r="B961">
        <v>1026535.4721714637</v>
      </c>
      <c r="C961">
        <v>131287.69917541981</v>
      </c>
      <c r="D961">
        <v>69248.092125002717</v>
      </c>
      <c r="E961">
        <v>53057.851350509343</v>
      </c>
      <c r="F961">
        <v>39673.235862727568</v>
      </c>
      <c r="G961">
        <v>10000</v>
      </c>
      <c r="H961">
        <v>283266.87851365941</v>
      </c>
      <c r="I961">
        <v>38.994911826471892</v>
      </c>
    </row>
    <row r="962" spans="1:9" x14ac:dyDescent="0.2">
      <c r="A962">
        <v>952</v>
      </c>
      <c r="B962">
        <v>1057557.3102278949</v>
      </c>
      <c r="C962">
        <v>109042.39831754673</v>
      </c>
      <c r="D962">
        <v>61944.58198997398</v>
      </c>
      <c r="E962">
        <v>88644.885666718605</v>
      </c>
      <c r="F962">
        <v>42136.953623080517</v>
      </c>
      <c r="G962">
        <v>10000</v>
      </c>
      <c r="H962">
        <v>291768.81959731982</v>
      </c>
      <c r="I962">
        <v>32.273695680195416</v>
      </c>
    </row>
    <row r="963" spans="1:9" x14ac:dyDescent="0.2">
      <c r="A963">
        <v>953</v>
      </c>
      <c r="B963">
        <v>1309710.7146164619</v>
      </c>
      <c r="C963">
        <v>100213.06093505716</v>
      </c>
      <c r="D963">
        <v>131235.22970745945</v>
      </c>
      <c r="E963">
        <v>96729.794387077302</v>
      </c>
      <c r="F963">
        <v>42696.678072951509</v>
      </c>
      <c r="G963">
        <v>10000</v>
      </c>
      <c r="H963">
        <v>360874.7631025454</v>
      </c>
      <c r="I963">
        <v>36.772075049967029</v>
      </c>
    </row>
    <row r="964" spans="1:9" x14ac:dyDescent="0.2">
      <c r="A964">
        <v>954</v>
      </c>
      <c r="B964">
        <v>878875.29503102158</v>
      </c>
      <c r="C964">
        <v>95117.341743836441</v>
      </c>
      <c r="D964">
        <v>36858.126448806688</v>
      </c>
      <c r="E964">
        <v>79331.05459737801</v>
      </c>
      <c r="F964">
        <v>41492.14993366463</v>
      </c>
      <c r="G964">
        <v>10000</v>
      </c>
      <c r="H964">
        <v>242798.67272368577</v>
      </c>
      <c r="I964">
        <v>25.676480670588113</v>
      </c>
    </row>
    <row r="965" spans="1:9" x14ac:dyDescent="0.2">
      <c r="A965">
        <v>955</v>
      </c>
      <c r="B965">
        <v>1094040.9934752698</v>
      </c>
      <c r="C965">
        <v>95348.617600152866</v>
      </c>
      <c r="D965">
        <v>41561.909379436212</v>
      </c>
      <c r="E965">
        <v>129866.37489136535</v>
      </c>
      <c r="F965">
        <v>44990.749030940678</v>
      </c>
      <c r="G965">
        <v>10000</v>
      </c>
      <c r="H965">
        <v>301767.65090189513</v>
      </c>
      <c r="I965">
        <v>24.410966718126961</v>
      </c>
    </row>
    <row r="966" spans="1:9" x14ac:dyDescent="0.2">
      <c r="A966">
        <v>956</v>
      </c>
      <c r="B966">
        <v>1492175.7725285613</v>
      </c>
      <c r="C966">
        <v>118252.8437606142</v>
      </c>
      <c r="D966">
        <v>76674.304662937211</v>
      </c>
      <c r="E966">
        <v>177655.33823965507</v>
      </c>
      <c r="F966">
        <v>48299.215724283808</v>
      </c>
      <c r="G966">
        <v>10000</v>
      </c>
      <c r="H966">
        <v>410881.70238749031</v>
      </c>
      <c r="I966">
        <v>30.964868731684668</v>
      </c>
    </row>
    <row r="967" spans="1:9" x14ac:dyDescent="0.2">
      <c r="A967">
        <v>957</v>
      </c>
      <c r="B967">
        <v>1198420.5412748365</v>
      </c>
      <c r="C967">
        <v>117390.79220265438</v>
      </c>
      <c r="D967">
        <v>94360.713829274711</v>
      </c>
      <c r="E967">
        <v>86625.572241859962</v>
      </c>
      <c r="F967">
        <v>41997.155001359541</v>
      </c>
      <c r="G967">
        <v>10000</v>
      </c>
      <c r="H967">
        <v>330374.23327514861</v>
      </c>
      <c r="I967">
        <v>45.356079686893793</v>
      </c>
    </row>
    <row r="968" spans="1:9" x14ac:dyDescent="0.2">
      <c r="A968">
        <v>958</v>
      </c>
      <c r="B968">
        <v>1280643.6174315962</v>
      </c>
      <c r="C968">
        <v>108270.95098209957</v>
      </c>
      <c r="D968">
        <v>53826.453038502899</v>
      </c>
      <c r="E968">
        <v>154139.91542577569</v>
      </c>
      <c r="F968">
        <v>46671.224914092163</v>
      </c>
      <c r="G968">
        <v>10000</v>
      </c>
      <c r="H968">
        <v>352908.54436047032</v>
      </c>
      <c r="I968">
        <v>37.443296048801699</v>
      </c>
    </row>
    <row r="969" spans="1:9" x14ac:dyDescent="0.2">
      <c r="A969">
        <v>959</v>
      </c>
      <c r="B969">
        <v>1679093.0091720836</v>
      </c>
      <c r="C969">
        <v>120400.42821201442</v>
      </c>
      <c r="D969">
        <v>103558.23718601321</v>
      </c>
      <c r="E969">
        <v>198413.81325828782</v>
      </c>
      <c r="F969">
        <v>49736.340917881462</v>
      </c>
      <c r="G969">
        <v>10000</v>
      </c>
      <c r="H969">
        <v>462108.81957419694</v>
      </c>
      <c r="I969">
        <v>30.956014999394654</v>
      </c>
    </row>
    <row r="970" spans="1:9" x14ac:dyDescent="0.2">
      <c r="A970">
        <v>960</v>
      </c>
      <c r="B970">
        <v>929342.59849512973</v>
      </c>
      <c r="C970">
        <v>110009.50008914074</v>
      </c>
      <c r="D970">
        <v>66543.350642516001</v>
      </c>
      <c r="E970">
        <v>50575.656021861527</v>
      </c>
      <c r="F970">
        <v>39501.391570744257</v>
      </c>
      <c r="G970">
        <v>10000</v>
      </c>
      <c r="H970">
        <v>256629.89832426253</v>
      </c>
      <c r="I970">
        <v>35.659709434502574</v>
      </c>
    </row>
    <row r="971" spans="1:9" x14ac:dyDescent="0.2">
      <c r="A971">
        <v>961</v>
      </c>
      <c r="B971">
        <v>1752065.9683998935</v>
      </c>
      <c r="C971">
        <v>130114.9045191325</v>
      </c>
      <c r="D971">
        <v>136158.54375387993</v>
      </c>
      <c r="E971">
        <v>177543.11990914986</v>
      </c>
      <c r="F971">
        <v>48291.446762941145</v>
      </c>
      <c r="G971">
        <v>10000</v>
      </c>
      <c r="H971">
        <v>482108.01494510338</v>
      </c>
      <c r="I971">
        <v>32.073153068186542</v>
      </c>
    </row>
    <row r="972" spans="1:9" x14ac:dyDescent="0.2">
      <c r="A972">
        <v>962</v>
      </c>
      <c r="B972">
        <v>957772.87726396718</v>
      </c>
      <c r="C972">
        <v>100481.11745891701</v>
      </c>
      <c r="D972">
        <v>52498.787713174926</v>
      </c>
      <c r="E972">
        <v>79909.488133163104</v>
      </c>
      <c r="F972">
        <v>41532.195332295902</v>
      </c>
      <c r="G972">
        <v>10000</v>
      </c>
      <c r="H972">
        <v>264421.58863755094</v>
      </c>
      <c r="I972">
        <v>36.383794039858202</v>
      </c>
    </row>
    <row r="973" spans="1:9" x14ac:dyDescent="0.2">
      <c r="A973">
        <v>963</v>
      </c>
      <c r="B973">
        <v>1371034.4541094038</v>
      </c>
      <c r="C973">
        <v>145882.06771373205</v>
      </c>
      <c r="D973">
        <v>95593.869848316404</v>
      </c>
      <c r="E973">
        <v>103069.7982305062</v>
      </c>
      <c r="F973">
        <v>43135.601415958117</v>
      </c>
      <c r="G973">
        <v>10000</v>
      </c>
      <c r="H973">
        <v>377681.33720851276</v>
      </c>
      <c r="I973">
        <v>28.678556732534837</v>
      </c>
    </row>
    <row r="974" spans="1:9" x14ac:dyDescent="0.2">
      <c r="A974">
        <v>964</v>
      </c>
      <c r="B974">
        <v>1169253.3662210999</v>
      </c>
      <c r="C974">
        <v>120600.49525201001</v>
      </c>
      <c r="D974">
        <v>113666.23092588749</v>
      </c>
      <c r="E974">
        <v>58092.09993923812</v>
      </c>
      <c r="F974">
        <v>40021.760765024177</v>
      </c>
      <c r="G974">
        <v>10000</v>
      </c>
      <c r="H974">
        <v>322380.58688215975</v>
      </c>
      <c r="I974">
        <v>44.577397050534344</v>
      </c>
    </row>
    <row r="975" spans="1:9" x14ac:dyDescent="0.2">
      <c r="A975">
        <v>965</v>
      </c>
      <c r="B975">
        <v>1204106.5684968408</v>
      </c>
      <c r="C975">
        <v>94996.099120517712</v>
      </c>
      <c r="D975">
        <v>105422.40413563876</v>
      </c>
      <c r="E975">
        <v>98682.214633662079</v>
      </c>
      <c r="F975">
        <v>42831.845628484298</v>
      </c>
      <c r="G975">
        <v>10000</v>
      </c>
      <c r="H975">
        <v>331932.56351830286</v>
      </c>
      <c r="I975">
        <v>30.113377282044148</v>
      </c>
    </row>
    <row r="976" spans="1:9" x14ac:dyDescent="0.2">
      <c r="A976">
        <v>966</v>
      </c>
      <c r="B976">
        <v>1539574.0164532785</v>
      </c>
      <c r="C976">
        <v>149995.37723892645</v>
      </c>
      <c r="D976">
        <v>71716.055509658458</v>
      </c>
      <c r="E976">
        <v>164754.31154765713</v>
      </c>
      <c r="F976">
        <v>47406.067722530111</v>
      </c>
      <c r="G976">
        <v>10000</v>
      </c>
      <c r="H976">
        <v>423871.81201877212</v>
      </c>
      <c r="I976">
        <v>41.219354452939555</v>
      </c>
    </row>
    <row r="977" spans="1:9" x14ac:dyDescent="0.2">
      <c r="A977">
        <v>967</v>
      </c>
      <c r="B977">
        <v>1322557.7436496029</v>
      </c>
      <c r="C977">
        <v>137357.27135478429</v>
      </c>
      <c r="D977">
        <v>127964.09940121556</v>
      </c>
      <c r="E977">
        <v>68342.860159840522</v>
      </c>
      <c r="F977">
        <v>40731.428780296657</v>
      </c>
      <c r="G977">
        <v>10000</v>
      </c>
      <c r="H977">
        <v>364395.65969613701</v>
      </c>
      <c r="I977">
        <v>35.102811393422222</v>
      </c>
    </row>
    <row r="978" spans="1:9" x14ac:dyDescent="0.2">
      <c r="A978">
        <v>968</v>
      </c>
      <c r="B978">
        <v>847563.72005995526</v>
      </c>
      <c r="C978">
        <v>88221.692461518163</v>
      </c>
      <c r="D978">
        <v>52204.118965491252</v>
      </c>
      <c r="E978">
        <v>63402.135410843955</v>
      </c>
      <c r="F978">
        <v>40389.378605366124</v>
      </c>
      <c r="G978">
        <v>10000</v>
      </c>
      <c r="H978">
        <v>234217.32544321948</v>
      </c>
      <c r="I978">
        <v>34.868359399771713</v>
      </c>
    </row>
    <row r="979" spans="1:9" x14ac:dyDescent="0.2">
      <c r="A979">
        <v>969</v>
      </c>
      <c r="B979">
        <v>1641116.1140676616</v>
      </c>
      <c r="C979">
        <v>135161.84846200113</v>
      </c>
      <c r="D979">
        <v>157229.46584895765</v>
      </c>
      <c r="E979">
        <v>124677.89323451504</v>
      </c>
      <c r="F979">
        <v>44631.546454697193</v>
      </c>
      <c r="G979">
        <v>10000</v>
      </c>
      <c r="H979">
        <v>451700.75400017103</v>
      </c>
      <c r="I979">
        <v>38.310899536068021</v>
      </c>
    </row>
    <row r="980" spans="1:9" x14ac:dyDescent="0.2">
      <c r="A980">
        <v>970</v>
      </c>
      <c r="B980">
        <v>1069099.6070866969</v>
      </c>
      <c r="C980">
        <v>119524.00050011426</v>
      </c>
      <c r="D980">
        <v>85263.67878053154</v>
      </c>
      <c r="E980">
        <v>59991.219681191782</v>
      </c>
      <c r="F980">
        <v>40153.238285620966</v>
      </c>
      <c r="G980">
        <v>10000</v>
      </c>
      <c r="H980">
        <v>294932.13724745857</v>
      </c>
      <c r="I980">
        <v>35.649655133170242</v>
      </c>
    </row>
    <row r="981" spans="1:9" x14ac:dyDescent="0.2">
      <c r="A981">
        <v>971</v>
      </c>
      <c r="B981">
        <v>858738.31936107634</v>
      </c>
      <c r="C981">
        <v>81861.020322429787</v>
      </c>
      <c r="D981">
        <v>50230.009639423624</v>
      </c>
      <c r="E981">
        <v>74061.505783464207</v>
      </c>
      <c r="F981">
        <v>41127.335015778292</v>
      </c>
      <c r="G981">
        <v>10000</v>
      </c>
      <c r="H981">
        <v>237279.8707610959</v>
      </c>
      <c r="I981">
        <v>36.525782534276829</v>
      </c>
    </row>
    <row r="982" spans="1:9" x14ac:dyDescent="0.2">
      <c r="A982">
        <v>972</v>
      </c>
      <c r="B982">
        <v>1557105.9745851886</v>
      </c>
      <c r="C982">
        <v>94354.861513522585</v>
      </c>
      <c r="D982">
        <v>126402.29677393958</v>
      </c>
      <c r="E982">
        <v>170140.55501281362</v>
      </c>
      <c r="F982">
        <v>47778.96150088709</v>
      </c>
      <c r="G982">
        <v>10000</v>
      </c>
      <c r="H982">
        <v>428676.67480116291</v>
      </c>
      <c r="I982">
        <v>29.799042778685113</v>
      </c>
    </row>
    <row r="983" spans="1:9" x14ac:dyDescent="0.2">
      <c r="A983">
        <v>973</v>
      </c>
      <c r="B983">
        <v>1411034.2018021138</v>
      </c>
      <c r="C983">
        <v>110461.02440500171</v>
      </c>
      <c r="D983">
        <v>47005.611635140296</v>
      </c>
      <c r="E983">
        <v>191892.30416533453</v>
      </c>
      <c r="F983">
        <v>49284.851826830854</v>
      </c>
      <c r="G983">
        <v>10000</v>
      </c>
      <c r="H983">
        <v>388643.79203230736</v>
      </c>
      <c r="I983">
        <v>28.158111812815818</v>
      </c>
    </row>
    <row r="984" spans="1:9" x14ac:dyDescent="0.2">
      <c r="A984">
        <v>974</v>
      </c>
      <c r="B984">
        <v>1310144.0419273046</v>
      </c>
      <c r="C984">
        <v>104292.95011714302</v>
      </c>
      <c r="D984">
        <v>143219.12890717544</v>
      </c>
      <c r="E984">
        <v>81817.177003784818</v>
      </c>
      <c r="F984">
        <v>41664.266100262023</v>
      </c>
      <c r="G984">
        <v>10000</v>
      </c>
      <c r="H984">
        <v>360993.52212836529</v>
      </c>
      <c r="I984">
        <v>35.418813973630847</v>
      </c>
    </row>
    <row r="985" spans="1:9" x14ac:dyDescent="0.2">
      <c r="A985">
        <v>975</v>
      </c>
      <c r="B985">
        <v>1273448.9182486744</v>
      </c>
      <c r="C985">
        <v>83372.303462925498</v>
      </c>
      <c r="D985">
        <v>99217.401647073944</v>
      </c>
      <c r="E985">
        <v>133130.32302305682</v>
      </c>
      <c r="F985">
        <v>45216.714670827008</v>
      </c>
      <c r="G985">
        <v>10000</v>
      </c>
      <c r="H985">
        <v>350936.74280388327</v>
      </c>
      <c r="I985">
        <v>39.696645051972709</v>
      </c>
    </row>
    <row r="986" spans="1:9" x14ac:dyDescent="0.2">
      <c r="A986">
        <v>976</v>
      </c>
      <c r="B986">
        <v>1081273.3270443194</v>
      </c>
      <c r="C986">
        <v>125420.83642826378</v>
      </c>
      <c r="D986">
        <v>92284.538911931537</v>
      </c>
      <c r="E986">
        <v>51030.26483991569</v>
      </c>
      <c r="F986">
        <v>39532.864488917243</v>
      </c>
      <c r="G986">
        <v>10000</v>
      </c>
      <c r="H986">
        <v>298268.50466902822</v>
      </c>
      <c r="I986">
        <v>29.89138141070125</v>
      </c>
    </row>
    <row r="987" spans="1:9" x14ac:dyDescent="0.2">
      <c r="A987">
        <v>977</v>
      </c>
      <c r="B987">
        <v>877936.07252940151</v>
      </c>
      <c r="C987">
        <v>110049.19954356899</v>
      </c>
      <c r="D987">
        <v>66098.403032050715</v>
      </c>
      <c r="E987">
        <v>37778.246830103839</v>
      </c>
      <c r="F987">
        <v>38615.417088237955</v>
      </c>
      <c r="G987">
        <v>10000</v>
      </c>
      <c r="H987">
        <v>242541.26649396151</v>
      </c>
      <c r="I987">
        <v>42.730452092277503</v>
      </c>
    </row>
    <row r="988" spans="1:9" x14ac:dyDescent="0.2">
      <c r="A988">
        <v>978</v>
      </c>
      <c r="B988">
        <v>1381193.7084790336</v>
      </c>
      <c r="C988">
        <v>86673.465874315458</v>
      </c>
      <c r="D988">
        <v>55180.834298611699</v>
      </c>
      <c r="E988">
        <v>198845.11360221985</v>
      </c>
      <c r="F988">
        <v>49766.200172461373</v>
      </c>
      <c r="G988">
        <v>10000</v>
      </c>
      <c r="H988">
        <v>380465.61394760839</v>
      </c>
      <c r="I988">
        <v>29.79729988734794</v>
      </c>
    </row>
    <row r="989" spans="1:9" x14ac:dyDescent="0.2">
      <c r="A989">
        <v>979</v>
      </c>
      <c r="B989">
        <v>1087486.8340105435</v>
      </c>
      <c r="C989">
        <v>117418.20742438486</v>
      </c>
      <c r="D989">
        <v>105956.71297627267</v>
      </c>
      <c r="E989">
        <v>47320.446344284457</v>
      </c>
      <c r="F989">
        <v>39276.030900758153</v>
      </c>
      <c r="G989">
        <v>10000</v>
      </c>
      <c r="H989">
        <v>299971.39764570014</v>
      </c>
      <c r="I989">
        <v>47.87711732633862</v>
      </c>
    </row>
    <row r="990" spans="1:9" x14ac:dyDescent="0.2">
      <c r="A990">
        <v>980</v>
      </c>
      <c r="B990">
        <v>1372169.1812112327</v>
      </c>
      <c r="C990">
        <v>119126.53297074036</v>
      </c>
      <c r="D990">
        <v>68874.510268150814</v>
      </c>
      <c r="E990">
        <v>153373.14031281133</v>
      </c>
      <c r="F990">
        <v>46618.140483194627</v>
      </c>
      <c r="G990">
        <v>10000</v>
      </c>
      <c r="H990">
        <v>377992.32403489714</v>
      </c>
      <c r="I990">
        <v>32.624396102468964</v>
      </c>
    </row>
    <row r="991" spans="1:9" x14ac:dyDescent="0.2">
      <c r="A991">
        <v>981</v>
      </c>
      <c r="B991">
        <v>1740287.187462667</v>
      </c>
      <c r="C991">
        <v>112428.63069697603</v>
      </c>
      <c r="D991">
        <v>118924.27727307242</v>
      </c>
      <c r="E991">
        <v>207183.50438495196</v>
      </c>
      <c r="F991">
        <v>50343.473380496675</v>
      </c>
      <c r="G991">
        <v>10000</v>
      </c>
      <c r="H991">
        <v>478879.88573549705</v>
      </c>
      <c r="I991">
        <v>28.495761385110058</v>
      </c>
    </row>
    <row r="992" spans="1:9" x14ac:dyDescent="0.2">
      <c r="A992">
        <v>982</v>
      </c>
      <c r="B992">
        <v>1178462.0065728361</v>
      </c>
      <c r="C992">
        <v>137296.08877766627</v>
      </c>
      <c r="D992">
        <v>85727.399838211437</v>
      </c>
      <c r="E992">
        <v>70967.698428645308</v>
      </c>
      <c r="F992">
        <v>40913.148352752367</v>
      </c>
      <c r="G992">
        <v>10000</v>
      </c>
      <c r="H992">
        <v>324904.3353972754</v>
      </c>
      <c r="I992">
        <v>31.001441154399096</v>
      </c>
    </row>
    <row r="993" spans="1:9" x14ac:dyDescent="0.2">
      <c r="A993">
        <v>983</v>
      </c>
      <c r="B993">
        <v>1460964.4391603044</v>
      </c>
      <c r="C993">
        <v>124803.92370530179</v>
      </c>
      <c r="D993">
        <v>66743.73640965551</v>
      </c>
      <c r="E993">
        <v>172815.9840081544</v>
      </c>
      <c r="F993">
        <v>47964.183508256836</v>
      </c>
      <c r="G993">
        <v>10000</v>
      </c>
      <c r="H993">
        <v>402327.82763136859</v>
      </c>
      <c r="I993">
        <v>45.854455286399542</v>
      </c>
    </row>
    <row r="994" spans="1:9" x14ac:dyDescent="0.2">
      <c r="A994">
        <v>984</v>
      </c>
      <c r="B994">
        <v>767691.83336299844</v>
      </c>
      <c r="C994">
        <v>75651.740628332438</v>
      </c>
      <c r="D994">
        <v>47221.585132553038</v>
      </c>
      <c r="E994">
        <v>59345.526422750292</v>
      </c>
      <c r="F994">
        <v>40108.536444651945</v>
      </c>
      <c r="G994">
        <v>10000</v>
      </c>
      <c r="H994">
        <v>212327.38862828771</v>
      </c>
      <c r="I994">
        <v>30.232096449827942</v>
      </c>
    </row>
    <row r="995" spans="1:9" x14ac:dyDescent="0.2">
      <c r="A995">
        <v>985</v>
      </c>
      <c r="B995">
        <v>1033108.2546924554</v>
      </c>
      <c r="C995">
        <v>111316.94514216017</v>
      </c>
      <c r="D995">
        <v>98988.22388269841</v>
      </c>
      <c r="E995">
        <v>45605.745776092605</v>
      </c>
      <c r="F995">
        <v>39157.320861421795</v>
      </c>
      <c r="G995">
        <v>10000</v>
      </c>
      <c r="H995">
        <v>285068.23566237296</v>
      </c>
      <c r="I995">
        <v>34.772308529267292</v>
      </c>
    </row>
    <row r="996" spans="1:9" x14ac:dyDescent="0.2">
      <c r="A996">
        <v>986</v>
      </c>
      <c r="B996">
        <v>1536669.0351661332</v>
      </c>
      <c r="C996">
        <v>162935.12672246064</v>
      </c>
      <c r="D996">
        <v>39461.212471897088</v>
      </c>
      <c r="E996">
        <v>182074.18852107498</v>
      </c>
      <c r="F996">
        <v>48605.136128382117</v>
      </c>
      <c r="G996">
        <v>10000</v>
      </c>
      <c r="H996">
        <v>423075.66384381481</v>
      </c>
      <c r="I996">
        <v>41.121196648646148</v>
      </c>
    </row>
    <row r="997" spans="1:9" x14ac:dyDescent="0.2">
      <c r="A997">
        <v>987</v>
      </c>
      <c r="B997">
        <v>1140206.1993364131</v>
      </c>
      <c r="C997">
        <v>100486.2556744114</v>
      </c>
      <c r="D997">
        <v>110650.19402404706</v>
      </c>
      <c r="E997">
        <v>72279.420706404402</v>
      </c>
      <c r="F997">
        <v>41003.959895058768</v>
      </c>
      <c r="G997">
        <v>10000</v>
      </c>
      <c r="H997">
        <v>314419.83029992162</v>
      </c>
      <c r="I997">
        <v>31.432784404846675</v>
      </c>
    </row>
    <row r="998" spans="1:9" x14ac:dyDescent="0.2">
      <c r="A998">
        <v>988</v>
      </c>
      <c r="B998">
        <v>1301133.5701690409</v>
      </c>
      <c r="C998">
        <v>100739.80537670736</v>
      </c>
      <c r="D998">
        <v>59155.081589870584</v>
      </c>
      <c r="E998">
        <v>161451.76730162368</v>
      </c>
      <c r="F998">
        <v>47177.430043958557</v>
      </c>
      <c r="G998">
        <v>10000</v>
      </c>
      <c r="H998">
        <v>358524.08431216015</v>
      </c>
      <c r="I998">
        <v>34.05506894248046</v>
      </c>
    </row>
    <row r="999" spans="1:9" x14ac:dyDescent="0.2">
      <c r="A999">
        <v>989</v>
      </c>
      <c r="B999">
        <v>1592531.8862866045</v>
      </c>
      <c r="C999">
        <v>109883.14857997921</v>
      </c>
      <c r="D999">
        <v>89212.012588935366</v>
      </c>
      <c r="E999">
        <v>199480.27584544296</v>
      </c>
      <c r="F999">
        <v>49810.172943146048</v>
      </c>
      <c r="G999">
        <v>10000</v>
      </c>
      <c r="H999">
        <v>438385.60995750356</v>
      </c>
      <c r="I999">
        <v>32.318730306085747</v>
      </c>
    </row>
    <row r="1000" spans="1:9" x14ac:dyDescent="0.2">
      <c r="A1000">
        <v>990</v>
      </c>
      <c r="B1000">
        <v>1165927.0713188858</v>
      </c>
      <c r="C1000">
        <v>76618.776608056534</v>
      </c>
      <c r="D1000">
        <v>105344.55022875329</v>
      </c>
      <c r="E1000">
        <v>106156.35896536104</v>
      </c>
      <c r="F1000">
        <v>43349.286389909612</v>
      </c>
      <c r="G1000">
        <v>10000</v>
      </c>
      <c r="H1000">
        <v>321468.97219208046</v>
      </c>
      <c r="I1000">
        <v>28.626123639964977</v>
      </c>
    </row>
    <row r="1001" spans="1:9" x14ac:dyDescent="0.2">
      <c r="A1001">
        <v>991</v>
      </c>
      <c r="B1001">
        <v>1525662.0883836302</v>
      </c>
      <c r="C1001">
        <v>124877.13630410843</v>
      </c>
      <c r="D1001">
        <v>56973.879279411922</v>
      </c>
      <c r="E1001">
        <v>198467.96072277578</v>
      </c>
      <c r="F1001">
        <v>49740.089588499861</v>
      </c>
      <c r="G1001">
        <v>10000</v>
      </c>
      <c r="H1001">
        <v>420059.06589479599</v>
      </c>
      <c r="I1001">
        <v>38.689760550493602</v>
      </c>
    </row>
    <row r="1002" spans="1:9" x14ac:dyDescent="0.2">
      <c r="A1002">
        <v>992</v>
      </c>
      <c r="B1002">
        <v>1430403.2969831256</v>
      </c>
      <c r="C1002">
        <v>87994.121471297607</v>
      </c>
      <c r="D1002">
        <v>61030.021620107043</v>
      </c>
      <c r="E1002">
        <v>204752.80874521346</v>
      </c>
      <c r="F1002">
        <v>50175.194451591706</v>
      </c>
      <c r="G1002">
        <v>10000</v>
      </c>
      <c r="H1002">
        <v>393952.14628820983</v>
      </c>
      <c r="I1002">
        <v>35.151956710036913</v>
      </c>
    </row>
    <row r="1003" spans="1:9" x14ac:dyDescent="0.2">
      <c r="A1003">
        <v>993</v>
      </c>
      <c r="B1003">
        <v>1019012.913575314</v>
      </c>
      <c r="C1003">
        <v>100255.83285506112</v>
      </c>
      <c r="D1003">
        <v>60786.709155869103</v>
      </c>
      <c r="E1003">
        <v>88065.816556104168</v>
      </c>
      <c r="F1003">
        <v>42096.864223114906</v>
      </c>
      <c r="G1003">
        <v>10000</v>
      </c>
      <c r="H1003">
        <v>281205.22279014927</v>
      </c>
      <c r="I1003">
        <v>34.492595585315357</v>
      </c>
    </row>
    <row r="1004" spans="1:9" x14ac:dyDescent="0.2">
      <c r="A1004">
        <v>994</v>
      </c>
      <c r="B1004">
        <v>1389435.427015916</v>
      </c>
      <c r="C1004">
        <v>112042.57047991455</v>
      </c>
      <c r="D1004">
        <v>53652.681538146586</v>
      </c>
      <c r="E1004">
        <v>178660.32137546546</v>
      </c>
      <c r="F1004">
        <v>48368.791479839922</v>
      </c>
      <c r="G1004">
        <v>10000</v>
      </c>
      <c r="H1004">
        <v>382724.36487336655</v>
      </c>
      <c r="I1004">
        <v>50.629399929169303</v>
      </c>
    </row>
    <row r="1005" spans="1:9" x14ac:dyDescent="0.2">
      <c r="A1005">
        <v>995</v>
      </c>
      <c r="B1005">
        <v>1350437.0006621741</v>
      </c>
      <c r="C1005">
        <v>147379.10312091018</v>
      </c>
      <c r="D1005">
        <v>51719.077770806922</v>
      </c>
      <c r="E1005">
        <v>137424.17316807699</v>
      </c>
      <c r="F1005">
        <v>45513.981219328409</v>
      </c>
      <c r="G1005">
        <v>10000</v>
      </c>
      <c r="H1005">
        <v>372036.33527912252</v>
      </c>
      <c r="I1005">
        <v>43.801178189278204</v>
      </c>
    </row>
    <row r="1006" spans="1:9" x14ac:dyDescent="0.2">
      <c r="A1006">
        <v>996</v>
      </c>
      <c r="B1006">
        <v>1639544.887771528</v>
      </c>
      <c r="C1006">
        <v>132495.82389934198</v>
      </c>
      <c r="D1006">
        <v>92831.903486407144</v>
      </c>
      <c r="E1006">
        <v>186996.49993223514</v>
      </c>
      <c r="F1006">
        <v>48945.911533770122</v>
      </c>
      <c r="G1006">
        <v>10000</v>
      </c>
      <c r="H1006">
        <v>451270.13885175437</v>
      </c>
      <c r="I1006">
        <v>35.828561565614955</v>
      </c>
    </row>
    <row r="1007" spans="1:9" x14ac:dyDescent="0.2">
      <c r="A1007">
        <v>997</v>
      </c>
      <c r="B1007">
        <v>1395195.3571451933</v>
      </c>
      <c r="C1007">
        <v>99810.417105198925</v>
      </c>
      <c r="D1007">
        <v>56511.630508216091</v>
      </c>
      <c r="E1007">
        <v>188903.00146172391</v>
      </c>
      <c r="F1007">
        <v>49077.900101196268</v>
      </c>
      <c r="G1007">
        <v>10000</v>
      </c>
      <c r="H1007">
        <v>384302.94917633518</v>
      </c>
      <c r="I1007">
        <v>35.252898351910787</v>
      </c>
    </row>
    <row r="1008" spans="1:9" x14ac:dyDescent="0.2">
      <c r="A1008">
        <v>998</v>
      </c>
      <c r="B1008">
        <v>1706091.1026176091</v>
      </c>
      <c r="C1008">
        <v>115528.44478769822</v>
      </c>
      <c r="D1008">
        <v>130372.44913750044</v>
      </c>
      <c r="E1008">
        <v>184812.40205608218</v>
      </c>
      <c r="F1008">
        <v>48794.704757728759</v>
      </c>
      <c r="G1008">
        <v>10000</v>
      </c>
      <c r="H1008">
        <v>469508.00073900959</v>
      </c>
      <c r="I1008">
        <v>35.69664122915875</v>
      </c>
    </row>
    <row r="1009" spans="1:9" x14ac:dyDescent="0.2">
      <c r="A1009">
        <v>999</v>
      </c>
      <c r="B1009">
        <v>1507533.1344040364</v>
      </c>
      <c r="C1009">
        <v>156175.4554602729</v>
      </c>
      <c r="D1009">
        <v>68165.348370353036</v>
      </c>
      <c r="E1009">
        <v>154082.53249952791</v>
      </c>
      <c r="F1009">
        <v>46667.252249967314</v>
      </c>
      <c r="G1009">
        <v>10000</v>
      </c>
      <c r="H1009">
        <v>415090.58858012117</v>
      </c>
      <c r="I1009">
        <v>28.39920063193567</v>
      </c>
    </row>
    <row r="1010" spans="1:9" x14ac:dyDescent="0.2">
      <c r="A1010">
        <v>1000</v>
      </c>
      <c r="B1010">
        <v>1552095.2525199952</v>
      </c>
      <c r="C1010">
        <v>87896.25277828885</v>
      </c>
      <c r="D1010">
        <v>93793.143365247364</v>
      </c>
      <c r="E1010">
        <v>205394.41153261572</v>
      </c>
      <c r="F1010">
        <v>50219.613106104167</v>
      </c>
      <c r="G1010">
        <v>10000</v>
      </c>
      <c r="H1010">
        <v>427303.42078225606</v>
      </c>
      <c r="I1010">
        <v>46.474199623194053</v>
      </c>
    </row>
    <row r="1015" spans="1:9" ht="19" x14ac:dyDescent="0.25">
      <c r="A1015" s="4" t="s">
        <v>627</v>
      </c>
    </row>
    <row r="1016" spans="1:9" x14ac:dyDescent="0.2">
      <c r="A1016" t="s">
        <v>628</v>
      </c>
      <c r="B1016" s="15">
        <f>AVERAGE(B11:B1010)</f>
        <v>1285183.1689277585</v>
      </c>
    </row>
    <row r="1017" spans="1:9" x14ac:dyDescent="0.2">
      <c r="A1017" t="s">
        <v>629</v>
      </c>
      <c r="B1017" s="15">
        <f>PERCENTILE(B11:B1010,0.1)</f>
        <v>965961.28827757144</v>
      </c>
    </row>
    <row r="1018" spans="1:9" x14ac:dyDescent="0.2">
      <c r="A1018" t="s">
        <v>630</v>
      </c>
      <c r="B1018" s="15">
        <f>PERCENTILE(B11:B1010,0.5)</f>
        <v>1284580.3761974676</v>
      </c>
    </row>
    <row r="1019" spans="1:9" x14ac:dyDescent="0.2">
      <c r="A1019" t="s">
        <v>631</v>
      </c>
      <c r="B1019" s="15">
        <f>PERCENTILE(B11:B1010,0.9)</f>
        <v>1601228.7589006354</v>
      </c>
    </row>
    <row r="1020" spans="1:9" x14ac:dyDescent="0.2">
      <c r="A1020" t="s">
        <v>632</v>
      </c>
      <c r="B1020" s="15">
        <f>STDEV(B11:B1010)</f>
        <v>245459.39530207141</v>
      </c>
    </row>
    <row r="1021" spans="1:9" x14ac:dyDescent="0.2">
      <c r="A1021" t="s">
        <v>633</v>
      </c>
      <c r="B1021" s="25">
        <f>COUNTIF(B11:B1010,"&gt;0")/1000</f>
        <v>1</v>
      </c>
    </row>
    <row r="1023" spans="1:9" ht="19" x14ac:dyDescent="0.25">
      <c r="A1023" s="4" t="s">
        <v>634</v>
      </c>
    </row>
    <row r="1024" spans="1:9" x14ac:dyDescent="0.2">
      <c r="A1024" t="s">
        <v>635</v>
      </c>
      <c r="B1024" s="23">
        <f>IFERROR(AVERAGE(I11:I1010),"Run MC")</f>
        <v>36.451867613659815</v>
      </c>
    </row>
    <row r="1025" spans="1:2" x14ac:dyDescent="0.2">
      <c r="A1025" t="s">
        <v>636</v>
      </c>
      <c r="B1025" s="23">
        <f>IFERROR(PERCENTILE(I11:I1010,0.1),"Run MC")</f>
        <v>28.395235407623595</v>
      </c>
    </row>
    <row r="1026" spans="1:2" x14ac:dyDescent="0.2">
      <c r="A1026" t="s">
        <v>637</v>
      </c>
      <c r="B1026" s="23">
        <f>IFERROR(PERCENTILE(I11:I1010,0.5),"Run MC")</f>
        <v>35.669376672945717</v>
      </c>
    </row>
    <row r="1027" spans="1:2" x14ac:dyDescent="0.2">
      <c r="A1027" t="s">
        <v>638</v>
      </c>
      <c r="B1027" s="23">
        <f>IFERROR(PERCENTILE(I11:I1010,0.9),"Run MC")</f>
        <v>46.171716880496156</v>
      </c>
    </row>
    <row r="1028" spans="1:2" x14ac:dyDescent="0.2">
      <c r="A1028" t="s">
        <v>639</v>
      </c>
      <c r="B1028" s="25">
        <f>IFERROR(COUNTIF(I11:I1010,"&lt;="&amp;Season_Length)/1000,"Run MC")</f>
        <v>1</v>
      </c>
    </row>
  </sheetData>
  <mergeCells count="2">
    <mergeCell ref="A4:E4"/>
    <mergeCell ref="A3:E3"/>
  </mergeCell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4472C4"/>
  </sheetPr>
  <dimension ref="A1:D4"/>
  <sheetViews>
    <sheetView workbookViewId="0"/>
  </sheetViews>
  <sheetFormatPr baseColWidth="10" defaultColWidth="8.83203125" defaultRowHeight="15" x14ac:dyDescent="0.2"/>
  <cols>
    <col min="1" max="1" width="60" customWidth="1"/>
    <col min="2" max="4" width="13" customWidth="1"/>
  </cols>
  <sheetData>
    <row r="1" spans="1:4" ht="21" x14ac:dyDescent="0.25">
      <c r="A1" s="5" t="s">
        <v>640</v>
      </c>
    </row>
    <row r="3" spans="1:4" x14ac:dyDescent="0.2">
      <c r="A3" s="35" t="s">
        <v>641</v>
      </c>
      <c r="B3" s="33"/>
      <c r="C3" s="33"/>
      <c r="D3" s="34"/>
    </row>
    <row r="4" spans="1:4" ht="312" customHeight="1" x14ac:dyDescent="0.2">
      <c r="A4" s="32" t="s">
        <v>642</v>
      </c>
      <c r="B4" s="33"/>
      <c r="C4" s="33"/>
      <c r="D4" s="34"/>
    </row>
  </sheetData>
  <mergeCells count="2">
    <mergeCell ref="A4:D4"/>
    <mergeCell ref="A3:D3"/>
  </mergeCell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4472C4"/>
  </sheetPr>
  <dimension ref="A1:J23"/>
  <sheetViews>
    <sheetView workbookViewId="0"/>
  </sheetViews>
  <sheetFormatPr baseColWidth="10" defaultColWidth="8.83203125" defaultRowHeight="15" x14ac:dyDescent="0.2"/>
  <cols>
    <col min="1" max="5" width="12" customWidth="1"/>
    <col min="6" max="6" width="14" customWidth="1"/>
    <col min="7" max="7" width="12" customWidth="1"/>
    <col min="8" max="8" width="14" customWidth="1"/>
    <col min="9" max="9" width="16" customWidth="1"/>
    <col min="10" max="10" width="14" customWidth="1"/>
  </cols>
  <sheetData>
    <row r="1" spans="1:10" ht="21" x14ac:dyDescent="0.25">
      <c r="A1" s="5" t="s">
        <v>643</v>
      </c>
    </row>
    <row r="3" spans="1:10" x14ac:dyDescent="0.2">
      <c r="A3" s="35" t="s">
        <v>644</v>
      </c>
      <c r="B3" s="33"/>
      <c r="C3" s="33"/>
      <c r="D3" s="33"/>
      <c r="E3" s="33"/>
      <c r="F3" s="33"/>
      <c r="G3" s="33"/>
      <c r="H3" s="33"/>
      <c r="I3" s="33"/>
      <c r="J3" s="34"/>
    </row>
    <row r="4" spans="1:10" ht="249.5" customHeight="1" x14ac:dyDescent="0.2">
      <c r="A4" s="32" t="s">
        <v>645</v>
      </c>
      <c r="B4" s="33"/>
      <c r="C4" s="33"/>
      <c r="D4" s="33"/>
      <c r="E4" s="33"/>
      <c r="F4" s="33"/>
      <c r="G4" s="33"/>
      <c r="H4" s="33"/>
      <c r="I4" s="33"/>
      <c r="J4" s="34"/>
    </row>
    <row r="6" spans="1:10" x14ac:dyDescent="0.2">
      <c r="A6" s="6" t="s">
        <v>643</v>
      </c>
    </row>
    <row r="7" spans="1:10" ht="15.5" customHeight="1" x14ac:dyDescent="0.2">
      <c r="A7" s="7" t="s">
        <v>46</v>
      </c>
      <c r="B7" s="30" t="s">
        <v>646</v>
      </c>
      <c r="C7" s="31"/>
      <c r="D7" s="31"/>
      <c r="E7" s="31"/>
      <c r="F7" s="31"/>
      <c r="G7" s="31"/>
      <c r="H7" s="31"/>
      <c r="I7" s="31"/>
      <c r="J7" s="31"/>
    </row>
    <row r="8" spans="1:10" ht="15.5" customHeight="1" x14ac:dyDescent="0.2">
      <c r="A8" s="7" t="s">
        <v>48</v>
      </c>
      <c r="B8" s="30" t="s">
        <v>647</v>
      </c>
      <c r="C8" s="31"/>
      <c r="D8" s="31"/>
      <c r="E8" s="31"/>
      <c r="F8" s="31"/>
      <c r="G8" s="31"/>
      <c r="H8" s="31"/>
      <c r="I8" s="31"/>
      <c r="J8" s="31"/>
    </row>
    <row r="9" spans="1:10" ht="46.75" customHeight="1" x14ac:dyDescent="0.2">
      <c r="A9" s="7" t="s">
        <v>50</v>
      </c>
      <c r="B9" s="30" t="s">
        <v>648</v>
      </c>
      <c r="C9" s="31"/>
      <c r="D9" s="31"/>
      <c r="E9" s="31"/>
      <c r="F9" s="31"/>
      <c r="G9" s="31"/>
      <c r="H9" s="31"/>
      <c r="I9" s="31"/>
      <c r="J9" s="31"/>
    </row>
    <row r="10" spans="1:10" ht="15.5" customHeight="1" x14ac:dyDescent="0.2">
      <c r="A10" s="7" t="s">
        <v>52</v>
      </c>
      <c r="B10" s="30" t="s">
        <v>649</v>
      </c>
      <c r="C10" s="31"/>
      <c r="D10" s="31"/>
      <c r="E10" s="31"/>
      <c r="F10" s="31"/>
      <c r="G10" s="31"/>
      <c r="H10" s="31"/>
      <c r="I10" s="31"/>
      <c r="J10" s="31"/>
    </row>
    <row r="11" spans="1:10" ht="15.5" customHeight="1" x14ac:dyDescent="0.2">
      <c r="A11" s="7" t="s">
        <v>54</v>
      </c>
      <c r="B11" s="30" t="s">
        <v>650</v>
      </c>
      <c r="C11" s="31"/>
      <c r="D11" s="31"/>
      <c r="E11" s="31"/>
      <c r="F11" s="31"/>
      <c r="G11" s="31"/>
      <c r="H11" s="31"/>
      <c r="I11" s="31"/>
      <c r="J11" s="31"/>
    </row>
    <row r="12" spans="1:10" x14ac:dyDescent="0.2">
      <c r="A12" s="8" t="s">
        <v>295</v>
      </c>
      <c r="B12" s="8" t="s">
        <v>651</v>
      </c>
      <c r="C12" s="8" t="s">
        <v>652</v>
      </c>
      <c r="D12" s="8" t="s">
        <v>653</v>
      </c>
      <c r="E12" s="8" t="s">
        <v>654</v>
      </c>
      <c r="F12" s="8" t="s">
        <v>655</v>
      </c>
      <c r="G12" s="8" t="s">
        <v>656</v>
      </c>
      <c r="H12" s="8" t="s">
        <v>657</v>
      </c>
      <c r="I12" s="8" t="s">
        <v>487</v>
      </c>
      <c r="J12" s="8" t="s">
        <v>658</v>
      </c>
    </row>
    <row r="13" spans="1:10" x14ac:dyDescent="0.2">
      <c r="A13">
        <f>Base_Year+0</f>
        <v>2026</v>
      </c>
      <c r="B13" s="15">
        <f ca="1">S1_Value*INDEX(Timeline_LearningMult,2)</f>
        <v>42932.397553734678</v>
      </c>
      <c r="C13" s="15">
        <f ca="1">S2_Value*INDEX(Timeline_LearningMult,2)</f>
        <v>29598.511925695151</v>
      </c>
      <c r="D13" s="15">
        <f ca="1">S3_Value*INDEX(Timeline_LearningMult,2)</f>
        <v>103367.22757361468</v>
      </c>
      <c r="E13" s="15">
        <f ca="1">S4_Value*INDEX(Timeline_LearningMult,2)</f>
        <v>25156.192678173324</v>
      </c>
      <c r="F13" s="15">
        <f ca="1">SUM(B13:E13)</f>
        <v>201054.32973121785</v>
      </c>
      <c r="G13" s="15">
        <f>Testing_Cost</f>
        <v>10000</v>
      </c>
      <c r="H13" s="15">
        <f ca="1">F13-G13</f>
        <v>191054.32973121785</v>
      </c>
      <c r="I13">
        <f>INDEX(Timeline_DiscountFactor,2)</f>
        <v>0.95419847328244267</v>
      </c>
      <c r="J13" s="15">
        <f ca="1">H13*I13</f>
        <v>182303.74974352846</v>
      </c>
    </row>
    <row r="14" spans="1:10" x14ac:dyDescent="0.2">
      <c r="A14">
        <f>Base_Year+1</f>
        <v>2027</v>
      </c>
      <c r="B14" s="15">
        <f ca="1">S1_Value*INDEX(Timeline_LearningMult,3)</f>
        <v>64398.596330602013</v>
      </c>
      <c r="C14" s="15">
        <f ca="1">S2_Value*INDEX(Timeline_LearningMult,3)</f>
        <v>44397.76788854273</v>
      </c>
      <c r="D14" s="15">
        <f ca="1">S3_Value*INDEX(Timeline_LearningMult,3)</f>
        <v>155050.84136042203</v>
      </c>
      <c r="E14" s="15">
        <f ca="1">S4_Value*INDEX(Timeline_LearningMult,3)</f>
        <v>37734.289017259987</v>
      </c>
      <c r="F14" s="15">
        <f ca="1">SUM(B14:E14)</f>
        <v>301581.49459682673</v>
      </c>
      <c r="G14" s="15">
        <f>Testing_Cost</f>
        <v>10000</v>
      </c>
      <c r="H14" s="15">
        <f ca="1">F14-G14</f>
        <v>291581.49459682673</v>
      </c>
      <c r="I14">
        <f>INDEX(Timeline_DiscountFactor,3)</f>
        <v>0.91049472641454443</v>
      </c>
      <c r="J14" s="15">
        <f ca="1">H14*I14</f>
        <v>265483.41315048171</v>
      </c>
    </row>
    <row r="15" spans="1:10" x14ac:dyDescent="0.2">
      <c r="A15">
        <f>Base_Year+2</f>
        <v>2028</v>
      </c>
      <c r="B15" s="15">
        <f ca="1">S1_Value*INDEX(Timeline_LearningMult,4)</f>
        <v>85864.795107469356</v>
      </c>
      <c r="C15" s="15">
        <f ca="1">S2_Value*INDEX(Timeline_LearningMult,4)</f>
        <v>59197.023851390302</v>
      </c>
      <c r="D15" s="15">
        <f ca="1">S3_Value*INDEX(Timeline_LearningMult,4)</f>
        <v>206734.45514722937</v>
      </c>
      <c r="E15" s="15">
        <f ca="1">S4_Value*INDEX(Timeline_LearningMult,4)</f>
        <v>50312.385356346647</v>
      </c>
      <c r="F15" s="15">
        <f ca="1">SUM(B15:E15)</f>
        <v>402108.65946243569</v>
      </c>
      <c r="G15" s="15">
        <f>Testing_Cost</f>
        <v>10000</v>
      </c>
      <c r="H15" s="15">
        <f ca="1">F15-G15</f>
        <v>392108.65946243569</v>
      </c>
      <c r="I15">
        <f>INDEX(Timeline_DiscountFactor,4)</f>
        <v>0.86879267787647374</v>
      </c>
      <c r="J15" s="15">
        <f ca="1">H15*I15</f>
        <v>340661.13227292383</v>
      </c>
    </row>
    <row r="16" spans="1:10" x14ac:dyDescent="0.2">
      <c r="A16">
        <f>Base_Year+3</f>
        <v>2029</v>
      </c>
      <c r="B16" s="15">
        <f ca="1">S1_Value*INDEX(Timeline_LearningMult,5)</f>
        <v>85864.795107469356</v>
      </c>
      <c r="C16" s="15">
        <f ca="1">S2_Value*INDEX(Timeline_LearningMult,5)</f>
        <v>59197.023851390302</v>
      </c>
      <c r="D16" s="15">
        <f ca="1">S3_Value*INDEX(Timeline_LearningMult,5)</f>
        <v>206734.45514722937</v>
      </c>
      <c r="E16" s="15">
        <f ca="1">S4_Value*INDEX(Timeline_LearningMult,5)</f>
        <v>50312.385356346647</v>
      </c>
      <c r="F16" s="15">
        <f ca="1">SUM(B16:E16)</f>
        <v>402108.65946243569</v>
      </c>
      <c r="G16" s="15">
        <f>Testing_Cost</f>
        <v>10000</v>
      </c>
      <c r="H16" s="15">
        <f ca="1">F16-G16</f>
        <v>392108.65946243569</v>
      </c>
      <c r="I16">
        <f>INDEX(Timeline_DiscountFactor,5)</f>
        <v>0.82900064682869612</v>
      </c>
      <c r="J16" s="15">
        <f ca="1">H16*I16</f>
        <v>325058.33232149214</v>
      </c>
    </row>
    <row r="17" spans="1:10" x14ac:dyDescent="0.2">
      <c r="A17">
        <f>Base_Year+4</f>
        <v>2030</v>
      </c>
      <c r="B17" s="15">
        <f ca="1">S1_Value*INDEX(Timeline_LearningMult,6)</f>
        <v>85864.795107469356</v>
      </c>
      <c r="C17" s="15">
        <f ca="1">S2_Value*INDEX(Timeline_LearningMult,6)</f>
        <v>59197.023851390302</v>
      </c>
      <c r="D17" s="15">
        <f ca="1">S3_Value*INDEX(Timeline_LearningMult,6)</f>
        <v>206734.45514722937</v>
      </c>
      <c r="E17" s="15">
        <f ca="1">S4_Value*INDEX(Timeline_LearningMult,6)</f>
        <v>50312.385356346647</v>
      </c>
      <c r="F17" s="15">
        <f ca="1">SUM(B17:E17)</f>
        <v>402108.65946243569</v>
      </c>
      <c r="G17" s="15">
        <f>Testing_Cost</f>
        <v>10000</v>
      </c>
      <c r="H17" s="15">
        <f ca="1">F17-G17</f>
        <v>392108.65946243569</v>
      </c>
      <c r="I17">
        <f>INDEX(Timeline_DiscountFactor,6)</f>
        <v>0.79103115155409931</v>
      </c>
      <c r="J17" s="15">
        <f ca="1">H17*I17</f>
        <v>310170.16442890471</v>
      </c>
    </row>
    <row r="20" spans="1:10" ht="19" x14ac:dyDescent="0.25">
      <c r="A20" s="4" t="s">
        <v>659</v>
      </c>
    </row>
    <row r="21" spans="1:10" x14ac:dyDescent="0.2">
      <c r="A21" t="s">
        <v>660</v>
      </c>
      <c r="B21" s="15">
        <f ca="1">SUM(J13:J17)</f>
        <v>1423676.7919173308</v>
      </c>
    </row>
    <row r="22" spans="1:10" x14ac:dyDescent="0.2">
      <c r="A22" t="s">
        <v>661</v>
      </c>
      <c r="B22" s="15">
        <f ca="1">SUM(F13:F17)</f>
        <v>1708961.8027153516</v>
      </c>
    </row>
    <row r="23" spans="1:10" x14ac:dyDescent="0.2">
      <c r="A23" t="s">
        <v>662</v>
      </c>
      <c r="B23" s="15">
        <f ca="1">SUM(H13:H17)</f>
        <v>1658961.8027153516</v>
      </c>
    </row>
  </sheetData>
  <mergeCells count="7">
    <mergeCell ref="B7:J7"/>
    <mergeCell ref="B11:J11"/>
    <mergeCell ref="B10:J10"/>
    <mergeCell ref="A3:J3"/>
    <mergeCell ref="B9:J9"/>
    <mergeCell ref="A4:J4"/>
    <mergeCell ref="B8:J8"/>
  </mergeCells>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4472C4"/>
  </sheetPr>
  <dimension ref="A1:D17"/>
  <sheetViews>
    <sheetView workbookViewId="0"/>
  </sheetViews>
  <sheetFormatPr baseColWidth="10" defaultColWidth="8.83203125" defaultRowHeight="15" x14ac:dyDescent="0.2"/>
  <cols>
    <col min="1" max="1" width="12" customWidth="1"/>
    <col min="2" max="4" width="16" customWidth="1"/>
  </cols>
  <sheetData>
    <row r="1" spans="1:4" ht="21" x14ac:dyDescent="0.25">
      <c r="A1" s="5" t="s">
        <v>663</v>
      </c>
    </row>
    <row r="3" spans="1:4" x14ac:dyDescent="0.2">
      <c r="A3" s="35" t="s">
        <v>664</v>
      </c>
      <c r="B3" s="33"/>
      <c r="C3" s="33"/>
      <c r="D3" s="34"/>
    </row>
    <row r="4" spans="1:4" ht="312" customHeight="1" x14ac:dyDescent="0.2">
      <c r="A4" s="32" t="s">
        <v>665</v>
      </c>
      <c r="B4" s="33"/>
      <c r="C4" s="33"/>
      <c r="D4" s="34"/>
    </row>
    <row r="6" spans="1:4" x14ac:dyDescent="0.2">
      <c r="A6" s="6" t="s">
        <v>666</v>
      </c>
    </row>
    <row r="7" spans="1:4" ht="31.25" customHeight="1" x14ac:dyDescent="0.2">
      <c r="A7" s="7" t="s">
        <v>46</v>
      </c>
      <c r="B7" s="30" t="s">
        <v>667</v>
      </c>
      <c r="C7" s="31"/>
      <c r="D7" s="31"/>
    </row>
    <row r="8" spans="1:4" ht="31.25" customHeight="1" x14ac:dyDescent="0.2">
      <c r="A8" s="7" t="s">
        <v>48</v>
      </c>
      <c r="B8" s="30" t="s">
        <v>668</v>
      </c>
      <c r="C8" s="31"/>
      <c r="D8" s="31"/>
    </row>
    <row r="9" spans="1:4" ht="62.5" customHeight="1" x14ac:dyDescent="0.2">
      <c r="A9" s="7" t="s">
        <v>50</v>
      </c>
      <c r="B9" s="30" t="s">
        <v>669</v>
      </c>
      <c r="C9" s="31"/>
      <c r="D9" s="31"/>
    </row>
    <row r="10" spans="1:4" ht="15.5" customHeight="1" x14ac:dyDescent="0.2">
      <c r="A10" s="7" t="s">
        <v>52</v>
      </c>
      <c r="B10" s="30" t="s">
        <v>670</v>
      </c>
      <c r="C10" s="31"/>
      <c r="D10" s="31"/>
    </row>
    <row r="11" spans="1:4" ht="15.5" customHeight="1" x14ac:dyDescent="0.2">
      <c r="A11" s="7" t="s">
        <v>54</v>
      </c>
      <c r="B11" s="30" t="s">
        <v>671</v>
      </c>
      <c r="C11" s="31"/>
      <c r="D11" s="31"/>
    </row>
    <row r="12" spans="1:4" x14ac:dyDescent="0.2">
      <c r="A12" s="8" t="s">
        <v>295</v>
      </c>
      <c r="B12" s="8" t="s">
        <v>672</v>
      </c>
      <c r="C12" s="8" t="s">
        <v>673</v>
      </c>
      <c r="D12" s="8" t="s">
        <v>674</v>
      </c>
    </row>
    <row r="13" spans="1:4" x14ac:dyDescent="0.2">
      <c r="A13">
        <f>Base_Year+0</f>
        <v>2026</v>
      </c>
      <c r="B13" s="15">
        <f ca="1">INDEX(tbl_Annual[Net_Annual],1)</f>
        <v>191054.32973121785</v>
      </c>
      <c r="C13" s="15">
        <f ca="1">B13</f>
        <v>191054.32973121785</v>
      </c>
      <c r="D13" s="15">
        <f ca="1">INDEX(tbl_Annual[Discounted],1)</f>
        <v>182303.74974352846</v>
      </c>
    </row>
    <row r="14" spans="1:4" x14ac:dyDescent="0.2">
      <c r="A14">
        <f>Base_Year+1</f>
        <v>2027</v>
      </c>
      <c r="B14" s="15">
        <f ca="1">INDEX(tbl_Annual[Net_Annual],2)</f>
        <v>291581.49459682673</v>
      </c>
      <c r="C14" s="15">
        <f ca="1">C13+B14</f>
        <v>482635.82432804455</v>
      </c>
      <c r="D14" s="15">
        <f ca="1">D13+INDEX(tbl_Annual[Discounted],2)</f>
        <v>447787.16289401019</v>
      </c>
    </row>
    <row r="15" spans="1:4" x14ac:dyDescent="0.2">
      <c r="A15">
        <f>Base_Year+2</f>
        <v>2028</v>
      </c>
      <c r="B15" s="15">
        <f ca="1">INDEX(tbl_Annual[Net_Annual],3)</f>
        <v>392108.65946243569</v>
      </c>
      <c r="C15" s="15">
        <f ca="1">C14+B15</f>
        <v>874744.4837904803</v>
      </c>
      <c r="D15" s="15">
        <f ca="1">D14+INDEX(tbl_Annual[Discounted],3)</f>
        <v>788448.29516693403</v>
      </c>
    </row>
    <row r="16" spans="1:4" x14ac:dyDescent="0.2">
      <c r="A16">
        <f>Base_Year+3</f>
        <v>2029</v>
      </c>
      <c r="B16" s="15">
        <f ca="1">INDEX(tbl_Annual[Net_Annual],4)</f>
        <v>392108.65946243569</v>
      </c>
      <c r="C16" s="15">
        <f ca="1">C15+B16</f>
        <v>1266853.1432529159</v>
      </c>
      <c r="D16" s="15">
        <f ca="1">D15+INDEX(tbl_Annual[Discounted],4)</f>
        <v>1113506.6274884262</v>
      </c>
    </row>
    <row r="17" spans="1:4" x14ac:dyDescent="0.2">
      <c r="A17">
        <f>Base_Year+4</f>
        <v>2030</v>
      </c>
      <c r="B17" s="15">
        <f ca="1">INDEX(tbl_Annual[Net_Annual],5)</f>
        <v>392108.65946243569</v>
      </c>
      <c r="C17" s="15">
        <f ca="1">C16+B17</f>
        <v>1658961.8027153516</v>
      </c>
      <c r="D17" s="15">
        <f ca="1">D16+INDEX(tbl_Annual[Discounted],5)</f>
        <v>1423676.7919173308</v>
      </c>
    </row>
  </sheetData>
  <mergeCells count="7">
    <mergeCell ref="B10:D10"/>
    <mergeCell ref="B11:D11"/>
    <mergeCell ref="A4:D4"/>
    <mergeCell ref="B8:D8"/>
    <mergeCell ref="A3:D3"/>
    <mergeCell ref="B9:D9"/>
    <mergeCell ref="B7:D7"/>
  </mergeCells>
  <pageMargins left="0.75" right="0.75" top="1" bottom="1" header="0.5" footer="0.5"/>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4472C4"/>
  </sheetPr>
  <dimension ref="A1:D26"/>
  <sheetViews>
    <sheetView workbookViewId="0"/>
  </sheetViews>
  <sheetFormatPr baseColWidth="10" defaultColWidth="8.83203125" defaultRowHeight="15" x14ac:dyDescent="0.2"/>
  <cols>
    <col min="1" max="1" width="28" customWidth="1"/>
    <col min="2" max="2" width="18" customWidth="1"/>
    <col min="3" max="3" width="10" customWidth="1"/>
    <col min="4" max="4" width="25" customWidth="1"/>
  </cols>
  <sheetData>
    <row r="1" spans="1:4" ht="21" x14ac:dyDescent="0.25">
      <c r="A1" s="5" t="s">
        <v>675</v>
      </c>
    </row>
    <row r="3" spans="1:4" x14ac:dyDescent="0.2">
      <c r="A3" s="35" t="s">
        <v>676</v>
      </c>
      <c r="B3" s="33"/>
      <c r="C3" s="33"/>
      <c r="D3" s="34"/>
    </row>
    <row r="4" spans="1:4" ht="327.5" customHeight="1" x14ac:dyDescent="0.2">
      <c r="A4" s="32" t="s">
        <v>677</v>
      </c>
      <c r="B4" s="33"/>
      <c r="C4" s="33"/>
      <c r="D4" s="34"/>
    </row>
    <row r="6" spans="1:4" x14ac:dyDescent="0.2">
      <c r="A6" s="6" t="s">
        <v>675</v>
      </c>
    </row>
    <row r="7" spans="1:4" ht="31.25" customHeight="1" x14ac:dyDescent="0.2">
      <c r="A7" s="7" t="s">
        <v>46</v>
      </c>
      <c r="B7" s="30" t="s">
        <v>678</v>
      </c>
      <c r="C7" s="31"/>
      <c r="D7" s="31"/>
    </row>
    <row r="8" spans="1:4" ht="31.25" customHeight="1" x14ac:dyDescent="0.2">
      <c r="A8" s="7" t="s">
        <v>48</v>
      </c>
      <c r="B8" s="30" t="s">
        <v>679</v>
      </c>
      <c r="C8" s="31"/>
      <c r="D8" s="31"/>
    </row>
    <row r="9" spans="1:4" ht="78" customHeight="1" x14ac:dyDescent="0.2">
      <c r="A9" s="7" t="s">
        <v>50</v>
      </c>
      <c r="B9" s="30" t="s">
        <v>680</v>
      </c>
      <c r="C9" s="31"/>
      <c r="D9" s="31"/>
    </row>
    <row r="10" spans="1:4" ht="31.25" customHeight="1" x14ac:dyDescent="0.2">
      <c r="A10" s="7" t="s">
        <v>52</v>
      </c>
      <c r="B10" s="30" t="s">
        <v>681</v>
      </c>
      <c r="C10" s="31"/>
      <c r="D10" s="31"/>
    </row>
    <row r="11" spans="1:4" ht="15.5" customHeight="1" x14ac:dyDescent="0.2">
      <c r="A11" s="7" t="s">
        <v>54</v>
      </c>
      <c r="B11" s="30" t="s">
        <v>682</v>
      </c>
      <c r="C11" s="31"/>
      <c r="D11" s="31"/>
    </row>
    <row r="12" spans="1:4" x14ac:dyDescent="0.2">
      <c r="A12" s="8" t="s">
        <v>491</v>
      </c>
      <c r="B12" s="8" t="s">
        <v>57</v>
      </c>
      <c r="C12" s="8" t="s">
        <v>227</v>
      </c>
      <c r="D12" s="8" t="s">
        <v>492</v>
      </c>
    </row>
    <row r="13" spans="1:4" x14ac:dyDescent="0.2">
      <c r="A13" t="s">
        <v>683</v>
      </c>
      <c r="B13">
        <f>Annual_Throughput</f>
        <v>50000</v>
      </c>
      <c r="C13" t="s">
        <v>273</v>
      </c>
      <c r="D13" t="s">
        <v>684</v>
      </c>
    </row>
    <row r="14" spans="1:4" x14ac:dyDescent="0.2">
      <c r="A14" t="s">
        <v>685</v>
      </c>
      <c r="B14" s="27">
        <f ca="1">Gross_Value</f>
        <v>402108.65946243569</v>
      </c>
      <c r="C14" t="s">
        <v>287</v>
      </c>
      <c r="D14" t="s">
        <v>686</v>
      </c>
    </row>
    <row r="15" spans="1:4" x14ac:dyDescent="0.2">
      <c r="A15" t="s">
        <v>687</v>
      </c>
      <c r="B15" s="27">
        <f>Testing_Cost</f>
        <v>10000</v>
      </c>
      <c r="C15" t="s">
        <v>287</v>
      </c>
      <c r="D15" t="s">
        <v>688</v>
      </c>
    </row>
    <row r="16" spans="1:4" x14ac:dyDescent="0.2">
      <c r="A16" t="s">
        <v>689</v>
      </c>
      <c r="B16" s="27">
        <f ca="1">Gross_Value-Testing_Cost</f>
        <v>392108.65946243569</v>
      </c>
      <c r="C16" t="s">
        <v>287</v>
      </c>
      <c r="D16" t="s">
        <v>690</v>
      </c>
    </row>
    <row r="17" spans="1:4" x14ac:dyDescent="0.2">
      <c r="A17" t="s">
        <v>691</v>
      </c>
      <c r="B17" s="27">
        <f ca="1">Gross_Value/Annual_Throughput</f>
        <v>8.0421731892487145</v>
      </c>
      <c r="C17" t="s">
        <v>276</v>
      </c>
      <c r="D17" t="s">
        <v>692</v>
      </c>
    </row>
    <row r="18" spans="1:4" x14ac:dyDescent="0.2">
      <c r="A18" t="s">
        <v>693</v>
      </c>
      <c r="B18" s="27">
        <f ca="1">(Gross_Value-Testing_Cost)/Annual_Throughput</f>
        <v>7.8421731892487143</v>
      </c>
      <c r="C18" t="s">
        <v>276</v>
      </c>
      <c r="D18" t="s">
        <v>694</v>
      </c>
    </row>
    <row r="19" spans="1:4" x14ac:dyDescent="0.2">
      <c r="A19" t="s">
        <v>695</v>
      </c>
      <c r="B19" s="27">
        <f>Testing_Cost/Annual_Throughput</f>
        <v>0.2</v>
      </c>
      <c r="C19" t="s">
        <v>276</v>
      </c>
      <c r="D19" t="s">
        <v>696</v>
      </c>
    </row>
    <row r="20" spans="1:4" x14ac:dyDescent="0.2">
      <c r="A20" t="s">
        <v>697</v>
      </c>
      <c r="B20" s="27">
        <f ca="1">NPV_Total/(Annual_Throughput*5)</f>
        <v>5.6947071676693231</v>
      </c>
      <c r="C20" t="s">
        <v>276</v>
      </c>
      <c r="D20" t="s">
        <v>698</v>
      </c>
    </row>
    <row r="23" spans="1:4" ht="19" x14ac:dyDescent="0.25">
      <c r="A23" s="4" t="s">
        <v>699</v>
      </c>
    </row>
    <row r="24" spans="1:4" x14ac:dyDescent="0.2">
      <c r="A24" t="s">
        <v>700</v>
      </c>
      <c r="B24" s="15">
        <f>INDEX(TestOpt_Cost,MATCH(Testing_Option,TestOpt_Option,0))</f>
        <v>10</v>
      </c>
    </row>
    <row r="25" spans="1:4" x14ac:dyDescent="0.2">
      <c r="A25" t="s">
        <v>701</v>
      </c>
      <c r="B25">
        <f>Testing_Cost/INDEX(TestOpt_Cost,MATCH(Testing_Option,TestOpt_Option,0))</f>
        <v>1000</v>
      </c>
    </row>
    <row r="26" spans="1:4" x14ac:dyDescent="0.2">
      <c r="A26" t="s">
        <v>702</v>
      </c>
      <c r="B26" s="27">
        <f ca="1">(Gross_Value-Testing_Cost)/(Testing_Cost/INDEX(TestOpt_Cost,MATCH(Testing_Option,TestOpt_Option,0)))</f>
        <v>392.1086594624357</v>
      </c>
    </row>
  </sheetData>
  <mergeCells count="7">
    <mergeCell ref="B10:D10"/>
    <mergeCell ref="B11:D11"/>
    <mergeCell ref="A4:D4"/>
    <mergeCell ref="B8:D8"/>
    <mergeCell ref="A3:D3"/>
    <mergeCell ref="B9:D9"/>
    <mergeCell ref="B7:D7"/>
  </mergeCells>
  <pageMargins left="0.75" right="0.75" top="1" bottom="1" header="0.5" footer="0.5"/>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4472C4"/>
  </sheetPr>
  <dimension ref="A1:G27"/>
  <sheetViews>
    <sheetView workbookViewId="0"/>
  </sheetViews>
  <sheetFormatPr baseColWidth="10" defaultColWidth="8.83203125" defaultRowHeight="15" x14ac:dyDescent="0.2"/>
  <cols>
    <col min="1" max="1" width="18" customWidth="1"/>
    <col min="2" max="4" width="12" customWidth="1"/>
    <col min="5" max="7" width="15" customWidth="1"/>
  </cols>
  <sheetData>
    <row r="1" spans="1:7" ht="21" x14ac:dyDescent="0.25">
      <c r="A1" s="5" t="s">
        <v>703</v>
      </c>
    </row>
    <row r="3" spans="1:7" x14ac:dyDescent="0.2">
      <c r="A3" s="35" t="s">
        <v>704</v>
      </c>
      <c r="B3" s="33"/>
      <c r="C3" s="33"/>
      <c r="D3" s="33"/>
      <c r="E3" s="33"/>
      <c r="F3" s="33"/>
      <c r="G3" s="34"/>
    </row>
    <row r="4" spans="1:7" ht="374.5" customHeight="1" x14ac:dyDescent="0.2">
      <c r="A4" s="32" t="s">
        <v>705</v>
      </c>
      <c r="B4" s="33"/>
      <c r="C4" s="33"/>
      <c r="D4" s="33"/>
      <c r="E4" s="33"/>
      <c r="F4" s="33"/>
      <c r="G4" s="34"/>
    </row>
    <row r="6" spans="1:7" x14ac:dyDescent="0.2">
      <c r="A6" s="6" t="s">
        <v>703</v>
      </c>
    </row>
    <row r="7" spans="1:7" ht="31.25" customHeight="1" x14ac:dyDescent="0.2">
      <c r="A7" s="7" t="s">
        <v>46</v>
      </c>
      <c r="B7" s="30" t="s">
        <v>706</v>
      </c>
      <c r="C7" s="31"/>
      <c r="D7" s="31"/>
      <c r="E7" s="31"/>
      <c r="F7" s="31"/>
      <c r="G7" s="31"/>
    </row>
    <row r="8" spans="1:7" ht="15.5" customHeight="1" x14ac:dyDescent="0.2">
      <c r="A8" s="7" t="s">
        <v>48</v>
      </c>
      <c r="B8" s="30" t="s">
        <v>707</v>
      </c>
      <c r="C8" s="31"/>
      <c r="D8" s="31"/>
      <c r="E8" s="31"/>
      <c r="F8" s="31"/>
      <c r="G8" s="31"/>
    </row>
    <row r="9" spans="1:7" ht="46.75" customHeight="1" x14ac:dyDescent="0.2">
      <c r="A9" s="7" t="s">
        <v>50</v>
      </c>
      <c r="B9" s="30" t="s">
        <v>708</v>
      </c>
      <c r="C9" s="31"/>
      <c r="D9" s="31"/>
      <c r="E9" s="31"/>
      <c r="F9" s="31"/>
      <c r="G9" s="31"/>
    </row>
    <row r="10" spans="1:7" ht="15.5" customHeight="1" x14ac:dyDescent="0.2">
      <c r="A10" s="7" t="s">
        <v>52</v>
      </c>
      <c r="B10" s="30" t="s">
        <v>709</v>
      </c>
      <c r="C10" s="31"/>
      <c r="D10" s="31"/>
      <c r="E10" s="31"/>
      <c r="F10" s="31"/>
      <c r="G10" s="31"/>
    </row>
    <row r="11" spans="1:7" ht="15.5" customHeight="1" x14ac:dyDescent="0.2">
      <c r="A11" s="7" t="s">
        <v>54</v>
      </c>
      <c r="B11" s="30" t="s">
        <v>710</v>
      </c>
      <c r="C11" s="31"/>
      <c r="D11" s="31"/>
      <c r="E11" s="31"/>
      <c r="F11" s="31"/>
      <c r="G11" s="31"/>
    </row>
    <row r="12" spans="1:7" x14ac:dyDescent="0.2">
      <c r="A12" s="8" t="s">
        <v>56</v>
      </c>
      <c r="B12" s="8" t="s">
        <v>468</v>
      </c>
      <c r="C12" s="8" t="s">
        <v>65</v>
      </c>
      <c r="D12" s="8" t="s">
        <v>469</v>
      </c>
      <c r="E12" s="8" t="s">
        <v>711</v>
      </c>
      <c r="F12" s="8" t="s">
        <v>712</v>
      </c>
      <c r="G12" s="8" t="s">
        <v>713</v>
      </c>
    </row>
    <row r="13" spans="1:7" x14ac:dyDescent="0.2">
      <c r="A13" t="s">
        <v>714</v>
      </c>
      <c r="B13">
        <v>3</v>
      </c>
      <c r="C13">
        <v>5</v>
      </c>
      <c r="D13">
        <v>10</v>
      </c>
      <c r="E13" s="15">
        <f ca="1">NPV_Total*(B13/C13)</f>
        <v>854206.07515039842</v>
      </c>
      <c r="F13" s="15">
        <f ca="1">NPV_Total*(D13/C13)</f>
        <v>2847353.5838346616</v>
      </c>
      <c r="G13" s="15">
        <f ca="1">ABS(F13-E13)</f>
        <v>1993147.5086842631</v>
      </c>
    </row>
    <row r="14" spans="1:7" x14ac:dyDescent="0.2">
      <c r="A14" t="s">
        <v>67</v>
      </c>
      <c r="B14">
        <v>0.04</v>
      </c>
      <c r="C14">
        <v>4.8000000000000001E-2</v>
      </c>
      <c r="D14">
        <v>0.06</v>
      </c>
      <c r="E14" s="15">
        <f ca="1">NPV_Total*((1+C14)/(1+B14))^2.5</f>
        <v>1451213.3463773811</v>
      </c>
      <c r="F14" s="15">
        <f ca="1">NPV_Total*((1+C14)/(1+D14))^2.5</f>
        <v>1383725.5142844641</v>
      </c>
      <c r="G14" s="15">
        <f ca="1">ABS(F14-E14)</f>
        <v>67487.832092917059</v>
      </c>
    </row>
    <row r="15" spans="1:7" x14ac:dyDescent="0.2">
      <c r="A15" t="s">
        <v>186</v>
      </c>
      <c r="B15">
        <v>80</v>
      </c>
      <c r="C15">
        <v>100</v>
      </c>
      <c r="D15">
        <v>120</v>
      </c>
      <c r="E15" s="15">
        <f ca="1">NPV_Total*(B15/C15)</f>
        <v>1138941.4335338648</v>
      </c>
      <c r="F15" s="15">
        <f ca="1">NPV_Total*(D15/C15)</f>
        <v>1708412.1503007968</v>
      </c>
      <c r="G15" s="15">
        <f ca="1">ABS(F15-E15)</f>
        <v>569470.71676693205</v>
      </c>
    </row>
    <row r="16" spans="1:7" x14ac:dyDescent="0.2">
      <c r="A16" t="s">
        <v>715</v>
      </c>
      <c r="B16">
        <v>0.5</v>
      </c>
      <c r="C16">
        <v>1</v>
      </c>
      <c r="D16">
        <v>2</v>
      </c>
      <c r="E16" s="15">
        <f ca="1">NPV_Total*(B16/C16)</f>
        <v>711838.39595866541</v>
      </c>
      <c r="F16" s="15">
        <f ca="1">NPV_Total*(D16/C16)</f>
        <v>2847353.5838346616</v>
      </c>
      <c r="G16" s="15">
        <f ca="1">ABS(F16-E16)</f>
        <v>2135515.1878759963</v>
      </c>
    </row>
    <row r="19" spans="1:1" ht="19" x14ac:dyDescent="0.25">
      <c r="A19" s="4" t="s">
        <v>716</v>
      </c>
    </row>
    <row r="20" spans="1:1" x14ac:dyDescent="0.2">
      <c r="A20" t="s">
        <v>717</v>
      </c>
    </row>
    <row r="21" spans="1:1" x14ac:dyDescent="0.2">
      <c r="A21" t="s">
        <v>718</v>
      </c>
    </row>
    <row r="22" spans="1:1" x14ac:dyDescent="0.2">
      <c r="A22" t="s">
        <v>719</v>
      </c>
    </row>
    <row r="24" spans="1:1" ht="19" x14ac:dyDescent="0.25">
      <c r="A24" s="4" t="s">
        <v>720</v>
      </c>
    </row>
    <row r="25" spans="1:1" x14ac:dyDescent="0.2">
      <c r="A25" t="s">
        <v>721</v>
      </c>
    </row>
    <row r="26" spans="1:1" x14ac:dyDescent="0.2">
      <c r="A26" t="s">
        <v>722</v>
      </c>
    </row>
    <row r="27" spans="1:1" x14ac:dyDescent="0.2">
      <c r="A27" t="s">
        <v>723</v>
      </c>
    </row>
  </sheetData>
  <mergeCells count="7">
    <mergeCell ref="B11:G11"/>
    <mergeCell ref="B10:G10"/>
    <mergeCell ref="A3:G3"/>
    <mergeCell ref="B9:G9"/>
    <mergeCell ref="A4:G4"/>
    <mergeCell ref="B8:G8"/>
    <mergeCell ref="B7:G7"/>
  </mergeCells>
  <pageMargins left="0.75" right="0.75" top="1" bottom="1" header="0.5" footer="0.5"/>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70AD47"/>
  </sheetPr>
  <dimension ref="A1:D67"/>
  <sheetViews>
    <sheetView workbookViewId="0"/>
  </sheetViews>
  <sheetFormatPr baseColWidth="10" defaultColWidth="8.83203125" defaultRowHeight="15" x14ac:dyDescent="0.2"/>
  <cols>
    <col min="1" max="1" width="30" customWidth="1"/>
    <col min="2" max="2" width="18" customWidth="1"/>
    <col min="3" max="3" width="16" customWidth="1"/>
    <col min="4" max="4" width="18" customWidth="1"/>
  </cols>
  <sheetData>
    <row r="1" spans="1:4" ht="21" x14ac:dyDescent="0.25">
      <c r="A1" s="5" t="s">
        <v>724</v>
      </c>
    </row>
    <row r="3" spans="1:4" x14ac:dyDescent="0.2">
      <c r="A3" s="35" t="s">
        <v>725</v>
      </c>
      <c r="B3" s="33"/>
      <c r="C3" s="33"/>
      <c r="D3" s="34"/>
    </row>
    <row r="4" spans="1:4" ht="280.75" customHeight="1" x14ac:dyDescent="0.2">
      <c r="A4" s="32" t="s">
        <v>726</v>
      </c>
      <c r="B4" s="33"/>
      <c r="C4" s="33"/>
      <c r="D4" s="34"/>
    </row>
    <row r="6" spans="1:4" x14ac:dyDescent="0.2">
      <c r="A6" s="6" t="s">
        <v>727</v>
      </c>
    </row>
    <row r="7" spans="1:4" ht="31.25" customHeight="1" x14ac:dyDescent="0.2">
      <c r="A7" s="7" t="s">
        <v>46</v>
      </c>
      <c r="B7" s="30" t="s">
        <v>728</v>
      </c>
      <c r="C7" s="31"/>
      <c r="D7" s="31"/>
    </row>
    <row r="8" spans="1:4" ht="31.25" customHeight="1" x14ac:dyDescent="0.2">
      <c r="A8" s="7" t="s">
        <v>48</v>
      </c>
      <c r="B8" s="30" t="s">
        <v>729</v>
      </c>
      <c r="C8" s="31"/>
      <c r="D8" s="31"/>
    </row>
    <row r="9" spans="1:4" ht="124.75" customHeight="1" x14ac:dyDescent="0.2">
      <c r="A9" s="7" t="s">
        <v>50</v>
      </c>
      <c r="B9" s="30" t="s">
        <v>730</v>
      </c>
      <c r="C9" s="31"/>
      <c r="D9" s="31"/>
    </row>
    <row r="10" spans="1:4" ht="31.25" customHeight="1" x14ac:dyDescent="0.2">
      <c r="A10" s="7" t="s">
        <v>52</v>
      </c>
      <c r="B10" s="30" t="s">
        <v>731</v>
      </c>
      <c r="C10" s="31"/>
      <c r="D10" s="31"/>
    </row>
    <row r="11" spans="1:4" ht="15.5" customHeight="1" x14ac:dyDescent="0.2">
      <c r="A11" s="7" t="s">
        <v>54</v>
      </c>
      <c r="B11" s="30" t="s">
        <v>732</v>
      </c>
      <c r="C11" s="31"/>
      <c r="D11" s="31"/>
    </row>
    <row r="12" spans="1:4" x14ac:dyDescent="0.2">
      <c r="A12" s="8" t="s">
        <v>491</v>
      </c>
      <c r="B12" s="8" t="s">
        <v>57</v>
      </c>
    </row>
    <row r="13" spans="1:4" x14ac:dyDescent="0.2">
      <c r="A13" t="s">
        <v>733</v>
      </c>
      <c r="B13" t="str">
        <f>Testing_Option</f>
        <v>Daily_Biosensor</v>
      </c>
    </row>
    <row r="14" spans="1:4" x14ac:dyDescent="0.2">
      <c r="A14" t="s">
        <v>734</v>
      </c>
      <c r="B14" s="15">
        <f ca="1">NPV_Total</f>
        <v>1423676.7919173308</v>
      </c>
    </row>
    <row r="15" spans="1:4" x14ac:dyDescent="0.2">
      <c r="A15" t="s">
        <v>735</v>
      </c>
      <c r="B15" s="15">
        <f>MC_P10</f>
        <v>965961.28827757144</v>
      </c>
    </row>
    <row r="16" spans="1:4" x14ac:dyDescent="0.2">
      <c r="A16" t="s">
        <v>736</v>
      </c>
      <c r="B16" s="15">
        <f>MC_P50</f>
        <v>1284580.3761974676</v>
      </c>
    </row>
    <row r="17" spans="1:4" x14ac:dyDescent="0.2">
      <c r="A17" t="s">
        <v>737</v>
      </c>
      <c r="B17" s="15">
        <f>MC_P90</f>
        <v>1601228.7589006354</v>
      </c>
    </row>
    <row r="18" spans="1:4" x14ac:dyDescent="0.2">
      <c r="A18" t="s">
        <v>738</v>
      </c>
      <c r="B18" s="25">
        <f>MC_Prob_Positive</f>
        <v>1</v>
      </c>
    </row>
    <row r="19" spans="1:4" x14ac:dyDescent="0.2">
      <c r="A19" t="s">
        <v>739</v>
      </c>
      <c r="B19" s="15">
        <f>Testing_Cost</f>
        <v>10000</v>
      </c>
    </row>
    <row r="20" spans="1:4" x14ac:dyDescent="0.2">
      <c r="A20" t="s">
        <v>740</v>
      </c>
      <c r="B20" s="15">
        <f ca="1">Year1_Gross_Value</f>
        <v>201054.32973121785</v>
      </c>
    </row>
    <row r="21" spans="1:4" x14ac:dyDescent="0.2">
      <c r="A21" t="s">
        <v>741</v>
      </c>
      <c r="B21" s="15">
        <f ca="1">Year1_Net_Value</f>
        <v>191054.32973121785</v>
      </c>
    </row>
    <row r="23" spans="1:4" x14ac:dyDescent="0.2">
      <c r="A23" s="6" t="s">
        <v>742</v>
      </c>
    </row>
    <row r="24" spans="1:4" ht="31.25" customHeight="1" x14ac:dyDescent="0.2">
      <c r="A24" s="7" t="s">
        <v>46</v>
      </c>
      <c r="B24" s="30" t="s">
        <v>743</v>
      </c>
      <c r="C24" s="31"/>
      <c r="D24" s="31"/>
    </row>
    <row r="25" spans="1:4" ht="31.25" customHeight="1" x14ac:dyDescent="0.2">
      <c r="A25" s="7" t="s">
        <v>48</v>
      </c>
      <c r="B25" s="30" t="s">
        <v>744</v>
      </c>
      <c r="C25" s="31"/>
      <c r="D25" s="31"/>
    </row>
    <row r="26" spans="1:4" ht="124.75" customHeight="1" x14ac:dyDescent="0.2">
      <c r="A26" s="7" t="s">
        <v>50</v>
      </c>
      <c r="B26" s="30" t="s">
        <v>745</v>
      </c>
      <c r="C26" s="31"/>
      <c r="D26" s="31"/>
    </row>
    <row r="27" spans="1:4" ht="31.25" customHeight="1" x14ac:dyDescent="0.2">
      <c r="A27" s="7" t="s">
        <v>52</v>
      </c>
      <c r="B27" s="30" t="s">
        <v>746</v>
      </c>
      <c r="C27" s="31"/>
      <c r="D27" s="31"/>
    </row>
    <row r="28" spans="1:4" ht="15.5" customHeight="1" x14ac:dyDescent="0.2">
      <c r="A28" s="7" t="s">
        <v>54</v>
      </c>
      <c r="B28" s="30" t="s">
        <v>747</v>
      </c>
      <c r="C28" s="31"/>
      <c r="D28" s="31"/>
    </row>
    <row r="29" spans="1:4" x14ac:dyDescent="0.2">
      <c r="A29" s="8" t="s">
        <v>93</v>
      </c>
      <c r="B29" s="8" t="s">
        <v>593</v>
      </c>
      <c r="C29" s="8" t="s">
        <v>541</v>
      </c>
    </row>
    <row r="30" spans="1:4" x14ac:dyDescent="0.2">
      <c r="A30" t="s">
        <v>97</v>
      </c>
      <c r="B30" s="15">
        <f ca="1">S1_Value</f>
        <v>85864.795107469356</v>
      </c>
      <c r="C30" t="str">
        <f>INDEX(Gate_S1,MATCH(Testing_Option,TestOpt_Option,0))</f>
        <v>ENABLED</v>
      </c>
    </row>
    <row r="31" spans="1:4" x14ac:dyDescent="0.2">
      <c r="A31" t="s">
        <v>101</v>
      </c>
      <c r="B31" s="15">
        <f ca="1">S2_Value</f>
        <v>59197.023851390302</v>
      </c>
      <c r="C31" t="str">
        <f>INDEX(Gate_S2,MATCH(Testing_Option,TestOpt_Option,0))</f>
        <v>ENABLED</v>
      </c>
    </row>
    <row r="32" spans="1:4" x14ac:dyDescent="0.2">
      <c r="A32" t="s">
        <v>102</v>
      </c>
      <c r="B32" s="15">
        <f ca="1">S3_Value</f>
        <v>206734.45514722937</v>
      </c>
      <c r="C32" t="str">
        <f>INDEX(Gate_S3,MATCH(Testing_Option,TestOpt_Option,0))</f>
        <v>ENABLED</v>
      </c>
    </row>
    <row r="33" spans="1:4" x14ac:dyDescent="0.2">
      <c r="A33" t="s">
        <v>104</v>
      </c>
      <c r="B33" s="15">
        <f ca="1">S4_Value</f>
        <v>50312.385356346647</v>
      </c>
      <c r="C33" t="str">
        <f>INDEX(Gate_S4,MATCH(Testing_Option,TestOpt_Option,0))</f>
        <v>ENABLED</v>
      </c>
    </row>
    <row r="35" spans="1:4" x14ac:dyDescent="0.2">
      <c r="A35" s="6" t="s">
        <v>489</v>
      </c>
    </row>
    <row r="36" spans="1:4" ht="31.25" customHeight="1" x14ac:dyDescent="0.2">
      <c r="A36" s="7" t="s">
        <v>46</v>
      </c>
      <c r="B36" s="30" t="s">
        <v>748</v>
      </c>
      <c r="C36" s="31"/>
      <c r="D36" s="31"/>
    </row>
    <row r="37" spans="1:4" ht="31.25" customHeight="1" x14ac:dyDescent="0.2">
      <c r="A37" s="7" t="s">
        <v>48</v>
      </c>
      <c r="B37" s="30" t="s">
        <v>749</v>
      </c>
      <c r="C37" s="31"/>
      <c r="D37" s="31"/>
    </row>
    <row r="38" spans="1:4" ht="124.75" customHeight="1" x14ac:dyDescent="0.2">
      <c r="A38" s="7" t="s">
        <v>50</v>
      </c>
      <c r="B38" s="30" t="s">
        <v>750</v>
      </c>
      <c r="C38" s="31"/>
      <c r="D38" s="31"/>
    </row>
    <row r="39" spans="1:4" ht="15.5" customHeight="1" x14ac:dyDescent="0.2">
      <c r="A39" s="7" t="s">
        <v>52</v>
      </c>
      <c r="B39" s="30" t="s">
        <v>751</v>
      </c>
      <c r="C39" s="31"/>
      <c r="D39" s="31"/>
    </row>
    <row r="40" spans="1:4" ht="15.5" customHeight="1" x14ac:dyDescent="0.2">
      <c r="A40" s="7" t="s">
        <v>54</v>
      </c>
      <c r="B40" s="30" t="s">
        <v>752</v>
      </c>
      <c r="C40" s="31"/>
      <c r="D40" s="31"/>
    </row>
    <row r="41" spans="1:4" x14ac:dyDescent="0.2">
      <c r="A41" s="8" t="s">
        <v>491</v>
      </c>
      <c r="B41" s="8" t="s">
        <v>57</v>
      </c>
      <c r="C41" s="8" t="s">
        <v>541</v>
      </c>
    </row>
    <row r="42" spans="1:4" x14ac:dyDescent="0.2">
      <c r="A42" t="s">
        <v>753</v>
      </c>
      <c r="B42" s="28">
        <f>Initial_NAFC</f>
        <v>63.1</v>
      </c>
      <c r="C42" t="str">
        <f>IF(Initial_NAFC&gt;Target_NAFC,"Above Target","At/Below Target")</f>
        <v>Above Target</v>
      </c>
    </row>
    <row r="43" spans="1:4" x14ac:dyDescent="0.2">
      <c r="A43" t="s">
        <v>754</v>
      </c>
      <c r="B43" s="28">
        <f>Target_NAFC</f>
        <v>50</v>
      </c>
      <c r="C43" t="s">
        <v>755</v>
      </c>
    </row>
    <row r="44" spans="1:4" x14ac:dyDescent="0.2">
      <c r="A44" t="s">
        <v>756</v>
      </c>
      <c r="B44" s="29">
        <f ca="1">Days_to_Compliance</f>
        <v>31.031398079165122</v>
      </c>
      <c r="C44" t="str">
        <f ca="1">Compliance_Status</f>
        <v>ACHIEVABLE</v>
      </c>
    </row>
    <row r="45" spans="1:4" x14ac:dyDescent="0.2">
      <c r="A45" t="s">
        <v>757</v>
      </c>
      <c r="B45" s="24">
        <f ca="1">Circulation_Cycles</f>
        <v>3</v>
      </c>
      <c r="C45" t="str">
        <f ca="1">IF(Circulation_Cycles&lt;=3,"Standard","Extended")</f>
        <v>Standard</v>
      </c>
    </row>
    <row r="46" spans="1:4" x14ac:dyDescent="0.2">
      <c r="A46" t="s">
        <v>758</v>
      </c>
      <c r="B46" s="25">
        <f>Treatment_Efficiency</f>
        <v>0.2076069730586371</v>
      </c>
      <c r="C46" t="str">
        <f>IF(Treatment_Efficiency&gt;0.2,"Good","Low")</f>
        <v>Good</v>
      </c>
    </row>
    <row r="47" spans="1:4" x14ac:dyDescent="0.2">
      <c r="A47" t="s">
        <v>759</v>
      </c>
      <c r="B47" s="29">
        <f>MC_Expected_Days</f>
        <v>36.451867613659815</v>
      </c>
      <c r="C47" t="str">
        <f>IF(MC_Expected_Days&lt;=Season_Length,"Achievable","Risk")</f>
        <v>Achievable</v>
      </c>
    </row>
    <row r="48" spans="1:4" x14ac:dyDescent="0.2">
      <c r="A48" t="s">
        <v>760</v>
      </c>
      <c r="B48" s="29">
        <f>MC_P90_Days</f>
        <v>46.171716880496156</v>
      </c>
      <c r="C48" t="str">
        <f>IF(MC_P90_Days&lt;=Season_Length,"Low Risk","High Risk")</f>
        <v>Low Risk</v>
      </c>
    </row>
    <row r="49" spans="1:4" x14ac:dyDescent="0.2">
      <c r="A49" t="s">
        <v>761</v>
      </c>
      <c r="B49" s="25">
        <f>MC_Prob_Achievable</f>
        <v>1</v>
      </c>
      <c r="C49" t="str">
        <f>IF(MC_Prob_Achievable&gt;=0.9,"High Confidence","Review Required")</f>
        <v>High Confidence</v>
      </c>
    </row>
    <row r="51" spans="1:4" x14ac:dyDescent="0.2">
      <c r="A51" s="6" t="s">
        <v>762</v>
      </c>
    </row>
    <row r="52" spans="1:4" ht="31.25" customHeight="1" x14ac:dyDescent="0.2">
      <c r="A52" s="7" t="s">
        <v>46</v>
      </c>
      <c r="B52" s="30" t="s">
        <v>763</v>
      </c>
      <c r="C52" s="31"/>
      <c r="D52" s="31"/>
    </row>
    <row r="53" spans="1:4" ht="31.25" customHeight="1" x14ac:dyDescent="0.2">
      <c r="A53" s="7" t="s">
        <v>48</v>
      </c>
      <c r="B53" s="30" t="s">
        <v>764</v>
      </c>
      <c r="C53" s="31"/>
      <c r="D53" s="31"/>
    </row>
    <row r="54" spans="1:4" ht="78" customHeight="1" x14ac:dyDescent="0.2">
      <c r="A54" s="7" t="s">
        <v>50</v>
      </c>
      <c r="B54" s="30" t="s">
        <v>765</v>
      </c>
      <c r="C54" s="31"/>
      <c r="D54" s="31"/>
    </row>
    <row r="55" spans="1:4" ht="31.25" customHeight="1" x14ac:dyDescent="0.2">
      <c r="A55" s="7" t="s">
        <v>52</v>
      </c>
      <c r="B55" s="30" t="s">
        <v>766</v>
      </c>
      <c r="C55" s="31"/>
      <c r="D55" s="31"/>
    </row>
    <row r="56" spans="1:4" ht="15.5" customHeight="1" x14ac:dyDescent="0.2">
      <c r="A56" s="7" t="s">
        <v>54</v>
      </c>
      <c r="B56" s="30" t="s">
        <v>767</v>
      </c>
      <c r="C56" s="31"/>
      <c r="D56" s="31"/>
    </row>
    <row r="57" spans="1:4" x14ac:dyDescent="0.2">
      <c r="A57" s="8" t="s">
        <v>491</v>
      </c>
      <c r="B57" s="8" t="s">
        <v>312</v>
      </c>
      <c r="C57" s="8" t="s">
        <v>313</v>
      </c>
      <c r="D57" s="8" t="s">
        <v>61</v>
      </c>
    </row>
    <row r="58" spans="1:4" x14ac:dyDescent="0.2">
      <c r="A58" t="s">
        <v>768</v>
      </c>
      <c r="B58" t="s">
        <v>99</v>
      </c>
      <c r="C58" t="s">
        <v>99</v>
      </c>
      <c r="D58" t="s">
        <v>100</v>
      </c>
    </row>
    <row r="59" spans="1:4" x14ac:dyDescent="0.2">
      <c r="A59" t="s">
        <v>769</v>
      </c>
      <c r="B59" t="s">
        <v>99</v>
      </c>
      <c r="C59" t="s">
        <v>99</v>
      </c>
      <c r="D59" t="s">
        <v>100</v>
      </c>
    </row>
    <row r="60" spans="1:4" x14ac:dyDescent="0.2">
      <c r="A60" t="s">
        <v>770</v>
      </c>
      <c r="B60" t="s">
        <v>99</v>
      </c>
      <c r="C60" t="s">
        <v>100</v>
      </c>
      <c r="D60" t="s">
        <v>100</v>
      </c>
    </row>
    <row r="61" spans="1:4" x14ac:dyDescent="0.2">
      <c r="A61" t="s">
        <v>771</v>
      </c>
      <c r="B61" t="s">
        <v>99</v>
      </c>
      <c r="C61" t="s">
        <v>99</v>
      </c>
      <c r="D61" t="s">
        <v>100</v>
      </c>
    </row>
    <row r="62" spans="1:4" x14ac:dyDescent="0.2">
      <c r="A62" t="s">
        <v>772</v>
      </c>
      <c r="B62" t="s">
        <v>773</v>
      </c>
      <c r="C62" t="s">
        <v>774</v>
      </c>
      <c r="D62" t="s">
        <v>775</v>
      </c>
    </row>
    <row r="63" spans="1:4" x14ac:dyDescent="0.2">
      <c r="A63" t="s">
        <v>776</v>
      </c>
      <c r="B63" t="s">
        <v>777</v>
      </c>
      <c r="C63" t="s">
        <v>778</v>
      </c>
      <c r="D63" t="s">
        <v>779</v>
      </c>
    </row>
    <row r="65" spans="1:2" ht="19" x14ac:dyDescent="0.25">
      <c r="A65" s="4" t="s">
        <v>780</v>
      </c>
    </row>
    <row r="66" spans="1:2" x14ac:dyDescent="0.2">
      <c r="A66" t="s">
        <v>781</v>
      </c>
      <c r="B66" t="str">
        <f ca="1">IF(COUNTIF('21_Checks'!D:D,"FAIL")=0,"HEALTHY","REVIEW REQUIRED")</f>
        <v>HEALTHY</v>
      </c>
    </row>
    <row r="67" spans="1:2" x14ac:dyDescent="0.2">
      <c r="A67" t="s">
        <v>782</v>
      </c>
      <c r="B67">
        <f ca="1">COUNTIF('21_Checks'!D:D,"FAIL")</f>
        <v>0</v>
      </c>
    </row>
  </sheetData>
  <mergeCells count="22">
    <mergeCell ref="A3:D3"/>
    <mergeCell ref="B27:D27"/>
    <mergeCell ref="B56:D56"/>
    <mergeCell ref="B52:D52"/>
    <mergeCell ref="B39:D39"/>
    <mergeCell ref="B55:D55"/>
    <mergeCell ref="B24:D24"/>
    <mergeCell ref="B36:D36"/>
    <mergeCell ref="B26:D26"/>
    <mergeCell ref="B7:D7"/>
    <mergeCell ref="B25:D25"/>
    <mergeCell ref="B54:D54"/>
    <mergeCell ref="B11:D11"/>
    <mergeCell ref="A4:D4"/>
    <mergeCell ref="B8:D8"/>
    <mergeCell ref="B53:D53"/>
    <mergeCell ref="B38:D38"/>
    <mergeCell ref="B10:D10"/>
    <mergeCell ref="B28:D28"/>
    <mergeCell ref="B37:D37"/>
    <mergeCell ref="B40:D40"/>
    <mergeCell ref="B9:D9"/>
  </mergeCells>
  <pageMargins left="0.75" right="0.75" top="1" bottom="1" header="0.5" footer="0.5"/>
  <tableParts count="4">
    <tablePart r:id="rId1"/>
    <tablePart r:id="rId2"/>
    <tablePart r:id="rId3"/>
    <tablePart r:id="rId4"/>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FF0000"/>
  </sheetPr>
  <dimension ref="A1:D33"/>
  <sheetViews>
    <sheetView workbookViewId="0"/>
  </sheetViews>
  <sheetFormatPr baseColWidth="10" defaultColWidth="8.83203125" defaultRowHeight="15" x14ac:dyDescent="0.2"/>
  <cols>
    <col min="1" max="2" width="12" customWidth="1"/>
    <col min="3" max="3" width="40" customWidth="1"/>
    <col min="4" max="4" width="12" customWidth="1"/>
  </cols>
  <sheetData>
    <row r="1" spans="1:4" ht="21" x14ac:dyDescent="0.25">
      <c r="A1" s="5" t="s">
        <v>783</v>
      </c>
    </row>
    <row r="3" spans="1:4" x14ac:dyDescent="0.2">
      <c r="A3" s="35" t="s">
        <v>784</v>
      </c>
      <c r="B3" s="33"/>
      <c r="C3" s="33"/>
      <c r="D3" s="34"/>
    </row>
    <row r="4" spans="1:4" ht="343.25" customHeight="1" x14ac:dyDescent="0.2">
      <c r="A4" s="32" t="s">
        <v>785</v>
      </c>
      <c r="B4" s="33"/>
      <c r="C4" s="33"/>
      <c r="D4" s="34"/>
    </row>
    <row r="6" spans="1:4" x14ac:dyDescent="0.2">
      <c r="A6" s="6" t="s">
        <v>783</v>
      </c>
    </row>
    <row r="7" spans="1:4" ht="31.25" customHeight="1" x14ac:dyDescent="0.2">
      <c r="A7" s="7" t="s">
        <v>46</v>
      </c>
      <c r="B7" s="30" t="s">
        <v>786</v>
      </c>
      <c r="C7" s="31"/>
      <c r="D7" s="31"/>
    </row>
    <row r="8" spans="1:4" ht="31.25" customHeight="1" x14ac:dyDescent="0.2">
      <c r="A8" s="7" t="s">
        <v>48</v>
      </c>
      <c r="B8" s="30" t="s">
        <v>787</v>
      </c>
      <c r="C8" s="31"/>
      <c r="D8" s="31"/>
    </row>
    <row r="9" spans="1:4" ht="78" customHeight="1" x14ac:dyDescent="0.2">
      <c r="A9" s="7" t="s">
        <v>50</v>
      </c>
      <c r="B9" s="30" t="s">
        <v>788</v>
      </c>
      <c r="C9" s="31"/>
      <c r="D9" s="31"/>
    </row>
    <row r="10" spans="1:4" ht="31.25" customHeight="1" x14ac:dyDescent="0.2">
      <c r="A10" s="7" t="s">
        <v>52</v>
      </c>
      <c r="B10" s="30" t="s">
        <v>789</v>
      </c>
      <c r="C10" s="31"/>
      <c r="D10" s="31"/>
    </row>
    <row r="11" spans="1:4" ht="15.5" customHeight="1" x14ac:dyDescent="0.2">
      <c r="A11" s="7" t="s">
        <v>54</v>
      </c>
      <c r="B11" s="30" t="s">
        <v>790</v>
      </c>
      <c r="C11" s="31"/>
      <c r="D11" s="31"/>
    </row>
    <row r="12" spans="1:4" x14ac:dyDescent="0.2">
      <c r="A12" s="8" t="s">
        <v>791</v>
      </c>
      <c r="B12" s="8" t="s">
        <v>792</v>
      </c>
      <c r="C12" s="8" t="s">
        <v>59</v>
      </c>
      <c r="D12" s="8" t="s">
        <v>541</v>
      </c>
    </row>
    <row r="13" spans="1:4" x14ac:dyDescent="0.2">
      <c r="A13" t="s">
        <v>793</v>
      </c>
      <c r="B13" t="s">
        <v>794</v>
      </c>
      <c r="C13" t="s">
        <v>795</v>
      </c>
      <c r="D13" t="str">
        <f>IF(AND(Discount_Rate&gt;=0,Discount_Rate&lt;=0.15),"PASS","FAIL")</f>
        <v>PASS</v>
      </c>
    </row>
    <row r="14" spans="1:4" x14ac:dyDescent="0.2">
      <c r="A14" t="s">
        <v>796</v>
      </c>
      <c r="B14" t="s">
        <v>794</v>
      </c>
      <c r="C14" t="s">
        <v>797</v>
      </c>
      <c r="D14" t="str">
        <f>IF(AND(Season_Length&gt;=60,Season_Length&lt;=150),"PASS","FAIL")</f>
        <v>PASS</v>
      </c>
    </row>
    <row r="15" spans="1:4" x14ac:dyDescent="0.2">
      <c r="A15" t="s">
        <v>798</v>
      </c>
      <c r="B15" t="s">
        <v>794</v>
      </c>
      <c r="C15" t="s">
        <v>799</v>
      </c>
      <c r="D15" t="str">
        <f>IF(AND(Projection_Years&gt;=1,Projection_Years&lt;=10),"PASS","FAIL")</f>
        <v>PASS</v>
      </c>
    </row>
    <row r="16" spans="1:4" x14ac:dyDescent="0.2">
      <c r="A16" t="s">
        <v>800</v>
      </c>
      <c r="B16" t="s">
        <v>794</v>
      </c>
      <c r="C16" t="s">
        <v>801</v>
      </c>
      <c r="D16" t="str">
        <f>IF(Value_Per_M3&gt;0,"PASS","FAIL")</f>
        <v>PASS</v>
      </c>
    </row>
    <row r="17" spans="1:4" x14ac:dyDescent="0.2">
      <c r="A17" t="s">
        <v>802</v>
      </c>
      <c r="B17" t="s">
        <v>803</v>
      </c>
      <c r="C17" t="s">
        <v>804</v>
      </c>
      <c r="D17" t="str">
        <f>IF(COUNTIF(List_TestingOptions,Testing_Option)=1,"PASS","FAIL")</f>
        <v>PASS</v>
      </c>
    </row>
    <row r="18" spans="1:4" x14ac:dyDescent="0.2">
      <c r="A18" t="s">
        <v>805</v>
      </c>
      <c r="B18" t="s">
        <v>803</v>
      </c>
      <c r="C18" t="s">
        <v>806</v>
      </c>
      <c r="D18" t="str">
        <f>IF(COUNTIF(List_Scenarios,Scenario_Select)=1,"PASS","FAIL")</f>
        <v>PASS</v>
      </c>
    </row>
    <row r="19" spans="1:4" x14ac:dyDescent="0.2">
      <c r="A19" t="s">
        <v>807</v>
      </c>
      <c r="B19" t="s">
        <v>808</v>
      </c>
      <c r="C19" t="s">
        <v>809</v>
      </c>
      <c r="D19" t="str">
        <f ca="1">IF(AND(NPV_Total&gt;-1000000,NPV_Total&lt;10000000),"PASS","FAIL")</f>
        <v>PASS</v>
      </c>
    </row>
    <row r="20" spans="1:4" x14ac:dyDescent="0.2">
      <c r="A20" t="s">
        <v>810</v>
      </c>
      <c r="B20" t="s">
        <v>808</v>
      </c>
      <c r="C20" t="s">
        <v>811</v>
      </c>
      <c r="D20" t="str">
        <f>IF(Testing_Cost&gt;0,"PASS","FAIL")</f>
        <v>PASS</v>
      </c>
    </row>
    <row r="21" spans="1:4" x14ac:dyDescent="0.2">
      <c r="A21" t="s">
        <v>812</v>
      </c>
      <c r="B21" t="s">
        <v>808</v>
      </c>
      <c r="C21" t="s">
        <v>813</v>
      </c>
      <c r="D21" t="str">
        <f ca="1">IF(Gross_Value&gt;=0,"PASS","FAIL")</f>
        <v>PASS</v>
      </c>
    </row>
    <row r="22" spans="1:4" x14ac:dyDescent="0.2">
      <c r="A22" t="s">
        <v>814</v>
      </c>
      <c r="B22" t="s">
        <v>815</v>
      </c>
      <c r="C22" t="s">
        <v>816</v>
      </c>
      <c r="D22" t="str">
        <f>IF(ISERROR(Testing_Option),"FAIL","PASS")</f>
        <v>PASS</v>
      </c>
    </row>
    <row r="23" spans="1:4" x14ac:dyDescent="0.2">
      <c r="A23" t="s">
        <v>817</v>
      </c>
      <c r="B23" t="s">
        <v>794</v>
      </c>
      <c r="C23" t="s">
        <v>818</v>
      </c>
      <c r="D23" t="str">
        <f>IF(AND(Initial_NAFC&gt;=40,Initial_NAFC&lt;=100),"PASS","FAIL")</f>
        <v>PASS</v>
      </c>
    </row>
    <row r="24" spans="1:4" x14ac:dyDescent="0.2">
      <c r="A24" t="s">
        <v>819</v>
      </c>
      <c r="B24" t="s">
        <v>803</v>
      </c>
      <c r="C24" t="s">
        <v>820</v>
      </c>
      <c r="D24" t="str">
        <f>IF(Target_NAFC&lt;Initial_NAFC,"PASS","FAIL")</f>
        <v>PASS</v>
      </c>
    </row>
    <row r="25" spans="1:4" x14ac:dyDescent="0.2">
      <c r="A25" t="s">
        <v>821</v>
      </c>
      <c r="B25" t="s">
        <v>808</v>
      </c>
      <c r="C25" t="s">
        <v>822</v>
      </c>
      <c r="D25" t="str">
        <f ca="1">IF(Days_to_Compliance&lt;=Season_Length,"PASS","FAIL")</f>
        <v>PASS</v>
      </c>
    </row>
    <row r="26" spans="1:4" x14ac:dyDescent="0.2">
      <c r="A26" t="s">
        <v>823</v>
      </c>
      <c r="B26" t="s">
        <v>794</v>
      </c>
      <c r="C26" t="s">
        <v>824</v>
      </c>
      <c r="D26" t="str">
        <f ca="1">IF(AND(Eff_Rapid_Rate&gt;0,Eff_Slow_Rate&gt;0),"PASS","FAIL")</f>
        <v>PASS</v>
      </c>
    </row>
    <row r="29" spans="1:4" ht="19" x14ac:dyDescent="0.25">
      <c r="A29" s="4" t="s">
        <v>213</v>
      </c>
    </row>
    <row r="30" spans="1:4" x14ac:dyDescent="0.2">
      <c r="A30" t="s">
        <v>825</v>
      </c>
      <c r="B30">
        <f>COUNTA(tbl_Checks[Check_ID])</f>
        <v>14</v>
      </c>
    </row>
    <row r="31" spans="1:4" x14ac:dyDescent="0.2">
      <c r="A31" t="s">
        <v>826</v>
      </c>
      <c r="B31">
        <f ca="1">COUNTIF(tbl_Checks[Status],"PASS")</f>
        <v>14</v>
      </c>
    </row>
    <row r="32" spans="1:4" x14ac:dyDescent="0.2">
      <c r="A32" t="s">
        <v>827</v>
      </c>
      <c r="B32">
        <f ca="1">COUNTIF(tbl_Checks[Status],"FAIL")</f>
        <v>0</v>
      </c>
    </row>
    <row r="33" spans="1:2" x14ac:dyDescent="0.2">
      <c r="A33" t="s">
        <v>828</v>
      </c>
      <c r="B33" t="str">
        <f ca="1">IF(COUNTIF(tbl_Checks[Status],"FAIL")=0,"HEALTHY","REVIEW REQUIRED")</f>
        <v>HEALTHY</v>
      </c>
    </row>
  </sheetData>
  <mergeCells count="7">
    <mergeCell ref="B10:D10"/>
    <mergeCell ref="B11:D11"/>
    <mergeCell ref="A4:D4"/>
    <mergeCell ref="B8:D8"/>
    <mergeCell ref="A3:D3"/>
    <mergeCell ref="B9:D9"/>
    <mergeCell ref="B7:D7"/>
  </mergeCells>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22</vt:i4>
      </vt:variant>
      <vt:variant>
        <vt:lpstr>Named Ranges</vt:lpstr>
      </vt:variant>
      <vt:variant>
        <vt:i4>158</vt:i4>
      </vt:variant>
    </vt:vector>
  </HeadingPairs>
  <TitlesOfParts>
    <vt:vector size="180" baseType="lpstr">
      <vt:lpstr>0_Cover</vt:lpstr>
      <vt:lpstr>1_TOC</vt:lpstr>
      <vt:lpstr>3_Instructions</vt:lpstr>
      <vt:lpstr>2_InputMap</vt:lpstr>
      <vt:lpstr>4_Assumptions</vt:lpstr>
      <vt:lpstr>5_EnvironmentalDrivers</vt:lpstr>
      <vt:lpstr>6_Scenarios</vt:lpstr>
      <vt:lpstr>7_ServiceModels</vt:lpstr>
      <vt:lpstr>8_Calc_Timeline</vt:lpstr>
      <vt:lpstr>9_Calc_Kinetics</vt:lpstr>
      <vt:lpstr>10_Calc_Stochastic</vt:lpstr>
      <vt:lpstr>11_Calc_Compliance</vt:lpstr>
      <vt:lpstr>12_Calc_Value</vt:lpstr>
      <vt:lpstr>13_Calc_Costs</vt:lpstr>
      <vt:lpstr>14_Calc_Sim</vt:lpstr>
      <vt:lpstr>15_PL_Monthly</vt:lpstr>
      <vt:lpstr>16_PL_Annual</vt:lpstr>
      <vt:lpstr>17_CashFlow</vt:lpstr>
      <vt:lpstr>18_UnitEconomics</vt:lpstr>
      <vt:lpstr>19_Sensitivity</vt:lpstr>
      <vt:lpstr>20_Dashboard</vt:lpstr>
      <vt:lpstr>21_Checks</vt:lpstr>
      <vt:lpstr>Annual_Throughput</vt:lpstr>
      <vt:lpstr>AnnualThroughput_M3</vt:lpstr>
      <vt:lpstr>Base_Year</vt:lpstr>
      <vt:lpstr>Beta_Efficiency_Gain_Alpha</vt:lpstr>
      <vt:lpstr>Beta_Efficiency_Gain_Beta</vt:lpstr>
      <vt:lpstr>Beta_Efficiency_Gain_Max</vt:lpstr>
      <vt:lpstr>Beta_Efficiency_Gain_Min</vt:lpstr>
      <vt:lpstr>Bioavail_Modifier</vt:lpstr>
      <vt:lpstr>Circulation_Cycles</vt:lpstr>
      <vt:lpstr>Compliance_Status</vt:lpstr>
      <vt:lpstr>Day_80_Survival</vt:lpstr>
      <vt:lpstr>Day_LC50</vt:lpstr>
      <vt:lpstr>Day_Nontoxic</vt:lpstr>
      <vt:lpstr>Days_to_Compliance</vt:lpstr>
      <vt:lpstr>Discount_Rate</vt:lpstr>
      <vt:lpstr>DO_Modifier</vt:lpstr>
      <vt:lpstr>DowntimeCostPerDay</vt:lpstr>
      <vt:lpstr>Eff_Rapid_Rate</vt:lpstr>
      <vt:lpstr>Eff_Slow_Rate</vt:lpstr>
      <vt:lpstr>Effective_Rate</vt:lpstr>
      <vt:lpstr>Env_Bioavail_Index_Aug</vt:lpstr>
      <vt:lpstr>Env_Bioavail_Index_Jul</vt:lpstr>
      <vt:lpstr>Env_Bioavail_Index_Jun</vt:lpstr>
      <vt:lpstr>Env_Bioavail_Index_May</vt:lpstr>
      <vt:lpstr>Env_Bioavail_Index_Sep</vt:lpstr>
      <vt:lpstr>Env_DO_Typical_Aug</vt:lpstr>
      <vt:lpstr>Env_DO_Typical_Jul</vt:lpstr>
      <vt:lpstr>Env_DO_Typical_Jun</vt:lpstr>
      <vt:lpstr>Env_DO_Typical_May</vt:lpstr>
      <vt:lpstr>Env_DO_Typical_Sep</vt:lpstr>
      <vt:lpstr>Env_Nutrient_Index_Aug</vt:lpstr>
      <vt:lpstr>Env_Nutrient_Index_Jul</vt:lpstr>
      <vt:lpstr>Env_Nutrient_Index_Jun</vt:lpstr>
      <vt:lpstr>Env_Nutrient_Index_May</vt:lpstr>
      <vt:lpstr>Env_Nutrient_Index_Sep</vt:lpstr>
      <vt:lpstr>Env_Temp_Water_Aug</vt:lpstr>
      <vt:lpstr>Env_Temp_Water_Jul</vt:lpstr>
      <vt:lpstr>Env_Temp_Water_Jun</vt:lpstr>
      <vt:lpstr>Env_Temp_Water_May</vt:lpstr>
      <vt:lpstr>Env_Temp_Water_Sep</vt:lpstr>
      <vt:lpstr>Env_UV_Relative_Aug</vt:lpstr>
      <vt:lpstr>Env_UV_Relative_Jul</vt:lpstr>
      <vt:lpstr>Env_UV_Relative_Jun</vt:lpstr>
      <vt:lpstr>Env_UV_Relative_May</vt:lpstr>
      <vt:lpstr>Env_UV_Relative_Sep</vt:lpstr>
      <vt:lpstr>Gate_Chloride</vt:lpstr>
      <vt:lpstr>Gate_DO</vt:lpstr>
      <vt:lpstr>Gate_Foam</vt:lpstr>
      <vt:lpstr>Gate_NAFC</vt:lpstr>
      <vt:lpstr>Gate_Odor</vt:lpstr>
      <vt:lpstr>Gate_Oil_Sheen</vt:lpstr>
      <vt:lpstr>Gate_pH_High</vt:lpstr>
      <vt:lpstr>Gate_pH_Low</vt:lpstr>
      <vt:lpstr>Gate_S1</vt:lpstr>
      <vt:lpstr>Gate_S2</vt:lpstr>
      <vt:lpstr>Gate_S3</vt:lpstr>
      <vt:lpstr>Gate_S4</vt:lpstr>
      <vt:lpstr>Gate_SAR</vt:lpstr>
      <vt:lpstr>Gate_Sulfate</vt:lpstr>
      <vt:lpstr>Gate_Temperature</vt:lpstr>
      <vt:lpstr>Gate_Toxicity</vt:lpstr>
      <vt:lpstr>Gate_Turbidity</vt:lpstr>
      <vt:lpstr>Gross_Value</vt:lpstr>
      <vt:lpstr>Initial_NAFC</vt:lpstr>
      <vt:lpstr>Ionic_Chloride_Max</vt:lpstr>
      <vt:lpstr>Ionic_Chloride_Min</vt:lpstr>
      <vt:lpstr>Ionic_Chloride_Mode</vt:lpstr>
      <vt:lpstr>Ionic_Chloride_Threshold</vt:lpstr>
      <vt:lpstr>Ionic_DO_Compliance_Max</vt:lpstr>
      <vt:lpstr>Ionic_DO_Compliance_Min</vt:lpstr>
      <vt:lpstr>Ionic_DO_Compliance_Mode</vt:lpstr>
      <vt:lpstr>Ionic_DO_Compliance_Threshold</vt:lpstr>
      <vt:lpstr>Ionic_SAR_Max</vt:lpstr>
      <vt:lpstr>Ionic_SAR_Min</vt:lpstr>
      <vt:lpstr>Ionic_SAR_Mode</vt:lpstr>
      <vt:lpstr>Ionic_SAR_Threshold</vt:lpstr>
      <vt:lpstr>Ionic_Sulfate_Max</vt:lpstr>
      <vt:lpstr>Ionic_Sulfate_Min</vt:lpstr>
      <vt:lpstr>Ionic_Sulfate_Mode</vt:lpstr>
      <vt:lpstr>Ionic_Sulfate_Threshold</vt:lpstr>
      <vt:lpstr>LaborPerDay</vt:lpstr>
      <vt:lpstr>LearningCurve_Mult</vt:lpstr>
      <vt:lpstr>List_Scenarios</vt:lpstr>
      <vt:lpstr>List_TestingOptions</vt:lpstr>
      <vt:lpstr>Master_Gate_Status</vt:lpstr>
      <vt:lpstr>MC_Anchor</vt:lpstr>
      <vt:lpstr>MC_Expected_Days</vt:lpstr>
      <vt:lpstr>MC_Expected_NPV</vt:lpstr>
      <vt:lpstr>MC_P10</vt:lpstr>
      <vt:lpstr>MC_P10_Days</vt:lpstr>
      <vt:lpstr>MC_P50</vt:lpstr>
      <vt:lpstr>MC_P50_Days</vt:lpstr>
      <vt:lpstr>MC_P90</vt:lpstr>
      <vt:lpstr>MC_P90_Days</vt:lpstr>
      <vt:lpstr>MC_Prob_Achievable</vt:lpstr>
      <vt:lpstr>MC_Prob_Positive</vt:lpstr>
      <vt:lpstr>MC_StdDev</vt:lpstr>
      <vt:lpstr>NAFC_After_Rapid</vt:lpstr>
      <vt:lpstr>NPV_Total</vt:lpstr>
      <vt:lpstr>Nutrient_Modifier</vt:lpstr>
      <vt:lpstr>Projection_Years</vt:lpstr>
      <vt:lpstr>Q10_Factor</vt:lpstr>
      <vt:lpstr>Rapid_Phase_Duration</vt:lpstr>
      <vt:lpstr>Rapid_Phase_Rate</vt:lpstr>
      <vt:lpstr>Recirculation_Cycle</vt:lpstr>
      <vt:lpstr>RegulatoryPenalty</vt:lpstr>
      <vt:lpstr>S1_Value</vt:lpstr>
      <vt:lpstr>S2_Value</vt:lpstr>
      <vt:lpstr>S3_Value</vt:lpstr>
      <vt:lpstr>S4_Value</vt:lpstr>
      <vt:lpstr>Scenario_BaseValues</vt:lpstr>
      <vt:lpstr>Scenario_Select</vt:lpstr>
      <vt:lpstr>Season_End_Day</vt:lpstr>
      <vt:lpstr>Season_End_Month</vt:lpstr>
      <vt:lpstr>Season_Length</vt:lpstr>
      <vt:lpstr>Season_Start_Day</vt:lpstr>
      <vt:lpstr>Season_Start_Month</vt:lpstr>
      <vt:lpstr>Slow_Phase_Rate</vt:lpstr>
      <vt:lpstr>Stoch_Efficiency</vt:lpstr>
      <vt:lpstr>Stoch_ExtValue</vt:lpstr>
      <vt:lpstr>Stoch_Interventions</vt:lpstr>
      <vt:lpstr>Stoch_SeasonExt</vt:lpstr>
      <vt:lpstr>Stoch_TreatmentRate</vt:lpstr>
      <vt:lpstr>System_Capacity</vt:lpstr>
      <vt:lpstr>Target_NAFC</vt:lpstr>
      <vt:lpstr>Testing_Cost</vt:lpstr>
      <vt:lpstr>Testing_Option</vt:lpstr>
      <vt:lpstr>TestOpt_Cost</vt:lpstr>
      <vt:lpstr>TestOpt_Interval</vt:lpstr>
      <vt:lpstr>TestOpt_Latency</vt:lpstr>
      <vt:lpstr>TestOpt_Method</vt:lpstr>
      <vt:lpstr>TestOpt_Option</vt:lpstr>
      <vt:lpstr>TestOpt_Points</vt:lpstr>
      <vt:lpstr>Timeline_DiscountFactor</vt:lpstr>
      <vt:lpstr>Timeline_LearningMult</vt:lpstr>
      <vt:lpstr>Treatment_Cells</vt:lpstr>
      <vt:lpstr>Treatment_Days</vt:lpstr>
      <vt:lpstr>Treatment_Efficiency</vt:lpstr>
      <vt:lpstr>TreatmentCells</vt:lpstr>
      <vt:lpstr>Tri_Extension_Value_Per_Day_Max</vt:lpstr>
      <vt:lpstr>Tri_Extension_Value_Per_Day_Min</vt:lpstr>
      <vt:lpstr>Tri_Extension_Value_Per_Day_Mode</vt:lpstr>
      <vt:lpstr>Tri_Interventions_Avoided_Max</vt:lpstr>
      <vt:lpstr>Tri_Interventions_Avoided_Min</vt:lpstr>
      <vt:lpstr>Tri_Interventions_Avoided_Mode</vt:lpstr>
      <vt:lpstr>Tri_Season_Extension_Days_Max</vt:lpstr>
      <vt:lpstr>Tri_Season_Extension_Days_Min</vt:lpstr>
      <vt:lpstr>Tri_Season_Extension_Days_Mode</vt:lpstr>
      <vt:lpstr>Tri_Treatment_Rate_Factor_Max</vt:lpstr>
      <vt:lpstr>Tri_Treatment_Rate_Factor_Min</vt:lpstr>
      <vt:lpstr>Tri_Treatment_Rate_Factor_Mode</vt:lpstr>
      <vt:lpstr>UV_Modifier</vt:lpstr>
      <vt:lpstr>Value_Per_M3</vt:lpstr>
      <vt:lpstr>ValuePer_M3</vt:lpstr>
      <vt:lpstr>Wetland_Area</vt:lpstr>
      <vt:lpstr>WetlandArea_Ha</vt:lpstr>
      <vt:lpstr>Year1_Gross_Value</vt:lpstr>
      <vt:lpstr>Year1_Net_Value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Greg Saunders</cp:lastModifiedBy>
  <dcterms:created xsi:type="dcterms:W3CDTF">2026-01-31T23:24:24Z</dcterms:created>
  <dcterms:modified xsi:type="dcterms:W3CDTF">2026-01-31T23:27:50Z</dcterms:modified>
</cp:coreProperties>
</file>