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reg/Luminous Dropbox/Obsidian/utils/financial_modeling/"/>
    </mc:Choice>
  </mc:AlternateContent>
  <xr:revisionPtr revIDLastSave="0" documentId="13_ncr:1_{241AD4FC-1F7D-1040-B194-CFDD1EF43A19}" xr6:coauthVersionLast="47" xr6:coauthVersionMax="47" xr10:uidLastSave="{00000000-0000-0000-0000-000000000000}"/>
  <bookViews>
    <workbookView xWindow="0" yWindow="680" windowWidth="30240" windowHeight="18960" activeTab="10" xr2:uid="{00000000-000D-0000-FFFF-FFFF00000000}"/>
  </bookViews>
  <sheets>
    <sheet name="0_Cover" sheetId="1" r:id="rId1"/>
    <sheet name="1_TOC" sheetId="2" r:id="rId2"/>
    <sheet name="2_Instructions" sheetId="3" r:id="rId3"/>
    <sheet name="3_Assumptions" sheetId="4" r:id="rId4"/>
    <sheet name="4_Scenarios" sheetId="5" r:id="rId5"/>
    <sheet name="5_ServiceModels" sheetId="6" r:id="rId6"/>
    <sheet name="6_Calc_Timeline" sheetId="7" r:id="rId7"/>
    <sheet name="7_Calc_Stochastic" sheetId="8" r:id="rId8"/>
    <sheet name="8_Calc_Value" sheetId="9" r:id="rId9"/>
    <sheet name="9_Calc_Costs" sheetId="10" r:id="rId10"/>
    <sheet name="10_Calc_Sim" sheetId="11" r:id="rId11"/>
    <sheet name="11_PL_Monthly" sheetId="12" r:id="rId12"/>
    <sheet name="12_PL_Annual" sheetId="13" r:id="rId13"/>
    <sheet name="13_CashFlow" sheetId="14" r:id="rId14"/>
    <sheet name="14_UnitEconomics" sheetId="15" r:id="rId15"/>
    <sheet name="15_Sensitivity" sheetId="16" r:id="rId16"/>
    <sheet name="16_Dashboard" sheetId="17" r:id="rId17"/>
    <sheet name="17_Checks" sheetId="18" r:id="rId18"/>
  </sheets>
  <definedNames>
    <definedName name="Annual_Throughput">'3_Assumptions'!$B$39</definedName>
    <definedName name="AnnualThroughput_M3">'3_Assumptions'!$B$39</definedName>
    <definedName name="Base_Year">'1_TOC'!$B$14</definedName>
    <definedName name="Beta_Efficiency_Gain_Alpha">'5_ServiceModels'!$B$23</definedName>
    <definedName name="Beta_Efficiency_Gain_Beta">'5_ServiceModels'!$C$23</definedName>
    <definedName name="Beta_Efficiency_Gain_Max">'5_ServiceModels'!$E$23</definedName>
    <definedName name="Beta_Efficiency_Gain_Min">'5_ServiceModels'!$D$23</definedName>
    <definedName name="Circulation_Cycles">'6_Calc_Timeline'!$C$28</definedName>
    <definedName name="Compliance_Status">'6_Calc_Timeline'!$C$30</definedName>
    <definedName name="Day_80_Survival">'3_Assumptions'!$B$125</definedName>
    <definedName name="Day_LC50">'3_Assumptions'!$B$124</definedName>
    <definedName name="Day_Nontoxic">'3_Assumptions'!$B$126</definedName>
    <definedName name="Days_to_Compliance">'6_Calc_Timeline'!$C$27</definedName>
    <definedName name="Discount_Rate">'1_TOC'!$B$12</definedName>
    <definedName name="DowntimeCostPerDay">'3_Assumptions'!$B$52</definedName>
    <definedName name="Eff_Rapid_Rate">'6_Calc_Timeline'!$C$24</definedName>
    <definedName name="Eff_Slow_Rate">'6_Calc_Timeline'!$C$25</definedName>
    <definedName name="Gate_S1">'3_Assumptions'!$B$87:$B$89</definedName>
    <definedName name="Gate_S2">'3_Assumptions'!$C$87:$C$89</definedName>
    <definedName name="Gate_S3">'3_Assumptions'!$D$87:$D$89</definedName>
    <definedName name="Gate_S4">'3_Assumptions'!$E$87:$E$89</definedName>
    <definedName name="Gross_Value">'8_Calc_Value'!$E$18</definedName>
    <definedName name="Initial_NAFC">'3_Assumptions'!$B$108</definedName>
    <definedName name="LaborPerDay">'3_Assumptions'!$B$50</definedName>
    <definedName name="LearningCurve_Mult">'3_Assumptions'!$B$62:$B$66</definedName>
    <definedName name="List_Scenarios">'3_Assumptions'!$B$94:$B$96</definedName>
    <definedName name="List_TestingOptions">'3_Assumptions'!$A$94:$A$96</definedName>
    <definedName name="MC_Anchor">'3_Assumptions'!$B$99</definedName>
    <definedName name="MC_Expected_Days">'10_Calc_Sim'!$B$1024</definedName>
    <definedName name="MC_Expected_NPV">'10_Calc_Sim'!$B$1016</definedName>
    <definedName name="MC_P10">'10_Calc_Sim'!$B$1017</definedName>
    <definedName name="MC_P10_Days">'10_Calc_Sim'!$B$1025</definedName>
    <definedName name="MC_P50">'10_Calc_Sim'!$B$1018</definedName>
    <definedName name="MC_P50_Days">'10_Calc_Sim'!$B$1026</definedName>
    <definedName name="MC_P90">'10_Calc_Sim'!$B$1019</definedName>
    <definedName name="MC_P90_Days">'10_Calc_Sim'!$B$1027</definedName>
    <definedName name="MC_Prob_Achievable">'10_Calc_Sim'!$B$1028</definedName>
    <definedName name="MC_Prob_Positive">'10_Calc_Sim'!$B$1021</definedName>
    <definedName name="MC_StdDev">'10_Calc_Sim'!$B$1020</definedName>
    <definedName name="NAFC_After_Rapid">'6_Calc_Timeline'!$C$26</definedName>
    <definedName name="NPV_Total">'12_PL_Annual'!$B$21</definedName>
    <definedName name="Projection_Years">'1_TOC'!$B$13</definedName>
    <definedName name="Rapid_Phase_Duration">'3_Assumptions'!$B$112</definedName>
    <definedName name="Rapid_Phase_Rate">'3_Assumptions'!$B$110</definedName>
    <definedName name="Recirculation_Cycle">'3_Assumptions'!$B$113</definedName>
    <definedName name="RegulatoryPenalty">'3_Assumptions'!$B$51</definedName>
    <definedName name="S1_Value">'8_Calc_Value'!$E$13</definedName>
    <definedName name="S2_Value">'8_Calc_Value'!$E$14</definedName>
    <definedName name="S3_Value">'8_Calc_Value'!$E$15</definedName>
    <definedName name="S4_Value">'8_Calc_Value'!$E$16</definedName>
    <definedName name="Scenario_BaseValues">'4_Scenarios'!$C$10:$C$13</definedName>
    <definedName name="Scenario_Select">'1_TOC'!$B$11</definedName>
    <definedName name="Season_End_Day">'3_Assumptions'!$B$13</definedName>
    <definedName name="Season_End_Month">'3_Assumptions'!$B$12</definedName>
    <definedName name="Season_Length">'3_Assumptions'!$B$14</definedName>
    <definedName name="Season_Start_Day">'3_Assumptions'!$B$11</definedName>
    <definedName name="Season_Start_Month">'3_Assumptions'!$B$10</definedName>
    <definedName name="Slow_Phase_Rate">'3_Assumptions'!$B$111</definedName>
    <definedName name="Stoch_Efficiency">'7_Calc_Stochastic'!$C$17</definedName>
    <definedName name="Stoch_ExtValue">'7_Calc_Stochastic'!$C$15</definedName>
    <definedName name="Stoch_Interventions">'7_Calc_Stochastic'!$C$16</definedName>
    <definedName name="Stoch_SeasonExt">'7_Calc_Stochastic'!$C$14</definedName>
    <definedName name="Stoch_TreatmentRate">'7_Calc_Stochastic'!$C$18</definedName>
    <definedName name="System_Capacity">'3_Assumptions'!$B$114</definedName>
    <definedName name="Target_NAFC">'3_Assumptions'!$B$109</definedName>
    <definedName name="Testing_Cost">'9_Calc_Costs'!$C$19</definedName>
    <definedName name="Testing_Option">'1_TOC'!$B$10</definedName>
    <definedName name="TestOpt_Cost">'3_Assumptions'!$E$76:$E$78</definedName>
    <definedName name="TestOpt_Interval">'3_Assumptions'!$C$76:$C$78</definedName>
    <definedName name="TestOpt_Latency">'3_Assumptions'!$F$76:$F$78</definedName>
    <definedName name="TestOpt_Method">'3_Assumptions'!$B$76:$B$78</definedName>
    <definedName name="TestOpt_Option">'3_Assumptions'!$A$76:$A$78</definedName>
    <definedName name="TestOpt_Points">'3_Assumptions'!$D$76:$D$78</definedName>
    <definedName name="Timeline_DiscountFactor">'6_Calc_Timeline'!$D$13:$D$18</definedName>
    <definedName name="Timeline_LearningMult">'6_Calc_Timeline'!$E$13:$E$18</definedName>
    <definedName name="Treatment_Cells">'3_Assumptions'!$B$38</definedName>
    <definedName name="Treatment_Days">'3_Assumptions'!$B$14</definedName>
    <definedName name="Treatment_Efficiency">'6_Calc_Timeline'!$C$29</definedName>
    <definedName name="TreatmentCells">'3_Assumptions'!$B$38</definedName>
    <definedName name="Tri_Extension_Value_Per_Day_Max">'5_ServiceModels'!$D$11</definedName>
    <definedName name="Tri_Extension_Value_Per_Day_Min">'5_ServiceModels'!$B$11</definedName>
    <definedName name="Tri_Extension_Value_Per_Day_Mode">'5_ServiceModels'!$C$11</definedName>
    <definedName name="Tri_Interventions_Avoided_Max">'5_ServiceModels'!$D$12</definedName>
    <definedName name="Tri_Interventions_Avoided_Min">'5_ServiceModels'!$B$12</definedName>
    <definedName name="Tri_Interventions_Avoided_Mode">'5_ServiceModels'!$C$12</definedName>
    <definedName name="Tri_Season_Extension_Days_Max">'5_ServiceModels'!$D$10</definedName>
    <definedName name="Tri_Season_Extension_Days_Min">'5_ServiceModels'!$B$10</definedName>
    <definedName name="Tri_Season_Extension_Days_Mode">'5_ServiceModels'!$C$10</definedName>
    <definedName name="Tri_Treatment_Rate_Factor_Max">'5_ServiceModels'!$D$13</definedName>
    <definedName name="Tri_Treatment_Rate_Factor_Min">'5_ServiceModels'!$B$13</definedName>
    <definedName name="Tri_Treatment_Rate_Factor_Mode">'5_ServiceModels'!$C$13</definedName>
    <definedName name="Value_Per_M3">'3_Assumptions'!$B$40</definedName>
    <definedName name="ValuePer_M3">'3_Assumptions'!$B$40</definedName>
    <definedName name="Wetland_Area">'3_Assumptions'!$B$37</definedName>
    <definedName name="WetlandArea_Ha">'3_Assumptions'!$B$37</definedName>
    <definedName name="Year1_Gross_Value">'12_PL_Annual'!$F$13</definedName>
    <definedName name="Year1_Net_Value">'12_PL_Annual'!$H$13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8" l="1"/>
  <c r="D24" i="18"/>
  <c r="D23" i="18"/>
  <c r="D22" i="18"/>
  <c r="D18" i="18"/>
  <c r="D17" i="18"/>
  <c r="D16" i="18"/>
  <c r="D15" i="18"/>
  <c r="D14" i="18"/>
  <c r="D13" i="18"/>
  <c r="B43" i="17"/>
  <c r="C42" i="17"/>
  <c r="B42" i="17"/>
  <c r="B13" i="17"/>
  <c r="B24" i="15"/>
  <c r="B13" i="15"/>
  <c r="A17" i="14"/>
  <c r="A16" i="14"/>
  <c r="A15" i="14"/>
  <c r="A14" i="14"/>
  <c r="A13" i="14"/>
  <c r="A17" i="13"/>
  <c r="A16" i="13"/>
  <c r="A15" i="13"/>
  <c r="A14" i="13"/>
  <c r="A13" i="13"/>
  <c r="B1028" i="11"/>
  <c r="B1027" i="11"/>
  <c r="B1026" i="11"/>
  <c r="B1025" i="11"/>
  <c r="B1024" i="11"/>
  <c r="B1021" i="11"/>
  <c r="B18" i="17" s="1"/>
  <c r="B1020" i="11"/>
  <c r="B1019" i="11"/>
  <c r="B17" i="17" s="1"/>
  <c r="B1018" i="11"/>
  <c r="B16" i="17" s="1"/>
  <c r="B1017" i="11"/>
  <c r="B15" i="17" s="1"/>
  <c r="B1016" i="11"/>
  <c r="C16" i="10"/>
  <c r="C15" i="10"/>
  <c r="C14" i="10"/>
  <c r="C17" i="10" s="1"/>
  <c r="C18" i="10" s="1"/>
  <c r="C19" i="10" s="1"/>
  <c r="C13" i="10"/>
  <c r="B16" i="9"/>
  <c r="B15" i="9"/>
  <c r="B14" i="9"/>
  <c r="B13" i="9"/>
  <c r="B18" i="8"/>
  <c r="C18" i="8" s="1"/>
  <c r="B17" i="8"/>
  <c r="C17" i="8" s="1"/>
  <c r="B16" i="8"/>
  <c r="C16" i="8" s="1"/>
  <c r="D14" i="9" s="1"/>
  <c r="B15" i="8"/>
  <c r="C15" i="8" s="1"/>
  <c r="B14" i="8"/>
  <c r="C14" i="8" s="1"/>
  <c r="D13" i="9" s="1"/>
  <c r="C29" i="7"/>
  <c r="E18" i="7"/>
  <c r="D18" i="7"/>
  <c r="I17" i="13" s="1"/>
  <c r="C18" i="7"/>
  <c r="B18" i="7"/>
  <c r="E17" i="7"/>
  <c r="D17" i="7"/>
  <c r="I16" i="13" s="1"/>
  <c r="C17" i="7"/>
  <c r="B17" i="7"/>
  <c r="E16" i="7"/>
  <c r="D16" i="7"/>
  <c r="I15" i="13" s="1"/>
  <c r="C16" i="7"/>
  <c r="B16" i="7"/>
  <c r="E15" i="7"/>
  <c r="D15" i="7"/>
  <c r="I14" i="13" s="1"/>
  <c r="C15" i="7"/>
  <c r="B15" i="7"/>
  <c r="E14" i="7"/>
  <c r="D14" i="7"/>
  <c r="I13" i="13" s="1"/>
  <c r="C14" i="7"/>
  <c r="B14" i="7"/>
  <c r="C13" i="7"/>
  <c r="B13" i="7"/>
  <c r="E89" i="4"/>
  <c r="D89" i="4"/>
  <c r="C89" i="4"/>
  <c r="B89" i="4"/>
  <c r="E88" i="4"/>
  <c r="D88" i="4"/>
  <c r="C88" i="4"/>
  <c r="B88" i="4"/>
  <c r="E87" i="4"/>
  <c r="D87" i="4"/>
  <c r="C87" i="4"/>
  <c r="B87" i="4"/>
  <c r="B5" i="1"/>
  <c r="C49" i="17" l="1"/>
  <c r="B49" i="17"/>
  <c r="C48" i="17"/>
  <c r="B48" i="17"/>
  <c r="C47" i="17"/>
  <c r="B47" i="17"/>
  <c r="G10" i="11"/>
  <c r="G15" i="13"/>
  <c r="G16" i="13"/>
  <c r="B15" i="15"/>
  <c r="B19" i="15"/>
  <c r="B25" i="15"/>
  <c r="B19" i="17"/>
  <c r="G14" i="13"/>
  <c r="G17" i="13"/>
  <c r="D20" i="18"/>
  <c r="G13" i="13"/>
  <c r="C25" i="7"/>
  <c r="C24" i="7"/>
  <c r="D15" i="9"/>
  <c r="D16" i="9"/>
  <c r="B46" i="17"/>
  <c r="C46" i="17"/>
  <c r="C16" i="9"/>
  <c r="E16" i="9" s="1"/>
  <c r="C33" i="17"/>
  <c r="C32" i="17"/>
  <c r="C15" i="9"/>
  <c r="C31" i="17"/>
  <c r="C14" i="9"/>
  <c r="E14" i="9" s="1"/>
  <c r="C30" i="17"/>
  <c r="C13" i="9"/>
  <c r="E13" i="9" s="1"/>
  <c r="E15" i="9" l="1"/>
  <c r="E18" i="9" s="1"/>
  <c r="C26" i="7"/>
  <c r="C27" i="7" s="1"/>
  <c r="D26" i="18"/>
  <c r="E13" i="13"/>
  <c r="B33" i="17"/>
  <c r="F10" i="11"/>
  <c r="E14" i="13"/>
  <c r="E17" i="13"/>
  <c r="E15" i="13"/>
  <c r="E16" i="13"/>
  <c r="E10" i="11"/>
  <c r="D14" i="13"/>
  <c r="D17" i="13"/>
  <c r="D15" i="13"/>
  <c r="D16" i="13"/>
  <c r="B32" i="17"/>
  <c r="D13" i="13"/>
  <c r="C13" i="13"/>
  <c r="C14" i="13"/>
  <c r="C17" i="13"/>
  <c r="B31" i="17"/>
  <c r="D10" i="11"/>
  <c r="C15" i="13"/>
  <c r="C16" i="13"/>
  <c r="B13" i="13"/>
  <c r="C10" i="11"/>
  <c r="B14" i="13"/>
  <c r="B16" i="13"/>
  <c r="B30" i="17"/>
  <c r="B15" i="13"/>
  <c r="B17" i="13"/>
  <c r="F15" i="13" l="1"/>
  <c r="H15" i="13" s="1"/>
  <c r="C30" i="7"/>
  <c r="C44" i="17" s="1"/>
  <c r="C28" i="7"/>
  <c r="I10" i="11"/>
  <c r="B44" i="17"/>
  <c r="D25" i="18"/>
  <c r="H10" i="11"/>
  <c r="D21" i="18"/>
  <c r="B14" i="15"/>
  <c r="B16" i="15"/>
  <c r="B17" i="15"/>
  <c r="B18" i="15"/>
  <c r="B26" i="15"/>
  <c r="B15" i="14"/>
  <c r="J15" i="13"/>
  <c r="F13" i="13"/>
  <c r="F17" i="13"/>
  <c r="H17" i="13" s="1"/>
  <c r="F14" i="13"/>
  <c r="H14" i="13" s="1"/>
  <c r="F16" i="13"/>
  <c r="H16" i="13" s="1"/>
  <c r="B45" i="17" l="1"/>
  <c r="C45" i="17"/>
  <c r="B22" i="13"/>
  <c r="H13" i="13"/>
  <c r="B20" i="17"/>
  <c r="B17" i="14"/>
  <c r="J17" i="13"/>
  <c r="B14" i="14"/>
  <c r="J14" i="13"/>
  <c r="B16" i="14"/>
  <c r="J16" i="13"/>
  <c r="B23" i="13" l="1"/>
  <c r="B13" i="14"/>
  <c r="C13" i="14" s="1"/>
  <c r="C14" i="14" s="1"/>
  <c r="C15" i="14" s="1"/>
  <c r="C16" i="14" s="1"/>
  <c r="C17" i="14" s="1"/>
  <c r="B21" i="17"/>
  <c r="J13" i="13"/>
  <c r="B21" i="13" l="1"/>
  <c r="D13" i="14"/>
  <c r="D14" i="14" s="1"/>
  <c r="D15" i="14" s="1"/>
  <c r="D16" i="14" s="1"/>
  <c r="D17" i="14" s="1"/>
  <c r="D19" i="18" l="1"/>
  <c r="B20" i="15"/>
  <c r="E13" i="16"/>
  <c r="F13" i="16"/>
  <c r="E14" i="16"/>
  <c r="F14" i="16"/>
  <c r="E15" i="16"/>
  <c r="F15" i="16"/>
  <c r="E16" i="16"/>
  <c r="F16" i="16"/>
  <c r="B14" i="17"/>
  <c r="B10" i="11"/>
  <c r="G16" i="16" l="1"/>
  <c r="G13" i="16"/>
  <c r="B33" i="18"/>
  <c r="B31" i="18"/>
  <c r="B32" i="18"/>
  <c r="B66" i="17"/>
  <c r="B67" i="17"/>
  <c r="B10" i="1"/>
  <c r="B9" i="1"/>
  <c r="G14" i="16"/>
  <c r="G15" i="16"/>
</calcChain>
</file>

<file path=xl/sharedStrings.xml><?xml version="1.0" encoding="utf-8"?>
<sst xmlns="http://schemas.openxmlformats.org/spreadsheetml/2006/main" count="987" uniqueCount="696">
  <si>
    <t>Luminous Wetland Monte Carlo Financial Model</t>
  </si>
  <si>
    <t>FAST Standard Compliant (18-Sheet Architecture)</t>
  </si>
  <si>
    <t>Version:</t>
  </si>
  <si>
    <t>3.0</t>
  </si>
  <si>
    <t>Date:</t>
  </si>
  <si>
    <t>Author:</t>
  </si>
  <si>
    <t>Luminous BioSolutions</t>
  </si>
  <si>
    <t>Model Status</t>
  </si>
  <si>
    <t>Health:</t>
  </si>
  <si>
    <t>Errors:</t>
  </si>
  <si>
    <t>Sheet Navigation</t>
  </si>
  <si>
    <t>1_TOC</t>
  </si>
  <si>
    <t>Table of Contents / Control panel</t>
  </si>
  <si>
    <t>2_Instructions</t>
  </si>
  <si>
    <t>Methodology and documentation</t>
  </si>
  <si>
    <t>3_Assumptions</t>
  </si>
  <si>
    <t>ALL inputs (timing, site, test options, validation)</t>
  </si>
  <si>
    <t>4_Scenarios</t>
  </si>
  <si>
    <t>Value scenario definitions</t>
  </si>
  <si>
    <t>5_ServiceModels</t>
  </si>
  <si>
    <t>Monte Carlo distributions</t>
  </si>
  <si>
    <t>6_Calc_Timeline</t>
  </si>
  <si>
    <t>Projection timeline</t>
  </si>
  <si>
    <t>7_Calc_Stochastic</t>
  </si>
  <si>
    <t>Random variable generation</t>
  </si>
  <si>
    <t>8_Calc_Value</t>
  </si>
  <si>
    <t>Gated value calculations</t>
  </si>
  <si>
    <t>9_Calc_Costs</t>
  </si>
  <si>
    <t>Cost calculations</t>
  </si>
  <si>
    <t>10_Calc_Sim</t>
  </si>
  <si>
    <t>1000-iteration Monte Carlo</t>
  </si>
  <si>
    <t>11_PL_Monthly</t>
  </si>
  <si>
    <t>Monthly P&amp;L (placeholder)</t>
  </si>
  <si>
    <t>12_PL_Annual</t>
  </si>
  <si>
    <t>Annual projections</t>
  </si>
  <si>
    <t>13_CashFlow</t>
  </si>
  <si>
    <t>Cumulative projections</t>
  </si>
  <si>
    <t>14_UnitEconomics</t>
  </si>
  <si>
    <t>Unit economics view</t>
  </si>
  <si>
    <t>15_Sensitivity</t>
  </si>
  <si>
    <t>Tornado analysis</t>
  </si>
  <si>
    <t>16_Dashboard</t>
  </si>
  <si>
    <t>Executive dashboard</t>
  </si>
  <si>
    <t>17_Checks</t>
  </si>
  <si>
    <t>Validation checks</t>
  </si>
  <si>
    <t>Control Panel</t>
  </si>
  <si>
    <t>Description:</t>
  </si>
  <si>
    <t>User-editable model parameters that drive all calculations. Change these values to explore different scenarios.</t>
  </si>
  <si>
    <t>Purpose:</t>
  </si>
  <si>
    <t>Provide a single location for users to modify key model inputs</t>
  </si>
  <si>
    <t>Assumptions:</t>
  </si>
  <si>
    <t>- Testing_Option selects between HRMS and biosensor approaches
- Scenario_Select chooses conservative, base, or optimistic parameters
- Discount_Rate applies to all NPV calculations
- Projection_Years determines the financial projection horizon</t>
  </si>
  <si>
    <t>Data Source:</t>
  </si>
  <si>
    <t>User input - default values from Financial Model Framework v2.1</t>
  </si>
  <si>
    <t>Related Tables:</t>
  </si>
  <si>
    <t>tbl_ModelScenarios, tbl_TestOptions</t>
  </si>
  <si>
    <t>Parameter</t>
  </si>
  <si>
    <t>Value</t>
  </si>
  <si>
    <t>Validation</t>
  </si>
  <si>
    <t>Description</t>
  </si>
  <si>
    <t>Testing_Option</t>
  </si>
  <si>
    <t>Daily_Biosensor</t>
  </si>
  <si>
    <t>Dropdown</t>
  </si>
  <si>
    <t>Selected testing method</t>
  </si>
  <si>
    <t>Scenario_Select</t>
  </si>
  <si>
    <t>Base</t>
  </si>
  <si>
    <t>Model scenario</t>
  </si>
  <si>
    <t>Discount_Rate</t>
  </si>
  <si>
    <t>0%-15%</t>
  </si>
  <si>
    <t>NPV discount rate</t>
  </si>
  <si>
    <t>Projection_Years</t>
  </si>
  <si>
    <t>1-10</t>
  </si>
  <si>
    <t>Projection horizon</t>
  </si>
  <si>
    <t>Base_Year</t>
  </si>
  <si>
    <t>2024-2030</t>
  </si>
  <si>
    <t>Model start year</t>
  </si>
  <si>
    <t>Model Instructions &amp; Documentation</t>
  </si>
  <si>
    <t>1. Model Purpose</t>
  </si>
  <si>
    <t xml:space="preserve">  - Quantify value of high-frequency biosensor monitoring vs HRMS for OSPW wetland treatment</t>
  </si>
  <si>
    <t xml:space="preserve">  - Monte Carlo simulation for uncertainty quantification (1000 iterations)</t>
  </si>
  <si>
    <t xml:space="preserve">  - FAST Standard compliance for transparency and auditability</t>
  </si>
  <si>
    <t xml:space="preserve">  - All calculations performed in Excel - Python only generates structure/formulas</t>
  </si>
  <si>
    <t>2. How to Use This Model</t>
  </si>
  <si>
    <t>1. Edit yellow-highlighted cells in 1_TOC and 3_Assumptions</t>
  </si>
  <si>
    <t>2. Go to 10_Calc_Sim and set up the Data Table:</t>
  </si>
  <si>
    <t xml:space="preserve">   - Select range shown in instructions (formula row through 1000 iterations)</t>
  </si>
  <si>
    <t xml:space="preserve">   - Data &gt; What-If Analysis &gt; Data Table</t>
  </si>
  <si>
    <t xml:space="preserve">   - Column Input Cell: $K$1 (blank cell on same sheet)</t>
  </si>
  <si>
    <t>3. Press Ctrl+Alt+F9 to run Monte Carlo simulation</t>
  </si>
  <si>
    <t>4. View results in 16_Dashboard</t>
  </si>
  <si>
    <t>5. Check 17_Checks for any validation errors</t>
  </si>
  <si>
    <t>3. Latency Gating Logic</t>
  </si>
  <si>
    <t>HRMS lab testing has 42-day turnaround, blocking time-sensitive decisions:</t>
  </si>
  <si>
    <t>Scenario</t>
  </si>
  <si>
    <t>Required_Response</t>
  </si>
  <si>
    <t>HRMS_42d</t>
  </si>
  <si>
    <t>Biosensor_1d</t>
  </si>
  <si>
    <t>S1: Season Extension</t>
  </si>
  <si>
    <t>7 days</t>
  </si>
  <si>
    <t>BLOCKED</t>
  </si>
  <si>
    <t>ENABLED</t>
  </si>
  <si>
    <t>S2: Intervention Avoidance</t>
  </si>
  <si>
    <t>S3: Spatial Routing</t>
  </si>
  <si>
    <t>14 days</t>
  </si>
  <si>
    <t>S4: Early Detection</t>
  </si>
  <si>
    <t>3 days</t>
  </si>
  <si>
    <t>4. Glossary</t>
  </si>
  <si>
    <t>HRMS</t>
  </si>
  <si>
    <t>High-Resolution Mass Spectrometry</t>
  </si>
  <si>
    <t>OSPW</t>
  </si>
  <si>
    <t>Oil Sands Process-affected Water</t>
  </si>
  <si>
    <t>ARO</t>
  </si>
  <si>
    <t>Asset Retirement Obligation</t>
  </si>
  <si>
    <t>NPV</t>
  </si>
  <si>
    <t>Net Present Value</t>
  </si>
  <si>
    <t>HLR</t>
  </si>
  <si>
    <t>Hydraulic Loading Rate</t>
  </si>
  <si>
    <t>FAST</t>
  </si>
  <si>
    <t>Flexible, Appropriate, Structured, Transparent</t>
  </si>
  <si>
    <t>NAFC</t>
  </si>
  <si>
    <t>Naphthenic Acid Fraction Compounds</t>
  </si>
  <si>
    <t>5. Data Sources</t>
  </si>
  <si>
    <t xml:space="preserve">  - Zhang (2026) Long-Dated Environmental Liabilities in Oil Sands</t>
  </si>
  <si>
    <t xml:space="preserve">  - Kadlec &amp; Wallace (2009) Treatment Wetlands, 2nd Ed.</t>
  </si>
  <si>
    <t xml:space="preserve">  - FAST Standard Organisation (fast-standard.org)</t>
  </si>
  <si>
    <t xml:space="preserve">  - Luminous BioSolutions Financial Model Framework</t>
  </si>
  <si>
    <t xml:space="preserve">  - Kearl Wetland Pilot Data (GROW Presentation, Dec 2025)</t>
  </si>
  <si>
    <t>6. Value Per Cubic Meter Derivation</t>
  </si>
  <si>
    <t>The $5/m3 operational value is derived from:</t>
  </si>
  <si>
    <t xml:space="preserve">  - Conservative annual value: $250,000/year (Financial Model Framework)</t>
  </si>
  <si>
    <t xml:space="preserve">  - Annual throughput: 50,000 m3/year (3_Assumptions default)</t>
  </si>
  <si>
    <t xml:space="preserve">  - Calculation: $250,000 / 50,000 m3 = $5/m3</t>
  </si>
  <si>
    <t xml:space="preserve">  - This is the OPERATIONAL benefit only - excludes avoided treatment and ARO impacts</t>
  </si>
  <si>
    <t>Value Sensitivity Analysis (15_Sensitivity):</t>
  </si>
  <si>
    <t xml:space="preserve">  - Operational: $3-8/m3 (base $5) - Direct wetland treatment value</t>
  </si>
  <si>
    <t xml:space="preserve">  - Avoided Treatment: $10-30/m3 (base $20) - Alternative treatment costs</t>
  </si>
  <si>
    <t xml:space="preserve">  - ARO Liability: $21-93/m3 (base $50) - Zhang (2026) liability analysis</t>
  </si>
  <si>
    <t>7. Treatment Kinetics (Kearl 2022 Field Data)</t>
  </si>
  <si>
    <t>Source: Vander Meulen &amp; Headley (2024) GROW Presentation</t>
  </si>
  <si>
    <t>Project: Genome Canada LSARP - GROW (Genomics Research for Optimization of Constructed Treatment Wetlands)</t>
  </si>
  <si>
    <t>Two-Phase Kinetics Model:</t>
  </si>
  <si>
    <t xml:space="preserve">  - Rapid Phase (Days 0-15): -0.532 mg/L/day (R^2=0.43)</t>
  </si>
  <si>
    <t xml:space="preserve">  - Slow Phase (Days 30-69): -0.248 mg/L/day (R^2=0.50)</t>
  </si>
  <si>
    <t xml:space="preserve">  - The slowdown reflects preferential removal of labile compounds</t>
  </si>
  <si>
    <t>Toxicity Endpoints (Fathead Minnow Embryo):</t>
  </si>
  <si>
    <t xml:space="preserve">  - Day 14: ~50% survival (1 recirculation cycle = LC50)</t>
  </si>
  <si>
    <t xml:space="preserve">  - Day 28: 80-90% survival (2 cycles)</t>
  </si>
  <si>
    <t xml:space="preserve">  - Day 42: &gt;90% survival (3 cycles = non-toxic, equivalent to controls)</t>
  </si>
  <si>
    <t>The Concentration Paradox:</t>
  </si>
  <si>
    <t xml:space="preserve">  - Water at Day 42 was non-toxic despite ~50 mg/L NAFC concentration</t>
  </si>
  <si>
    <t xml:space="preserve">  - Literature LC50 values for fathead minnow: 18-34 mg/L</t>
  </si>
  <si>
    <t xml:space="preserve">  - Explanation: Wetlands preferentially remove high-carbon, lipophilic (most toxic) compounds</t>
  </si>
  <si>
    <t xml:space="preserve">  - Remaining NAFCs are oxidized (O3, O4 classes) and less bioavailable</t>
  </si>
  <si>
    <t xml:space="preserve">  - Implication: Total NAFC concentration alone may be inadequate for assessing safety</t>
  </si>
  <si>
    <t>Adjusting Parameters:</t>
  </si>
  <si>
    <t xml:space="preserve">  - All kinetics parameters are in 3_Assumptions Section H (yellow cells)</t>
  </si>
  <si>
    <t xml:space="preserve">  - Treatment_Rate_Factor in 5_ServiceModels captures seasonal/vegetation variability</t>
  </si>
  <si>
    <t xml:space="preserve">  - Modify Initial_NAFC to match your source water concentration</t>
  </si>
  <si>
    <t xml:space="preserve">  - Adjust Target_NAFC for different regulatory thresholds</t>
  </si>
  <si>
    <t>8. Change Log</t>
  </si>
  <si>
    <t>Version</t>
  </si>
  <si>
    <t>Date</t>
  </si>
  <si>
    <t>Changes</t>
  </si>
  <si>
    <t>3.2</t>
  </si>
  <si>
    <t>2026-01-29</t>
  </si>
  <si>
    <t>Value/m3 derivation documentation (Section 6)</t>
  </si>
  <si>
    <t>3.1</t>
  </si>
  <si>
    <t>Kearl treatment kinetics integration, Days_to_Compliance MC</t>
  </si>
  <si>
    <t>FAST 18-sheet refactor with LOCATIONS registry</t>
  </si>
  <si>
    <t>2.0</t>
  </si>
  <si>
    <t>2026-01-28</t>
  </si>
  <si>
    <t>Excel-native Monte Carlo via Data Tables</t>
  </si>
  <si>
    <t>1.0</t>
  </si>
  <si>
    <t>2025-12-01</t>
  </si>
  <si>
    <t>Initial Python-based model</t>
  </si>
  <si>
    <t>Model Assumptions (Single Source of Truth)</t>
  </si>
  <si>
    <t>A. Timing Parameters</t>
  </si>
  <si>
    <t>Treatment season timing that determines the operational window for wetland treatment.</t>
  </si>
  <si>
    <t>Define the active treatment period for financial projections</t>
  </si>
  <si>
    <t>- Treatment season aligned with Alberta weather patterns (May-September)
- Season length directly impacts annual value capture potential</t>
  </si>
  <si>
    <t>Standard Alberta treatment wetland operational calendar</t>
  </si>
  <si>
    <t>tbl_Seasonality, tbl_Timeline</t>
  </si>
  <si>
    <t>Unit</t>
  </si>
  <si>
    <t>Notes</t>
  </si>
  <si>
    <t>Season_Start_Month</t>
  </si>
  <si>
    <t>month</t>
  </si>
  <si>
    <t>May</t>
  </si>
  <si>
    <t>Season_Start_Day</t>
  </si>
  <si>
    <t>day</t>
  </si>
  <si>
    <t>Mid-May</t>
  </si>
  <si>
    <t>Season_End_Month</t>
  </si>
  <si>
    <t>September</t>
  </si>
  <si>
    <t>Season_End_Day</t>
  </si>
  <si>
    <t>Mid-September</t>
  </si>
  <si>
    <t>Treatment_Days</t>
  </si>
  <si>
    <t>days</t>
  </si>
  <si>
    <t>Active season length</t>
  </si>
  <si>
    <t>Seasonality Index</t>
  </si>
  <si>
    <t>Monthly activity multipliers reflecting natural treatment capacity variation across the season.</t>
  </si>
  <si>
    <t>Weight value calculations by month based on treatment capacity patterns</t>
  </si>
  <si>
    <t>- Peak activity in June-July matches optimal treatment temperatures
- Ramp-up in May and decline in September reflect shoulder seasons</t>
  </si>
  <si>
    <t>Kearl pilot operational data patterns</t>
  </si>
  <si>
    <t>tbl_Timing, tbl_Timeline</t>
  </si>
  <si>
    <t>Month</t>
  </si>
  <si>
    <t>Month_Num</t>
  </si>
  <si>
    <t>Multiplier</t>
  </si>
  <si>
    <t>Activity</t>
  </si>
  <si>
    <t>Ramp-up</t>
  </si>
  <si>
    <t>June</t>
  </si>
  <si>
    <t>Peak</t>
  </si>
  <si>
    <t>July</t>
  </si>
  <si>
    <t>August</t>
  </si>
  <si>
    <t>Slight decline</t>
  </si>
  <si>
    <t>Decline</t>
  </si>
  <si>
    <t>B. Site Configuration</t>
  </si>
  <si>
    <t>Physical wetland parameters that define treatment capacity and value per unit.</t>
  </si>
  <si>
    <t>Establish the operational scale for all calculations</t>
  </si>
  <si>
    <t>- Standard 1.0 ha design based on Kearl pilot scaling
- HLR of 0.05 m3/m2/day is conservative for constructed wetlands</t>
  </si>
  <si>
    <t>Kearl pilot scaling (0.76 ha) extrapolated to standard design</t>
  </si>
  <si>
    <t>tbl_TreatmentKinetics</t>
  </si>
  <si>
    <t>Source</t>
  </si>
  <si>
    <t>WetlandAreaHa</t>
  </si>
  <si>
    <t>ha</t>
  </si>
  <si>
    <t>Standard design (Kearl pilot = 0.76 ha)</t>
  </si>
  <si>
    <t>TreatmentCells</t>
  </si>
  <si>
    <t>count</t>
  </si>
  <si>
    <t>Multi-cell design</t>
  </si>
  <si>
    <t>AnnualThroughputM3</t>
  </si>
  <si>
    <t>m3/yr</t>
  </si>
  <si>
    <t>HLR = 0.05 m3/m2/day</t>
  </si>
  <si>
    <t>ValuePerM3</t>
  </si>
  <si>
    <t>$/m3</t>
  </si>
  <si>
    <t>$250K/yr / 50K m3/yr (Section 6)</t>
  </si>
  <si>
    <t>C. Cost Parameters</t>
  </si>
  <si>
    <t>Operational cost assumptions for labor, penalties, and downtime.</t>
  </si>
  <si>
    <t>Enable cost-benefit calculations for testing options</t>
  </si>
  <si>
    <t>- Labor costs include all direct operational expenses
- Regulatory penalty reflects typical EPEA violation costs</t>
  </si>
  <si>
    <t>Industry estimates from Financial Model Framework v2.1</t>
  </si>
  <si>
    <t>tbl_CostCalc</t>
  </si>
  <si>
    <t>LaborPerDay</t>
  </si>
  <si>
    <t>$/day</t>
  </si>
  <si>
    <t>RegulatoryPenalty</t>
  </si>
  <si>
    <t>$</t>
  </si>
  <si>
    <t>DowntimeCostPerDay</t>
  </si>
  <si>
    <t>D. Learning Curve</t>
  </si>
  <si>
    <t>Year-over-year efficiency multipliers reflecting operational maturity progression.</t>
  </si>
  <si>
    <t>Discount early-year value to account for pilot learning and optimization</t>
  </si>
  <si>
    <t>- Year 1 at 50% reflects pilot learning phase
- Full maturity (100%) achieved by Year 3</t>
  </si>
  <si>
    <t>Standard industrial learning curve for new process technology</t>
  </si>
  <si>
    <t>tbl_Timeline, tbl_GatedValues</t>
  </si>
  <si>
    <t>Year</t>
  </si>
  <si>
    <t>Pilot learning</t>
  </si>
  <si>
    <t>Initial optimization</t>
  </si>
  <si>
    <t>Full maturity</t>
  </si>
  <si>
    <t>Steady state</t>
  </si>
  <si>
    <t>E. Test Options</t>
  </si>
  <si>
    <t>Testing method specifications including frequency, cost, and result latency.</t>
  </si>
  <si>
    <t>Compare HRMS lab testing vs real-time biosensor monitoring approaches</t>
  </si>
  <si>
    <t>- HRMS costs include lab fees and sample logistics
- Biosensor costs assume deployed hardware and consumables
- Latency includes sample processing and reporting time</t>
  </si>
  <si>
    <t>HRMS: Commercial lab quotes; Biosensor: Luminous device specifications</t>
  </si>
  <si>
    <t>tbl_LatencyGating, tbl_CostCalc</t>
  </si>
  <si>
    <t>Option</t>
  </si>
  <si>
    <t>Method</t>
  </si>
  <si>
    <t>Interval</t>
  </si>
  <si>
    <t>Points</t>
  </si>
  <si>
    <t>Cost_Per_Test</t>
  </si>
  <si>
    <t>Latency_Days</t>
  </si>
  <si>
    <t>Monthly_HRMS</t>
  </si>
  <si>
    <t>Weekly_HRMS</t>
  </si>
  <si>
    <t>Biosensor</t>
  </si>
  <si>
    <t>Latency Gating (Calculated)</t>
  </si>
  <si>
    <t>Calculated gate status showing which testing options can capture each value scenario.</t>
  </si>
  <si>
    <t>Determine ENABLED/BLOCKED status based on latency vs required response time</t>
  </si>
  <si>
    <t>- ENABLED if testing latency &lt;= scenario required response days
- BLOCKED if testing latency &gt; scenario required response days
- Gates determine whether value can be captured</t>
  </si>
  <si>
    <t>Calculated from tbl_TestOptions latency vs tbl_ValueScenarios requirements</t>
  </si>
  <si>
    <t>tbl_TestOptions, tbl_ValueScenarios, tbl_GatedValues</t>
  </si>
  <si>
    <t>S1_Gate</t>
  </si>
  <si>
    <t>S2_Gate</t>
  </si>
  <si>
    <t>S3_Gate</t>
  </si>
  <si>
    <t>S4_Gate</t>
  </si>
  <si>
    <t>F. VALIDATION LISTS</t>
  </si>
  <si>
    <t>Testing_Options</t>
  </si>
  <si>
    <t>Scenarios</t>
  </si>
  <si>
    <t>Conservative</t>
  </si>
  <si>
    <t>Optimistic</t>
  </si>
  <si>
    <t>G. MC ANCHOR</t>
  </si>
  <si>
    <t>MC_Anchor --&gt;</t>
  </si>
  <si>
    <t>H. Treatment Kinetics</t>
  </si>
  <si>
    <t>NAFC removal rate parameters from Kearl 2022 pilot field data.</t>
  </si>
  <si>
    <t>Model treatment progression and time-to-compliance calculations</t>
  </si>
  <si>
    <t>- Biphasic removal: rapid initial phase (Days 0-15) then slower steady state
- Rates calibrated from Vander Meulen &amp; Headley (2024) GROW presentation</t>
  </si>
  <si>
    <t>Kearl 2022 pilot data - Vander Meulen &amp; Headley GROW presentation</t>
  </si>
  <si>
    <t>tbl_ToxicityMilestones, tbl_Stochastic</t>
  </si>
  <si>
    <t>Initial_NAFC</t>
  </si>
  <si>
    <t>mg/L</t>
  </si>
  <si>
    <t>Kearl 2022 Day 0 concentration</t>
  </si>
  <si>
    <t>Target_NAFC</t>
  </si>
  <si>
    <t>Regulatory threshold for non-toxicity</t>
  </si>
  <si>
    <t>Rapid_Phase_Rate</t>
  </si>
  <si>
    <t>mg/L/day</t>
  </si>
  <si>
    <t>Kearl Days 0-15 (R^2=0.43)</t>
  </si>
  <si>
    <t>Slow_Phase_Rate</t>
  </si>
  <si>
    <t>Kearl Days 30-69 (R^2=0.50)</t>
  </si>
  <si>
    <t>Rapid_Phase_Duration</t>
  </si>
  <si>
    <t>Duration of rapid removal phase</t>
  </si>
  <si>
    <t>Recirculation_Cycle</t>
  </si>
  <si>
    <t>Standard wetland recirculation</t>
  </si>
  <si>
    <t>System_Capacity</t>
  </si>
  <si>
    <t>m3</t>
  </si>
  <si>
    <t>Kearl 4-bay system volume</t>
  </si>
  <si>
    <t>I. Toxicity Milestones</t>
  </si>
  <si>
    <t>Fathead minnow embryo survival endpoints marking treatment progress toward non-toxicity.</t>
  </si>
  <si>
    <t>Define compliance milestones for treatment effectiveness tracking</t>
  </si>
  <si>
    <t>- LC50 at Day 14 marks start of toxicity reduction
- Non-toxic threshold (&gt;90% survival) typically achieved by Day 42</t>
  </si>
  <si>
    <t>Parrott Lab (Burlington) fathead minnow embryo bioassays</t>
  </si>
  <si>
    <t>Milestone</t>
  </si>
  <si>
    <t>Days</t>
  </si>
  <si>
    <t>Survival</t>
  </si>
  <si>
    <t>Day_LC50</t>
  </si>
  <si>
    <t>50%</t>
  </si>
  <si>
    <t>1 recirculation cycle - LC50 threshold</t>
  </si>
  <si>
    <t>Day_80_Survival</t>
  </si>
  <si>
    <t>80-90%</t>
  </si>
  <si>
    <t>2 recirculation cycles</t>
  </si>
  <si>
    <t>Day_Nontoxic</t>
  </si>
  <si>
    <t>&gt;90%</t>
  </si>
  <si>
    <t>3 cycles - equivalent to negative control</t>
  </si>
  <si>
    <t>Value Scenario Definitions</t>
  </si>
  <si>
    <t>Four value streams enabled by biosensor monitoring that HRMS testing cannot capture due to latency constraints.</t>
  </si>
  <si>
    <t>Quantify the annual financial benefit of each operational improvement enabled by real-time monitoring</t>
  </si>
  <si>
    <t>- Values are additive (a single biosensor deployment captures all four simultaneously)
- Base values calibrated from $250K/year total operational value allocation
- Required response days based on operational decision-making windows
- HRMS 42-day latency blocks all scenarios; biosensor 1-day latency enables all</t>
  </si>
  <si>
    <t>Financial Model Framework v2.1 - operational value allocation</t>
  </si>
  <si>
    <t>tbl_ModelScenarios, tbl_GatedValues, tbl_LatencyGating</t>
  </si>
  <si>
    <t>ID</t>
  </si>
  <si>
    <t>Name</t>
  </si>
  <si>
    <t>Base_Value</t>
  </si>
  <si>
    <t>Required_Response_Days</t>
  </si>
  <si>
    <t>S1</t>
  </si>
  <si>
    <t>Season Extension</t>
  </si>
  <si>
    <t>Temperature-based vs calendar shutdown</t>
  </si>
  <si>
    <t>S2</t>
  </si>
  <si>
    <t>Intervention Avoidance</t>
  </si>
  <si>
    <t>Prevented false-positive interventions</t>
  </si>
  <si>
    <t>S3</t>
  </si>
  <si>
    <t>Spatial Routing</t>
  </si>
  <si>
    <t>Route to high-performing cells</t>
  </si>
  <si>
    <t>S4</t>
  </si>
  <si>
    <t>Early Detection</t>
  </si>
  <si>
    <t>Reduced bio-assay costs</t>
  </si>
  <si>
    <t>Model Scenarios</t>
  </si>
  <si>
    <t>Parameter adjustments for conservative, base, and optimistic financial projections.</t>
  </si>
  <si>
    <t>Enable sensitivity analysis by adjusting discount rate, growth rate, and risk factors</t>
  </si>
  <si>
    <t>- Base scenario uses unadjusted parameters from model inputs
- Conservative adds higher discount (+0.4%), lower growth (-2%), higher risk (+10%)
- Optimistic uses lower discount (-0.3%), higher growth (+1%), lower risk (-10%)</t>
  </si>
  <si>
    <t>Standard financial modeling practice - scenario analysis parameters</t>
  </si>
  <si>
    <t>tbl_ValueScenarios, tbl_Sensitivity</t>
  </si>
  <si>
    <t>Discount_Adj</t>
  </si>
  <si>
    <t>Growth_Adj</t>
  </si>
  <si>
    <t>Risk_Adj</t>
  </si>
  <si>
    <t>Monte Carlo Distribution Parameters</t>
  </si>
  <si>
    <t>Triangular Distributions</t>
  </si>
  <si>
    <t>Monte Carlo input parameters using triangular probability distributions for key uncertain variables.</t>
  </si>
  <si>
    <t>Define the uncertainty ranges for stochastic variables that drive value scenario calculations</t>
  </si>
  <si>
    <t>- Triangular distribution selected for interpretability with stakeholders
- Min/Max represent 10th/90th percentile expert estimates, not absolute bounds
- Mode represents the most likely value (base case assumption)
- Variables are assumed independent (no correlation modeled)</t>
  </si>
  <si>
    <t>Expert judgment calibrated against Financial Model Framework v2.1</t>
  </si>
  <si>
    <t>tbl_Stochastic, tbl_GatedValues, tbl_ValueScenarios</t>
  </si>
  <si>
    <t>Variable</t>
  </si>
  <si>
    <t>Min</t>
  </si>
  <si>
    <t>Mode</t>
  </si>
  <si>
    <t>Max</t>
  </si>
  <si>
    <t>Units</t>
  </si>
  <si>
    <t>Season_Extension_Days</t>
  </si>
  <si>
    <t>Extension_Value_Per_Day</t>
  </si>
  <si>
    <t>Interventions_Avoided</t>
  </si>
  <si>
    <t>events</t>
  </si>
  <si>
    <t>Treatment_Rate_Factor</t>
  </si>
  <si>
    <t>multiplier</t>
  </si>
  <si>
    <t>Beta Distributions</t>
  </si>
  <si>
    <t>Monte Carlo input parameters using beta distributions for bounded percentage variables.</t>
  </si>
  <si>
    <t>Model uncertainty in efficiency and probability parameters that must stay within 0-100% bounds</t>
  </si>
  <si>
    <t>- Beta distribution ensures values stay within specified bounds
- Alpha/Beta parameters shape the distribution skewness
- Used for variables that represent percentages or bounded factors</t>
  </si>
  <si>
    <t>Expert judgment for efficiency and probability estimates</t>
  </si>
  <si>
    <t>tbl_Triangular, tbl_Stochastic</t>
  </si>
  <si>
    <t>Alpha</t>
  </si>
  <si>
    <t>Beta</t>
  </si>
  <si>
    <t>Efficiency_Gain</t>
  </si>
  <si>
    <t>%</t>
  </si>
  <si>
    <t>Value Per M3 Sensitivity Frames</t>
  </si>
  <si>
    <t>Alternative value framing approaches for sensitivity analysis and stakeholder communication.</t>
  </si>
  <si>
    <t>Provide multiple perspectives on value per cubic meter of treated water</t>
  </si>
  <si>
    <t>- Operational frame: Direct operational cost savings
- Avoided Treatment frame: Value of alternatives not needed
- ARO Liability frame: Asset retirement obligation cost reduction (Zhang 2026)
- Values are illustrative ranges for framing discussions</t>
  </si>
  <si>
    <t>Zhang (2026) analysis for ARO frame; operational estimates for others</t>
  </si>
  <si>
    <t>tbl_ValueScenarios, tbl_KPIs</t>
  </si>
  <si>
    <t>Frame</t>
  </si>
  <si>
    <t>Low</t>
  </si>
  <si>
    <t>High</t>
  </si>
  <si>
    <t>Context</t>
  </si>
  <si>
    <t>Operational</t>
  </si>
  <si>
    <t>Direct operational benefit</t>
  </si>
  <si>
    <t>Avoided Treatment</t>
  </si>
  <si>
    <t>Alternative treatment costs</t>
  </si>
  <si>
    <t>ARO Liability</t>
  </si>
  <si>
    <t>Zhang (2026) analysis</t>
  </si>
  <si>
    <t>Projection Timeline</t>
  </si>
  <si>
    <t>Understanding the Timeline</t>
  </si>
  <si>
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</si>
  <si>
    <t>Year-by-year projection timeline with seasonal month breakdown and learning curve factors.</t>
  </si>
  <si>
    <t>Generate the time dimension for all financial calculations</t>
  </si>
  <si>
    <t>- Projection starts at Base_Year and extends for Projection_Years
- Each year contains 12 months with season flags
- Learning curve multiplier applied from tbl_LearningCurve</t>
  </si>
  <si>
    <t>Generated from 1_TOC control parameters</t>
  </si>
  <si>
    <t>tbl_LearningCurve, tbl_Seasonality, tbl_Annual</t>
  </si>
  <si>
    <t>Year_Index</t>
  </si>
  <si>
    <t>Calendar_Year</t>
  </si>
  <si>
    <t>Discount_Factor</t>
  </si>
  <si>
    <t>Learning_Mult</t>
  </si>
  <si>
    <t>Treatment Kinetics (Kearl 2022)</t>
  </si>
  <si>
    <t>Source: Vander Meulen &amp; Headley (2024) GROW</t>
  </si>
  <si>
    <t>Metric</t>
  </si>
  <si>
    <t>Formula</t>
  </si>
  <si>
    <t>Eff_Rapid_Rate</t>
  </si>
  <si>
    <t>'=Rapid_Phase_Rate * Stoch_TreatmentRate</t>
  </si>
  <si>
    <t>Eff_Slow_Rate</t>
  </si>
  <si>
    <t>'=Slow_Phase_Rate * Stoch_TreatmentRate</t>
  </si>
  <si>
    <t>NAFC_After_Rapid</t>
  </si>
  <si>
    <t>'=MAX(0, Initial - Rate * Duration)</t>
  </si>
  <si>
    <t>Days_to_Compliance</t>
  </si>
  <si>
    <t>Two-phase calculation</t>
  </si>
  <si>
    <t>Circulation_Cycles</t>
  </si>
  <si>
    <t>'=CEILING(Days / Cycle, 1)</t>
  </si>
  <si>
    <t>cycles</t>
  </si>
  <si>
    <t>Treatment_Efficiency</t>
  </si>
  <si>
    <t>'=(Initial - Target) / Initial</t>
  </si>
  <si>
    <t>Compliance_Status</t>
  </si>
  <si>
    <t>Achievable within season?</t>
  </si>
  <si>
    <t>status</t>
  </si>
  <si>
    <t>Stochastic Variables</t>
  </si>
  <si>
    <t>(Press F9 to recalculate random draws)</t>
  </si>
  <si>
    <t>Monte Carlo Random Variables</t>
  </si>
  <si>
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</si>
  <si>
    <t>Random variable generation using triangular distributions for Monte Carlo simulation.</t>
  </si>
  <si>
    <t>Generate stochastic multipliers that vary across simulation iterations</t>
  </si>
  <si>
    <t>- Uses triangular distribution parameters from 5_ServiceModels
- RAND() functions recalculate on spreadsheet refresh
- Values captured by Data Table in 10_Calc_Sim for 1000 iterations</t>
  </si>
  <si>
    <t>Distribution parameters from tbl_Triangular and tbl_Beta</t>
  </si>
  <si>
    <t>tbl_Triangular, tbl_Beta, tbl_GatedValues</t>
  </si>
  <si>
    <t>Random_U</t>
  </si>
  <si>
    <t>Realized_Value</t>
  </si>
  <si>
    <t>Season_Extension</t>
  </si>
  <si>
    <t>Extension_Value</t>
  </si>
  <si>
    <t>Gated Value Calculations</t>
  </si>
  <si>
    <t>Understanding Gated Value Calculations</t>
  </si>
  <si>
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</si>
  <si>
    <t>Scenario values after applying latency gating logic and stochastic multipliers.</t>
  </si>
  <si>
    <t>Calculate the actual value captured based on testing option's ability to meet response time requirements</t>
  </si>
  <si>
    <t>- Gate status determined by comparing testing latency to required response time
- ENABLED scenarios: Gated_Value = Base_Value x Stoch_Mult
- BLOCKED scenarios: Gated_Value = $0 (value cannot be captured)
- Stochastic multipliers vary each Monte Carlo iteration</t>
  </si>
  <si>
    <t>Calculated from tbl_ValueScenarios, tbl_LatencyGating, and tbl_Stochastic</t>
  </si>
  <si>
    <t>tbl_ValueScenarios, tbl_LatencyGating, tbl_Stochastic, tbl_ScenarioBreakdown</t>
  </si>
  <si>
    <t>Gate_Status</t>
  </si>
  <si>
    <t>Stoch_Mult</t>
  </si>
  <si>
    <t>Gated_Value</t>
  </si>
  <si>
    <t>S1_Season_Extension</t>
  </si>
  <si>
    <t>S2_Intervention_Avoidance</t>
  </si>
  <si>
    <t>S3_Spatial_Routing</t>
  </si>
  <si>
    <t>S4_Early_Detection</t>
  </si>
  <si>
    <t>Total_Gross_Value</t>
  </si>
  <si>
    <t>Cost Calculations</t>
  </si>
  <si>
    <t>Understanding Cost Calculations</t>
  </si>
  <si>
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</si>
  <si>
    <t>Cost Calculation</t>
  </si>
  <si>
    <t>Annual testing cost breakdown for the selected monitoring approach.</t>
  </si>
  <si>
    <t>Calculate total cost of testing to include in ROI and NPV calculations</t>
  </si>
  <si>
    <t>- Cost = (Season_Days / Test_Interval) x Sample_Points x Cost_Per_Test
- Parameters looked up from tbl_TestOptions based on selected option</t>
  </si>
  <si>
    <t>Calculated from tbl_TestOptions parameters</t>
  </si>
  <si>
    <t>tbl_TestOptions, tbl_CostParams, tbl_Annual</t>
  </si>
  <si>
    <t>Component</t>
  </si>
  <si>
    <t>Selected_Option</t>
  </si>
  <si>
    <t>Interval_Days</t>
  </si>
  <si>
    <t>INDEX/MATCH</t>
  </si>
  <si>
    <t>Monitoring_Points</t>
  </si>
  <si>
    <t>Events_Per_Season</t>
  </si>
  <si>
    <t>Season_Length / Interval</t>
  </si>
  <si>
    <t>Total_Tests</t>
  </si>
  <si>
    <t>Events * Points</t>
  </si>
  <si>
    <t>Season_Testing_Cost</t>
  </si>
  <si>
    <t>Total_Tests * Cost_Per_Test</t>
  </si>
  <si>
    <t>Monte Carlo Simulation (1000 iterations)</t>
  </si>
  <si>
    <t>Running the Monte Carlo Simulation</t>
  </si>
  <si>
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</si>
  <si>
    <t>Select A8:I1008 &gt; Data &gt; What-If Analysis &gt; Data Table</t>
  </si>
  <si>
    <t>Column Input Cell: $K$1 (blank cell on this sheet)</t>
  </si>
  <si>
    <t>Iteration</t>
  </si>
  <si>
    <t>Cost</t>
  </si>
  <si>
    <t>Net</t>
  </si>
  <si>
    <t>Monte Carlo Statistics</t>
  </si>
  <si>
    <t>Expected NPV</t>
  </si>
  <si>
    <t>P10 NPV</t>
  </si>
  <si>
    <t>P50 NPV (Median)</t>
  </si>
  <si>
    <t>P90 NPV</t>
  </si>
  <si>
    <t>StdDev</t>
  </si>
  <si>
    <t>Prob(NPV&gt;0)</t>
  </si>
  <si>
    <t>Treatment Kinetics Statistics</t>
  </si>
  <si>
    <t>Expected Days to Compliance</t>
  </si>
  <si>
    <t>P10 Days (optimistic)</t>
  </si>
  <si>
    <t>P50 Days (median)</t>
  </si>
  <si>
    <t>P90 Days (conservative)</t>
  </si>
  <si>
    <t>Prob(Achievable in Season)</t>
  </si>
  <si>
    <t>Monthly P&amp;L (Placeholder)</t>
  </si>
  <si>
    <t>Monthly P&amp;L View</t>
  </si>
  <si>
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</si>
  <si>
    <t>Annual Projections</t>
  </si>
  <si>
    <t>Annual Financial Projections</t>
  </si>
  <si>
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</si>
  <si>
    <t>Year-by-year financial projections with learning curve adjustments and NPV calculations.</t>
  </si>
  <si>
    <t>Project multi-year value capture for ROI and NPV analysis</t>
  </si>
  <si>
    <t>- Learning curve applied: Year 1 (50%), Year 2 (75%), Year 3+ (100%)
- Discount rate from 1_TOC applied to all future cash flows
- Testing costs deducted annually based on selected approach</t>
  </si>
  <si>
    <t>Calculated from tbl_GatedValues, tbl_LearningCurve, tbl_CostCalc</t>
  </si>
  <si>
    <t>tbl_GatedValues, tbl_LearningCurve, tbl_CostCalc, tbl_CashFlow</t>
  </si>
  <si>
    <t>S1_Value</t>
  </si>
  <si>
    <t>S2_Value</t>
  </si>
  <si>
    <t>S3_Value</t>
  </si>
  <si>
    <t>S4_Value</t>
  </si>
  <si>
    <t>Gross_Value</t>
  </si>
  <si>
    <t>Costs</t>
  </si>
  <si>
    <t>Net_Annual</t>
  </si>
  <si>
    <t>Discounted</t>
  </si>
  <si>
    <t>Aggregate KPIs</t>
  </si>
  <si>
    <t>NPV_Total</t>
  </si>
  <si>
    <t>Total_Gross_5Yr</t>
  </si>
  <si>
    <t>Total_Net_5Yr</t>
  </si>
  <si>
    <t>Cumulative Cash Flow</t>
  </si>
  <si>
    <t>Cumulative Cash Flow Analysis</t>
  </si>
  <si>
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</si>
  <si>
    <t>Cash Flow Summary</t>
  </si>
  <si>
    <t>Cumulative cash flow and NPV tracking for payback analysis.</t>
  </si>
  <si>
    <t>Track when cumulative value exceeds investment for breakeven analysis</t>
  </si>
  <si>
    <t>- No upfront capital investment assumed (costs included in testing)
- Annual net values from tbl_Annual
- Cumulative NPV used for total project value</t>
  </si>
  <si>
    <t>Calculated from tbl_Annual</t>
  </si>
  <si>
    <t>tbl_Annual, tbl_KPIs</t>
  </si>
  <si>
    <t>Annual_Net</t>
  </si>
  <si>
    <t>Cumulative_Net</t>
  </si>
  <si>
    <t>Cumulative_NPV</t>
  </si>
  <si>
    <t>Unit Economics</t>
  </si>
  <si>
    <t>Per-Cubic-Meter Economics</t>
  </si>
  <si>
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</si>
  <si>
    <t>Per-cubic-meter economics for cross-site comparability and scaling estimates.</t>
  </si>
  <si>
    <t>Express all values on per-m3 basis for benchmarking and scaling</t>
  </si>
  <si>
    <t>- Annual throughput from tbl_SiteConfig used as denominator
- NPV values divided by 5-year total throughput
- Benchmarks from industry data and Zhang (2026) analysis</t>
  </si>
  <si>
    <t>Calculated from model outputs and 3_Assumptions throughput</t>
  </si>
  <si>
    <t>tbl_SiteConfig, tbl_Annual, tbl_KPIs</t>
  </si>
  <si>
    <t>Annual Throughput</t>
  </si>
  <si>
    <t>From 3_Assumptions</t>
  </si>
  <si>
    <t>Gross Value per Season</t>
  </si>
  <si>
    <t>Sum of S1-S4</t>
  </si>
  <si>
    <t>Testing Cost per Season</t>
  </si>
  <si>
    <t>Based on option selected</t>
  </si>
  <si>
    <t>Net Value per Season</t>
  </si>
  <si>
    <t>Gross - Testing</t>
  </si>
  <si>
    <t>Value per m3 (Gross)</t>
  </si>
  <si>
    <t>Gross / Throughput</t>
  </si>
  <si>
    <t>Value per m3 (Net)</t>
  </si>
  <si>
    <t>Net / Throughput</t>
  </si>
  <si>
    <t>Cost per m3</t>
  </si>
  <si>
    <t>Testing / Throughput</t>
  </si>
  <si>
    <t>5-Year NPV per m3</t>
  </si>
  <si>
    <t>NPV / (5yr throughput)</t>
  </si>
  <si>
    <t>Breakeven Analysis</t>
  </si>
  <si>
    <t>Testing cost per test:</t>
  </si>
  <si>
    <t>Tests per season:</t>
  </si>
  <si>
    <t>Value per test (net):</t>
  </si>
  <si>
    <t>Sensitivity Analysis</t>
  </si>
  <si>
    <t>Tornado Sensitivity Analysis</t>
  </si>
  <si>
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</si>
  <si>
    <t>Tornado chart data showing NPV impact when each parameter varies from low to high.</t>
  </si>
  <si>
    <t>Identify which parameters most influence outcomes for validation focus</t>
  </si>
  <si>
    <t>- One-at-a-time analysis: each parameter varied while others at base
- Swing = |NPV_at_High - NPV_at_Low| measures parameter influence
- Parameters sorted by swing (largest impact first)</t>
  </si>
  <si>
    <t>Calculated by evaluating NPV at parameter bounds</t>
  </si>
  <si>
    <t>tbl_Triangular, tbl_SiteConfig, tbl_KPIs</t>
  </si>
  <si>
    <t>NPV_at_Low</t>
  </si>
  <si>
    <t>NPV_at_High</t>
  </si>
  <si>
    <t>Swing</t>
  </si>
  <si>
    <t>Value_Per_M3</t>
  </si>
  <si>
    <t>Season_Length</t>
  </si>
  <si>
    <t>Wetland_Area</t>
  </si>
  <si>
    <t>Methodology</t>
  </si>
  <si>
    <t>Proportional parameters: NPV scales linearly with parameter ratio (Low/Base, High/Base)</t>
  </si>
  <si>
    <t>Discount Rate: Uses time-value adjustment formula NPV * ((1+Base)/(1+Rate))^2.5</t>
  </si>
  <si>
    <t>Note: These are first-order approximations. For precise sensitivity, use Monte Carlo.</t>
  </si>
  <si>
    <t>Tornado Chart</t>
  </si>
  <si>
    <t>1. Select Parameter and Swing columns (A4:A8, G4:G8)</t>
  </si>
  <si>
    <t>2. Insert -&gt; Chart -&gt; Bar Chart (horizontal)</t>
  </si>
  <si>
    <t>3. Sort data by Swing descending for tornado effect</t>
  </si>
  <si>
    <t>Executive Dashboard</t>
  </si>
  <si>
    <t>Key Results Summary</t>
  </si>
  <si>
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</si>
  <si>
    <t>Key Performance Indicators</t>
  </si>
  <si>
    <t>Primary Monte Carlo simulation outputs and financial metrics for executive decision-making.</t>
  </si>
  <si>
    <t>Provide at-a-glance summary of biosensor investment value and risk profile</t>
  </si>
  <si>
    <t>- NPV calculated over 5-year horizon with 7% discount rate
- P10/P50/P90 derived from 1000 Monte Carlo iterations
- All metrics assume Daily Biosensor as selected testing option
- Values refresh when Monte Carlo simulation is recalculated</t>
  </si>
  <si>
    <t>Calculated from 10_Calc_Sim Monte Carlo simulation results</t>
  </si>
  <si>
    <t>tbl_ScenarioBreakdown, tbl_Annual, tbl_CashFlow</t>
  </si>
  <si>
    <t>Selected Testing Option</t>
  </si>
  <si>
    <t>Expected NPV (5-Year)</t>
  </si>
  <si>
    <t>Monte Carlo P10</t>
  </si>
  <si>
    <t>Monte Carlo P50</t>
  </si>
  <si>
    <t>Monte Carlo P90</t>
  </si>
  <si>
    <t>Probability NPV &gt; 0</t>
  </si>
  <si>
    <t>Annual Testing Cost</t>
  </si>
  <si>
    <t>Year 1 Gross Value</t>
  </si>
  <si>
    <t>Year 1 Net Value</t>
  </si>
  <si>
    <t>Scenario Value Breakdown</t>
  </si>
  <si>
    <t>Individual scenario contributions to total gated value with gate status.</t>
  </si>
  <si>
    <t>Show which value scenarios are captured by the selected testing option</t>
  </si>
  <si>
    <t>- Gate status determined by testing latency vs required response time
- ENABLED means testing latency allows capturing this value
- BLOCKED means testing latency prevents capturing this value
- Values are stochastic and vary with each Monte Carlo iteration</t>
  </si>
  <si>
    <t>Calculated from 8_Calc_Value gating logic and stochastic multipliers</t>
  </si>
  <si>
    <t>tbl_KPIs, tbl_ValueScenarios, tbl_GatedValues</t>
  </si>
  <si>
    <t>Status</t>
  </si>
  <si>
    <t>NAFC degradation parameters and Monte Carlo treatment time estimates.</t>
  </si>
  <si>
    <t>Validate that biosensor-enabled treatment achieves regulatory compliance within season</t>
  </si>
  <si>
    <t>- Based on Kearl (2022) first-order kinetics model for NAFC degradation
- Initial/target NAFC concentrations from site characterization data
- Treatment rate factor varies stochastically (0.7-1.3 multiplier)
- Season length constraint of 120 days for Alberta operations</t>
  </si>
  <si>
    <t>Kearl (2022) wetland treatment kinetics research</t>
  </si>
  <si>
    <t>tbl_KPIs, tbl_Triangular, tbl_TreatmentKinetics</t>
  </si>
  <si>
    <t>Initial NAFC Concentration</t>
  </si>
  <si>
    <t>Target NAFC Concentration</t>
  </si>
  <si>
    <t>"-"</t>
  </si>
  <si>
    <t>Days to Regulatory Compliance</t>
  </si>
  <si>
    <t>Circulation Cycles Required</t>
  </si>
  <si>
    <t>Treatment Efficiency</t>
  </si>
  <si>
    <t>MC Expected Days</t>
  </si>
  <si>
    <t>MC P90 Days (conservative)</t>
  </si>
  <si>
    <t>MC Prob(Achievable)</t>
  </si>
  <si>
    <t>Testing Option Comparison</t>
  </si>
  <si>
    <t>Side-by-side comparison of gate status and value across all testing options.</t>
  </si>
  <si>
    <t>Demonstrate the value differential between HRMS and biosensor testing approaches</t>
  </si>
  <si>
    <t>- Monthly HRMS: 42-day turnaround, $60K/season
- Weekly HRMS: 42-day turnaround, $28.6K/season
- Daily Biosensor: 1-day turnaround, $10K/season
- Gate status determined by latency vs required response time</t>
  </si>
  <si>
    <t>Testing cost quotes and operational latency measurements</t>
  </si>
  <si>
    <t>tbl_KPIs, tbl_TestOptions, tbl_LatencyGating</t>
  </si>
  <si>
    <t>S1 Gate</t>
  </si>
  <si>
    <t>S2 Gate</t>
  </si>
  <si>
    <t>S3 Gate</t>
  </si>
  <si>
    <t>S4 Gate</t>
  </si>
  <si>
    <t>Testing Cost/Season</t>
  </si>
  <si>
    <t>$60,000</t>
  </si>
  <si>
    <t>$28,571</t>
  </si>
  <si>
    <t>$10,000</t>
  </si>
  <si>
    <t>Potential 5-Year NPV</t>
  </si>
  <si>
    <t>-$29k</t>
  </si>
  <si>
    <t>$180k</t>
  </si>
  <si>
    <t>$1.1M+</t>
  </si>
  <si>
    <t>Model Health</t>
  </si>
  <si>
    <t>Check Status:</t>
  </si>
  <si>
    <t>Errors Found:</t>
  </si>
  <si>
    <t>Model Validation Checks</t>
  </si>
  <si>
    <t>Model Integrity Checks</t>
  </si>
  <si>
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</si>
  <si>
    <t>Automated validation rules that verify model inputs and outputs are within acceptable ranges.</t>
  </si>
  <si>
    <t>Ensure model integrity by detecting invalid inputs, inconsistent parameters, and unreasonable outputs</t>
  </si>
  <si>
    <t>- Range checks based on reasonable operational bounds
- Sanity checks based on expected order-of-magnitude for outputs
- Consistency checks ensure related parameters are logically coherent
- PASS/FAIL status updates automatically when inputs change</t>
  </si>
  <si>
    <t>Validation rules based on domain expertise and operational constraints</t>
  </si>
  <si>
    <t>tbl_Control, tbl_KPIs, tbl_ValueScenarios</t>
  </si>
  <si>
    <t>Check_ID</t>
  </si>
  <si>
    <t>Category</t>
  </si>
  <si>
    <t>CHK001</t>
  </si>
  <si>
    <t>Range</t>
  </si>
  <si>
    <t>Discount rate between 0-15%</t>
  </si>
  <si>
    <t>CHK002</t>
  </si>
  <si>
    <t>Season length between 60-150 days</t>
  </si>
  <si>
    <t>CHK003</t>
  </si>
  <si>
    <t>Projection years between 1-10</t>
  </si>
  <si>
    <t>CHK004</t>
  </si>
  <si>
    <t>Value per M3 positive</t>
  </si>
  <si>
    <t>CHK005</t>
  </si>
  <si>
    <t>Logic</t>
  </si>
  <si>
    <t>Testing option valid</t>
  </si>
  <si>
    <t>CHK006</t>
  </si>
  <si>
    <t>Scenario selection valid</t>
  </si>
  <si>
    <t>CHK007</t>
  </si>
  <si>
    <t>Sanity</t>
  </si>
  <si>
    <t>NPV within reasonable bounds</t>
  </si>
  <si>
    <t>CHK008</t>
  </si>
  <si>
    <t>Testing cost positive</t>
  </si>
  <si>
    <t>CHK009</t>
  </si>
  <si>
    <t>Gross value non-negative</t>
  </si>
  <si>
    <t>CHK010</t>
  </si>
  <si>
    <t>Integrity</t>
  </si>
  <si>
    <t>All named ranges defined</t>
  </si>
  <si>
    <t>CHK011</t>
  </si>
  <si>
    <t>Initial NAFC in range (40-100 mg/L)</t>
  </si>
  <si>
    <t>CHK012</t>
  </si>
  <si>
    <t>Target NAFC &lt; Initial NAFC</t>
  </si>
  <si>
    <t>CHK013</t>
  </si>
  <si>
    <t>Days to compliance &lt;= season length</t>
  </si>
  <si>
    <t>CHK014</t>
  </si>
  <si>
    <t>Treatment rates positive</t>
  </si>
  <si>
    <t>Summary</t>
  </si>
  <si>
    <t>Total Checks:</t>
  </si>
  <si>
    <t>Passed:</t>
  </si>
  <si>
    <t>Failed:</t>
  </si>
  <si>
    <t>Model Health: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</si>
</sst>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%"/>
    <numFmt numFmtId="166" formatCode="\$#,##0.00"/>
    <numFmt numFmtId="167" formatCode="\$#,##0"/>
    <numFmt numFmtId="168" formatCode="0.000"/>
    <numFmt numFmtId="169" formatCode="0.0"/>
    <numFmt numFmtId="170" formatCode="0.0\ &quot;mg/L&quot;"/>
    <numFmt numFmtId="171" formatCode="0.0\ &quot;days&quot;"/>
  </numFmts>
  <fonts count="13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i/>
      <sz val="12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b/>
      <sz val="10"/>
      <color rgb="FF666666"/>
      <name val="Calibri"/>
      <family val="2"/>
    </font>
    <font>
      <sz val="10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color rgb="FF1F4E79"/>
      <name val="Calibri"/>
      <family val="2"/>
    </font>
    <font>
      <i/>
      <sz val="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FF99"/>
        <bgColor rgb="FFFFFF99"/>
      </patternFill>
    </fill>
    <fill>
      <patternFill patternType="solid">
        <fgColor rgb="FFDEEAF6"/>
        <bgColor rgb="FFDEEAF6"/>
      </patternFill>
    </fill>
  </fills>
  <borders count="4">
    <border>
      <left/>
      <right/>
      <top/>
      <bottom/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/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vertical="top"/>
    </xf>
    <xf numFmtId="0" fontId="8" fillId="3" borderId="0" xfId="0" applyFont="1" applyFill="1"/>
    <xf numFmtId="0" fontId="0" fillId="4" borderId="0" xfId="0" applyFill="1"/>
    <xf numFmtId="165" fontId="0" fillId="4" borderId="0" xfId="0" applyNumberFormat="1" applyFill="1"/>
    <xf numFmtId="0" fontId="9" fillId="0" borderId="0" xfId="0" applyFont="1"/>
    <xf numFmtId="0" fontId="10" fillId="0" borderId="0" xfId="0" applyFont="1"/>
    <xf numFmtId="166" fontId="0" fillId="4" borderId="0" xfId="0" applyNumberFormat="1" applyFill="1"/>
    <xf numFmtId="167" fontId="0" fillId="4" borderId="0" xfId="0" applyNumberFormat="1" applyFill="1"/>
    <xf numFmtId="167" fontId="0" fillId="0" borderId="0" xfId="0" applyNumberFormat="1"/>
    <xf numFmtId="168" fontId="0" fillId="4" borderId="0" xfId="0" applyNumberFormat="1" applyFill="1"/>
    <xf numFmtId="0" fontId="12" fillId="0" borderId="0" xfId="0" applyFon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1" fontId="0" fillId="0" borderId="0" xfId="0" applyNumberFormat="1"/>
    <xf numFmtId="165" fontId="0" fillId="0" borderId="0" xfId="0" applyNumberFormat="1"/>
    <xf numFmtId="167" fontId="9" fillId="0" borderId="0" xfId="0" applyNumberFormat="1" applyFont="1"/>
    <xf numFmtId="166" fontId="0" fillId="0" borderId="0" xfId="0" applyNumberFormat="1"/>
    <xf numFmtId="170" fontId="0" fillId="0" borderId="0" xfId="0" applyNumberFormat="1"/>
    <xf numFmtId="171" fontId="0" fillId="0" borderId="0" xfId="0" applyNumberFormat="1"/>
    <xf numFmtId="0" fontId="7" fillId="2" borderId="0" xfId="0" applyFont="1" applyFill="1" applyAlignment="1">
      <alignment vertical="top" wrapText="1"/>
    </xf>
    <xf numFmtId="0" fontId="0" fillId="0" borderId="0" xfId="0"/>
    <xf numFmtId="0" fontId="0" fillId="5" borderId="1" xfId="0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1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rol" displayName="tbl_Control" ref="A9:D14">
  <autoFilter ref="A9:D14" xr:uid="{00000000-0009-0000-0100-000001000000}"/>
  <tableColumns count="4">
    <tableColumn id="1" xr3:uid="{00000000-0010-0000-0000-000001000000}" name="Parameter"/>
    <tableColumn id="2" xr3:uid="{00000000-0010-0000-0000-000002000000}" name="Value"/>
    <tableColumn id="3" xr3:uid="{00000000-0010-0000-0000-000003000000}" name="Validation"/>
    <tableColumn id="4" xr3:uid="{00000000-0010-0000-0000-000004000000}" name="Descrip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ming" displayName="tbl_Timing" ref="A9:D14">
  <autoFilter ref="A9:D14" xr:uid="{00000000-0009-0000-0100-000002000000}"/>
  <tableColumns count="4">
    <tableColumn id="1" xr3:uid="{00000000-0010-0000-0100-000001000000}" name="Parameter"/>
    <tableColumn id="2" xr3:uid="{00000000-0010-0000-0100-000002000000}" name="Value"/>
    <tableColumn id="3" xr3:uid="{00000000-0010-0000-0100-000003000000}" name="Unit"/>
    <tableColumn id="4" xr3:uid="{00000000-0010-0000-0100-000004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easonality" displayName="tbl_Seasonality" ref="A22:D27">
  <autoFilter ref="A22:D27" xr:uid="{00000000-0009-0000-0100-000003000000}"/>
  <tableColumns count="4">
    <tableColumn id="1" xr3:uid="{00000000-0010-0000-0200-000001000000}" name="Month"/>
    <tableColumn id="2" xr3:uid="{00000000-0010-0000-0200-000002000000}" name="Month_Num"/>
    <tableColumn id="3" xr3:uid="{00000000-0010-0000-0200-000003000000}" name="Multiplier"/>
    <tableColumn id="4" xr3:uid="{00000000-0010-0000-0200-000004000000}" name="Activ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teConfig" displayName="tbl_SiteConfig" ref="A36:D40">
  <autoFilter ref="A36:D40" xr:uid="{00000000-0009-0000-0100-000004000000}"/>
  <tableColumns count="4">
    <tableColumn id="1" xr3:uid="{00000000-0010-0000-0300-000001000000}" name="Parameter"/>
    <tableColumn id="2" xr3:uid="{00000000-0010-0000-0300-000002000000}" name="Value"/>
    <tableColumn id="3" xr3:uid="{00000000-0010-0000-0300-000003000000}" name="Unit"/>
    <tableColumn id="4" xr3:uid="{00000000-0010-0000-0300-000004000000}" name="Sour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stParams" displayName="tbl_CostParams" ref="A49:C52">
  <autoFilter ref="A49:C52" xr:uid="{00000000-0009-0000-0100-000005000000}"/>
  <tableColumns count="3">
    <tableColumn id="1" xr3:uid="{00000000-0010-0000-0400-000001000000}" name="Parameter"/>
    <tableColumn id="2" xr3:uid="{00000000-0010-0000-0400-000002000000}" name="Value"/>
    <tableColumn id="3" xr3:uid="{00000000-0010-0000-0400-000003000000}" name="Uni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LearningCurve" displayName="tbl_LearningCurve" ref="A61:C66">
  <autoFilter ref="A61:C66" xr:uid="{00000000-0009-0000-0100-000006000000}"/>
  <tableColumns count="3">
    <tableColumn id="1" xr3:uid="{00000000-0010-0000-0500-000001000000}" name="Year"/>
    <tableColumn id="2" xr3:uid="{00000000-0010-0000-0500-000002000000}" name="Multiplier"/>
    <tableColumn id="3" xr3:uid="{00000000-0010-0000-0500-000003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TestOptions" displayName="tbl_TestOptions" ref="A75:F78">
  <autoFilter ref="A75:F78" xr:uid="{00000000-0009-0000-0100-000007000000}"/>
  <tableColumns count="6">
    <tableColumn id="1" xr3:uid="{00000000-0010-0000-0600-000001000000}" name="Option"/>
    <tableColumn id="2" xr3:uid="{00000000-0010-0000-0600-000002000000}" name="Method"/>
    <tableColumn id="3" xr3:uid="{00000000-0010-0000-0600-000003000000}" name="Interval"/>
    <tableColumn id="4" xr3:uid="{00000000-0010-0000-0600-000004000000}" name="Points"/>
    <tableColumn id="5" xr3:uid="{00000000-0010-0000-0600-000005000000}" name="Cost_Per_Test"/>
    <tableColumn id="6" xr3:uid="{00000000-0010-0000-0600-000006000000}" name="Latency_Day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LatencyGating" displayName="tbl_LatencyGating" ref="A86:E89">
  <autoFilter ref="A86:E89" xr:uid="{00000000-0009-0000-0100-000008000000}"/>
  <tableColumns count="5">
    <tableColumn id="1" xr3:uid="{00000000-0010-0000-0700-000001000000}" name="Option"/>
    <tableColumn id="2" xr3:uid="{00000000-0010-0000-0700-000002000000}" name="S1_Gate"/>
    <tableColumn id="3" xr3:uid="{00000000-0010-0000-0700-000003000000}" name="S2_Gate"/>
    <tableColumn id="4" xr3:uid="{00000000-0010-0000-0700-000004000000}" name="S3_Gate"/>
    <tableColumn id="5" xr3:uid="{00000000-0010-0000-0700-000005000000}" name="S4_G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TreatmentKinetics" displayName="tbl_TreatmentKinetics" ref="A107:D114">
  <autoFilter ref="A107:D114" xr:uid="{00000000-0009-0000-0100-000009000000}"/>
  <tableColumns count="4">
    <tableColumn id="1" xr3:uid="{00000000-0010-0000-0800-000001000000}" name="Parameter"/>
    <tableColumn id="2" xr3:uid="{00000000-0010-0000-0800-000002000000}" name="Value"/>
    <tableColumn id="3" xr3:uid="{00000000-0010-0000-0800-000003000000}" name="Unit"/>
    <tableColumn id="4" xr3:uid="{00000000-0010-0000-0800-000004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ToxicityMilestones" displayName="tbl_ToxicityMilestones" ref="A123:D126">
  <autoFilter ref="A123:D126" xr:uid="{00000000-0009-0000-0100-00000A000000}"/>
  <tableColumns count="4">
    <tableColumn id="1" xr3:uid="{00000000-0010-0000-0900-000001000000}" name="Milestone"/>
    <tableColumn id="2" xr3:uid="{00000000-0010-0000-0900-000002000000}" name="Days"/>
    <tableColumn id="3" xr3:uid="{00000000-0010-0000-0900-000003000000}" name="Survival"/>
    <tableColumn id="4" xr3:uid="{00000000-0010-0000-0900-000004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alueScenarios" displayName="tbl_ValueScenarios" ref="A9:E13">
  <autoFilter ref="A9:E13" xr:uid="{00000000-0009-0000-0100-00000B000000}"/>
  <tableColumns count="5">
    <tableColumn id="1" xr3:uid="{00000000-0010-0000-0A00-000001000000}" name="ID"/>
    <tableColumn id="2" xr3:uid="{00000000-0010-0000-0A00-000002000000}" name="Name"/>
    <tableColumn id="3" xr3:uid="{00000000-0010-0000-0A00-000003000000}" name="Base_Value"/>
    <tableColumn id="4" xr3:uid="{00000000-0010-0000-0A00-000004000000}" name="Required_Response_Days"/>
    <tableColumn id="5" xr3:uid="{00000000-0010-0000-0A00-000005000000}" name="Description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odelScenarios" displayName="tbl_ModelScenarios" ref="A22:D25">
  <autoFilter ref="A22:D25" xr:uid="{00000000-0009-0000-0100-00000C000000}"/>
  <tableColumns count="4">
    <tableColumn id="1" xr3:uid="{00000000-0010-0000-0B00-000001000000}" name="Scenario"/>
    <tableColumn id="2" xr3:uid="{00000000-0010-0000-0B00-000002000000}" name="Discount_Adj"/>
    <tableColumn id="3" xr3:uid="{00000000-0010-0000-0B00-000003000000}" name="Growth_Adj"/>
    <tableColumn id="4" xr3:uid="{00000000-0010-0000-0B00-000004000000}" name="Risk_Adj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Triangular" displayName="tbl_Triangular" ref="A9:E13">
  <autoFilter ref="A9:E13" xr:uid="{00000000-0009-0000-0100-00000D000000}"/>
  <tableColumns count="5">
    <tableColumn id="1" xr3:uid="{00000000-0010-0000-0C00-000001000000}" name="Variable"/>
    <tableColumn id="2" xr3:uid="{00000000-0010-0000-0C00-000002000000}" name="Min"/>
    <tableColumn id="3" xr3:uid="{00000000-0010-0000-0C00-000003000000}" name="Mode"/>
    <tableColumn id="4" xr3:uid="{00000000-0010-0000-0C00-000004000000}" name="Max"/>
    <tableColumn id="5" xr3:uid="{00000000-0010-0000-0C00-000005000000}" name="Uni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Beta" displayName="tbl_Beta" ref="A22:F23">
  <autoFilter ref="A22:F23" xr:uid="{00000000-0009-0000-0100-00000E000000}"/>
  <tableColumns count="6">
    <tableColumn id="1" xr3:uid="{00000000-0010-0000-0D00-000001000000}" name="Variable"/>
    <tableColumn id="2" xr3:uid="{00000000-0010-0000-0D00-000002000000}" name="Alpha"/>
    <tableColumn id="3" xr3:uid="{00000000-0010-0000-0D00-000003000000}" name="Beta"/>
    <tableColumn id="4" xr3:uid="{00000000-0010-0000-0D00-000004000000}" name="Min"/>
    <tableColumn id="5" xr3:uid="{00000000-0010-0000-0D00-000005000000}" name="Max"/>
    <tableColumn id="6" xr3:uid="{00000000-0010-0000-0D00-000006000000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alueSensitivity" displayName="tbl_ValueSensitivity" ref="A32:E35">
  <autoFilter ref="A32:E35" xr:uid="{00000000-0009-0000-0100-00000F000000}"/>
  <tableColumns count="5">
    <tableColumn id="1" xr3:uid="{00000000-0010-0000-0E00-000001000000}" name="Frame"/>
    <tableColumn id="2" xr3:uid="{00000000-0010-0000-0E00-000002000000}" name="Low"/>
    <tableColumn id="3" xr3:uid="{00000000-0010-0000-0E00-000003000000}" name="Base"/>
    <tableColumn id="4" xr3:uid="{00000000-0010-0000-0E00-000004000000}" name="High"/>
    <tableColumn id="5" xr3:uid="{00000000-0010-0000-0E00-000005000000}" name="Context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Timeline" displayName="tbl_Timeline" ref="A12:E18">
  <autoFilter ref="A12:E18" xr:uid="{00000000-0009-0000-0100-000010000000}"/>
  <tableColumns count="5">
    <tableColumn id="1" xr3:uid="{00000000-0010-0000-0F00-000001000000}" name="Year_Index"/>
    <tableColumn id="2" xr3:uid="{00000000-0010-0000-0F00-000002000000}" name="Calendar_Year"/>
    <tableColumn id="3" xr3:uid="{00000000-0010-0000-0F00-000003000000}" name="Treatment_Days"/>
    <tableColumn id="4" xr3:uid="{00000000-0010-0000-0F00-000004000000}" name="Discount_Factor"/>
    <tableColumn id="5" xr3:uid="{00000000-0010-0000-0F00-000005000000}" name="Learning_Mul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tochastic" displayName="tbl_Stochastic" ref="A13:C18">
  <autoFilter ref="A13:C18" xr:uid="{00000000-0009-0000-0100-000011000000}"/>
  <tableColumns count="3">
    <tableColumn id="1" xr3:uid="{00000000-0010-0000-1000-000001000000}" name="Variable"/>
    <tableColumn id="2" xr3:uid="{00000000-0010-0000-1000-000002000000}" name="Random_U"/>
    <tableColumn id="3" xr3:uid="{00000000-0010-0000-1000-000003000000}" name="Realized_Valu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GatedValues" displayName="tbl_GatedValues" ref="A12:E16">
  <autoFilter ref="A12:E16" xr:uid="{00000000-0009-0000-0100-000012000000}"/>
  <tableColumns count="5">
    <tableColumn id="1" xr3:uid="{00000000-0010-0000-1100-000001000000}" name="Scenario"/>
    <tableColumn id="2" xr3:uid="{00000000-0010-0000-1100-000002000000}" name="Base_Value"/>
    <tableColumn id="3" xr3:uid="{00000000-0010-0000-1100-000003000000}" name="Gate_Status"/>
    <tableColumn id="4" xr3:uid="{00000000-0010-0000-1100-000004000000}" name="Stoch_Mult"/>
    <tableColumn id="5" xr3:uid="{00000000-0010-0000-1100-000005000000}" name="Gated_Value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CostCalc" displayName="tbl_CostCalc" ref="A12:C19">
  <autoFilter ref="A12:C19" xr:uid="{00000000-0009-0000-0100-000013000000}"/>
  <tableColumns count="3">
    <tableColumn id="1" xr3:uid="{00000000-0010-0000-1200-000001000000}" name="Component"/>
    <tableColumn id="2" xr3:uid="{00000000-0010-0000-1200-000002000000}" name="Formula"/>
    <tableColumn id="3" xr3:uid="{00000000-0010-0000-1200-000003000000}" name="Valu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nual" displayName="tbl_Annual" ref="A12:J17">
  <autoFilter ref="A12:J17" xr:uid="{00000000-0009-0000-0100-000014000000}"/>
  <tableColumns count="10">
    <tableColumn id="1" xr3:uid="{00000000-0010-0000-1300-000001000000}" name="Year"/>
    <tableColumn id="2" xr3:uid="{00000000-0010-0000-1300-000002000000}" name="S1_Value"/>
    <tableColumn id="3" xr3:uid="{00000000-0010-0000-1300-000003000000}" name="S2_Value"/>
    <tableColumn id="4" xr3:uid="{00000000-0010-0000-1300-000004000000}" name="S3_Value"/>
    <tableColumn id="5" xr3:uid="{00000000-0010-0000-1300-000005000000}" name="S4_Value"/>
    <tableColumn id="6" xr3:uid="{00000000-0010-0000-1300-000006000000}" name="Gross_Value"/>
    <tableColumn id="7" xr3:uid="{00000000-0010-0000-1300-000007000000}" name="Costs"/>
    <tableColumn id="8" xr3:uid="{00000000-0010-0000-1300-000008000000}" name="Net_Annual"/>
    <tableColumn id="9" xr3:uid="{00000000-0010-0000-1300-000009000000}" name="Discount_Factor"/>
    <tableColumn id="10" xr3:uid="{00000000-0010-0000-1300-00000A000000}" name="Discounted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ashFlow" displayName="tbl_CashFlow" ref="A12:D17">
  <autoFilter ref="A12:D17" xr:uid="{00000000-0009-0000-0100-000015000000}"/>
  <tableColumns count="4">
    <tableColumn id="1" xr3:uid="{00000000-0010-0000-1400-000001000000}" name="Year"/>
    <tableColumn id="2" xr3:uid="{00000000-0010-0000-1400-000002000000}" name="Annual_Net"/>
    <tableColumn id="3" xr3:uid="{00000000-0010-0000-1400-000003000000}" name="Cumulative_Net"/>
    <tableColumn id="4" xr3:uid="{00000000-0010-0000-1400-000004000000}" name="Cumulative_NPV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UnitEconomics" displayName="tbl_UnitEconomics" ref="A12:D20">
  <autoFilter ref="A12:D20" xr:uid="{00000000-0009-0000-0100-000016000000}"/>
  <tableColumns count="4">
    <tableColumn id="1" xr3:uid="{00000000-0010-0000-1500-000001000000}" name="Metric"/>
    <tableColumn id="2" xr3:uid="{00000000-0010-0000-1500-000002000000}" name="Value"/>
    <tableColumn id="3" xr3:uid="{00000000-0010-0000-1500-000003000000}" name="Unit"/>
    <tableColumn id="4" xr3:uid="{00000000-0010-0000-1500-000004000000}" name="Formula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ensitivity" displayName="tbl_Sensitivity" ref="A12:G16">
  <autoFilter ref="A12:G16" xr:uid="{00000000-0009-0000-0100-000017000000}"/>
  <tableColumns count="7">
    <tableColumn id="1" xr3:uid="{00000000-0010-0000-1600-000001000000}" name="Parameter"/>
    <tableColumn id="2" xr3:uid="{00000000-0010-0000-1600-000002000000}" name="Low"/>
    <tableColumn id="3" xr3:uid="{00000000-0010-0000-1600-000003000000}" name="Base"/>
    <tableColumn id="4" xr3:uid="{00000000-0010-0000-1600-000004000000}" name="High"/>
    <tableColumn id="5" xr3:uid="{00000000-0010-0000-1600-000005000000}" name="NPV_at_Low"/>
    <tableColumn id="6" xr3:uid="{00000000-0010-0000-1600-000006000000}" name="NPV_at_High"/>
    <tableColumn id="7" xr3:uid="{00000000-0010-0000-1600-000007000000}" name="Swing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KPIs" displayName="tbl_KPIs" ref="A12:B21">
  <autoFilter ref="A12:B21" xr:uid="{00000000-0009-0000-0100-000018000000}"/>
  <tableColumns count="2">
    <tableColumn id="1" xr3:uid="{00000000-0010-0000-1700-000001000000}" name="Metric"/>
    <tableColumn id="2" xr3:uid="{00000000-0010-0000-1700-000002000000}" name="Value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ScenarioBreakdown" displayName="tbl_ScenarioBreakdown" ref="A29:C33">
  <autoFilter ref="A29:C33" xr:uid="{00000000-0009-0000-0100-000019000000}"/>
  <tableColumns count="3">
    <tableColumn id="1" xr3:uid="{00000000-0010-0000-1800-000001000000}" name="Scenario"/>
    <tableColumn id="2" xr3:uid="{00000000-0010-0000-1800-000002000000}" name="Gated_Value"/>
    <tableColumn id="3" xr3:uid="{00000000-0010-0000-1800-000003000000}" name="Statu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TreatmentKPIs" displayName="tbl_TreatmentKPIs" ref="A41:C49">
  <autoFilter ref="A41:C49" xr:uid="{00000000-0009-0000-0100-00001A000000}"/>
  <tableColumns count="3">
    <tableColumn id="1" xr3:uid="{00000000-0010-0000-1900-000001000000}" name="Metric"/>
    <tableColumn id="2" xr3:uid="{00000000-0010-0000-1900-000002000000}" name="Value"/>
    <tableColumn id="3" xr3:uid="{00000000-0010-0000-1900-000003000000}" name="Status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OptionComparison" displayName="tbl_OptionComparison" ref="A57:D63">
  <autoFilter ref="A57:D63" xr:uid="{00000000-0009-0000-0100-00001B000000}"/>
  <tableColumns count="4">
    <tableColumn id="1" xr3:uid="{00000000-0010-0000-1A00-000001000000}" name="Metric"/>
    <tableColumn id="2" xr3:uid="{00000000-0010-0000-1A00-000002000000}" name="Monthly_HRMS"/>
    <tableColumn id="3" xr3:uid="{00000000-0010-0000-1A00-000003000000}" name="Weekly_HRMS"/>
    <tableColumn id="4" xr3:uid="{00000000-0010-0000-1A00-000004000000}" name="Daily_Biosenso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Checks" displayName="tbl_Checks" ref="A12:D26">
  <autoFilter ref="A12:D26" xr:uid="{00000000-0009-0000-0100-00001C000000}"/>
  <tableColumns count="4">
    <tableColumn id="1" xr3:uid="{00000000-0010-0000-1B00-000001000000}" name="Check_ID"/>
    <tableColumn id="2" xr3:uid="{00000000-0010-0000-1B00-000002000000}" name="Category"/>
    <tableColumn id="3" xr3:uid="{00000000-0010-0000-1B00-000003000000}" name="Description"/>
    <tableColumn id="4" xr3:uid="{00000000-0010-0000-1B00-000004000000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B29"/>
  <sheetViews>
    <sheetView workbookViewId="0"/>
  </sheetViews>
  <sheetFormatPr baseColWidth="10" defaultColWidth="8.83203125" defaultRowHeight="15" x14ac:dyDescent="0.2"/>
  <cols>
    <col min="1" max="1" width="20" customWidth="1"/>
    <col min="2" max="2" width="45" customWidth="1"/>
  </cols>
  <sheetData>
    <row r="1" spans="1:2" ht="26" x14ac:dyDescent="0.3">
      <c r="A1" s="1" t="s">
        <v>0</v>
      </c>
    </row>
    <row r="2" spans="1:2" ht="16" x14ac:dyDescent="0.2">
      <c r="A2" s="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s="3">
        <f ca="1">TODAY()</f>
        <v>46052</v>
      </c>
    </row>
    <row r="6" spans="1:2" x14ac:dyDescent="0.2">
      <c r="A6" t="s">
        <v>5</v>
      </c>
      <c r="B6" t="s">
        <v>6</v>
      </c>
    </row>
    <row r="8" spans="1:2" ht="19" x14ac:dyDescent="0.25">
      <c r="A8" s="4" t="s">
        <v>7</v>
      </c>
    </row>
    <row r="9" spans="1:2" x14ac:dyDescent="0.2">
      <c r="A9" t="s">
        <v>8</v>
      </c>
      <c r="B9" t="str">
        <f ca="1">IF(COUNTIF('17_Checks'!D:D,"FAIL")=0, "All Checks Pass", "Review 17_Checks")</f>
        <v>All Checks Pass</v>
      </c>
    </row>
    <row r="10" spans="1:2" x14ac:dyDescent="0.2">
      <c r="A10" t="s">
        <v>9</v>
      </c>
      <c r="B10">
        <f ca="1">COUNTIF('17_Checks'!D:D,"FAIL")</f>
        <v>0</v>
      </c>
    </row>
    <row r="12" spans="1:2" ht="19" x14ac:dyDescent="0.25">
      <c r="A12" s="4" t="s">
        <v>10</v>
      </c>
    </row>
    <row r="13" spans="1:2" x14ac:dyDescent="0.2">
      <c r="A13" t="s">
        <v>11</v>
      </c>
      <c r="B13" t="s">
        <v>12</v>
      </c>
    </row>
    <row r="14" spans="1:2" x14ac:dyDescent="0.2">
      <c r="A14" t="s">
        <v>13</v>
      </c>
      <c r="B14" t="s">
        <v>14</v>
      </c>
    </row>
    <row r="15" spans="1:2" x14ac:dyDescent="0.2">
      <c r="A15" t="s">
        <v>15</v>
      </c>
      <c r="B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A17" t="s">
        <v>19</v>
      </c>
      <c r="B17" t="s">
        <v>20</v>
      </c>
    </row>
    <row r="18" spans="1:2" x14ac:dyDescent="0.2">
      <c r="A18" t="s">
        <v>21</v>
      </c>
      <c r="B18" t="s">
        <v>22</v>
      </c>
    </row>
    <row r="19" spans="1:2" x14ac:dyDescent="0.2">
      <c r="A19" t="s">
        <v>23</v>
      </c>
      <c r="B19" t="s">
        <v>24</v>
      </c>
    </row>
    <row r="20" spans="1:2" x14ac:dyDescent="0.2">
      <c r="A20" t="s">
        <v>25</v>
      </c>
      <c r="B20" t="s">
        <v>26</v>
      </c>
    </row>
    <row r="21" spans="1:2" x14ac:dyDescent="0.2">
      <c r="A21" t="s">
        <v>27</v>
      </c>
      <c r="B21" t="s">
        <v>28</v>
      </c>
    </row>
    <row r="22" spans="1:2" x14ac:dyDescent="0.2">
      <c r="A22" t="s">
        <v>29</v>
      </c>
      <c r="B22" t="s">
        <v>30</v>
      </c>
    </row>
    <row r="23" spans="1:2" x14ac:dyDescent="0.2">
      <c r="A23" t="s">
        <v>31</v>
      </c>
      <c r="B23" t="s">
        <v>32</v>
      </c>
    </row>
    <row r="24" spans="1:2" x14ac:dyDescent="0.2">
      <c r="A24" t="s">
        <v>33</v>
      </c>
      <c r="B24" t="s">
        <v>34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37</v>
      </c>
      <c r="B26" t="s">
        <v>38</v>
      </c>
    </row>
    <row r="27" spans="1:2" x14ac:dyDescent="0.2">
      <c r="A27" t="s">
        <v>39</v>
      </c>
      <c r="B27" t="s">
        <v>40</v>
      </c>
    </row>
    <row r="28" spans="1:2" x14ac:dyDescent="0.2">
      <c r="A28" t="s">
        <v>41</v>
      </c>
      <c r="B28" t="s">
        <v>42</v>
      </c>
    </row>
    <row r="29" spans="1:2" x14ac:dyDescent="0.2">
      <c r="A29" t="s">
        <v>43</v>
      </c>
      <c r="B29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14"/>
  <sheetViews>
    <sheetView workbookViewId="0"/>
  </sheetViews>
  <sheetFormatPr baseColWidth="10" defaultColWidth="8.83203125" defaultRowHeight="15" x14ac:dyDescent="0.2"/>
  <cols>
    <col min="1" max="1" width="20" customWidth="1"/>
    <col min="2" max="2" width="18" customWidth="1"/>
    <col min="3" max="3" width="12" customWidth="1"/>
    <col min="4" max="4" width="35" customWidth="1"/>
  </cols>
  <sheetData>
    <row r="1" spans="1:4" ht="21" x14ac:dyDescent="0.25">
      <c r="A1" s="5" t="s">
        <v>45</v>
      </c>
    </row>
    <row r="3" spans="1:4" x14ac:dyDescent="0.2">
      <c r="A3" s="6" t="s">
        <v>45</v>
      </c>
    </row>
    <row r="4" spans="1:4" ht="31.25" customHeight="1" x14ac:dyDescent="0.2">
      <c r="A4" s="7" t="s">
        <v>46</v>
      </c>
      <c r="B4" s="27" t="s">
        <v>47</v>
      </c>
      <c r="C4" s="28"/>
      <c r="D4" s="28"/>
    </row>
    <row r="5" spans="1:4" ht="15.5" customHeight="1" x14ac:dyDescent="0.2">
      <c r="A5" s="7" t="s">
        <v>48</v>
      </c>
      <c r="B5" s="27" t="s">
        <v>49</v>
      </c>
      <c r="C5" s="28"/>
      <c r="D5" s="28"/>
    </row>
    <row r="6" spans="1:4" ht="78" customHeight="1" x14ac:dyDescent="0.2">
      <c r="A6" s="7" t="s">
        <v>50</v>
      </c>
      <c r="B6" s="27" t="s">
        <v>51</v>
      </c>
      <c r="C6" s="28"/>
      <c r="D6" s="28"/>
    </row>
    <row r="7" spans="1:4" ht="15.5" customHeight="1" x14ac:dyDescent="0.2">
      <c r="A7" s="7" t="s">
        <v>52</v>
      </c>
      <c r="B7" s="27" t="s">
        <v>53</v>
      </c>
      <c r="C7" s="28"/>
      <c r="D7" s="28"/>
    </row>
    <row r="8" spans="1:4" ht="15.5" customHeight="1" x14ac:dyDescent="0.2">
      <c r="A8" s="7" t="s">
        <v>54</v>
      </c>
      <c r="B8" s="27" t="s">
        <v>55</v>
      </c>
      <c r="C8" s="28"/>
      <c r="D8" s="28"/>
    </row>
    <row r="9" spans="1:4" x14ac:dyDescent="0.2">
      <c r="A9" s="8" t="s">
        <v>56</v>
      </c>
      <c r="B9" s="8" t="s">
        <v>57</v>
      </c>
      <c r="C9" s="8" t="s">
        <v>58</v>
      </c>
      <c r="D9" s="8" t="s">
        <v>59</v>
      </c>
    </row>
    <row r="10" spans="1:4" x14ac:dyDescent="0.2">
      <c r="A10" t="s">
        <v>60</v>
      </c>
      <c r="B10" s="9" t="s">
        <v>61</v>
      </c>
      <c r="C10" t="s">
        <v>62</v>
      </c>
      <c r="D10" t="s">
        <v>63</v>
      </c>
    </row>
    <row r="11" spans="1:4" x14ac:dyDescent="0.2">
      <c r="A11" t="s">
        <v>64</v>
      </c>
      <c r="B11" s="9" t="s">
        <v>65</v>
      </c>
      <c r="C11" t="s">
        <v>62</v>
      </c>
      <c r="D11" t="s">
        <v>66</v>
      </c>
    </row>
    <row r="12" spans="1:4" x14ac:dyDescent="0.2">
      <c r="A12" t="s">
        <v>67</v>
      </c>
      <c r="B12" s="10">
        <v>4.8000000000000001E-2</v>
      </c>
      <c r="C12" t="s">
        <v>68</v>
      </c>
      <c r="D12" t="s">
        <v>69</v>
      </c>
    </row>
    <row r="13" spans="1:4" x14ac:dyDescent="0.2">
      <c r="A13" t="s">
        <v>70</v>
      </c>
      <c r="B13" s="9">
        <v>5</v>
      </c>
      <c r="C13" t="s">
        <v>71</v>
      </c>
      <c r="D13" t="s">
        <v>72</v>
      </c>
    </row>
    <row r="14" spans="1:4" x14ac:dyDescent="0.2">
      <c r="A14" t="s">
        <v>73</v>
      </c>
      <c r="B14" s="9">
        <v>2026</v>
      </c>
      <c r="C14" t="s">
        <v>74</v>
      </c>
      <c r="D14" t="s">
        <v>75</v>
      </c>
    </row>
  </sheetData>
  <mergeCells count="5">
    <mergeCell ref="B5:D5"/>
    <mergeCell ref="B8:D8"/>
    <mergeCell ref="B4:D4"/>
    <mergeCell ref="B7:D7"/>
    <mergeCell ref="B6:D6"/>
  </mergeCells>
  <dataValidations count="2">
    <dataValidation type="list" errorTitle="Invalid Input" error="Select from dropdown" sqref="B5" xr:uid="{00000000-0002-0000-0100-000000000000}">
      <formula1>List_TestingOptions</formula1>
    </dataValidation>
    <dataValidation type="list" sqref="B6" xr:uid="{00000000-0002-0000-0100-000001000000}">
      <formula1>List_Scenarios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D88"/>
  <sheetViews>
    <sheetView workbookViewId="0"/>
  </sheetViews>
  <sheetFormatPr baseColWidth="10" defaultColWidth="8.83203125" defaultRowHeight="15" x14ac:dyDescent="0.2"/>
  <cols>
    <col min="1" max="1" width="35" customWidth="1"/>
    <col min="2" max="2" width="30" customWidth="1"/>
    <col min="3" max="3" width="50" customWidth="1"/>
    <col min="4" max="4" width="15" customWidth="1"/>
  </cols>
  <sheetData>
    <row r="1" spans="1:1" ht="21" x14ac:dyDescent="0.25">
      <c r="A1" s="5" t="s">
        <v>76</v>
      </c>
    </row>
    <row r="3" spans="1:1" ht="19" x14ac:dyDescent="0.25">
      <c r="A3" s="4" t="s">
        <v>77</v>
      </c>
    </row>
    <row r="4" spans="1:1" x14ac:dyDescent="0.2">
      <c r="A4" t="s">
        <v>78</v>
      </c>
    </row>
    <row r="5" spans="1:1" x14ac:dyDescent="0.2">
      <c r="A5" t="s">
        <v>79</v>
      </c>
    </row>
    <row r="6" spans="1:1" x14ac:dyDescent="0.2">
      <c r="A6" t="s">
        <v>80</v>
      </c>
    </row>
    <row r="7" spans="1:1" x14ac:dyDescent="0.2">
      <c r="A7" t="s">
        <v>81</v>
      </c>
    </row>
    <row r="9" spans="1:1" ht="19" x14ac:dyDescent="0.25">
      <c r="A9" s="4" t="s">
        <v>82</v>
      </c>
    </row>
    <row r="10" spans="1:1" x14ac:dyDescent="0.2">
      <c r="A10" t="s">
        <v>83</v>
      </c>
    </row>
    <row r="11" spans="1:1" x14ac:dyDescent="0.2">
      <c r="A11" t="s">
        <v>84</v>
      </c>
    </row>
    <row r="12" spans="1:1" x14ac:dyDescent="0.2">
      <c r="A12" t="s">
        <v>85</v>
      </c>
    </row>
    <row r="13" spans="1:1" x14ac:dyDescent="0.2">
      <c r="A13" t="s">
        <v>86</v>
      </c>
    </row>
    <row r="14" spans="1:1" x14ac:dyDescent="0.2">
      <c r="A14" t="s">
        <v>87</v>
      </c>
    </row>
    <row r="15" spans="1:1" x14ac:dyDescent="0.2">
      <c r="A15" t="s">
        <v>88</v>
      </c>
    </row>
    <row r="16" spans="1:1" x14ac:dyDescent="0.2">
      <c r="A16" t="s">
        <v>89</v>
      </c>
    </row>
    <row r="17" spans="1:4" x14ac:dyDescent="0.2">
      <c r="A17" t="s">
        <v>90</v>
      </c>
    </row>
    <row r="19" spans="1:4" ht="19" x14ac:dyDescent="0.25">
      <c r="A19" s="4" t="s">
        <v>91</v>
      </c>
    </row>
    <row r="20" spans="1:4" x14ac:dyDescent="0.2">
      <c r="A20" t="s">
        <v>92</v>
      </c>
    </row>
    <row r="21" spans="1:4" x14ac:dyDescent="0.2">
      <c r="A21" s="8" t="s">
        <v>93</v>
      </c>
      <c r="B21" s="8" t="s">
        <v>94</v>
      </c>
      <c r="C21" s="8" t="s">
        <v>95</v>
      </c>
      <c r="D21" s="8" t="s">
        <v>96</v>
      </c>
    </row>
    <row r="22" spans="1:4" x14ac:dyDescent="0.2">
      <c r="A22" t="s">
        <v>97</v>
      </c>
      <c r="B22" t="s">
        <v>98</v>
      </c>
      <c r="C22" t="s">
        <v>99</v>
      </c>
      <c r="D22" t="s">
        <v>100</v>
      </c>
    </row>
    <row r="23" spans="1:4" x14ac:dyDescent="0.2">
      <c r="A23" t="s">
        <v>101</v>
      </c>
      <c r="B23" t="s">
        <v>98</v>
      </c>
      <c r="C23" t="s">
        <v>99</v>
      </c>
      <c r="D23" t="s">
        <v>100</v>
      </c>
    </row>
    <row r="24" spans="1:4" x14ac:dyDescent="0.2">
      <c r="A24" t="s">
        <v>102</v>
      </c>
      <c r="B24" t="s">
        <v>103</v>
      </c>
      <c r="C24" t="s">
        <v>99</v>
      </c>
      <c r="D24" t="s">
        <v>100</v>
      </c>
    </row>
    <row r="25" spans="1:4" x14ac:dyDescent="0.2">
      <c r="A25" t="s">
        <v>104</v>
      </c>
      <c r="B25" t="s">
        <v>105</v>
      </c>
      <c r="C25" t="s">
        <v>99</v>
      </c>
      <c r="D25" t="s">
        <v>100</v>
      </c>
    </row>
    <row r="27" spans="1:4" ht="19" x14ac:dyDescent="0.25">
      <c r="A27" s="4" t="s">
        <v>106</v>
      </c>
    </row>
    <row r="28" spans="1:4" x14ac:dyDescent="0.2">
      <c r="A28" s="11" t="s">
        <v>107</v>
      </c>
      <c r="B28" t="s">
        <v>108</v>
      </c>
    </row>
    <row r="29" spans="1:4" x14ac:dyDescent="0.2">
      <c r="A29" s="11" t="s">
        <v>109</v>
      </c>
      <c r="B29" t="s">
        <v>110</v>
      </c>
    </row>
    <row r="30" spans="1:4" x14ac:dyDescent="0.2">
      <c r="A30" s="11" t="s">
        <v>111</v>
      </c>
      <c r="B30" t="s">
        <v>112</v>
      </c>
    </row>
    <row r="31" spans="1:4" x14ac:dyDescent="0.2">
      <c r="A31" s="11" t="s">
        <v>113</v>
      </c>
      <c r="B31" t="s">
        <v>114</v>
      </c>
    </row>
    <row r="32" spans="1:4" x14ac:dyDescent="0.2">
      <c r="A32" s="11" t="s">
        <v>115</v>
      </c>
      <c r="B32" t="s">
        <v>116</v>
      </c>
    </row>
    <row r="33" spans="1:2" x14ac:dyDescent="0.2">
      <c r="A33" s="11" t="s">
        <v>117</v>
      </c>
      <c r="B33" t="s">
        <v>118</v>
      </c>
    </row>
    <row r="34" spans="1:2" x14ac:dyDescent="0.2">
      <c r="A34" s="11" t="s">
        <v>119</v>
      </c>
      <c r="B34" t="s">
        <v>120</v>
      </c>
    </row>
    <row r="36" spans="1:2" ht="19" x14ac:dyDescent="0.25">
      <c r="A36" s="4" t="s">
        <v>121</v>
      </c>
    </row>
    <row r="37" spans="1:2" x14ac:dyDescent="0.2">
      <c r="A37" t="s">
        <v>122</v>
      </c>
    </row>
    <row r="38" spans="1:2" x14ac:dyDescent="0.2">
      <c r="A38" t="s">
        <v>123</v>
      </c>
    </row>
    <row r="39" spans="1:2" x14ac:dyDescent="0.2">
      <c r="A39" t="s">
        <v>124</v>
      </c>
    </row>
    <row r="40" spans="1:2" x14ac:dyDescent="0.2">
      <c r="A40" t="s">
        <v>125</v>
      </c>
    </row>
    <row r="41" spans="1:2" x14ac:dyDescent="0.2">
      <c r="A41" t="s">
        <v>126</v>
      </c>
    </row>
    <row r="43" spans="1:2" ht="19" x14ac:dyDescent="0.25">
      <c r="A43" s="4" t="s">
        <v>127</v>
      </c>
    </row>
    <row r="44" spans="1:2" x14ac:dyDescent="0.2">
      <c r="A44" s="12" t="s">
        <v>128</v>
      </c>
    </row>
    <row r="45" spans="1:2" x14ac:dyDescent="0.2">
      <c r="A45" t="s">
        <v>129</v>
      </c>
    </row>
    <row r="46" spans="1:2" x14ac:dyDescent="0.2">
      <c r="A46" t="s">
        <v>130</v>
      </c>
    </row>
    <row r="47" spans="1:2" x14ac:dyDescent="0.2">
      <c r="A47" t="s">
        <v>131</v>
      </c>
    </row>
    <row r="48" spans="1:2" x14ac:dyDescent="0.2">
      <c r="A48" t="s">
        <v>132</v>
      </c>
    </row>
    <row r="50" spans="1:1" x14ac:dyDescent="0.2">
      <c r="A50" s="11" t="s">
        <v>133</v>
      </c>
    </row>
    <row r="51" spans="1:1" x14ac:dyDescent="0.2">
      <c r="A51" t="s">
        <v>134</v>
      </c>
    </row>
    <row r="52" spans="1:1" x14ac:dyDescent="0.2">
      <c r="A52" t="s">
        <v>135</v>
      </c>
    </row>
    <row r="53" spans="1:1" x14ac:dyDescent="0.2">
      <c r="A53" t="s">
        <v>136</v>
      </c>
    </row>
    <row r="55" spans="1:1" ht="19" x14ac:dyDescent="0.25">
      <c r="A55" s="4" t="s">
        <v>137</v>
      </c>
    </row>
    <row r="56" spans="1:1" x14ac:dyDescent="0.2">
      <c r="A56" s="12" t="s">
        <v>138</v>
      </c>
    </row>
    <row r="57" spans="1:1" x14ac:dyDescent="0.2">
      <c r="A57" t="s">
        <v>139</v>
      </c>
    </row>
    <row r="59" spans="1:1" x14ac:dyDescent="0.2">
      <c r="A59" s="11" t="s">
        <v>140</v>
      </c>
    </row>
    <row r="60" spans="1:1" x14ac:dyDescent="0.2">
      <c r="A60" t="s">
        <v>141</v>
      </c>
    </row>
    <row r="61" spans="1:1" x14ac:dyDescent="0.2">
      <c r="A61" t="s">
        <v>142</v>
      </c>
    </row>
    <row r="62" spans="1:1" x14ac:dyDescent="0.2">
      <c r="A62" t="s">
        <v>143</v>
      </c>
    </row>
    <row r="64" spans="1:1" x14ac:dyDescent="0.2">
      <c r="A64" s="11" t="s">
        <v>144</v>
      </c>
    </row>
    <row r="65" spans="1:1" x14ac:dyDescent="0.2">
      <c r="A65" t="s">
        <v>145</v>
      </c>
    </row>
    <row r="66" spans="1:1" x14ac:dyDescent="0.2">
      <c r="A66" t="s">
        <v>146</v>
      </c>
    </row>
    <row r="67" spans="1:1" x14ac:dyDescent="0.2">
      <c r="A67" t="s">
        <v>147</v>
      </c>
    </row>
    <row r="69" spans="1:1" x14ac:dyDescent="0.2">
      <c r="A69" s="11" t="s">
        <v>148</v>
      </c>
    </row>
    <row r="70" spans="1:1" x14ac:dyDescent="0.2">
      <c r="A70" t="s">
        <v>149</v>
      </c>
    </row>
    <row r="71" spans="1:1" x14ac:dyDescent="0.2">
      <c r="A71" t="s">
        <v>150</v>
      </c>
    </row>
    <row r="72" spans="1:1" x14ac:dyDescent="0.2">
      <c r="A72" t="s">
        <v>151</v>
      </c>
    </row>
    <row r="73" spans="1:1" x14ac:dyDescent="0.2">
      <c r="A73" t="s">
        <v>152</v>
      </c>
    </row>
    <row r="74" spans="1:1" x14ac:dyDescent="0.2">
      <c r="A74" t="s">
        <v>153</v>
      </c>
    </row>
    <row r="76" spans="1:1" x14ac:dyDescent="0.2">
      <c r="A76" s="11" t="s">
        <v>154</v>
      </c>
    </row>
    <row r="77" spans="1:1" x14ac:dyDescent="0.2">
      <c r="A77" t="s">
        <v>155</v>
      </c>
    </row>
    <row r="78" spans="1:1" x14ac:dyDescent="0.2">
      <c r="A78" t="s">
        <v>156</v>
      </c>
    </row>
    <row r="79" spans="1:1" x14ac:dyDescent="0.2">
      <c r="A79" t="s">
        <v>157</v>
      </c>
    </row>
    <row r="80" spans="1:1" x14ac:dyDescent="0.2">
      <c r="A80" t="s">
        <v>158</v>
      </c>
    </row>
    <row r="82" spans="1:3" ht="19" x14ac:dyDescent="0.25">
      <c r="A82" s="4" t="s">
        <v>159</v>
      </c>
    </row>
    <row r="83" spans="1:3" x14ac:dyDescent="0.2">
      <c r="A83" s="8" t="s">
        <v>160</v>
      </c>
      <c r="B83" s="8" t="s">
        <v>161</v>
      </c>
      <c r="C83" s="8" t="s">
        <v>162</v>
      </c>
    </row>
    <row r="84" spans="1:3" x14ac:dyDescent="0.2">
      <c r="A84" t="s">
        <v>163</v>
      </c>
      <c r="B84" t="s">
        <v>164</v>
      </c>
      <c r="C84" t="s">
        <v>165</v>
      </c>
    </row>
    <row r="85" spans="1:3" x14ac:dyDescent="0.2">
      <c r="A85" t="s">
        <v>166</v>
      </c>
      <c r="B85" t="s">
        <v>164</v>
      </c>
      <c r="C85" t="s">
        <v>167</v>
      </c>
    </row>
    <row r="86" spans="1:3" x14ac:dyDescent="0.2">
      <c r="A86" t="s">
        <v>3</v>
      </c>
      <c r="B86" t="s">
        <v>164</v>
      </c>
      <c r="C86" t="s">
        <v>168</v>
      </c>
    </row>
    <row r="87" spans="1:3" x14ac:dyDescent="0.2">
      <c r="A87" t="s">
        <v>169</v>
      </c>
      <c r="B87" t="s">
        <v>170</v>
      </c>
      <c r="C87" t="s">
        <v>171</v>
      </c>
    </row>
    <row r="88" spans="1:3" x14ac:dyDescent="0.2">
      <c r="A88" t="s">
        <v>172</v>
      </c>
      <c r="B88" t="s">
        <v>173</v>
      </c>
      <c r="C88" t="s">
        <v>174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126"/>
  <sheetViews>
    <sheetView topLeftCell="A81" workbookViewId="0">
      <selection activeCell="F95" sqref="F95"/>
    </sheetView>
  </sheetViews>
  <sheetFormatPr baseColWidth="10" defaultColWidth="8.83203125" defaultRowHeight="15" x14ac:dyDescent="0.2"/>
  <cols>
    <col min="1" max="1" width="24" customWidth="1"/>
    <col min="2" max="2" width="14" customWidth="1"/>
    <col min="3" max="3" width="12" customWidth="1"/>
    <col min="4" max="4" width="42" customWidth="1"/>
    <col min="5" max="5" width="16" customWidth="1"/>
    <col min="6" max="6" width="14" customWidth="1"/>
  </cols>
  <sheetData>
    <row r="1" spans="1:4" ht="21" x14ac:dyDescent="0.25">
      <c r="A1" s="5" t="s">
        <v>175</v>
      </c>
    </row>
    <row r="3" spans="1:4" x14ac:dyDescent="0.2">
      <c r="A3" s="6" t="s">
        <v>176</v>
      </c>
    </row>
    <row r="4" spans="1:4" ht="31.25" customHeight="1" x14ac:dyDescent="0.2">
      <c r="A4" s="7" t="s">
        <v>46</v>
      </c>
      <c r="B4" s="27" t="s">
        <v>177</v>
      </c>
      <c r="C4" s="28"/>
      <c r="D4" s="28"/>
    </row>
    <row r="5" spans="1:4" ht="15.5" customHeight="1" x14ac:dyDescent="0.2">
      <c r="A5" s="7" t="s">
        <v>48</v>
      </c>
      <c r="B5" s="27" t="s">
        <v>178</v>
      </c>
      <c r="C5" s="28"/>
      <c r="D5" s="28"/>
    </row>
    <row r="6" spans="1:4" ht="46.75" customHeight="1" x14ac:dyDescent="0.2">
      <c r="A6" s="7" t="s">
        <v>50</v>
      </c>
      <c r="B6" s="27" t="s">
        <v>179</v>
      </c>
      <c r="C6" s="28"/>
      <c r="D6" s="28"/>
    </row>
    <row r="7" spans="1:4" ht="15.5" customHeight="1" x14ac:dyDescent="0.2">
      <c r="A7" s="7" t="s">
        <v>52</v>
      </c>
      <c r="B7" s="27" t="s">
        <v>180</v>
      </c>
      <c r="C7" s="28"/>
      <c r="D7" s="28"/>
    </row>
    <row r="8" spans="1:4" ht="15.5" customHeight="1" x14ac:dyDescent="0.2">
      <c r="A8" s="7" t="s">
        <v>54</v>
      </c>
      <c r="B8" s="27" t="s">
        <v>181</v>
      </c>
      <c r="C8" s="28"/>
      <c r="D8" s="28"/>
    </row>
    <row r="9" spans="1:4" x14ac:dyDescent="0.2">
      <c r="A9" s="8" t="s">
        <v>56</v>
      </c>
      <c r="B9" s="8" t="s">
        <v>57</v>
      </c>
      <c r="C9" s="8" t="s">
        <v>182</v>
      </c>
      <c r="D9" s="8" t="s">
        <v>183</v>
      </c>
    </row>
    <row r="10" spans="1:4" x14ac:dyDescent="0.2">
      <c r="A10" t="s">
        <v>184</v>
      </c>
      <c r="B10" s="9">
        <v>5</v>
      </c>
      <c r="C10" t="s">
        <v>185</v>
      </c>
      <c r="D10" t="s">
        <v>186</v>
      </c>
    </row>
    <row r="11" spans="1:4" x14ac:dyDescent="0.2">
      <c r="A11" t="s">
        <v>187</v>
      </c>
      <c r="B11" s="9">
        <v>15</v>
      </c>
      <c r="C11" t="s">
        <v>188</v>
      </c>
      <c r="D11" t="s">
        <v>189</v>
      </c>
    </row>
    <row r="12" spans="1:4" x14ac:dyDescent="0.2">
      <c r="A12" t="s">
        <v>190</v>
      </c>
      <c r="B12" s="9">
        <v>9</v>
      </c>
      <c r="C12" t="s">
        <v>185</v>
      </c>
      <c r="D12" t="s">
        <v>191</v>
      </c>
    </row>
    <row r="13" spans="1:4" x14ac:dyDescent="0.2">
      <c r="A13" t="s">
        <v>192</v>
      </c>
      <c r="B13" s="9">
        <v>15</v>
      </c>
      <c r="C13" t="s">
        <v>188</v>
      </c>
      <c r="D13" t="s">
        <v>193</v>
      </c>
    </row>
    <row r="14" spans="1:4" x14ac:dyDescent="0.2">
      <c r="A14" t="s">
        <v>194</v>
      </c>
      <c r="B14" s="9">
        <v>100</v>
      </c>
      <c r="C14" t="s">
        <v>195</v>
      </c>
      <c r="D14" t="s">
        <v>196</v>
      </c>
    </row>
    <row r="16" spans="1:4" x14ac:dyDescent="0.2">
      <c r="A16" s="6" t="s">
        <v>197</v>
      </c>
    </row>
    <row r="17" spans="1:4" ht="31.25" customHeight="1" x14ac:dyDescent="0.2">
      <c r="A17" s="7" t="s">
        <v>46</v>
      </c>
      <c r="B17" s="27" t="s">
        <v>198</v>
      </c>
      <c r="C17" s="28"/>
      <c r="D17" s="28"/>
    </row>
    <row r="18" spans="1:4" ht="31.25" customHeight="1" x14ac:dyDescent="0.2">
      <c r="A18" s="7" t="s">
        <v>48</v>
      </c>
      <c r="B18" s="27" t="s">
        <v>199</v>
      </c>
      <c r="C18" s="28"/>
      <c r="D18" s="28"/>
    </row>
    <row r="19" spans="1:4" ht="31.25" customHeight="1" x14ac:dyDescent="0.2">
      <c r="A19" s="7" t="s">
        <v>50</v>
      </c>
      <c r="B19" s="27" t="s">
        <v>200</v>
      </c>
      <c r="C19" s="28"/>
      <c r="D19" s="28"/>
    </row>
    <row r="20" spans="1:4" ht="15.5" customHeight="1" x14ac:dyDescent="0.2">
      <c r="A20" s="7" t="s">
        <v>52</v>
      </c>
      <c r="B20" s="27" t="s">
        <v>201</v>
      </c>
      <c r="C20" s="28"/>
      <c r="D20" s="28"/>
    </row>
    <row r="21" spans="1:4" ht="15.5" customHeight="1" x14ac:dyDescent="0.2">
      <c r="A21" s="7" t="s">
        <v>54</v>
      </c>
      <c r="B21" s="27" t="s">
        <v>202</v>
      </c>
      <c r="C21" s="28"/>
      <c r="D21" s="28"/>
    </row>
    <row r="22" spans="1:4" x14ac:dyDescent="0.2">
      <c r="A22" s="8" t="s">
        <v>203</v>
      </c>
      <c r="B22" s="8" t="s">
        <v>204</v>
      </c>
      <c r="C22" s="8" t="s">
        <v>205</v>
      </c>
      <c r="D22" s="8" t="s">
        <v>206</v>
      </c>
    </row>
    <row r="23" spans="1:4" x14ac:dyDescent="0.2">
      <c r="A23" t="s">
        <v>186</v>
      </c>
      <c r="B23">
        <v>5</v>
      </c>
      <c r="C23" s="9">
        <v>0.85</v>
      </c>
      <c r="D23" t="s">
        <v>207</v>
      </c>
    </row>
    <row r="24" spans="1:4" x14ac:dyDescent="0.2">
      <c r="A24" t="s">
        <v>208</v>
      </c>
      <c r="B24">
        <v>6</v>
      </c>
      <c r="C24" s="9">
        <v>1</v>
      </c>
      <c r="D24" t="s">
        <v>209</v>
      </c>
    </row>
    <row r="25" spans="1:4" x14ac:dyDescent="0.2">
      <c r="A25" t="s">
        <v>210</v>
      </c>
      <c r="B25">
        <v>7</v>
      </c>
      <c r="C25" s="9">
        <v>1</v>
      </c>
      <c r="D25" t="s">
        <v>209</v>
      </c>
    </row>
    <row r="26" spans="1:4" x14ac:dyDescent="0.2">
      <c r="A26" t="s">
        <v>211</v>
      </c>
      <c r="B26">
        <v>8</v>
      </c>
      <c r="C26" s="9">
        <v>0.95</v>
      </c>
      <c r="D26" t="s">
        <v>212</v>
      </c>
    </row>
    <row r="27" spans="1:4" x14ac:dyDescent="0.2">
      <c r="A27" t="s">
        <v>191</v>
      </c>
      <c r="B27">
        <v>9</v>
      </c>
      <c r="C27" s="9">
        <v>0.75</v>
      </c>
      <c r="D27" t="s">
        <v>213</v>
      </c>
    </row>
    <row r="30" spans="1:4" x14ac:dyDescent="0.2">
      <c r="A30" s="6" t="s">
        <v>214</v>
      </c>
    </row>
    <row r="31" spans="1:4" ht="31.25" customHeight="1" x14ac:dyDescent="0.2">
      <c r="A31" s="7" t="s">
        <v>46</v>
      </c>
      <c r="B31" s="27" t="s">
        <v>215</v>
      </c>
      <c r="C31" s="28"/>
      <c r="D31" s="28"/>
    </row>
    <row r="32" spans="1:4" ht="15.5" customHeight="1" x14ac:dyDescent="0.2">
      <c r="A32" s="7" t="s">
        <v>48</v>
      </c>
      <c r="B32" s="27" t="s">
        <v>216</v>
      </c>
      <c r="C32" s="28"/>
      <c r="D32" s="28"/>
    </row>
    <row r="33" spans="1:4" ht="31.25" customHeight="1" x14ac:dyDescent="0.2">
      <c r="A33" s="7" t="s">
        <v>50</v>
      </c>
      <c r="B33" s="27" t="s">
        <v>217</v>
      </c>
      <c r="C33" s="28"/>
      <c r="D33" s="28"/>
    </row>
    <row r="34" spans="1:4" ht="15.5" customHeight="1" x14ac:dyDescent="0.2">
      <c r="A34" s="7" t="s">
        <v>52</v>
      </c>
      <c r="B34" s="27" t="s">
        <v>218</v>
      </c>
      <c r="C34" s="28"/>
      <c r="D34" s="28"/>
    </row>
    <row r="35" spans="1:4" ht="15.5" customHeight="1" x14ac:dyDescent="0.2">
      <c r="A35" s="7" t="s">
        <v>54</v>
      </c>
      <c r="B35" s="27" t="s">
        <v>219</v>
      </c>
      <c r="C35" s="28"/>
      <c r="D35" s="28"/>
    </row>
    <row r="36" spans="1:4" x14ac:dyDescent="0.2">
      <c r="A36" s="8" t="s">
        <v>56</v>
      </c>
      <c r="B36" s="8" t="s">
        <v>57</v>
      </c>
      <c r="C36" s="8" t="s">
        <v>182</v>
      </c>
      <c r="D36" s="8" t="s">
        <v>220</v>
      </c>
    </row>
    <row r="37" spans="1:4" x14ac:dyDescent="0.2">
      <c r="A37" t="s">
        <v>221</v>
      </c>
      <c r="B37" s="9">
        <v>1</v>
      </c>
      <c r="C37" t="s">
        <v>222</v>
      </c>
      <c r="D37" t="s">
        <v>223</v>
      </c>
    </row>
    <row r="38" spans="1:4" x14ac:dyDescent="0.2">
      <c r="A38" t="s">
        <v>224</v>
      </c>
      <c r="B38" s="9">
        <v>5</v>
      </c>
      <c r="C38" t="s">
        <v>225</v>
      </c>
      <c r="D38" t="s">
        <v>226</v>
      </c>
    </row>
    <row r="39" spans="1:4" x14ac:dyDescent="0.2">
      <c r="A39" t="s">
        <v>227</v>
      </c>
      <c r="B39" s="9">
        <v>50000</v>
      </c>
      <c r="C39" t="s">
        <v>228</v>
      </c>
      <c r="D39" t="s">
        <v>229</v>
      </c>
    </row>
    <row r="40" spans="1:4" x14ac:dyDescent="0.2">
      <c r="A40" t="s">
        <v>230</v>
      </c>
      <c r="B40" s="13">
        <v>5</v>
      </c>
      <c r="C40" t="s">
        <v>231</v>
      </c>
      <c r="D40" t="s">
        <v>232</v>
      </c>
    </row>
    <row r="43" spans="1:4" x14ac:dyDescent="0.2">
      <c r="A43" s="6" t="s">
        <v>233</v>
      </c>
    </row>
    <row r="44" spans="1:4" ht="15.5" customHeight="1" x14ac:dyDescent="0.2">
      <c r="A44" s="7" t="s">
        <v>46</v>
      </c>
      <c r="B44" s="27" t="s">
        <v>234</v>
      </c>
      <c r="C44" s="28"/>
      <c r="D44" s="28"/>
    </row>
    <row r="45" spans="1:4" ht="15.5" customHeight="1" x14ac:dyDescent="0.2">
      <c r="A45" s="7" t="s">
        <v>48</v>
      </c>
      <c r="B45" s="27" t="s">
        <v>235</v>
      </c>
      <c r="C45" s="28"/>
      <c r="D45" s="28"/>
    </row>
    <row r="46" spans="1:4" ht="31.25" customHeight="1" x14ac:dyDescent="0.2">
      <c r="A46" s="7" t="s">
        <v>50</v>
      </c>
      <c r="B46" s="27" t="s">
        <v>236</v>
      </c>
      <c r="C46" s="28"/>
      <c r="D46" s="28"/>
    </row>
    <row r="47" spans="1:4" ht="15.5" customHeight="1" x14ac:dyDescent="0.2">
      <c r="A47" s="7" t="s">
        <v>52</v>
      </c>
      <c r="B47" s="27" t="s">
        <v>237</v>
      </c>
      <c r="C47" s="28"/>
      <c r="D47" s="28"/>
    </row>
    <row r="48" spans="1:4" ht="15.5" customHeight="1" x14ac:dyDescent="0.2">
      <c r="A48" s="7" t="s">
        <v>54</v>
      </c>
      <c r="B48" s="27" t="s">
        <v>238</v>
      </c>
      <c r="C48" s="28"/>
      <c r="D48" s="28"/>
    </row>
    <row r="49" spans="1:4" x14ac:dyDescent="0.2">
      <c r="A49" s="8" t="s">
        <v>56</v>
      </c>
      <c r="B49" s="8" t="s">
        <v>57</v>
      </c>
      <c r="C49" s="8" t="s">
        <v>182</v>
      </c>
    </row>
    <row r="50" spans="1:4" x14ac:dyDescent="0.2">
      <c r="A50" t="s">
        <v>239</v>
      </c>
      <c r="B50" s="14">
        <v>1500</v>
      </c>
      <c r="C50" t="s">
        <v>240</v>
      </c>
    </row>
    <row r="51" spans="1:4" x14ac:dyDescent="0.2">
      <c r="A51" t="s">
        <v>241</v>
      </c>
      <c r="B51" s="14">
        <v>50000</v>
      </c>
      <c r="C51" t="s">
        <v>242</v>
      </c>
    </row>
    <row r="52" spans="1:4" x14ac:dyDescent="0.2">
      <c r="A52" t="s">
        <v>243</v>
      </c>
      <c r="B52" s="14">
        <v>15000</v>
      </c>
      <c r="C52" t="s">
        <v>240</v>
      </c>
    </row>
    <row r="55" spans="1:4" x14ac:dyDescent="0.2">
      <c r="A55" s="6" t="s">
        <v>244</v>
      </c>
    </row>
    <row r="56" spans="1:4" ht="31.25" customHeight="1" x14ac:dyDescent="0.2">
      <c r="A56" s="7" t="s">
        <v>46</v>
      </c>
      <c r="B56" s="27" t="s">
        <v>245</v>
      </c>
      <c r="C56" s="28"/>
      <c r="D56" s="28"/>
    </row>
    <row r="57" spans="1:4" ht="31.25" customHeight="1" x14ac:dyDescent="0.2">
      <c r="A57" s="7" t="s">
        <v>48</v>
      </c>
      <c r="B57" s="27" t="s">
        <v>246</v>
      </c>
      <c r="C57" s="28"/>
      <c r="D57" s="28"/>
    </row>
    <row r="58" spans="1:4" ht="31.25" customHeight="1" x14ac:dyDescent="0.2">
      <c r="A58" s="7" t="s">
        <v>50</v>
      </c>
      <c r="B58" s="27" t="s">
        <v>247</v>
      </c>
      <c r="C58" s="28"/>
      <c r="D58" s="28"/>
    </row>
    <row r="59" spans="1:4" ht="15.5" customHeight="1" x14ac:dyDescent="0.2">
      <c r="A59" s="7" t="s">
        <v>52</v>
      </c>
      <c r="B59" s="27" t="s">
        <v>248</v>
      </c>
      <c r="C59" s="28"/>
      <c r="D59" s="28"/>
    </row>
    <row r="60" spans="1:4" ht="15.5" customHeight="1" x14ac:dyDescent="0.2">
      <c r="A60" s="7" t="s">
        <v>54</v>
      </c>
      <c r="B60" s="27" t="s">
        <v>249</v>
      </c>
      <c r="C60" s="28"/>
      <c r="D60" s="28"/>
    </row>
    <row r="61" spans="1:4" x14ac:dyDescent="0.2">
      <c r="A61" s="8" t="s">
        <v>250</v>
      </c>
      <c r="B61" s="8" t="s">
        <v>205</v>
      </c>
      <c r="C61" s="8" t="s">
        <v>183</v>
      </c>
    </row>
    <row r="62" spans="1:4" x14ac:dyDescent="0.2">
      <c r="A62">
        <v>1</v>
      </c>
      <c r="B62" s="9">
        <v>0.5</v>
      </c>
      <c r="C62" t="s">
        <v>251</v>
      </c>
    </row>
    <row r="63" spans="1:4" x14ac:dyDescent="0.2">
      <c r="A63">
        <v>2</v>
      </c>
      <c r="B63" s="9">
        <v>0.75</v>
      </c>
      <c r="C63" t="s">
        <v>252</v>
      </c>
    </row>
    <row r="64" spans="1:4" x14ac:dyDescent="0.2">
      <c r="A64">
        <v>3</v>
      </c>
      <c r="B64" s="9">
        <v>1</v>
      </c>
      <c r="C64" t="s">
        <v>253</v>
      </c>
    </row>
    <row r="65" spans="1:6" x14ac:dyDescent="0.2">
      <c r="A65">
        <v>4</v>
      </c>
      <c r="B65" s="9">
        <v>1</v>
      </c>
      <c r="C65" t="s">
        <v>254</v>
      </c>
    </row>
    <row r="66" spans="1:6" x14ac:dyDescent="0.2">
      <c r="A66">
        <v>5</v>
      </c>
      <c r="B66" s="9">
        <v>1</v>
      </c>
      <c r="C66" t="s">
        <v>254</v>
      </c>
    </row>
    <row r="69" spans="1:6" x14ac:dyDescent="0.2">
      <c r="A69" s="6" t="s">
        <v>255</v>
      </c>
    </row>
    <row r="70" spans="1:6" ht="15.5" customHeight="1" x14ac:dyDescent="0.2">
      <c r="A70" s="7" t="s">
        <v>46</v>
      </c>
      <c r="B70" s="27" t="s">
        <v>256</v>
      </c>
      <c r="C70" s="28"/>
      <c r="D70" s="28"/>
      <c r="E70" s="28"/>
      <c r="F70" s="28"/>
    </row>
    <row r="71" spans="1:6" ht="15.5" customHeight="1" x14ac:dyDescent="0.2">
      <c r="A71" s="7" t="s">
        <v>48</v>
      </c>
      <c r="B71" s="27" t="s">
        <v>257</v>
      </c>
      <c r="C71" s="28"/>
      <c r="D71" s="28"/>
      <c r="E71" s="28"/>
      <c r="F71" s="28"/>
    </row>
    <row r="72" spans="1:6" ht="46.75" customHeight="1" x14ac:dyDescent="0.2">
      <c r="A72" s="7" t="s">
        <v>50</v>
      </c>
      <c r="B72" s="27" t="s">
        <v>258</v>
      </c>
      <c r="C72" s="28"/>
      <c r="D72" s="28"/>
      <c r="E72" s="28"/>
      <c r="F72" s="28"/>
    </row>
    <row r="73" spans="1:6" ht="15.5" customHeight="1" x14ac:dyDescent="0.2">
      <c r="A73" s="7" t="s">
        <v>52</v>
      </c>
      <c r="B73" s="27" t="s">
        <v>259</v>
      </c>
      <c r="C73" s="28"/>
      <c r="D73" s="28"/>
      <c r="E73" s="28"/>
      <c r="F73" s="28"/>
    </row>
    <row r="74" spans="1:6" ht="15.5" customHeight="1" x14ac:dyDescent="0.2">
      <c r="A74" s="7" t="s">
        <v>54</v>
      </c>
      <c r="B74" s="27" t="s">
        <v>260</v>
      </c>
      <c r="C74" s="28"/>
      <c r="D74" s="28"/>
      <c r="E74" s="28"/>
      <c r="F74" s="28"/>
    </row>
    <row r="75" spans="1:6" x14ac:dyDescent="0.2">
      <c r="A75" s="8" t="s">
        <v>261</v>
      </c>
      <c r="B75" s="8" t="s">
        <v>262</v>
      </c>
      <c r="C75" s="8" t="s">
        <v>263</v>
      </c>
      <c r="D75" s="8" t="s">
        <v>264</v>
      </c>
      <c r="E75" s="8" t="s">
        <v>265</v>
      </c>
      <c r="F75" s="8" t="s">
        <v>266</v>
      </c>
    </row>
    <row r="76" spans="1:6" x14ac:dyDescent="0.2">
      <c r="A76" t="s">
        <v>267</v>
      </c>
      <c r="B76" t="s">
        <v>107</v>
      </c>
      <c r="C76">
        <v>30</v>
      </c>
      <c r="D76">
        <v>2</v>
      </c>
      <c r="E76" s="15">
        <v>1000</v>
      </c>
      <c r="F76">
        <v>42</v>
      </c>
    </row>
    <row r="77" spans="1:6" x14ac:dyDescent="0.2">
      <c r="A77" t="s">
        <v>268</v>
      </c>
      <c r="B77" t="s">
        <v>107</v>
      </c>
      <c r="C77">
        <v>7</v>
      </c>
      <c r="D77">
        <v>2</v>
      </c>
      <c r="E77" s="15">
        <v>1000</v>
      </c>
      <c r="F77">
        <v>42</v>
      </c>
    </row>
    <row r="78" spans="1:6" x14ac:dyDescent="0.2">
      <c r="A78" t="s">
        <v>61</v>
      </c>
      <c r="B78" t="s">
        <v>269</v>
      </c>
      <c r="C78">
        <v>1</v>
      </c>
      <c r="D78">
        <v>10</v>
      </c>
      <c r="E78" s="15">
        <v>10</v>
      </c>
      <c r="F78">
        <v>1</v>
      </c>
    </row>
    <row r="80" spans="1:6" x14ac:dyDescent="0.2">
      <c r="A80" s="6" t="s">
        <v>270</v>
      </c>
    </row>
    <row r="81" spans="1:5" ht="31.25" customHeight="1" x14ac:dyDescent="0.2">
      <c r="A81" s="7" t="s">
        <v>46</v>
      </c>
      <c r="B81" s="27" t="s">
        <v>271</v>
      </c>
      <c r="C81" s="28"/>
      <c r="D81" s="28"/>
      <c r="E81" s="28"/>
    </row>
    <row r="82" spans="1:5" ht="15.5" customHeight="1" x14ac:dyDescent="0.2">
      <c r="A82" s="7" t="s">
        <v>48</v>
      </c>
      <c r="B82" s="27" t="s">
        <v>272</v>
      </c>
      <c r="C82" s="28"/>
      <c r="D82" s="28"/>
      <c r="E82" s="28"/>
    </row>
    <row r="83" spans="1:5" ht="46.75" customHeight="1" x14ac:dyDescent="0.2">
      <c r="A83" s="7" t="s">
        <v>50</v>
      </c>
      <c r="B83" s="27" t="s">
        <v>273</v>
      </c>
      <c r="C83" s="28"/>
      <c r="D83" s="28"/>
      <c r="E83" s="28"/>
    </row>
    <row r="84" spans="1:5" ht="15.5" customHeight="1" x14ac:dyDescent="0.2">
      <c r="A84" s="7" t="s">
        <v>52</v>
      </c>
      <c r="B84" s="27" t="s">
        <v>274</v>
      </c>
      <c r="C84" s="28"/>
      <c r="D84" s="28"/>
      <c r="E84" s="28"/>
    </row>
    <row r="85" spans="1:5" ht="15.5" customHeight="1" x14ac:dyDescent="0.2">
      <c r="A85" s="7" t="s">
        <v>54</v>
      </c>
      <c r="B85" s="27" t="s">
        <v>275</v>
      </c>
      <c r="C85" s="28"/>
      <c r="D85" s="28"/>
      <c r="E85" s="28"/>
    </row>
    <row r="86" spans="1:5" x14ac:dyDescent="0.2">
      <c r="A86" s="8" t="s">
        <v>261</v>
      </c>
      <c r="B86" s="8" t="s">
        <v>276</v>
      </c>
      <c r="C86" s="8" t="s">
        <v>277</v>
      </c>
      <c r="D86" s="8" t="s">
        <v>278</v>
      </c>
      <c r="E86" s="8" t="s">
        <v>279</v>
      </c>
    </row>
    <row r="87" spans="1:5" x14ac:dyDescent="0.2">
      <c r="A87" t="s">
        <v>267</v>
      </c>
      <c r="B87" t="str">
        <f>IF(INDEX(TestOpt_Latency,1)&lt;=7,"ENABLED","BLOCKED")</f>
        <v>BLOCKED</v>
      </c>
      <c r="C87" t="str">
        <f>IF(INDEX(TestOpt_Latency,1)&lt;=7,"ENABLED","BLOCKED")</f>
        <v>BLOCKED</v>
      </c>
      <c r="D87" t="str">
        <f>IF(INDEX(TestOpt_Latency,1)&lt;=14,"ENABLED","BLOCKED")</f>
        <v>BLOCKED</v>
      </c>
      <c r="E87" t="str">
        <f>IF(INDEX(TestOpt_Latency,1)&lt;=3,"ENABLED","BLOCKED")</f>
        <v>BLOCKED</v>
      </c>
    </row>
    <row r="88" spans="1:5" x14ac:dyDescent="0.2">
      <c r="A88" t="s">
        <v>268</v>
      </c>
      <c r="B88" t="str">
        <f>IF(INDEX(TestOpt_Latency,2)&lt;=7,"ENABLED","BLOCKED")</f>
        <v>BLOCKED</v>
      </c>
      <c r="C88" t="str">
        <f>IF(INDEX(TestOpt_Latency,2)&lt;=7,"ENABLED","BLOCKED")</f>
        <v>BLOCKED</v>
      </c>
      <c r="D88" t="str">
        <f>IF(INDEX(TestOpt_Latency,2)&lt;=14,"ENABLED","BLOCKED")</f>
        <v>BLOCKED</v>
      </c>
      <c r="E88" t="str">
        <f>IF(INDEX(TestOpt_Latency,2)&lt;=3,"ENABLED","BLOCKED")</f>
        <v>BLOCKED</v>
      </c>
    </row>
    <row r="89" spans="1:5" x14ac:dyDescent="0.2">
      <c r="A89" t="s">
        <v>61</v>
      </c>
      <c r="B89" t="str">
        <f>IF(INDEX(TestOpt_Latency,3)&lt;=7,"ENABLED","BLOCKED")</f>
        <v>ENABLED</v>
      </c>
      <c r="C89" t="str">
        <f>IF(INDEX(TestOpt_Latency,3)&lt;=7,"ENABLED","BLOCKED")</f>
        <v>ENABLED</v>
      </c>
      <c r="D89" t="str">
        <f>IF(INDEX(TestOpt_Latency,3)&lt;=14,"ENABLED","BLOCKED")</f>
        <v>ENABLED</v>
      </c>
      <c r="E89" t="str">
        <f>IF(INDEX(TestOpt_Latency,3)&lt;=3,"ENABLED","BLOCKED")</f>
        <v>ENABLED</v>
      </c>
    </row>
    <row r="92" spans="1:5" ht="19" x14ac:dyDescent="0.25">
      <c r="A92" s="4" t="s">
        <v>280</v>
      </c>
    </row>
    <row r="93" spans="1:5" x14ac:dyDescent="0.2">
      <c r="A93" t="s">
        <v>281</v>
      </c>
      <c r="B93" t="s">
        <v>282</v>
      </c>
    </row>
    <row r="94" spans="1:5" x14ac:dyDescent="0.2">
      <c r="A94" t="s">
        <v>267</v>
      </c>
      <c r="B94" t="s">
        <v>65</v>
      </c>
    </row>
    <row r="95" spans="1:5" x14ac:dyDescent="0.2">
      <c r="A95" t="s">
        <v>268</v>
      </c>
      <c r="B95" t="s">
        <v>283</v>
      </c>
    </row>
    <row r="96" spans="1:5" x14ac:dyDescent="0.2">
      <c r="A96" t="s">
        <v>61</v>
      </c>
      <c r="B96" t="s">
        <v>284</v>
      </c>
    </row>
    <row r="98" spans="1:4" ht="19" x14ac:dyDescent="0.25">
      <c r="A98" s="4" t="s">
        <v>285</v>
      </c>
    </row>
    <row r="99" spans="1:4" x14ac:dyDescent="0.2">
      <c r="A99" t="s">
        <v>286</v>
      </c>
    </row>
    <row r="101" spans="1:4" x14ac:dyDescent="0.2">
      <c r="A101" s="6" t="s">
        <v>287</v>
      </c>
    </row>
    <row r="102" spans="1:4" ht="15.5" customHeight="1" x14ac:dyDescent="0.2">
      <c r="A102" s="7" t="s">
        <v>46</v>
      </c>
      <c r="B102" s="27" t="s">
        <v>288</v>
      </c>
      <c r="C102" s="28"/>
      <c r="D102" s="28"/>
    </row>
    <row r="103" spans="1:4" ht="15.5" customHeight="1" x14ac:dyDescent="0.2">
      <c r="A103" s="7" t="s">
        <v>48</v>
      </c>
      <c r="B103" s="27" t="s">
        <v>289</v>
      </c>
      <c r="C103" s="28"/>
      <c r="D103" s="28"/>
    </row>
    <row r="104" spans="1:4" ht="62.5" customHeight="1" x14ac:dyDescent="0.2">
      <c r="A104" s="7" t="s">
        <v>50</v>
      </c>
      <c r="B104" s="27" t="s">
        <v>290</v>
      </c>
      <c r="C104" s="28"/>
      <c r="D104" s="28"/>
    </row>
    <row r="105" spans="1:4" ht="15.5" customHeight="1" x14ac:dyDescent="0.2">
      <c r="A105" s="7" t="s">
        <v>52</v>
      </c>
      <c r="B105" s="27" t="s">
        <v>291</v>
      </c>
      <c r="C105" s="28"/>
      <c r="D105" s="28"/>
    </row>
    <row r="106" spans="1:4" ht="15.5" customHeight="1" x14ac:dyDescent="0.2">
      <c r="A106" s="7" t="s">
        <v>54</v>
      </c>
      <c r="B106" s="27" t="s">
        <v>292</v>
      </c>
      <c r="C106" s="28"/>
      <c r="D106" s="28"/>
    </row>
    <row r="107" spans="1:4" x14ac:dyDescent="0.2">
      <c r="A107" s="8" t="s">
        <v>56</v>
      </c>
      <c r="B107" s="8" t="s">
        <v>57</v>
      </c>
      <c r="C107" s="8" t="s">
        <v>182</v>
      </c>
      <c r="D107" s="8" t="s">
        <v>183</v>
      </c>
    </row>
    <row r="108" spans="1:4" x14ac:dyDescent="0.2">
      <c r="A108" t="s">
        <v>293</v>
      </c>
      <c r="B108" s="16">
        <v>63.1</v>
      </c>
      <c r="C108" t="s">
        <v>294</v>
      </c>
      <c r="D108" t="s">
        <v>295</v>
      </c>
    </row>
    <row r="109" spans="1:4" x14ac:dyDescent="0.2">
      <c r="A109" t="s">
        <v>296</v>
      </c>
      <c r="B109" s="16">
        <v>50</v>
      </c>
      <c r="C109" t="s">
        <v>294</v>
      </c>
      <c r="D109" t="s">
        <v>297</v>
      </c>
    </row>
    <row r="110" spans="1:4" x14ac:dyDescent="0.2">
      <c r="A110" t="s">
        <v>298</v>
      </c>
      <c r="B110" s="16">
        <v>0.53200000000000003</v>
      </c>
      <c r="C110" t="s">
        <v>299</v>
      </c>
      <c r="D110" t="s">
        <v>300</v>
      </c>
    </row>
    <row r="111" spans="1:4" x14ac:dyDescent="0.2">
      <c r="A111" t="s">
        <v>301</v>
      </c>
      <c r="B111" s="16">
        <v>0.248</v>
      </c>
      <c r="C111" t="s">
        <v>299</v>
      </c>
      <c r="D111" t="s">
        <v>302</v>
      </c>
    </row>
    <row r="112" spans="1:4" x14ac:dyDescent="0.2">
      <c r="A112" t="s">
        <v>303</v>
      </c>
      <c r="B112" s="9">
        <v>15</v>
      </c>
      <c r="C112" t="s">
        <v>195</v>
      </c>
      <c r="D112" t="s">
        <v>304</v>
      </c>
    </row>
    <row r="113" spans="1:4" x14ac:dyDescent="0.2">
      <c r="A113" t="s">
        <v>305</v>
      </c>
      <c r="B113" s="9">
        <v>14</v>
      </c>
      <c r="C113" t="s">
        <v>195</v>
      </c>
      <c r="D113" t="s">
        <v>306</v>
      </c>
    </row>
    <row r="114" spans="1:4" x14ac:dyDescent="0.2">
      <c r="A114" t="s">
        <v>307</v>
      </c>
      <c r="B114" s="9">
        <v>8772</v>
      </c>
      <c r="C114" t="s">
        <v>308</v>
      </c>
      <c r="D114" t="s">
        <v>309</v>
      </c>
    </row>
    <row r="117" spans="1:4" x14ac:dyDescent="0.2">
      <c r="A117" s="6" t="s">
        <v>310</v>
      </c>
    </row>
    <row r="118" spans="1:4" ht="31.25" customHeight="1" x14ac:dyDescent="0.2">
      <c r="A118" s="7" t="s">
        <v>46</v>
      </c>
      <c r="B118" s="27" t="s">
        <v>311</v>
      </c>
      <c r="C118" s="28"/>
      <c r="D118" s="28"/>
    </row>
    <row r="119" spans="1:4" ht="15.5" customHeight="1" x14ac:dyDescent="0.2">
      <c r="A119" s="7" t="s">
        <v>48</v>
      </c>
      <c r="B119" s="27" t="s">
        <v>312</v>
      </c>
      <c r="C119" s="28"/>
      <c r="D119" s="28"/>
    </row>
    <row r="120" spans="1:4" ht="31.25" customHeight="1" x14ac:dyDescent="0.2">
      <c r="A120" s="7" t="s">
        <v>50</v>
      </c>
      <c r="B120" s="27" t="s">
        <v>313</v>
      </c>
      <c r="C120" s="28"/>
      <c r="D120" s="28"/>
    </row>
    <row r="121" spans="1:4" ht="15.5" customHeight="1" x14ac:dyDescent="0.2">
      <c r="A121" s="7" t="s">
        <v>52</v>
      </c>
      <c r="B121" s="27" t="s">
        <v>314</v>
      </c>
      <c r="C121" s="28"/>
      <c r="D121" s="28"/>
    </row>
    <row r="122" spans="1:4" ht="15.5" customHeight="1" x14ac:dyDescent="0.2">
      <c r="A122" s="7" t="s">
        <v>54</v>
      </c>
      <c r="B122" s="27" t="s">
        <v>219</v>
      </c>
      <c r="C122" s="28"/>
      <c r="D122" s="28"/>
    </row>
    <row r="123" spans="1:4" x14ac:dyDescent="0.2">
      <c r="A123" s="8" t="s">
        <v>315</v>
      </c>
      <c r="B123" s="8" t="s">
        <v>316</v>
      </c>
      <c r="C123" s="8" t="s">
        <v>317</v>
      </c>
      <c r="D123" s="8" t="s">
        <v>183</v>
      </c>
    </row>
    <row r="124" spans="1:4" x14ac:dyDescent="0.2">
      <c r="A124" t="s">
        <v>318</v>
      </c>
      <c r="B124" s="9">
        <v>14</v>
      </c>
      <c r="C124" t="s">
        <v>319</v>
      </c>
      <c r="D124" t="s">
        <v>320</v>
      </c>
    </row>
    <row r="125" spans="1:4" x14ac:dyDescent="0.2">
      <c r="A125" t="s">
        <v>321</v>
      </c>
      <c r="B125" s="9">
        <v>28</v>
      </c>
      <c r="C125" t="s">
        <v>322</v>
      </c>
      <c r="D125" t="s">
        <v>323</v>
      </c>
    </row>
    <row r="126" spans="1:4" x14ac:dyDescent="0.2">
      <c r="A126" t="s">
        <v>324</v>
      </c>
      <c r="B126" s="9">
        <v>42</v>
      </c>
      <c r="C126" t="s">
        <v>325</v>
      </c>
      <c r="D126" t="s">
        <v>326</v>
      </c>
    </row>
  </sheetData>
  <mergeCells count="45">
    <mergeCell ref="B122:D122"/>
    <mergeCell ref="B82:E82"/>
    <mergeCell ref="B18:D18"/>
    <mergeCell ref="B56:D56"/>
    <mergeCell ref="B58:D58"/>
    <mergeCell ref="B21:D21"/>
    <mergeCell ref="B105:D105"/>
    <mergeCell ref="B48:D48"/>
    <mergeCell ref="B84:E84"/>
    <mergeCell ref="B106:D106"/>
    <mergeCell ref="B7:D7"/>
    <mergeCell ref="B47:D47"/>
    <mergeCell ref="B74:F74"/>
    <mergeCell ref="B121:D121"/>
    <mergeCell ref="B59:D59"/>
    <mergeCell ref="B31:D31"/>
    <mergeCell ref="B46:D46"/>
    <mergeCell ref="B102:D102"/>
    <mergeCell ref="B5:D5"/>
    <mergeCell ref="B45:D45"/>
    <mergeCell ref="B32:D32"/>
    <mergeCell ref="B4:D4"/>
    <mergeCell ref="B35:D35"/>
    <mergeCell ref="B81:E81"/>
    <mergeCell ref="B6:D6"/>
    <mergeCell ref="B20:D20"/>
    <mergeCell ref="B33:D33"/>
    <mergeCell ref="B104:D104"/>
    <mergeCell ref="B73:F73"/>
    <mergeCell ref="B120:D120"/>
    <mergeCell ref="B60:D60"/>
    <mergeCell ref="B83:E83"/>
    <mergeCell ref="B57:D57"/>
    <mergeCell ref="B8:D8"/>
    <mergeCell ref="B72:F72"/>
    <mergeCell ref="B17:D17"/>
    <mergeCell ref="B119:D119"/>
    <mergeCell ref="B44:D44"/>
    <mergeCell ref="B71:F71"/>
    <mergeCell ref="B85:E85"/>
    <mergeCell ref="B103:D103"/>
    <mergeCell ref="B34:D34"/>
    <mergeCell ref="B70:F70"/>
    <mergeCell ref="B19:D19"/>
    <mergeCell ref="B118:D118"/>
  </mergeCells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25"/>
  <sheetViews>
    <sheetView workbookViewId="0"/>
  </sheetViews>
  <sheetFormatPr baseColWidth="10" defaultColWidth="8.83203125" defaultRowHeight="15" x14ac:dyDescent="0.2"/>
  <cols>
    <col min="1" max="1" width="12" customWidth="1"/>
    <col min="2" max="2" width="22" customWidth="1"/>
    <col min="3" max="3" width="14" customWidth="1"/>
    <col min="4" max="4" width="24" customWidth="1"/>
    <col min="5" max="5" width="40" customWidth="1"/>
  </cols>
  <sheetData>
    <row r="1" spans="1:5" ht="21" x14ac:dyDescent="0.25">
      <c r="A1" s="5" t="s">
        <v>327</v>
      </c>
    </row>
    <row r="3" spans="1:5" x14ac:dyDescent="0.2">
      <c r="A3" s="6" t="s">
        <v>327</v>
      </c>
    </row>
    <row r="4" spans="1:5" ht="31.25" customHeight="1" x14ac:dyDescent="0.2">
      <c r="A4" s="7" t="s">
        <v>46</v>
      </c>
      <c r="B4" s="27" t="s">
        <v>328</v>
      </c>
      <c r="C4" s="28"/>
      <c r="D4" s="28"/>
      <c r="E4" s="28"/>
    </row>
    <row r="5" spans="1:5" ht="31.25" customHeight="1" x14ac:dyDescent="0.2">
      <c r="A5" s="7" t="s">
        <v>48</v>
      </c>
      <c r="B5" s="27" t="s">
        <v>329</v>
      </c>
      <c r="C5" s="28"/>
      <c r="D5" s="28"/>
      <c r="E5" s="28"/>
    </row>
    <row r="6" spans="1:5" ht="62.5" customHeight="1" x14ac:dyDescent="0.2">
      <c r="A6" s="7" t="s">
        <v>50</v>
      </c>
      <c r="B6" s="27" t="s">
        <v>330</v>
      </c>
      <c r="C6" s="28"/>
      <c r="D6" s="28"/>
      <c r="E6" s="28"/>
    </row>
    <row r="7" spans="1:5" ht="15.5" customHeight="1" x14ac:dyDescent="0.2">
      <c r="A7" s="7" t="s">
        <v>52</v>
      </c>
      <c r="B7" s="27" t="s">
        <v>331</v>
      </c>
      <c r="C7" s="28"/>
      <c r="D7" s="28"/>
      <c r="E7" s="28"/>
    </row>
    <row r="8" spans="1:5" ht="15.5" customHeight="1" x14ac:dyDescent="0.2">
      <c r="A8" s="7" t="s">
        <v>54</v>
      </c>
      <c r="B8" s="27" t="s">
        <v>332</v>
      </c>
      <c r="C8" s="28"/>
      <c r="D8" s="28"/>
      <c r="E8" s="28"/>
    </row>
    <row r="9" spans="1:5" x14ac:dyDescent="0.2">
      <c r="A9" s="8" t="s">
        <v>333</v>
      </c>
      <c r="B9" s="8" t="s">
        <v>334</v>
      </c>
      <c r="C9" s="8" t="s">
        <v>335</v>
      </c>
      <c r="D9" s="8" t="s">
        <v>336</v>
      </c>
      <c r="E9" s="8" t="s">
        <v>59</v>
      </c>
    </row>
    <row r="10" spans="1:5" x14ac:dyDescent="0.2">
      <c r="A10" t="s">
        <v>337</v>
      </c>
      <c r="B10" t="s">
        <v>338</v>
      </c>
      <c r="C10" s="14">
        <v>104000</v>
      </c>
      <c r="D10">
        <v>7</v>
      </c>
      <c r="E10" t="s">
        <v>339</v>
      </c>
    </row>
    <row r="11" spans="1:5" x14ac:dyDescent="0.2">
      <c r="A11" t="s">
        <v>340</v>
      </c>
      <c r="B11" t="s">
        <v>341</v>
      </c>
      <c r="C11" s="14">
        <v>67500</v>
      </c>
      <c r="D11">
        <v>7</v>
      </c>
      <c r="E11" t="s">
        <v>342</v>
      </c>
    </row>
    <row r="12" spans="1:5" x14ac:dyDescent="0.2">
      <c r="A12" t="s">
        <v>343</v>
      </c>
      <c r="B12" t="s">
        <v>344</v>
      </c>
      <c r="C12" s="14">
        <v>78000</v>
      </c>
      <c r="D12">
        <v>14</v>
      </c>
      <c r="E12" t="s">
        <v>345</v>
      </c>
    </row>
    <row r="13" spans="1:5" x14ac:dyDescent="0.2">
      <c r="A13" t="s">
        <v>346</v>
      </c>
      <c r="B13" t="s">
        <v>347</v>
      </c>
      <c r="C13" s="14">
        <v>36000</v>
      </c>
      <c r="D13">
        <v>3</v>
      </c>
      <c r="E13" t="s">
        <v>348</v>
      </c>
    </row>
    <row r="16" spans="1:5" x14ac:dyDescent="0.2">
      <c r="A16" s="6" t="s">
        <v>349</v>
      </c>
    </row>
    <row r="17" spans="1:4" ht="31.25" customHeight="1" x14ac:dyDescent="0.2">
      <c r="A17" s="7" t="s">
        <v>46</v>
      </c>
      <c r="B17" s="27" t="s">
        <v>350</v>
      </c>
      <c r="C17" s="28"/>
      <c r="D17" s="28"/>
    </row>
    <row r="18" spans="1:4" ht="31.25" customHeight="1" x14ac:dyDescent="0.2">
      <c r="A18" s="7" t="s">
        <v>48</v>
      </c>
      <c r="B18" s="27" t="s">
        <v>351</v>
      </c>
      <c r="C18" s="28"/>
      <c r="D18" s="28"/>
    </row>
    <row r="19" spans="1:4" ht="78" customHeight="1" x14ac:dyDescent="0.2">
      <c r="A19" s="7" t="s">
        <v>50</v>
      </c>
      <c r="B19" s="27" t="s">
        <v>352</v>
      </c>
      <c r="C19" s="28"/>
      <c r="D19" s="28"/>
    </row>
    <row r="20" spans="1:4" ht="31.25" customHeight="1" x14ac:dyDescent="0.2">
      <c r="A20" s="7" t="s">
        <v>52</v>
      </c>
      <c r="B20" s="27" t="s">
        <v>353</v>
      </c>
      <c r="C20" s="28"/>
      <c r="D20" s="28"/>
    </row>
    <row r="21" spans="1:4" ht="15.5" customHeight="1" x14ac:dyDescent="0.2">
      <c r="A21" s="7" t="s">
        <v>54</v>
      </c>
      <c r="B21" s="27" t="s">
        <v>354</v>
      </c>
      <c r="C21" s="28"/>
      <c r="D21" s="28"/>
    </row>
    <row r="22" spans="1:4" x14ac:dyDescent="0.2">
      <c r="A22" s="8" t="s">
        <v>93</v>
      </c>
      <c r="B22" s="8" t="s">
        <v>355</v>
      </c>
      <c r="C22" s="8" t="s">
        <v>356</v>
      </c>
      <c r="D22" s="8" t="s">
        <v>357</v>
      </c>
    </row>
    <row r="23" spans="1:4" x14ac:dyDescent="0.2">
      <c r="A23" t="s">
        <v>65</v>
      </c>
      <c r="B23" s="10">
        <v>0</v>
      </c>
      <c r="C23" s="10">
        <v>0</v>
      </c>
      <c r="D23" s="10">
        <v>0</v>
      </c>
    </row>
    <row r="24" spans="1:4" x14ac:dyDescent="0.2">
      <c r="A24" t="s">
        <v>283</v>
      </c>
      <c r="B24" s="10">
        <v>4.0000000000000001E-3</v>
      </c>
      <c r="C24" s="10">
        <v>-0.02</v>
      </c>
      <c r="D24" s="10">
        <v>0.1</v>
      </c>
    </row>
    <row r="25" spans="1:4" x14ac:dyDescent="0.2">
      <c r="A25" t="s">
        <v>284</v>
      </c>
      <c r="B25" s="10">
        <v>-3.0000000000000001E-3</v>
      </c>
      <c r="C25" s="10">
        <v>0.01</v>
      </c>
      <c r="D25" s="10">
        <v>-0.1</v>
      </c>
    </row>
  </sheetData>
  <mergeCells count="10">
    <mergeCell ref="B21:D21"/>
    <mergeCell ref="B5:E5"/>
    <mergeCell ref="B20:D20"/>
    <mergeCell ref="B19:D19"/>
    <mergeCell ref="B8:E8"/>
    <mergeCell ref="B4:E4"/>
    <mergeCell ref="B6:E6"/>
    <mergeCell ref="B17:D17"/>
    <mergeCell ref="B18:D18"/>
    <mergeCell ref="B7:E7"/>
  </mergeCells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35"/>
  <sheetViews>
    <sheetView topLeftCell="A15" workbookViewId="0"/>
  </sheetViews>
  <sheetFormatPr baseColWidth="10" defaultColWidth="8.83203125" defaultRowHeight="15" x14ac:dyDescent="0.2"/>
  <cols>
    <col min="1" max="1" width="28" customWidth="1"/>
    <col min="2" max="5" width="12" customWidth="1"/>
    <col min="6" max="6" width="35" customWidth="1"/>
  </cols>
  <sheetData>
    <row r="1" spans="1:5" ht="21" x14ac:dyDescent="0.25">
      <c r="A1" s="5" t="s">
        <v>358</v>
      </c>
    </row>
    <row r="3" spans="1:5" x14ac:dyDescent="0.2">
      <c r="A3" s="6" t="s">
        <v>359</v>
      </c>
    </row>
    <row r="4" spans="1:5" ht="46.75" customHeight="1" x14ac:dyDescent="0.2">
      <c r="A4" s="7" t="s">
        <v>46</v>
      </c>
      <c r="B4" s="27" t="s">
        <v>360</v>
      </c>
      <c r="C4" s="28"/>
      <c r="D4" s="28"/>
      <c r="E4" s="28"/>
    </row>
    <row r="5" spans="1:5" ht="31.25" customHeight="1" x14ac:dyDescent="0.2">
      <c r="A5" s="7" t="s">
        <v>48</v>
      </c>
      <c r="B5" s="27" t="s">
        <v>361</v>
      </c>
      <c r="C5" s="28"/>
      <c r="D5" s="28"/>
      <c r="E5" s="28"/>
    </row>
    <row r="6" spans="1:5" ht="124.75" customHeight="1" x14ac:dyDescent="0.2">
      <c r="A6" s="7" t="s">
        <v>50</v>
      </c>
      <c r="B6" s="27" t="s">
        <v>362</v>
      </c>
      <c r="C6" s="28"/>
      <c r="D6" s="28"/>
      <c r="E6" s="28"/>
    </row>
    <row r="7" spans="1:5" ht="31.25" customHeight="1" x14ac:dyDescent="0.2">
      <c r="A7" s="7" t="s">
        <v>52</v>
      </c>
      <c r="B7" s="27" t="s">
        <v>363</v>
      </c>
      <c r="C7" s="28"/>
      <c r="D7" s="28"/>
      <c r="E7" s="28"/>
    </row>
    <row r="8" spans="1:5" ht="31.25" customHeight="1" x14ac:dyDescent="0.2">
      <c r="A8" s="7" t="s">
        <v>54</v>
      </c>
      <c r="B8" s="27" t="s">
        <v>364</v>
      </c>
      <c r="C8" s="28"/>
      <c r="D8" s="28"/>
      <c r="E8" s="28"/>
    </row>
    <row r="9" spans="1:5" x14ac:dyDescent="0.2">
      <c r="A9" s="8" t="s">
        <v>365</v>
      </c>
      <c r="B9" s="8" t="s">
        <v>366</v>
      </c>
      <c r="C9" s="8" t="s">
        <v>367</v>
      </c>
      <c r="D9" s="8" t="s">
        <v>368</v>
      </c>
      <c r="E9" s="8" t="s">
        <v>369</v>
      </c>
    </row>
    <row r="10" spans="1:5" x14ac:dyDescent="0.2">
      <c r="A10" t="s">
        <v>370</v>
      </c>
      <c r="B10" s="9">
        <v>14</v>
      </c>
      <c r="C10" s="9">
        <v>21</v>
      </c>
      <c r="D10" s="9">
        <v>35</v>
      </c>
      <c r="E10" t="s">
        <v>195</v>
      </c>
    </row>
    <row r="11" spans="1:5" x14ac:dyDescent="0.2">
      <c r="A11" t="s">
        <v>371</v>
      </c>
      <c r="B11" s="14">
        <v>3000</v>
      </c>
      <c r="C11" s="14">
        <v>7500</v>
      </c>
      <c r="D11" s="14">
        <v>15000</v>
      </c>
      <c r="E11" t="s">
        <v>240</v>
      </c>
    </row>
    <row r="12" spans="1:5" x14ac:dyDescent="0.2">
      <c r="A12" t="s">
        <v>372</v>
      </c>
      <c r="B12" s="9">
        <v>1</v>
      </c>
      <c r="C12" s="9">
        <v>3</v>
      </c>
      <c r="D12" s="9">
        <v>8</v>
      </c>
      <c r="E12" t="s">
        <v>373</v>
      </c>
    </row>
    <row r="13" spans="1:5" x14ac:dyDescent="0.2">
      <c r="A13" t="s">
        <v>374</v>
      </c>
      <c r="B13" s="9">
        <v>0.7</v>
      </c>
      <c r="C13" s="9">
        <v>1</v>
      </c>
      <c r="D13" s="9">
        <v>1.3</v>
      </c>
      <c r="E13" t="s">
        <v>375</v>
      </c>
    </row>
    <row r="16" spans="1:5" x14ac:dyDescent="0.2">
      <c r="A16" s="6" t="s">
        <v>376</v>
      </c>
    </row>
    <row r="17" spans="1:6" ht="31.25" customHeight="1" x14ac:dyDescent="0.2">
      <c r="A17" s="7" t="s">
        <v>46</v>
      </c>
      <c r="B17" s="27" t="s">
        <v>377</v>
      </c>
      <c r="C17" s="28"/>
      <c r="D17" s="28"/>
      <c r="E17" s="28"/>
      <c r="F17" s="28"/>
    </row>
    <row r="18" spans="1:6" ht="31.25" customHeight="1" x14ac:dyDescent="0.2">
      <c r="A18" s="7" t="s">
        <v>48</v>
      </c>
      <c r="B18" s="27" t="s">
        <v>378</v>
      </c>
      <c r="C18" s="28"/>
      <c r="D18" s="28"/>
      <c r="E18" s="28"/>
      <c r="F18" s="28"/>
    </row>
    <row r="19" spans="1:6" ht="46.75" customHeight="1" x14ac:dyDescent="0.2">
      <c r="A19" s="7" t="s">
        <v>50</v>
      </c>
      <c r="B19" s="27" t="s">
        <v>379</v>
      </c>
      <c r="C19" s="28"/>
      <c r="D19" s="28"/>
      <c r="E19" s="28"/>
      <c r="F19" s="28"/>
    </row>
    <row r="20" spans="1:6" ht="15.5" customHeight="1" x14ac:dyDescent="0.2">
      <c r="A20" s="7" t="s">
        <v>52</v>
      </c>
      <c r="B20" s="27" t="s">
        <v>380</v>
      </c>
      <c r="C20" s="28"/>
      <c r="D20" s="28"/>
      <c r="E20" s="28"/>
      <c r="F20" s="28"/>
    </row>
    <row r="21" spans="1:6" ht="15.5" customHeight="1" x14ac:dyDescent="0.2">
      <c r="A21" s="7" t="s">
        <v>54</v>
      </c>
      <c r="B21" s="27" t="s">
        <v>381</v>
      </c>
      <c r="C21" s="28"/>
      <c r="D21" s="28"/>
      <c r="E21" s="28"/>
      <c r="F21" s="28"/>
    </row>
    <row r="22" spans="1:6" x14ac:dyDescent="0.2">
      <c r="A22" s="8" t="s">
        <v>365</v>
      </c>
      <c r="B22" s="8" t="s">
        <v>382</v>
      </c>
      <c r="C22" s="8" t="s">
        <v>383</v>
      </c>
      <c r="D22" s="8" t="s">
        <v>366</v>
      </c>
      <c r="E22" s="8" t="s">
        <v>368</v>
      </c>
      <c r="F22" s="8" t="s">
        <v>369</v>
      </c>
    </row>
    <row r="23" spans="1:6" x14ac:dyDescent="0.2">
      <c r="A23" t="s">
        <v>384</v>
      </c>
      <c r="B23" s="9">
        <v>2</v>
      </c>
      <c r="C23" s="9">
        <v>5</v>
      </c>
      <c r="D23" s="9">
        <v>0.05</v>
      </c>
      <c r="E23" s="9">
        <v>0.4</v>
      </c>
      <c r="F23" t="s">
        <v>385</v>
      </c>
    </row>
    <row r="26" spans="1:6" x14ac:dyDescent="0.2">
      <c r="A26" s="6" t="s">
        <v>386</v>
      </c>
    </row>
    <row r="27" spans="1:6" ht="31.25" customHeight="1" x14ac:dyDescent="0.2">
      <c r="A27" s="7" t="s">
        <v>46</v>
      </c>
      <c r="B27" s="27" t="s">
        <v>387</v>
      </c>
      <c r="C27" s="28"/>
      <c r="D27" s="28"/>
      <c r="E27" s="28"/>
    </row>
    <row r="28" spans="1:6" ht="31.25" customHeight="1" x14ac:dyDescent="0.2">
      <c r="A28" s="7" t="s">
        <v>48</v>
      </c>
      <c r="B28" s="27" t="s">
        <v>388</v>
      </c>
      <c r="C28" s="28"/>
      <c r="D28" s="28"/>
      <c r="E28" s="28"/>
    </row>
    <row r="29" spans="1:6" ht="124.75" customHeight="1" x14ac:dyDescent="0.2">
      <c r="A29" s="7" t="s">
        <v>50</v>
      </c>
      <c r="B29" s="27" t="s">
        <v>389</v>
      </c>
      <c r="C29" s="28"/>
      <c r="D29" s="28"/>
      <c r="E29" s="28"/>
    </row>
    <row r="30" spans="1:6" ht="31.25" customHeight="1" x14ac:dyDescent="0.2">
      <c r="A30" s="7" t="s">
        <v>52</v>
      </c>
      <c r="B30" s="27" t="s">
        <v>390</v>
      </c>
      <c r="C30" s="28"/>
      <c r="D30" s="28"/>
      <c r="E30" s="28"/>
    </row>
    <row r="31" spans="1:6" ht="15.5" customHeight="1" x14ac:dyDescent="0.2">
      <c r="A31" s="7" t="s">
        <v>54</v>
      </c>
      <c r="B31" s="27" t="s">
        <v>391</v>
      </c>
      <c r="C31" s="28"/>
      <c r="D31" s="28"/>
      <c r="E31" s="28"/>
    </row>
    <row r="32" spans="1:6" x14ac:dyDescent="0.2">
      <c r="A32" s="8" t="s">
        <v>392</v>
      </c>
      <c r="B32" s="8" t="s">
        <v>393</v>
      </c>
      <c r="C32" s="8" t="s">
        <v>65</v>
      </c>
      <c r="D32" s="8" t="s">
        <v>394</v>
      </c>
      <c r="E32" s="8" t="s">
        <v>395</v>
      </c>
    </row>
    <row r="33" spans="1:5" x14ac:dyDescent="0.2">
      <c r="A33" t="s">
        <v>396</v>
      </c>
      <c r="B33" s="14">
        <v>3</v>
      </c>
      <c r="C33" s="14">
        <v>5</v>
      </c>
      <c r="D33" s="14">
        <v>8</v>
      </c>
      <c r="E33" t="s">
        <v>397</v>
      </c>
    </row>
    <row r="34" spans="1:5" x14ac:dyDescent="0.2">
      <c r="A34" t="s">
        <v>398</v>
      </c>
      <c r="B34" s="14">
        <v>10</v>
      </c>
      <c r="C34" s="14">
        <v>20</v>
      </c>
      <c r="D34" s="14">
        <v>30</v>
      </c>
      <c r="E34" t="s">
        <v>399</v>
      </c>
    </row>
    <row r="35" spans="1:5" x14ac:dyDescent="0.2">
      <c r="A35" t="s">
        <v>400</v>
      </c>
      <c r="B35" s="14">
        <v>21</v>
      </c>
      <c r="C35" s="14">
        <v>50</v>
      </c>
      <c r="D35" s="14">
        <v>93</v>
      </c>
      <c r="E35" t="s">
        <v>401</v>
      </c>
    </row>
  </sheetData>
  <mergeCells count="15">
    <mergeCell ref="B21:F21"/>
    <mergeCell ref="B31:E31"/>
    <mergeCell ref="B27:E27"/>
    <mergeCell ref="B8:E8"/>
    <mergeCell ref="B4:E4"/>
    <mergeCell ref="B20:F20"/>
    <mergeCell ref="B6:E6"/>
    <mergeCell ref="B30:E30"/>
    <mergeCell ref="B19:F19"/>
    <mergeCell ref="B29:E29"/>
    <mergeCell ref="B7:E7"/>
    <mergeCell ref="B5:E5"/>
    <mergeCell ref="B28:E28"/>
    <mergeCell ref="B17:F17"/>
    <mergeCell ref="B18:F18"/>
  </mergeCells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E30"/>
  <sheetViews>
    <sheetView workbookViewId="0"/>
  </sheetViews>
  <sheetFormatPr baseColWidth="10" defaultColWidth="8.83203125" defaultRowHeight="15" x14ac:dyDescent="0.2"/>
  <cols>
    <col min="1" max="1" width="20" customWidth="1"/>
    <col min="2" max="2" width="36" customWidth="1"/>
    <col min="3" max="3" width="16" customWidth="1"/>
    <col min="4" max="4" width="12" customWidth="1"/>
    <col min="5" max="5" width="14" customWidth="1"/>
  </cols>
  <sheetData>
    <row r="1" spans="1:5" ht="21" x14ac:dyDescent="0.25">
      <c r="A1" s="5" t="s">
        <v>402</v>
      </c>
    </row>
    <row r="3" spans="1:5" x14ac:dyDescent="0.2">
      <c r="A3" s="32" t="s">
        <v>403</v>
      </c>
      <c r="B3" s="30"/>
      <c r="C3" s="30"/>
      <c r="D3" s="30"/>
      <c r="E3" s="31"/>
    </row>
    <row r="4" spans="1:5" ht="140.5" customHeight="1" x14ac:dyDescent="0.2">
      <c r="A4" s="29" t="s">
        <v>404</v>
      </c>
      <c r="B4" s="30"/>
      <c r="C4" s="30"/>
      <c r="D4" s="30"/>
      <c r="E4" s="31"/>
    </row>
    <row r="6" spans="1:5" x14ac:dyDescent="0.2">
      <c r="A6" s="6" t="s">
        <v>402</v>
      </c>
    </row>
    <row r="7" spans="1:5" ht="31.25" customHeight="1" x14ac:dyDescent="0.2">
      <c r="A7" s="7" t="s">
        <v>46</v>
      </c>
      <c r="B7" s="27" t="s">
        <v>405</v>
      </c>
      <c r="C7" s="28"/>
      <c r="D7" s="28"/>
      <c r="E7" s="28"/>
    </row>
    <row r="8" spans="1:5" ht="15.5" customHeight="1" x14ac:dyDescent="0.2">
      <c r="A8" s="7" t="s">
        <v>48</v>
      </c>
      <c r="B8" s="27" t="s">
        <v>406</v>
      </c>
      <c r="C8" s="28"/>
      <c r="D8" s="28"/>
      <c r="E8" s="28"/>
    </row>
    <row r="9" spans="1:5" ht="46.75" customHeight="1" x14ac:dyDescent="0.2">
      <c r="A9" s="7" t="s">
        <v>50</v>
      </c>
      <c r="B9" s="27" t="s">
        <v>407</v>
      </c>
      <c r="C9" s="28"/>
      <c r="D9" s="28"/>
      <c r="E9" s="28"/>
    </row>
    <row r="10" spans="1:5" ht="15.5" customHeight="1" x14ac:dyDescent="0.2">
      <c r="A10" s="7" t="s">
        <v>52</v>
      </c>
      <c r="B10" s="27" t="s">
        <v>408</v>
      </c>
      <c r="C10" s="28"/>
      <c r="D10" s="28"/>
      <c r="E10" s="28"/>
    </row>
    <row r="11" spans="1:5" ht="15.5" customHeight="1" x14ac:dyDescent="0.2">
      <c r="A11" s="7" t="s">
        <v>54</v>
      </c>
      <c r="B11" s="27" t="s">
        <v>409</v>
      </c>
      <c r="C11" s="28"/>
      <c r="D11" s="28"/>
      <c r="E11" s="28"/>
    </row>
    <row r="12" spans="1:5" x14ac:dyDescent="0.2">
      <c r="A12" s="8" t="s">
        <v>410</v>
      </c>
      <c r="B12" s="8" t="s">
        <v>411</v>
      </c>
      <c r="C12" s="8" t="s">
        <v>194</v>
      </c>
      <c r="D12" s="8" t="s">
        <v>412</v>
      </c>
      <c r="E12" s="8" t="s">
        <v>413</v>
      </c>
    </row>
    <row r="13" spans="1:5" x14ac:dyDescent="0.2">
      <c r="A13">
        <v>0</v>
      </c>
      <c r="B13">
        <f>Base_Year+0</f>
        <v>2026</v>
      </c>
      <c r="C13">
        <f t="shared" ref="C13:C18" si="0">Season_Length</f>
        <v>100</v>
      </c>
      <c r="D13">
        <v>1</v>
      </c>
      <c r="E13">
        <v>1</v>
      </c>
    </row>
    <row r="14" spans="1:5" x14ac:dyDescent="0.2">
      <c r="A14">
        <v>1</v>
      </c>
      <c r="B14">
        <f>Base_Year+1</f>
        <v>2027</v>
      </c>
      <c r="C14">
        <f t="shared" si="0"/>
        <v>100</v>
      </c>
      <c r="D14">
        <f>1/(1+Discount_Rate)^1</f>
        <v>0.95419847328244267</v>
      </c>
      <c r="E14">
        <f>INDEX(LearningCurve_Mult,1)</f>
        <v>0.5</v>
      </c>
    </row>
    <row r="15" spans="1:5" x14ac:dyDescent="0.2">
      <c r="A15">
        <v>2</v>
      </c>
      <c r="B15">
        <f>Base_Year+2</f>
        <v>2028</v>
      </c>
      <c r="C15">
        <f t="shared" si="0"/>
        <v>100</v>
      </c>
      <c r="D15">
        <f>1/(1+Discount_Rate)^2</f>
        <v>0.91049472641454443</v>
      </c>
      <c r="E15">
        <f>INDEX(LearningCurve_Mult,2)</f>
        <v>0.75</v>
      </c>
    </row>
    <row r="16" spans="1:5" x14ac:dyDescent="0.2">
      <c r="A16">
        <v>3</v>
      </c>
      <c r="B16">
        <f>Base_Year+3</f>
        <v>2029</v>
      </c>
      <c r="C16">
        <f t="shared" si="0"/>
        <v>100</v>
      </c>
      <c r="D16">
        <f>1/(1+Discount_Rate)^3</f>
        <v>0.86879267787647374</v>
      </c>
      <c r="E16">
        <f>INDEX(LearningCurve_Mult,3)</f>
        <v>1</v>
      </c>
    </row>
    <row r="17" spans="1:5" x14ac:dyDescent="0.2">
      <c r="A17">
        <v>4</v>
      </c>
      <c r="B17">
        <f>Base_Year+4</f>
        <v>2030</v>
      </c>
      <c r="C17">
        <f t="shared" si="0"/>
        <v>100</v>
      </c>
      <c r="D17">
        <f>1/(1+Discount_Rate)^4</f>
        <v>0.82900064682869612</v>
      </c>
      <c r="E17">
        <f>INDEX(LearningCurve_Mult,4)</f>
        <v>1</v>
      </c>
    </row>
    <row r="18" spans="1:5" x14ac:dyDescent="0.2">
      <c r="A18">
        <v>5</v>
      </c>
      <c r="B18">
        <f>Base_Year+5</f>
        <v>2031</v>
      </c>
      <c r="C18">
        <f t="shared" si="0"/>
        <v>100</v>
      </c>
      <c r="D18">
        <f>1/(1+Discount_Rate)^5</f>
        <v>0.79103115155409931</v>
      </c>
      <c r="E18">
        <f>INDEX(LearningCurve_Mult,5)</f>
        <v>1</v>
      </c>
    </row>
    <row r="21" spans="1:5" ht="19" x14ac:dyDescent="0.25">
      <c r="A21" s="4" t="s">
        <v>414</v>
      </c>
    </row>
    <row r="22" spans="1:5" x14ac:dyDescent="0.2">
      <c r="A22" s="17" t="s">
        <v>415</v>
      </c>
    </row>
    <row r="23" spans="1:5" x14ac:dyDescent="0.2">
      <c r="A23" s="8" t="s">
        <v>416</v>
      </c>
      <c r="B23" s="8" t="s">
        <v>417</v>
      </c>
      <c r="C23" s="8" t="s">
        <v>57</v>
      </c>
      <c r="D23" s="8" t="s">
        <v>182</v>
      </c>
    </row>
    <row r="24" spans="1:5" x14ac:dyDescent="0.2">
      <c r="A24" t="s">
        <v>418</v>
      </c>
      <c r="B24" t="s">
        <v>419</v>
      </c>
      <c r="C24" s="18">
        <f ca="1">Rapid_Phase_Rate*Stoch_TreatmentRate</f>
        <v>0.62239339812604999</v>
      </c>
      <c r="D24" t="s">
        <v>299</v>
      </c>
    </row>
    <row r="25" spans="1:5" x14ac:dyDescent="0.2">
      <c r="A25" t="s">
        <v>420</v>
      </c>
      <c r="B25" t="s">
        <v>421</v>
      </c>
      <c r="C25" s="18">
        <f ca="1">Slow_Phase_Rate*Stoch_TreatmentRate</f>
        <v>0.2901382758181586</v>
      </c>
      <c r="D25" t="s">
        <v>299</v>
      </c>
    </row>
    <row r="26" spans="1:5" x14ac:dyDescent="0.2">
      <c r="A26" t="s">
        <v>422</v>
      </c>
      <c r="B26" t="s">
        <v>423</v>
      </c>
      <c r="C26" s="19">
        <f ca="1">MAX(0,Initial_NAFC-Eff_Rapid_Rate*Rapid_Phase_Duration)</f>
        <v>53.76409902810925</v>
      </c>
      <c r="D26" t="s">
        <v>294</v>
      </c>
    </row>
    <row r="27" spans="1:5" x14ac:dyDescent="0.2">
      <c r="A27" t="s">
        <v>424</v>
      </c>
      <c r="B27" t="s">
        <v>425</v>
      </c>
      <c r="C27" s="20">
        <f ca="1">IF(Initial_NAFC&lt;=Target_NAFC,0,IF(NAFC_After_Rapid&lt;=Target_NAFC,(Initial_NAFC-Target_NAFC)/Eff_Rapid_Rate,Rapid_Phase_Duration+(NAFC_After_Rapid-Target_NAFC)/Eff_Slow_Rate))</f>
        <v>27.97346590171496</v>
      </c>
      <c r="D27" t="s">
        <v>195</v>
      </c>
    </row>
    <row r="28" spans="1:5" x14ac:dyDescent="0.2">
      <c r="A28" t="s">
        <v>426</v>
      </c>
      <c r="B28" t="s">
        <v>427</v>
      </c>
      <c r="C28" s="21">
        <f ca="1">CEILING(Days_to_Compliance/Recirculation_Cycle,1)</f>
        <v>2</v>
      </c>
      <c r="D28" t="s">
        <v>428</v>
      </c>
    </row>
    <row r="29" spans="1:5" x14ac:dyDescent="0.2">
      <c r="A29" t="s">
        <v>429</v>
      </c>
      <c r="B29" t="s">
        <v>430</v>
      </c>
      <c r="C29" s="22">
        <f>(Initial_NAFC-Target_NAFC)/Initial_NAFC</f>
        <v>0.2076069730586371</v>
      </c>
      <c r="D29" t="s">
        <v>385</v>
      </c>
    </row>
    <row r="30" spans="1:5" x14ac:dyDescent="0.2">
      <c r="A30" t="s">
        <v>431</v>
      </c>
      <c r="B30" t="s">
        <v>432</v>
      </c>
      <c r="C30" t="str">
        <f ca="1">IF(Days_to_Compliance&lt;=Season_Length,"ACHIEVABLE","EXCEEDS SEASON")</f>
        <v>ACHIEVABLE</v>
      </c>
      <c r="D30" t="s">
        <v>433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C18"/>
  <sheetViews>
    <sheetView workbookViewId="0"/>
  </sheetViews>
  <sheetFormatPr baseColWidth="10" defaultColWidth="8.83203125" defaultRowHeight="15" x14ac:dyDescent="0.2"/>
  <cols>
    <col min="1" max="1" width="22" customWidth="1"/>
    <col min="2" max="2" width="12" customWidth="1"/>
    <col min="3" max="3" width="70" customWidth="1"/>
  </cols>
  <sheetData>
    <row r="1" spans="1:3" ht="21" x14ac:dyDescent="0.25">
      <c r="A1" s="5" t="s">
        <v>434</v>
      </c>
    </row>
    <row r="2" spans="1:3" x14ac:dyDescent="0.2">
      <c r="A2" s="12" t="s">
        <v>435</v>
      </c>
    </row>
    <row r="4" spans="1:3" x14ac:dyDescent="0.2">
      <c r="A4" s="32" t="s">
        <v>436</v>
      </c>
      <c r="B4" s="30"/>
      <c r="C4" s="31"/>
    </row>
    <row r="5" spans="1:3" ht="202.75" customHeight="1" x14ac:dyDescent="0.2">
      <c r="A5" s="29" t="s">
        <v>437</v>
      </c>
      <c r="B5" s="30"/>
      <c r="C5" s="31"/>
    </row>
    <row r="7" spans="1:3" x14ac:dyDescent="0.2">
      <c r="A7" s="6" t="s">
        <v>434</v>
      </c>
    </row>
    <row r="8" spans="1:3" ht="31.25" customHeight="1" x14ac:dyDescent="0.2">
      <c r="A8" s="7" t="s">
        <v>46</v>
      </c>
      <c r="B8" s="27" t="s">
        <v>438</v>
      </c>
      <c r="C8" s="28"/>
    </row>
    <row r="9" spans="1:3" ht="15.5" customHeight="1" x14ac:dyDescent="0.2">
      <c r="A9" s="7" t="s">
        <v>48</v>
      </c>
      <c r="B9" s="27" t="s">
        <v>439</v>
      </c>
      <c r="C9" s="28"/>
    </row>
    <row r="10" spans="1:3" ht="46.75" customHeight="1" x14ac:dyDescent="0.2">
      <c r="A10" s="7" t="s">
        <v>50</v>
      </c>
      <c r="B10" s="27" t="s">
        <v>440</v>
      </c>
      <c r="C10" s="28"/>
    </row>
    <row r="11" spans="1:3" ht="15.5" customHeight="1" x14ac:dyDescent="0.2">
      <c r="A11" s="7" t="s">
        <v>52</v>
      </c>
      <c r="B11" s="27" t="s">
        <v>441</v>
      </c>
      <c r="C11" s="28"/>
    </row>
    <row r="12" spans="1:3" ht="15.5" customHeight="1" x14ac:dyDescent="0.2">
      <c r="A12" s="7" t="s">
        <v>54</v>
      </c>
      <c r="B12" s="27" t="s">
        <v>442</v>
      </c>
      <c r="C12" s="28"/>
    </row>
    <row r="13" spans="1:3" x14ac:dyDescent="0.2">
      <c r="A13" s="8" t="s">
        <v>365</v>
      </c>
      <c r="B13" s="8" t="s">
        <v>443</v>
      </c>
      <c r="C13" s="8" t="s">
        <v>444</v>
      </c>
    </row>
    <row r="14" spans="1:3" x14ac:dyDescent="0.2">
      <c r="A14" t="s">
        <v>445</v>
      </c>
      <c r="B14">
        <f ca="1">RAND()</f>
        <v>0.62961540233078928</v>
      </c>
      <c r="C14">
        <f ca="1">IF(B14&lt;(Tri_Season_Extension_Days_Mode-Tri_Season_Extension_Days_Min)/(Tri_Season_Extension_Days_Max-Tri_Season_Extension_Days_Min),Tri_Season_Extension_Days_Min+SQRT(B14*(Tri_Season_Extension_Days_Max-Tri_Season_Extension_Days_Min)*(Tri_Season_Extension_Days_Mode-Tri_Season_Extension_Days_Min)),Tri_Season_Extension_Days_Max-SQRT((1-B14)*(Tri_Season_Extension_Days_Max-Tri_Season_Extension_Days_Min)*(Tri_Season_Extension_Days_Max-Tri_Season_Extension_Days_Mode)))</f>
        <v>24.564815683719431</v>
      </c>
    </row>
    <row r="15" spans="1:3" x14ac:dyDescent="0.2">
      <c r="A15" t="s">
        <v>446</v>
      </c>
      <c r="B15">
        <f ca="1">RAND()</f>
        <v>5.1215973904019552E-2</v>
      </c>
      <c r="C15">
        <f ca="1">IF(B15&lt;(Tri_Extension_Value_Per_Day_Mode-Tri_Extension_Value_Per_Day_Min)/(Tri_Extension_Value_Per_Day_Max-Tri_Extension_Value_Per_Day_Min),Tri_Extension_Value_Per_Day_Min+SQRT(B15*(Tri_Extension_Value_Per_Day_Max-Tri_Extension_Value_Per_Day_Min)*(Tri_Extension_Value_Per_Day_Mode-Tri_Extension_Value_Per_Day_Min)),Tri_Extension_Value_Per_Day_Max-SQRT((1-B15)*(Tri_Extension_Value_Per_Day_Max-Tri_Extension_Value_Per_Day_Min)*(Tri_Extension_Value_Per_Day_Max-Tri_Extension_Value_Per_Day_Mode)))</f>
        <v>4663.028138913186</v>
      </c>
    </row>
    <row r="16" spans="1:3" x14ac:dyDescent="0.2">
      <c r="A16" t="s">
        <v>372</v>
      </c>
      <c r="B16">
        <f ca="1">RAND()</f>
        <v>0.90502740064520937</v>
      </c>
      <c r="C16">
        <f ca="1">IF(B16&lt;(Tri_Interventions_Avoided_Mode-Tri_Interventions_Avoided_Min)/(Tri_Interventions_Avoided_Max-Tri_Interventions_Avoided_Min),Tri_Interventions_Avoided_Min+SQRT(B16*(Tri_Interventions_Avoided_Max-Tri_Interventions_Avoided_Min)*(Tri_Interventions_Avoided_Mode-Tri_Interventions_Avoided_Min)),Tri_Interventions_Avoided_Max-SQRT((1-B16)*(Tri_Interventions_Avoided_Max-Tri_Interventions_Avoided_Min)*(Tri_Interventions_Avoided_Max-Tri_Interventions_Avoided_Mode)))</f>
        <v>6.1768047341500498</v>
      </c>
    </row>
    <row r="17" spans="1:3" x14ac:dyDescent="0.2">
      <c r="A17" t="s">
        <v>384</v>
      </c>
      <c r="B17">
        <f ca="1">RAND()</f>
        <v>0.67118128332772642</v>
      </c>
      <c r="C17">
        <f ca="1">Beta_Efficiency_Gain_Min+(Beta_Efficiency_Gain_Max-Beta_Efficiency_Gain_Min)*B17</f>
        <v>0.28491344916470429</v>
      </c>
    </row>
    <row r="18" spans="1:3" x14ac:dyDescent="0.2">
      <c r="A18" t="s">
        <v>374</v>
      </c>
      <c r="B18">
        <f ca="1">RAND()</f>
        <v>0.9059845387485902</v>
      </c>
      <c r="C18">
        <f ca="1">IF(B18&lt;(Tri_Treatment_Rate_Factor_Mode-Tri_Treatment_Rate_Factor_Min)/(Tri_Treatment_Rate_Factor_Max-Tri_Treatment_Rate_Factor_Min),Tri_Treatment_Rate_Factor_Min+SQRT(B18*(Tri_Treatment_Rate_Factor_Max-Tri_Treatment_Rate_Factor_Min)*(Tri_Treatment_Rate_Factor_Mode-Tri_Treatment_Rate_Factor_Min)),Tri_Treatment_Rate_Factor_Max-SQRT((1-B18)*(Tri_Treatment_Rate_Factor_Max-Tri_Treatment_Rate_Factor_Min)*(Tri_Treatment_Rate_Factor_Max-Tri_Treatment_Rate_Factor_Mode)))</f>
        <v>1.1699124024925751</v>
      </c>
    </row>
  </sheetData>
  <mergeCells count="7">
    <mergeCell ref="B12:C12"/>
    <mergeCell ref="A5:C5"/>
    <mergeCell ref="B11:C11"/>
    <mergeCell ref="B10:C10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18"/>
  <sheetViews>
    <sheetView workbookViewId="0"/>
  </sheetViews>
  <sheetFormatPr baseColWidth="10" defaultColWidth="8.83203125" defaultRowHeight="15" x14ac:dyDescent="0.2"/>
  <cols>
    <col min="1" max="1" width="28" customWidth="1"/>
    <col min="2" max="5" width="14" customWidth="1"/>
  </cols>
  <sheetData>
    <row r="1" spans="1:5" ht="21" x14ac:dyDescent="0.25">
      <c r="A1" s="5" t="s">
        <v>447</v>
      </c>
    </row>
    <row r="3" spans="1:5" x14ac:dyDescent="0.2">
      <c r="A3" s="32" t="s">
        <v>448</v>
      </c>
      <c r="B3" s="30"/>
      <c r="C3" s="30"/>
      <c r="D3" s="30"/>
      <c r="E3" s="31"/>
    </row>
    <row r="4" spans="1:5" ht="234" customHeight="1" x14ac:dyDescent="0.2">
      <c r="A4" s="29" t="s">
        <v>449</v>
      </c>
      <c r="B4" s="30"/>
      <c r="C4" s="30"/>
      <c r="D4" s="30"/>
      <c r="E4" s="31"/>
    </row>
    <row r="6" spans="1:5" x14ac:dyDescent="0.2">
      <c r="A6" s="6" t="s">
        <v>447</v>
      </c>
    </row>
    <row r="7" spans="1:5" ht="31.25" customHeight="1" x14ac:dyDescent="0.2">
      <c r="A7" s="7" t="s">
        <v>46</v>
      </c>
      <c r="B7" s="27" t="s">
        <v>450</v>
      </c>
      <c r="C7" s="28"/>
      <c r="D7" s="28"/>
      <c r="E7" s="28"/>
    </row>
    <row r="8" spans="1:5" ht="31.25" customHeight="1" x14ac:dyDescent="0.2">
      <c r="A8" s="7" t="s">
        <v>48</v>
      </c>
      <c r="B8" s="27" t="s">
        <v>451</v>
      </c>
      <c r="C8" s="28"/>
      <c r="D8" s="28"/>
      <c r="E8" s="28"/>
    </row>
    <row r="9" spans="1:5" ht="109.25" customHeight="1" x14ac:dyDescent="0.2">
      <c r="A9" s="7" t="s">
        <v>50</v>
      </c>
      <c r="B9" s="27" t="s">
        <v>452</v>
      </c>
      <c r="C9" s="28"/>
      <c r="D9" s="28"/>
      <c r="E9" s="28"/>
    </row>
    <row r="10" spans="1:5" ht="31.25" customHeight="1" x14ac:dyDescent="0.2">
      <c r="A10" s="7" t="s">
        <v>52</v>
      </c>
      <c r="B10" s="27" t="s">
        <v>453</v>
      </c>
      <c r="C10" s="28"/>
      <c r="D10" s="28"/>
      <c r="E10" s="28"/>
    </row>
    <row r="11" spans="1:5" ht="31.25" customHeight="1" x14ac:dyDescent="0.2">
      <c r="A11" s="7" t="s">
        <v>54</v>
      </c>
      <c r="B11" s="27" t="s">
        <v>454</v>
      </c>
      <c r="C11" s="28"/>
      <c r="D11" s="28"/>
      <c r="E11" s="28"/>
    </row>
    <row r="12" spans="1:5" x14ac:dyDescent="0.2">
      <c r="A12" s="8" t="s">
        <v>93</v>
      </c>
      <c r="B12" s="8" t="s">
        <v>335</v>
      </c>
      <c r="C12" s="8" t="s">
        <v>455</v>
      </c>
      <c r="D12" s="8" t="s">
        <v>456</v>
      </c>
      <c r="E12" s="8" t="s">
        <v>457</v>
      </c>
    </row>
    <row r="13" spans="1:5" x14ac:dyDescent="0.2">
      <c r="A13" t="s">
        <v>458</v>
      </c>
      <c r="B13">
        <f>INDEX(Scenario_BaseValues,1)</f>
        <v>104000</v>
      </c>
      <c r="C13" t="str">
        <f>INDEX(Gate_S1,MATCH(Testing_Option,TestOpt_Option,0))</f>
        <v>ENABLED</v>
      </c>
      <c r="D13">
        <f ca="1">Stoch_SeasonExt/21</f>
        <v>1.1697531277961635</v>
      </c>
      <c r="E13">
        <f ca="1">IF(C13="ENABLED",B13*D13,0)</f>
        <v>121654.325290801</v>
      </c>
    </row>
    <row r="14" spans="1:5" x14ac:dyDescent="0.2">
      <c r="A14" t="s">
        <v>459</v>
      </c>
      <c r="B14">
        <f>INDEX(Scenario_BaseValues,2)</f>
        <v>67500</v>
      </c>
      <c r="C14" t="str">
        <f>INDEX(Gate_S2,MATCH(Testing_Option,TestOpt_Option,0))</f>
        <v>ENABLED</v>
      </c>
      <c r="D14">
        <f ca="1">Stoch_Interventions/3</f>
        <v>2.0589349113833499</v>
      </c>
      <c r="E14">
        <f ca="1">IF(C14="ENABLED",B14*D14,0)</f>
        <v>138978.10651837612</v>
      </c>
    </row>
    <row r="15" spans="1:5" x14ac:dyDescent="0.2">
      <c r="A15" t="s">
        <v>460</v>
      </c>
      <c r="B15">
        <f>INDEX(Scenario_BaseValues,3)</f>
        <v>78000</v>
      </c>
      <c r="C15" t="str">
        <f>INDEX(Gate_S3,MATCH(Testing_Option,TestOpt_Option,0))</f>
        <v>ENABLED</v>
      </c>
      <c r="D15">
        <f ca="1">Stoch_Efficiency/0.15</f>
        <v>1.8994229944313621</v>
      </c>
      <c r="E15">
        <f ca="1">IF(C15="ENABLED",B15*D15,0)</f>
        <v>148154.99356564623</v>
      </c>
    </row>
    <row r="16" spans="1:5" x14ac:dyDescent="0.2">
      <c r="A16" t="s">
        <v>461</v>
      </c>
      <c r="B16">
        <f>INDEX(Scenario_BaseValues,4)</f>
        <v>36000</v>
      </c>
      <c r="C16" t="str">
        <f>INDEX(Gate_S4,MATCH(Testing_Option,TestOpt_Option,0))</f>
        <v>ENABLED</v>
      </c>
      <c r="D16">
        <f ca="1">1+Stoch_Efficiency</f>
        <v>1.2849134491647043</v>
      </c>
      <c r="E16">
        <f ca="1">IF(C16="ENABLED",B16*D16,0)</f>
        <v>46256.884169929355</v>
      </c>
    </row>
    <row r="18" spans="1:5" x14ac:dyDescent="0.2">
      <c r="A18" s="11" t="s">
        <v>462</v>
      </c>
      <c r="E18" s="15">
        <f ca="1">SUM(E13:E16)</f>
        <v>455044.30954475276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C19"/>
  <sheetViews>
    <sheetView workbookViewId="0"/>
  </sheetViews>
  <sheetFormatPr baseColWidth="10" defaultColWidth="8.83203125" defaultRowHeight="15" x14ac:dyDescent="0.2"/>
  <cols>
    <col min="1" max="1" width="22" customWidth="1"/>
    <col min="2" max="2" width="25" customWidth="1"/>
    <col min="3" max="3" width="18" customWidth="1"/>
  </cols>
  <sheetData>
    <row r="1" spans="1:3" ht="21" x14ac:dyDescent="0.25">
      <c r="A1" s="5" t="s">
        <v>463</v>
      </c>
    </row>
    <row r="3" spans="1:3" x14ac:dyDescent="0.2">
      <c r="A3" s="32" t="s">
        <v>464</v>
      </c>
      <c r="B3" s="30"/>
      <c r="C3" s="31"/>
    </row>
    <row r="4" spans="1:3" ht="312" customHeight="1" x14ac:dyDescent="0.2">
      <c r="A4" s="29" t="s">
        <v>465</v>
      </c>
      <c r="B4" s="30"/>
      <c r="C4" s="31"/>
    </row>
    <row r="6" spans="1:3" x14ac:dyDescent="0.2">
      <c r="A6" s="6" t="s">
        <v>466</v>
      </c>
    </row>
    <row r="7" spans="1:3" ht="31.25" customHeight="1" x14ac:dyDescent="0.2">
      <c r="A7" s="7" t="s">
        <v>46</v>
      </c>
      <c r="B7" s="27" t="s">
        <v>467</v>
      </c>
      <c r="C7" s="28"/>
    </row>
    <row r="8" spans="1:3" ht="31.25" customHeight="1" x14ac:dyDescent="0.2">
      <c r="A8" s="7" t="s">
        <v>48</v>
      </c>
      <c r="B8" s="27" t="s">
        <v>468</v>
      </c>
      <c r="C8" s="28"/>
    </row>
    <row r="9" spans="1:3" ht="62.5" customHeight="1" x14ac:dyDescent="0.2">
      <c r="A9" s="7" t="s">
        <v>50</v>
      </c>
      <c r="B9" s="27" t="s">
        <v>469</v>
      </c>
      <c r="C9" s="28"/>
    </row>
    <row r="10" spans="1:3" ht="15.5" customHeight="1" x14ac:dyDescent="0.2">
      <c r="A10" s="7" t="s">
        <v>52</v>
      </c>
      <c r="B10" s="27" t="s">
        <v>470</v>
      </c>
      <c r="C10" s="28"/>
    </row>
    <row r="11" spans="1:3" ht="15.5" customHeight="1" x14ac:dyDescent="0.2">
      <c r="A11" s="7" t="s">
        <v>54</v>
      </c>
      <c r="B11" s="27" t="s">
        <v>471</v>
      </c>
      <c r="C11" s="28"/>
    </row>
    <row r="12" spans="1:3" x14ac:dyDescent="0.2">
      <c r="A12" s="8" t="s">
        <v>472</v>
      </c>
      <c r="B12" s="8" t="s">
        <v>417</v>
      </c>
      <c r="C12" s="8" t="s">
        <v>57</v>
      </c>
    </row>
    <row r="13" spans="1:3" x14ac:dyDescent="0.2">
      <c r="A13" t="s">
        <v>473</v>
      </c>
      <c r="B13" t="s">
        <v>60</v>
      </c>
      <c r="C13" t="str">
        <f>Testing_Option</f>
        <v>Daily_Biosensor</v>
      </c>
    </row>
    <row r="14" spans="1:3" x14ac:dyDescent="0.2">
      <c r="A14" t="s">
        <v>474</v>
      </c>
      <c r="B14" t="s">
        <v>475</v>
      </c>
      <c r="C14">
        <f>INDEX(TestOpt_Interval,MATCH(Testing_Option,TestOpt_Option,0))</f>
        <v>1</v>
      </c>
    </row>
    <row r="15" spans="1:3" x14ac:dyDescent="0.2">
      <c r="A15" t="s">
        <v>476</v>
      </c>
      <c r="B15" t="s">
        <v>475</v>
      </c>
      <c r="C15">
        <f>INDEX(TestOpt_Points,MATCH(Testing_Option,TestOpt_Option,0))</f>
        <v>10</v>
      </c>
    </row>
    <row r="16" spans="1:3" x14ac:dyDescent="0.2">
      <c r="A16" t="s">
        <v>265</v>
      </c>
      <c r="B16" t="s">
        <v>475</v>
      </c>
      <c r="C16" s="15">
        <f>INDEX(TestOpt_Cost,MATCH(Testing_Option,TestOpt_Option,0))</f>
        <v>10</v>
      </c>
    </row>
    <row r="17" spans="1:3" x14ac:dyDescent="0.2">
      <c r="A17" t="s">
        <v>477</v>
      </c>
      <c r="B17" t="s">
        <v>478</v>
      </c>
      <c r="C17">
        <f>Season_Length/C14</f>
        <v>100</v>
      </c>
    </row>
    <row r="18" spans="1:3" x14ac:dyDescent="0.2">
      <c r="A18" t="s">
        <v>479</v>
      </c>
      <c r="B18" t="s">
        <v>480</v>
      </c>
      <c r="C18">
        <f>C17*C15</f>
        <v>1000</v>
      </c>
    </row>
    <row r="19" spans="1:3" x14ac:dyDescent="0.2">
      <c r="A19" t="s">
        <v>481</v>
      </c>
      <c r="B19" t="s">
        <v>482</v>
      </c>
      <c r="C19" s="23">
        <f>C18*C16</f>
        <v>10000</v>
      </c>
    </row>
  </sheetData>
  <mergeCells count="7">
    <mergeCell ref="B7:C7"/>
    <mergeCell ref="B11:C11"/>
    <mergeCell ref="B10:C10"/>
    <mergeCell ref="A3:C3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I1028"/>
  <sheetViews>
    <sheetView tabSelected="1" topLeftCell="A5" workbookViewId="0">
      <selection activeCell="A10" sqref="A10:I1010"/>
    </sheetView>
  </sheetViews>
  <sheetFormatPr baseColWidth="10" defaultColWidth="8.83203125" defaultRowHeight="15" x14ac:dyDescent="0.2"/>
  <cols>
    <col min="1" max="1" width="26" customWidth="1"/>
    <col min="2" max="8" width="14" customWidth="1"/>
    <col min="9" max="9" width="18" customWidth="1"/>
    <col min="11" max="11" width="8" customWidth="1"/>
  </cols>
  <sheetData>
    <row r="1" spans="1:9" ht="21" x14ac:dyDescent="0.25">
      <c r="A1" s="5" t="s">
        <v>483</v>
      </c>
    </row>
    <row r="3" spans="1:9" x14ac:dyDescent="0.2">
      <c r="A3" s="32" t="s">
        <v>484</v>
      </c>
      <c r="B3" s="30"/>
      <c r="C3" s="30"/>
      <c r="D3" s="30"/>
      <c r="E3" s="31"/>
    </row>
    <row r="4" spans="1:9" ht="374.5" customHeight="1" x14ac:dyDescent="0.2">
      <c r="A4" s="29" t="s">
        <v>485</v>
      </c>
      <c r="B4" s="30"/>
      <c r="C4" s="30"/>
      <c r="D4" s="30"/>
      <c r="E4" s="31"/>
    </row>
    <row r="7" spans="1:9" x14ac:dyDescent="0.2">
      <c r="A7" s="12" t="s">
        <v>486</v>
      </c>
    </row>
    <row r="8" spans="1:9" x14ac:dyDescent="0.2">
      <c r="A8" s="12" t="s">
        <v>487</v>
      </c>
    </row>
    <row r="9" spans="1:9" x14ac:dyDescent="0.2">
      <c r="A9" s="11" t="s">
        <v>488</v>
      </c>
      <c r="B9" s="11" t="s">
        <v>113</v>
      </c>
      <c r="C9" s="11" t="s">
        <v>337</v>
      </c>
      <c r="D9" s="11" t="s">
        <v>340</v>
      </c>
      <c r="E9" s="11" t="s">
        <v>343</v>
      </c>
      <c r="F9" s="11" t="s">
        <v>346</v>
      </c>
      <c r="G9" s="11" t="s">
        <v>489</v>
      </c>
      <c r="H9" s="11" t="s">
        <v>490</v>
      </c>
      <c r="I9" s="11" t="s">
        <v>424</v>
      </c>
    </row>
    <row r="10" spans="1:9" x14ac:dyDescent="0.2">
      <c r="B10" s="15">
        <f ca="1">NPV_Total</f>
        <v>1616828.1144337344</v>
      </c>
      <c r="C10" s="15">
        <f ca="1">S1_Value</f>
        <v>121654.325290801</v>
      </c>
      <c r="D10" s="15">
        <f ca="1">S2_Value</f>
        <v>138978.10651837612</v>
      </c>
      <c r="E10" s="15">
        <f ca="1">S3_Value</f>
        <v>148154.99356564623</v>
      </c>
      <c r="F10" s="15">
        <f ca="1">S4_Value</f>
        <v>46256.884169929355</v>
      </c>
      <c r="G10" s="15">
        <f>Testing_Cost</f>
        <v>10000</v>
      </c>
      <c r="H10" s="15">
        <f ca="1">Gross_Value-Testing_Cost</f>
        <v>445044.30954475276</v>
      </c>
      <c r="I10" s="20">
        <f ca="1">Days_to_Compliance</f>
        <v>27.97346590171496</v>
      </c>
    </row>
    <row r="11" spans="1:9" x14ac:dyDescent="0.2">
      <c r="A11">
        <v>1</v>
      </c>
      <c r="B11">
        <f t="dataTable" ref="B11:I1010" dt2D="0" dtr="0" r1="Q18" ca="1"/>
        <v>1248099.4318633524</v>
      </c>
      <c r="C11">
        <v>128459.44746403597</v>
      </c>
      <c r="D11">
        <v>107409.14096633623</v>
      </c>
      <c r="E11">
        <v>76803.621755312779</v>
      </c>
      <c r="F11">
        <v>41317.173813829344</v>
      </c>
      <c r="G11">
        <v>10000</v>
      </c>
      <c r="H11">
        <v>343989.38399951428</v>
      </c>
      <c r="I11">
        <v>37.980005168068899</v>
      </c>
    </row>
    <row r="12" spans="1:9" x14ac:dyDescent="0.2">
      <c r="A12">
        <v>2</v>
      </c>
      <c r="B12">
        <v>1150777.0487970156</v>
      </c>
      <c r="C12">
        <v>92947.163407884131</v>
      </c>
      <c r="D12">
        <v>102685.33188865305</v>
      </c>
      <c r="E12">
        <v>89489.021006761206</v>
      </c>
      <c r="F12">
        <v>42195.393762006548</v>
      </c>
      <c r="G12">
        <v>10000</v>
      </c>
      <c r="H12">
        <v>317316.91006530495</v>
      </c>
      <c r="I12">
        <v>36.576295582168932</v>
      </c>
    </row>
    <row r="13" spans="1:9" x14ac:dyDescent="0.2">
      <c r="A13">
        <v>3</v>
      </c>
      <c r="B13">
        <v>1635647.3129963097</v>
      </c>
      <c r="C13">
        <v>96442.478073963255</v>
      </c>
      <c r="D13">
        <v>110352.7084478685</v>
      </c>
      <c r="E13">
        <v>203330.07351040703</v>
      </c>
      <c r="F13">
        <v>50076.697396874333</v>
      </c>
      <c r="G13">
        <v>10000</v>
      </c>
      <c r="H13">
        <v>450201.9574291131</v>
      </c>
      <c r="I13">
        <v>33.37932381105901</v>
      </c>
    </row>
    <row r="14" spans="1:9" x14ac:dyDescent="0.2">
      <c r="A14">
        <v>4</v>
      </c>
      <c r="B14">
        <v>1570128.0330025139</v>
      </c>
      <c r="C14">
        <v>138800.30034925096</v>
      </c>
      <c r="D14">
        <v>97100.096519182232</v>
      </c>
      <c r="E14">
        <v>159315.60194846379</v>
      </c>
      <c r="F14">
        <v>47029.541673355183</v>
      </c>
      <c r="G14">
        <v>10000</v>
      </c>
      <c r="H14">
        <v>432245.5404902522</v>
      </c>
      <c r="I14">
        <v>29.295447048449542</v>
      </c>
    </row>
    <row r="15" spans="1:9" x14ac:dyDescent="0.2">
      <c r="A15">
        <v>5</v>
      </c>
      <c r="B15">
        <v>963657.16361515573</v>
      </c>
      <c r="C15">
        <v>76581.028041573809</v>
      </c>
      <c r="D15">
        <v>119060.53589663045</v>
      </c>
      <c r="E15">
        <v>41518.343589987009</v>
      </c>
      <c r="F15">
        <v>38874.346863922183</v>
      </c>
      <c r="G15">
        <v>10000</v>
      </c>
      <c r="H15">
        <v>266034.25439211348</v>
      </c>
      <c r="I15">
        <v>31.106007737924649</v>
      </c>
    </row>
    <row r="16" spans="1:9" x14ac:dyDescent="0.2">
      <c r="A16">
        <v>6</v>
      </c>
      <c r="B16">
        <v>1420146.4499161337</v>
      </c>
      <c r="C16">
        <v>92766.228194973432</v>
      </c>
      <c r="D16">
        <v>54248.944788713656</v>
      </c>
      <c r="E16">
        <v>204002.68705814038</v>
      </c>
      <c r="F16">
        <v>50123.262950178949</v>
      </c>
      <c r="G16">
        <v>10000</v>
      </c>
      <c r="H16">
        <v>391141.12299200636</v>
      </c>
      <c r="I16">
        <v>47.836006903336909</v>
      </c>
    </row>
    <row r="17" spans="1:9" x14ac:dyDescent="0.2">
      <c r="A17">
        <v>7</v>
      </c>
      <c r="B17">
        <v>1410304.8526196266</v>
      </c>
      <c r="C17">
        <v>116539.69941682828</v>
      </c>
      <c r="D17">
        <v>110353.9205943553</v>
      </c>
      <c r="E17">
        <v>126773.64720921683</v>
      </c>
      <c r="F17">
        <v>44776.637114484249</v>
      </c>
      <c r="G17">
        <v>10000</v>
      </c>
      <c r="H17">
        <v>388443.90433488466</v>
      </c>
      <c r="I17">
        <v>30.531376620016196</v>
      </c>
    </row>
    <row r="18" spans="1:9" x14ac:dyDescent="0.2">
      <c r="A18">
        <v>8</v>
      </c>
      <c r="B18">
        <v>1669647.8681979033</v>
      </c>
      <c r="C18">
        <v>125470.0515655647</v>
      </c>
      <c r="D18">
        <v>141399.83494096776</v>
      </c>
      <c r="E18">
        <v>155860.05683213568</v>
      </c>
      <c r="F18">
        <v>46790.311626840165</v>
      </c>
      <c r="G18">
        <v>10000</v>
      </c>
      <c r="H18">
        <v>459520.25496550824</v>
      </c>
      <c r="I18">
        <v>33.037574365493612</v>
      </c>
    </row>
    <row r="19" spans="1:9" x14ac:dyDescent="0.2">
      <c r="A19">
        <v>9</v>
      </c>
      <c r="B19">
        <v>1191490.0750113407</v>
      </c>
      <c r="C19">
        <v>95182.800995748112</v>
      </c>
      <c r="D19">
        <v>123049.25755156107</v>
      </c>
      <c r="E19">
        <v>78788.220549145946</v>
      </c>
      <c r="F19">
        <v>41454.569114940867</v>
      </c>
      <c r="G19">
        <v>10000</v>
      </c>
      <c r="H19">
        <v>328474.84821139602</v>
      </c>
      <c r="I19">
        <v>34.534583974656734</v>
      </c>
    </row>
    <row r="20" spans="1:9" x14ac:dyDescent="0.2">
      <c r="A20">
        <v>10</v>
      </c>
      <c r="B20">
        <v>1068001.2192930747</v>
      </c>
      <c r="C20">
        <v>91837.348274298085</v>
      </c>
      <c r="D20">
        <v>118092.57523616249</v>
      </c>
      <c r="E20">
        <v>54900.389946950389</v>
      </c>
      <c r="F20">
        <v>39800.796227096565</v>
      </c>
      <c r="G20">
        <v>10000</v>
      </c>
      <c r="H20">
        <v>294631.10968450754</v>
      </c>
      <c r="I20">
        <v>29.61851078668689</v>
      </c>
    </row>
    <row r="21" spans="1:9" x14ac:dyDescent="0.2">
      <c r="A21">
        <v>11</v>
      </c>
      <c r="B21">
        <v>1243290.4324883348</v>
      </c>
      <c r="C21">
        <v>113811.58103279829</v>
      </c>
      <c r="D21">
        <v>171129.35408399903</v>
      </c>
      <c r="E21">
        <v>29675.988123972613</v>
      </c>
      <c r="F21">
        <v>38054.491485505794</v>
      </c>
      <c r="G21">
        <v>10000</v>
      </c>
      <c r="H21">
        <v>342671.41472627572</v>
      </c>
      <c r="I21">
        <v>25.218638595815818</v>
      </c>
    </row>
    <row r="22" spans="1:9" x14ac:dyDescent="0.2">
      <c r="A22">
        <v>12</v>
      </c>
      <c r="B22">
        <v>1137773.2715810756</v>
      </c>
      <c r="C22">
        <v>119378.64598638198</v>
      </c>
      <c r="D22">
        <v>74457.104850493153</v>
      </c>
      <c r="E22">
        <v>87836.327240767176</v>
      </c>
      <c r="F22">
        <v>42080.976501283883</v>
      </c>
      <c r="G22">
        <v>10000</v>
      </c>
      <c r="H22">
        <v>313753.05457892618</v>
      </c>
      <c r="I22">
        <v>48.639840868545633</v>
      </c>
    </row>
    <row r="23" spans="1:9" x14ac:dyDescent="0.2">
      <c r="A23">
        <v>13</v>
      </c>
      <c r="B23">
        <v>1090697.4104914453</v>
      </c>
      <c r="C23">
        <v>103632.76847155781</v>
      </c>
      <c r="D23">
        <v>118959.28484406231</v>
      </c>
      <c r="E23">
        <v>48875.552757021032</v>
      </c>
      <c r="F23">
        <v>39383.692113947611</v>
      </c>
      <c r="G23">
        <v>10000</v>
      </c>
      <c r="H23">
        <v>300851.29818658874</v>
      </c>
      <c r="I23">
        <v>29.374306980390813</v>
      </c>
    </row>
    <row r="24" spans="1:9" x14ac:dyDescent="0.2">
      <c r="A24">
        <v>14</v>
      </c>
      <c r="B24">
        <v>1116202.2731294506</v>
      </c>
      <c r="C24">
        <v>129972.11800128584</v>
      </c>
      <c r="D24">
        <v>75773.66699218523</v>
      </c>
      <c r="E24">
        <v>71168.411052741561</v>
      </c>
      <c r="F24">
        <v>40927.043842112878</v>
      </c>
      <c r="G24">
        <v>10000</v>
      </c>
      <c r="H24">
        <v>307841.23988832551</v>
      </c>
      <c r="I24">
        <v>49.069264154876684</v>
      </c>
    </row>
    <row r="25" spans="1:9" x14ac:dyDescent="0.2">
      <c r="A25">
        <v>15</v>
      </c>
      <c r="B25">
        <v>1445795.9594141317</v>
      </c>
      <c r="C25">
        <v>101831.23835278752</v>
      </c>
      <c r="D25">
        <v>113948.22215361506</v>
      </c>
      <c r="E25">
        <v>146265.19461893663</v>
      </c>
      <c r="F25">
        <v>46126.051935157149</v>
      </c>
      <c r="G25">
        <v>10000</v>
      </c>
      <c r="H25">
        <v>398170.70706049638</v>
      </c>
      <c r="I25">
        <v>32.883154076903594</v>
      </c>
    </row>
    <row r="26" spans="1:9" x14ac:dyDescent="0.2">
      <c r="A26">
        <v>16</v>
      </c>
      <c r="B26">
        <v>1359138.13502681</v>
      </c>
      <c r="C26">
        <v>116001.95617273773</v>
      </c>
      <c r="D26">
        <v>120337.6192365694</v>
      </c>
      <c r="E26">
        <v>104824.34937953413</v>
      </c>
      <c r="F26">
        <v>43257.070341660052</v>
      </c>
      <c r="G26">
        <v>10000</v>
      </c>
      <c r="H26">
        <v>374420.99513050134</v>
      </c>
      <c r="I26">
        <v>41.349972367788752</v>
      </c>
    </row>
    <row r="27" spans="1:9" x14ac:dyDescent="0.2">
      <c r="A27">
        <v>17</v>
      </c>
      <c r="B27">
        <v>1390668.3251224379</v>
      </c>
      <c r="C27">
        <v>132420.20966845381</v>
      </c>
      <c r="D27">
        <v>97346.407511304104</v>
      </c>
      <c r="E27">
        <v>119053.47585664797</v>
      </c>
      <c r="F27">
        <v>44242.163713152549</v>
      </c>
      <c r="G27">
        <v>10000</v>
      </c>
      <c r="H27">
        <v>383062.25674955838</v>
      </c>
      <c r="I27">
        <v>25.806926266738159</v>
      </c>
    </row>
    <row r="28" spans="1:9" x14ac:dyDescent="0.2">
      <c r="A28">
        <v>18</v>
      </c>
      <c r="B28">
        <v>1283532.624119502</v>
      </c>
      <c r="C28">
        <v>81713.734017135459</v>
      </c>
      <c r="D28">
        <v>81617.622602407806</v>
      </c>
      <c r="E28">
        <v>153726.36347339465</v>
      </c>
      <c r="F28">
        <v>46642.594394311935</v>
      </c>
      <c r="G28">
        <v>10000</v>
      </c>
      <c r="H28">
        <v>353700.31448724988</v>
      </c>
      <c r="I28">
        <v>30.608329011603441</v>
      </c>
    </row>
    <row r="29" spans="1:9" x14ac:dyDescent="0.2">
      <c r="A29">
        <v>19</v>
      </c>
      <c r="B29">
        <v>1121127.1293434463</v>
      </c>
      <c r="C29">
        <v>103681.40739685429</v>
      </c>
      <c r="D29">
        <v>98359.230179171209</v>
      </c>
      <c r="E29">
        <v>75895.986166096991</v>
      </c>
      <c r="F29">
        <v>41254.337503806717</v>
      </c>
      <c r="G29">
        <v>10000</v>
      </c>
      <c r="H29">
        <v>309190.96124592924</v>
      </c>
      <c r="I29">
        <v>27.42360473146983</v>
      </c>
    </row>
    <row r="30" spans="1:9" x14ac:dyDescent="0.2">
      <c r="A30">
        <v>20</v>
      </c>
      <c r="B30">
        <v>1475042.6892540434</v>
      </c>
      <c r="C30">
        <v>101054.3325034364</v>
      </c>
      <c r="D30">
        <v>75965.850779771936</v>
      </c>
      <c r="E30">
        <v>190011.34184316703</v>
      </c>
      <c r="F30">
        <v>49154.631358373103</v>
      </c>
      <c r="G30">
        <v>10000</v>
      </c>
      <c r="H30">
        <v>406186.15648474847</v>
      </c>
      <c r="I30">
        <v>37.884863256277413</v>
      </c>
    </row>
    <row r="31" spans="1:9" x14ac:dyDescent="0.2">
      <c r="A31">
        <v>21</v>
      </c>
      <c r="B31">
        <v>1137136.9707752212</v>
      </c>
      <c r="C31">
        <v>93965.427471160467</v>
      </c>
      <c r="D31">
        <v>104771.51910135931</v>
      </c>
      <c r="E31">
        <v>83089.379759790434</v>
      </c>
      <c r="F31">
        <v>41752.341675677802</v>
      </c>
      <c r="G31">
        <v>10000</v>
      </c>
      <c r="H31">
        <v>313578.66800798802</v>
      </c>
      <c r="I31">
        <v>39.772693316628242</v>
      </c>
    </row>
    <row r="32" spans="1:9" x14ac:dyDescent="0.2">
      <c r="A32">
        <v>22</v>
      </c>
      <c r="B32">
        <v>1106542.1072276365</v>
      </c>
      <c r="C32">
        <v>82209.266067596094</v>
      </c>
      <c r="D32">
        <v>70481.592059336661</v>
      </c>
      <c r="E32">
        <v>118312.05236042704</v>
      </c>
      <c r="F32">
        <v>44190.83439418341</v>
      </c>
      <c r="G32">
        <v>10000</v>
      </c>
      <c r="H32">
        <v>305193.74488154321</v>
      </c>
      <c r="I32">
        <v>32.153432528786283</v>
      </c>
    </row>
    <row r="33" spans="1:9" x14ac:dyDescent="0.2">
      <c r="A33">
        <v>23</v>
      </c>
      <c r="B33">
        <v>1434951.362758948</v>
      </c>
      <c r="C33">
        <v>150133.17504690486</v>
      </c>
      <c r="D33">
        <v>104496.52983260472</v>
      </c>
      <c r="E33">
        <v>107150.76829808795</v>
      </c>
      <c r="F33">
        <v>43418.130112944549</v>
      </c>
      <c r="G33">
        <v>10000</v>
      </c>
      <c r="H33">
        <v>395198.60329054203</v>
      </c>
      <c r="I33">
        <v>45.474755053368789</v>
      </c>
    </row>
    <row r="34" spans="1:9" x14ac:dyDescent="0.2">
      <c r="A34">
        <v>24</v>
      </c>
      <c r="B34">
        <v>1166171.6257800376</v>
      </c>
      <c r="C34">
        <v>146380.60099827489</v>
      </c>
      <c r="D34">
        <v>58460.712593701239</v>
      </c>
      <c r="E34">
        <v>84822.364417105811</v>
      </c>
      <c r="F34">
        <v>41872.317536568866</v>
      </c>
      <c r="G34">
        <v>10000</v>
      </c>
      <c r="H34">
        <v>321535.99554565077</v>
      </c>
      <c r="I34">
        <v>34.972056846462216</v>
      </c>
    </row>
    <row r="35" spans="1:9" x14ac:dyDescent="0.2">
      <c r="A35">
        <v>25</v>
      </c>
      <c r="B35">
        <v>867371.11501827324</v>
      </c>
      <c r="C35">
        <v>117815.8118770205</v>
      </c>
      <c r="D35">
        <v>50041.256586539916</v>
      </c>
      <c r="E35">
        <v>42823.994921033824</v>
      </c>
      <c r="F35">
        <v>38964.738109917722</v>
      </c>
      <c r="G35">
        <v>10000</v>
      </c>
      <c r="H35">
        <v>239645.80149451198</v>
      </c>
      <c r="I35">
        <v>45.517374334276816</v>
      </c>
    </row>
    <row r="36" spans="1:9" x14ac:dyDescent="0.2">
      <c r="A36">
        <v>26</v>
      </c>
      <c r="B36">
        <v>1176554.6093831414</v>
      </c>
      <c r="C36">
        <v>108447.01728125883</v>
      </c>
      <c r="D36">
        <v>117031.72917627035</v>
      </c>
      <c r="E36">
        <v>68182.513870971641</v>
      </c>
      <c r="F36">
        <v>40720.327883374957</v>
      </c>
      <c r="G36">
        <v>10000</v>
      </c>
      <c r="H36">
        <v>324381.58821187576</v>
      </c>
      <c r="I36">
        <v>35.865562934491493</v>
      </c>
    </row>
    <row r="37" spans="1:9" x14ac:dyDescent="0.2">
      <c r="A37">
        <v>27</v>
      </c>
      <c r="B37">
        <v>1134129.9642121459</v>
      </c>
      <c r="C37">
        <v>119447.61056960984</v>
      </c>
      <c r="D37">
        <v>69788.521259002897</v>
      </c>
      <c r="E37">
        <v>91204.28390893311</v>
      </c>
      <c r="F37">
        <v>42314.142732156906</v>
      </c>
      <c r="G37">
        <v>10000</v>
      </c>
      <c r="H37">
        <v>312754.55846970272</v>
      </c>
      <c r="I37">
        <v>39.328047975386951</v>
      </c>
    </row>
    <row r="38" spans="1:9" x14ac:dyDescent="0.2">
      <c r="A38">
        <v>28</v>
      </c>
      <c r="B38">
        <v>1578241.9358490021</v>
      </c>
      <c r="C38">
        <v>145893.86872908188</v>
      </c>
      <c r="D38">
        <v>120899.93379204292</v>
      </c>
      <c r="E38">
        <v>132502.22815095581</v>
      </c>
      <c r="F38">
        <v>45173.231179681556</v>
      </c>
      <c r="G38">
        <v>10000</v>
      </c>
      <c r="H38">
        <v>434469.26185176219</v>
      </c>
      <c r="I38">
        <v>34.278985816851886</v>
      </c>
    </row>
    <row r="39" spans="1:9" x14ac:dyDescent="0.2">
      <c r="A39">
        <v>29</v>
      </c>
      <c r="B39">
        <v>838800.78794626531</v>
      </c>
      <c r="C39">
        <v>130606.2525515922</v>
      </c>
      <c r="D39">
        <v>31483.150296604432</v>
      </c>
      <c r="E39">
        <v>40895.125280079999</v>
      </c>
      <c r="F39">
        <v>38831.20098092861</v>
      </c>
      <c r="G39">
        <v>10000</v>
      </c>
      <c r="H39">
        <v>231815.72910920525</v>
      </c>
      <c r="I39">
        <v>27.637875664262765</v>
      </c>
    </row>
    <row r="40" spans="1:9" x14ac:dyDescent="0.2">
      <c r="A40">
        <v>30</v>
      </c>
      <c r="B40">
        <v>1541529.1123589929</v>
      </c>
      <c r="C40">
        <v>79247.184759547992</v>
      </c>
      <c r="D40">
        <v>121089.49825448359</v>
      </c>
      <c r="E40">
        <v>185246.21096583499</v>
      </c>
      <c r="F40">
        <v>48824.737682250117</v>
      </c>
      <c r="G40">
        <v>10000</v>
      </c>
      <c r="H40">
        <v>424407.63166211668</v>
      </c>
      <c r="I40">
        <v>35.827227285066499</v>
      </c>
    </row>
    <row r="41" spans="1:9" x14ac:dyDescent="0.2">
      <c r="A41">
        <v>31</v>
      </c>
      <c r="B41">
        <v>1112131.0609808371</v>
      </c>
      <c r="C41">
        <v>106709.09524987155</v>
      </c>
      <c r="D41">
        <v>75095.653620737372</v>
      </c>
      <c r="E41">
        <v>92515.783163941844</v>
      </c>
      <c r="F41">
        <v>42404.938834426743</v>
      </c>
      <c r="G41">
        <v>10000</v>
      </c>
      <c r="H41">
        <v>306725.47086897754</v>
      </c>
      <c r="I41">
        <v>40.67382034890246</v>
      </c>
    </row>
    <row r="42" spans="1:9" x14ac:dyDescent="0.2">
      <c r="A42">
        <v>32</v>
      </c>
      <c r="B42">
        <v>1294060.377473349</v>
      </c>
      <c r="C42">
        <v>95003.329744924005</v>
      </c>
      <c r="D42">
        <v>109213.00210002346</v>
      </c>
      <c r="E42">
        <v>118187.06961268409</v>
      </c>
      <c r="F42">
        <v>44182.181742416593</v>
      </c>
      <c r="G42">
        <v>10000</v>
      </c>
      <c r="H42">
        <v>356585.58320004813</v>
      </c>
      <c r="I42">
        <v>34.495645235660604</v>
      </c>
    </row>
    <row r="43" spans="1:9" x14ac:dyDescent="0.2">
      <c r="A43">
        <v>33</v>
      </c>
      <c r="B43">
        <v>1420542.5175531113</v>
      </c>
      <c r="C43">
        <v>83015.180058355298</v>
      </c>
      <c r="D43">
        <v>104233.9710250811</v>
      </c>
      <c r="E43">
        <v>166475.305944244</v>
      </c>
      <c r="F43">
        <v>47525.213488447662</v>
      </c>
      <c r="G43">
        <v>10000</v>
      </c>
      <c r="H43">
        <v>391249.67051612801</v>
      </c>
      <c r="I43">
        <v>38.517584636203267</v>
      </c>
    </row>
    <row r="44" spans="1:9" x14ac:dyDescent="0.2">
      <c r="A44">
        <v>34</v>
      </c>
      <c r="B44">
        <v>1306328.976566294</v>
      </c>
      <c r="C44">
        <v>108284.52089776062</v>
      </c>
      <c r="D44">
        <v>76438.391280511874</v>
      </c>
      <c r="E44">
        <v>139562.98827856095</v>
      </c>
      <c r="F44">
        <v>45662.053034669603</v>
      </c>
      <c r="G44">
        <v>10000</v>
      </c>
      <c r="H44">
        <v>359947.95349150302</v>
      </c>
      <c r="I44">
        <v>36.949000299020454</v>
      </c>
    </row>
    <row r="45" spans="1:9" x14ac:dyDescent="0.2">
      <c r="A45">
        <v>35</v>
      </c>
      <c r="B45">
        <v>1141134.2480170869</v>
      </c>
      <c r="C45">
        <v>139049.92683936443</v>
      </c>
      <c r="D45">
        <v>89979.143412476158</v>
      </c>
      <c r="E45">
        <v>55783.190740681654</v>
      </c>
      <c r="F45">
        <v>39861.913205124118</v>
      </c>
      <c r="G45">
        <v>10000</v>
      </c>
      <c r="H45">
        <v>314674.17419764632</v>
      </c>
      <c r="I45">
        <v>36.554808555691196</v>
      </c>
    </row>
    <row r="46" spans="1:9" x14ac:dyDescent="0.2">
      <c r="A46">
        <v>36</v>
      </c>
      <c r="B46">
        <v>1066403.9174254714</v>
      </c>
      <c r="C46">
        <v>117596.67790664559</v>
      </c>
      <c r="D46">
        <v>105672.83348589564</v>
      </c>
      <c r="E46">
        <v>42015.099157627126</v>
      </c>
      <c r="F46">
        <v>38908.737633989571</v>
      </c>
      <c r="G46">
        <v>10000</v>
      </c>
      <c r="H46">
        <v>294193.34818415798</v>
      </c>
      <c r="I46">
        <v>46.096882961924749</v>
      </c>
    </row>
    <row r="47" spans="1:9" x14ac:dyDescent="0.2">
      <c r="A47">
        <v>37</v>
      </c>
      <c r="B47">
        <v>1402903.3497451707</v>
      </c>
      <c r="C47">
        <v>116685.23407844377</v>
      </c>
      <c r="D47">
        <v>84836.437347975399</v>
      </c>
      <c r="E47">
        <v>148605.66929395645</v>
      </c>
      <c r="F47">
        <v>46288.084797273907</v>
      </c>
      <c r="G47">
        <v>10000</v>
      </c>
      <c r="H47">
        <v>386415.42551764956</v>
      </c>
      <c r="I47">
        <v>39.009650783496966</v>
      </c>
    </row>
    <row r="48" spans="1:9" x14ac:dyDescent="0.2">
      <c r="A48">
        <v>38</v>
      </c>
      <c r="B48">
        <v>1056489.3887971183</v>
      </c>
      <c r="C48">
        <v>126784.22975310616</v>
      </c>
      <c r="D48">
        <v>64865.264647113647</v>
      </c>
      <c r="E48">
        <v>69046.504706451306</v>
      </c>
      <c r="F48">
        <v>40780.142633523545</v>
      </c>
      <c r="G48">
        <v>10000</v>
      </c>
      <c r="H48">
        <v>291476.1417401947</v>
      </c>
      <c r="I48">
        <v>38.421819992882547</v>
      </c>
    </row>
    <row r="49" spans="1:9" x14ac:dyDescent="0.2">
      <c r="A49">
        <v>39</v>
      </c>
      <c r="B49">
        <v>1047348.6444606853</v>
      </c>
      <c r="C49">
        <v>91683.247294628396</v>
      </c>
      <c r="D49">
        <v>79665.719909854612</v>
      </c>
      <c r="E49">
        <v>85689.671911420024</v>
      </c>
      <c r="F49">
        <v>41932.361901559845</v>
      </c>
      <c r="G49">
        <v>10000</v>
      </c>
      <c r="H49">
        <v>288971.00101746287</v>
      </c>
      <c r="I49">
        <v>24.67422345146268</v>
      </c>
    </row>
    <row r="50" spans="1:9" x14ac:dyDescent="0.2">
      <c r="A50">
        <v>40</v>
      </c>
      <c r="B50">
        <v>1505197.8257513735</v>
      </c>
      <c r="C50">
        <v>111265.42263728888</v>
      </c>
      <c r="D50">
        <v>99368.916816544894</v>
      </c>
      <c r="E50">
        <v>166302.94630133672</v>
      </c>
      <c r="F50">
        <v>47513.280897784854</v>
      </c>
      <c r="G50">
        <v>10000</v>
      </c>
      <c r="H50">
        <v>414450.56665295537</v>
      </c>
      <c r="I50">
        <v>47.339054174587744</v>
      </c>
    </row>
    <row r="51" spans="1:9" x14ac:dyDescent="0.2">
      <c r="A51">
        <v>41</v>
      </c>
      <c r="B51">
        <v>1476040.8940430919</v>
      </c>
      <c r="C51">
        <v>94377.432042290238</v>
      </c>
      <c r="D51">
        <v>74492.614338335145</v>
      </c>
      <c r="E51">
        <v>197889.62990147239</v>
      </c>
      <c r="F51">
        <v>49700.051300871164</v>
      </c>
      <c r="G51">
        <v>10000</v>
      </c>
      <c r="H51">
        <v>406459.727582969</v>
      </c>
      <c r="I51">
        <v>31.209106524176921</v>
      </c>
    </row>
    <row r="52" spans="1:9" x14ac:dyDescent="0.2">
      <c r="A52">
        <v>42</v>
      </c>
      <c r="B52">
        <v>1454038.1178211523</v>
      </c>
      <c r="C52">
        <v>130629.49443171395</v>
      </c>
      <c r="D52">
        <v>26932.806255335141</v>
      </c>
      <c r="E52">
        <v>202825.51165956302</v>
      </c>
      <c r="F52">
        <v>50041.766191815899</v>
      </c>
      <c r="G52">
        <v>10000</v>
      </c>
      <c r="H52">
        <v>400429.578538428</v>
      </c>
      <c r="I52">
        <v>34.954705431949705</v>
      </c>
    </row>
    <row r="53" spans="1:9" x14ac:dyDescent="0.2">
      <c r="A53">
        <v>43</v>
      </c>
      <c r="B53">
        <v>1418620.1668942072</v>
      </c>
      <c r="C53">
        <v>98619.401818949656</v>
      </c>
      <c r="D53">
        <v>95007.359479102466</v>
      </c>
      <c r="E53">
        <v>160017.90143174629</v>
      </c>
      <c r="F53">
        <v>47078.162406813208</v>
      </c>
      <c r="G53">
        <v>10000</v>
      </c>
      <c r="H53">
        <v>390722.82513661159</v>
      </c>
      <c r="I53">
        <v>35.145374131669904</v>
      </c>
    </row>
    <row r="54" spans="1:9" x14ac:dyDescent="0.2">
      <c r="A54">
        <v>44</v>
      </c>
      <c r="B54">
        <v>1152778.5897080663</v>
      </c>
      <c r="C54">
        <v>76665.114815518697</v>
      </c>
      <c r="D54">
        <v>158341.64700207271</v>
      </c>
      <c r="E54">
        <v>53177.198402242975</v>
      </c>
      <c r="F54">
        <v>39681.498350924514</v>
      </c>
      <c r="G54">
        <v>10000</v>
      </c>
      <c r="H54">
        <v>317865.45857075893</v>
      </c>
      <c r="I54">
        <v>47.931556130093533</v>
      </c>
    </row>
    <row r="55" spans="1:9" x14ac:dyDescent="0.2">
      <c r="A55">
        <v>45</v>
      </c>
      <c r="B55">
        <v>1586857.7935519028</v>
      </c>
      <c r="C55">
        <v>117554.29862070754</v>
      </c>
      <c r="D55">
        <v>73171.432084374697</v>
      </c>
      <c r="E55">
        <v>205853.4286010068</v>
      </c>
      <c r="F55">
        <v>50251.391210838934</v>
      </c>
      <c r="G55">
        <v>10000</v>
      </c>
      <c r="H55">
        <v>436830.55051692796</v>
      </c>
      <c r="I55">
        <v>33.687242670391079</v>
      </c>
    </row>
    <row r="56" spans="1:9" x14ac:dyDescent="0.2">
      <c r="A56">
        <v>46</v>
      </c>
      <c r="B56">
        <v>1720528.9065694963</v>
      </c>
      <c r="C56">
        <v>162361.73693721797</v>
      </c>
      <c r="D56">
        <v>69614.445058445534</v>
      </c>
      <c r="E56">
        <v>201536.18306035316</v>
      </c>
      <c r="F56">
        <v>49952.504981101367</v>
      </c>
      <c r="G56">
        <v>10000</v>
      </c>
      <c r="H56">
        <v>473464.87003711803</v>
      </c>
      <c r="I56">
        <v>35.572183808876481</v>
      </c>
    </row>
    <row r="57" spans="1:9" x14ac:dyDescent="0.2">
      <c r="A57">
        <v>47</v>
      </c>
      <c r="B57">
        <v>1600414.2759579944</v>
      </c>
      <c r="C57">
        <v>108915.7314700584</v>
      </c>
      <c r="D57">
        <v>109902.68000749113</v>
      </c>
      <c r="E57">
        <v>183054.46892814297</v>
      </c>
      <c r="F57">
        <v>48673.001695025283</v>
      </c>
      <c r="G57">
        <v>10000</v>
      </c>
      <c r="H57">
        <v>440545.8821007178</v>
      </c>
      <c r="I57">
        <v>31.748417237191084</v>
      </c>
    </row>
    <row r="58" spans="1:9" x14ac:dyDescent="0.2">
      <c r="A58">
        <v>48</v>
      </c>
      <c r="B58">
        <v>958912.35867676814</v>
      </c>
      <c r="C58">
        <v>103265.29379869332</v>
      </c>
      <c r="D58">
        <v>88689.091820557485</v>
      </c>
      <c r="E58">
        <v>43750.604801187023</v>
      </c>
      <c r="F58">
        <v>39028.888024697568</v>
      </c>
      <c r="G58">
        <v>10000</v>
      </c>
      <c r="H58">
        <v>264733.87844513543</v>
      </c>
      <c r="I58">
        <v>51.083209518105811</v>
      </c>
    </row>
    <row r="59" spans="1:9" x14ac:dyDescent="0.2">
      <c r="A59">
        <v>49</v>
      </c>
      <c r="B59">
        <v>1599190.0137503878</v>
      </c>
      <c r="C59">
        <v>150789.22868422614</v>
      </c>
      <c r="D59">
        <v>91157.573291714129</v>
      </c>
      <c r="E59">
        <v>161109.79966816542</v>
      </c>
      <c r="F59">
        <v>47153.755361642223</v>
      </c>
      <c r="G59">
        <v>10000</v>
      </c>
      <c r="H59">
        <v>440210.35700574791</v>
      </c>
      <c r="I59">
        <v>34.076894594312762</v>
      </c>
    </row>
    <row r="60" spans="1:9" x14ac:dyDescent="0.2">
      <c r="A60">
        <v>50</v>
      </c>
      <c r="B60">
        <v>1127652.6069056466</v>
      </c>
      <c r="C60">
        <v>122267.8481432384</v>
      </c>
      <c r="D60">
        <v>84192.058716021114</v>
      </c>
      <c r="E60">
        <v>73435.45402107494</v>
      </c>
      <c r="F60">
        <v>41083.992970689796</v>
      </c>
      <c r="G60">
        <v>10000</v>
      </c>
      <c r="H60">
        <v>310979.35385102424</v>
      </c>
      <c r="I60">
        <v>45.213256926346673</v>
      </c>
    </row>
    <row r="61" spans="1:9" x14ac:dyDescent="0.2">
      <c r="A61">
        <v>51</v>
      </c>
      <c r="B61">
        <v>1961461.5094963759</v>
      </c>
      <c r="C61">
        <v>162864.58577693114</v>
      </c>
      <c r="D61">
        <v>169516.80084214741</v>
      </c>
      <c r="E61">
        <v>169387.39934351819</v>
      </c>
      <c r="F61">
        <v>47726.819954551254</v>
      </c>
      <c r="G61">
        <v>10000</v>
      </c>
      <c r="H61">
        <v>539495.60591714806</v>
      </c>
      <c r="I61">
        <v>38.997747423355264</v>
      </c>
    </row>
    <row r="62" spans="1:9" x14ac:dyDescent="0.2">
      <c r="A62">
        <v>52</v>
      </c>
      <c r="B62">
        <v>1566941.2492178469</v>
      </c>
      <c r="C62">
        <v>115460.52324228911</v>
      </c>
      <c r="D62">
        <v>94061.239926386377</v>
      </c>
      <c r="E62">
        <v>183169.43649279611</v>
      </c>
      <c r="F62">
        <v>48680.960987962804</v>
      </c>
      <c r="G62">
        <v>10000</v>
      </c>
      <c r="H62">
        <v>431372.16064943437</v>
      </c>
      <c r="I62">
        <v>34.415087969068892</v>
      </c>
    </row>
    <row r="63" spans="1:9" x14ac:dyDescent="0.2">
      <c r="A63">
        <v>53</v>
      </c>
      <c r="B63">
        <v>1314862.3838864765</v>
      </c>
      <c r="C63">
        <v>106956.94500401821</v>
      </c>
      <c r="D63">
        <v>103219.25992777075</v>
      </c>
      <c r="E63">
        <v>117945.01640481301</v>
      </c>
      <c r="F63">
        <v>44165.424212640901</v>
      </c>
      <c r="G63">
        <v>10000</v>
      </c>
      <c r="H63">
        <v>362286.64554924291</v>
      </c>
      <c r="I63">
        <v>36.511081451602244</v>
      </c>
    </row>
    <row r="64" spans="1:9" x14ac:dyDescent="0.2">
      <c r="A64">
        <v>54</v>
      </c>
      <c r="B64">
        <v>1593991.3172955199</v>
      </c>
      <c r="C64">
        <v>125173.17428010661</v>
      </c>
      <c r="D64">
        <v>89764.949483854143</v>
      </c>
      <c r="E64">
        <v>185037.1950307732</v>
      </c>
      <c r="F64">
        <v>48810.267348284302</v>
      </c>
      <c r="G64">
        <v>10000</v>
      </c>
      <c r="H64">
        <v>438785.58614301827</v>
      </c>
      <c r="I64">
        <v>31.548101573978464</v>
      </c>
    </row>
    <row r="65" spans="1:9" x14ac:dyDescent="0.2">
      <c r="A65">
        <v>55</v>
      </c>
      <c r="B65">
        <v>1202773.219471443</v>
      </c>
      <c r="C65">
        <v>118544.15576306092</v>
      </c>
      <c r="D65">
        <v>57233.850144157746</v>
      </c>
      <c r="E65">
        <v>121385.52273248877</v>
      </c>
      <c r="F65">
        <v>44403.613112249222</v>
      </c>
      <c r="G65">
        <v>10000</v>
      </c>
      <c r="H65">
        <v>331567.14175195666</v>
      </c>
      <c r="I65">
        <v>39.110772495501081</v>
      </c>
    </row>
    <row r="66" spans="1:9" x14ac:dyDescent="0.2">
      <c r="A66">
        <v>56</v>
      </c>
      <c r="B66">
        <v>825633.87740980741</v>
      </c>
      <c r="C66">
        <v>92637.85471244005</v>
      </c>
      <c r="D66">
        <v>34108.094501128442</v>
      </c>
      <c r="E66">
        <v>70575.237598265841</v>
      </c>
      <c r="F66">
        <v>40885.977987572252</v>
      </c>
      <c r="G66">
        <v>10000</v>
      </c>
      <c r="H66">
        <v>228207.1647994066</v>
      </c>
      <c r="I66">
        <v>31.611905564560423</v>
      </c>
    </row>
    <row r="67" spans="1:9" x14ac:dyDescent="0.2">
      <c r="A67">
        <v>57</v>
      </c>
      <c r="B67">
        <v>1006004.2478657113</v>
      </c>
      <c r="C67">
        <v>108560.48472765715</v>
      </c>
      <c r="D67">
        <v>87820.88560339433</v>
      </c>
      <c r="E67">
        <v>51680.758548268641</v>
      </c>
      <c r="F67">
        <v>39577.898668726288</v>
      </c>
      <c r="G67">
        <v>10000</v>
      </c>
      <c r="H67">
        <v>277640.02754804638</v>
      </c>
      <c r="I67">
        <v>45.887377312817449</v>
      </c>
    </row>
    <row r="68" spans="1:9" x14ac:dyDescent="0.2">
      <c r="A68">
        <v>58</v>
      </c>
      <c r="B68">
        <v>1346119.9166183674</v>
      </c>
      <c r="C68">
        <v>109292.26239069164</v>
      </c>
      <c r="D68">
        <v>66107.884579999765</v>
      </c>
      <c r="E68">
        <v>158481.25563891607</v>
      </c>
      <c r="F68">
        <v>46971.779236540344</v>
      </c>
      <c r="G68">
        <v>10000</v>
      </c>
      <c r="H68">
        <v>370853.18184614775</v>
      </c>
      <c r="I68">
        <v>30.272574502057424</v>
      </c>
    </row>
    <row r="69" spans="1:9" x14ac:dyDescent="0.2">
      <c r="A69">
        <v>59</v>
      </c>
      <c r="B69">
        <v>1022126.2371226051</v>
      </c>
      <c r="C69">
        <v>121727.54688377665</v>
      </c>
      <c r="D69">
        <v>58511.911810271173</v>
      </c>
      <c r="E69">
        <v>70909.866586737873</v>
      </c>
      <c r="F69">
        <v>40909.144609851079</v>
      </c>
      <c r="G69">
        <v>10000</v>
      </c>
      <c r="H69">
        <v>282058.46989063674</v>
      </c>
      <c r="I69">
        <v>33.31681250098805</v>
      </c>
    </row>
    <row r="70" spans="1:9" x14ac:dyDescent="0.2">
      <c r="A70">
        <v>60</v>
      </c>
      <c r="B70">
        <v>1210699.4264265243</v>
      </c>
      <c r="C70">
        <v>125984.40165209593</v>
      </c>
      <c r="D70">
        <v>50827.135168719142</v>
      </c>
      <c r="E70">
        <v>122450.54065280946</v>
      </c>
      <c r="F70">
        <v>44477.345122117578</v>
      </c>
      <c r="G70">
        <v>10000</v>
      </c>
      <c r="H70">
        <v>333739.42259574204</v>
      </c>
      <c r="I70">
        <v>30.249907229481799</v>
      </c>
    </row>
    <row r="71" spans="1:9" x14ac:dyDescent="0.2">
      <c r="A71">
        <v>61</v>
      </c>
      <c r="B71">
        <v>1137647.158571596</v>
      </c>
      <c r="C71">
        <v>111181.93690549195</v>
      </c>
      <c r="D71">
        <v>50976.889725418441</v>
      </c>
      <c r="E71">
        <v>117429.90254209266</v>
      </c>
      <c r="F71">
        <v>44129.762483683335</v>
      </c>
      <c r="G71">
        <v>10000</v>
      </c>
      <c r="H71">
        <v>313718.49165668641</v>
      </c>
      <c r="I71">
        <v>42.638239442082877</v>
      </c>
    </row>
    <row r="72" spans="1:9" x14ac:dyDescent="0.2">
      <c r="A72">
        <v>62</v>
      </c>
      <c r="B72">
        <v>1048752.7387687012</v>
      </c>
      <c r="C72">
        <v>135012.28048685964</v>
      </c>
      <c r="D72">
        <v>60359.709832921355</v>
      </c>
      <c r="E72">
        <v>63581.990989982842</v>
      </c>
      <c r="F72">
        <v>40401.83014546035</v>
      </c>
      <c r="G72">
        <v>10000</v>
      </c>
      <c r="H72">
        <v>289355.81145522418</v>
      </c>
      <c r="I72">
        <v>34.772507984990831</v>
      </c>
    </row>
    <row r="73" spans="1:9" x14ac:dyDescent="0.2">
      <c r="A73">
        <v>63</v>
      </c>
      <c r="B73">
        <v>1472703.1906860406</v>
      </c>
      <c r="C73">
        <v>103136.31333748317</v>
      </c>
      <c r="D73">
        <v>101768.9170340718</v>
      </c>
      <c r="E73">
        <v>163332.14579158052</v>
      </c>
      <c r="F73">
        <v>47307.610093263269</v>
      </c>
      <c r="G73">
        <v>10000</v>
      </c>
      <c r="H73">
        <v>405544.98625639878</v>
      </c>
      <c r="I73">
        <v>28.161554845801618</v>
      </c>
    </row>
    <row r="74" spans="1:9" x14ac:dyDescent="0.2">
      <c r="A74">
        <v>64</v>
      </c>
      <c r="B74">
        <v>1389746.0058628439</v>
      </c>
      <c r="C74">
        <v>117693.29943430802</v>
      </c>
      <c r="D74">
        <v>62362.487713475988</v>
      </c>
      <c r="E74">
        <v>165309.2120180089</v>
      </c>
      <c r="F74">
        <v>47444.483908939081</v>
      </c>
      <c r="G74">
        <v>10000</v>
      </c>
      <c r="H74">
        <v>382809.48307473201</v>
      </c>
      <c r="I74">
        <v>46.633165509582199</v>
      </c>
    </row>
    <row r="75" spans="1:9" x14ac:dyDescent="0.2">
      <c r="A75">
        <v>65</v>
      </c>
      <c r="B75">
        <v>896249.58970892022</v>
      </c>
      <c r="C75">
        <v>116854.48191152207</v>
      </c>
      <c r="D75">
        <v>75555.146073355922</v>
      </c>
      <c r="E75">
        <v>27263.242533992834</v>
      </c>
      <c r="F75">
        <v>37887.455252353349</v>
      </c>
      <c r="G75">
        <v>10000</v>
      </c>
      <c r="H75">
        <v>247560.32577122416</v>
      </c>
      <c r="I75">
        <v>38.283507853612853</v>
      </c>
    </row>
    <row r="76" spans="1:9" x14ac:dyDescent="0.2">
      <c r="A76">
        <v>66</v>
      </c>
      <c r="B76">
        <v>1243539.4730597178</v>
      </c>
      <c r="C76">
        <v>104536.34527130079</v>
      </c>
      <c r="D76">
        <v>62014.122932293358</v>
      </c>
      <c r="E76">
        <v>140464.7188198441</v>
      </c>
      <c r="F76">
        <v>45724.480533681512</v>
      </c>
      <c r="G76">
        <v>10000</v>
      </c>
      <c r="H76">
        <v>342739.6675571198</v>
      </c>
      <c r="I76">
        <v>34.531116484003604</v>
      </c>
    </row>
    <row r="77" spans="1:9" x14ac:dyDescent="0.2">
      <c r="A77">
        <v>67</v>
      </c>
      <c r="B77">
        <v>1031198.0450194153</v>
      </c>
      <c r="C77">
        <v>120580.804841027</v>
      </c>
      <c r="D77">
        <v>97341.256781372838</v>
      </c>
      <c r="E77">
        <v>37992.412139332628</v>
      </c>
      <c r="F77">
        <v>38630.243917338412</v>
      </c>
      <c r="G77">
        <v>10000</v>
      </c>
      <c r="H77">
        <v>284544.71767907089</v>
      </c>
      <c r="I77">
        <v>36.780243603454139</v>
      </c>
    </row>
    <row r="78" spans="1:9" x14ac:dyDescent="0.2">
      <c r="A78">
        <v>68</v>
      </c>
      <c r="B78">
        <v>1389466.8108040355</v>
      </c>
      <c r="C78">
        <v>84981.131788953906</v>
      </c>
      <c r="D78">
        <v>88311.460140203679</v>
      </c>
      <c r="E78">
        <v>171562.9397893406</v>
      </c>
      <c r="F78">
        <v>47877.434293108192</v>
      </c>
      <c r="G78">
        <v>10000</v>
      </c>
      <c r="H78">
        <v>382732.96601160639</v>
      </c>
      <c r="I78">
        <v>29.870251876767366</v>
      </c>
    </row>
    <row r="79" spans="1:9" x14ac:dyDescent="0.2">
      <c r="A79">
        <v>69</v>
      </c>
      <c r="B79">
        <v>1608570.131285829</v>
      </c>
      <c r="C79">
        <v>116030.36099607783</v>
      </c>
      <c r="D79">
        <v>84451.170683335062</v>
      </c>
      <c r="E79">
        <v>202294.56131858894</v>
      </c>
      <c r="F79">
        <v>50005.008091286931</v>
      </c>
      <c r="G79">
        <v>10000</v>
      </c>
      <c r="H79">
        <v>442781.10108928877</v>
      </c>
      <c r="I79">
        <v>37.682923056985203</v>
      </c>
    </row>
    <row r="80" spans="1:9" x14ac:dyDescent="0.2">
      <c r="A80">
        <v>70</v>
      </c>
      <c r="B80">
        <v>1019289.6364783174</v>
      </c>
      <c r="C80">
        <v>119453.954510961</v>
      </c>
      <c r="D80">
        <v>78996.092347136291</v>
      </c>
      <c r="E80">
        <v>53151.309430967267</v>
      </c>
      <c r="F80">
        <v>39679.7060375285</v>
      </c>
      <c r="G80">
        <v>10000</v>
      </c>
      <c r="H80">
        <v>281281.06232659309</v>
      </c>
      <c r="I80">
        <v>34.713382502969317</v>
      </c>
    </row>
    <row r="81" spans="1:9" x14ac:dyDescent="0.2">
      <c r="A81">
        <v>71</v>
      </c>
      <c r="B81">
        <v>1581272.7903680282</v>
      </c>
      <c r="C81">
        <v>107318.94906196586</v>
      </c>
      <c r="D81">
        <v>86160.619442176147</v>
      </c>
      <c r="E81">
        <v>201846.35996389412</v>
      </c>
      <c r="F81">
        <v>49973.978766731132</v>
      </c>
      <c r="G81">
        <v>10000</v>
      </c>
      <c r="H81">
        <v>435299.90723476722</v>
      </c>
      <c r="I81">
        <v>39.934862142362228</v>
      </c>
    </row>
    <row r="82" spans="1:9" x14ac:dyDescent="0.2">
      <c r="A82">
        <v>72</v>
      </c>
      <c r="B82">
        <v>1686309.4556802476</v>
      </c>
      <c r="C82">
        <v>121339.7551264729</v>
      </c>
      <c r="D82">
        <v>97577.085061788006</v>
      </c>
      <c r="E82">
        <v>204978.89453701029</v>
      </c>
      <c r="F82">
        <v>50190.846544869943</v>
      </c>
      <c r="G82">
        <v>10000</v>
      </c>
      <c r="H82">
        <v>464086.58127014112</v>
      </c>
      <c r="I82">
        <v>29.380678343251027</v>
      </c>
    </row>
    <row r="83" spans="1:9" x14ac:dyDescent="0.2">
      <c r="A83">
        <v>73</v>
      </c>
      <c r="B83">
        <v>1773197.6230474862</v>
      </c>
      <c r="C83">
        <v>116426.06935600123</v>
      </c>
      <c r="D83">
        <v>141415.28913256736</v>
      </c>
      <c r="E83">
        <v>190845.67063979045</v>
      </c>
      <c r="F83">
        <v>49212.392582754721</v>
      </c>
      <c r="G83">
        <v>10000</v>
      </c>
      <c r="H83">
        <v>487899.42171111377</v>
      </c>
      <c r="I83">
        <v>28.298969789470355</v>
      </c>
    </row>
    <row r="84" spans="1:9" x14ac:dyDescent="0.2">
      <c r="A84">
        <v>74</v>
      </c>
      <c r="B84">
        <v>1305383.4329439965</v>
      </c>
      <c r="C84">
        <v>138366.21702996612</v>
      </c>
      <c r="D84">
        <v>121118.05037271591</v>
      </c>
      <c r="E84">
        <v>69399.936485701168</v>
      </c>
      <c r="F84">
        <v>40804.61098747162</v>
      </c>
      <c r="G84">
        <v>10000</v>
      </c>
      <c r="H84">
        <v>359688.81487585488</v>
      </c>
      <c r="I84">
        <v>37.36699155025633</v>
      </c>
    </row>
    <row r="85" spans="1:9" x14ac:dyDescent="0.2">
      <c r="A85">
        <v>75</v>
      </c>
      <c r="B85">
        <v>1306907.9818311189</v>
      </c>
      <c r="C85">
        <v>164435.46274099889</v>
      </c>
      <c r="D85">
        <v>137227.15399871176</v>
      </c>
      <c r="E85">
        <v>30343.328739520817</v>
      </c>
      <c r="F85">
        <v>38100.691989659135</v>
      </c>
      <c r="G85">
        <v>10000</v>
      </c>
      <c r="H85">
        <v>360106.63746889064</v>
      </c>
      <c r="I85">
        <v>33.768547645313959</v>
      </c>
    </row>
    <row r="86" spans="1:9" x14ac:dyDescent="0.2">
      <c r="A86">
        <v>76</v>
      </c>
      <c r="B86">
        <v>778534.88561861124</v>
      </c>
      <c r="C86">
        <v>78509.16119141817</v>
      </c>
      <c r="D86">
        <v>72315.231557413877</v>
      </c>
      <c r="E86">
        <v>35983.510289510916</v>
      </c>
      <c r="F86">
        <v>38491.166096966139</v>
      </c>
      <c r="G86">
        <v>10000</v>
      </c>
      <c r="H86">
        <v>215299.06913530911</v>
      </c>
      <c r="I86">
        <v>29.458786826105694</v>
      </c>
    </row>
    <row r="87" spans="1:9" x14ac:dyDescent="0.2">
      <c r="A87">
        <v>77</v>
      </c>
      <c r="B87">
        <v>1078071.1607318732</v>
      </c>
      <c r="C87">
        <v>123724.56152176589</v>
      </c>
      <c r="D87">
        <v>45206.261474341496</v>
      </c>
      <c r="E87">
        <v>95825.979757931083</v>
      </c>
      <c r="F87">
        <v>42634.106290933691</v>
      </c>
      <c r="G87">
        <v>10000</v>
      </c>
      <c r="H87">
        <v>297390.90904497216</v>
      </c>
      <c r="I87">
        <v>37.655898870937897</v>
      </c>
    </row>
    <row r="88" spans="1:9" x14ac:dyDescent="0.2">
      <c r="A88">
        <v>78</v>
      </c>
      <c r="B88">
        <v>1503265.4426118303</v>
      </c>
      <c r="C88">
        <v>108320.86533576783</v>
      </c>
      <c r="D88">
        <v>71706.975241365813</v>
      </c>
      <c r="E88">
        <v>194432.42482923591</v>
      </c>
      <c r="F88">
        <v>49460.70633433172</v>
      </c>
      <c r="G88">
        <v>10000</v>
      </c>
      <c r="H88">
        <v>413920.97174070129</v>
      </c>
      <c r="I88">
        <v>32.11628051989058</v>
      </c>
    </row>
    <row r="89" spans="1:9" x14ac:dyDescent="0.2">
      <c r="A89">
        <v>79</v>
      </c>
      <c r="B89">
        <v>1210266.0474636285</v>
      </c>
      <c r="C89">
        <v>94759.329179249675</v>
      </c>
      <c r="D89">
        <v>121627.54194943965</v>
      </c>
      <c r="E89">
        <v>85326.555230866506</v>
      </c>
      <c r="F89">
        <v>41907.223054444607</v>
      </c>
      <c r="G89">
        <v>10000</v>
      </c>
      <c r="H89">
        <v>333620.64941400039</v>
      </c>
      <c r="I89">
        <v>26.833947238041119</v>
      </c>
    </row>
    <row r="90" spans="1:9" x14ac:dyDescent="0.2">
      <c r="A90">
        <v>80</v>
      </c>
      <c r="B90">
        <v>918758.4635244091</v>
      </c>
      <c r="C90">
        <v>93751.513819122003</v>
      </c>
      <c r="D90">
        <v>53162.837054473464</v>
      </c>
      <c r="E90">
        <v>75582.211944148556</v>
      </c>
      <c r="F90">
        <v>41232.614673056436</v>
      </c>
      <c r="G90">
        <v>10000</v>
      </c>
      <c r="H90">
        <v>253729.17749080044</v>
      </c>
      <c r="I90">
        <v>35.648907851311137</v>
      </c>
    </row>
    <row r="91" spans="1:9" x14ac:dyDescent="0.2">
      <c r="A91">
        <v>81</v>
      </c>
      <c r="B91">
        <v>1279743.4673581903</v>
      </c>
      <c r="C91">
        <v>105612.74852651783</v>
      </c>
      <c r="D91">
        <v>147572.64883522931</v>
      </c>
      <c r="E91">
        <v>68718.981153744011</v>
      </c>
      <c r="F91">
        <v>40757.467926028432</v>
      </c>
      <c r="G91">
        <v>10000</v>
      </c>
      <c r="H91">
        <v>352661.84644151956</v>
      </c>
      <c r="I91">
        <v>41.657574376656967</v>
      </c>
    </row>
    <row r="92" spans="1:9" x14ac:dyDescent="0.2">
      <c r="A92">
        <v>82</v>
      </c>
      <c r="B92">
        <v>851904.89742507634</v>
      </c>
      <c r="C92">
        <v>107839.34892455647</v>
      </c>
      <c r="D92">
        <v>62547.302244325343</v>
      </c>
      <c r="E92">
        <v>36493.928084109</v>
      </c>
      <c r="F92">
        <v>38526.502713515241</v>
      </c>
      <c r="G92">
        <v>10000</v>
      </c>
      <c r="H92">
        <v>235407.08196650606</v>
      </c>
      <c r="I92">
        <v>26.489927460521109</v>
      </c>
    </row>
    <row r="93" spans="1:9" x14ac:dyDescent="0.2">
      <c r="A93">
        <v>83</v>
      </c>
      <c r="B93">
        <v>1841949.4373818017</v>
      </c>
      <c r="C93">
        <v>161881.7338462334</v>
      </c>
      <c r="D93">
        <v>159905.57892411528</v>
      </c>
      <c r="E93">
        <v>148662.42988305612</v>
      </c>
      <c r="F93">
        <v>46292.01437651927</v>
      </c>
      <c r="G93">
        <v>10000</v>
      </c>
      <c r="H93">
        <v>506741.75702992408</v>
      </c>
      <c r="I93">
        <v>27.191416722216324</v>
      </c>
    </row>
    <row r="94" spans="1:9" x14ac:dyDescent="0.2">
      <c r="A94">
        <v>84</v>
      </c>
      <c r="B94">
        <v>804319.64634914382</v>
      </c>
      <c r="C94">
        <v>97565.159944258834</v>
      </c>
      <c r="D94">
        <v>29710.53668593783</v>
      </c>
      <c r="E94">
        <v>64616.569157731778</v>
      </c>
      <c r="F94">
        <v>40473.454787842966</v>
      </c>
      <c r="G94">
        <v>10000</v>
      </c>
      <c r="H94">
        <v>222365.72057577138</v>
      </c>
      <c r="I94">
        <v>35.674684467090756</v>
      </c>
    </row>
    <row r="95" spans="1:9" x14ac:dyDescent="0.2">
      <c r="A95">
        <v>85</v>
      </c>
      <c r="B95">
        <v>985096.82293411426</v>
      </c>
      <c r="C95">
        <v>132326.77525347981</v>
      </c>
      <c r="D95">
        <v>63837.593127386644</v>
      </c>
      <c r="E95">
        <v>46524.760532170563</v>
      </c>
      <c r="F95">
        <v>39220.9449599195</v>
      </c>
      <c r="G95">
        <v>10000</v>
      </c>
      <c r="H95">
        <v>271910.07387295651</v>
      </c>
      <c r="I95">
        <v>30.628603520009023</v>
      </c>
    </row>
    <row r="96" spans="1:9" x14ac:dyDescent="0.2">
      <c r="A96">
        <v>86</v>
      </c>
      <c r="B96">
        <v>816547.07300046657</v>
      </c>
      <c r="C96">
        <v>75086.618595432679</v>
      </c>
      <c r="D96">
        <v>41086.578712845512</v>
      </c>
      <c r="E96">
        <v>78134.311241430769</v>
      </c>
      <c r="F96">
        <v>41409.298470560592</v>
      </c>
      <c r="G96">
        <v>10000</v>
      </c>
      <c r="H96">
        <v>225716.80702026957</v>
      </c>
      <c r="I96">
        <v>31.75769951820519</v>
      </c>
    </row>
    <row r="97" spans="1:9" x14ac:dyDescent="0.2">
      <c r="A97">
        <v>87</v>
      </c>
      <c r="B97">
        <v>1433839.3914080174</v>
      </c>
      <c r="C97">
        <v>114567.00804114835</v>
      </c>
      <c r="D97">
        <v>42110.278973116991</v>
      </c>
      <c r="E97">
        <v>198475.92499997371</v>
      </c>
      <c r="F97">
        <v>49740.640961536636</v>
      </c>
      <c r="G97">
        <v>10000</v>
      </c>
      <c r="H97">
        <v>394893.85297577566</v>
      </c>
      <c r="I97">
        <v>49.639239839277302</v>
      </c>
    </row>
    <row r="98" spans="1:9" x14ac:dyDescent="0.2">
      <c r="A98">
        <v>88</v>
      </c>
      <c r="B98">
        <v>1535261.3611732696</v>
      </c>
      <c r="C98">
        <v>110361.73680044533</v>
      </c>
      <c r="D98">
        <v>74712.343438257318</v>
      </c>
      <c r="E98">
        <v>197914.05017278795</v>
      </c>
      <c r="F98">
        <v>49701.741935039165</v>
      </c>
      <c r="G98">
        <v>10000</v>
      </c>
      <c r="H98">
        <v>422689.87234652974</v>
      </c>
      <c r="I98">
        <v>34.872933855890388</v>
      </c>
    </row>
    <row r="99" spans="1:9" x14ac:dyDescent="0.2">
      <c r="A99">
        <v>89</v>
      </c>
      <c r="B99">
        <v>1535608.6441777481</v>
      </c>
      <c r="C99">
        <v>105908.23078965818</v>
      </c>
      <c r="D99">
        <v>116447.7022292575</v>
      </c>
      <c r="E99">
        <v>163135.14519381401</v>
      </c>
      <c r="F99">
        <v>47293.971590340967</v>
      </c>
      <c r="G99">
        <v>10000</v>
      </c>
      <c r="H99">
        <v>422785.04980307061</v>
      </c>
      <c r="I99">
        <v>35.913830697709514</v>
      </c>
    </row>
    <row r="100" spans="1:9" x14ac:dyDescent="0.2">
      <c r="A100">
        <v>90</v>
      </c>
      <c r="B100">
        <v>940351.94473627838</v>
      </c>
      <c r="C100">
        <v>129266.69772920238</v>
      </c>
      <c r="D100">
        <v>42635.015769689489</v>
      </c>
      <c r="E100">
        <v>57747.534165972196</v>
      </c>
      <c r="F100">
        <v>39997.906211490379</v>
      </c>
      <c r="G100">
        <v>10000</v>
      </c>
      <c r="H100">
        <v>259647.15387635445</v>
      </c>
      <c r="I100">
        <v>45.61472728928878</v>
      </c>
    </row>
    <row r="101" spans="1:9" x14ac:dyDescent="0.2">
      <c r="A101">
        <v>91</v>
      </c>
      <c r="B101">
        <v>1444672.7775398451</v>
      </c>
      <c r="C101">
        <v>112273.42032106408</v>
      </c>
      <c r="D101">
        <v>85270.935910021566</v>
      </c>
      <c r="E101">
        <v>163031.71695038062</v>
      </c>
      <c r="F101">
        <v>47286.811173487891</v>
      </c>
      <c r="G101">
        <v>10000</v>
      </c>
      <c r="H101">
        <v>397862.88435495424</v>
      </c>
      <c r="I101">
        <v>27.82173659513262</v>
      </c>
    </row>
    <row r="102" spans="1:9" x14ac:dyDescent="0.2">
      <c r="A102">
        <v>92</v>
      </c>
      <c r="B102">
        <v>1450265.5393496223</v>
      </c>
      <c r="C102">
        <v>89342.442640754394</v>
      </c>
      <c r="D102">
        <v>106699.30869722115</v>
      </c>
      <c r="E102">
        <v>165870.55643730998</v>
      </c>
      <c r="F102">
        <v>47483.346214890691</v>
      </c>
      <c r="G102">
        <v>10000</v>
      </c>
      <c r="H102">
        <v>399395.65399017627</v>
      </c>
      <c r="I102">
        <v>52.578338620442246</v>
      </c>
    </row>
    <row r="103" spans="1:9" x14ac:dyDescent="0.2">
      <c r="A103">
        <v>93</v>
      </c>
      <c r="B103">
        <v>1281095.9449866337</v>
      </c>
      <c r="C103">
        <v>99672.59595029967</v>
      </c>
      <c r="D103">
        <v>53827.531464315929</v>
      </c>
      <c r="E103">
        <v>162296.47353146182</v>
      </c>
      <c r="F103">
        <v>47235.909706024286</v>
      </c>
      <c r="G103">
        <v>10000</v>
      </c>
      <c r="H103">
        <v>353032.51065210166</v>
      </c>
      <c r="I103">
        <v>33.738804985231695</v>
      </c>
    </row>
    <row r="104" spans="1:9" x14ac:dyDescent="0.2">
      <c r="A104">
        <v>94</v>
      </c>
      <c r="B104">
        <v>902958.23985566362</v>
      </c>
      <c r="C104">
        <v>96083.747369179589</v>
      </c>
      <c r="D104">
        <v>76650.540676365548</v>
      </c>
      <c r="E104">
        <v>47384.187431726852</v>
      </c>
      <c r="F104">
        <v>39280.443745273398</v>
      </c>
      <c r="G104">
        <v>10000</v>
      </c>
      <c r="H104">
        <v>249398.9192225454</v>
      </c>
      <c r="I104">
        <v>29.572174359500352</v>
      </c>
    </row>
    <row r="105" spans="1:9" x14ac:dyDescent="0.2">
      <c r="A105">
        <v>95</v>
      </c>
      <c r="B105">
        <v>1607599.4581734857</v>
      </c>
      <c r="C105">
        <v>161193.12037867869</v>
      </c>
      <c r="D105">
        <v>127114.89989246753</v>
      </c>
      <c r="E105">
        <v>119905.87890470446</v>
      </c>
      <c r="F105">
        <v>44301.176231864149</v>
      </c>
      <c r="G105">
        <v>10000</v>
      </c>
      <c r="H105">
        <v>442515.07540771482</v>
      </c>
      <c r="I105">
        <v>39.948874082657852</v>
      </c>
    </row>
    <row r="106" spans="1:9" x14ac:dyDescent="0.2">
      <c r="A106">
        <v>96</v>
      </c>
      <c r="B106">
        <v>1690905.1312076072</v>
      </c>
      <c r="C106">
        <v>158610.5199328305</v>
      </c>
      <c r="D106">
        <v>111061.32376391372</v>
      </c>
      <c r="E106">
        <v>158688.14060958987</v>
      </c>
      <c r="F106">
        <v>46986.102042202372</v>
      </c>
      <c r="G106">
        <v>10000</v>
      </c>
      <c r="H106">
        <v>465346.08634853648</v>
      </c>
      <c r="I106">
        <v>50.541416339417843</v>
      </c>
    </row>
    <row r="107" spans="1:9" x14ac:dyDescent="0.2">
      <c r="A107">
        <v>97</v>
      </c>
      <c r="B107">
        <v>931110.89559970913</v>
      </c>
      <c r="C107">
        <v>102624.3290430873</v>
      </c>
      <c r="D107">
        <v>40225.757905719795</v>
      </c>
      <c r="E107">
        <v>82549.472855065105</v>
      </c>
      <c r="F107">
        <v>41714.963505350664</v>
      </c>
      <c r="G107">
        <v>10000</v>
      </c>
      <c r="H107">
        <v>257114.52330922289</v>
      </c>
      <c r="I107">
        <v>41.23057105065692</v>
      </c>
    </row>
    <row r="108" spans="1:9" x14ac:dyDescent="0.2">
      <c r="A108">
        <v>98</v>
      </c>
      <c r="B108">
        <v>1154468.5955827022</v>
      </c>
      <c r="C108">
        <v>140830.19119309389</v>
      </c>
      <c r="D108">
        <v>27954.860693783321</v>
      </c>
      <c r="E108">
        <v>115544.35065556165</v>
      </c>
      <c r="F108">
        <v>43999.224276154266</v>
      </c>
      <c r="G108">
        <v>10000</v>
      </c>
      <c r="H108">
        <v>318328.62681859313</v>
      </c>
      <c r="I108">
        <v>30.494403312944634</v>
      </c>
    </row>
    <row r="109" spans="1:9" x14ac:dyDescent="0.2">
      <c r="A109">
        <v>99</v>
      </c>
      <c r="B109">
        <v>1013983.5267976407</v>
      </c>
      <c r="C109">
        <v>99981.459162237894</v>
      </c>
      <c r="D109">
        <v>55011.287359197209</v>
      </c>
      <c r="E109">
        <v>92434.776275622193</v>
      </c>
      <c r="F109">
        <v>42399.330665235379</v>
      </c>
      <c r="G109">
        <v>10000</v>
      </c>
      <c r="H109">
        <v>279826.8534622927</v>
      </c>
      <c r="I109">
        <v>49.682409285925644</v>
      </c>
    </row>
    <row r="110" spans="1:9" x14ac:dyDescent="0.2">
      <c r="A110">
        <v>100</v>
      </c>
      <c r="B110">
        <v>836648.22970829532</v>
      </c>
      <c r="C110">
        <v>106203.8611749143</v>
      </c>
      <c r="D110">
        <v>44326.626514234755</v>
      </c>
      <c r="E110">
        <v>51153.882035482653</v>
      </c>
      <c r="F110">
        <v>39541.422602456492</v>
      </c>
      <c r="G110">
        <v>10000</v>
      </c>
      <c r="H110">
        <v>231225.79232708819</v>
      </c>
      <c r="I110">
        <v>50.506066604972055</v>
      </c>
    </row>
    <row r="111" spans="1:9" x14ac:dyDescent="0.2">
      <c r="A111">
        <v>101</v>
      </c>
      <c r="B111">
        <v>1185721.1199946837</v>
      </c>
      <c r="C111">
        <v>102148.89234059474</v>
      </c>
      <c r="D111">
        <v>101972.57847404708</v>
      </c>
      <c r="E111">
        <v>90506.486055203844</v>
      </c>
      <c r="F111">
        <v>42265.833649975648</v>
      </c>
      <c r="G111">
        <v>10000</v>
      </c>
      <c r="H111">
        <v>326893.79051982134</v>
      </c>
      <c r="I111">
        <v>45.823220104616027</v>
      </c>
    </row>
    <row r="112" spans="1:9" x14ac:dyDescent="0.2">
      <c r="A112">
        <v>102</v>
      </c>
      <c r="B112">
        <v>997392.93494110904</v>
      </c>
      <c r="C112">
        <v>112239.89130699405</v>
      </c>
      <c r="D112">
        <v>62345.054251780886</v>
      </c>
      <c r="E112">
        <v>69858.669456238189</v>
      </c>
      <c r="F112">
        <v>40836.369423893419</v>
      </c>
      <c r="G112">
        <v>10000</v>
      </c>
      <c r="H112">
        <v>275279.98443890654</v>
      </c>
      <c r="I112">
        <v>38.427952671908898</v>
      </c>
    </row>
    <row r="113" spans="1:9" x14ac:dyDescent="0.2">
      <c r="A113">
        <v>103</v>
      </c>
      <c r="B113">
        <v>1094439.9443928292</v>
      </c>
      <c r="C113">
        <v>131291.95181368539</v>
      </c>
      <c r="D113">
        <v>71568.410281864621</v>
      </c>
      <c r="E113">
        <v>68288.93128824672</v>
      </c>
      <c r="F113">
        <v>40727.695243032467</v>
      </c>
      <c r="G113">
        <v>10000</v>
      </c>
      <c r="H113">
        <v>301876.98862682917</v>
      </c>
      <c r="I113">
        <v>33.330456982306657</v>
      </c>
    </row>
    <row r="114" spans="1:9" x14ac:dyDescent="0.2">
      <c r="A114">
        <v>104</v>
      </c>
      <c r="B114">
        <v>1652662.1060235745</v>
      </c>
      <c r="C114">
        <v>119081.74425676231</v>
      </c>
      <c r="D114">
        <v>119745.34103093296</v>
      </c>
      <c r="E114">
        <v>177733.38040870146</v>
      </c>
      <c r="F114">
        <v>48304.618643679329</v>
      </c>
      <c r="G114">
        <v>10000</v>
      </c>
      <c r="H114">
        <v>454865.08434007608</v>
      </c>
      <c r="I114">
        <v>36.753971105033031</v>
      </c>
    </row>
    <row r="115" spans="1:9" x14ac:dyDescent="0.2">
      <c r="A115">
        <v>105</v>
      </c>
      <c r="B115">
        <v>1256734.2272747685</v>
      </c>
      <c r="C115">
        <v>82112.097416366712</v>
      </c>
      <c r="D115">
        <v>132801.87218326796</v>
      </c>
      <c r="E115">
        <v>98614.7202516369</v>
      </c>
      <c r="F115">
        <v>42827.172940497941</v>
      </c>
      <c r="G115">
        <v>10000</v>
      </c>
      <c r="H115">
        <v>346355.8627917695</v>
      </c>
      <c r="I115">
        <v>31.639016868568163</v>
      </c>
    </row>
    <row r="116" spans="1:9" x14ac:dyDescent="0.2">
      <c r="A116">
        <v>106</v>
      </c>
      <c r="B116">
        <v>1077798.1352394526</v>
      </c>
      <c r="C116">
        <v>110864.846788558</v>
      </c>
      <c r="D116">
        <v>111722.70588108161</v>
      </c>
      <c r="E116">
        <v>45573.445475899425</v>
      </c>
      <c r="F116">
        <v>39155.084686793038</v>
      </c>
      <c r="G116">
        <v>10000</v>
      </c>
      <c r="H116">
        <v>297316.08283233206</v>
      </c>
      <c r="I116">
        <v>41.969028679902536</v>
      </c>
    </row>
    <row r="117" spans="1:9" x14ac:dyDescent="0.2">
      <c r="A117">
        <v>107</v>
      </c>
      <c r="B117">
        <v>1488774.6359486682</v>
      </c>
      <c r="C117">
        <v>114776.05214897988</v>
      </c>
      <c r="D117">
        <v>108989.655996147</v>
      </c>
      <c r="E117">
        <v>149812.25084401848</v>
      </c>
      <c r="F117">
        <v>46371.617366124352</v>
      </c>
      <c r="G117">
        <v>10000</v>
      </c>
      <c r="H117">
        <v>409949.5763552697</v>
      </c>
      <c r="I117">
        <v>40.703717369084309</v>
      </c>
    </row>
    <row r="118" spans="1:9" x14ac:dyDescent="0.2">
      <c r="A118">
        <v>108</v>
      </c>
      <c r="B118">
        <v>1145613.1306572892</v>
      </c>
      <c r="C118">
        <v>79573.618522331628</v>
      </c>
      <c r="D118">
        <v>80128.195113905167</v>
      </c>
      <c r="E118">
        <v>121769.65044958775</v>
      </c>
      <c r="F118">
        <v>44430.206569586844</v>
      </c>
      <c r="G118">
        <v>10000</v>
      </c>
      <c r="H118">
        <v>315901.67065541138</v>
      </c>
      <c r="I118">
        <v>36.312439401954208</v>
      </c>
    </row>
    <row r="119" spans="1:9" x14ac:dyDescent="0.2">
      <c r="A119">
        <v>109</v>
      </c>
      <c r="B119">
        <v>1002292.593892477</v>
      </c>
      <c r="C119">
        <v>115900.89898915516</v>
      </c>
      <c r="D119">
        <v>76910.637462898274</v>
      </c>
      <c r="E119">
        <v>54068.088356789493</v>
      </c>
      <c r="F119">
        <v>39743.175347777731</v>
      </c>
      <c r="G119">
        <v>10000</v>
      </c>
      <c r="H119">
        <v>276622.80015662068</v>
      </c>
      <c r="I119">
        <v>34.530172309488805</v>
      </c>
    </row>
    <row r="120" spans="1:9" x14ac:dyDescent="0.2">
      <c r="A120">
        <v>110</v>
      </c>
      <c r="B120">
        <v>1337765.0372598218</v>
      </c>
      <c r="C120">
        <v>104557.24148220492</v>
      </c>
      <c r="D120">
        <v>53545.947929106878</v>
      </c>
      <c r="E120">
        <v>172516.76028391774</v>
      </c>
      <c r="F120">
        <v>47943.468019655847</v>
      </c>
      <c r="G120">
        <v>10000</v>
      </c>
      <c r="H120">
        <v>368563.41771488538</v>
      </c>
      <c r="I120">
        <v>38.657226658638706</v>
      </c>
    </row>
    <row r="121" spans="1:9" x14ac:dyDescent="0.2">
      <c r="A121">
        <v>111</v>
      </c>
      <c r="B121">
        <v>1464021.9010417524</v>
      </c>
      <c r="C121">
        <v>152879.81135750073</v>
      </c>
      <c r="D121">
        <v>97938.223023502549</v>
      </c>
      <c r="E121">
        <v>118166.94240895963</v>
      </c>
      <c r="F121">
        <v>44180.788320620282</v>
      </c>
      <c r="G121">
        <v>10000</v>
      </c>
      <c r="H121">
        <v>403165.76511058316</v>
      </c>
      <c r="I121">
        <v>32.492592927163123</v>
      </c>
    </row>
    <row r="122" spans="1:9" x14ac:dyDescent="0.2">
      <c r="A122">
        <v>112</v>
      </c>
      <c r="B122">
        <v>863378.90747113631</v>
      </c>
      <c r="C122">
        <v>93178.080808039405</v>
      </c>
      <c r="D122">
        <v>51446.75752985922</v>
      </c>
      <c r="E122">
        <v>63528.705250479361</v>
      </c>
      <c r="F122">
        <v>40398.14113272549</v>
      </c>
      <c r="G122">
        <v>10000</v>
      </c>
      <c r="H122">
        <v>238551.68472110349</v>
      </c>
      <c r="I122">
        <v>35.953930737158046</v>
      </c>
    </row>
    <row r="123" spans="1:9" x14ac:dyDescent="0.2">
      <c r="A123">
        <v>113</v>
      </c>
      <c r="B123">
        <v>1081837.2668023254</v>
      </c>
      <c r="C123">
        <v>128087.42942069711</v>
      </c>
      <c r="D123">
        <v>51399.327197725572</v>
      </c>
      <c r="E123">
        <v>86918.844652555708</v>
      </c>
      <c r="F123">
        <v>42017.458475946165</v>
      </c>
      <c r="G123">
        <v>10000</v>
      </c>
      <c r="H123">
        <v>298423.05974692455</v>
      </c>
      <c r="I123">
        <v>39.065149263449513</v>
      </c>
    </row>
    <row r="124" spans="1:9" x14ac:dyDescent="0.2">
      <c r="A124">
        <v>114</v>
      </c>
      <c r="B124">
        <v>1282343.043864642</v>
      </c>
      <c r="C124">
        <v>84061.999337371264</v>
      </c>
      <c r="D124">
        <v>103515.44995234163</v>
      </c>
      <c r="E124">
        <v>130745.25085599608</v>
      </c>
      <c r="F124">
        <v>45051.594290030494</v>
      </c>
      <c r="G124">
        <v>10000</v>
      </c>
      <c r="H124">
        <v>353374.29443573946</v>
      </c>
      <c r="I124">
        <v>41.281281721851805</v>
      </c>
    </row>
    <row r="125" spans="1:9" x14ac:dyDescent="0.2">
      <c r="A125">
        <v>115</v>
      </c>
      <c r="B125">
        <v>842262.2526227769</v>
      </c>
      <c r="C125">
        <v>80476.841940278769</v>
      </c>
      <c r="D125">
        <v>96575.528528899958</v>
      </c>
      <c r="E125">
        <v>27788.218626327754</v>
      </c>
      <c r="F125">
        <v>37923.799751053462</v>
      </c>
      <c r="G125">
        <v>10000</v>
      </c>
      <c r="H125">
        <v>232764.38884655992</v>
      </c>
      <c r="I125">
        <v>42.792384658848221</v>
      </c>
    </row>
    <row r="126" spans="1:9" x14ac:dyDescent="0.2">
      <c r="A126">
        <v>116</v>
      </c>
      <c r="B126">
        <v>1180439.8632838435</v>
      </c>
      <c r="C126">
        <v>92744.723383131117</v>
      </c>
      <c r="D126">
        <v>103255.06370856507</v>
      </c>
      <c r="E126">
        <v>96748.624172298136</v>
      </c>
      <c r="F126">
        <v>42697.981673466791</v>
      </c>
      <c r="G126">
        <v>10000</v>
      </c>
      <c r="H126">
        <v>325446.39293746109</v>
      </c>
      <c r="I126">
        <v>50.765500379437938</v>
      </c>
    </row>
    <row r="127" spans="1:9" x14ac:dyDescent="0.2">
      <c r="A127">
        <v>117</v>
      </c>
      <c r="B127">
        <v>1017277.5987044706</v>
      </c>
      <c r="C127">
        <v>110624.17279596874</v>
      </c>
      <c r="D127">
        <v>89281.168424261734</v>
      </c>
      <c r="E127">
        <v>51274.521250075704</v>
      </c>
      <c r="F127">
        <v>39549.774548082161</v>
      </c>
      <c r="G127">
        <v>10000</v>
      </c>
      <c r="H127">
        <v>280729.63701838831</v>
      </c>
      <c r="I127">
        <v>40.042374024731657</v>
      </c>
    </row>
    <row r="128" spans="1:9" x14ac:dyDescent="0.2">
      <c r="A128">
        <v>118</v>
      </c>
      <c r="B128">
        <v>1289746.9312180234</v>
      </c>
      <c r="C128">
        <v>97234.479709170075</v>
      </c>
      <c r="D128">
        <v>98245.204869514477</v>
      </c>
      <c r="E128">
        <v>125252.42073637909</v>
      </c>
      <c r="F128">
        <v>44671.32143559547</v>
      </c>
      <c r="G128">
        <v>10000</v>
      </c>
      <c r="H128">
        <v>355403.42675065913</v>
      </c>
      <c r="I128">
        <v>33.229897767710604</v>
      </c>
    </row>
    <row r="129" spans="1:9" x14ac:dyDescent="0.2">
      <c r="A129">
        <v>119</v>
      </c>
      <c r="B129">
        <v>1044040.022809574</v>
      </c>
      <c r="C129">
        <v>123375.85580259598</v>
      </c>
      <c r="D129">
        <v>79777.931917124457</v>
      </c>
      <c r="E129">
        <v>55096.097015629894</v>
      </c>
      <c r="F129">
        <v>39814.345178005147</v>
      </c>
      <c r="G129">
        <v>10000</v>
      </c>
      <c r="H129">
        <v>288064.22991335549</v>
      </c>
      <c r="I129">
        <v>26.056324376468972</v>
      </c>
    </row>
    <row r="130" spans="1:9" x14ac:dyDescent="0.2">
      <c r="A130">
        <v>120</v>
      </c>
      <c r="B130">
        <v>1322471.1890374902</v>
      </c>
      <c r="C130">
        <v>103410.33780610123</v>
      </c>
      <c r="D130">
        <v>67095.61726910375</v>
      </c>
      <c r="E130">
        <v>156996.96270099367</v>
      </c>
      <c r="F130">
        <v>46869.02049468417</v>
      </c>
      <c r="G130">
        <v>10000</v>
      </c>
      <c r="H130">
        <v>364371.93827088282</v>
      </c>
      <c r="I130">
        <v>31.151198772870512</v>
      </c>
    </row>
    <row r="131" spans="1:9" x14ac:dyDescent="0.2">
      <c r="A131">
        <v>121</v>
      </c>
      <c r="B131">
        <v>1457184.9943852779</v>
      </c>
      <c r="C131">
        <v>134753.04363854064</v>
      </c>
      <c r="D131">
        <v>100840.9951907697</v>
      </c>
      <c r="E131">
        <v>130652.78934489668</v>
      </c>
      <c r="F131">
        <v>45045.193108492851</v>
      </c>
      <c r="G131">
        <v>10000</v>
      </c>
      <c r="H131">
        <v>401292.02128269989</v>
      </c>
      <c r="I131">
        <v>39.147874065541686</v>
      </c>
    </row>
    <row r="132" spans="1:9" x14ac:dyDescent="0.2">
      <c r="A132">
        <v>122</v>
      </c>
      <c r="B132">
        <v>1185450.0297722425</v>
      </c>
      <c r="C132">
        <v>152143.44121091775</v>
      </c>
      <c r="D132">
        <v>39987.551213894258</v>
      </c>
      <c r="E132">
        <v>101651.11722949283</v>
      </c>
      <c r="F132">
        <v>43037.385038964887</v>
      </c>
      <c r="G132">
        <v>10000</v>
      </c>
      <c r="H132">
        <v>326819.49469326972</v>
      </c>
      <c r="I132">
        <v>31.832463373827562</v>
      </c>
    </row>
    <row r="133" spans="1:9" x14ac:dyDescent="0.2">
      <c r="A133">
        <v>123</v>
      </c>
      <c r="B133">
        <v>1434884.0805660542</v>
      </c>
      <c r="C133">
        <v>96206.29836111769</v>
      </c>
      <c r="D133">
        <v>117355.8594662072</v>
      </c>
      <c r="E133">
        <v>145542.01990358031</v>
      </c>
      <c r="F133">
        <v>46075.985993324786</v>
      </c>
      <c r="G133">
        <v>10000</v>
      </c>
      <c r="H133">
        <v>395180.16372422996</v>
      </c>
      <c r="I133">
        <v>23.648307151186209</v>
      </c>
    </row>
    <row r="134" spans="1:9" x14ac:dyDescent="0.2">
      <c r="A134">
        <v>124</v>
      </c>
      <c r="B134">
        <v>1328459.868323457</v>
      </c>
      <c r="C134">
        <v>132468.03831660026</v>
      </c>
      <c r="D134">
        <v>76747.485414562325</v>
      </c>
      <c r="E134">
        <v>122328.77533035455</v>
      </c>
      <c r="F134">
        <v>44468.915215178393</v>
      </c>
      <c r="G134">
        <v>10000</v>
      </c>
      <c r="H134">
        <v>366013.21427669551</v>
      </c>
      <c r="I134">
        <v>47.056139386020106</v>
      </c>
    </row>
    <row r="135" spans="1:9" x14ac:dyDescent="0.2">
      <c r="A135">
        <v>125</v>
      </c>
      <c r="B135">
        <v>1461122.1888335017</v>
      </c>
      <c r="C135">
        <v>133218.94112005772</v>
      </c>
      <c r="D135">
        <v>80806.924765523741</v>
      </c>
      <c r="E135">
        <v>151833.63571451639</v>
      </c>
      <c r="F135">
        <v>46511.559395620367</v>
      </c>
      <c r="G135">
        <v>10000</v>
      </c>
      <c r="H135">
        <v>402371.06099571823</v>
      </c>
      <c r="I135">
        <v>33.172036920316188</v>
      </c>
    </row>
    <row r="136" spans="1:9" x14ac:dyDescent="0.2">
      <c r="A136">
        <v>126</v>
      </c>
      <c r="B136">
        <v>997992.00121438876</v>
      </c>
      <c r="C136">
        <v>125148.84934059752</v>
      </c>
      <c r="D136">
        <v>51800.910660820344</v>
      </c>
      <c r="E136">
        <v>67800.523968443958</v>
      </c>
      <c r="F136">
        <v>40693.882428584584</v>
      </c>
      <c r="G136">
        <v>10000</v>
      </c>
      <c r="H136">
        <v>275444.16639844637</v>
      </c>
      <c r="I136">
        <v>43.101999480614779</v>
      </c>
    </row>
    <row r="137" spans="1:9" x14ac:dyDescent="0.2">
      <c r="A137">
        <v>127</v>
      </c>
      <c r="B137">
        <v>1419098.7641482034</v>
      </c>
      <c r="C137">
        <v>119903.46606937647</v>
      </c>
      <c r="D137">
        <v>116082.21151971255</v>
      </c>
      <c r="E137">
        <v>120524.3218795314</v>
      </c>
      <c r="F137">
        <v>44343.991514736794</v>
      </c>
      <c r="G137">
        <v>10000</v>
      </c>
      <c r="H137">
        <v>390853.99098335719</v>
      </c>
      <c r="I137">
        <v>31.083955880486617</v>
      </c>
    </row>
    <row r="138" spans="1:9" x14ac:dyDescent="0.2">
      <c r="A138">
        <v>128</v>
      </c>
      <c r="B138">
        <v>1127897.5914034154</v>
      </c>
      <c r="C138">
        <v>133452.97332615187</v>
      </c>
      <c r="D138">
        <v>43584.912741370375</v>
      </c>
      <c r="E138">
        <v>101015.24582195147</v>
      </c>
      <c r="F138">
        <v>42993.363172288948</v>
      </c>
      <c r="G138">
        <v>10000</v>
      </c>
      <c r="H138">
        <v>311046.49506176263</v>
      </c>
      <c r="I138">
        <v>24.848288706507642</v>
      </c>
    </row>
    <row r="139" spans="1:9" x14ac:dyDescent="0.2">
      <c r="A139">
        <v>129</v>
      </c>
      <c r="B139">
        <v>1427128.3329373191</v>
      </c>
      <c r="C139">
        <v>133004.79760585912</v>
      </c>
      <c r="D139">
        <v>151940.87116512697</v>
      </c>
      <c r="E139">
        <v>76792.525134506039</v>
      </c>
      <c r="F139">
        <v>41316.405586235036</v>
      </c>
      <c r="G139">
        <v>10000</v>
      </c>
      <c r="H139">
        <v>393054.59949172719</v>
      </c>
      <c r="I139">
        <v>44.500644718277279</v>
      </c>
    </row>
    <row r="140" spans="1:9" x14ac:dyDescent="0.2">
      <c r="A140">
        <v>130</v>
      </c>
      <c r="B140">
        <v>1758051.8374997468</v>
      </c>
      <c r="C140">
        <v>90143.210897089317</v>
      </c>
      <c r="D140">
        <v>147370.31954646856</v>
      </c>
      <c r="E140">
        <v>205975.17082068714</v>
      </c>
      <c r="F140">
        <v>50259.819518355267</v>
      </c>
      <c r="G140">
        <v>10000</v>
      </c>
      <c r="H140">
        <v>483748.52078260027</v>
      </c>
      <c r="I140">
        <v>32.733230700220403</v>
      </c>
    </row>
    <row r="141" spans="1:9" x14ac:dyDescent="0.2">
      <c r="A141">
        <v>131</v>
      </c>
      <c r="B141">
        <v>1062510.0115145475</v>
      </c>
      <c r="C141">
        <v>101881.20906178796</v>
      </c>
      <c r="D141">
        <v>75082.786960411438</v>
      </c>
      <c r="E141">
        <v>84324.337490307764</v>
      </c>
      <c r="F141">
        <v>41837.838749328999</v>
      </c>
      <c r="G141">
        <v>10000</v>
      </c>
      <c r="H141">
        <v>293126.17226183612</v>
      </c>
      <c r="I141">
        <v>52.657773903715352</v>
      </c>
    </row>
    <row r="142" spans="1:9" x14ac:dyDescent="0.2">
      <c r="A142">
        <v>132</v>
      </c>
      <c r="B142">
        <v>851829.03211631859</v>
      </c>
      <c r="C142">
        <v>128362.77042283</v>
      </c>
      <c r="D142">
        <v>52794.141996197759</v>
      </c>
      <c r="E142">
        <v>26401.576234230408</v>
      </c>
      <c r="F142">
        <v>37827.801431600565</v>
      </c>
      <c r="G142">
        <v>10000</v>
      </c>
      <c r="H142">
        <v>235386.29008485875</v>
      </c>
      <c r="I142">
        <v>45.485410468000559</v>
      </c>
    </row>
    <row r="143" spans="1:9" x14ac:dyDescent="0.2">
      <c r="A143">
        <v>133</v>
      </c>
      <c r="B143">
        <v>1373750.1154959621</v>
      </c>
      <c r="C143">
        <v>135622.20546877143</v>
      </c>
      <c r="D143">
        <v>89203.674923495491</v>
      </c>
      <c r="E143">
        <v>119337.86705772391</v>
      </c>
      <c r="F143">
        <v>44261.852334765506</v>
      </c>
      <c r="G143">
        <v>10000</v>
      </c>
      <c r="H143">
        <v>378425.59978475631</v>
      </c>
      <c r="I143">
        <v>40.617862347004007</v>
      </c>
    </row>
    <row r="144" spans="1:9" x14ac:dyDescent="0.2">
      <c r="A144">
        <v>134</v>
      </c>
      <c r="B144">
        <v>1224648.2999918722</v>
      </c>
      <c r="C144">
        <v>91791.220235500834</v>
      </c>
      <c r="D144">
        <v>69605.723151928862</v>
      </c>
      <c r="E144">
        <v>140442.41435118593</v>
      </c>
      <c r="F144">
        <v>45722.936378159022</v>
      </c>
      <c r="G144">
        <v>10000</v>
      </c>
      <c r="H144">
        <v>337562.29411677463</v>
      </c>
      <c r="I144">
        <v>27.969442825114221</v>
      </c>
    </row>
    <row r="145" spans="1:9" x14ac:dyDescent="0.2">
      <c r="A145">
        <v>135</v>
      </c>
      <c r="B145">
        <v>989360.26113815082</v>
      </c>
      <c r="C145">
        <v>125645.57798257985</v>
      </c>
      <c r="D145">
        <v>86306.445940117788</v>
      </c>
      <c r="E145">
        <v>32852.123273063567</v>
      </c>
      <c r="F145">
        <v>38274.377765058249</v>
      </c>
      <c r="G145">
        <v>10000</v>
      </c>
      <c r="H145">
        <v>273078.52496081946</v>
      </c>
      <c r="I145">
        <v>35.054874231809521</v>
      </c>
    </row>
    <row r="146" spans="1:9" x14ac:dyDescent="0.2">
      <c r="A146">
        <v>136</v>
      </c>
      <c r="B146">
        <v>1555600.0296307867</v>
      </c>
      <c r="C146">
        <v>152135.60855853424</v>
      </c>
      <c r="D146">
        <v>148285.48599046312</v>
      </c>
      <c r="E146">
        <v>95248.714535084349</v>
      </c>
      <c r="F146">
        <v>42594.141775505843</v>
      </c>
      <c r="G146">
        <v>10000</v>
      </c>
      <c r="H146">
        <v>428263.95085958752</v>
      </c>
      <c r="I146">
        <v>35.500919784122289</v>
      </c>
    </row>
    <row r="147" spans="1:9" x14ac:dyDescent="0.2">
      <c r="A147">
        <v>137</v>
      </c>
      <c r="B147">
        <v>1504065.8164648039</v>
      </c>
      <c r="C147">
        <v>156616.33239534739</v>
      </c>
      <c r="D147">
        <v>56431.93890433167</v>
      </c>
      <c r="E147">
        <v>163755.15783719046</v>
      </c>
      <c r="F147">
        <v>47336.895542574726</v>
      </c>
      <c r="G147">
        <v>10000</v>
      </c>
      <c r="H147">
        <v>414140.32467944419</v>
      </c>
      <c r="I147">
        <v>38.725740812891445</v>
      </c>
    </row>
    <row r="148" spans="1:9" x14ac:dyDescent="0.2">
      <c r="A148">
        <v>138</v>
      </c>
      <c r="B148">
        <v>1721371.3270935423</v>
      </c>
      <c r="C148">
        <v>150243.89095647709</v>
      </c>
      <c r="D148">
        <v>134180.34615143278</v>
      </c>
      <c r="E148">
        <v>152699.97273498017</v>
      </c>
      <c r="F148">
        <v>46571.536573960162</v>
      </c>
      <c r="G148">
        <v>10000</v>
      </c>
      <c r="H148">
        <v>473695.74641685019</v>
      </c>
      <c r="I148">
        <v>24.958774262709266</v>
      </c>
    </row>
    <row r="149" spans="1:9" x14ac:dyDescent="0.2">
      <c r="A149">
        <v>139</v>
      </c>
      <c r="B149">
        <v>1556830.1841530334</v>
      </c>
      <c r="C149">
        <v>146944.26994100376</v>
      </c>
      <c r="D149">
        <v>100655.69975776492</v>
      </c>
      <c r="E149">
        <v>144965.07730815929</v>
      </c>
      <c r="F149">
        <v>46036.043813641794</v>
      </c>
      <c r="G149">
        <v>10000</v>
      </c>
      <c r="H149">
        <v>428601.09082056978</v>
      </c>
      <c r="I149">
        <v>29.23805658925528</v>
      </c>
    </row>
    <row r="150" spans="1:9" x14ac:dyDescent="0.2">
      <c r="A150">
        <v>140</v>
      </c>
      <c r="B150">
        <v>877286.37510308158</v>
      </c>
      <c r="C150">
        <v>127743.44055878131</v>
      </c>
      <c r="D150">
        <v>38618.130456341511</v>
      </c>
      <c r="E150">
        <v>46764.121298667844</v>
      </c>
      <c r="F150">
        <v>39237.516089907775</v>
      </c>
      <c r="G150">
        <v>10000</v>
      </c>
      <c r="H150">
        <v>242363.20840369846</v>
      </c>
      <c r="I150">
        <v>51.42023085707072</v>
      </c>
    </row>
    <row r="151" spans="1:9" x14ac:dyDescent="0.2">
      <c r="A151">
        <v>141</v>
      </c>
      <c r="B151">
        <v>1358394.4788935406</v>
      </c>
      <c r="C151">
        <v>91814.905966025181</v>
      </c>
      <c r="D151">
        <v>128131.61167916335</v>
      </c>
      <c r="E151">
        <v>119965.37367971393</v>
      </c>
      <c r="F151">
        <v>44305.295100903269</v>
      </c>
      <c r="G151">
        <v>10000</v>
      </c>
      <c r="H151">
        <v>374217.18642580573</v>
      </c>
      <c r="I151">
        <v>37.267106548400221</v>
      </c>
    </row>
    <row r="152" spans="1:9" x14ac:dyDescent="0.2">
      <c r="A152">
        <v>142</v>
      </c>
      <c r="B152">
        <v>1268067.7280022104</v>
      </c>
      <c r="C152">
        <v>96659.970273023166</v>
      </c>
      <c r="D152">
        <v>60999.794895632724</v>
      </c>
      <c r="E152">
        <v>155066.79823444714</v>
      </c>
      <c r="F152">
        <v>46735.393723923262</v>
      </c>
      <c r="G152">
        <v>10000</v>
      </c>
      <c r="H152">
        <v>349461.95712702628</v>
      </c>
      <c r="I152">
        <v>36.556376300923326</v>
      </c>
    </row>
    <row r="153" spans="1:9" x14ac:dyDescent="0.2">
      <c r="A153">
        <v>143</v>
      </c>
      <c r="B153">
        <v>1121186.8977083403</v>
      </c>
      <c r="C153">
        <v>81999.699557704735</v>
      </c>
      <c r="D153">
        <v>99687.965133789563</v>
      </c>
      <c r="E153">
        <v>94946.460370564761</v>
      </c>
      <c r="F153">
        <v>42573.216487192949</v>
      </c>
      <c r="G153">
        <v>10000</v>
      </c>
      <c r="H153">
        <v>309207.34154925204</v>
      </c>
      <c r="I153">
        <v>42.709297575651036</v>
      </c>
    </row>
    <row r="154" spans="1:9" x14ac:dyDescent="0.2">
      <c r="A154">
        <v>144</v>
      </c>
      <c r="B154">
        <v>1324418.7968655289</v>
      </c>
      <c r="C154">
        <v>99709.877072579693</v>
      </c>
      <c r="D154">
        <v>29155.277485658014</v>
      </c>
      <c r="E154">
        <v>196440.80323401318</v>
      </c>
      <c r="F154">
        <v>49599.747916200919</v>
      </c>
      <c r="G154">
        <v>10000</v>
      </c>
      <c r="H154">
        <v>364905.7057084518</v>
      </c>
      <c r="I154">
        <v>32.884653227272125</v>
      </c>
    </row>
    <row r="155" spans="1:9" x14ac:dyDescent="0.2">
      <c r="A155">
        <v>145</v>
      </c>
      <c r="B155">
        <v>946151.31557917409</v>
      </c>
      <c r="C155">
        <v>90220.123238936256</v>
      </c>
      <c r="D155">
        <v>110216.3667133759</v>
      </c>
      <c r="E155">
        <v>32546.816339993333</v>
      </c>
      <c r="F155">
        <v>38253.241131230308</v>
      </c>
      <c r="G155">
        <v>10000</v>
      </c>
      <c r="H155">
        <v>261236.54742353578</v>
      </c>
      <c r="I155">
        <v>44.943784379854975</v>
      </c>
    </row>
    <row r="156" spans="1:9" x14ac:dyDescent="0.2">
      <c r="A156">
        <v>146</v>
      </c>
      <c r="B156">
        <v>1291417.688941261</v>
      </c>
      <c r="C156">
        <v>80832.972786280341</v>
      </c>
      <c r="D156">
        <v>132670.20568841574</v>
      </c>
      <c r="E156">
        <v>108824.1609428058</v>
      </c>
      <c r="F156">
        <v>43533.98037296348</v>
      </c>
      <c r="G156">
        <v>10000</v>
      </c>
      <c r="H156">
        <v>355861.31979046535</v>
      </c>
      <c r="I156">
        <v>37.037289505430977</v>
      </c>
    </row>
    <row r="157" spans="1:9" x14ac:dyDescent="0.2">
      <c r="A157">
        <v>147</v>
      </c>
      <c r="B157">
        <v>1531427.2117859907</v>
      </c>
      <c r="C157">
        <v>116293.71527972573</v>
      </c>
      <c r="D157">
        <v>156821.72781418185</v>
      </c>
      <c r="E157">
        <v>114590.44568696826</v>
      </c>
      <c r="F157">
        <v>43933.184701405495</v>
      </c>
      <c r="G157">
        <v>10000</v>
      </c>
      <c r="H157">
        <v>421639.0734822813</v>
      </c>
      <c r="I157">
        <v>51.749820254081442</v>
      </c>
    </row>
    <row r="158" spans="1:9" x14ac:dyDescent="0.2">
      <c r="A158">
        <v>148</v>
      </c>
      <c r="B158">
        <v>1057953.9844948491</v>
      </c>
      <c r="C158">
        <v>108105.6066326852</v>
      </c>
      <c r="D158">
        <v>54639.970722461811</v>
      </c>
      <c r="E158">
        <v>96454.347357943712</v>
      </c>
      <c r="F158">
        <v>42677.608663242259</v>
      </c>
      <c r="G158">
        <v>10000</v>
      </c>
      <c r="H158">
        <v>291877.53337633301</v>
      </c>
      <c r="I158">
        <v>33.065417844029568</v>
      </c>
    </row>
    <row r="159" spans="1:9" x14ac:dyDescent="0.2">
      <c r="A159">
        <v>149</v>
      </c>
      <c r="B159">
        <v>1480467.2092873617</v>
      </c>
      <c r="C159">
        <v>89358.783923072435</v>
      </c>
      <c r="D159">
        <v>87141.795351372319</v>
      </c>
      <c r="E159">
        <v>191887.70458826574</v>
      </c>
      <c r="F159">
        <v>49284.533394572245</v>
      </c>
      <c r="G159">
        <v>10000</v>
      </c>
      <c r="H159">
        <v>407672.81725728273</v>
      </c>
      <c r="I159">
        <v>37.442216090070076</v>
      </c>
    </row>
    <row r="160" spans="1:9" x14ac:dyDescent="0.2">
      <c r="A160">
        <v>150</v>
      </c>
      <c r="B160">
        <v>1626645.6609499746</v>
      </c>
      <c r="C160">
        <v>105337.46163874277</v>
      </c>
      <c r="D160">
        <v>169247.91159728222</v>
      </c>
      <c r="E160">
        <v>137621.89395310057</v>
      </c>
      <c r="F160">
        <v>45527.6695813685</v>
      </c>
      <c r="G160">
        <v>10000</v>
      </c>
      <c r="H160">
        <v>447734.93677049404</v>
      </c>
      <c r="I160">
        <v>31.453462971549364</v>
      </c>
    </row>
    <row r="161" spans="1:9" x14ac:dyDescent="0.2">
      <c r="A161">
        <v>151</v>
      </c>
      <c r="B161">
        <v>1082856.3105148617</v>
      </c>
      <c r="C161">
        <v>96722.346767710522</v>
      </c>
      <c r="D161">
        <v>133259.56703070301</v>
      </c>
      <c r="E161">
        <v>39954.357334313143</v>
      </c>
      <c r="F161">
        <v>38766.07089237553</v>
      </c>
      <c r="G161">
        <v>10000</v>
      </c>
      <c r="H161">
        <v>298702.34202510223</v>
      </c>
      <c r="I161">
        <v>39.535335833775306</v>
      </c>
    </row>
    <row r="162" spans="1:9" x14ac:dyDescent="0.2">
      <c r="A162">
        <v>152</v>
      </c>
      <c r="B162">
        <v>1424244.9846807183</v>
      </c>
      <c r="C162">
        <v>132424.27871498236</v>
      </c>
      <c r="D162">
        <v>160233.39961112579</v>
      </c>
      <c r="E162">
        <v>68840.800250272063</v>
      </c>
      <c r="F162">
        <v>40765.901555788063</v>
      </c>
      <c r="G162">
        <v>10000</v>
      </c>
      <c r="H162">
        <v>392264.38013216824</v>
      </c>
      <c r="I162">
        <v>33.902005317563706</v>
      </c>
    </row>
    <row r="163" spans="1:9" x14ac:dyDescent="0.2">
      <c r="A163">
        <v>153</v>
      </c>
      <c r="B163">
        <v>793539.04181715788</v>
      </c>
      <c r="C163">
        <v>98250.379606578397</v>
      </c>
      <c r="D163">
        <v>63607.955075670485</v>
      </c>
      <c r="E163">
        <v>29509.831657652587</v>
      </c>
      <c r="F163">
        <v>38042.988345529797</v>
      </c>
      <c r="G163">
        <v>10000</v>
      </c>
      <c r="H163">
        <v>219411.15468543128</v>
      </c>
      <c r="I163">
        <v>27.90477405582768</v>
      </c>
    </row>
    <row r="164" spans="1:9" x14ac:dyDescent="0.2">
      <c r="A164">
        <v>154</v>
      </c>
      <c r="B164">
        <v>925814.43253712414</v>
      </c>
      <c r="C164">
        <v>102238.547456243</v>
      </c>
      <c r="D164">
        <v>65760.048446871704</v>
      </c>
      <c r="E164">
        <v>57671.705770516317</v>
      </c>
      <c r="F164">
        <v>39992.656553343433</v>
      </c>
      <c r="G164">
        <v>10000</v>
      </c>
      <c r="H164">
        <v>255662.95822697447</v>
      </c>
      <c r="I164">
        <v>41.308510991239764</v>
      </c>
    </row>
    <row r="165" spans="1:9" x14ac:dyDescent="0.2">
      <c r="A165">
        <v>155</v>
      </c>
      <c r="B165">
        <v>1166992.6712966666</v>
      </c>
      <c r="C165">
        <v>123242.83815892355</v>
      </c>
      <c r="D165">
        <v>93506.327869011904</v>
      </c>
      <c r="E165">
        <v>73895.972759472963</v>
      </c>
      <c r="F165">
        <v>41115.875037194281</v>
      </c>
      <c r="G165">
        <v>10000</v>
      </c>
      <c r="H165">
        <v>321761.01382460271</v>
      </c>
      <c r="I165">
        <v>33.9109464536037</v>
      </c>
    </row>
    <row r="166" spans="1:9" x14ac:dyDescent="0.2">
      <c r="A166">
        <v>156</v>
      </c>
      <c r="B166">
        <v>1107664.4327222481</v>
      </c>
      <c r="C166">
        <v>78790.7508767236</v>
      </c>
      <c r="D166">
        <v>113826.20895302546</v>
      </c>
      <c r="E166">
        <v>81258.766166797825</v>
      </c>
      <c r="F166">
        <v>41625.606888470618</v>
      </c>
      <c r="G166">
        <v>10000</v>
      </c>
      <c r="H166">
        <v>305501.3328850175</v>
      </c>
      <c r="I166">
        <v>30.684421170742169</v>
      </c>
    </row>
    <row r="167" spans="1:9" x14ac:dyDescent="0.2">
      <c r="A167">
        <v>157</v>
      </c>
      <c r="B167">
        <v>1598988.4901010785</v>
      </c>
      <c r="C167">
        <v>114910.57928254458</v>
      </c>
      <c r="D167">
        <v>136900.8707035461</v>
      </c>
      <c r="E167">
        <v>151832.21573443842</v>
      </c>
      <c r="F167">
        <v>46511.461089307275</v>
      </c>
      <c r="G167">
        <v>10000</v>
      </c>
      <c r="H167">
        <v>440155.12680983637</v>
      </c>
      <c r="I167">
        <v>39.066277986483129</v>
      </c>
    </row>
    <row r="168" spans="1:9" x14ac:dyDescent="0.2">
      <c r="A168">
        <v>158</v>
      </c>
      <c r="B168">
        <v>1585936.1235522928</v>
      </c>
      <c r="C168">
        <v>138630.03908256133</v>
      </c>
      <c r="D168">
        <v>138787.50848051195</v>
      </c>
      <c r="E168">
        <v>124538.51034705131</v>
      </c>
      <c r="F168">
        <v>44621.896870180477</v>
      </c>
      <c r="G168">
        <v>10000</v>
      </c>
      <c r="H168">
        <v>436577.9547803051</v>
      </c>
      <c r="I168">
        <v>35.068203711337659</v>
      </c>
    </row>
    <row r="169" spans="1:9" x14ac:dyDescent="0.2">
      <c r="A169">
        <v>159</v>
      </c>
      <c r="B169">
        <v>1662426.8026448886</v>
      </c>
      <c r="C169">
        <v>89026.601680590204</v>
      </c>
      <c r="D169">
        <v>146520.90389286046</v>
      </c>
      <c r="E169">
        <v>183303.48080739233</v>
      </c>
      <c r="F169">
        <v>48690.240978973314</v>
      </c>
      <c r="G169">
        <v>10000</v>
      </c>
      <c r="H169">
        <v>457541.22735981632</v>
      </c>
      <c r="I169">
        <v>35.083732844112063</v>
      </c>
    </row>
    <row r="170" spans="1:9" x14ac:dyDescent="0.2">
      <c r="A170">
        <v>160</v>
      </c>
      <c r="B170">
        <v>1491345.0393709494</v>
      </c>
      <c r="C170">
        <v>103352.75051496492</v>
      </c>
      <c r="D170">
        <v>103667.71897266242</v>
      </c>
      <c r="E170">
        <v>166132.10609697693</v>
      </c>
      <c r="F170">
        <v>47501.453499021474</v>
      </c>
      <c r="G170">
        <v>10000</v>
      </c>
      <c r="H170">
        <v>410654.02908362576</v>
      </c>
      <c r="I170">
        <v>36.196908268309912</v>
      </c>
    </row>
    <row r="171" spans="1:9" x14ac:dyDescent="0.2">
      <c r="A171">
        <v>161</v>
      </c>
      <c r="B171">
        <v>1053978.3281591237</v>
      </c>
      <c r="C171">
        <v>111791.6654016925</v>
      </c>
      <c r="D171">
        <v>77939.20279352754</v>
      </c>
      <c r="E171">
        <v>70197.273258418296</v>
      </c>
      <c r="F171">
        <v>40859.811225582809</v>
      </c>
      <c r="G171">
        <v>10000</v>
      </c>
      <c r="H171">
        <v>290787.95267922111</v>
      </c>
      <c r="I171">
        <v>29.646125589592884</v>
      </c>
    </row>
    <row r="172" spans="1:9" x14ac:dyDescent="0.2">
      <c r="A172">
        <v>162</v>
      </c>
      <c r="B172">
        <v>1302932.2263554044</v>
      </c>
      <c r="C172">
        <v>151659.88993062184</v>
      </c>
      <c r="D172">
        <v>78033.813428144102</v>
      </c>
      <c r="E172">
        <v>96633.326701525308</v>
      </c>
      <c r="F172">
        <v>42689.999540874829</v>
      </c>
      <c r="G172">
        <v>10000</v>
      </c>
      <c r="H172">
        <v>359017.02960116608</v>
      </c>
      <c r="I172">
        <v>51.895732056016591</v>
      </c>
    </row>
    <row r="173" spans="1:9" x14ac:dyDescent="0.2">
      <c r="A173">
        <v>163</v>
      </c>
      <c r="B173">
        <v>1384829.7708818356</v>
      </c>
      <c r="C173">
        <v>143892.7987878627</v>
      </c>
      <c r="D173">
        <v>85839.344206294132</v>
      </c>
      <c r="E173">
        <v>117589.19131672285</v>
      </c>
      <c r="F173">
        <v>44140.790168080814</v>
      </c>
      <c r="G173">
        <v>10000</v>
      </c>
      <c r="H173">
        <v>381462.12447896053</v>
      </c>
      <c r="I173">
        <v>33.765951968507068</v>
      </c>
    </row>
    <row r="174" spans="1:9" x14ac:dyDescent="0.2">
      <c r="A174">
        <v>164</v>
      </c>
      <c r="B174">
        <v>1231603.1661596145</v>
      </c>
      <c r="C174">
        <v>108189.57368874538</v>
      </c>
      <c r="D174">
        <v>106167.15487511584</v>
      </c>
      <c r="E174">
        <v>92694.337445367113</v>
      </c>
      <c r="F174">
        <v>42417.300284679259</v>
      </c>
      <c r="G174">
        <v>10000</v>
      </c>
      <c r="H174">
        <v>339468.36629390763</v>
      </c>
      <c r="I174">
        <v>31.554100220010682</v>
      </c>
    </row>
    <row r="175" spans="1:9" x14ac:dyDescent="0.2">
      <c r="A175">
        <v>165</v>
      </c>
      <c r="B175">
        <v>917156.32897403627</v>
      </c>
      <c r="C175">
        <v>89395.354160012968</v>
      </c>
      <c r="D175">
        <v>81855.699137756266</v>
      </c>
      <c r="E175">
        <v>52410.61129673606</v>
      </c>
      <c r="F175">
        <v>39628.426935927877</v>
      </c>
      <c r="G175">
        <v>10000</v>
      </c>
      <c r="H175">
        <v>253290.09153043316</v>
      </c>
      <c r="I175">
        <v>37.159561144392185</v>
      </c>
    </row>
    <row r="176" spans="1:9" x14ac:dyDescent="0.2">
      <c r="A176">
        <v>166</v>
      </c>
      <c r="B176">
        <v>1427861.0647612188</v>
      </c>
      <c r="C176">
        <v>135817.58234748084</v>
      </c>
      <c r="D176">
        <v>53780.554632263862</v>
      </c>
      <c r="E176">
        <v>166154.28809105972</v>
      </c>
      <c r="F176">
        <v>47502.989175534902</v>
      </c>
      <c r="G176">
        <v>10000</v>
      </c>
      <c r="H176">
        <v>393255.41424633935</v>
      </c>
      <c r="I176">
        <v>29.072647771329535</v>
      </c>
    </row>
    <row r="177" spans="1:9" x14ac:dyDescent="0.2">
      <c r="A177">
        <v>167</v>
      </c>
      <c r="B177">
        <v>1687434.9647178671</v>
      </c>
      <c r="C177">
        <v>111628.03942798822</v>
      </c>
      <c r="D177">
        <v>124412.72579864039</v>
      </c>
      <c r="E177">
        <v>189252.20107931324</v>
      </c>
      <c r="F177">
        <v>49102.075459337066</v>
      </c>
      <c r="G177">
        <v>10000</v>
      </c>
      <c r="H177">
        <v>464395.0417652789</v>
      </c>
      <c r="I177">
        <v>45.490098456638833</v>
      </c>
    </row>
    <row r="178" spans="1:9" x14ac:dyDescent="0.2">
      <c r="A178">
        <v>168</v>
      </c>
      <c r="B178">
        <v>1556046.0150391683</v>
      </c>
      <c r="C178">
        <v>98208.443061740036</v>
      </c>
      <c r="D178">
        <v>111762.18085448223</v>
      </c>
      <c r="E178">
        <v>179956.9939659111</v>
      </c>
      <c r="F178">
        <v>48458.56112071692</v>
      </c>
      <c r="G178">
        <v>10000</v>
      </c>
      <c r="H178">
        <v>428386.17900285026</v>
      </c>
      <c r="I178">
        <v>39.792108048379859</v>
      </c>
    </row>
    <row r="179" spans="1:9" x14ac:dyDescent="0.2">
      <c r="A179">
        <v>169</v>
      </c>
      <c r="B179">
        <v>991896.20439467649</v>
      </c>
      <c r="C179">
        <v>141172.12230732787</v>
      </c>
      <c r="D179">
        <v>61313.446944357842</v>
      </c>
      <c r="E179">
        <v>42355.649950330037</v>
      </c>
      <c r="F179">
        <v>38932.314227330542</v>
      </c>
      <c r="G179">
        <v>10000</v>
      </c>
      <c r="H179">
        <v>273773.53342934628</v>
      </c>
      <c r="I179">
        <v>34.957772335939538</v>
      </c>
    </row>
    <row r="180" spans="1:9" x14ac:dyDescent="0.2">
      <c r="A180">
        <v>170</v>
      </c>
      <c r="B180">
        <v>1068490.3279131323</v>
      </c>
      <c r="C180">
        <v>87670.814219131455</v>
      </c>
      <c r="D180">
        <v>60445.76731959419</v>
      </c>
      <c r="E180">
        <v>112836.79654756443</v>
      </c>
      <c r="F180">
        <v>43811.778222523688</v>
      </c>
      <c r="G180">
        <v>10000</v>
      </c>
      <c r="H180">
        <v>294765.15630881378</v>
      </c>
      <c r="I180">
        <v>38.557595932516179</v>
      </c>
    </row>
    <row r="181" spans="1:9" x14ac:dyDescent="0.2">
      <c r="A181">
        <v>171</v>
      </c>
      <c r="B181">
        <v>1622530.7659086818</v>
      </c>
      <c r="C181">
        <v>93553.834428357091</v>
      </c>
      <c r="D181">
        <v>144088.20651369472</v>
      </c>
      <c r="E181">
        <v>171118.49023178592</v>
      </c>
      <c r="F181">
        <v>47846.664708354409</v>
      </c>
      <c r="G181">
        <v>10000</v>
      </c>
      <c r="H181">
        <v>446607.19588219211</v>
      </c>
      <c r="I181">
        <v>35.148996853252406</v>
      </c>
    </row>
    <row r="182" spans="1:9" x14ac:dyDescent="0.2">
      <c r="A182">
        <v>172</v>
      </c>
      <c r="B182">
        <v>1257057.8501488934</v>
      </c>
      <c r="C182">
        <v>108905.54298215322</v>
      </c>
      <c r="D182">
        <v>136115.01554506089</v>
      </c>
      <c r="E182">
        <v>70540.429178542661</v>
      </c>
      <c r="F182">
        <v>40883.568173899104</v>
      </c>
      <c r="G182">
        <v>10000</v>
      </c>
      <c r="H182">
        <v>346444.55587965588</v>
      </c>
      <c r="I182">
        <v>42.181564864986939</v>
      </c>
    </row>
    <row r="183" spans="1:9" x14ac:dyDescent="0.2">
      <c r="A183">
        <v>173</v>
      </c>
      <c r="B183">
        <v>1705227.6920956154</v>
      </c>
      <c r="C183">
        <v>144691.41331325969</v>
      </c>
      <c r="D183">
        <v>150808.61595195564</v>
      </c>
      <c r="E183">
        <v>138203.41385843258</v>
      </c>
      <c r="F183">
        <v>45567.928651737639</v>
      </c>
      <c r="G183">
        <v>10000</v>
      </c>
      <c r="H183">
        <v>469271.37177538557</v>
      </c>
      <c r="I183">
        <v>30.442229612949681</v>
      </c>
    </row>
    <row r="184" spans="1:9" x14ac:dyDescent="0.2">
      <c r="A184">
        <v>174</v>
      </c>
      <c r="B184">
        <v>1633544.351585862</v>
      </c>
      <c r="C184">
        <v>130216.15143692968</v>
      </c>
      <c r="D184">
        <v>119528.19913632958</v>
      </c>
      <c r="E184">
        <v>162622.76370806023</v>
      </c>
      <c r="F184">
        <v>47258.499025942627</v>
      </c>
      <c r="G184">
        <v>10000</v>
      </c>
      <c r="H184">
        <v>449625.61330726213</v>
      </c>
      <c r="I184">
        <v>35.896897245245839</v>
      </c>
    </row>
    <row r="185" spans="1:9" x14ac:dyDescent="0.2">
      <c r="A185">
        <v>175</v>
      </c>
      <c r="B185">
        <v>1396736.6118685375</v>
      </c>
      <c r="C185">
        <v>137353.47555268704</v>
      </c>
      <c r="D185">
        <v>158444.75237188785</v>
      </c>
      <c r="E185">
        <v>58852.704307526379</v>
      </c>
      <c r="F185">
        <v>40074.417990521055</v>
      </c>
      <c r="G185">
        <v>10000</v>
      </c>
      <c r="H185">
        <v>384725.35022262228</v>
      </c>
      <c r="I185">
        <v>47.987783583711128</v>
      </c>
    </row>
    <row r="186" spans="1:9" x14ac:dyDescent="0.2">
      <c r="A186">
        <v>176</v>
      </c>
      <c r="B186">
        <v>877482.04956095316</v>
      </c>
      <c r="C186">
        <v>98263.709195575066</v>
      </c>
      <c r="D186">
        <v>49662.991506605889</v>
      </c>
      <c r="E186">
        <v>64055.521802060233</v>
      </c>
      <c r="F186">
        <v>40434.613047834937</v>
      </c>
      <c r="G186">
        <v>10000</v>
      </c>
      <c r="H186">
        <v>242416.83555207617</v>
      </c>
      <c r="I186">
        <v>34.992935574407511</v>
      </c>
    </row>
    <row r="187" spans="1:9" x14ac:dyDescent="0.2">
      <c r="A187">
        <v>177</v>
      </c>
      <c r="B187">
        <v>906803.65968180017</v>
      </c>
      <c r="C187">
        <v>93019.330625628121</v>
      </c>
      <c r="D187">
        <v>63151.767669723937</v>
      </c>
      <c r="E187">
        <v>63860.590779639744</v>
      </c>
      <c r="F187">
        <v>40421.117823205823</v>
      </c>
      <c r="G187">
        <v>10000</v>
      </c>
      <c r="H187">
        <v>250452.80689819765</v>
      </c>
      <c r="I187">
        <v>34.865231749027664</v>
      </c>
    </row>
    <row r="188" spans="1:9" x14ac:dyDescent="0.2">
      <c r="A188">
        <v>178</v>
      </c>
      <c r="B188">
        <v>877309.41029115405</v>
      </c>
      <c r="C188">
        <v>111455.17659949281</v>
      </c>
      <c r="D188">
        <v>53356.805139003816</v>
      </c>
      <c r="E188">
        <v>48219.281790150511</v>
      </c>
      <c r="F188">
        <v>39338.257970087347</v>
      </c>
      <c r="G188">
        <v>10000</v>
      </c>
      <c r="H188">
        <v>242369.52149873448</v>
      </c>
      <c r="I188">
        <v>36.274128877483989</v>
      </c>
    </row>
    <row r="189" spans="1:9" x14ac:dyDescent="0.2">
      <c r="A189">
        <v>179</v>
      </c>
      <c r="B189">
        <v>1528327.930759422</v>
      </c>
      <c r="C189">
        <v>113609.88755856635</v>
      </c>
      <c r="D189">
        <v>129795.23899951793</v>
      </c>
      <c r="E189">
        <v>141582.67112848838</v>
      </c>
      <c r="F189">
        <v>45801.877231972278</v>
      </c>
      <c r="G189">
        <v>10000</v>
      </c>
      <c r="H189">
        <v>420789.67491854494</v>
      </c>
      <c r="I189">
        <v>50.513620994660137</v>
      </c>
    </row>
    <row r="190" spans="1:9" x14ac:dyDescent="0.2">
      <c r="A190">
        <v>180</v>
      </c>
      <c r="B190">
        <v>1499086.168771626</v>
      </c>
      <c r="C190">
        <v>100819.42889964553</v>
      </c>
      <c r="D190">
        <v>144529.56787832372</v>
      </c>
      <c r="E190">
        <v>132269.47286881486</v>
      </c>
      <c r="F190">
        <v>45157.117352456415</v>
      </c>
      <c r="G190">
        <v>10000</v>
      </c>
      <c r="H190">
        <v>412775.58699924056</v>
      </c>
      <c r="I190">
        <v>30.684185383916514</v>
      </c>
    </row>
    <row r="191" spans="1:9" x14ac:dyDescent="0.2">
      <c r="A191">
        <v>181</v>
      </c>
      <c r="B191">
        <v>1030937.6410871171</v>
      </c>
      <c r="C191">
        <v>105098.31999109224</v>
      </c>
      <c r="D191">
        <v>62105.526123138079</v>
      </c>
      <c r="E191">
        <v>85359.96819633909</v>
      </c>
      <c r="F191">
        <v>41909.53625974655</v>
      </c>
      <c r="G191">
        <v>10000</v>
      </c>
      <c r="H191">
        <v>284473.35057031596</v>
      </c>
      <c r="I191">
        <v>31.47123010112497</v>
      </c>
    </row>
    <row r="192" spans="1:9" x14ac:dyDescent="0.2">
      <c r="A192">
        <v>182</v>
      </c>
      <c r="B192">
        <v>1443920.5764948197</v>
      </c>
      <c r="C192">
        <v>104408.59314308854</v>
      </c>
      <c r="D192">
        <v>111303.11035483777</v>
      </c>
      <c r="E192">
        <v>145847.87007160662</v>
      </c>
      <c r="F192">
        <v>46097.160235726617</v>
      </c>
      <c r="G192">
        <v>10000</v>
      </c>
      <c r="H192">
        <v>397656.73380525957</v>
      </c>
      <c r="I192">
        <v>34.617843490444628</v>
      </c>
    </row>
    <row r="193" spans="1:9" x14ac:dyDescent="0.2">
      <c r="A193">
        <v>183</v>
      </c>
      <c r="B193">
        <v>1289845.1247358725</v>
      </c>
      <c r="C193">
        <v>160590.32081704456</v>
      </c>
      <c r="D193">
        <v>99194.171090775344</v>
      </c>
      <c r="E193">
        <v>65136.402792426925</v>
      </c>
      <c r="F193">
        <v>40509.443270244934</v>
      </c>
      <c r="G193">
        <v>10000</v>
      </c>
      <c r="H193">
        <v>355430.33797049173</v>
      </c>
      <c r="I193">
        <v>40.370669209193302</v>
      </c>
    </row>
    <row r="194" spans="1:9" x14ac:dyDescent="0.2">
      <c r="A194">
        <v>184</v>
      </c>
      <c r="B194">
        <v>1191019.9685534632</v>
      </c>
      <c r="C194">
        <v>128143.75000121568</v>
      </c>
      <c r="D194">
        <v>89811.613409041165</v>
      </c>
      <c r="E194">
        <v>78926.503423583723</v>
      </c>
      <c r="F194">
        <v>41464.142544709641</v>
      </c>
      <c r="G194">
        <v>10000</v>
      </c>
      <c r="H194">
        <v>328346.00937855022</v>
      </c>
      <c r="I194">
        <v>48.206273194158214</v>
      </c>
    </row>
    <row r="195" spans="1:9" x14ac:dyDescent="0.2">
      <c r="A195">
        <v>185</v>
      </c>
      <c r="B195">
        <v>1331341.9868024956</v>
      </c>
      <c r="C195">
        <v>87939.759799008811</v>
      </c>
      <c r="D195">
        <v>39464.045771511963</v>
      </c>
      <c r="E195">
        <v>199582.07074662487</v>
      </c>
      <c r="F195">
        <v>49817.220282458642</v>
      </c>
      <c r="G195">
        <v>10000</v>
      </c>
      <c r="H195">
        <v>366803.09659960429</v>
      </c>
      <c r="I195">
        <v>39.488051857294131</v>
      </c>
    </row>
    <row r="196" spans="1:9" x14ac:dyDescent="0.2">
      <c r="A196">
        <v>186</v>
      </c>
      <c r="B196">
        <v>1078938.3937040844</v>
      </c>
      <c r="C196">
        <v>124871.112150328</v>
      </c>
      <c r="D196">
        <v>105434.85795138341</v>
      </c>
      <c r="E196">
        <v>38647.050467100496</v>
      </c>
      <c r="F196">
        <v>38675.565032337727</v>
      </c>
      <c r="G196">
        <v>10000</v>
      </c>
      <c r="H196">
        <v>297628.58560114965</v>
      </c>
      <c r="I196">
        <v>31.173905515307581</v>
      </c>
    </row>
    <row r="197" spans="1:9" x14ac:dyDescent="0.2">
      <c r="A197">
        <v>187</v>
      </c>
      <c r="B197">
        <v>982124.34099346725</v>
      </c>
      <c r="C197">
        <v>72905.9494608237</v>
      </c>
      <c r="D197">
        <v>134202.493808217</v>
      </c>
      <c r="E197">
        <v>35527.394163922254</v>
      </c>
      <c r="F197">
        <v>38459.588826733081</v>
      </c>
      <c r="G197">
        <v>10000</v>
      </c>
      <c r="H197">
        <v>271095.42625969602</v>
      </c>
      <c r="I197">
        <v>36.181090599304611</v>
      </c>
    </row>
    <row r="198" spans="1:9" x14ac:dyDescent="0.2">
      <c r="A198">
        <v>188</v>
      </c>
      <c r="B198">
        <v>1032473.3957352287</v>
      </c>
      <c r="C198">
        <v>80536.667162733778</v>
      </c>
      <c r="D198">
        <v>78219.591644403103</v>
      </c>
      <c r="E198">
        <v>93654.230988735246</v>
      </c>
      <c r="F198">
        <v>42483.754453066285</v>
      </c>
      <c r="G198">
        <v>10000</v>
      </c>
      <c r="H198">
        <v>284894.2442489384</v>
      </c>
      <c r="I198">
        <v>35.82531699520608</v>
      </c>
    </row>
    <row r="199" spans="1:9" x14ac:dyDescent="0.2">
      <c r="A199">
        <v>189</v>
      </c>
      <c r="B199">
        <v>1478847.758694605</v>
      </c>
      <c r="C199">
        <v>95583.965619255308</v>
      </c>
      <c r="D199">
        <v>93351.451981847349</v>
      </c>
      <c r="E199">
        <v>179842.90533082027</v>
      </c>
      <c r="F199">
        <v>48450.662676749096</v>
      </c>
      <c r="G199">
        <v>10000</v>
      </c>
      <c r="H199">
        <v>407228.98560867208</v>
      </c>
      <c r="I199">
        <v>38.526480676665741</v>
      </c>
    </row>
    <row r="200" spans="1:9" x14ac:dyDescent="0.2">
      <c r="A200">
        <v>190</v>
      </c>
      <c r="B200">
        <v>879326.03141041566</v>
      </c>
      <c r="C200">
        <v>105421.94789784866</v>
      </c>
      <c r="D200">
        <v>80869.494645981467</v>
      </c>
      <c r="E200">
        <v>28647.473745069234</v>
      </c>
      <c r="F200">
        <v>37983.286643889413</v>
      </c>
      <c r="G200">
        <v>10000</v>
      </c>
      <c r="H200">
        <v>242922.20293278879</v>
      </c>
      <c r="I200">
        <v>24.890398740355963</v>
      </c>
    </row>
    <row r="201" spans="1:9" x14ac:dyDescent="0.2">
      <c r="A201">
        <v>191</v>
      </c>
      <c r="B201">
        <v>1281759.891678266</v>
      </c>
      <c r="C201">
        <v>124983.83422756527</v>
      </c>
      <c r="D201">
        <v>83349.070774614942</v>
      </c>
      <c r="E201">
        <v>111184.20116503487</v>
      </c>
      <c r="F201">
        <v>43697.367772963953</v>
      </c>
      <c r="G201">
        <v>10000</v>
      </c>
      <c r="H201">
        <v>353214.47394017898</v>
      </c>
      <c r="I201">
        <v>28.962837194800805</v>
      </c>
    </row>
    <row r="202" spans="1:9" x14ac:dyDescent="0.2">
      <c r="A202">
        <v>192</v>
      </c>
      <c r="B202">
        <v>992725.95421395265</v>
      </c>
      <c r="C202">
        <v>83720.780827868512</v>
      </c>
      <c r="D202">
        <v>77768.146077004654</v>
      </c>
      <c r="E202">
        <v>80910.513259756452</v>
      </c>
      <c r="F202">
        <v>41601.49707182929</v>
      </c>
      <c r="G202">
        <v>10000</v>
      </c>
      <c r="H202">
        <v>274000.93723645888</v>
      </c>
      <c r="I202">
        <v>39.43397212911627</v>
      </c>
    </row>
    <row r="203" spans="1:9" x14ac:dyDescent="0.2">
      <c r="A203">
        <v>193</v>
      </c>
      <c r="B203">
        <v>1076211.0441542834</v>
      </c>
      <c r="C203">
        <v>116791.01872569702</v>
      </c>
      <c r="D203">
        <v>74499.150268974772</v>
      </c>
      <c r="E203">
        <v>74437.579825027424</v>
      </c>
      <c r="F203">
        <v>41153.370910963444</v>
      </c>
      <c r="G203">
        <v>10000</v>
      </c>
      <c r="H203">
        <v>296881.11973066267</v>
      </c>
      <c r="I203">
        <v>36.217988409256094</v>
      </c>
    </row>
    <row r="204" spans="1:9" x14ac:dyDescent="0.2">
      <c r="A204">
        <v>194</v>
      </c>
      <c r="B204">
        <v>1172243.2821958456</v>
      </c>
      <c r="C204">
        <v>126132.54238732529</v>
      </c>
      <c r="D204">
        <v>80925.945522970549</v>
      </c>
      <c r="E204">
        <v>84305.023017054293</v>
      </c>
      <c r="F204">
        <v>41836.501593488378</v>
      </c>
      <c r="G204">
        <v>10000</v>
      </c>
      <c r="H204">
        <v>323200.01252083853</v>
      </c>
      <c r="I204">
        <v>31.179493794941564</v>
      </c>
    </row>
    <row r="205" spans="1:9" x14ac:dyDescent="0.2">
      <c r="A205">
        <v>195</v>
      </c>
      <c r="B205">
        <v>1721787.8073271709</v>
      </c>
      <c r="C205">
        <v>128552.95383804946</v>
      </c>
      <c r="D205">
        <v>156175.84892385628</v>
      </c>
      <c r="E205">
        <v>152521.8785425465</v>
      </c>
      <c r="F205">
        <v>46559.206976022448</v>
      </c>
      <c r="G205">
        <v>10000</v>
      </c>
      <c r="H205">
        <v>473809.8882804747</v>
      </c>
      <c r="I205">
        <v>38.788009615401407</v>
      </c>
    </row>
    <row r="206" spans="1:9" x14ac:dyDescent="0.2">
      <c r="A206">
        <v>196</v>
      </c>
      <c r="B206">
        <v>1442701.0447168066</v>
      </c>
      <c r="C206">
        <v>95634.497647488693</v>
      </c>
      <c r="D206">
        <v>78370.911650149399</v>
      </c>
      <c r="E206">
        <v>184541.16877949721</v>
      </c>
      <c r="F206">
        <v>48775.927069349804</v>
      </c>
      <c r="G206">
        <v>10000</v>
      </c>
      <c r="H206">
        <v>397322.50514648511</v>
      </c>
      <c r="I206">
        <v>25.856240405356765</v>
      </c>
    </row>
    <row r="207" spans="1:9" x14ac:dyDescent="0.2">
      <c r="A207">
        <v>197</v>
      </c>
      <c r="B207">
        <v>1609354.4816732367</v>
      </c>
      <c r="C207">
        <v>98797.210000010804</v>
      </c>
      <c r="D207">
        <v>117538.62352238552</v>
      </c>
      <c r="E207">
        <v>187667.84013273453</v>
      </c>
      <c r="F207">
        <v>48992.388932266229</v>
      </c>
      <c r="G207">
        <v>10000</v>
      </c>
      <c r="H207">
        <v>442996.06258739711</v>
      </c>
      <c r="I207">
        <v>37.755134568246419</v>
      </c>
    </row>
    <row r="208" spans="1:9" x14ac:dyDescent="0.2">
      <c r="A208">
        <v>198</v>
      </c>
      <c r="B208">
        <v>1497313.8837955452</v>
      </c>
      <c r="C208">
        <v>139066.63238256428</v>
      </c>
      <c r="D208">
        <v>100575.95828808859</v>
      </c>
      <c r="E208">
        <v>137152.13089191751</v>
      </c>
      <c r="F208">
        <v>45495.147523286592</v>
      </c>
      <c r="G208">
        <v>10000</v>
      </c>
      <c r="H208">
        <v>412289.86908585695</v>
      </c>
      <c r="I208">
        <v>34.605937940696407</v>
      </c>
    </row>
    <row r="209" spans="1:9" x14ac:dyDescent="0.2">
      <c r="A209">
        <v>199</v>
      </c>
      <c r="B209">
        <v>1298796.2902380468</v>
      </c>
      <c r="C209">
        <v>128170.43655188485</v>
      </c>
      <c r="D209">
        <v>105308.23391722012</v>
      </c>
      <c r="E209">
        <v>92033.314503318354</v>
      </c>
      <c r="F209">
        <v>42371.537157922045</v>
      </c>
      <c r="G209">
        <v>10000</v>
      </c>
      <c r="H209">
        <v>357883.52213034534</v>
      </c>
      <c r="I209">
        <v>46.031383602116122</v>
      </c>
    </row>
    <row r="210" spans="1:9" x14ac:dyDescent="0.2">
      <c r="A210">
        <v>200</v>
      </c>
      <c r="B210">
        <v>762878.94490875897</v>
      </c>
      <c r="C210">
        <v>97525.397902928817</v>
      </c>
      <c r="D210">
        <v>51049.488527675428</v>
      </c>
      <c r="E210">
        <v>34074.46560628913</v>
      </c>
      <c r="F210">
        <v>38359.001465050787</v>
      </c>
      <c r="G210">
        <v>10000</v>
      </c>
      <c r="H210">
        <v>211008.35350194416</v>
      </c>
      <c r="I210">
        <v>42.462024349348269</v>
      </c>
    </row>
    <row r="211" spans="1:9" x14ac:dyDescent="0.2">
      <c r="A211">
        <v>201</v>
      </c>
      <c r="B211">
        <v>1496029.6736901735</v>
      </c>
      <c r="C211">
        <v>157124.5407608746</v>
      </c>
      <c r="D211">
        <v>147018.2521355311</v>
      </c>
      <c r="E211">
        <v>76499.034578540013</v>
      </c>
      <c r="F211">
        <v>41296.087009283539</v>
      </c>
      <c r="G211">
        <v>10000</v>
      </c>
      <c r="H211">
        <v>411937.91448422923</v>
      </c>
      <c r="I211">
        <v>43.758820275075692</v>
      </c>
    </row>
    <row r="212" spans="1:9" x14ac:dyDescent="0.2">
      <c r="A212">
        <v>202</v>
      </c>
      <c r="B212">
        <v>1620711.0233704392</v>
      </c>
      <c r="C212">
        <v>136466.39323961778</v>
      </c>
      <c r="D212">
        <v>101431.45938260599</v>
      </c>
      <c r="E212">
        <v>170412.80911799823</v>
      </c>
      <c r="F212">
        <v>47797.80986201526</v>
      </c>
      <c r="G212">
        <v>10000</v>
      </c>
      <c r="H212">
        <v>446108.47160223726</v>
      </c>
      <c r="I212">
        <v>25.076566478441105</v>
      </c>
    </row>
    <row r="213" spans="1:9" x14ac:dyDescent="0.2">
      <c r="A213">
        <v>203</v>
      </c>
      <c r="B213">
        <v>1731870.8669891702</v>
      </c>
      <c r="C213">
        <v>113385.84720133255</v>
      </c>
      <c r="D213">
        <v>120101.94761357337</v>
      </c>
      <c r="E213">
        <v>203029.59313742683</v>
      </c>
      <c r="F213">
        <v>50055.894909514165</v>
      </c>
      <c r="G213">
        <v>10000</v>
      </c>
      <c r="H213">
        <v>476573.28286184691</v>
      </c>
      <c r="I213">
        <v>47.1807464639068</v>
      </c>
    </row>
    <row r="214" spans="1:9" x14ac:dyDescent="0.2">
      <c r="A214">
        <v>204</v>
      </c>
      <c r="B214">
        <v>1614465.0738601857</v>
      </c>
      <c r="C214">
        <v>137810.07462523654</v>
      </c>
      <c r="D214">
        <v>73755.892143638368</v>
      </c>
      <c r="E214">
        <v>193438.80339444752</v>
      </c>
      <c r="F214">
        <v>49391.917158077136</v>
      </c>
      <c r="G214">
        <v>10000</v>
      </c>
      <c r="H214">
        <v>444396.68732139957</v>
      </c>
      <c r="I214">
        <v>35.760434772793346</v>
      </c>
    </row>
    <row r="215" spans="1:9" x14ac:dyDescent="0.2">
      <c r="A215">
        <v>205</v>
      </c>
      <c r="B215">
        <v>1170372.5892263919</v>
      </c>
      <c r="C215">
        <v>107590.25260733956</v>
      </c>
      <c r="D215">
        <v>96831.167826326724</v>
      </c>
      <c r="E215">
        <v>86291.852824725167</v>
      </c>
      <c r="F215">
        <v>41974.05134940405</v>
      </c>
      <c r="G215">
        <v>10000</v>
      </c>
      <c r="H215">
        <v>322687.32460779545</v>
      </c>
      <c r="I215">
        <v>46.45079366557151</v>
      </c>
    </row>
    <row r="216" spans="1:9" x14ac:dyDescent="0.2">
      <c r="A216">
        <v>206</v>
      </c>
      <c r="B216">
        <v>1555152.5945801635</v>
      </c>
      <c r="C216">
        <v>145441.21514350007</v>
      </c>
      <c r="D216">
        <v>149685.76460441874</v>
      </c>
      <c r="E216">
        <v>100085.3592643516</v>
      </c>
      <c r="F216">
        <v>42928.986410608952</v>
      </c>
      <c r="G216">
        <v>10000</v>
      </c>
      <c r="H216">
        <v>428141.32542287931</v>
      </c>
      <c r="I216">
        <v>36.841927331918114</v>
      </c>
    </row>
    <row r="217" spans="1:9" x14ac:dyDescent="0.2">
      <c r="A217">
        <v>207</v>
      </c>
      <c r="B217">
        <v>1169160.0351062696</v>
      </c>
      <c r="C217">
        <v>119422.13973020751</v>
      </c>
      <c r="D217">
        <v>44819.713995459824</v>
      </c>
      <c r="E217">
        <v>123559.06539890032</v>
      </c>
      <c r="F217">
        <v>44554.089143000791</v>
      </c>
      <c r="G217">
        <v>10000</v>
      </c>
      <c r="H217">
        <v>322355.00826756842</v>
      </c>
      <c r="I217">
        <v>34.267625571174186</v>
      </c>
    </row>
    <row r="218" spans="1:9" x14ac:dyDescent="0.2">
      <c r="A218">
        <v>208</v>
      </c>
      <c r="B218">
        <v>1796045.2679988141</v>
      </c>
      <c r="C218">
        <v>166611.00786559147</v>
      </c>
      <c r="D218">
        <v>93545.265470925879</v>
      </c>
      <c r="E218">
        <v>194536.90517273187</v>
      </c>
      <c r="F218">
        <v>49467.939588881432</v>
      </c>
      <c r="G218">
        <v>10000</v>
      </c>
      <c r="H218">
        <v>494161.11809813068</v>
      </c>
      <c r="I218">
        <v>32.606327167193385</v>
      </c>
    </row>
    <row r="219" spans="1:9" x14ac:dyDescent="0.2">
      <c r="A219">
        <v>209</v>
      </c>
      <c r="B219">
        <v>1033276.7085034682</v>
      </c>
      <c r="C219">
        <v>114042.42541026433</v>
      </c>
      <c r="D219">
        <v>109742.13251781305</v>
      </c>
      <c r="E219">
        <v>33042.30080588445</v>
      </c>
      <c r="F219">
        <v>38287.543901945843</v>
      </c>
      <c r="G219">
        <v>10000</v>
      </c>
      <c r="H219">
        <v>285114.40263590764</v>
      </c>
      <c r="I219">
        <v>39.107602996459519</v>
      </c>
    </row>
    <row r="220" spans="1:9" x14ac:dyDescent="0.2">
      <c r="A220">
        <v>210</v>
      </c>
      <c r="B220">
        <v>864987.08876459079</v>
      </c>
      <c r="C220">
        <v>111098.46133896367</v>
      </c>
      <c r="D220">
        <v>72107.951297480642</v>
      </c>
      <c r="E220">
        <v>27857.424319733054</v>
      </c>
      <c r="F220">
        <v>37928.590914443055</v>
      </c>
      <c r="G220">
        <v>10000</v>
      </c>
      <c r="H220">
        <v>238992.42787062042</v>
      </c>
      <c r="I220">
        <v>34.449808199423821</v>
      </c>
    </row>
    <row r="221" spans="1:9" x14ac:dyDescent="0.2">
      <c r="A221">
        <v>211</v>
      </c>
      <c r="B221">
        <v>1206682.0780769077</v>
      </c>
      <c r="C221">
        <v>110086.86357651054</v>
      </c>
      <c r="D221">
        <v>86009.792738347591</v>
      </c>
      <c r="E221">
        <v>103384.37923999838</v>
      </c>
      <c r="F221">
        <v>43157.380101230658</v>
      </c>
      <c r="G221">
        <v>10000</v>
      </c>
      <c r="H221">
        <v>332638.41565608716</v>
      </c>
      <c r="I221">
        <v>34.230567203185871</v>
      </c>
    </row>
    <row r="222" spans="1:9" x14ac:dyDescent="0.2">
      <c r="A222">
        <v>212</v>
      </c>
      <c r="B222">
        <v>1486436.5283373094</v>
      </c>
      <c r="C222">
        <v>144411.63899088983</v>
      </c>
      <c r="D222">
        <v>119024.80947061459</v>
      </c>
      <c r="E222">
        <v>112110.8205308602</v>
      </c>
      <c r="F222">
        <v>43761.518344444172</v>
      </c>
      <c r="G222">
        <v>10000</v>
      </c>
      <c r="H222">
        <v>409308.7873368088</v>
      </c>
      <c r="I222">
        <v>26.838717172541354</v>
      </c>
    </row>
    <row r="223" spans="1:9" x14ac:dyDescent="0.2">
      <c r="A223">
        <v>213</v>
      </c>
      <c r="B223">
        <v>1258646.4000022337</v>
      </c>
      <c r="C223">
        <v>81320.087939615303</v>
      </c>
      <c r="D223">
        <v>72538.696057031353</v>
      </c>
      <c r="E223">
        <v>156206.81669997561</v>
      </c>
      <c r="F223">
        <v>46814.31807922908</v>
      </c>
      <c r="G223">
        <v>10000</v>
      </c>
      <c r="H223">
        <v>346879.91877585137</v>
      </c>
      <c r="I223">
        <v>28.815643512494148</v>
      </c>
    </row>
    <row r="224" spans="1:9" x14ac:dyDescent="0.2">
      <c r="A224">
        <v>214</v>
      </c>
      <c r="B224">
        <v>1386511.1375909999</v>
      </c>
      <c r="C224">
        <v>147871.49597691296</v>
      </c>
      <c r="D224">
        <v>119622.24276041081</v>
      </c>
      <c r="E224">
        <v>82703.555544538453</v>
      </c>
      <c r="F224">
        <v>41725.630768468051</v>
      </c>
      <c r="G224">
        <v>10000</v>
      </c>
      <c r="H224">
        <v>381922.92505033023</v>
      </c>
      <c r="I224">
        <v>35.244664040997066</v>
      </c>
    </row>
    <row r="225" spans="1:9" x14ac:dyDescent="0.2">
      <c r="A225">
        <v>215</v>
      </c>
      <c r="B225">
        <v>1419581.6590753905</v>
      </c>
      <c r="C225">
        <v>134385.88885687207</v>
      </c>
      <c r="D225">
        <v>101605.11819784604</v>
      </c>
      <c r="E225">
        <v>120643.11215232004</v>
      </c>
      <c r="F225">
        <v>44352.215456699079</v>
      </c>
      <c r="G225">
        <v>10000</v>
      </c>
      <c r="H225">
        <v>390986.33466373722</v>
      </c>
      <c r="I225">
        <v>27.502170508067408</v>
      </c>
    </row>
    <row r="226" spans="1:9" x14ac:dyDescent="0.2">
      <c r="A226">
        <v>216</v>
      </c>
      <c r="B226">
        <v>1695630.3546505116</v>
      </c>
      <c r="C226">
        <v>154694.51830185388</v>
      </c>
      <c r="D226">
        <v>123355.26870980626</v>
      </c>
      <c r="E226">
        <v>152063.81390940101</v>
      </c>
      <c r="F226">
        <v>46527.494809112373</v>
      </c>
      <c r="G226">
        <v>10000</v>
      </c>
      <c r="H226">
        <v>466641.09573017358</v>
      </c>
      <c r="I226">
        <v>52.185810308843308</v>
      </c>
    </row>
    <row r="227" spans="1:9" x14ac:dyDescent="0.2">
      <c r="A227">
        <v>217</v>
      </c>
      <c r="B227">
        <v>1220339.0164845046</v>
      </c>
      <c r="C227">
        <v>148280.60207883338</v>
      </c>
      <c r="D227">
        <v>120303.25867108663</v>
      </c>
      <c r="E227">
        <v>39091.110147477906</v>
      </c>
      <c r="F227">
        <v>38706.307625594629</v>
      </c>
      <c r="G227">
        <v>10000</v>
      </c>
      <c r="H227">
        <v>336381.27852299251</v>
      </c>
      <c r="I227">
        <v>34.240791375389406</v>
      </c>
    </row>
    <row r="228" spans="1:9" x14ac:dyDescent="0.2">
      <c r="A228">
        <v>218</v>
      </c>
      <c r="B228">
        <v>1086130.8650203601</v>
      </c>
      <c r="C228">
        <v>105752.12449822696</v>
      </c>
      <c r="D228">
        <v>63326.323457729362</v>
      </c>
      <c r="E228">
        <v>97753.76058522673</v>
      </c>
      <c r="F228">
        <v>42767.568040515696</v>
      </c>
      <c r="G228">
        <v>10000</v>
      </c>
      <c r="H228">
        <v>299599.77658169874</v>
      </c>
      <c r="I228">
        <v>42.308893151064169</v>
      </c>
    </row>
    <row r="229" spans="1:9" x14ac:dyDescent="0.2">
      <c r="A229">
        <v>219</v>
      </c>
      <c r="B229">
        <v>1630343.6796561773</v>
      </c>
      <c r="C229">
        <v>118943.07602887184</v>
      </c>
      <c r="D229">
        <v>96532.951016897903</v>
      </c>
      <c r="E229">
        <v>193851.88507222285</v>
      </c>
      <c r="F229">
        <v>49420.515120384654</v>
      </c>
      <c r="G229">
        <v>10000</v>
      </c>
      <c r="H229">
        <v>448748.42723837722</v>
      </c>
      <c r="I229">
        <v>46.276107301364668</v>
      </c>
    </row>
    <row r="230" spans="1:9" x14ac:dyDescent="0.2">
      <c r="A230">
        <v>220</v>
      </c>
      <c r="B230">
        <v>1410102.251737036</v>
      </c>
      <c r="C230">
        <v>170510.23604137707</v>
      </c>
      <c r="D230">
        <v>91492.79229915842</v>
      </c>
      <c r="E230">
        <v>93885.579668424252</v>
      </c>
      <c r="F230">
        <v>42499.770900121679</v>
      </c>
      <c r="G230">
        <v>10000</v>
      </c>
      <c r="H230">
        <v>388388.3789090814</v>
      </c>
      <c r="I230">
        <v>42.653084800817325</v>
      </c>
    </row>
    <row r="231" spans="1:9" x14ac:dyDescent="0.2">
      <c r="A231">
        <v>221</v>
      </c>
      <c r="B231">
        <v>1192965.217308668</v>
      </c>
      <c r="C231">
        <v>96606.215461028405</v>
      </c>
      <c r="D231">
        <v>160077.06949347377</v>
      </c>
      <c r="E231">
        <v>43204.74742794675</v>
      </c>
      <c r="F231">
        <v>38991.097898857857</v>
      </c>
      <c r="G231">
        <v>10000</v>
      </c>
      <c r="H231">
        <v>328879.1302813068</v>
      </c>
      <c r="I231">
        <v>38.56295852705626</v>
      </c>
    </row>
    <row r="232" spans="1:9" x14ac:dyDescent="0.2">
      <c r="A232">
        <v>222</v>
      </c>
      <c r="B232">
        <v>1266953.9279709954</v>
      </c>
      <c r="C232">
        <v>107471.86182171083</v>
      </c>
      <c r="D232">
        <v>105733.23512098732</v>
      </c>
      <c r="E232">
        <v>102832.43978741579</v>
      </c>
      <c r="F232">
        <v>43119.168908359556</v>
      </c>
      <c r="G232">
        <v>10000</v>
      </c>
      <c r="H232">
        <v>349156.70563847345</v>
      </c>
      <c r="I232">
        <v>32.509926355043149</v>
      </c>
    </row>
    <row r="233" spans="1:9" x14ac:dyDescent="0.2">
      <c r="A233">
        <v>223</v>
      </c>
      <c r="B233">
        <v>1374428.294359348</v>
      </c>
      <c r="C233">
        <v>103526.37799618357</v>
      </c>
      <c r="D233">
        <v>67954.146355099496</v>
      </c>
      <c r="E233">
        <v>169403.03669427792</v>
      </c>
      <c r="F233">
        <v>47727.902540373085</v>
      </c>
      <c r="G233">
        <v>10000</v>
      </c>
      <c r="H233">
        <v>378611.46358593408</v>
      </c>
      <c r="I233">
        <v>31.510054066077718</v>
      </c>
    </row>
    <row r="234" spans="1:9" x14ac:dyDescent="0.2">
      <c r="A234">
        <v>224</v>
      </c>
      <c r="B234">
        <v>1037139.6807251872</v>
      </c>
      <c r="C234">
        <v>127875.03294125154</v>
      </c>
      <c r="D234">
        <v>80516.445304811321</v>
      </c>
      <c r="E234">
        <v>48428.855603064418</v>
      </c>
      <c r="F234">
        <v>39352.766926365999</v>
      </c>
      <c r="G234">
        <v>10000</v>
      </c>
      <c r="H234">
        <v>286173.10077549331</v>
      </c>
      <c r="I234">
        <v>27.860019037845728</v>
      </c>
    </row>
    <row r="235" spans="1:9" x14ac:dyDescent="0.2">
      <c r="A235">
        <v>225</v>
      </c>
      <c r="B235">
        <v>1020614.2730803045</v>
      </c>
      <c r="C235">
        <v>100920.60968966615</v>
      </c>
      <c r="D235">
        <v>99401.753791404102</v>
      </c>
      <c r="E235">
        <v>51739.750155063775</v>
      </c>
      <c r="F235">
        <v>39581.982703042871</v>
      </c>
      <c r="G235">
        <v>10000</v>
      </c>
      <c r="H235">
        <v>281644.09633917693</v>
      </c>
      <c r="I235">
        <v>30.303795294763312</v>
      </c>
    </row>
    <row r="236" spans="1:9" x14ac:dyDescent="0.2">
      <c r="A236">
        <v>226</v>
      </c>
      <c r="B236">
        <v>1769562.5999153762</v>
      </c>
      <c r="C236">
        <v>161419.33431197482</v>
      </c>
      <c r="D236">
        <v>93929.837550148266</v>
      </c>
      <c r="E236">
        <v>192244.77078158341</v>
      </c>
      <c r="F236">
        <v>49309.25336180193</v>
      </c>
      <c r="G236">
        <v>10000</v>
      </c>
      <c r="H236">
        <v>486903.19600550836</v>
      </c>
      <c r="I236">
        <v>40.095394983354296</v>
      </c>
    </row>
    <row r="237" spans="1:9" x14ac:dyDescent="0.2">
      <c r="A237">
        <v>227</v>
      </c>
      <c r="B237">
        <v>1793115.6153980889</v>
      </c>
      <c r="C237">
        <v>125185.43455296195</v>
      </c>
      <c r="D237">
        <v>120934.79863594031</v>
      </c>
      <c r="E237">
        <v>206913.21425100006</v>
      </c>
      <c r="F237">
        <v>50324.760986607689</v>
      </c>
      <c r="G237">
        <v>10000</v>
      </c>
      <c r="H237">
        <v>493358.20842651004</v>
      </c>
      <c r="I237">
        <v>41.26457486479103</v>
      </c>
    </row>
    <row r="238" spans="1:9" x14ac:dyDescent="0.2">
      <c r="A238">
        <v>228</v>
      </c>
      <c r="B238">
        <v>915496.79912328301</v>
      </c>
      <c r="C238">
        <v>98638.974181347832</v>
      </c>
      <c r="D238">
        <v>84057.139891502971</v>
      </c>
      <c r="E238">
        <v>41281.230239064709</v>
      </c>
      <c r="F238">
        <v>38857.931324242942</v>
      </c>
      <c r="G238">
        <v>10000</v>
      </c>
      <c r="H238">
        <v>252835.27563615848</v>
      </c>
      <c r="I238">
        <v>37.854245193961276</v>
      </c>
    </row>
    <row r="239" spans="1:9" x14ac:dyDescent="0.2">
      <c r="A239">
        <v>229</v>
      </c>
      <c r="B239">
        <v>1514352.9026878872</v>
      </c>
      <c r="C239">
        <v>124355.34822256216</v>
      </c>
      <c r="D239">
        <v>96232.114531846819</v>
      </c>
      <c r="E239">
        <v>159340.8809032377</v>
      </c>
      <c r="F239">
        <v>47031.291754839534</v>
      </c>
      <c r="G239">
        <v>10000</v>
      </c>
      <c r="H239">
        <v>416959.63541248621</v>
      </c>
      <c r="I239">
        <v>32.517110457301882</v>
      </c>
    </row>
    <row r="240" spans="1:9" x14ac:dyDescent="0.2">
      <c r="A240">
        <v>230</v>
      </c>
      <c r="B240">
        <v>1125213.1806049368</v>
      </c>
      <c r="C240">
        <v>95556.804793878269</v>
      </c>
      <c r="D240">
        <v>65581.539358771624</v>
      </c>
      <c r="E240">
        <v>115197.25816954039</v>
      </c>
      <c r="F240">
        <v>43975.194796352793</v>
      </c>
      <c r="G240">
        <v>10000</v>
      </c>
      <c r="H240">
        <v>310310.79711854307</v>
      </c>
      <c r="I240">
        <v>36.434831802598517</v>
      </c>
    </row>
    <row r="241" spans="1:9" x14ac:dyDescent="0.2">
      <c r="A241">
        <v>231</v>
      </c>
      <c r="B241">
        <v>1555898.1930620796</v>
      </c>
      <c r="C241">
        <v>87189.744029386071</v>
      </c>
      <c r="D241">
        <v>113818.30366278904</v>
      </c>
      <c r="E241">
        <v>188301.37006470279</v>
      </c>
      <c r="F241">
        <v>49036.248696787115</v>
      </c>
      <c r="G241">
        <v>10000</v>
      </c>
      <c r="H241">
        <v>428345.66645366501</v>
      </c>
      <c r="I241">
        <v>35.817549912664788</v>
      </c>
    </row>
    <row r="242" spans="1:9" x14ac:dyDescent="0.2">
      <c r="A242">
        <v>232</v>
      </c>
      <c r="B242">
        <v>1637864.5253633591</v>
      </c>
      <c r="C242">
        <v>123675.21677824493</v>
      </c>
      <c r="D242">
        <v>149492.38908386606</v>
      </c>
      <c r="E242">
        <v>141823.46040154842</v>
      </c>
      <c r="F242">
        <v>45818.547258568738</v>
      </c>
      <c r="G242">
        <v>10000</v>
      </c>
      <c r="H242">
        <v>450809.61352222814</v>
      </c>
      <c r="I242">
        <v>29.522639429163029</v>
      </c>
    </row>
    <row r="243" spans="1:9" x14ac:dyDescent="0.2">
      <c r="A243">
        <v>233</v>
      </c>
      <c r="B243">
        <v>1546081.9836108673</v>
      </c>
      <c r="C243">
        <v>119290.83096971433</v>
      </c>
      <c r="D243">
        <v>161814.15310505917</v>
      </c>
      <c r="E243">
        <v>110874.49501535001</v>
      </c>
      <c r="F243">
        <v>43675.926577985774</v>
      </c>
      <c r="G243">
        <v>10000</v>
      </c>
      <c r="H243">
        <v>425655.40566810925</v>
      </c>
      <c r="I243">
        <v>32.776104786206275</v>
      </c>
    </row>
    <row r="244" spans="1:9" x14ac:dyDescent="0.2">
      <c r="A244">
        <v>234</v>
      </c>
      <c r="B244">
        <v>984599.92931982782</v>
      </c>
      <c r="C244">
        <v>108282.91826707168</v>
      </c>
      <c r="D244">
        <v>90930.633724671949</v>
      </c>
      <c r="E244">
        <v>43545.643295279369</v>
      </c>
      <c r="F244">
        <v>39014.698381980881</v>
      </c>
      <c r="G244">
        <v>10000</v>
      </c>
      <c r="H244">
        <v>271773.89366900385</v>
      </c>
      <c r="I244">
        <v>45.490979464374831</v>
      </c>
    </row>
    <row r="245" spans="1:9" x14ac:dyDescent="0.2">
      <c r="A245">
        <v>235</v>
      </c>
      <c r="B245">
        <v>871900.12462790194</v>
      </c>
      <c r="C245">
        <v>104678.30908954558</v>
      </c>
      <c r="D245">
        <v>67001.817850332794</v>
      </c>
      <c r="E245">
        <v>40409.33931978231</v>
      </c>
      <c r="F245">
        <v>38797.569645215699</v>
      </c>
      <c r="G245">
        <v>10000</v>
      </c>
      <c r="H245">
        <v>240887.03590487639</v>
      </c>
      <c r="I245">
        <v>38.158742721197143</v>
      </c>
    </row>
    <row r="246" spans="1:9" x14ac:dyDescent="0.2">
      <c r="A246">
        <v>236</v>
      </c>
      <c r="B246">
        <v>1332545.7860439029</v>
      </c>
      <c r="C246">
        <v>155871.05445002051</v>
      </c>
      <c r="D246">
        <v>115582.56887688504</v>
      </c>
      <c r="E246">
        <v>65167.775029388911</v>
      </c>
      <c r="F246">
        <v>40511.61519434231</v>
      </c>
      <c r="G246">
        <v>10000</v>
      </c>
      <c r="H246">
        <v>367133.01355063677</v>
      </c>
      <c r="I246">
        <v>41.921576553847324</v>
      </c>
    </row>
    <row r="247" spans="1:9" x14ac:dyDescent="0.2">
      <c r="A247">
        <v>237</v>
      </c>
      <c r="B247">
        <v>974758.48803436069</v>
      </c>
      <c r="C247">
        <v>108090.18079144007</v>
      </c>
      <c r="D247">
        <v>106007.02476129707</v>
      </c>
      <c r="E247">
        <v>27103.140921452054</v>
      </c>
      <c r="F247">
        <v>37876.371294562065</v>
      </c>
      <c r="G247">
        <v>10000</v>
      </c>
      <c r="H247">
        <v>269076.71776875126</v>
      </c>
      <c r="I247">
        <v>37.197914383157283</v>
      </c>
    </row>
    <row r="248" spans="1:9" x14ac:dyDescent="0.2">
      <c r="A248">
        <v>238</v>
      </c>
      <c r="B248">
        <v>1314097.8072258362</v>
      </c>
      <c r="C248">
        <v>107978.73940381462</v>
      </c>
      <c r="D248">
        <v>142722.23955148182</v>
      </c>
      <c r="E248">
        <v>79848.173847542959</v>
      </c>
      <c r="F248">
        <v>41527.950497137586</v>
      </c>
      <c r="G248">
        <v>10000</v>
      </c>
      <c r="H248">
        <v>362077.10329997703</v>
      </c>
      <c r="I248">
        <v>40.055612390301178</v>
      </c>
    </row>
    <row r="249" spans="1:9" x14ac:dyDescent="0.2">
      <c r="A249">
        <v>239</v>
      </c>
      <c r="B249">
        <v>1364260.3552895789</v>
      </c>
      <c r="C249">
        <v>114247.28482289096</v>
      </c>
      <c r="D249">
        <v>76186.631760655931</v>
      </c>
      <c r="E249">
        <v>149070.61664726</v>
      </c>
      <c r="F249">
        <v>46320.27346019492</v>
      </c>
      <c r="G249">
        <v>10000</v>
      </c>
      <c r="H249">
        <v>375824.80669100187</v>
      </c>
      <c r="I249">
        <v>29.064313319292786</v>
      </c>
    </row>
    <row r="250" spans="1:9" x14ac:dyDescent="0.2">
      <c r="A250">
        <v>240</v>
      </c>
      <c r="B250">
        <v>1248749.5567758628</v>
      </c>
      <c r="C250">
        <v>125022.85013023845</v>
      </c>
      <c r="D250">
        <v>72213.220247300778</v>
      </c>
      <c r="E250">
        <v>113101.39246874597</v>
      </c>
      <c r="F250">
        <v>43830.096401682415</v>
      </c>
      <c r="G250">
        <v>10000</v>
      </c>
      <c r="H250">
        <v>344167.55924796761</v>
      </c>
      <c r="I250">
        <v>30.769172306945404</v>
      </c>
    </row>
    <row r="251" spans="1:9" x14ac:dyDescent="0.2">
      <c r="A251">
        <v>241</v>
      </c>
      <c r="B251">
        <v>1326758.6794498381</v>
      </c>
      <c r="C251">
        <v>119066.7981946197</v>
      </c>
      <c r="D251">
        <v>78142.614929345349</v>
      </c>
      <c r="E251">
        <v>133121.46652863038</v>
      </c>
      <c r="F251">
        <v>45216.101528905179</v>
      </c>
      <c r="G251">
        <v>10000</v>
      </c>
      <c r="H251">
        <v>365546.98118150054</v>
      </c>
      <c r="I251">
        <v>25.776736307654105</v>
      </c>
    </row>
    <row r="252" spans="1:9" x14ac:dyDescent="0.2">
      <c r="A252">
        <v>242</v>
      </c>
      <c r="B252">
        <v>1508400.1158193692</v>
      </c>
      <c r="C252">
        <v>106823.00013005045</v>
      </c>
      <c r="D252">
        <v>167462.94500291281</v>
      </c>
      <c r="E252">
        <v>107593.4722152093</v>
      </c>
      <c r="F252">
        <v>43448.778845668334</v>
      </c>
      <c r="G252">
        <v>10000</v>
      </c>
      <c r="H252">
        <v>415328.19619384082</v>
      </c>
      <c r="I252">
        <v>53.500018515652926</v>
      </c>
    </row>
    <row r="253" spans="1:9" x14ac:dyDescent="0.2">
      <c r="A253">
        <v>243</v>
      </c>
      <c r="B253">
        <v>1014760.6835193904</v>
      </c>
      <c r="C253">
        <v>118252.37852698528</v>
      </c>
      <c r="D253">
        <v>66130.343829446108</v>
      </c>
      <c r="E253">
        <v>65146.947777959249</v>
      </c>
      <c r="F253">
        <v>40510.17330770487</v>
      </c>
      <c r="G253">
        <v>10000</v>
      </c>
      <c r="H253">
        <v>280039.8434420955</v>
      </c>
      <c r="I253">
        <v>32.147565872291509</v>
      </c>
    </row>
    <row r="254" spans="1:9" x14ac:dyDescent="0.2">
      <c r="A254">
        <v>244</v>
      </c>
      <c r="B254">
        <v>1295019.4063076833</v>
      </c>
      <c r="C254">
        <v>110795.64459505379</v>
      </c>
      <c r="D254">
        <v>120162.58357250436</v>
      </c>
      <c r="E254">
        <v>93422.479339055266</v>
      </c>
      <c r="F254">
        <v>42467.710108088446</v>
      </c>
      <c r="G254">
        <v>10000</v>
      </c>
      <c r="H254">
        <v>356848.41761470184</v>
      </c>
      <c r="I254">
        <v>33.686774599435537</v>
      </c>
    </row>
    <row r="255" spans="1:9" x14ac:dyDescent="0.2">
      <c r="A255">
        <v>245</v>
      </c>
      <c r="B255">
        <v>997835.0183535174</v>
      </c>
      <c r="C255">
        <v>102427.35131663822</v>
      </c>
      <c r="D255">
        <v>37495.525151641537</v>
      </c>
      <c r="E255">
        <v>102389.74585396649</v>
      </c>
      <c r="F255">
        <v>43088.520866813065</v>
      </c>
      <c r="G255">
        <v>10000</v>
      </c>
      <c r="H255">
        <v>275401.14318905934</v>
      </c>
      <c r="I255">
        <v>34.058010947686086</v>
      </c>
    </row>
    <row r="256" spans="1:9" x14ac:dyDescent="0.2">
      <c r="A256">
        <v>246</v>
      </c>
      <c r="B256">
        <v>1295867.3493946213</v>
      </c>
      <c r="C256">
        <v>103310.19061877132</v>
      </c>
      <c r="D256">
        <v>81633.289686328208</v>
      </c>
      <c r="E256">
        <v>136675.19811945874</v>
      </c>
      <c r="F256">
        <v>45462.129100577913</v>
      </c>
      <c r="G256">
        <v>10000</v>
      </c>
      <c r="H256">
        <v>357080.80752513616</v>
      </c>
      <c r="I256">
        <v>31.263702406451134</v>
      </c>
    </row>
    <row r="257" spans="1:9" x14ac:dyDescent="0.2">
      <c r="A257">
        <v>247</v>
      </c>
      <c r="B257">
        <v>1083774.0072523693</v>
      </c>
      <c r="C257">
        <v>137751.66782195342</v>
      </c>
      <c r="D257">
        <v>88822.478888810248</v>
      </c>
      <c r="E257">
        <v>43376.69983047909</v>
      </c>
      <c r="F257">
        <v>39003.002295956241</v>
      </c>
      <c r="G257">
        <v>10000</v>
      </c>
      <c r="H257">
        <v>298953.84883719904</v>
      </c>
      <c r="I257">
        <v>33.774742984187398</v>
      </c>
    </row>
    <row r="258" spans="1:9" x14ac:dyDescent="0.2">
      <c r="A258">
        <v>248</v>
      </c>
      <c r="B258">
        <v>1115424.2971845057</v>
      </c>
      <c r="C258">
        <v>92783.52184440181</v>
      </c>
      <c r="D258">
        <v>145825.81551214235</v>
      </c>
      <c r="E258">
        <v>40233.305354726457</v>
      </c>
      <c r="F258">
        <v>38785.382678404138</v>
      </c>
      <c r="G258">
        <v>10000</v>
      </c>
      <c r="H258">
        <v>307628.02538967476</v>
      </c>
      <c r="I258">
        <v>41.534892134270443</v>
      </c>
    </row>
    <row r="259" spans="1:9" x14ac:dyDescent="0.2">
      <c r="A259">
        <v>249</v>
      </c>
      <c r="B259">
        <v>1724501.0152154551</v>
      </c>
      <c r="C259">
        <v>147196.45023766113</v>
      </c>
      <c r="D259">
        <v>94131.974079682157</v>
      </c>
      <c r="E259">
        <v>193807.60457830492</v>
      </c>
      <c r="F259">
        <v>49417.4495477288</v>
      </c>
      <c r="G259">
        <v>10000</v>
      </c>
      <c r="H259">
        <v>474553.47844337701</v>
      </c>
      <c r="I259">
        <v>28.134849605770263</v>
      </c>
    </row>
    <row r="260" spans="1:9" x14ac:dyDescent="0.2">
      <c r="A260">
        <v>250</v>
      </c>
      <c r="B260">
        <v>1540354.4514841884</v>
      </c>
      <c r="C260">
        <v>122870.10090943299</v>
      </c>
      <c r="D260">
        <v>101330.21889198451</v>
      </c>
      <c r="E260">
        <v>162626.6150064347</v>
      </c>
      <c r="F260">
        <v>47258.765654291637</v>
      </c>
      <c r="G260">
        <v>10000</v>
      </c>
      <c r="H260">
        <v>424085.70046214387</v>
      </c>
      <c r="I260">
        <v>32.897233906642072</v>
      </c>
    </row>
    <row r="261" spans="1:9" x14ac:dyDescent="0.2">
      <c r="A261">
        <v>251</v>
      </c>
      <c r="B261">
        <v>1617951.1653711563</v>
      </c>
      <c r="C261">
        <v>106351.66389584147</v>
      </c>
      <c r="D261">
        <v>109927.05033274979</v>
      </c>
      <c r="E261">
        <v>189924.74588328271</v>
      </c>
      <c r="F261">
        <v>49148.636253458026</v>
      </c>
      <c r="G261">
        <v>10000</v>
      </c>
      <c r="H261">
        <v>445352.09636533196</v>
      </c>
      <c r="I261">
        <v>36.428307254449464</v>
      </c>
    </row>
    <row r="262" spans="1:9" x14ac:dyDescent="0.2">
      <c r="A262">
        <v>252</v>
      </c>
      <c r="B262">
        <v>977367.28080440732</v>
      </c>
      <c r="C262">
        <v>114559.13306305226</v>
      </c>
      <c r="D262">
        <v>89232.014074942708</v>
      </c>
      <c r="E262">
        <v>37410.581152203828</v>
      </c>
      <c r="F262">
        <v>38589.963310537183</v>
      </c>
      <c r="G262">
        <v>10000</v>
      </c>
      <c r="H262">
        <v>269791.69160073594</v>
      </c>
      <c r="I262">
        <v>35.244781266253426</v>
      </c>
    </row>
    <row r="263" spans="1:9" x14ac:dyDescent="0.2">
      <c r="A263">
        <v>253</v>
      </c>
      <c r="B263">
        <v>1171262.018823518</v>
      </c>
      <c r="C263">
        <v>74042.239766722647</v>
      </c>
      <c r="D263">
        <v>93692.700609492676</v>
      </c>
      <c r="E263">
        <v>120830.92610262478</v>
      </c>
      <c r="F263">
        <v>44365.217960950948</v>
      </c>
      <c r="G263">
        <v>10000</v>
      </c>
      <c r="H263">
        <v>322931.08443979104</v>
      </c>
      <c r="I263">
        <v>32.917768993255919</v>
      </c>
    </row>
    <row r="264" spans="1:9" x14ac:dyDescent="0.2">
      <c r="A264">
        <v>254</v>
      </c>
      <c r="B264">
        <v>1503647.8112852252</v>
      </c>
      <c r="C264">
        <v>112750.84789971107</v>
      </c>
      <c r="D264">
        <v>100249.14238973663</v>
      </c>
      <c r="E264">
        <v>163693.1704844936</v>
      </c>
      <c r="F264">
        <v>47332.604110464941</v>
      </c>
      <c r="G264">
        <v>10000</v>
      </c>
      <c r="H264">
        <v>414025.76488440624</v>
      </c>
      <c r="I264">
        <v>26.854255319708017</v>
      </c>
    </row>
    <row r="265" spans="1:9" x14ac:dyDescent="0.2">
      <c r="A265">
        <v>255</v>
      </c>
      <c r="B265">
        <v>1329731.8488875779</v>
      </c>
      <c r="C265">
        <v>99327.979774456675</v>
      </c>
      <c r="D265">
        <v>63763.631434695417</v>
      </c>
      <c r="E265">
        <v>165792.27899579203</v>
      </c>
      <c r="F265">
        <v>47477.927007400984</v>
      </c>
      <c r="G265">
        <v>10000</v>
      </c>
      <c r="H265">
        <v>366361.81721234508</v>
      </c>
      <c r="I265">
        <v>32.105528262811987</v>
      </c>
    </row>
    <row r="266" spans="1:9" x14ac:dyDescent="0.2">
      <c r="A266">
        <v>256</v>
      </c>
      <c r="B266">
        <v>1219302.4144755169</v>
      </c>
      <c r="C266">
        <v>91347.985718392723</v>
      </c>
      <c r="D266">
        <v>141114.93936481277</v>
      </c>
      <c r="E266">
        <v>72607.580434967793</v>
      </c>
      <c r="F266">
        <v>41026.67864549777</v>
      </c>
      <c r="G266">
        <v>10000</v>
      </c>
      <c r="H266">
        <v>336097.1841636711</v>
      </c>
      <c r="I266">
        <v>34.524910196183811</v>
      </c>
    </row>
    <row r="267" spans="1:9" x14ac:dyDescent="0.2">
      <c r="A267">
        <v>257</v>
      </c>
      <c r="B267">
        <v>1553242.585095214</v>
      </c>
      <c r="C267">
        <v>116278.0557049355</v>
      </c>
      <c r="D267">
        <v>94992.920783849171</v>
      </c>
      <c r="E267">
        <v>178022.26730895648</v>
      </c>
      <c r="F267">
        <v>48324.618506004677</v>
      </c>
      <c r="G267">
        <v>10000</v>
      </c>
      <c r="H267">
        <v>427617.86230374582</v>
      </c>
      <c r="I267">
        <v>26.802535682940729</v>
      </c>
    </row>
    <row r="268" spans="1:9" x14ac:dyDescent="0.2">
      <c r="A268">
        <v>258</v>
      </c>
      <c r="B268">
        <v>1130663.154900081</v>
      </c>
      <c r="C268">
        <v>148423.06457651095</v>
      </c>
      <c r="D268">
        <v>40267.225135295696</v>
      </c>
      <c r="E268">
        <v>90826.178078492216</v>
      </c>
      <c r="F268">
        <v>42287.966174664849</v>
      </c>
      <c r="G268">
        <v>10000</v>
      </c>
      <c r="H268">
        <v>311804.43396496371</v>
      </c>
      <c r="I268">
        <v>43.540203583130932</v>
      </c>
    </row>
    <row r="269" spans="1:9" x14ac:dyDescent="0.2">
      <c r="A269">
        <v>259</v>
      </c>
      <c r="B269">
        <v>1862664.5805675555</v>
      </c>
      <c r="C269">
        <v>166792.05730767726</v>
      </c>
      <c r="D269">
        <v>136797.38270493833</v>
      </c>
      <c r="E269">
        <v>170991.68731622474</v>
      </c>
      <c r="F269">
        <v>47837.886044969404</v>
      </c>
      <c r="G269">
        <v>10000</v>
      </c>
      <c r="H269">
        <v>512419.01337380975</v>
      </c>
      <c r="I269">
        <v>48.539203135526435</v>
      </c>
    </row>
    <row r="270" spans="1:9" x14ac:dyDescent="0.2">
      <c r="A270">
        <v>260</v>
      </c>
      <c r="B270">
        <v>1416952.7044860423</v>
      </c>
      <c r="C270">
        <v>93866.542676943951</v>
      </c>
      <c r="D270">
        <v>96993.262874044027</v>
      </c>
      <c r="E270">
        <v>162178.30113028991</v>
      </c>
      <c r="F270">
        <v>47227.728539789307</v>
      </c>
      <c r="G270">
        <v>10000</v>
      </c>
      <c r="H270">
        <v>390265.83522106719</v>
      </c>
      <c r="I270">
        <v>52.355009200865076</v>
      </c>
    </row>
    <row r="271" spans="1:9" x14ac:dyDescent="0.2">
      <c r="A271">
        <v>261</v>
      </c>
      <c r="B271">
        <v>1524656.9006251819</v>
      </c>
      <c r="C271">
        <v>127947.49314894828</v>
      </c>
      <c r="D271">
        <v>71725.609517957026</v>
      </c>
      <c r="E271">
        <v>181542.17400148514</v>
      </c>
      <c r="F271">
        <v>48568.304353948974</v>
      </c>
      <c r="G271">
        <v>10000</v>
      </c>
      <c r="H271">
        <v>419783.58102233947</v>
      </c>
      <c r="I271">
        <v>37.051722611846571</v>
      </c>
    </row>
    <row r="272" spans="1:9" x14ac:dyDescent="0.2">
      <c r="A272">
        <v>262</v>
      </c>
      <c r="B272">
        <v>1341051.2683914469</v>
      </c>
      <c r="C272">
        <v>95455.227240286506</v>
      </c>
      <c r="D272">
        <v>101017.826656506</v>
      </c>
      <c r="E272">
        <v>137473.59572600399</v>
      </c>
      <c r="F272">
        <v>45517.402781031044</v>
      </c>
      <c r="G272">
        <v>10000</v>
      </c>
      <c r="H272">
        <v>369464.05240382755</v>
      </c>
      <c r="I272">
        <v>30.55011761440241</v>
      </c>
    </row>
    <row r="273" spans="1:9" x14ac:dyDescent="0.2">
      <c r="A273">
        <v>263</v>
      </c>
      <c r="B273">
        <v>1083771.4083896361</v>
      </c>
      <c r="C273">
        <v>115865.70367752829</v>
      </c>
      <c r="D273">
        <v>92138.920294991432</v>
      </c>
      <c r="E273">
        <v>60743.213234528957</v>
      </c>
      <c r="F273">
        <v>40205.299377775082</v>
      </c>
      <c r="G273">
        <v>10000</v>
      </c>
      <c r="H273">
        <v>298953.13658482372</v>
      </c>
      <c r="I273">
        <v>44.561176595966643</v>
      </c>
    </row>
    <row r="274" spans="1:9" x14ac:dyDescent="0.2">
      <c r="A274">
        <v>264</v>
      </c>
      <c r="B274">
        <v>1437875.4640434585</v>
      </c>
      <c r="C274">
        <v>119290.63643919256</v>
      </c>
      <c r="D274">
        <v>168130.81074446961</v>
      </c>
      <c r="E274">
        <v>77231.732142334949</v>
      </c>
      <c r="F274">
        <v>41346.812225238573</v>
      </c>
      <c r="G274">
        <v>10000</v>
      </c>
      <c r="H274">
        <v>395999.99155123573</v>
      </c>
      <c r="I274">
        <v>26.412950544566346</v>
      </c>
    </row>
    <row r="275" spans="1:9" x14ac:dyDescent="0.2">
      <c r="A275">
        <v>265</v>
      </c>
      <c r="B275">
        <v>976318.60158148163</v>
      </c>
      <c r="C275">
        <v>103839.41527825588</v>
      </c>
      <c r="D275">
        <v>106261.3486929146</v>
      </c>
      <c r="E275">
        <v>31240.705292827082</v>
      </c>
      <c r="F275">
        <v>38162.818058734185</v>
      </c>
      <c r="G275">
        <v>10000</v>
      </c>
      <c r="H275">
        <v>269504.28732273175</v>
      </c>
      <c r="I275">
        <v>39.055886704365676</v>
      </c>
    </row>
    <row r="276" spans="1:9" x14ac:dyDescent="0.2">
      <c r="A276">
        <v>266</v>
      </c>
      <c r="B276">
        <v>1142597.6140326904</v>
      </c>
      <c r="C276">
        <v>99915.074564081107</v>
      </c>
      <c r="D276">
        <v>133925.13510570247</v>
      </c>
      <c r="E276">
        <v>51658.65100687628</v>
      </c>
      <c r="F276">
        <v>39576.368146629902</v>
      </c>
      <c r="G276">
        <v>10000</v>
      </c>
      <c r="H276">
        <v>315075.22882328974</v>
      </c>
      <c r="I276">
        <v>30.902812174408218</v>
      </c>
    </row>
    <row r="277" spans="1:9" x14ac:dyDescent="0.2">
      <c r="A277">
        <v>267</v>
      </c>
      <c r="B277">
        <v>1654316.9941057775</v>
      </c>
      <c r="C277">
        <v>121386.13585127887</v>
      </c>
      <c r="D277">
        <v>131515.38191934105</v>
      </c>
      <c r="E277">
        <v>164994.41972959178</v>
      </c>
      <c r="F277">
        <v>47422.690596664048</v>
      </c>
      <c r="G277">
        <v>10000</v>
      </c>
      <c r="H277">
        <v>455318.62809687573</v>
      </c>
      <c r="I277">
        <v>29.105648270594315</v>
      </c>
    </row>
    <row r="278" spans="1:9" x14ac:dyDescent="0.2">
      <c r="A278">
        <v>268</v>
      </c>
      <c r="B278">
        <v>1308060.7697693952</v>
      </c>
      <c r="C278">
        <v>77658.147294942391</v>
      </c>
      <c r="D278">
        <v>109520.12935901312</v>
      </c>
      <c r="E278">
        <v>137710.49401810934</v>
      </c>
      <c r="F278">
        <v>45533.803432022949</v>
      </c>
      <c r="G278">
        <v>10000</v>
      </c>
      <c r="H278">
        <v>360422.57410408778</v>
      </c>
      <c r="I278">
        <v>25.343560268647742</v>
      </c>
    </row>
    <row r="279" spans="1:9" x14ac:dyDescent="0.2">
      <c r="A279">
        <v>269</v>
      </c>
      <c r="B279">
        <v>1105413.6177601863</v>
      </c>
      <c r="C279">
        <v>129381.88262995318</v>
      </c>
      <c r="D279">
        <v>110755.73185018687</v>
      </c>
      <c r="E279">
        <v>36238.06403205578</v>
      </c>
      <c r="F279">
        <v>38508.789048373088</v>
      </c>
      <c r="G279">
        <v>10000</v>
      </c>
      <c r="H279">
        <v>304884.46756056894</v>
      </c>
      <c r="I279">
        <v>37.827124605433838</v>
      </c>
    </row>
    <row r="280" spans="1:9" x14ac:dyDescent="0.2">
      <c r="A280">
        <v>270</v>
      </c>
      <c r="B280">
        <v>1159146.3742386803</v>
      </c>
      <c r="C280">
        <v>77553.236863146754</v>
      </c>
      <c r="D280">
        <v>86131.905612108094</v>
      </c>
      <c r="E280">
        <v>121513.04900540452</v>
      </c>
      <c r="F280">
        <v>44412.44185422032</v>
      </c>
      <c r="G280">
        <v>10000</v>
      </c>
      <c r="H280">
        <v>319610.63333487965</v>
      </c>
      <c r="I280">
        <v>32.766626958440767</v>
      </c>
    </row>
    <row r="281" spans="1:9" x14ac:dyDescent="0.2">
      <c r="A281">
        <v>271</v>
      </c>
      <c r="B281">
        <v>1083001.1523385388</v>
      </c>
      <c r="C281">
        <v>127823.35529033434</v>
      </c>
      <c r="D281">
        <v>94988.298825811042</v>
      </c>
      <c r="E281">
        <v>46697.481165813129</v>
      </c>
      <c r="F281">
        <v>39232.902542248601</v>
      </c>
      <c r="G281">
        <v>10000</v>
      </c>
      <c r="H281">
        <v>298742.0378242071</v>
      </c>
      <c r="I281">
        <v>30.614854091701702</v>
      </c>
    </row>
    <row r="282" spans="1:9" x14ac:dyDescent="0.2">
      <c r="A282">
        <v>272</v>
      </c>
      <c r="B282">
        <v>1316252.4441365851</v>
      </c>
      <c r="C282">
        <v>149477.95841525044</v>
      </c>
      <c r="D282">
        <v>102079.02027660416</v>
      </c>
      <c r="E282">
        <v>79599.87079213449</v>
      </c>
      <c r="F282">
        <v>41510.760285609307</v>
      </c>
      <c r="G282">
        <v>10000</v>
      </c>
      <c r="H282">
        <v>362667.60976959835</v>
      </c>
      <c r="I282">
        <v>36.653545247470447</v>
      </c>
    </row>
    <row r="283" spans="1:9" x14ac:dyDescent="0.2">
      <c r="A283">
        <v>273</v>
      </c>
      <c r="B283">
        <v>1178205.1728114495</v>
      </c>
      <c r="C283">
        <v>120984.68282215808</v>
      </c>
      <c r="D283">
        <v>145821.34135647296</v>
      </c>
      <c r="E283">
        <v>29954.172180282589</v>
      </c>
      <c r="F283">
        <v>38073.75038171187</v>
      </c>
      <c r="G283">
        <v>10000</v>
      </c>
      <c r="H283">
        <v>324833.94674062548</v>
      </c>
      <c r="I283">
        <v>30.018370861954093</v>
      </c>
    </row>
    <row r="284" spans="1:9" x14ac:dyDescent="0.2">
      <c r="A284">
        <v>274</v>
      </c>
      <c r="B284">
        <v>1386271.5267409012</v>
      </c>
      <c r="C284">
        <v>132344.58248569616</v>
      </c>
      <c r="D284">
        <v>99135.08063865357</v>
      </c>
      <c r="E284">
        <v>116324.36795964763</v>
      </c>
      <c r="F284">
        <v>44053.225474129446</v>
      </c>
      <c r="G284">
        <v>10000</v>
      </c>
      <c r="H284">
        <v>381857.25655812677</v>
      </c>
      <c r="I284">
        <v>37.769577174186857</v>
      </c>
    </row>
    <row r="285" spans="1:9" x14ac:dyDescent="0.2">
      <c r="A285">
        <v>275</v>
      </c>
      <c r="B285">
        <v>1451374.0736190099</v>
      </c>
      <c r="C285">
        <v>151021.56811556933</v>
      </c>
      <c r="D285">
        <v>91070.513125585494</v>
      </c>
      <c r="E285">
        <v>123086.03986513527</v>
      </c>
      <c r="F285">
        <v>44521.341221432442</v>
      </c>
      <c r="G285">
        <v>10000</v>
      </c>
      <c r="H285">
        <v>399699.46232772252</v>
      </c>
      <c r="I285">
        <v>27.210456547945533</v>
      </c>
    </row>
    <row r="286" spans="1:9" x14ac:dyDescent="0.2">
      <c r="A286">
        <v>276</v>
      </c>
      <c r="B286">
        <v>991225.46627232665</v>
      </c>
      <c r="C286">
        <v>127288.94537103028</v>
      </c>
      <c r="D286">
        <v>74929.489895821942</v>
      </c>
      <c r="E286">
        <v>42433.565231672932</v>
      </c>
      <c r="F286">
        <v>38937.708362192745</v>
      </c>
      <c r="G286">
        <v>10000</v>
      </c>
      <c r="H286">
        <v>273589.70886071789</v>
      </c>
      <c r="I286">
        <v>51.179324592625498</v>
      </c>
    </row>
    <row r="287" spans="1:9" x14ac:dyDescent="0.2">
      <c r="A287">
        <v>277</v>
      </c>
      <c r="B287">
        <v>1085717.8321906403</v>
      </c>
      <c r="C287">
        <v>94598.049743164331</v>
      </c>
      <c r="D287">
        <v>79315.275174943643</v>
      </c>
      <c r="E287">
        <v>93126.065459004167</v>
      </c>
      <c r="F287">
        <v>42447.189147161829</v>
      </c>
      <c r="G287">
        <v>10000</v>
      </c>
      <c r="H287">
        <v>299486.57952427398</v>
      </c>
      <c r="I287">
        <v>32.016148333022969</v>
      </c>
    </row>
    <row r="288" spans="1:9" x14ac:dyDescent="0.2">
      <c r="A288">
        <v>278</v>
      </c>
      <c r="B288">
        <v>992568.64450862166</v>
      </c>
      <c r="C288">
        <v>133930.86049136528</v>
      </c>
      <c r="D288">
        <v>83440.834972651937</v>
      </c>
      <c r="E288">
        <v>28605.732146160975</v>
      </c>
      <c r="F288">
        <v>37980.396840888068</v>
      </c>
      <c r="G288">
        <v>10000</v>
      </c>
      <c r="H288">
        <v>273957.82445106626</v>
      </c>
      <c r="I288">
        <v>45.772164189470587</v>
      </c>
    </row>
    <row r="289" spans="1:9" x14ac:dyDescent="0.2">
      <c r="A289">
        <v>279</v>
      </c>
      <c r="B289">
        <v>1059952.2323002459</v>
      </c>
      <c r="C289">
        <v>116790.66632406472</v>
      </c>
      <c r="D289">
        <v>75746.186643386362</v>
      </c>
      <c r="E289">
        <v>69104.190154152617</v>
      </c>
      <c r="F289">
        <v>40784.136241441338</v>
      </c>
      <c r="G289">
        <v>10000</v>
      </c>
      <c r="H289">
        <v>292425.17936304508</v>
      </c>
      <c r="I289">
        <v>48.19420396473889</v>
      </c>
    </row>
    <row r="290" spans="1:9" x14ac:dyDescent="0.2">
      <c r="A290">
        <v>280</v>
      </c>
      <c r="B290">
        <v>1633897.4070452815</v>
      </c>
      <c r="C290">
        <v>114703.86372994917</v>
      </c>
      <c r="D290">
        <v>100971.83122250879</v>
      </c>
      <c r="E290">
        <v>194576.02962353075</v>
      </c>
      <c r="F290">
        <v>49470.648204705976</v>
      </c>
      <c r="G290">
        <v>10000</v>
      </c>
      <c r="H290">
        <v>449722.37278069468</v>
      </c>
      <c r="I290">
        <v>41.148358459637279</v>
      </c>
    </row>
    <row r="291" spans="1:9" x14ac:dyDescent="0.2">
      <c r="A291">
        <v>281</v>
      </c>
      <c r="B291">
        <v>1725363.5053855139</v>
      </c>
      <c r="C291">
        <v>147642.35385256069</v>
      </c>
      <c r="D291">
        <v>90255.633779464522</v>
      </c>
      <c r="E291">
        <v>197236.99841914661</v>
      </c>
      <c r="F291">
        <v>49654.869121325537</v>
      </c>
      <c r="G291">
        <v>10000</v>
      </c>
      <c r="H291">
        <v>474789.85517249734</v>
      </c>
      <c r="I291">
        <v>39.624907203310357</v>
      </c>
    </row>
    <row r="292" spans="1:9" x14ac:dyDescent="0.2">
      <c r="A292">
        <v>282</v>
      </c>
      <c r="B292">
        <v>1523453.7975169714</v>
      </c>
      <c r="C292">
        <v>152830.49694132403</v>
      </c>
      <c r="D292">
        <v>168370.90659535199</v>
      </c>
      <c r="E292">
        <v>67574.235046595801</v>
      </c>
      <c r="F292">
        <v>40678.21627245663</v>
      </c>
      <c r="G292">
        <v>10000</v>
      </c>
      <c r="H292">
        <v>419453.85485572845</v>
      </c>
      <c r="I292">
        <v>40.169142576649179</v>
      </c>
    </row>
    <row r="293" spans="1:9" x14ac:dyDescent="0.2">
      <c r="A293">
        <v>283</v>
      </c>
      <c r="B293">
        <v>913061.5210381475</v>
      </c>
      <c r="C293">
        <v>104529.47322899025</v>
      </c>
      <c r="D293">
        <v>58405.517608651615</v>
      </c>
      <c r="E293">
        <v>59138.650662235967</v>
      </c>
      <c r="F293">
        <v>40094.214276616331</v>
      </c>
      <c r="G293">
        <v>10000</v>
      </c>
      <c r="H293">
        <v>252167.85577649419</v>
      </c>
      <c r="I293">
        <v>43.675579575375025</v>
      </c>
    </row>
    <row r="294" spans="1:9" x14ac:dyDescent="0.2">
      <c r="A294">
        <v>284</v>
      </c>
      <c r="B294">
        <v>1354894.5379639775</v>
      </c>
      <c r="C294">
        <v>130560.36000674033</v>
      </c>
      <c r="D294">
        <v>67654.345208640952</v>
      </c>
      <c r="E294">
        <v>139392.99245862002</v>
      </c>
      <c r="F294">
        <v>45650.284093289076</v>
      </c>
      <c r="G294">
        <v>10000</v>
      </c>
      <c r="H294">
        <v>373257.98176729039</v>
      </c>
      <c r="I294">
        <v>44.141838793591184</v>
      </c>
    </row>
    <row r="295" spans="1:9" x14ac:dyDescent="0.2">
      <c r="A295">
        <v>285</v>
      </c>
      <c r="B295">
        <v>1255597.1052791825</v>
      </c>
      <c r="C295">
        <v>109824.86572906116</v>
      </c>
      <c r="D295">
        <v>44947.844439957786</v>
      </c>
      <c r="E295">
        <v>154570.47645875448</v>
      </c>
      <c r="F295">
        <v>46701.032985606078</v>
      </c>
      <c r="G295">
        <v>10000</v>
      </c>
      <c r="H295">
        <v>346044.21961337951</v>
      </c>
      <c r="I295">
        <v>39.517180619326396</v>
      </c>
    </row>
    <row r="296" spans="1:9" x14ac:dyDescent="0.2">
      <c r="A296">
        <v>286</v>
      </c>
      <c r="B296">
        <v>759715.34615485161</v>
      </c>
      <c r="C296">
        <v>73600.295555074452</v>
      </c>
      <c r="D296">
        <v>53025.588104132628</v>
      </c>
      <c r="E296">
        <v>53791.422598775891</v>
      </c>
      <c r="F296">
        <v>39724.021564530638</v>
      </c>
      <c r="G296">
        <v>10000</v>
      </c>
      <c r="H296">
        <v>210141.32782251362</v>
      </c>
      <c r="I296">
        <v>35.447454685830124</v>
      </c>
    </row>
    <row r="297" spans="1:9" x14ac:dyDescent="0.2">
      <c r="A297">
        <v>287</v>
      </c>
      <c r="B297">
        <v>922857.3284162787</v>
      </c>
      <c r="C297">
        <v>99933.226276317713</v>
      </c>
      <c r="D297">
        <v>66468.867290257564</v>
      </c>
      <c r="E297">
        <v>58406.87841879292</v>
      </c>
      <c r="F297">
        <v>40043.553121301047</v>
      </c>
      <c r="G297">
        <v>10000</v>
      </c>
      <c r="H297">
        <v>254852.52510666923</v>
      </c>
      <c r="I297">
        <v>49.184395674806076</v>
      </c>
    </row>
    <row r="298" spans="1:9" x14ac:dyDescent="0.2">
      <c r="A298">
        <v>288</v>
      </c>
      <c r="B298">
        <v>1165965.9583225432</v>
      </c>
      <c r="C298">
        <v>93344.932382374987</v>
      </c>
      <c r="D298">
        <v>72489.797681234399</v>
      </c>
      <c r="E298">
        <v>121250.6255450219</v>
      </c>
      <c r="F298">
        <v>44394.274076193826</v>
      </c>
      <c r="G298">
        <v>10000</v>
      </c>
      <c r="H298">
        <v>321479.62968482508</v>
      </c>
      <c r="I298">
        <v>29.051688211329758</v>
      </c>
    </row>
    <row r="299" spans="1:9" x14ac:dyDescent="0.2">
      <c r="A299">
        <v>289</v>
      </c>
      <c r="B299">
        <v>1228110.6195694809</v>
      </c>
      <c r="C299">
        <v>80294.217020457334</v>
      </c>
      <c r="D299">
        <v>152124.62008064982</v>
      </c>
      <c r="E299">
        <v>74906.515370378678</v>
      </c>
      <c r="F299">
        <v>41185.835679487755</v>
      </c>
      <c r="G299">
        <v>10000</v>
      </c>
      <c r="H299">
        <v>338511.18815097358</v>
      </c>
      <c r="I299">
        <v>37.393989291130623</v>
      </c>
    </row>
    <row r="300" spans="1:9" x14ac:dyDescent="0.2">
      <c r="A300">
        <v>290</v>
      </c>
      <c r="B300">
        <v>1716473.0951889995</v>
      </c>
      <c r="C300">
        <v>121745.71352310822</v>
      </c>
      <c r="D300">
        <v>141001.97548282205</v>
      </c>
      <c r="E300">
        <v>171717.49829662291</v>
      </c>
      <c r="F300">
        <v>47888.134497458508</v>
      </c>
      <c r="G300">
        <v>10000</v>
      </c>
      <c r="H300">
        <v>472353.32180001173</v>
      </c>
      <c r="I300">
        <v>39.03120575605476</v>
      </c>
    </row>
    <row r="301" spans="1:9" x14ac:dyDescent="0.2">
      <c r="A301">
        <v>291</v>
      </c>
      <c r="B301">
        <v>1317521.3909487587</v>
      </c>
      <c r="C301">
        <v>133742.95301499747</v>
      </c>
      <c r="D301">
        <v>148097.31398500298</v>
      </c>
      <c r="E301">
        <v>51602.624852893634</v>
      </c>
      <c r="F301">
        <v>39572.489412892639</v>
      </c>
      <c r="G301">
        <v>10000</v>
      </c>
      <c r="H301">
        <v>363015.38126578671</v>
      </c>
      <c r="I301">
        <v>39.106565083474898</v>
      </c>
    </row>
    <row r="302" spans="1:9" x14ac:dyDescent="0.2">
      <c r="A302">
        <v>292</v>
      </c>
      <c r="B302">
        <v>974952.4093911153</v>
      </c>
      <c r="C302">
        <v>111648.04895011231</v>
      </c>
      <c r="D302">
        <v>48397.126255850235</v>
      </c>
      <c r="E302">
        <v>77705.105054743326</v>
      </c>
      <c r="F302">
        <v>41379.58419609761</v>
      </c>
      <c r="G302">
        <v>10000</v>
      </c>
      <c r="H302">
        <v>269129.86445680348</v>
      </c>
      <c r="I302">
        <v>29.729652024190514</v>
      </c>
    </row>
    <row r="303" spans="1:9" x14ac:dyDescent="0.2">
      <c r="A303">
        <v>293</v>
      </c>
      <c r="B303">
        <v>1410590.6858246387</v>
      </c>
      <c r="C303">
        <v>108782.39845313827</v>
      </c>
      <c r="D303">
        <v>122076.32071423598</v>
      </c>
      <c r="E303">
        <v>123138.54528922711</v>
      </c>
      <c r="F303">
        <v>44524.976212331108</v>
      </c>
      <c r="G303">
        <v>10000</v>
      </c>
      <c r="H303">
        <v>388522.24066893244</v>
      </c>
      <c r="I303">
        <v>35.039256991797288</v>
      </c>
    </row>
    <row r="304" spans="1:9" x14ac:dyDescent="0.2">
      <c r="A304">
        <v>294</v>
      </c>
      <c r="B304">
        <v>1236970.1721858224</v>
      </c>
      <c r="C304">
        <v>102800.74060344978</v>
      </c>
      <c r="D304">
        <v>35887.149844188963</v>
      </c>
      <c r="E304">
        <v>164839.41467430923</v>
      </c>
      <c r="F304">
        <v>47411.959477452176</v>
      </c>
      <c r="G304">
        <v>10000</v>
      </c>
      <c r="H304">
        <v>340939.26459940017</v>
      </c>
      <c r="I304">
        <v>28.760527425456225</v>
      </c>
    </row>
    <row r="305" spans="1:9" x14ac:dyDescent="0.2">
      <c r="A305">
        <v>295</v>
      </c>
      <c r="B305">
        <v>1244913.449205087</v>
      </c>
      <c r="C305">
        <v>96522.380513995318</v>
      </c>
      <c r="D305">
        <v>57685.792558204994</v>
      </c>
      <c r="E305">
        <v>152360.04736646393</v>
      </c>
      <c r="F305">
        <v>46548.003279216733</v>
      </c>
      <c r="G305">
        <v>10000</v>
      </c>
      <c r="H305">
        <v>343116.22371788102</v>
      </c>
      <c r="I305">
        <v>40.595325186185867</v>
      </c>
    </row>
    <row r="306" spans="1:9" x14ac:dyDescent="0.2">
      <c r="A306">
        <v>296</v>
      </c>
      <c r="B306">
        <v>1491490.5215939463</v>
      </c>
      <c r="C306">
        <v>105500.52838043909</v>
      </c>
      <c r="D306">
        <v>83773.504435092807</v>
      </c>
      <c r="E306">
        <v>182766.78262599101</v>
      </c>
      <c r="F306">
        <v>48653.084951030149</v>
      </c>
      <c r="G306">
        <v>10000</v>
      </c>
      <c r="H306">
        <v>410693.90039255301</v>
      </c>
      <c r="I306">
        <v>46.513545435926147</v>
      </c>
    </row>
    <row r="307" spans="1:9" x14ac:dyDescent="0.2">
      <c r="A307">
        <v>297</v>
      </c>
      <c r="B307">
        <v>1036095.5891910291</v>
      </c>
      <c r="C307">
        <v>108914.60350342377</v>
      </c>
      <c r="D307">
        <v>62876.95006793525</v>
      </c>
      <c r="E307">
        <v>82391.381521605741</v>
      </c>
      <c r="F307">
        <v>41704.018720726548</v>
      </c>
      <c r="G307">
        <v>10000</v>
      </c>
      <c r="H307">
        <v>285886.95381369133</v>
      </c>
      <c r="I307">
        <v>33.620595476137446</v>
      </c>
    </row>
    <row r="308" spans="1:9" x14ac:dyDescent="0.2">
      <c r="A308">
        <v>298</v>
      </c>
      <c r="B308">
        <v>1398804.5108998676</v>
      </c>
      <c r="C308">
        <v>118506.85227697541</v>
      </c>
      <c r="D308">
        <v>170496.68931643228</v>
      </c>
      <c r="E308">
        <v>65737.486676840796</v>
      </c>
      <c r="F308">
        <v>40551.056769935138</v>
      </c>
      <c r="G308">
        <v>10000</v>
      </c>
      <c r="H308">
        <v>385292.08504018362</v>
      </c>
      <c r="I308">
        <v>34.126212720212536</v>
      </c>
    </row>
    <row r="309" spans="1:9" x14ac:dyDescent="0.2">
      <c r="A309">
        <v>299</v>
      </c>
      <c r="B309">
        <v>980804.25594675425</v>
      </c>
      <c r="C309">
        <v>84855.510187029387</v>
      </c>
      <c r="D309">
        <v>66531.042224052508</v>
      </c>
      <c r="E309">
        <v>87303.031240422861</v>
      </c>
      <c r="F309">
        <v>42044.05600895235</v>
      </c>
      <c r="G309">
        <v>10000</v>
      </c>
      <c r="H309">
        <v>270733.63966045715</v>
      </c>
      <c r="I309">
        <v>48.563157577435597</v>
      </c>
    </row>
    <row r="310" spans="1:9" x14ac:dyDescent="0.2">
      <c r="A310">
        <v>300</v>
      </c>
      <c r="B310">
        <v>870534.0916043052</v>
      </c>
      <c r="C310">
        <v>99303.271411991285</v>
      </c>
      <c r="D310">
        <v>83861.269893002187</v>
      </c>
      <c r="E310">
        <v>29318.381267914145</v>
      </c>
      <c r="F310">
        <v>38029.734087778677</v>
      </c>
      <c r="G310">
        <v>10000</v>
      </c>
      <c r="H310">
        <v>240512.65666068631</v>
      </c>
      <c r="I310">
        <v>45.756522187229876</v>
      </c>
    </row>
    <row r="311" spans="1:9" x14ac:dyDescent="0.2">
      <c r="A311">
        <v>301</v>
      </c>
      <c r="B311">
        <v>1263710.0977668257</v>
      </c>
      <c r="C311">
        <v>145009.45507497227</v>
      </c>
      <c r="D311">
        <v>95785.440843946853</v>
      </c>
      <c r="E311">
        <v>76197.578581485475</v>
      </c>
      <c r="F311">
        <v>41275.216978718228</v>
      </c>
      <c r="G311">
        <v>10000</v>
      </c>
      <c r="H311">
        <v>348267.69147912285</v>
      </c>
      <c r="I311">
        <v>44.702033531720808</v>
      </c>
    </row>
    <row r="312" spans="1:9" x14ac:dyDescent="0.2">
      <c r="A312">
        <v>302</v>
      </c>
      <c r="B312">
        <v>1553780.5835673665</v>
      </c>
      <c r="C312">
        <v>149319.57881588864</v>
      </c>
      <c r="D312">
        <v>100395.76364977696</v>
      </c>
      <c r="E312">
        <v>142205.00358043777</v>
      </c>
      <c r="F312">
        <v>45844.961786338004</v>
      </c>
      <c r="G312">
        <v>10000</v>
      </c>
      <c r="H312">
        <v>427765.30783244141</v>
      </c>
      <c r="I312">
        <v>32.885958209991131</v>
      </c>
    </row>
    <row r="313" spans="1:9" x14ac:dyDescent="0.2">
      <c r="A313">
        <v>303</v>
      </c>
      <c r="B313">
        <v>1281975.9868858745</v>
      </c>
      <c r="C313">
        <v>87065.224026202326</v>
      </c>
      <c r="D313">
        <v>48251.511715629029</v>
      </c>
      <c r="E313">
        <v>179528.09388265799</v>
      </c>
      <c r="F313">
        <v>48428.868038030174</v>
      </c>
      <c r="G313">
        <v>10000</v>
      </c>
      <c r="H313">
        <v>353273.69766251952</v>
      </c>
      <c r="I313">
        <v>35.123393067511138</v>
      </c>
    </row>
    <row r="314" spans="1:9" x14ac:dyDescent="0.2">
      <c r="A314">
        <v>304</v>
      </c>
      <c r="B314">
        <v>1291756.229055238</v>
      </c>
      <c r="C314">
        <v>90642.89473775911</v>
      </c>
      <c r="D314">
        <v>43285.575281697595</v>
      </c>
      <c r="E314">
        <v>183333.32407269522</v>
      </c>
      <c r="F314">
        <v>48692.307051186588</v>
      </c>
      <c r="G314">
        <v>10000</v>
      </c>
      <c r="H314">
        <v>355954.10114333848</v>
      </c>
      <c r="I314">
        <v>26.53905388582562</v>
      </c>
    </row>
    <row r="315" spans="1:9" x14ac:dyDescent="0.2">
      <c r="A315">
        <v>305</v>
      </c>
      <c r="B315">
        <v>1537297.646969934</v>
      </c>
      <c r="C315">
        <v>95633.18731508487</v>
      </c>
      <c r="D315">
        <v>102811.80006618943</v>
      </c>
      <c r="E315">
        <v>185930.82193544536</v>
      </c>
      <c r="F315">
        <v>48872.133826300065</v>
      </c>
      <c r="G315">
        <v>10000</v>
      </c>
      <c r="H315">
        <v>423247.94314301969</v>
      </c>
      <c r="I315">
        <v>35.136842824878258</v>
      </c>
    </row>
    <row r="316" spans="1:9" x14ac:dyDescent="0.2">
      <c r="A316">
        <v>306</v>
      </c>
      <c r="B316">
        <v>1307069.7893457331</v>
      </c>
      <c r="C316">
        <v>112931.05079572459</v>
      </c>
      <c r="D316">
        <v>147361.29985609799</v>
      </c>
      <c r="E316">
        <v>69076.418684760356</v>
      </c>
      <c r="F316">
        <v>40782.213601252639</v>
      </c>
      <c r="G316">
        <v>10000</v>
      </c>
      <c r="H316">
        <v>360150.98293783556</v>
      </c>
      <c r="I316">
        <v>38.256602291818197</v>
      </c>
    </row>
    <row r="317" spans="1:9" x14ac:dyDescent="0.2">
      <c r="A317">
        <v>307</v>
      </c>
      <c r="B317">
        <v>1281157.88983018</v>
      </c>
      <c r="C317">
        <v>104027.81607409229</v>
      </c>
      <c r="D317">
        <v>98294.6269327919</v>
      </c>
      <c r="E317">
        <v>116651.19264268564</v>
      </c>
      <c r="F317">
        <v>44075.851798339776</v>
      </c>
      <c r="G317">
        <v>10000</v>
      </c>
      <c r="H317">
        <v>353049.48744790955</v>
      </c>
      <c r="I317">
        <v>36.830368261497163</v>
      </c>
    </row>
    <row r="318" spans="1:9" x14ac:dyDescent="0.2">
      <c r="A318">
        <v>308</v>
      </c>
      <c r="B318">
        <v>1537288.5809738797</v>
      </c>
      <c r="C318">
        <v>148492.58780628291</v>
      </c>
      <c r="D318">
        <v>56893.671843809097</v>
      </c>
      <c r="E318">
        <v>179436.660783695</v>
      </c>
      <c r="F318">
        <v>48422.538054255812</v>
      </c>
      <c r="G318">
        <v>10000</v>
      </c>
      <c r="H318">
        <v>423245.45848804287</v>
      </c>
      <c r="I318">
        <v>33.341930140718091</v>
      </c>
    </row>
    <row r="319" spans="1:9" x14ac:dyDescent="0.2">
      <c r="A319">
        <v>309</v>
      </c>
      <c r="B319">
        <v>1014955.0498173654</v>
      </c>
      <c r="C319">
        <v>144919.97238085105</v>
      </c>
      <c r="D319">
        <v>80374.667289486635</v>
      </c>
      <c r="E319">
        <v>26933.823109578352</v>
      </c>
      <c r="F319">
        <v>37864.649292201575</v>
      </c>
      <c r="G319">
        <v>10000</v>
      </c>
      <c r="H319">
        <v>280093.11207211757</v>
      </c>
      <c r="I319">
        <v>43.474757682893667</v>
      </c>
    </row>
    <row r="320" spans="1:9" x14ac:dyDescent="0.2">
      <c r="A320">
        <v>310</v>
      </c>
      <c r="B320">
        <v>1492446.1567082703</v>
      </c>
      <c r="C320">
        <v>137260.97712617027</v>
      </c>
      <c r="D320">
        <v>71298.035321971503</v>
      </c>
      <c r="E320">
        <v>164975.41722685829</v>
      </c>
      <c r="F320">
        <v>47421.375038782498</v>
      </c>
      <c r="G320">
        <v>10000</v>
      </c>
      <c r="H320">
        <v>410955.80471378251</v>
      </c>
      <c r="I320">
        <v>43.665392799905597</v>
      </c>
    </row>
    <row r="321" spans="1:9" x14ac:dyDescent="0.2">
      <c r="A321">
        <v>311</v>
      </c>
      <c r="B321">
        <v>1040117.2505820824</v>
      </c>
      <c r="C321">
        <v>123069.03615546979</v>
      </c>
      <c r="D321">
        <v>47268.59581196498</v>
      </c>
      <c r="E321">
        <v>84781.988547366534</v>
      </c>
      <c r="F321">
        <v>41869.522284048449</v>
      </c>
      <c r="G321">
        <v>10000</v>
      </c>
      <c r="H321">
        <v>286989.14279884973</v>
      </c>
      <c r="I321">
        <v>33.78233429549536</v>
      </c>
    </row>
    <row r="322" spans="1:9" x14ac:dyDescent="0.2">
      <c r="A322">
        <v>312</v>
      </c>
      <c r="B322">
        <v>1582097.3748128098</v>
      </c>
      <c r="C322">
        <v>127963.59913663096</v>
      </c>
      <c r="D322">
        <v>74079.313400466795</v>
      </c>
      <c r="E322">
        <v>194048.83289648255</v>
      </c>
      <c r="F322">
        <v>49434.149969756487</v>
      </c>
      <c r="G322">
        <v>10000</v>
      </c>
      <c r="H322">
        <v>435525.89540333679</v>
      </c>
      <c r="I322">
        <v>38.743676236091332</v>
      </c>
    </row>
    <row r="323" spans="1:9" x14ac:dyDescent="0.2">
      <c r="A323">
        <v>313</v>
      </c>
      <c r="B323">
        <v>1131898.7285639588</v>
      </c>
      <c r="C323">
        <v>122443.7944125785</v>
      </c>
      <c r="D323">
        <v>83843.526977113637</v>
      </c>
      <c r="E323">
        <v>74685.222330867648</v>
      </c>
      <c r="F323">
        <v>41170.515392136993</v>
      </c>
      <c r="G323">
        <v>10000</v>
      </c>
      <c r="H323">
        <v>312143.05911269679</v>
      </c>
      <c r="I323">
        <v>33.363612115623738</v>
      </c>
    </row>
    <row r="324" spans="1:9" x14ac:dyDescent="0.2">
      <c r="A324">
        <v>314</v>
      </c>
      <c r="B324">
        <v>1198235.4657446542</v>
      </c>
      <c r="C324">
        <v>118557.32812684259</v>
      </c>
      <c r="D324">
        <v>78072.059960218219</v>
      </c>
      <c r="E324">
        <v>100721.12205689671</v>
      </c>
      <c r="F324">
        <v>42973.00075778515</v>
      </c>
      <c r="G324">
        <v>10000</v>
      </c>
      <c r="H324">
        <v>330323.51090174273</v>
      </c>
      <c r="I324">
        <v>33.17735895144331</v>
      </c>
    </row>
    <row r="325" spans="1:9" x14ac:dyDescent="0.2">
      <c r="A325">
        <v>315</v>
      </c>
      <c r="B325">
        <v>963063.28633364965</v>
      </c>
      <c r="C325">
        <v>134211.89786621524</v>
      </c>
      <c r="D325">
        <v>53319.151861110811</v>
      </c>
      <c r="E325">
        <v>48951.49515204307</v>
      </c>
      <c r="F325">
        <v>39388.949664372209</v>
      </c>
      <c r="G325">
        <v>10000</v>
      </c>
      <c r="H325">
        <v>265871.49454374134</v>
      </c>
      <c r="I325">
        <v>28.803158744785332</v>
      </c>
    </row>
    <row r="326" spans="1:9" x14ac:dyDescent="0.2">
      <c r="A326">
        <v>316</v>
      </c>
      <c r="B326">
        <v>1223247.7211421866</v>
      </c>
      <c r="C326">
        <v>114242.78052835917</v>
      </c>
      <c r="D326">
        <v>68835.28540402434</v>
      </c>
      <c r="E326">
        <v>119806.11191744311</v>
      </c>
      <c r="F326">
        <v>44294.269286592214</v>
      </c>
      <c r="G326">
        <v>10000</v>
      </c>
      <c r="H326">
        <v>337178.44713641884</v>
      </c>
      <c r="I326">
        <v>32.186174233388726</v>
      </c>
    </row>
    <row r="327" spans="1:9" x14ac:dyDescent="0.2">
      <c r="A327">
        <v>317</v>
      </c>
      <c r="B327">
        <v>856132.18417992792</v>
      </c>
      <c r="C327">
        <v>111377.13516192824</v>
      </c>
      <c r="D327">
        <v>55287.265842496985</v>
      </c>
      <c r="E327">
        <v>41058.6989591776</v>
      </c>
      <c r="F327">
        <v>38842.52531255845</v>
      </c>
      <c r="G327">
        <v>10000</v>
      </c>
      <c r="H327">
        <v>236565.62527616127</v>
      </c>
      <c r="I327">
        <v>37.268538649449823</v>
      </c>
    </row>
    <row r="328" spans="1:9" x14ac:dyDescent="0.2">
      <c r="A328">
        <v>318</v>
      </c>
      <c r="B328">
        <v>1266483.5238449131</v>
      </c>
      <c r="C328">
        <v>134158.04134196098</v>
      </c>
      <c r="D328">
        <v>142123.99735733011</v>
      </c>
      <c r="E328">
        <v>43719.043513960809</v>
      </c>
      <c r="F328">
        <v>39026.703012504979</v>
      </c>
      <c r="G328">
        <v>10000</v>
      </c>
      <c r="H328">
        <v>349027.78522575682</v>
      </c>
      <c r="I328">
        <v>40.619569691069415</v>
      </c>
    </row>
    <row r="329" spans="1:9" x14ac:dyDescent="0.2">
      <c r="A329">
        <v>319</v>
      </c>
      <c r="B329">
        <v>1848401.8582913177</v>
      </c>
      <c r="C329">
        <v>133470.94037761586</v>
      </c>
      <c r="D329">
        <v>163361.97612647247</v>
      </c>
      <c r="E329">
        <v>173654.94553795201</v>
      </c>
      <c r="F329">
        <v>48022.265460319759</v>
      </c>
      <c r="G329">
        <v>10000</v>
      </c>
      <c r="H329">
        <v>508510.12750236009</v>
      </c>
      <c r="I329">
        <v>38.174089072599863</v>
      </c>
    </row>
    <row r="330" spans="1:9" x14ac:dyDescent="0.2">
      <c r="A330">
        <v>320</v>
      </c>
      <c r="B330">
        <v>1428992.4313728828</v>
      </c>
      <c r="C330">
        <v>129503.87860289672</v>
      </c>
      <c r="D330">
        <v>105104.48928525781</v>
      </c>
      <c r="E330">
        <v>124348.37831488156</v>
      </c>
      <c r="F330">
        <v>44608.733883337954</v>
      </c>
      <c r="G330">
        <v>10000</v>
      </c>
      <c r="H330">
        <v>393565.48008637398</v>
      </c>
      <c r="I330">
        <v>39.352367408199513</v>
      </c>
    </row>
    <row r="331" spans="1:9" x14ac:dyDescent="0.2">
      <c r="A331">
        <v>321</v>
      </c>
      <c r="B331">
        <v>1390736.9002638524</v>
      </c>
      <c r="C331">
        <v>96933.637204823259</v>
      </c>
      <c r="D331">
        <v>50951.074843857947</v>
      </c>
      <c r="E331">
        <v>195651.25194364632</v>
      </c>
      <c r="F331">
        <v>49545.086673021666</v>
      </c>
      <c r="G331">
        <v>10000</v>
      </c>
      <c r="H331">
        <v>383081.05066534923</v>
      </c>
      <c r="I331">
        <v>30.826900416871073</v>
      </c>
    </row>
    <row r="332" spans="1:9" x14ac:dyDescent="0.2">
      <c r="A332">
        <v>322</v>
      </c>
      <c r="B332">
        <v>1585777.4855367248</v>
      </c>
      <c r="C332">
        <v>124793.29979213423</v>
      </c>
      <c r="D332">
        <v>93337.11771345562</v>
      </c>
      <c r="E332">
        <v>179946.24358493014</v>
      </c>
      <c r="F332">
        <v>48457.816863572087</v>
      </c>
      <c r="G332">
        <v>10000</v>
      </c>
      <c r="H332">
        <v>436534.47795409209</v>
      </c>
      <c r="I332">
        <v>46.036320800226747</v>
      </c>
    </row>
    <row r="333" spans="1:9" x14ac:dyDescent="0.2">
      <c r="A333">
        <v>323</v>
      </c>
      <c r="B333">
        <v>1714771.0043970193</v>
      </c>
      <c r="C333">
        <v>120198.92734721946</v>
      </c>
      <c r="D333">
        <v>104367.84010485928</v>
      </c>
      <c r="E333">
        <v>206989.99733183844</v>
      </c>
      <c r="F333">
        <v>50330.076738358046</v>
      </c>
      <c r="G333">
        <v>10000</v>
      </c>
      <c r="H333">
        <v>471886.8415222753</v>
      </c>
      <c r="I333">
        <v>32.169191827096832</v>
      </c>
    </row>
    <row r="334" spans="1:9" x14ac:dyDescent="0.2">
      <c r="A334">
        <v>324</v>
      </c>
      <c r="B334">
        <v>1723080.3339932135</v>
      </c>
      <c r="C334">
        <v>110808.18868184228</v>
      </c>
      <c r="D334">
        <v>145758.81520387612</v>
      </c>
      <c r="E334">
        <v>179191.54945065474</v>
      </c>
      <c r="F334">
        <v>48405.568808122254</v>
      </c>
      <c r="G334">
        <v>10000</v>
      </c>
      <c r="H334">
        <v>474164.12214449543</v>
      </c>
      <c r="I334">
        <v>39.927921978186305</v>
      </c>
    </row>
    <row r="335" spans="1:9" x14ac:dyDescent="0.2">
      <c r="A335">
        <v>325</v>
      </c>
      <c r="B335">
        <v>903156.28949004423</v>
      </c>
      <c r="C335">
        <v>112739.6716282441</v>
      </c>
      <c r="D335">
        <v>56417.987798027447</v>
      </c>
      <c r="E335">
        <v>50779.999468167647</v>
      </c>
      <c r="F335">
        <v>39515.538424719292</v>
      </c>
      <c r="G335">
        <v>10000</v>
      </c>
      <c r="H335">
        <v>249453.19731915853</v>
      </c>
      <c r="I335">
        <v>42.741971658486662</v>
      </c>
    </row>
    <row r="336" spans="1:9" x14ac:dyDescent="0.2">
      <c r="A336">
        <v>326</v>
      </c>
      <c r="B336">
        <v>1211143.9079166106</v>
      </c>
      <c r="C336">
        <v>103206.35460585624</v>
      </c>
      <c r="D336">
        <v>81334.07616550567</v>
      </c>
      <c r="E336">
        <v>115336.00729415379</v>
      </c>
      <c r="F336">
        <v>43984.800504979881</v>
      </c>
      <c r="G336">
        <v>10000</v>
      </c>
      <c r="H336">
        <v>333861.23857049563</v>
      </c>
      <c r="I336">
        <v>46.558671430703818</v>
      </c>
    </row>
    <row r="337" spans="1:9" x14ac:dyDescent="0.2">
      <c r="A337">
        <v>327</v>
      </c>
      <c r="B337">
        <v>892466.75484835217</v>
      </c>
      <c r="C337">
        <v>99976.510355835795</v>
      </c>
      <c r="D337">
        <v>75168.121569405193</v>
      </c>
      <c r="E337">
        <v>42440.752460398071</v>
      </c>
      <c r="F337">
        <v>38938.205939566025</v>
      </c>
      <c r="G337">
        <v>10000</v>
      </c>
      <c r="H337">
        <v>246523.59032520506</v>
      </c>
      <c r="I337">
        <v>24.798586519314419</v>
      </c>
    </row>
    <row r="338" spans="1:9" x14ac:dyDescent="0.2">
      <c r="A338">
        <v>328</v>
      </c>
      <c r="B338">
        <v>1514891.658662952</v>
      </c>
      <c r="C338">
        <v>131106.69595318512</v>
      </c>
      <c r="D338">
        <v>89638.111402475726</v>
      </c>
      <c r="E338">
        <v>159331.8169394618</v>
      </c>
      <c r="F338">
        <v>47030.664249655048</v>
      </c>
      <c r="G338">
        <v>10000</v>
      </c>
      <c r="H338">
        <v>417107.28854477766</v>
      </c>
      <c r="I338">
        <v>35.393170915839008</v>
      </c>
    </row>
    <row r="339" spans="1:9" x14ac:dyDescent="0.2">
      <c r="A339">
        <v>329</v>
      </c>
      <c r="B339">
        <v>1552364.4364765962</v>
      </c>
      <c r="C339">
        <v>93629.844978308975</v>
      </c>
      <c r="D339">
        <v>101605.36405361051</v>
      </c>
      <c r="E339">
        <v>192794.66236093026</v>
      </c>
      <c r="F339">
        <v>49347.322778833637</v>
      </c>
      <c r="G339">
        <v>10000</v>
      </c>
      <c r="H339">
        <v>427377.19417168334</v>
      </c>
      <c r="I339">
        <v>53.669459823803848</v>
      </c>
    </row>
    <row r="340" spans="1:9" x14ac:dyDescent="0.2">
      <c r="A340">
        <v>330</v>
      </c>
      <c r="B340">
        <v>1333915.9630610992</v>
      </c>
      <c r="C340">
        <v>90718.370129931485</v>
      </c>
      <c r="D340">
        <v>83656.149553558149</v>
      </c>
      <c r="E340">
        <v>156312.38235624938</v>
      </c>
      <c r="F340">
        <v>46821.626470817268</v>
      </c>
      <c r="G340">
        <v>10000</v>
      </c>
      <c r="H340">
        <v>367508.52851055627</v>
      </c>
      <c r="I340">
        <v>44.915468504689883</v>
      </c>
    </row>
    <row r="341" spans="1:9" x14ac:dyDescent="0.2">
      <c r="A341">
        <v>331</v>
      </c>
      <c r="B341">
        <v>1543219.6341289629</v>
      </c>
      <c r="C341">
        <v>121689.45395619122</v>
      </c>
      <c r="D341">
        <v>85071.847741640464</v>
      </c>
      <c r="E341">
        <v>179670.88595682831</v>
      </c>
      <c r="F341">
        <v>48438.753643165037</v>
      </c>
      <c r="G341">
        <v>10000</v>
      </c>
      <c r="H341">
        <v>424870.94129782502</v>
      </c>
      <c r="I341">
        <v>45.813485504222101</v>
      </c>
    </row>
    <row r="342" spans="1:9" x14ac:dyDescent="0.2">
      <c r="A342">
        <v>332</v>
      </c>
      <c r="B342">
        <v>1294833.6173959575</v>
      </c>
      <c r="C342">
        <v>140442.65977681012</v>
      </c>
      <c r="D342">
        <v>150907.06500970141</v>
      </c>
      <c r="E342">
        <v>36893.602464889074</v>
      </c>
      <c r="F342">
        <v>38554.172478338478</v>
      </c>
      <c r="G342">
        <v>10000</v>
      </c>
      <c r="H342">
        <v>356797.49972973904</v>
      </c>
      <c r="I342">
        <v>34.370350810657698</v>
      </c>
    </row>
    <row r="343" spans="1:9" x14ac:dyDescent="0.2">
      <c r="A343">
        <v>333</v>
      </c>
      <c r="B343">
        <v>1456585.1161354838</v>
      </c>
      <c r="C343">
        <v>152379.46803788905</v>
      </c>
      <c r="D343">
        <v>88514.978462442916</v>
      </c>
      <c r="E343">
        <v>125541.81394031396</v>
      </c>
      <c r="F343">
        <v>44691.356349714049</v>
      </c>
      <c r="G343">
        <v>10000</v>
      </c>
      <c r="H343">
        <v>401127.61679036001</v>
      </c>
      <c r="I343">
        <v>31.185419995489195</v>
      </c>
    </row>
    <row r="344" spans="1:9" x14ac:dyDescent="0.2">
      <c r="A344">
        <v>334</v>
      </c>
      <c r="B344">
        <v>1231218.5590011536</v>
      </c>
      <c r="C344">
        <v>128087.07276404733</v>
      </c>
      <c r="D344">
        <v>60116.617306616172</v>
      </c>
      <c r="E344">
        <v>117055.43199381256</v>
      </c>
      <c r="F344">
        <v>44103.837599571634</v>
      </c>
      <c r="G344">
        <v>10000</v>
      </c>
      <c r="H344">
        <v>339362.9596640477</v>
      </c>
      <c r="I344">
        <v>48.198290201473121</v>
      </c>
    </row>
    <row r="345" spans="1:9" x14ac:dyDescent="0.2">
      <c r="A345">
        <v>335</v>
      </c>
      <c r="B345">
        <v>1329710.137196952</v>
      </c>
      <c r="C345">
        <v>154080.08063774189</v>
      </c>
      <c r="D345">
        <v>78293.245456050005</v>
      </c>
      <c r="E345">
        <v>100990.86544527202</v>
      </c>
      <c r="F345">
        <v>42991.675300057293</v>
      </c>
      <c r="G345">
        <v>10000</v>
      </c>
      <c r="H345">
        <v>366355.86683912121</v>
      </c>
      <c r="I345">
        <v>30.679783552726821</v>
      </c>
    </row>
    <row r="346" spans="1:9" x14ac:dyDescent="0.2">
      <c r="A346">
        <v>336</v>
      </c>
      <c r="B346">
        <v>1034362.5871593887</v>
      </c>
      <c r="C346">
        <v>105973.8135174104</v>
      </c>
      <c r="D346">
        <v>62490.061218810573</v>
      </c>
      <c r="E346">
        <v>85059.399511126932</v>
      </c>
      <c r="F346">
        <v>41888.727658462631</v>
      </c>
      <c r="G346">
        <v>10000</v>
      </c>
      <c r="H346">
        <v>285412.00190581055</v>
      </c>
      <c r="I346">
        <v>40.004794077392319</v>
      </c>
    </row>
    <row r="347" spans="1:9" x14ac:dyDescent="0.2">
      <c r="A347">
        <v>337</v>
      </c>
      <c r="B347">
        <v>1360912.6628860654</v>
      </c>
      <c r="C347">
        <v>158842.60218171173</v>
      </c>
      <c r="D347">
        <v>102639.38318180515</v>
      </c>
      <c r="E347">
        <v>81764.708693127293</v>
      </c>
      <c r="F347">
        <v>41660.633678754959</v>
      </c>
      <c r="G347">
        <v>10000</v>
      </c>
      <c r="H347">
        <v>374907.32773539919</v>
      </c>
      <c r="I347">
        <v>38.027644161707798</v>
      </c>
    </row>
    <row r="348" spans="1:9" x14ac:dyDescent="0.2">
      <c r="A348">
        <v>338</v>
      </c>
      <c r="B348">
        <v>1106165.3503287153</v>
      </c>
      <c r="C348">
        <v>81750.775596708612</v>
      </c>
      <c r="D348">
        <v>140842.69847409561</v>
      </c>
      <c r="E348">
        <v>52838.935497511127</v>
      </c>
      <c r="F348">
        <v>39658.080149827692</v>
      </c>
      <c r="G348">
        <v>10000</v>
      </c>
      <c r="H348">
        <v>305090.48971814307</v>
      </c>
      <c r="I348">
        <v>27.256882618164358</v>
      </c>
    </row>
    <row r="349" spans="1:9" x14ac:dyDescent="0.2">
      <c r="A349">
        <v>339</v>
      </c>
      <c r="B349">
        <v>1198802.7370833992</v>
      </c>
      <c r="C349">
        <v>110426.94595518165</v>
      </c>
      <c r="D349">
        <v>57374.428575942991</v>
      </c>
      <c r="E349">
        <v>127827.97544274424</v>
      </c>
      <c r="F349">
        <v>44849.629069113056</v>
      </c>
      <c r="G349">
        <v>10000</v>
      </c>
      <c r="H349">
        <v>330478.97904298198</v>
      </c>
      <c r="I349">
        <v>31.028076599574998</v>
      </c>
    </row>
    <row r="350" spans="1:9" x14ac:dyDescent="0.2">
      <c r="A350">
        <v>340</v>
      </c>
      <c r="B350">
        <v>1206349.5548162013</v>
      </c>
      <c r="C350">
        <v>124924.48250597897</v>
      </c>
      <c r="D350">
        <v>82682.636187111828</v>
      </c>
      <c r="E350">
        <v>92533.966899174207</v>
      </c>
      <c r="F350">
        <v>42406.197708404368</v>
      </c>
      <c r="G350">
        <v>10000</v>
      </c>
      <c r="H350">
        <v>332547.2833006694</v>
      </c>
      <c r="I350">
        <v>41.654789519256198</v>
      </c>
    </row>
    <row r="351" spans="1:9" x14ac:dyDescent="0.2">
      <c r="A351">
        <v>341</v>
      </c>
      <c r="B351">
        <v>1045144.0135073211</v>
      </c>
      <c r="C351">
        <v>88683.681353722524</v>
      </c>
      <c r="D351">
        <v>97694.104552491292</v>
      </c>
      <c r="E351">
        <v>71068.855579259602</v>
      </c>
      <c r="F351">
        <v>40920.15154010259</v>
      </c>
      <c r="G351">
        <v>10000</v>
      </c>
      <c r="H351">
        <v>288366.79302557599</v>
      </c>
      <c r="I351">
        <v>33.620950265266544</v>
      </c>
    </row>
    <row r="352" spans="1:9" x14ac:dyDescent="0.2">
      <c r="A352">
        <v>342</v>
      </c>
      <c r="B352">
        <v>1453882.0804271302</v>
      </c>
      <c r="C352">
        <v>106817.47522273101</v>
      </c>
      <c r="D352">
        <v>102178.74959247018</v>
      </c>
      <c r="E352">
        <v>154681.84641786994</v>
      </c>
      <c r="F352">
        <v>46708.74321354484</v>
      </c>
      <c r="G352">
        <v>10000</v>
      </c>
      <c r="H352">
        <v>400386.81444661599</v>
      </c>
      <c r="I352">
        <v>35.455533240006602</v>
      </c>
    </row>
    <row r="353" spans="1:9" x14ac:dyDescent="0.2">
      <c r="A353">
        <v>343</v>
      </c>
      <c r="B353">
        <v>1058019.7313154079</v>
      </c>
      <c r="C353">
        <v>133346.71834468519</v>
      </c>
      <c r="D353">
        <v>96059.98011949881</v>
      </c>
      <c r="E353">
        <v>34126.266040595998</v>
      </c>
      <c r="F353">
        <v>38362.587648964334</v>
      </c>
      <c r="G353">
        <v>10000</v>
      </c>
      <c r="H353">
        <v>291895.55215374433</v>
      </c>
      <c r="I353">
        <v>42.528139849252334</v>
      </c>
    </row>
    <row r="354" spans="1:9" x14ac:dyDescent="0.2">
      <c r="A354">
        <v>344</v>
      </c>
      <c r="B354">
        <v>1220037.5178419903</v>
      </c>
      <c r="C354">
        <v>113105.00943900569</v>
      </c>
      <c r="D354">
        <v>123605.0243055321</v>
      </c>
      <c r="E354">
        <v>68823.884650265638</v>
      </c>
      <c r="F354">
        <v>40764.730475787619</v>
      </c>
      <c r="G354">
        <v>10000</v>
      </c>
      <c r="H354">
        <v>336298.64887059102</v>
      </c>
      <c r="I354">
        <v>26.409621789043708</v>
      </c>
    </row>
    <row r="355" spans="1:9" x14ac:dyDescent="0.2">
      <c r="A355">
        <v>345</v>
      </c>
      <c r="B355">
        <v>1285915.8555187923</v>
      </c>
      <c r="C355">
        <v>91495.597893502927</v>
      </c>
      <c r="D355">
        <v>91003.780211499397</v>
      </c>
      <c r="E355">
        <v>136410.30202564405</v>
      </c>
      <c r="F355">
        <v>45443.790140236895</v>
      </c>
      <c r="G355">
        <v>10000</v>
      </c>
      <c r="H355">
        <v>354353.47027088329</v>
      </c>
      <c r="I355">
        <v>33.737946765213749</v>
      </c>
    </row>
    <row r="356" spans="1:9" x14ac:dyDescent="0.2">
      <c r="A356">
        <v>346</v>
      </c>
      <c r="B356">
        <v>1066555.3391392294</v>
      </c>
      <c r="C356">
        <v>93901.317389006115</v>
      </c>
      <c r="D356">
        <v>131616.43150079998</v>
      </c>
      <c r="E356">
        <v>39951.243106534574</v>
      </c>
      <c r="F356">
        <v>38765.855291990854</v>
      </c>
      <c r="G356">
        <v>10000</v>
      </c>
      <c r="H356">
        <v>294234.84728833154</v>
      </c>
      <c r="I356">
        <v>47.838228180741858</v>
      </c>
    </row>
    <row r="357" spans="1:9" x14ac:dyDescent="0.2">
      <c r="A357">
        <v>347</v>
      </c>
      <c r="B357">
        <v>1368938.2377054791</v>
      </c>
      <c r="C357">
        <v>116087.06430877093</v>
      </c>
      <c r="D357">
        <v>70640.186509646912</v>
      </c>
      <c r="E357">
        <v>153736.30796642249</v>
      </c>
      <c r="F357">
        <v>46643.282859213861</v>
      </c>
      <c r="G357">
        <v>10000</v>
      </c>
      <c r="H357">
        <v>377106.84164405422</v>
      </c>
      <c r="I357">
        <v>36.16630124503115</v>
      </c>
    </row>
    <row r="358" spans="1:9" x14ac:dyDescent="0.2">
      <c r="A358">
        <v>348</v>
      </c>
      <c r="B358">
        <v>1426033.720324839</v>
      </c>
      <c r="C358">
        <v>146680.59903712015</v>
      </c>
      <c r="D358">
        <v>65206.326784575824</v>
      </c>
      <c r="E358">
        <v>144840.27695568473</v>
      </c>
      <c r="F358">
        <v>46027.403789239717</v>
      </c>
      <c r="G358">
        <v>10000</v>
      </c>
      <c r="H358">
        <v>392754.60656662041</v>
      </c>
      <c r="I358">
        <v>38.540416525439397</v>
      </c>
    </row>
    <row r="359" spans="1:9" x14ac:dyDescent="0.2">
      <c r="A359">
        <v>349</v>
      </c>
      <c r="B359">
        <v>888515.67688067269</v>
      </c>
      <c r="C359">
        <v>93827.592852182119</v>
      </c>
      <c r="D359">
        <v>69941.629133905211</v>
      </c>
      <c r="E359">
        <v>52066.892637011973</v>
      </c>
      <c r="F359">
        <v>39604.631028716212</v>
      </c>
      <c r="G359">
        <v>10000</v>
      </c>
      <c r="H359">
        <v>245440.74565181552</v>
      </c>
      <c r="I359">
        <v>39.521819453028911</v>
      </c>
    </row>
    <row r="360" spans="1:9" x14ac:dyDescent="0.2">
      <c r="A360">
        <v>350</v>
      </c>
      <c r="B360">
        <v>1710187.0299411765</v>
      </c>
      <c r="C360">
        <v>144769.93245885838</v>
      </c>
      <c r="D360">
        <v>100364.689349696</v>
      </c>
      <c r="E360">
        <v>186578.91935786037</v>
      </c>
      <c r="F360">
        <v>48917.002109390334</v>
      </c>
      <c r="G360">
        <v>10000</v>
      </c>
      <c r="H360">
        <v>470630.54327580507</v>
      </c>
      <c r="I360">
        <v>36.913601463079758</v>
      </c>
    </row>
    <row r="361" spans="1:9" x14ac:dyDescent="0.2">
      <c r="A361">
        <v>351</v>
      </c>
      <c r="B361">
        <v>828782.27150628075</v>
      </c>
      <c r="C361">
        <v>124983.66815544484</v>
      </c>
      <c r="D361">
        <v>37786.558828525689</v>
      </c>
      <c r="E361">
        <v>37690.457120233397</v>
      </c>
      <c r="F361">
        <v>38609.33933909308</v>
      </c>
      <c r="G361">
        <v>10000</v>
      </c>
      <c r="H361">
        <v>229070.02344329699</v>
      </c>
      <c r="I361">
        <v>38.581616196894231</v>
      </c>
    </row>
    <row r="362" spans="1:9" x14ac:dyDescent="0.2">
      <c r="A362">
        <v>352</v>
      </c>
      <c r="B362">
        <v>1352988.7014266287</v>
      </c>
      <c r="C362">
        <v>96464.356247896605</v>
      </c>
      <c r="D362">
        <v>60799.927651167185</v>
      </c>
      <c r="E362">
        <v>177203.44742450331</v>
      </c>
      <c r="F362">
        <v>48267.930975542542</v>
      </c>
      <c r="G362">
        <v>10000</v>
      </c>
      <c r="H362">
        <v>372735.66229910962</v>
      </c>
      <c r="I362">
        <v>40.306633709681378</v>
      </c>
    </row>
    <row r="363" spans="1:9" x14ac:dyDescent="0.2">
      <c r="A363">
        <v>353</v>
      </c>
      <c r="B363">
        <v>1214577.7147655766</v>
      </c>
      <c r="C363">
        <v>145513.08489075705</v>
      </c>
      <c r="D363">
        <v>99778.412102793402</v>
      </c>
      <c r="E363">
        <v>59398.609871706372</v>
      </c>
      <c r="F363">
        <v>40112.211452656593</v>
      </c>
      <c r="G363">
        <v>10000</v>
      </c>
      <c r="H363">
        <v>334802.31831791339</v>
      </c>
      <c r="I363">
        <v>35.137738660524121</v>
      </c>
    </row>
    <row r="364" spans="1:9" x14ac:dyDescent="0.2">
      <c r="A364">
        <v>354</v>
      </c>
      <c r="B364">
        <v>1377707.4719793631</v>
      </c>
      <c r="C364">
        <v>129818.85339671628</v>
      </c>
      <c r="D364">
        <v>66871.330501395263</v>
      </c>
      <c r="E364">
        <v>146666.16953263705</v>
      </c>
      <c r="F364">
        <v>46153.811736874879</v>
      </c>
      <c r="G364">
        <v>10000</v>
      </c>
      <c r="H364">
        <v>379510.16516762343</v>
      </c>
      <c r="I364">
        <v>37.287198004358828</v>
      </c>
    </row>
    <row r="365" spans="1:9" x14ac:dyDescent="0.2">
      <c r="A365">
        <v>355</v>
      </c>
      <c r="B365">
        <v>1642351.0259315302</v>
      </c>
      <c r="C365">
        <v>126907.52954189929</v>
      </c>
      <c r="D365">
        <v>120700.42998705717</v>
      </c>
      <c r="E365">
        <v>166878.13648718124</v>
      </c>
      <c r="F365">
        <v>47553.101756804856</v>
      </c>
      <c r="G365">
        <v>10000</v>
      </c>
      <c r="H365">
        <v>452039.19777294254</v>
      </c>
      <c r="I365">
        <v>35.918159759710271</v>
      </c>
    </row>
    <row r="366" spans="1:9" x14ac:dyDescent="0.2">
      <c r="A366">
        <v>356</v>
      </c>
      <c r="B366">
        <v>1615508.6402383535</v>
      </c>
      <c r="C366">
        <v>166540.59425824456</v>
      </c>
      <c r="D366">
        <v>152371.71385691318</v>
      </c>
      <c r="E366">
        <v>93310.429435118756</v>
      </c>
      <c r="F366">
        <v>42459.952807046684</v>
      </c>
      <c r="G366">
        <v>10000</v>
      </c>
      <c r="H366">
        <v>444682.69035732321</v>
      </c>
      <c r="I366">
        <v>46.39635859868946</v>
      </c>
    </row>
    <row r="367" spans="1:9" x14ac:dyDescent="0.2">
      <c r="A367">
        <v>357</v>
      </c>
      <c r="B367">
        <v>907472.04430053406</v>
      </c>
      <c r="C367">
        <v>117849.67990038598</v>
      </c>
      <c r="D367">
        <v>45239.348544346591</v>
      </c>
      <c r="E367">
        <v>57561.903178185414</v>
      </c>
      <c r="F367">
        <v>39985.054835412833</v>
      </c>
      <c r="G367">
        <v>10000</v>
      </c>
      <c r="H367">
        <v>250635.98645833082</v>
      </c>
      <c r="I367">
        <v>37.558770471282912</v>
      </c>
    </row>
    <row r="368" spans="1:9" x14ac:dyDescent="0.2">
      <c r="A368">
        <v>358</v>
      </c>
      <c r="B368">
        <v>1210365.8435246877</v>
      </c>
      <c r="C368">
        <v>129941.72277209155</v>
      </c>
      <c r="D368">
        <v>78136.895171303331</v>
      </c>
      <c r="E368">
        <v>93122.443492745471</v>
      </c>
      <c r="F368">
        <v>42446.93839565161</v>
      </c>
      <c r="G368">
        <v>10000</v>
      </c>
      <c r="H368">
        <v>333647.99983179197</v>
      </c>
      <c r="I368">
        <v>29.953468939600526</v>
      </c>
    </row>
    <row r="369" spans="1:9" x14ac:dyDescent="0.2">
      <c r="A369">
        <v>359</v>
      </c>
      <c r="B369">
        <v>1709164.7209125275</v>
      </c>
      <c r="C369">
        <v>119026.31060690792</v>
      </c>
      <c r="D369">
        <v>114094.72775711384</v>
      </c>
      <c r="E369">
        <v>197552.60866923534</v>
      </c>
      <c r="F369">
        <v>49676.719061716292</v>
      </c>
      <c r="G369">
        <v>10000</v>
      </c>
      <c r="H369">
        <v>470350.36609497335</v>
      </c>
      <c r="I369">
        <v>33.430349219539167</v>
      </c>
    </row>
    <row r="370" spans="1:9" x14ac:dyDescent="0.2">
      <c r="A370">
        <v>360</v>
      </c>
      <c r="B370">
        <v>972973.60299803456</v>
      </c>
      <c r="C370">
        <v>92420.704271537965</v>
      </c>
      <c r="D370">
        <v>103339.88156796596</v>
      </c>
      <c r="E370">
        <v>43794.999313375578</v>
      </c>
      <c r="F370">
        <v>39031.961490925998</v>
      </c>
      <c r="G370">
        <v>10000</v>
      </c>
      <c r="H370">
        <v>268587.54664380546</v>
      </c>
      <c r="I370">
        <v>35.501787030254931</v>
      </c>
    </row>
    <row r="371" spans="1:9" x14ac:dyDescent="0.2">
      <c r="A371">
        <v>361</v>
      </c>
      <c r="B371">
        <v>1094125.3422369249</v>
      </c>
      <c r="C371">
        <v>87465.991817089045</v>
      </c>
      <c r="D371">
        <v>95781.554745981179</v>
      </c>
      <c r="E371">
        <v>86551.214092392751</v>
      </c>
      <c r="F371">
        <v>41992.007129473343</v>
      </c>
      <c r="G371">
        <v>10000</v>
      </c>
      <c r="H371">
        <v>301790.7677849363</v>
      </c>
      <c r="I371">
        <v>28.146717935108619</v>
      </c>
    </row>
    <row r="372" spans="1:9" x14ac:dyDescent="0.2">
      <c r="A372">
        <v>362</v>
      </c>
      <c r="B372">
        <v>1750181.1751455055</v>
      </c>
      <c r="C372">
        <v>135400.67963547067</v>
      </c>
      <c r="D372">
        <v>145310.08438046591</v>
      </c>
      <c r="E372">
        <v>163557.48794448475</v>
      </c>
      <c r="F372">
        <v>47323.210703848941</v>
      </c>
      <c r="G372">
        <v>10000</v>
      </c>
      <c r="H372">
        <v>481591.46266427025</v>
      </c>
      <c r="I372">
        <v>29.656538169636853</v>
      </c>
    </row>
    <row r="373" spans="1:9" x14ac:dyDescent="0.2">
      <c r="A373">
        <v>363</v>
      </c>
      <c r="B373">
        <v>1342606.575895173</v>
      </c>
      <c r="C373">
        <v>120580.28661785694</v>
      </c>
      <c r="D373">
        <v>143990.29011830327</v>
      </c>
      <c r="E373">
        <v>74183.918331834284</v>
      </c>
      <c r="F373">
        <v>41135.809730665453</v>
      </c>
      <c r="G373">
        <v>10000</v>
      </c>
      <c r="H373">
        <v>369890.30479865993</v>
      </c>
      <c r="I373">
        <v>40.648671960182526</v>
      </c>
    </row>
    <row r="374" spans="1:9" x14ac:dyDescent="0.2">
      <c r="A374">
        <v>364</v>
      </c>
      <c r="B374">
        <v>891788.29174466582</v>
      </c>
      <c r="C374">
        <v>90849.881948537732</v>
      </c>
      <c r="D374">
        <v>88380.742832056276</v>
      </c>
      <c r="E374">
        <v>38445.41798327498</v>
      </c>
      <c r="F374">
        <v>38661.605860380572</v>
      </c>
      <c r="G374">
        <v>10000</v>
      </c>
      <c r="H374">
        <v>246337.64862424956</v>
      </c>
      <c r="I374">
        <v>36.042707705438616</v>
      </c>
    </row>
    <row r="375" spans="1:9" x14ac:dyDescent="0.2">
      <c r="A375">
        <v>365</v>
      </c>
      <c r="B375">
        <v>1381038.4134892419</v>
      </c>
      <c r="C375">
        <v>119695.07813138928</v>
      </c>
      <c r="D375">
        <v>70287.525494342612</v>
      </c>
      <c r="E375">
        <v>153793.22633407856</v>
      </c>
      <c r="F375">
        <v>46647.223361590055</v>
      </c>
      <c r="G375">
        <v>10000</v>
      </c>
      <c r="H375">
        <v>380423.05332140054</v>
      </c>
      <c r="I375">
        <v>36.586762525337512</v>
      </c>
    </row>
    <row r="376" spans="1:9" x14ac:dyDescent="0.2">
      <c r="A376">
        <v>366</v>
      </c>
      <c r="B376">
        <v>1382796.3902643924</v>
      </c>
      <c r="C376">
        <v>151356.34120202172</v>
      </c>
      <c r="D376">
        <v>94975.234986108379</v>
      </c>
      <c r="E376">
        <v>101543.34950056857</v>
      </c>
      <c r="F376">
        <v>43029.924196193213</v>
      </c>
      <c r="G376">
        <v>10000</v>
      </c>
      <c r="H376">
        <v>380904.84988489188</v>
      </c>
      <c r="I376">
        <v>34.210225842181302</v>
      </c>
    </row>
    <row r="377" spans="1:9" x14ac:dyDescent="0.2">
      <c r="A377">
        <v>367</v>
      </c>
      <c r="B377">
        <v>1072380.7382804281</v>
      </c>
      <c r="C377">
        <v>95241.2501652871</v>
      </c>
      <c r="D377">
        <v>129563.0526249778</v>
      </c>
      <c r="E377">
        <v>42111.64954946436</v>
      </c>
      <c r="F377">
        <v>38915.421891885991</v>
      </c>
      <c r="G377">
        <v>10000</v>
      </c>
      <c r="H377">
        <v>295831.37423161522</v>
      </c>
      <c r="I377">
        <v>38.439164221816043</v>
      </c>
    </row>
    <row r="378" spans="1:9" x14ac:dyDescent="0.2">
      <c r="A378">
        <v>368</v>
      </c>
      <c r="B378">
        <v>1366748.3496054797</v>
      </c>
      <c r="C378">
        <v>92164.796575797984</v>
      </c>
      <c r="D378">
        <v>46545.346276122749</v>
      </c>
      <c r="E378">
        <v>198083.08680146176</v>
      </c>
      <c r="F378">
        <v>49713.444470870432</v>
      </c>
      <c r="G378">
        <v>10000</v>
      </c>
      <c r="H378">
        <v>376506.67412425292</v>
      </c>
      <c r="I378">
        <v>36.97793538462723</v>
      </c>
    </row>
    <row r="379" spans="1:9" x14ac:dyDescent="0.2">
      <c r="A379">
        <v>369</v>
      </c>
      <c r="B379">
        <v>1032196.5767911734</v>
      </c>
      <c r="C379">
        <v>127573.06477313681</v>
      </c>
      <c r="D379">
        <v>103360.95422368158</v>
      </c>
      <c r="E379">
        <v>26078.89727530802</v>
      </c>
      <c r="F379">
        <v>37805.46211905979</v>
      </c>
      <c r="G379">
        <v>10000</v>
      </c>
      <c r="H379">
        <v>284818.37839118624</v>
      </c>
      <c r="I379">
        <v>38.076356962341009</v>
      </c>
    </row>
    <row r="380" spans="1:9" x14ac:dyDescent="0.2">
      <c r="A380">
        <v>370</v>
      </c>
      <c r="B380">
        <v>1050232.506740283</v>
      </c>
      <c r="C380">
        <v>80651.614518073504</v>
      </c>
      <c r="D380">
        <v>56280.913507379955</v>
      </c>
      <c r="E380">
        <v>118616.89438431313</v>
      </c>
      <c r="F380">
        <v>44211.938841990916</v>
      </c>
      <c r="G380">
        <v>10000</v>
      </c>
      <c r="H380">
        <v>289761.36125175748</v>
      </c>
      <c r="I380">
        <v>42.824193296119432</v>
      </c>
    </row>
    <row r="381" spans="1:9" x14ac:dyDescent="0.2">
      <c r="A381">
        <v>371</v>
      </c>
      <c r="B381">
        <v>1084181.7785890745</v>
      </c>
      <c r="C381">
        <v>122456.92082337609</v>
      </c>
      <c r="D381">
        <v>94355.850746165728</v>
      </c>
      <c r="E381">
        <v>52610.562623884427</v>
      </c>
      <c r="F381">
        <v>39642.269720115073</v>
      </c>
      <c r="G381">
        <v>10000</v>
      </c>
      <c r="H381">
        <v>299065.6039135413</v>
      </c>
      <c r="I381">
        <v>34.360695815087155</v>
      </c>
    </row>
    <row r="382" spans="1:9" x14ac:dyDescent="0.2">
      <c r="A382">
        <v>372</v>
      </c>
      <c r="B382">
        <v>1251831.5156870107</v>
      </c>
      <c r="C382">
        <v>95379.47911617627</v>
      </c>
      <c r="D382">
        <v>83086.269890007999</v>
      </c>
      <c r="E382">
        <v>131446.33085521238</v>
      </c>
      <c r="F382">
        <v>45100.130597668554</v>
      </c>
      <c r="G382">
        <v>10000</v>
      </c>
      <c r="H382">
        <v>345012.21045906527</v>
      </c>
      <c r="I382">
        <v>45.551826009685037</v>
      </c>
    </row>
    <row r="383" spans="1:9" x14ac:dyDescent="0.2">
      <c r="A383">
        <v>373</v>
      </c>
      <c r="B383">
        <v>754585.2796215472</v>
      </c>
      <c r="C383">
        <v>99272.798500134362</v>
      </c>
      <c r="D383">
        <v>54258.655157486341</v>
      </c>
      <c r="E383">
        <v>27313.011439225178</v>
      </c>
      <c r="F383">
        <v>37890.900791946362</v>
      </c>
      <c r="G383">
        <v>10000</v>
      </c>
      <c r="H383">
        <v>208735.36588879224</v>
      </c>
      <c r="I383">
        <v>36.940148697600762</v>
      </c>
    </row>
    <row r="384" spans="1:9" x14ac:dyDescent="0.2">
      <c r="A384">
        <v>374</v>
      </c>
      <c r="B384">
        <v>948589.65178391838</v>
      </c>
      <c r="C384">
        <v>131960.50837718952</v>
      </c>
      <c r="D384">
        <v>54143.39577395589</v>
      </c>
      <c r="E384">
        <v>46576.382463834889</v>
      </c>
      <c r="F384">
        <v>39224.5187859578</v>
      </c>
      <c r="G384">
        <v>10000</v>
      </c>
      <c r="H384">
        <v>261904.80540093809</v>
      </c>
      <c r="I384">
        <v>39.855681287217422</v>
      </c>
    </row>
    <row r="385" spans="1:9" x14ac:dyDescent="0.2">
      <c r="A385">
        <v>375</v>
      </c>
      <c r="B385">
        <v>960241.00663864578</v>
      </c>
      <c r="C385">
        <v>75085.720608928503</v>
      </c>
      <c r="D385">
        <v>47343.160192901945</v>
      </c>
      <c r="E385">
        <v>109115.01462453006</v>
      </c>
      <c r="F385">
        <v>43554.116397082849</v>
      </c>
      <c r="G385">
        <v>10000</v>
      </c>
      <c r="H385">
        <v>265098.01182344335</v>
      </c>
      <c r="I385">
        <v>39.929323879007747</v>
      </c>
    </row>
    <row r="386" spans="1:9" x14ac:dyDescent="0.2">
      <c r="A386">
        <v>376</v>
      </c>
      <c r="B386">
        <v>942205.38440602156</v>
      </c>
      <c r="C386">
        <v>113522.33350157988</v>
      </c>
      <c r="D386">
        <v>77191.975738446214</v>
      </c>
      <c r="E386">
        <v>40628.090124858674</v>
      </c>
      <c r="F386">
        <v>38812.713931720988</v>
      </c>
      <c r="G386">
        <v>10000</v>
      </c>
      <c r="H386">
        <v>260155.11329660576</v>
      </c>
      <c r="I386">
        <v>39.091413234905502</v>
      </c>
    </row>
    <row r="387" spans="1:9" x14ac:dyDescent="0.2">
      <c r="A387">
        <v>377</v>
      </c>
      <c r="B387">
        <v>1628947.6290814243</v>
      </c>
      <c r="C387">
        <v>138488.50319151641</v>
      </c>
      <c r="D387">
        <v>67780.623736303081</v>
      </c>
      <c r="E387">
        <v>202104.82206636237</v>
      </c>
      <c r="F387">
        <v>49991.872296902009</v>
      </c>
      <c r="G387">
        <v>10000</v>
      </c>
      <c r="H387">
        <v>448365.82129108388</v>
      </c>
      <c r="I387">
        <v>28.873589606660303</v>
      </c>
    </row>
    <row r="388" spans="1:9" x14ac:dyDescent="0.2">
      <c r="A388">
        <v>378</v>
      </c>
      <c r="B388">
        <v>959782.9646923861</v>
      </c>
      <c r="C388">
        <v>115003.6734004724</v>
      </c>
      <c r="D388">
        <v>56636.46472833545</v>
      </c>
      <c r="E388">
        <v>62972.693301442916</v>
      </c>
      <c r="F388">
        <v>40359.647997792206</v>
      </c>
      <c r="G388">
        <v>10000</v>
      </c>
      <c r="H388">
        <v>264972.47942804301</v>
      </c>
      <c r="I388">
        <v>42.101779278527658</v>
      </c>
    </row>
    <row r="389" spans="1:9" x14ac:dyDescent="0.2">
      <c r="A389">
        <v>379</v>
      </c>
      <c r="B389">
        <v>919759.66751026991</v>
      </c>
      <c r="C389">
        <v>124635.58297846476</v>
      </c>
      <c r="D389">
        <v>42410.183591865949</v>
      </c>
      <c r="E389">
        <v>57010.895815987991</v>
      </c>
      <c r="F389">
        <v>39946.908171876094</v>
      </c>
      <c r="G389">
        <v>10000</v>
      </c>
      <c r="H389">
        <v>254003.57055819477</v>
      </c>
      <c r="I389">
        <v>34.073576353045873</v>
      </c>
    </row>
    <row r="390" spans="1:9" x14ac:dyDescent="0.2">
      <c r="A390">
        <v>380</v>
      </c>
      <c r="B390">
        <v>1249181.9755130657</v>
      </c>
      <c r="C390">
        <v>139983.33609635491</v>
      </c>
      <c r="D390">
        <v>89775.464578928513</v>
      </c>
      <c r="E390">
        <v>82795.287172370736</v>
      </c>
      <c r="F390">
        <v>41731.98141962567</v>
      </c>
      <c r="G390">
        <v>10000</v>
      </c>
      <c r="H390">
        <v>344286.06926727982</v>
      </c>
      <c r="I390">
        <v>38.936642090551153</v>
      </c>
    </row>
    <row r="391" spans="1:9" x14ac:dyDescent="0.2">
      <c r="A391">
        <v>381</v>
      </c>
      <c r="B391">
        <v>1445521.8453864984</v>
      </c>
      <c r="C391">
        <v>116268.71523160281</v>
      </c>
      <c r="D391">
        <v>93646.888499989043</v>
      </c>
      <c r="E391">
        <v>151679.11685295645</v>
      </c>
      <c r="F391">
        <v>46500.86193597391</v>
      </c>
      <c r="G391">
        <v>10000</v>
      </c>
      <c r="H391">
        <v>398095.58252052224</v>
      </c>
      <c r="I391">
        <v>38.200879483526492</v>
      </c>
    </row>
    <row r="392" spans="1:9" x14ac:dyDescent="0.2">
      <c r="A392">
        <v>382</v>
      </c>
      <c r="B392">
        <v>1324145.4211209882</v>
      </c>
      <c r="C392">
        <v>107933.77624113968</v>
      </c>
      <c r="D392">
        <v>103731.0341814244</v>
      </c>
      <c r="E392">
        <v>118932.20504078119</v>
      </c>
      <c r="F392">
        <v>44233.768041284857</v>
      </c>
      <c r="G392">
        <v>10000</v>
      </c>
      <c r="H392">
        <v>364830.78350463015</v>
      </c>
      <c r="I392">
        <v>35.875995355513268</v>
      </c>
    </row>
    <row r="393" spans="1:9" x14ac:dyDescent="0.2">
      <c r="A393">
        <v>383</v>
      </c>
      <c r="B393">
        <v>1552437.4902608888</v>
      </c>
      <c r="C393">
        <v>133715.54738785527</v>
      </c>
      <c r="D393">
        <v>118669.23543489195</v>
      </c>
      <c r="E393">
        <v>139364.14568641526</v>
      </c>
      <c r="F393">
        <v>45648.287009059517</v>
      </c>
      <c r="G393">
        <v>10000</v>
      </c>
      <c r="H393">
        <v>427397.21551822202</v>
      </c>
      <c r="I393">
        <v>44.554442436809587</v>
      </c>
    </row>
    <row r="394" spans="1:9" x14ac:dyDescent="0.2">
      <c r="A394">
        <v>384</v>
      </c>
      <c r="B394">
        <v>1289694.3325996413</v>
      </c>
      <c r="C394">
        <v>145184.50165589206</v>
      </c>
      <c r="D394">
        <v>132269.13771930759</v>
      </c>
      <c r="E394">
        <v>48572.650104757457</v>
      </c>
      <c r="F394">
        <v>39362.72193032936</v>
      </c>
      <c r="G394">
        <v>10000</v>
      </c>
      <c r="H394">
        <v>355389.01141028648</v>
      </c>
      <c r="I394">
        <v>41.20669197529282</v>
      </c>
    </row>
    <row r="395" spans="1:9" x14ac:dyDescent="0.2">
      <c r="A395">
        <v>385</v>
      </c>
      <c r="B395">
        <v>1012539.084120058</v>
      </c>
      <c r="C395">
        <v>127655.01537513779</v>
      </c>
      <c r="D395">
        <v>70706.86489899765</v>
      </c>
      <c r="E395">
        <v>51503.479263694324</v>
      </c>
      <c r="F395">
        <v>39565.625487486534</v>
      </c>
      <c r="G395">
        <v>10000</v>
      </c>
      <c r="H395">
        <v>279430.9850253163</v>
      </c>
      <c r="I395">
        <v>41.607933503252113</v>
      </c>
    </row>
    <row r="396" spans="1:9" x14ac:dyDescent="0.2">
      <c r="A396">
        <v>386</v>
      </c>
      <c r="B396">
        <v>904301.46525934606</v>
      </c>
      <c r="C396">
        <v>111362.14650196358</v>
      </c>
      <c r="D396">
        <v>56184.395266014108</v>
      </c>
      <c r="E396">
        <v>52580.329326103158</v>
      </c>
      <c r="F396">
        <v>39640.176645653301</v>
      </c>
      <c r="G396">
        <v>10000</v>
      </c>
      <c r="H396">
        <v>249767.04773973415</v>
      </c>
      <c r="I396">
        <v>32.029698843793639</v>
      </c>
    </row>
    <row r="397" spans="1:9" x14ac:dyDescent="0.2">
      <c r="A397">
        <v>387</v>
      </c>
      <c r="B397">
        <v>1463482.6662454105</v>
      </c>
      <c r="C397">
        <v>109670.09205305496</v>
      </c>
      <c r="D397">
        <v>80267.631280962829</v>
      </c>
      <c r="E397">
        <v>174967.14722456105</v>
      </c>
      <c r="F397">
        <v>48113.110192469605</v>
      </c>
      <c r="G397">
        <v>10000</v>
      </c>
      <c r="H397">
        <v>403017.98075104848</v>
      </c>
      <c r="I397">
        <v>42.566087467268233</v>
      </c>
    </row>
    <row r="398" spans="1:9" x14ac:dyDescent="0.2">
      <c r="A398">
        <v>388</v>
      </c>
      <c r="B398">
        <v>1388167.226930263</v>
      </c>
      <c r="C398">
        <v>128787.81622847023</v>
      </c>
      <c r="D398">
        <v>76728.912405734111</v>
      </c>
      <c r="E398">
        <v>141092.15123101149</v>
      </c>
      <c r="F398">
        <v>45767.918162146947</v>
      </c>
      <c r="G398">
        <v>10000</v>
      </c>
      <c r="H398">
        <v>382376.79802736279</v>
      </c>
      <c r="I398">
        <v>35.839668350137359</v>
      </c>
    </row>
    <row r="399" spans="1:9" x14ac:dyDescent="0.2">
      <c r="A399">
        <v>389</v>
      </c>
      <c r="B399">
        <v>1138763.8632011975</v>
      </c>
      <c r="C399">
        <v>78688.623265059272</v>
      </c>
      <c r="D399">
        <v>36887.847636841005</v>
      </c>
      <c r="E399">
        <v>161282.36602341538</v>
      </c>
      <c r="F399">
        <v>47165.702263159525</v>
      </c>
      <c r="G399">
        <v>10000</v>
      </c>
      <c r="H399">
        <v>314024.53918847517</v>
      </c>
      <c r="I399">
        <v>29.930427881403258</v>
      </c>
    </row>
    <row r="400" spans="1:9" x14ac:dyDescent="0.2">
      <c r="A400">
        <v>390</v>
      </c>
      <c r="B400">
        <v>1472114.8639075488</v>
      </c>
      <c r="C400">
        <v>98724.933676166926</v>
      </c>
      <c r="D400">
        <v>148445.40219290566</v>
      </c>
      <c r="E400">
        <v>123652.83111159476</v>
      </c>
      <c r="F400">
        <v>44560.580615418097</v>
      </c>
      <c r="G400">
        <v>10000</v>
      </c>
      <c r="H400">
        <v>405383.74759608542</v>
      </c>
      <c r="I400">
        <v>49.954530080864892</v>
      </c>
    </row>
    <row r="401" spans="1:9" x14ac:dyDescent="0.2">
      <c r="A401">
        <v>391</v>
      </c>
      <c r="B401">
        <v>1133111.162274376</v>
      </c>
      <c r="C401">
        <v>118595.52785229518</v>
      </c>
      <c r="D401">
        <v>40495.23942120486</v>
      </c>
      <c r="E401">
        <v>119136.65304563809</v>
      </c>
      <c r="F401">
        <v>44247.922133928791</v>
      </c>
      <c r="G401">
        <v>10000</v>
      </c>
      <c r="H401">
        <v>312475.3424530669</v>
      </c>
      <c r="I401">
        <v>30.889076367768013</v>
      </c>
    </row>
    <row r="402" spans="1:9" x14ac:dyDescent="0.2">
      <c r="A402">
        <v>392</v>
      </c>
      <c r="B402">
        <v>1454362.9928433467</v>
      </c>
      <c r="C402">
        <v>89116.767514309075</v>
      </c>
      <c r="D402">
        <v>73068.17971687502</v>
      </c>
      <c r="E402">
        <v>198585.44448311088</v>
      </c>
      <c r="F402">
        <v>49748.223079599986</v>
      </c>
      <c r="G402">
        <v>10000</v>
      </c>
      <c r="H402">
        <v>400518.61479389499</v>
      </c>
      <c r="I402">
        <v>46.58013670781083</v>
      </c>
    </row>
    <row r="403" spans="1:9" x14ac:dyDescent="0.2">
      <c r="A403">
        <v>393</v>
      </c>
      <c r="B403">
        <v>1611893.2186425501</v>
      </c>
      <c r="C403">
        <v>108860.44465599848</v>
      </c>
      <c r="D403">
        <v>110262.80174886127</v>
      </c>
      <c r="E403">
        <v>185711.63122017559</v>
      </c>
      <c r="F403">
        <v>48856.959084473696</v>
      </c>
      <c r="G403">
        <v>10000</v>
      </c>
      <c r="H403">
        <v>443691.83670950902</v>
      </c>
      <c r="I403">
        <v>33.765511282114218</v>
      </c>
    </row>
    <row r="404" spans="1:9" x14ac:dyDescent="0.2">
      <c r="A404">
        <v>394</v>
      </c>
      <c r="B404">
        <v>1412263.1423194222</v>
      </c>
      <c r="C404">
        <v>121321.26969872149</v>
      </c>
      <c r="D404">
        <v>122165.90749971446</v>
      </c>
      <c r="E404">
        <v>111756.43791738636</v>
      </c>
      <c r="F404">
        <v>43736.984163511355</v>
      </c>
      <c r="G404">
        <v>10000</v>
      </c>
      <c r="H404">
        <v>388980.59927933366</v>
      </c>
      <c r="I404">
        <v>36.065999928384414</v>
      </c>
    </row>
    <row r="405" spans="1:9" x14ac:dyDescent="0.2">
      <c r="A405">
        <v>395</v>
      </c>
      <c r="B405">
        <v>1291463.5253332558</v>
      </c>
      <c r="C405">
        <v>118767.87089258067</v>
      </c>
      <c r="D405">
        <v>146281.70756551091</v>
      </c>
      <c r="E405">
        <v>60627.046341605615</v>
      </c>
      <c r="F405">
        <v>40197.257054418849</v>
      </c>
      <c r="G405">
        <v>10000</v>
      </c>
      <c r="H405">
        <v>355873.88185411604</v>
      </c>
      <c r="I405">
        <v>41.523668387223253</v>
      </c>
    </row>
    <row r="406" spans="1:9" x14ac:dyDescent="0.2">
      <c r="A406">
        <v>396</v>
      </c>
      <c r="B406">
        <v>1452602.4821319962</v>
      </c>
      <c r="C406">
        <v>94474.201913292971</v>
      </c>
      <c r="D406">
        <v>97307.533113574027</v>
      </c>
      <c r="E406">
        <v>170453.74486954443</v>
      </c>
      <c r="F406">
        <v>47800.643875583846</v>
      </c>
      <c r="G406">
        <v>10000</v>
      </c>
      <c r="H406">
        <v>400036.12377199525</v>
      </c>
      <c r="I406">
        <v>39.762115731991756</v>
      </c>
    </row>
    <row r="407" spans="1:9" x14ac:dyDescent="0.2">
      <c r="A407">
        <v>397</v>
      </c>
      <c r="B407">
        <v>1214218.3451643435</v>
      </c>
      <c r="C407">
        <v>126779.42400856498</v>
      </c>
      <c r="D407">
        <v>130448.97487222045</v>
      </c>
      <c r="E407">
        <v>48142.488012623508</v>
      </c>
      <c r="F407">
        <v>39332.941477797009</v>
      </c>
      <c r="G407">
        <v>10000</v>
      </c>
      <c r="H407">
        <v>334703.82837120595</v>
      </c>
      <c r="I407">
        <v>43.946822818448034</v>
      </c>
    </row>
    <row r="408" spans="1:9" x14ac:dyDescent="0.2">
      <c r="A408">
        <v>398</v>
      </c>
      <c r="B408">
        <v>1370833.6646378373</v>
      </c>
      <c r="C408">
        <v>135738.95231873918</v>
      </c>
      <c r="D408">
        <v>43381.801845664202</v>
      </c>
      <c r="E408">
        <v>161336.12969567854</v>
      </c>
      <c r="F408">
        <v>47169.424363546968</v>
      </c>
      <c r="G408">
        <v>10000</v>
      </c>
      <c r="H408">
        <v>377626.30822362885</v>
      </c>
      <c r="I408">
        <v>31.366750218446658</v>
      </c>
    </row>
    <row r="409" spans="1:9" x14ac:dyDescent="0.2">
      <c r="A409">
        <v>399</v>
      </c>
      <c r="B409">
        <v>1181660.8602121151</v>
      </c>
      <c r="C409">
        <v>106946.71180615108</v>
      </c>
      <c r="D409">
        <v>54741.103139073501</v>
      </c>
      <c r="E409">
        <v>129151.92133310881</v>
      </c>
      <c r="F409">
        <v>44941.286861522916</v>
      </c>
      <c r="G409">
        <v>10000</v>
      </c>
      <c r="H409">
        <v>325781.02313985635</v>
      </c>
      <c r="I409">
        <v>31.15338562902798</v>
      </c>
    </row>
    <row r="410" spans="1:9" x14ac:dyDescent="0.2">
      <c r="A410">
        <v>400</v>
      </c>
      <c r="B410">
        <v>1416714.8248412949</v>
      </c>
      <c r="C410">
        <v>157035.36313295728</v>
      </c>
      <c r="D410">
        <v>115151.23173328518</v>
      </c>
      <c r="E410">
        <v>86056.30231565694</v>
      </c>
      <c r="F410">
        <v>41957.744006468558</v>
      </c>
      <c r="G410">
        <v>10000</v>
      </c>
      <c r="H410">
        <v>390200.64118836797</v>
      </c>
      <c r="I410">
        <v>29.102616589426198</v>
      </c>
    </row>
    <row r="411" spans="1:9" x14ac:dyDescent="0.2">
      <c r="A411">
        <v>401</v>
      </c>
      <c r="B411">
        <v>1108057.0762080012</v>
      </c>
      <c r="C411">
        <v>107505.11713978151</v>
      </c>
      <c r="D411">
        <v>62785.403858408121</v>
      </c>
      <c r="E411">
        <v>102240.24983502741</v>
      </c>
      <c r="F411">
        <v>43078.171142424973</v>
      </c>
      <c r="G411">
        <v>10000</v>
      </c>
      <c r="H411">
        <v>305608.94197564205</v>
      </c>
      <c r="I411">
        <v>48.928242578770337</v>
      </c>
    </row>
    <row r="412" spans="1:9" x14ac:dyDescent="0.2">
      <c r="A412">
        <v>402</v>
      </c>
      <c r="B412">
        <v>1629802.0023019009</v>
      </c>
      <c r="C412">
        <v>95233.451608458301</v>
      </c>
      <c r="D412">
        <v>160293.05347964627</v>
      </c>
      <c r="E412">
        <v>156255.76179026059</v>
      </c>
      <c r="F412">
        <v>46817.706585479573</v>
      </c>
      <c r="G412">
        <v>10000</v>
      </c>
      <c r="H412">
        <v>448599.97346384474</v>
      </c>
      <c r="I412">
        <v>30.363997982241884</v>
      </c>
    </row>
    <row r="413" spans="1:9" x14ac:dyDescent="0.2">
      <c r="A413">
        <v>403</v>
      </c>
      <c r="B413">
        <v>1591584.4677260262</v>
      </c>
      <c r="C413">
        <v>128771.67999365125</v>
      </c>
      <c r="D413">
        <v>95733.13173141818</v>
      </c>
      <c r="E413">
        <v>175473.01402518465</v>
      </c>
      <c r="F413">
        <v>48148.131740205092</v>
      </c>
      <c r="G413">
        <v>10000</v>
      </c>
      <c r="H413">
        <v>438125.9574904592</v>
      </c>
      <c r="I413">
        <v>42.895369478526689</v>
      </c>
    </row>
    <row r="414" spans="1:9" x14ac:dyDescent="0.2">
      <c r="A414">
        <v>404</v>
      </c>
      <c r="B414">
        <v>1053539.4531183057</v>
      </c>
      <c r="C414">
        <v>83691.642103884369</v>
      </c>
      <c r="D414">
        <v>83497.510244770951</v>
      </c>
      <c r="E414">
        <v>91166.961970990713</v>
      </c>
      <c r="F414">
        <v>42311.558905683974</v>
      </c>
      <c r="G414">
        <v>10000</v>
      </c>
      <c r="H414">
        <v>290667.67322533001</v>
      </c>
      <c r="I414">
        <v>45.220591303292181</v>
      </c>
    </row>
    <row r="415" spans="1:9" x14ac:dyDescent="0.2">
      <c r="A415">
        <v>405</v>
      </c>
      <c r="B415">
        <v>1410454.0981753443</v>
      </c>
      <c r="C415">
        <v>138217.1879304453</v>
      </c>
      <c r="D415">
        <v>84806.62513668547</v>
      </c>
      <c r="E415">
        <v>130431.14543705278</v>
      </c>
      <c r="F415">
        <v>45029.848530257499</v>
      </c>
      <c r="G415">
        <v>10000</v>
      </c>
      <c r="H415">
        <v>388484.80703444104</v>
      </c>
      <c r="I415">
        <v>34.524862636121597</v>
      </c>
    </row>
    <row r="416" spans="1:9" x14ac:dyDescent="0.2">
      <c r="A416">
        <v>406</v>
      </c>
      <c r="B416">
        <v>1354028.9413634117</v>
      </c>
      <c r="C416">
        <v>150330.6274223169</v>
      </c>
      <c r="D416">
        <v>59191.909601968437</v>
      </c>
      <c r="E416">
        <v>128595.45442639283</v>
      </c>
      <c r="F416">
        <v>44902.762229519496</v>
      </c>
      <c r="G416">
        <v>10000</v>
      </c>
      <c r="H416">
        <v>373020.7536801977</v>
      </c>
      <c r="I416">
        <v>54.252578411870552</v>
      </c>
    </row>
    <row r="417" spans="1:9" x14ac:dyDescent="0.2">
      <c r="A417">
        <v>407</v>
      </c>
      <c r="B417">
        <v>837503.95515175373</v>
      </c>
      <c r="C417">
        <v>86723.679848161381</v>
      </c>
      <c r="D417">
        <v>52690.43961581133</v>
      </c>
      <c r="E417">
        <v>61769.82325135752</v>
      </c>
      <c r="F417">
        <v>40276.372378940134</v>
      </c>
      <c r="G417">
        <v>10000</v>
      </c>
      <c r="H417">
        <v>231460.31509427037</v>
      </c>
      <c r="I417">
        <v>32.474220097073015</v>
      </c>
    </row>
    <row r="418" spans="1:9" x14ac:dyDescent="0.2">
      <c r="A418">
        <v>408</v>
      </c>
      <c r="B418">
        <v>1358632.1317443429</v>
      </c>
      <c r="C418">
        <v>108421.47265178271</v>
      </c>
      <c r="D418">
        <v>99680.928253408609</v>
      </c>
      <c r="E418">
        <v>131103.51986813013</v>
      </c>
      <c r="F418">
        <v>45076.397529332084</v>
      </c>
      <c r="G418">
        <v>10000</v>
      </c>
      <c r="H418">
        <v>374282.3183026535</v>
      </c>
      <c r="I418">
        <v>47.594585654465398</v>
      </c>
    </row>
    <row r="419" spans="1:9" x14ac:dyDescent="0.2">
      <c r="A419">
        <v>409</v>
      </c>
      <c r="B419">
        <v>1396333.5574074455</v>
      </c>
      <c r="C419">
        <v>133283.44851155486</v>
      </c>
      <c r="D419">
        <v>77341.627797594178</v>
      </c>
      <c r="E419">
        <v>138407.73742898178</v>
      </c>
      <c r="F419">
        <v>45582.07412969874</v>
      </c>
      <c r="G419">
        <v>10000</v>
      </c>
      <c r="H419">
        <v>384614.88786782959</v>
      </c>
      <c r="I419">
        <v>26.254178454275902</v>
      </c>
    </row>
    <row r="420" spans="1:9" x14ac:dyDescent="0.2">
      <c r="A420">
        <v>410</v>
      </c>
      <c r="B420">
        <v>1313426.0105621279</v>
      </c>
      <c r="C420">
        <v>131323.76052578381</v>
      </c>
      <c r="D420">
        <v>55490.094706240088</v>
      </c>
      <c r="E420">
        <v>139426.52763299213</v>
      </c>
      <c r="F420">
        <v>45652.605759207152</v>
      </c>
      <c r="G420">
        <v>10000</v>
      </c>
      <c r="H420">
        <v>361892.98862422316</v>
      </c>
      <c r="I420">
        <v>33.989265315452627</v>
      </c>
    </row>
    <row r="421" spans="1:9" x14ac:dyDescent="0.2">
      <c r="A421">
        <v>411</v>
      </c>
      <c r="B421">
        <v>1256250.672932307</v>
      </c>
      <c r="C421">
        <v>125799.66222258312</v>
      </c>
      <c r="D421">
        <v>50725.554083789946</v>
      </c>
      <c r="E421">
        <v>134393.92712856783</v>
      </c>
      <c r="F421">
        <v>45304.194955054692</v>
      </c>
      <c r="G421">
        <v>10000</v>
      </c>
      <c r="H421">
        <v>346223.33838999557</v>
      </c>
      <c r="I421">
        <v>35.144555525346028</v>
      </c>
    </row>
    <row r="422" spans="1:9" x14ac:dyDescent="0.2">
      <c r="A422">
        <v>412</v>
      </c>
      <c r="B422">
        <v>1802046.7202524536</v>
      </c>
      <c r="C422">
        <v>127833.1039997199</v>
      </c>
      <c r="D422">
        <v>129341.51626464042</v>
      </c>
      <c r="E422">
        <v>198863.78184913515</v>
      </c>
      <c r="F422">
        <v>49767.492589555513</v>
      </c>
      <c r="G422">
        <v>10000</v>
      </c>
      <c r="H422">
        <v>495805.89470305102</v>
      </c>
      <c r="I422">
        <v>37.877609643408803</v>
      </c>
    </row>
    <row r="423" spans="1:9" x14ac:dyDescent="0.2">
      <c r="A423">
        <v>413</v>
      </c>
      <c r="B423">
        <v>1074110.0762230435</v>
      </c>
      <c r="C423">
        <v>99958.216284678871</v>
      </c>
      <c r="D423">
        <v>46586.741333821148</v>
      </c>
      <c r="E423">
        <v>115747.10332965625</v>
      </c>
      <c r="F423">
        <v>44013.260999745435</v>
      </c>
      <c r="G423">
        <v>10000</v>
      </c>
      <c r="H423">
        <v>296305.32194790174</v>
      </c>
      <c r="I423">
        <v>31.624916203612063</v>
      </c>
    </row>
    <row r="424" spans="1:9" x14ac:dyDescent="0.2">
      <c r="A424">
        <v>414</v>
      </c>
      <c r="B424">
        <v>1264493.2162400731</v>
      </c>
      <c r="C424">
        <v>112861.50327353421</v>
      </c>
      <c r="D424">
        <v>43757.727510961311</v>
      </c>
      <c r="E424">
        <v>155123.74815948179</v>
      </c>
      <c r="F424">
        <v>46739.336411041048</v>
      </c>
      <c r="G424">
        <v>10000</v>
      </c>
      <c r="H424">
        <v>348482.31535501836</v>
      </c>
      <c r="I424">
        <v>37.51771854675259</v>
      </c>
    </row>
    <row r="425" spans="1:9" x14ac:dyDescent="0.2">
      <c r="A425">
        <v>415</v>
      </c>
      <c r="B425">
        <v>1133650.9814875824</v>
      </c>
      <c r="C425">
        <v>105437.86563666523</v>
      </c>
      <c r="D425">
        <v>121670.22266205934</v>
      </c>
      <c r="E425">
        <v>55661.696608105376</v>
      </c>
      <c r="F425">
        <v>39853.502072868832</v>
      </c>
      <c r="G425">
        <v>10000</v>
      </c>
      <c r="H425">
        <v>312623.28697969875</v>
      </c>
      <c r="I425">
        <v>30.28224186274155</v>
      </c>
    </row>
    <row r="426" spans="1:9" x14ac:dyDescent="0.2">
      <c r="A426">
        <v>416</v>
      </c>
      <c r="B426">
        <v>918714.08690834767</v>
      </c>
      <c r="C426">
        <v>101564.71797406983</v>
      </c>
      <c r="D426">
        <v>47952.764920457448</v>
      </c>
      <c r="E426">
        <v>73136.253513914198</v>
      </c>
      <c r="F426">
        <v>41063.279089424832</v>
      </c>
      <c r="G426">
        <v>10000</v>
      </c>
      <c r="H426">
        <v>253717.01549786632</v>
      </c>
      <c r="I426">
        <v>41.891243063869837</v>
      </c>
    </row>
    <row r="427" spans="1:9" x14ac:dyDescent="0.2">
      <c r="A427">
        <v>417</v>
      </c>
      <c r="B427">
        <v>1063325.3734795717</v>
      </c>
      <c r="C427">
        <v>131649.64847631601</v>
      </c>
      <c r="D427">
        <v>60572.026990173879</v>
      </c>
      <c r="E427">
        <v>70263.557301647044</v>
      </c>
      <c r="F427">
        <v>40864.400120883263</v>
      </c>
      <c r="G427">
        <v>10000</v>
      </c>
      <c r="H427">
        <v>293349.6328890202</v>
      </c>
      <c r="I427">
        <v>53.065102997612797</v>
      </c>
    </row>
    <row r="428" spans="1:9" x14ac:dyDescent="0.2">
      <c r="A428">
        <v>418</v>
      </c>
      <c r="B428">
        <v>1022287.9506867443</v>
      </c>
      <c r="C428">
        <v>89144.735954485717</v>
      </c>
      <c r="D428">
        <v>63354.801319298072</v>
      </c>
      <c r="E428">
        <v>96895.128085375007</v>
      </c>
      <c r="F428">
        <v>42708.124252064423</v>
      </c>
      <c r="G428">
        <v>10000</v>
      </c>
      <c r="H428">
        <v>282102.78961122321</v>
      </c>
      <c r="I428">
        <v>31.712342134026883</v>
      </c>
    </row>
    <row r="429" spans="1:9" x14ac:dyDescent="0.2">
      <c r="A429">
        <v>419</v>
      </c>
      <c r="B429">
        <v>1312251.7328327433</v>
      </c>
      <c r="C429">
        <v>101200.20460752999</v>
      </c>
      <c r="D429">
        <v>74026.19019988396</v>
      </c>
      <c r="E429">
        <v>149962.73230914748</v>
      </c>
      <c r="F429">
        <v>46382.035313710207</v>
      </c>
      <c r="G429">
        <v>10000</v>
      </c>
      <c r="H429">
        <v>361571.16243027162</v>
      </c>
      <c r="I429">
        <v>39.996165122992821</v>
      </c>
    </row>
    <row r="430" spans="1:9" x14ac:dyDescent="0.2">
      <c r="A430">
        <v>420</v>
      </c>
      <c r="B430">
        <v>1131830.2936251699</v>
      </c>
      <c r="C430">
        <v>103821.59223475429</v>
      </c>
      <c r="D430">
        <v>135296.85200564924</v>
      </c>
      <c r="E430">
        <v>43962.31452886988</v>
      </c>
      <c r="F430">
        <v>39043.544851998682</v>
      </c>
      <c r="G430">
        <v>10000</v>
      </c>
      <c r="H430">
        <v>312124.30362127209</v>
      </c>
      <c r="I430">
        <v>40.30677912587425</v>
      </c>
    </row>
    <row r="431" spans="1:9" x14ac:dyDescent="0.2">
      <c r="A431">
        <v>421</v>
      </c>
      <c r="B431">
        <v>1650343.9109779173</v>
      </c>
      <c r="C431">
        <v>91895.092192599055</v>
      </c>
      <c r="D431">
        <v>117475.43686666446</v>
      </c>
      <c r="E431">
        <v>204688.48246789194</v>
      </c>
      <c r="F431">
        <v>50170.741093930985</v>
      </c>
      <c r="G431">
        <v>10000</v>
      </c>
      <c r="H431">
        <v>454229.75262108643</v>
      </c>
      <c r="I431">
        <v>28.454357676657843</v>
      </c>
    </row>
    <row r="432" spans="1:9" x14ac:dyDescent="0.2">
      <c r="A432">
        <v>422</v>
      </c>
      <c r="B432">
        <v>1444938.6109835198</v>
      </c>
      <c r="C432">
        <v>87777.478270357577</v>
      </c>
      <c r="D432">
        <v>176313.36297688889</v>
      </c>
      <c r="E432">
        <v>100862.13504944734</v>
      </c>
      <c r="F432">
        <v>42982.763195730964</v>
      </c>
      <c r="G432">
        <v>10000</v>
      </c>
      <c r="H432">
        <v>397935.73949242482</v>
      </c>
      <c r="I432">
        <v>30.281070655751698</v>
      </c>
    </row>
    <row r="433" spans="1:9" x14ac:dyDescent="0.2">
      <c r="A433">
        <v>423</v>
      </c>
      <c r="B433">
        <v>853868.36499382136</v>
      </c>
      <c r="C433">
        <v>105820.25459629614</v>
      </c>
      <c r="D433">
        <v>67791.239650946634</v>
      </c>
      <c r="E433">
        <v>33981.159888116257</v>
      </c>
      <c r="F433">
        <v>38352.541838408048</v>
      </c>
      <c r="G433">
        <v>10000</v>
      </c>
      <c r="H433">
        <v>235945.19597376708</v>
      </c>
      <c r="I433">
        <v>43.052402661972707</v>
      </c>
    </row>
    <row r="434" spans="1:9" x14ac:dyDescent="0.2">
      <c r="A434">
        <v>424</v>
      </c>
      <c r="B434">
        <v>1302099.1718596423</v>
      </c>
      <c r="C434">
        <v>119834.53838767843</v>
      </c>
      <c r="D434">
        <v>156408.00488733561</v>
      </c>
      <c r="E434">
        <v>52884.913581228357</v>
      </c>
      <c r="F434">
        <v>39661.263247931194</v>
      </c>
      <c r="G434">
        <v>10000</v>
      </c>
      <c r="H434">
        <v>358788.72010417358</v>
      </c>
      <c r="I434">
        <v>40.239208625545174</v>
      </c>
    </row>
    <row r="435" spans="1:9" x14ac:dyDescent="0.2">
      <c r="A435">
        <v>425</v>
      </c>
      <c r="B435">
        <v>1123725.6588866687</v>
      </c>
      <c r="C435">
        <v>93350.14600549289</v>
      </c>
      <c r="D435">
        <v>44550.288516304434</v>
      </c>
      <c r="E435">
        <v>136549.27634508899</v>
      </c>
      <c r="F435">
        <v>45453.411439275398</v>
      </c>
      <c r="G435">
        <v>10000</v>
      </c>
      <c r="H435">
        <v>309903.12230616168</v>
      </c>
      <c r="I435">
        <v>42.915154534035906</v>
      </c>
    </row>
    <row r="436" spans="1:9" x14ac:dyDescent="0.2">
      <c r="A436">
        <v>426</v>
      </c>
      <c r="B436">
        <v>1619985.3675440839</v>
      </c>
      <c r="C436">
        <v>119620.87505944574</v>
      </c>
      <c r="D436">
        <v>99198.961463345491</v>
      </c>
      <c r="E436">
        <v>188069.55933312737</v>
      </c>
      <c r="F436">
        <v>49020.200261524202</v>
      </c>
      <c r="G436">
        <v>10000</v>
      </c>
      <c r="H436">
        <v>445909.59611744282</v>
      </c>
      <c r="I436">
        <v>44.329070609778</v>
      </c>
    </row>
    <row r="437" spans="1:9" x14ac:dyDescent="0.2">
      <c r="A437">
        <v>427</v>
      </c>
      <c r="B437">
        <v>1201095.0491077926</v>
      </c>
      <c r="C437">
        <v>104919.72616874389</v>
      </c>
      <c r="D437">
        <v>63182.376876302194</v>
      </c>
      <c r="E437">
        <v>128134.27940767503</v>
      </c>
      <c r="F437">
        <v>44870.834728223657</v>
      </c>
      <c r="G437">
        <v>10000</v>
      </c>
      <c r="H437">
        <v>331107.2171809448</v>
      </c>
      <c r="I437">
        <v>43.154822266655401</v>
      </c>
    </row>
    <row r="438" spans="1:9" x14ac:dyDescent="0.2">
      <c r="A438">
        <v>428</v>
      </c>
      <c r="B438">
        <v>1463698.9337758184</v>
      </c>
      <c r="C438">
        <v>130841.79074331984</v>
      </c>
      <c r="D438">
        <v>81860.002493547421</v>
      </c>
      <c r="E438">
        <v>153732.44316762226</v>
      </c>
      <c r="F438">
        <v>46643.015296220008</v>
      </c>
      <c r="G438">
        <v>10000</v>
      </c>
      <c r="H438">
        <v>403077.25170070952</v>
      </c>
      <c r="I438">
        <v>28.695357313296789</v>
      </c>
    </row>
    <row r="439" spans="1:9" x14ac:dyDescent="0.2">
      <c r="A439">
        <v>429</v>
      </c>
      <c r="B439">
        <v>1674070.1994262736</v>
      </c>
      <c r="C439">
        <v>105323.8152457761</v>
      </c>
      <c r="D439">
        <v>108702.40923094899</v>
      </c>
      <c r="E439">
        <v>206415.70991277508</v>
      </c>
      <c r="F439">
        <v>50290.31837857674</v>
      </c>
      <c r="G439">
        <v>10000</v>
      </c>
      <c r="H439">
        <v>460732.2527680769</v>
      </c>
      <c r="I439">
        <v>24.845727915169356</v>
      </c>
    </row>
    <row r="440" spans="1:9" x14ac:dyDescent="0.2">
      <c r="A440">
        <v>430</v>
      </c>
      <c r="B440">
        <v>1034633.1915650204</v>
      </c>
      <c r="C440">
        <v>115685.7112723684</v>
      </c>
      <c r="D440">
        <v>49714.72735281429</v>
      </c>
      <c r="E440">
        <v>87993.844425564428</v>
      </c>
      <c r="F440">
        <v>42091.881537154455</v>
      </c>
      <c r="G440">
        <v>10000</v>
      </c>
      <c r="H440">
        <v>285486.16458790156</v>
      </c>
      <c r="I440">
        <v>31.972002804913796</v>
      </c>
    </row>
    <row r="441" spans="1:9" x14ac:dyDescent="0.2">
      <c r="A441">
        <v>431</v>
      </c>
      <c r="B441">
        <v>1025349.4225326531</v>
      </c>
      <c r="C441">
        <v>99352.707417997721</v>
      </c>
      <c r="D441">
        <v>64459.477497994587</v>
      </c>
      <c r="E441">
        <v>87099.664392124963</v>
      </c>
      <c r="F441">
        <v>42029.976765608655</v>
      </c>
      <c r="G441">
        <v>10000</v>
      </c>
      <c r="H441">
        <v>282941.82607372594</v>
      </c>
      <c r="I441">
        <v>33.614083330041012</v>
      </c>
    </row>
    <row r="442" spans="1:9" x14ac:dyDescent="0.2">
      <c r="A442">
        <v>432</v>
      </c>
      <c r="B442">
        <v>899700.52192975068</v>
      </c>
      <c r="C442">
        <v>115180.61347221243</v>
      </c>
      <c r="D442">
        <v>77253.35162903968</v>
      </c>
      <c r="E442">
        <v>28125.017269671527</v>
      </c>
      <c r="F442">
        <v>37947.116580208029</v>
      </c>
      <c r="G442">
        <v>10000</v>
      </c>
      <c r="H442">
        <v>248506.09895113166</v>
      </c>
      <c r="I442">
        <v>38.371859144200243</v>
      </c>
    </row>
    <row r="443" spans="1:9" x14ac:dyDescent="0.2">
      <c r="A443">
        <v>433</v>
      </c>
      <c r="B443">
        <v>1151614.7749186798</v>
      </c>
      <c r="C443">
        <v>102633.24658263553</v>
      </c>
      <c r="D443">
        <v>96312.043737401589</v>
      </c>
      <c r="E443">
        <v>86605.447792297884</v>
      </c>
      <c r="F443">
        <v>41995.761770236008</v>
      </c>
      <c r="G443">
        <v>10000</v>
      </c>
      <c r="H443">
        <v>317546.49988257099</v>
      </c>
      <c r="I443">
        <v>31.754195047344062</v>
      </c>
    </row>
    <row r="444" spans="1:9" x14ac:dyDescent="0.2">
      <c r="A444">
        <v>434</v>
      </c>
      <c r="B444">
        <v>1196354.7446318527</v>
      </c>
      <c r="C444">
        <v>131548.10220812311</v>
      </c>
      <c r="D444">
        <v>94309.899559754776</v>
      </c>
      <c r="E444">
        <v>72902.945855977116</v>
      </c>
      <c r="F444">
        <v>41047.12702079842</v>
      </c>
      <c r="G444">
        <v>10000</v>
      </c>
      <c r="H444">
        <v>329808.07464465348</v>
      </c>
      <c r="I444">
        <v>29.962386722219158</v>
      </c>
    </row>
    <row r="445" spans="1:9" x14ac:dyDescent="0.2">
      <c r="A445">
        <v>435</v>
      </c>
      <c r="B445">
        <v>1151810.9307523605</v>
      </c>
      <c r="C445">
        <v>107560.26807529057</v>
      </c>
      <c r="D445">
        <v>89399.455602102142</v>
      </c>
      <c r="E445">
        <v>88512.730838253832</v>
      </c>
      <c r="F445">
        <v>42127.804442648347</v>
      </c>
      <c r="G445">
        <v>10000</v>
      </c>
      <c r="H445">
        <v>317600.25895829493</v>
      </c>
      <c r="I445">
        <v>36.743425852871127</v>
      </c>
    </row>
    <row r="446" spans="1:9" x14ac:dyDescent="0.2">
      <c r="A446">
        <v>436</v>
      </c>
      <c r="B446">
        <v>1650756.9607031196</v>
      </c>
      <c r="C446">
        <v>120986.92125985146</v>
      </c>
      <c r="D446">
        <v>108242.60861246396</v>
      </c>
      <c r="E446">
        <v>186221.18832202259</v>
      </c>
      <c r="F446">
        <v>48892.236114601561</v>
      </c>
      <c r="G446">
        <v>10000</v>
      </c>
      <c r="H446">
        <v>454342.95430893957</v>
      </c>
      <c r="I446">
        <v>39.509589269822811</v>
      </c>
    </row>
    <row r="447" spans="1:9" x14ac:dyDescent="0.2">
      <c r="A447">
        <v>437</v>
      </c>
      <c r="B447">
        <v>1654395.0763511294</v>
      </c>
      <c r="C447">
        <v>137560.3478855289</v>
      </c>
      <c r="D447">
        <v>124601.70673217672</v>
      </c>
      <c r="E447">
        <v>156353.49987318757</v>
      </c>
      <c r="F447">
        <v>46824.47306814375</v>
      </c>
      <c r="G447">
        <v>10000</v>
      </c>
      <c r="H447">
        <v>455340.02755903697</v>
      </c>
      <c r="I447">
        <v>50.264327666680465</v>
      </c>
    </row>
    <row r="448" spans="1:9" x14ac:dyDescent="0.2">
      <c r="A448">
        <v>438</v>
      </c>
      <c r="B448">
        <v>1414531.0787643055</v>
      </c>
      <c r="C448">
        <v>159570.3634658941</v>
      </c>
      <c r="D448">
        <v>115946.98046889454</v>
      </c>
      <c r="E448">
        <v>82381.47981750514</v>
      </c>
      <c r="F448">
        <v>41703.333218134969</v>
      </c>
      <c r="G448">
        <v>10000</v>
      </c>
      <c r="H448">
        <v>389602.15697042877</v>
      </c>
      <c r="I448">
        <v>25.271270595544024</v>
      </c>
    </row>
    <row r="449" spans="1:9" x14ac:dyDescent="0.2">
      <c r="A449">
        <v>439</v>
      </c>
      <c r="B449">
        <v>1834607.7596520307</v>
      </c>
      <c r="C449">
        <v>135106.11525756624</v>
      </c>
      <c r="D449">
        <v>121310.36227749636</v>
      </c>
      <c r="E449">
        <v>207918.81690996626</v>
      </c>
      <c r="F449">
        <v>50394.379632228432</v>
      </c>
      <c r="G449">
        <v>10000</v>
      </c>
      <c r="H449">
        <v>504729.67407725728</v>
      </c>
      <c r="I449">
        <v>25.642059691555161</v>
      </c>
    </row>
    <row r="450" spans="1:9" x14ac:dyDescent="0.2">
      <c r="A450">
        <v>440</v>
      </c>
      <c r="B450">
        <v>1432380.7246076118</v>
      </c>
      <c r="C450">
        <v>152306.76620536784</v>
      </c>
      <c r="D450">
        <v>85593.997427268943</v>
      </c>
      <c r="E450">
        <v>122137.6398407697</v>
      </c>
      <c r="F450">
        <v>44455.682758207135</v>
      </c>
      <c r="G450">
        <v>10000</v>
      </c>
      <c r="H450">
        <v>394494.08623161359</v>
      </c>
      <c r="I450">
        <v>48.681850964239118</v>
      </c>
    </row>
    <row r="451" spans="1:9" x14ac:dyDescent="0.2">
      <c r="A451">
        <v>441</v>
      </c>
      <c r="B451">
        <v>1148448.0508861335</v>
      </c>
      <c r="C451">
        <v>100569.47600364503</v>
      </c>
      <c r="D451">
        <v>113667.24148771128</v>
      </c>
      <c r="E451">
        <v>71492.424636477997</v>
      </c>
      <c r="F451">
        <v>40949.475551756164</v>
      </c>
      <c r="G451">
        <v>10000</v>
      </c>
      <c r="H451">
        <v>316678.61767959048</v>
      </c>
      <c r="I451">
        <v>35.22094196562054</v>
      </c>
    </row>
    <row r="452" spans="1:9" x14ac:dyDescent="0.2">
      <c r="A452">
        <v>442</v>
      </c>
      <c r="B452">
        <v>1026752.2472835954</v>
      </c>
      <c r="C452">
        <v>93637.70846987277</v>
      </c>
      <c r="D452">
        <v>93905.446235875934</v>
      </c>
      <c r="E452">
        <v>65264.801458338035</v>
      </c>
      <c r="F452">
        <v>40518.332408654169</v>
      </c>
      <c r="G452">
        <v>10000</v>
      </c>
      <c r="H452">
        <v>283326.28857274092</v>
      </c>
      <c r="I452">
        <v>37.369916051528193</v>
      </c>
    </row>
    <row r="453" spans="1:9" x14ac:dyDescent="0.2">
      <c r="A453">
        <v>443</v>
      </c>
      <c r="B453">
        <v>1414894.431568302</v>
      </c>
      <c r="C453">
        <v>129736.13654916464</v>
      </c>
      <c r="D453">
        <v>112896.99278428644</v>
      </c>
      <c r="E453">
        <v>113229.63453406721</v>
      </c>
      <c r="F453">
        <v>43838.974698512349</v>
      </c>
      <c r="G453">
        <v>10000</v>
      </c>
      <c r="H453">
        <v>389701.73856603063</v>
      </c>
      <c r="I453">
        <v>30.46088541111542</v>
      </c>
    </row>
    <row r="454" spans="1:9" x14ac:dyDescent="0.2">
      <c r="A454">
        <v>444</v>
      </c>
      <c r="B454">
        <v>1387322.153596879</v>
      </c>
      <c r="C454">
        <v>162246.10020539313</v>
      </c>
      <c r="D454">
        <v>93395.867200073175</v>
      </c>
      <c r="E454">
        <v>93995.824004690541</v>
      </c>
      <c r="F454">
        <v>42507.403200324727</v>
      </c>
      <c r="G454">
        <v>10000</v>
      </c>
      <c r="H454">
        <v>382145.19461048162</v>
      </c>
      <c r="I454">
        <v>36.807096239892921</v>
      </c>
    </row>
    <row r="455" spans="1:9" x14ac:dyDescent="0.2">
      <c r="A455">
        <v>445</v>
      </c>
      <c r="B455">
        <v>1352946.3924703745</v>
      </c>
      <c r="C455">
        <v>151886.13070735478</v>
      </c>
      <c r="D455">
        <v>114024.48608558357</v>
      </c>
      <c r="E455">
        <v>75580.924631107788</v>
      </c>
      <c r="F455">
        <v>41232.525551384388</v>
      </c>
      <c r="G455">
        <v>10000</v>
      </c>
      <c r="H455">
        <v>372724.06697543047</v>
      </c>
      <c r="I455">
        <v>37.525415814193906</v>
      </c>
    </row>
    <row r="456" spans="1:9" x14ac:dyDescent="0.2">
      <c r="A456">
        <v>446</v>
      </c>
      <c r="B456">
        <v>940196.3742026689</v>
      </c>
      <c r="C456">
        <v>118411.78513882172</v>
      </c>
      <c r="D456">
        <v>74071.932724206388</v>
      </c>
      <c r="E456">
        <v>38458.302037369562</v>
      </c>
      <c r="F456">
        <v>38662.497833356349</v>
      </c>
      <c r="G456">
        <v>10000</v>
      </c>
      <c r="H456">
        <v>259604.51773375401</v>
      </c>
      <c r="I456">
        <v>38.141211582259444</v>
      </c>
    </row>
    <row r="457" spans="1:9" x14ac:dyDescent="0.2">
      <c r="A457">
        <v>447</v>
      </c>
      <c r="B457">
        <v>1084277.2118858036</v>
      </c>
      <c r="C457">
        <v>79542.537052251864</v>
      </c>
      <c r="D457">
        <v>123175.9033292532</v>
      </c>
      <c r="E457">
        <v>65816.772489387178</v>
      </c>
      <c r="F457">
        <v>40556.545787726805</v>
      </c>
      <c r="G457">
        <v>10000</v>
      </c>
      <c r="H457">
        <v>299091.75865861907</v>
      </c>
      <c r="I457">
        <v>25.069603076906088</v>
      </c>
    </row>
    <row r="458" spans="1:9" x14ac:dyDescent="0.2">
      <c r="A458">
        <v>448</v>
      </c>
      <c r="B458">
        <v>1500446.7598923522</v>
      </c>
      <c r="C458">
        <v>103650.05365540675</v>
      </c>
      <c r="D458">
        <v>102319.37111054048</v>
      </c>
      <c r="E458">
        <v>169448.03242340407</v>
      </c>
      <c r="F458">
        <v>47731.017629312584</v>
      </c>
      <c r="G458">
        <v>10000</v>
      </c>
      <c r="H458">
        <v>413148.4748186639</v>
      </c>
      <c r="I458">
        <v>35.549794098334999</v>
      </c>
    </row>
    <row r="459" spans="1:9" x14ac:dyDescent="0.2">
      <c r="A459">
        <v>449</v>
      </c>
      <c r="B459">
        <v>1404835.9020225271</v>
      </c>
      <c r="C459">
        <v>139991.74977172227</v>
      </c>
      <c r="D459">
        <v>41370.617307545937</v>
      </c>
      <c r="E459">
        <v>167955.04288963258</v>
      </c>
      <c r="F459">
        <v>47627.656815436101</v>
      </c>
      <c r="G459">
        <v>10000</v>
      </c>
      <c r="H459">
        <v>386945.06678433687</v>
      </c>
      <c r="I459">
        <v>50.980516940257296</v>
      </c>
    </row>
    <row r="460" spans="1:9" x14ac:dyDescent="0.2">
      <c r="A460">
        <v>450</v>
      </c>
      <c r="B460">
        <v>975617.3205338628</v>
      </c>
      <c r="C460">
        <v>123557.88384805045</v>
      </c>
      <c r="D460">
        <v>66575.649743079164</v>
      </c>
      <c r="E460">
        <v>49735.342457896972</v>
      </c>
      <c r="F460">
        <v>39443.216016315942</v>
      </c>
      <c r="G460">
        <v>10000</v>
      </c>
      <c r="H460">
        <v>269312.09206534253</v>
      </c>
      <c r="I460">
        <v>45.755340652773697</v>
      </c>
    </row>
    <row r="461" spans="1:9" x14ac:dyDescent="0.2">
      <c r="A461">
        <v>451</v>
      </c>
      <c r="B461">
        <v>1530152.8310805373</v>
      </c>
      <c r="C461">
        <v>86223.452004718885</v>
      </c>
      <c r="D461">
        <v>87598.221170905352</v>
      </c>
      <c r="E461">
        <v>207128.47586696819</v>
      </c>
      <c r="F461">
        <v>50339.663713867034</v>
      </c>
      <c r="G461">
        <v>10000</v>
      </c>
      <c r="H461">
        <v>421289.8127564594</v>
      </c>
      <c r="I461">
        <v>43.369067144427177</v>
      </c>
    </row>
    <row r="462" spans="1:9" x14ac:dyDescent="0.2">
      <c r="A462">
        <v>452</v>
      </c>
      <c r="B462">
        <v>1400745.7810566132</v>
      </c>
      <c r="C462">
        <v>101151.44233327992</v>
      </c>
      <c r="D462">
        <v>52729.251184016022</v>
      </c>
      <c r="E462">
        <v>192608.9558634572</v>
      </c>
      <c r="F462">
        <v>49334.466175162423</v>
      </c>
      <c r="G462">
        <v>10000</v>
      </c>
      <c r="H462">
        <v>385824.11555591557</v>
      </c>
      <c r="I462">
        <v>32.453333044551215</v>
      </c>
    </row>
    <row r="463" spans="1:9" x14ac:dyDescent="0.2">
      <c r="A463">
        <v>453</v>
      </c>
      <c r="B463">
        <v>1535726.3002849275</v>
      </c>
      <c r="C463">
        <v>119743.21102346327</v>
      </c>
      <c r="D463">
        <v>87926.214509066413</v>
      </c>
      <c r="E463">
        <v>176900.88511388746</v>
      </c>
      <c r="F463">
        <v>48246.984354038359</v>
      </c>
      <c r="G463">
        <v>10000</v>
      </c>
      <c r="H463">
        <v>422817.29500045552</v>
      </c>
      <c r="I463">
        <v>37.976884584853117</v>
      </c>
    </row>
    <row r="464" spans="1:9" x14ac:dyDescent="0.2">
      <c r="A464">
        <v>454</v>
      </c>
      <c r="B464">
        <v>1414801.0836777559</v>
      </c>
      <c r="C464">
        <v>104968.07933224649</v>
      </c>
      <c r="D464">
        <v>65948.699679607918</v>
      </c>
      <c r="E464">
        <v>180278.55341336282</v>
      </c>
      <c r="F464">
        <v>48480.822928617425</v>
      </c>
      <c r="G464">
        <v>10000</v>
      </c>
      <c r="H464">
        <v>389676.15535383468</v>
      </c>
      <c r="I464">
        <v>34.197976224995664</v>
      </c>
    </row>
    <row r="465" spans="1:9" x14ac:dyDescent="0.2">
      <c r="A465">
        <v>455</v>
      </c>
      <c r="B465">
        <v>1266320.2102241705</v>
      </c>
      <c r="C465">
        <v>87355.793285214968</v>
      </c>
      <c r="D465">
        <v>121200.59217256715</v>
      </c>
      <c r="E465">
        <v>107017.72229510179</v>
      </c>
      <c r="F465">
        <v>43408.919235814741</v>
      </c>
      <c r="G465">
        <v>10000</v>
      </c>
      <c r="H465">
        <v>348983.02698869864</v>
      </c>
      <c r="I465">
        <v>36.601091633759367</v>
      </c>
    </row>
    <row r="466" spans="1:9" x14ac:dyDescent="0.2">
      <c r="A466">
        <v>456</v>
      </c>
      <c r="B466">
        <v>1717549.5944035149</v>
      </c>
      <c r="C466">
        <v>160965.20240538643</v>
      </c>
      <c r="D466">
        <v>143895.76256946742</v>
      </c>
      <c r="E466">
        <v>132606.90733608886</v>
      </c>
      <c r="F466">
        <v>45180.478200190766</v>
      </c>
      <c r="G466">
        <v>10000</v>
      </c>
      <c r="H466">
        <v>472648.3505111335</v>
      </c>
      <c r="I466">
        <v>36.278529764660064</v>
      </c>
    </row>
    <row r="467" spans="1:9" x14ac:dyDescent="0.2">
      <c r="A467">
        <v>457</v>
      </c>
      <c r="B467">
        <v>1717275.946748489</v>
      </c>
      <c r="C467">
        <v>131739.50355024551</v>
      </c>
      <c r="D467">
        <v>133099.10815048212</v>
      </c>
      <c r="E467">
        <v>169967.7443969353</v>
      </c>
      <c r="F467">
        <v>47766.997689018594</v>
      </c>
      <c r="G467">
        <v>10000</v>
      </c>
      <c r="H467">
        <v>472573.35378668155</v>
      </c>
      <c r="I467">
        <v>35.026724417261477</v>
      </c>
    </row>
    <row r="468" spans="1:9" x14ac:dyDescent="0.2">
      <c r="A468">
        <v>458</v>
      </c>
      <c r="B468">
        <v>1655206.5929350068</v>
      </c>
      <c r="C468">
        <v>134278.99891021982</v>
      </c>
      <c r="D468">
        <v>148810.75585282914</v>
      </c>
      <c r="E468">
        <v>136988.83698555842</v>
      </c>
      <c r="F468">
        <v>45483.842560538658</v>
      </c>
      <c r="G468">
        <v>10000</v>
      </c>
      <c r="H468">
        <v>455562.43430914602</v>
      </c>
      <c r="I468">
        <v>38.319434377768495</v>
      </c>
    </row>
    <row r="469" spans="1:9" x14ac:dyDescent="0.2">
      <c r="A469">
        <v>459</v>
      </c>
      <c r="B469">
        <v>1453231.0688199934</v>
      </c>
      <c r="C469">
        <v>143211.90215704334</v>
      </c>
      <c r="D469">
        <v>159932.10035827401</v>
      </c>
      <c r="E469">
        <v>66463.101995926714</v>
      </c>
      <c r="F469">
        <v>40601.291676641078</v>
      </c>
      <c r="G469">
        <v>10000</v>
      </c>
      <c r="H469">
        <v>400208.39618788514</v>
      </c>
      <c r="I469">
        <v>36.465522956794949</v>
      </c>
    </row>
    <row r="470" spans="1:9" x14ac:dyDescent="0.2">
      <c r="A470">
        <v>460</v>
      </c>
      <c r="B470">
        <v>1208741.4155902441</v>
      </c>
      <c r="C470">
        <v>97544.147802675754</v>
      </c>
      <c r="D470">
        <v>85420.812159166657</v>
      </c>
      <c r="E470">
        <v>116193.66715852167</v>
      </c>
      <c r="F470">
        <v>44044.176957128424</v>
      </c>
      <c r="G470">
        <v>10000</v>
      </c>
      <c r="H470">
        <v>333202.80407749244</v>
      </c>
      <c r="I470">
        <v>41.1644438973766</v>
      </c>
    </row>
    <row r="471" spans="1:9" x14ac:dyDescent="0.2">
      <c r="A471">
        <v>461</v>
      </c>
      <c r="B471">
        <v>1167578.6206844221</v>
      </c>
      <c r="C471">
        <v>83740.778455365056</v>
      </c>
      <c r="D471">
        <v>59870.693098352509</v>
      </c>
      <c r="E471">
        <v>142448.32243810254</v>
      </c>
      <c r="F471">
        <v>45861.806938022477</v>
      </c>
      <c r="G471">
        <v>10000</v>
      </c>
      <c r="H471">
        <v>321921.60092984256</v>
      </c>
      <c r="I471">
        <v>33.121161817344941</v>
      </c>
    </row>
    <row r="472" spans="1:9" x14ac:dyDescent="0.2">
      <c r="A472">
        <v>462</v>
      </c>
      <c r="B472">
        <v>1225358.99688712</v>
      </c>
      <c r="C472">
        <v>86259.111705853982</v>
      </c>
      <c r="D472">
        <v>107582.95349850095</v>
      </c>
      <c r="E472">
        <v>110280.22022881327</v>
      </c>
      <c r="F472">
        <v>43634.784477379377</v>
      </c>
      <c r="G472">
        <v>10000</v>
      </c>
      <c r="H472">
        <v>337757.06991054758</v>
      </c>
      <c r="I472">
        <v>54.774271898379006</v>
      </c>
    </row>
    <row r="473" spans="1:9" x14ac:dyDescent="0.2">
      <c r="A473">
        <v>463</v>
      </c>
      <c r="B473">
        <v>1027778.256254311</v>
      </c>
      <c r="C473">
        <v>112120.65450093194</v>
      </c>
      <c r="D473">
        <v>109529.04008633023</v>
      </c>
      <c r="E473">
        <v>33629.583265518348</v>
      </c>
      <c r="F473">
        <v>38328.201918382038</v>
      </c>
      <c r="G473">
        <v>10000</v>
      </c>
      <c r="H473">
        <v>283607.47977116256</v>
      </c>
      <c r="I473">
        <v>30.348055113389719</v>
      </c>
    </row>
    <row r="474" spans="1:9" x14ac:dyDescent="0.2">
      <c r="A474">
        <v>464</v>
      </c>
      <c r="B474">
        <v>1728056.5080268104</v>
      </c>
      <c r="C474">
        <v>86268.610491571366</v>
      </c>
      <c r="D474">
        <v>152165.7374877024</v>
      </c>
      <c r="E474">
        <v>197425.63150832287</v>
      </c>
      <c r="F474">
        <v>49667.92833519158</v>
      </c>
      <c r="G474">
        <v>10000</v>
      </c>
      <c r="H474">
        <v>475527.90782278823</v>
      </c>
      <c r="I474">
        <v>33.801729367033772</v>
      </c>
    </row>
    <row r="475" spans="1:9" x14ac:dyDescent="0.2">
      <c r="A475">
        <v>465</v>
      </c>
      <c r="B475">
        <v>1643811.8860873994</v>
      </c>
      <c r="C475">
        <v>143024.56085675376</v>
      </c>
      <c r="D475">
        <v>96235.82148043027</v>
      </c>
      <c r="E475">
        <v>175059.6678323969</v>
      </c>
      <c r="F475">
        <v>48119.515465319782</v>
      </c>
      <c r="G475">
        <v>10000</v>
      </c>
      <c r="H475">
        <v>452439.56563490076</v>
      </c>
      <c r="I475">
        <v>41.257649405270726</v>
      </c>
    </row>
    <row r="476" spans="1:9" x14ac:dyDescent="0.2">
      <c r="A476">
        <v>466</v>
      </c>
      <c r="B476">
        <v>1360422.7011348526</v>
      </c>
      <c r="C476">
        <v>152817.78512027534</v>
      </c>
      <c r="D476">
        <v>99110.166282601131</v>
      </c>
      <c r="E476">
        <v>90574.550118980158</v>
      </c>
      <c r="F476">
        <v>42270.545777467858</v>
      </c>
      <c r="G476">
        <v>10000</v>
      </c>
      <c r="H476">
        <v>374773.04729932448</v>
      </c>
      <c r="I476">
        <v>35.129419157111201</v>
      </c>
    </row>
    <row r="477" spans="1:9" x14ac:dyDescent="0.2">
      <c r="A477">
        <v>467</v>
      </c>
      <c r="B477">
        <v>1493685.2112214167</v>
      </c>
      <c r="C477">
        <v>151621.54138518835</v>
      </c>
      <c r="D477">
        <v>59348.637613076819</v>
      </c>
      <c r="E477">
        <v>163037.96135702584</v>
      </c>
      <c r="F477">
        <v>47287.24347856333</v>
      </c>
      <c r="G477">
        <v>10000</v>
      </c>
      <c r="H477">
        <v>411295.38383385434</v>
      </c>
      <c r="I477">
        <v>31.615482616226963</v>
      </c>
    </row>
    <row r="478" spans="1:9" x14ac:dyDescent="0.2">
      <c r="A478">
        <v>468</v>
      </c>
      <c r="B478">
        <v>1051113.9326013634</v>
      </c>
      <c r="C478">
        <v>97709.396477306567</v>
      </c>
      <c r="D478">
        <v>122268.76301868488</v>
      </c>
      <c r="E478">
        <v>41174.243508468695</v>
      </c>
      <c r="F478">
        <v>38850.524550586291</v>
      </c>
      <c r="G478">
        <v>10000</v>
      </c>
      <c r="H478">
        <v>290002.92755504645</v>
      </c>
      <c r="I478">
        <v>28.513152920735507</v>
      </c>
    </row>
    <row r="479" spans="1:9" x14ac:dyDescent="0.2">
      <c r="A479">
        <v>469</v>
      </c>
      <c r="B479">
        <v>895548.82749391056</v>
      </c>
      <c r="C479">
        <v>96305.619596555625</v>
      </c>
      <c r="D479">
        <v>54342.093315797698</v>
      </c>
      <c r="E479">
        <v>66141.53074292143</v>
      </c>
      <c r="F479">
        <v>40579.029051433026</v>
      </c>
      <c r="G479">
        <v>10000</v>
      </c>
      <c r="H479">
        <v>247368.27270670779</v>
      </c>
      <c r="I479">
        <v>32.486444661276551</v>
      </c>
    </row>
    <row r="480" spans="1:9" x14ac:dyDescent="0.2">
      <c r="A480">
        <v>470</v>
      </c>
      <c r="B480">
        <v>1077931.0758272065</v>
      </c>
      <c r="C480">
        <v>102941.58567736944</v>
      </c>
      <c r="D480">
        <v>115305.53325715466</v>
      </c>
      <c r="E480">
        <v>49666.918999642694</v>
      </c>
      <c r="F480">
        <v>39438.479007667571</v>
      </c>
      <c r="G480">
        <v>10000</v>
      </c>
      <c r="H480">
        <v>297352.51694183436</v>
      </c>
      <c r="I480">
        <v>32.089176235768264</v>
      </c>
    </row>
    <row r="481" spans="1:9" x14ac:dyDescent="0.2">
      <c r="A481">
        <v>471</v>
      </c>
      <c r="B481">
        <v>1292876.1000876809</v>
      </c>
      <c r="C481">
        <v>103383.28673985851</v>
      </c>
      <c r="D481">
        <v>125393.77527522003</v>
      </c>
      <c r="E481">
        <v>94913.050928411947</v>
      </c>
      <c r="F481">
        <v>42570.903525813133</v>
      </c>
      <c r="G481">
        <v>10000</v>
      </c>
      <c r="H481">
        <v>356261.01646930363</v>
      </c>
      <c r="I481">
        <v>28.387109371338219</v>
      </c>
    </row>
    <row r="482" spans="1:9" x14ac:dyDescent="0.2">
      <c r="A482">
        <v>472</v>
      </c>
      <c r="B482">
        <v>916761.74152764352</v>
      </c>
      <c r="C482">
        <v>92234.560500672815</v>
      </c>
      <c r="D482">
        <v>97489.678693963215</v>
      </c>
      <c r="E482">
        <v>35032.391093872742</v>
      </c>
      <c r="F482">
        <v>38425.319383421964</v>
      </c>
      <c r="G482">
        <v>10000</v>
      </c>
      <c r="H482">
        <v>253181.94967193075</v>
      </c>
      <c r="I482">
        <v>41.89872703721079</v>
      </c>
    </row>
    <row r="483" spans="1:9" x14ac:dyDescent="0.2">
      <c r="A483">
        <v>473</v>
      </c>
      <c r="B483">
        <v>1348047.0612360765</v>
      </c>
      <c r="C483">
        <v>146501.45438412888</v>
      </c>
      <c r="D483">
        <v>82470.500219092632</v>
      </c>
      <c r="E483">
        <v>108872.08806514092</v>
      </c>
      <c r="F483">
        <v>43537.298404509755</v>
      </c>
      <c r="G483">
        <v>10000</v>
      </c>
      <c r="H483">
        <v>371381.34107287216</v>
      </c>
      <c r="I483">
        <v>32.595503330125432</v>
      </c>
    </row>
    <row r="484" spans="1:9" x14ac:dyDescent="0.2">
      <c r="A484">
        <v>474</v>
      </c>
      <c r="B484">
        <v>1630708.2549530407</v>
      </c>
      <c r="C484">
        <v>97429.973094994042</v>
      </c>
      <c r="D484">
        <v>107853.63505115952</v>
      </c>
      <c r="E484">
        <v>203477.81039310241</v>
      </c>
      <c r="F484">
        <v>50086.925334907086</v>
      </c>
      <c r="G484">
        <v>10000</v>
      </c>
      <c r="H484">
        <v>448848.34387416305</v>
      </c>
      <c r="I484">
        <v>24.829804101914242</v>
      </c>
    </row>
    <row r="485" spans="1:9" x14ac:dyDescent="0.2">
      <c r="A485">
        <v>475</v>
      </c>
      <c r="B485">
        <v>1602350.3420815989</v>
      </c>
      <c r="C485">
        <v>168521.66072212736</v>
      </c>
      <c r="D485">
        <v>33681.315801804834</v>
      </c>
      <c r="E485">
        <v>199090.3329617166</v>
      </c>
      <c r="F485">
        <v>49783.176897349607</v>
      </c>
      <c r="G485">
        <v>10000</v>
      </c>
      <c r="H485">
        <v>441076.48638299835</v>
      </c>
      <c r="I485">
        <v>23.970162131082276</v>
      </c>
    </row>
    <row r="486" spans="1:9" x14ac:dyDescent="0.2">
      <c r="A486">
        <v>476</v>
      </c>
      <c r="B486">
        <v>1573280.2139529614</v>
      </c>
      <c r="C486">
        <v>105890.5911623704</v>
      </c>
      <c r="D486">
        <v>129816.85341255547</v>
      </c>
      <c r="E486">
        <v>160304.02166546721</v>
      </c>
      <c r="F486">
        <v>47097.970730686189</v>
      </c>
      <c r="G486">
        <v>10000</v>
      </c>
      <c r="H486">
        <v>433109.43697107933</v>
      </c>
      <c r="I486">
        <v>39.902070825817532</v>
      </c>
    </row>
    <row r="487" spans="1:9" x14ac:dyDescent="0.2">
      <c r="A487">
        <v>477</v>
      </c>
      <c r="B487">
        <v>1239524.9071774634</v>
      </c>
      <c r="C487">
        <v>125900.29255694778</v>
      </c>
      <c r="D487">
        <v>58284.639171693147</v>
      </c>
      <c r="E487">
        <v>122943.04956733019</v>
      </c>
      <c r="F487">
        <v>44511.441893122857</v>
      </c>
      <c r="G487">
        <v>10000</v>
      </c>
      <c r="H487">
        <v>341639.42318909394</v>
      </c>
      <c r="I487">
        <v>41.188261464512777</v>
      </c>
    </row>
    <row r="488" spans="1:9" x14ac:dyDescent="0.2">
      <c r="A488">
        <v>478</v>
      </c>
      <c r="B488">
        <v>1615490.1611532718</v>
      </c>
      <c r="C488">
        <v>156296.20159425182</v>
      </c>
      <c r="D488">
        <v>74326.398415306408</v>
      </c>
      <c r="E488">
        <v>175878.80121306895</v>
      </c>
      <c r="F488">
        <v>48176.224699366314</v>
      </c>
      <c r="G488">
        <v>10000</v>
      </c>
      <c r="H488">
        <v>444677.62592199346</v>
      </c>
      <c r="I488">
        <v>52.156628132541123</v>
      </c>
    </row>
    <row r="489" spans="1:9" x14ac:dyDescent="0.2">
      <c r="A489">
        <v>479</v>
      </c>
      <c r="B489">
        <v>1469327.2144974014</v>
      </c>
      <c r="C489">
        <v>125020.32916206549</v>
      </c>
      <c r="D489">
        <v>106035.25621641682</v>
      </c>
      <c r="E489">
        <v>138009.655751549</v>
      </c>
      <c r="F489">
        <v>45554.514628953388</v>
      </c>
      <c r="G489">
        <v>10000</v>
      </c>
      <c r="H489">
        <v>404619.75575898471</v>
      </c>
      <c r="I489">
        <v>28.206229538758699</v>
      </c>
    </row>
    <row r="490" spans="1:9" x14ac:dyDescent="0.2">
      <c r="A490">
        <v>480</v>
      </c>
      <c r="B490">
        <v>1512110.0572051392</v>
      </c>
      <c r="C490">
        <v>100458.15852795268</v>
      </c>
      <c r="D490">
        <v>118683.11298562978</v>
      </c>
      <c r="E490">
        <v>160118.55217917444</v>
      </c>
      <c r="F490">
        <v>47085.130535481308</v>
      </c>
      <c r="G490">
        <v>10000</v>
      </c>
      <c r="H490">
        <v>416344.9542282382</v>
      </c>
      <c r="I490">
        <v>25.986155603371678</v>
      </c>
    </row>
    <row r="491" spans="1:9" x14ac:dyDescent="0.2">
      <c r="A491">
        <v>481</v>
      </c>
      <c r="B491">
        <v>1518261.7350191856</v>
      </c>
      <c r="C491">
        <v>142448.25597927545</v>
      </c>
      <c r="D491">
        <v>38875.212652305701</v>
      </c>
      <c r="E491">
        <v>197064.5061363547</v>
      </c>
      <c r="F491">
        <v>49642.927347901481</v>
      </c>
      <c r="G491">
        <v>10000</v>
      </c>
      <c r="H491">
        <v>418030.90211583732</v>
      </c>
      <c r="I491">
        <v>33.188264150845214</v>
      </c>
    </row>
    <row r="492" spans="1:9" x14ac:dyDescent="0.2">
      <c r="A492">
        <v>482</v>
      </c>
      <c r="B492">
        <v>1666281.713416612</v>
      </c>
      <c r="C492">
        <v>134290.95832181102</v>
      </c>
      <c r="D492">
        <v>76442.442256627706</v>
      </c>
      <c r="E492">
        <v>207499.00017805074</v>
      </c>
      <c r="F492">
        <v>50365.315396941973</v>
      </c>
      <c r="G492">
        <v>10000</v>
      </c>
      <c r="H492">
        <v>458597.71615343145</v>
      </c>
      <c r="I492">
        <v>32.149740832754958</v>
      </c>
    </row>
    <row r="493" spans="1:9" x14ac:dyDescent="0.2">
      <c r="A493">
        <v>483</v>
      </c>
      <c r="B493">
        <v>1290653.3383863277</v>
      </c>
      <c r="C493">
        <v>98008.569051349172</v>
      </c>
      <c r="D493">
        <v>106502.02829686947</v>
      </c>
      <c r="E493">
        <v>117038.5718045145</v>
      </c>
      <c r="F493">
        <v>44102.670355697162</v>
      </c>
      <c r="G493">
        <v>10000</v>
      </c>
      <c r="H493">
        <v>355651.83950843033</v>
      </c>
      <c r="I493">
        <v>48.830331832229319</v>
      </c>
    </row>
    <row r="494" spans="1:9" x14ac:dyDescent="0.2">
      <c r="A494">
        <v>484</v>
      </c>
      <c r="B494">
        <v>810417.35904333112</v>
      </c>
      <c r="C494">
        <v>96595.31381503123</v>
      </c>
      <c r="D494">
        <v>45870.137776449694</v>
      </c>
      <c r="E494">
        <v>51973.277072700119</v>
      </c>
      <c r="F494">
        <v>39598.149951186926</v>
      </c>
      <c r="G494">
        <v>10000</v>
      </c>
      <c r="H494">
        <v>224036.87861536798</v>
      </c>
      <c r="I494">
        <v>34.957076254085081</v>
      </c>
    </row>
    <row r="495" spans="1:9" x14ac:dyDescent="0.2">
      <c r="A495">
        <v>485</v>
      </c>
      <c r="B495">
        <v>1727598.4307819318</v>
      </c>
      <c r="C495">
        <v>120869.54385008322</v>
      </c>
      <c r="D495">
        <v>150870.76018941985</v>
      </c>
      <c r="E495">
        <v>166158.76275394726</v>
      </c>
      <c r="F495">
        <v>47503.298959888656</v>
      </c>
      <c r="G495">
        <v>10000</v>
      </c>
      <c r="H495">
        <v>475402.36575333902</v>
      </c>
      <c r="I495">
        <v>49.887875923434486</v>
      </c>
    </row>
    <row r="496" spans="1:9" x14ac:dyDescent="0.2">
      <c r="A496">
        <v>486</v>
      </c>
      <c r="B496">
        <v>1061660.1588505213</v>
      </c>
      <c r="C496">
        <v>102838.48436369089</v>
      </c>
      <c r="D496">
        <v>83582.815419049701</v>
      </c>
      <c r="E496">
        <v>75261.544598028602</v>
      </c>
      <c r="F496">
        <v>41210.414626017366</v>
      </c>
      <c r="G496">
        <v>10000</v>
      </c>
      <c r="H496">
        <v>292893.25900678657</v>
      </c>
      <c r="I496">
        <v>30.35241878644073</v>
      </c>
    </row>
    <row r="497" spans="1:9" x14ac:dyDescent="0.2">
      <c r="A497">
        <v>487</v>
      </c>
      <c r="B497">
        <v>1694416.5884611453</v>
      </c>
      <c r="C497">
        <v>133491.02974254129</v>
      </c>
      <c r="D497">
        <v>92664.696756524616</v>
      </c>
      <c r="E497">
        <v>200286.71720838497</v>
      </c>
      <c r="F497">
        <v>49866.003499042039</v>
      </c>
      <c r="G497">
        <v>10000</v>
      </c>
      <c r="H497">
        <v>466308.44720649289</v>
      </c>
      <c r="I497">
        <v>29.401022547951641</v>
      </c>
    </row>
    <row r="498" spans="1:9" x14ac:dyDescent="0.2">
      <c r="A498">
        <v>488</v>
      </c>
      <c r="B498">
        <v>1772831.5256370245</v>
      </c>
      <c r="C498">
        <v>137130.00801560658</v>
      </c>
      <c r="D498">
        <v>154143.76222116206</v>
      </c>
      <c r="E498">
        <v>159484.11006360129</v>
      </c>
      <c r="F498">
        <v>47041.207619787783</v>
      </c>
      <c r="G498">
        <v>10000</v>
      </c>
      <c r="H498">
        <v>487799.0879201577</v>
      </c>
      <c r="I498">
        <v>25.161822439773861</v>
      </c>
    </row>
    <row r="499" spans="1:9" x14ac:dyDescent="0.2">
      <c r="A499">
        <v>489</v>
      </c>
      <c r="B499">
        <v>1490090.4131984564</v>
      </c>
      <c r="C499">
        <v>150900.94588109976</v>
      </c>
      <c r="D499">
        <v>50544.421212021218</v>
      </c>
      <c r="E499">
        <v>171024.64735911836</v>
      </c>
      <c r="F499">
        <v>47840.16789409281</v>
      </c>
      <c r="G499">
        <v>10000</v>
      </c>
      <c r="H499">
        <v>410310.18234633218</v>
      </c>
      <c r="I499">
        <v>35.905951979598058</v>
      </c>
    </row>
    <row r="500" spans="1:9" x14ac:dyDescent="0.2">
      <c r="A500">
        <v>490</v>
      </c>
      <c r="B500">
        <v>1661617.8508367781</v>
      </c>
      <c r="C500">
        <v>106161.41890977629</v>
      </c>
      <c r="D500">
        <v>102843.53780190133</v>
      </c>
      <c r="E500">
        <v>207920.09845392304</v>
      </c>
      <c r="F500">
        <v>50394.468354502365</v>
      </c>
      <c r="G500">
        <v>10000</v>
      </c>
      <c r="H500">
        <v>457319.52352010296</v>
      </c>
      <c r="I500">
        <v>34.492960818857568</v>
      </c>
    </row>
    <row r="501" spans="1:9" x14ac:dyDescent="0.2">
      <c r="A501">
        <v>491</v>
      </c>
      <c r="B501">
        <v>1144485.2939783868</v>
      </c>
      <c r="C501">
        <v>87921.589156864109</v>
      </c>
      <c r="D501">
        <v>105881.66182955325</v>
      </c>
      <c r="E501">
        <v>89587.134985074765</v>
      </c>
      <c r="F501">
        <v>42202.186268197482</v>
      </c>
      <c r="G501">
        <v>10000</v>
      </c>
      <c r="H501">
        <v>315592.57223968959</v>
      </c>
      <c r="I501">
        <v>38.825535892215242</v>
      </c>
    </row>
    <row r="502" spans="1:9" x14ac:dyDescent="0.2">
      <c r="A502">
        <v>492</v>
      </c>
      <c r="B502">
        <v>1050335.8831556623</v>
      </c>
      <c r="C502">
        <v>105582.08274147437</v>
      </c>
      <c r="D502">
        <v>124586.2564352968</v>
      </c>
      <c r="E502">
        <v>31444.431551448411</v>
      </c>
      <c r="F502">
        <v>38176.922184331044</v>
      </c>
      <c r="G502">
        <v>10000</v>
      </c>
      <c r="H502">
        <v>289789.69291255064</v>
      </c>
      <c r="I502">
        <v>37.694934827698617</v>
      </c>
    </row>
    <row r="503" spans="1:9" x14ac:dyDescent="0.2">
      <c r="A503">
        <v>493</v>
      </c>
      <c r="B503">
        <v>1056964.1022443469</v>
      </c>
      <c r="C503">
        <v>90957.372222724385</v>
      </c>
      <c r="D503">
        <v>32416.958857468548</v>
      </c>
      <c r="E503">
        <v>133022.65160303292</v>
      </c>
      <c r="F503">
        <v>45209.260495594586</v>
      </c>
      <c r="G503">
        <v>10000</v>
      </c>
      <c r="H503">
        <v>291606.24317882047</v>
      </c>
      <c r="I503">
        <v>37.797674942746539</v>
      </c>
    </row>
    <row r="504" spans="1:9" x14ac:dyDescent="0.2">
      <c r="A504">
        <v>494</v>
      </c>
      <c r="B504">
        <v>1474924.7213407964</v>
      </c>
      <c r="C504">
        <v>136584.01215541572</v>
      </c>
      <c r="D504">
        <v>79499.53342930066</v>
      </c>
      <c r="E504">
        <v>153447.0246924769</v>
      </c>
      <c r="F504">
        <v>46623.255555633019</v>
      </c>
      <c r="G504">
        <v>10000</v>
      </c>
      <c r="H504">
        <v>406153.82583282632</v>
      </c>
      <c r="I504">
        <v>29.269697592395893</v>
      </c>
    </row>
    <row r="505" spans="1:9" x14ac:dyDescent="0.2">
      <c r="A505">
        <v>495</v>
      </c>
      <c r="B505">
        <v>966111.97220139822</v>
      </c>
      <c r="C505">
        <v>118117.05358262108</v>
      </c>
      <c r="D505">
        <v>84001.81676126107</v>
      </c>
      <c r="E505">
        <v>36089.642767502031</v>
      </c>
      <c r="F505">
        <v>38498.513730057835</v>
      </c>
      <c r="G505">
        <v>10000</v>
      </c>
      <c r="H505">
        <v>266707.02684144198</v>
      </c>
      <c r="I505">
        <v>29.575174711176047</v>
      </c>
    </row>
    <row r="506" spans="1:9" x14ac:dyDescent="0.2">
      <c r="A506">
        <v>496</v>
      </c>
      <c r="B506">
        <v>1228480.463132068</v>
      </c>
      <c r="C506">
        <v>82108.845692164221</v>
      </c>
      <c r="D506">
        <v>56889.135563725671</v>
      </c>
      <c r="E506">
        <v>162373.3363874332</v>
      </c>
      <c r="F506">
        <v>47241.23098066845</v>
      </c>
      <c r="G506">
        <v>10000</v>
      </c>
      <c r="H506">
        <v>338612.54862399155</v>
      </c>
      <c r="I506">
        <v>54.198999261753002</v>
      </c>
    </row>
    <row r="507" spans="1:9" x14ac:dyDescent="0.2">
      <c r="A507">
        <v>497</v>
      </c>
      <c r="B507">
        <v>1277918.5917663141</v>
      </c>
      <c r="C507">
        <v>122106.03196686172</v>
      </c>
      <c r="D507">
        <v>51352.693249942815</v>
      </c>
      <c r="E507">
        <v>142815.74619670803</v>
      </c>
      <c r="F507">
        <v>45887.243967464397</v>
      </c>
      <c r="G507">
        <v>10000</v>
      </c>
      <c r="H507">
        <v>352161.71538097702</v>
      </c>
      <c r="I507">
        <v>30.950910631197573</v>
      </c>
    </row>
    <row r="508" spans="1:9" x14ac:dyDescent="0.2">
      <c r="A508">
        <v>498</v>
      </c>
      <c r="B508">
        <v>1678549.1509118963</v>
      </c>
      <c r="C508">
        <v>137158.83238081131</v>
      </c>
      <c r="D508">
        <v>85650.754858225206</v>
      </c>
      <c r="E508">
        <v>199349.09000808134</v>
      </c>
      <c r="F508">
        <v>49801.090846713327</v>
      </c>
      <c r="G508">
        <v>10000</v>
      </c>
      <c r="H508">
        <v>461959.7680938312</v>
      </c>
      <c r="I508">
        <v>34.425386515281481</v>
      </c>
    </row>
    <row r="509" spans="1:9" x14ac:dyDescent="0.2">
      <c r="A509">
        <v>499</v>
      </c>
      <c r="B509">
        <v>1505538.5614198274</v>
      </c>
      <c r="C509">
        <v>139320.83348315847</v>
      </c>
      <c r="D509">
        <v>75039.056130535799</v>
      </c>
      <c r="E509">
        <v>162905.95550099169</v>
      </c>
      <c r="F509">
        <v>47278.104611607123</v>
      </c>
      <c r="G509">
        <v>10000</v>
      </c>
      <c r="H509">
        <v>414543.9497262931</v>
      </c>
      <c r="I509">
        <v>42.061514068123685</v>
      </c>
    </row>
    <row r="510" spans="1:9" x14ac:dyDescent="0.2">
      <c r="A510">
        <v>500</v>
      </c>
      <c r="B510">
        <v>1232022.7259554905</v>
      </c>
      <c r="C510">
        <v>126948.01821006584</v>
      </c>
      <c r="D510">
        <v>80126.026730160651</v>
      </c>
      <c r="E510">
        <v>99613.0211332256</v>
      </c>
      <c r="F510">
        <v>42896.286078454075</v>
      </c>
      <c r="G510">
        <v>10000</v>
      </c>
      <c r="H510">
        <v>339583.35215190612</v>
      </c>
      <c r="I510">
        <v>30.300956503959583</v>
      </c>
    </row>
    <row r="511" spans="1:9" x14ac:dyDescent="0.2">
      <c r="A511">
        <v>501</v>
      </c>
      <c r="B511">
        <v>1472824.7008804027</v>
      </c>
      <c r="C511">
        <v>113569.34635394692</v>
      </c>
      <c r="D511">
        <v>86821.715613073189</v>
      </c>
      <c r="E511">
        <v>167585.17516172258</v>
      </c>
      <c r="F511">
        <v>47602.050588119258</v>
      </c>
      <c r="G511">
        <v>10000</v>
      </c>
      <c r="H511">
        <v>405578.28771686193</v>
      </c>
      <c r="I511">
        <v>25.526033429788818</v>
      </c>
    </row>
    <row r="512" spans="1:9" x14ac:dyDescent="0.2">
      <c r="A512">
        <v>502</v>
      </c>
      <c r="B512">
        <v>1190425.9018856289</v>
      </c>
      <c r="C512">
        <v>127223.73366499291</v>
      </c>
      <c r="D512">
        <v>57995.773887577183</v>
      </c>
      <c r="E512">
        <v>109390.50150787419</v>
      </c>
      <c r="F512">
        <v>43573.188565929755</v>
      </c>
      <c r="G512">
        <v>10000</v>
      </c>
      <c r="H512">
        <v>328183.19762637402</v>
      </c>
      <c r="I512">
        <v>26.956538257536351</v>
      </c>
    </row>
    <row r="513" spans="1:9" x14ac:dyDescent="0.2">
      <c r="A513">
        <v>503</v>
      </c>
      <c r="B513">
        <v>1355556.7779801891</v>
      </c>
      <c r="C513">
        <v>118488.66675830155</v>
      </c>
      <c r="D513">
        <v>60610.313129044938</v>
      </c>
      <c r="E513">
        <v>157440.75299327023</v>
      </c>
      <c r="F513">
        <v>46899.744437995636</v>
      </c>
      <c r="G513">
        <v>10000</v>
      </c>
      <c r="H513">
        <v>373439.47731861239</v>
      </c>
      <c r="I513">
        <v>33.661497810158991</v>
      </c>
    </row>
    <row r="514" spans="1:9" x14ac:dyDescent="0.2">
      <c r="A514">
        <v>504</v>
      </c>
      <c r="B514">
        <v>1007583.4522485427</v>
      </c>
      <c r="C514">
        <v>83238.384789463642</v>
      </c>
      <c r="D514">
        <v>79278.288289239761</v>
      </c>
      <c r="E514">
        <v>83757.556080578666</v>
      </c>
      <c r="F514">
        <v>41798.600036347751</v>
      </c>
      <c r="G514">
        <v>10000</v>
      </c>
      <c r="H514">
        <v>278072.82919562981</v>
      </c>
      <c r="I514">
        <v>25.466423535232604</v>
      </c>
    </row>
    <row r="515" spans="1:9" x14ac:dyDescent="0.2">
      <c r="A515">
        <v>505</v>
      </c>
      <c r="B515">
        <v>1643910.242068168</v>
      </c>
      <c r="C515">
        <v>124897.74203061647</v>
      </c>
      <c r="D515">
        <v>82497.985765022851</v>
      </c>
      <c r="E515">
        <v>204886.35371182798</v>
      </c>
      <c r="F515">
        <v>50184.439872357318</v>
      </c>
      <c r="G515">
        <v>10000</v>
      </c>
      <c r="H515">
        <v>452466.52137982461</v>
      </c>
      <c r="I515">
        <v>32.25896788999308</v>
      </c>
    </row>
    <row r="516" spans="1:9" x14ac:dyDescent="0.2">
      <c r="A516">
        <v>506</v>
      </c>
      <c r="B516">
        <v>1147243.7681647351</v>
      </c>
      <c r="C516">
        <v>117446.97356358993</v>
      </c>
      <c r="D516">
        <v>100355.635072135</v>
      </c>
      <c r="E516">
        <v>67848.739183777507</v>
      </c>
      <c r="F516">
        <v>40697.220405030748</v>
      </c>
      <c r="G516">
        <v>10000</v>
      </c>
      <c r="H516">
        <v>316348.56822453323</v>
      </c>
      <c r="I516">
        <v>43.394516337042504</v>
      </c>
    </row>
    <row r="517" spans="1:9" x14ac:dyDescent="0.2">
      <c r="A517">
        <v>507</v>
      </c>
      <c r="B517">
        <v>1363014.4730070846</v>
      </c>
      <c r="C517">
        <v>92392.343502287666</v>
      </c>
      <c r="D517">
        <v>142264.70178506535</v>
      </c>
      <c r="E517">
        <v>107391.51392599475</v>
      </c>
      <c r="F517">
        <v>43434.79711795348</v>
      </c>
      <c r="G517">
        <v>10000</v>
      </c>
      <c r="H517">
        <v>375483.35633130121</v>
      </c>
      <c r="I517">
        <v>36.90399122747278</v>
      </c>
    </row>
    <row r="518" spans="1:9" x14ac:dyDescent="0.2">
      <c r="A518">
        <v>508</v>
      </c>
      <c r="B518">
        <v>1544839.757954089</v>
      </c>
      <c r="C518">
        <v>72108.93745912482</v>
      </c>
      <c r="D518">
        <v>150315.18488939348</v>
      </c>
      <c r="E518">
        <v>165437.47168193324</v>
      </c>
      <c r="F518">
        <v>47453.363424133837</v>
      </c>
      <c r="G518">
        <v>10000</v>
      </c>
      <c r="H518">
        <v>425314.95745458535</v>
      </c>
      <c r="I518">
        <v>29.8564061358747</v>
      </c>
    </row>
    <row r="519" spans="1:9" x14ac:dyDescent="0.2">
      <c r="A519">
        <v>509</v>
      </c>
      <c r="B519">
        <v>1232298.6476058464</v>
      </c>
      <c r="C519">
        <v>82444.895583676</v>
      </c>
      <c r="D519">
        <v>49510.814290268201</v>
      </c>
      <c r="E519">
        <v>169938.30279626502</v>
      </c>
      <c r="F519">
        <v>47764.959424356814</v>
      </c>
      <c r="G519">
        <v>10000</v>
      </c>
      <c r="H519">
        <v>339658.97209456604</v>
      </c>
      <c r="I519">
        <v>36.007070992814015</v>
      </c>
    </row>
    <row r="520" spans="1:9" x14ac:dyDescent="0.2">
      <c r="A520">
        <v>510</v>
      </c>
      <c r="B520">
        <v>1344589.0820421639</v>
      </c>
      <c r="C520">
        <v>113657.6297535825</v>
      </c>
      <c r="D520">
        <v>81260.827007786254</v>
      </c>
      <c r="E520">
        <v>139834.34083540013</v>
      </c>
      <c r="F520">
        <v>45680.838980912311</v>
      </c>
      <c r="G520">
        <v>10000</v>
      </c>
      <c r="H520">
        <v>370433.63657768117</v>
      </c>
      <c r="I520">
        <v>40.293990701954925</v>
      </c>
    </row>
    <row r="521" spans="1:9" x14ac:dyDescent="0.2">
      <c r="A521">
        <v>511</v>
      </c>
      <c r="B521">
        <v>1168701.2479814808</v>
      </c>
      <c r="C521">
        <v>129061.54945330332</v>
      </c>
      <c r="D521">
        <v>66498.683218236984</v>
      </c>
      <c r="E521">
        <v>94150.899760501925</v>
      </c>
      <c r="F521">
        <v>42518.139214188595</v>
      </c>
      <c r="G521">
        <v>10000</v>
      </c>
      <c r="H521">
        <v>322229.27164623083</v>
      </c>
      <c r="I521">
        <v>39.808982057366862</v>
      </c>
    </row>
    <row r="522" spans="1:9" x14ac:dyDescent="0.2">
      <c r="A522">
        <v>512</v>
      </c>
      <c r="B522">
        <v>970912.00658225152</v>
      </c>
      <c r="C522">
        <v>141949.02075577792</v>
      </c>
      <c r="D522">
        <v>56313.821772846328</v>
      </c>
      <c r="E522">
        <v>40926.334960835607</v>
      </c>
      <c r="F522">
        <v>38833.361651134772</v>
      </c>
      <c r="G522">
        <v>10000</v>
      </c>
      <c r="H522">
        <v>268022.53914059466</v>
      </c>
      <c r="I522">
        <v>36.5505603467955</v>
      </c>
    </row>
    <row r="523" spans="1:9" x14ac:dyDescent="0.2">
      <c r="A523">
        <v>513</v>
      </c>
      <c r="B523">
        <v>1866632.2326660824</v>
      </c>
      <c r="C523">
        <v>154459.19019934413</v>
      </c>
      <c r="D523">
        <v>115089.23380527621</v>
      </c>
      <c r="E523">
        <v>203845.58943908004</v>
      </c>
      <c r="F523">
        <v>50112.386961167074</v>
      </c>
      <c r="G523">
        <v>10000</v>
      </c>
      <c r="H523">
        <v>513506.40040486748</v>
      </c>
      <c r="I523">
        <v>32.393003527043454</v>
      </c>
    </row>
    <row r="524" spans="1:9" x14ac:dyDescent="0.2">
      <c r="A524">
        <v>514</v>
      </c>
      <c r="B524">
        <v>1225088.8720506222</v>
      </c>
      <c r="C524">
        <v>111576.05563142887</v>
      </c>
      <c r="D524">
        <v>82860.125154028894</v>
      </c>
      <c r="E524">
        <v>109655.33470342631</v>
      </c>
      <c r="F524">
        <v>43591.523171775669</v>
      </c>
      <c r="G524">
        <v>10000</v>
      </c>
      <c r="H524">
        <v>337683.03866065975</v>
      </c>
      <c r="I524">
        <v>45.115361816572204</v>
      </c>
    </row>
    <row r="525" spans="1:9" x14ac:dyDescent="0.2">
      <c r="A525">
        <v>515</v>
      </c>
      <c r="B525">
        <v>1409312.7394373622</v>
      </c>
      <c r="C525">
        <v>96802.868775503986</v>
      </c>
      <c r="D525">
        <v>71183.057065027897</v>
      </c>
      <c r="E525">
        <v>181612.87765827141</v>
      </c>
      <c r="F525">
        <v>48573.199222495714</v>
      </c>
      <c r="G525">
        <v>10000</v>
      </c>
      <c r="H525">
        <v>388172.00272129901</v>
      </c>
      <c r="I525">
        <v>33.480263691429187</v>
      </c>
    </row>
    <row r="526" spans="1:9" x14ac:dyDescent="0.2">
      <c r="A526">
        <v>516</v>
      </c>
      <c r="B526">
        <v>1419412.0897424314</v>
      </c>
      <c r="C526">
        <v>157952.81380719531</v>
      </c>
      <c r="D526">
        <v>114908.0740888133</v>
      </c>
      <c r="E526">
        <v>86117.026109373823</v>
      </c>
      <c r="F526">
        <v>41961.947961418191</v>
      </c>
      <c r="G526">
        <v>10000</v>
      </c>
      <c r="H526">
        <v>390939.86196680064</v>
      </c>
      <c r="I526">
        <v>38.473358297482477</v>
      </c>
    </row>
    <row r="527" spans="1:9" x14ac:dyDescent="0.2">
      <c r="A527">
        <v>517</v>
      </c>
      <c r="B527">
        <v>1206356.3020372246</v>
      </c>
      <c r="C527">
        <v>90141.057635428471</v>
      </c>
      <c r="D527">
        <v>101666.76312099952</v>
      </c>
      <c r="E527">
        <v>107312.01814468396</v>
      </c>
      <c r="F527">
        <v>43429.293563862731</v>
      </c>
      <c r="G527">
        <v>10000</v>
      </c>
      <c r="H527">
        <v>332549.13246497471</v>
      </c>
      <c r="I527">
        <v>55.04520740236724</v>
      </c>
    </row>
    <row r="528" spans="1:9" x14ac:dyDescent="0.2">
      <c r="A528">
        <v>518</v>
      </c>
      <c r="B528">
        <v>1520518.8693255798</v>
      </c>
      <c r="C528">
        <v>139214.04331663731</v>
      </c>
      <c r="D528">
        <v>72325.752103369814</v>
      </c>
      <c r="E528">
        <v>169383.1763274702</v>
      </c>
      <c r="F528">
        <v>47726.52759190178</v>
      </c>
      <c r="G528">
        <v>10000</v>
      </c>
      <c r="H528">
        <v>418649.49933937908</v>
      </c>
      <c r="I528">
        <v>36.80883756899425</v>
      </c>
    </row>
    <row r="529" spans="1:9" x14ac:dyDescent="0.2">
      <c r="A529">
        <v>519</v>
      </c>
      <c r="B529">
        <v>971250.42216117203</v>
      </c>
      <c r="C529">
        <v>100674.45897738391</v>
      </c>
      <c r="D529">
        <v>34033.102469589205</v>
      </c>
      <c r="E529">
        <v>100453.26790707956</v>
      </c>
      <c r="F529">
        <v>42954.457008951656</v>
      </c>
      <c r="G529">
        <v>10000</v>
      </c>
      <c r="H529">
        <v>268115.2863630043</v>
      </c>
      <c r="I529">
        <v>38.424093912641915</v>
      </c>
    </row>
    <row r="530" spans="1:9" x14ac:dyDescent="0.2">
      <c r="A530">
        <v>520</v>
      </c>
      <c r="B530">
        <v>1135552.3152612909</v>
      </c>
      <c r="C530">
        <v>101069.02526780544</v>
      </c>
      <c r="D530">
        <v>115910.24322723264</v>
      </c>
      <c r="E530">
        <v>65622.039629444334</v>
      </c>
      <c r="F530">
        <v>40543.064282038453</v>
      </c>
      <c r="G530">
        <v>10000</v>
      </c>
      <c r="H530">
        <v>313144.37240652088</v>
      </c>
      <c r="I530">
        <v>34.097861165699442</v>
      </c>
    </row>
    <row r="531" spans="1:9" x14ac:dyDescent="0.2">
      <c r="A531">
        <v>521</v>
      </c>
      <c r="B531">
        <v>834560.49771097722</v>
      </c>
      <c r="C531">
        <v>115483.52113046197</v>
      </c>
      <c r="D531">
        <v>60697.765625370004</v>
      </c>
      <c r="E531">
        <v>26628.802770099552</v>
      </c>
      <c r="F531">
        <v>37843.532499468427</v>
      </c>
      <c r="G531">
        <v>10000</v>
      </c>
      <c r="H531">
        <v>230653.62202539993</v>
      </c>
      <c r="I531">
        <v>33.415524232689265</v>
      </c>
    </row>
    <row r="532" spans="1:9" x14ac:dyDescent="0.2">
      <c r="A532">
        <v>522</v>
      </c>
      <c r="B532">
        <v>974891.47599630454</v>
      </c>
      <c r="C532">
        <v>119227.13230372089</v>
      </c>
      <c r="D532">
        <v>48067.236554084411</v>
      </c>
      <c r="E532">
        <v>70909.665327449868</v>
      </c>
      <c r="F532">
        <v>40909.130676515764</v>
      </c>
      <c r="G532">
        <v>10000</v>
      </c>
      <c r="H532">
        <v>269113.16486177093</v>
      </c>
      <c r="I532">
        <v>32.86677234397888</v>
      </c>
    </row>
    <row r="533" spans="1:9" x14ac:dyDescent="0.2">
      <c r="A533">
        <v>523</v>
      </c>
      <c r="B533">
        <v>1591683.7917906698</v>
      </c>
      <c r="C533">
        <v>150072.66717929681</v>
      </c>
      <c r="D533">
        <v>57856.363117387431</v>
      </c>
      <c r="E533">
        <v>191001.00196488912</v>
      </c>
      <c r="F533">
        <v>49223.146289876939</v>
      </c>
      <c r="G533">
        <v>10000</v>
      </c>
      <c r="H533">
        <v>438153.17855145031</v>
      </c>
      <c r="I533">
        <v>35.072654941144847</v>
      </c>
    </row>
    <row r="534" spans="1:9" x14ac:dyDescent="0.2">
      <c r="A534">
        <v>524</v>
      </c>
      <c r="B534">
        <v>1005538.7067437733</v>
      </c>
      <c r="C534">
        <v>98562.189583440966</v>
      </c>
      <c r="D534">
        <v>91658.426975839408</v>
      </c>
      <c r="E534">
        <v>57323.288021473527</v>
      </c>
      <c r="F534">
        <v>39968.535324563549</v>
      </c>
      <c r="G534">
        <v>10000</v>
      </c>
      <c r="H534">
        <v>277512.43990531744</v>
      </c>
      <c r="I534">
        <v>29.817087271091541</v>
      </c>
    </row>
    <row r="535" spans="1:9" x14ac:dyDescent="0.2">
      <c r="A535">
        <v>525</v>
      </c>
      <c r="B535">
        <v>1132278.6261482262</v>
      </c>
      <c r="C535">
        <v>85727.64919767619</v>
      </c>
      <c r="D535">
        <v>126263.34839400386</v>
      </c>
      <c r="E535">
        <v>69448.223496035891</v>
      </c>
      <c r="F535">
        <v>40807.953934340949</v>
      </c>
      <c r="G535">
        <v>10000</v>
      </c>
      <c r="H535">
        <v>312247.17502205691</v>
      </c>
      <c r="I535">
        <v>48.334060031126526</v>
      </c>
    </row>
    <row r="536" spans="1:9" x14ac:dyDescent="0.2">
      <c r="A536">
        <v>526</v>
      </c>
      <c r="B536">
        <v>1262933.3243045027</v>
      </c>
      <c r="C536">
        <v>115329.29271934069</v>
      </c>
      <c r="D536">
        <v>85797.060885021288</v>
      </c>
      <c r="E536">
        <v>113098.55310208029</v>
      </c>
      <c r="F536">
        <v>43829.899830144015</v>
      </c>
      <c r="G536">
        <v>10000</v>
      </c>
      <c r="H536">
        <v>348054.80653658631</v>
      </c>
      <c r="I536">
        <v>39.237826158039866</v>
      </c>
    </row>
    <row r="537" spans="1:9" x14ac:dyDescent="0.2">
      <c r="A537">
        <v>527</v>
      </c>
      <c r="B537">
        <v>912827.70113998663</v>
      </c>
      <c r="C537">
        <v>108061.8873638668</v>
      </c>
      <c r="D537">
        <v>33747.802121850662</v>
      </c>
      <c r="E537">
        <v>78836.194496584212</v>
      </c>
      <c r="F537">
        <v>41457.890388225067</v>
      </c>
      <c r="G537">
        <v>10000</v>
      </c>
      <c r="H537">
        <v>252103.77437052672</v>
      </c>
      <c r="I537">
        <v>39.332341275768698</v>
      </c>
    </row>
    <row r="538" spans="1:9" x14ac:dyDescent="0.2">
      <c r="A538">
        <v>528</v>
      </c>
      <c r="B538">
        <v>1375330.3843986776</v>
      </c>
      <c r="C538">
        <v>151739.33945985997</v>
      </c>
      <c r="D538">
        <v>117600.16218268666</v>
      </c>
      <c r="E538">
        <v>78111.474097867191</v>
      </c>
      <c r="F538">
        <v>41407.717437544648</v>
      </c>
      <c r="G538">
        <v>10000</v>
      </c>
      <c r="H538">
        <v>378858.69317795848</v>
      </c>
      <c r="I538">
        <v>35.823511745556956</v>
      </c>
    </row>
    <row r="539" spans="1:9" x14ac:dyDescent="0.2">
      <c r="A539">
        <v>529</v>
      </c>
      <c r="B539">
        <v>914050.70374227886</v>
      </c>
      <c r="C539">
        <v>107591.40214842414</v>
      </c>
      <c r="D539">
        <v>77829.75719734047</v>
      </c>
      <c r="E539">
        <v>38361.966461089432</v>
      </c>
      <c r="F539">
        <v>38655.828447306194</v>
      </c>
      <c r="G539">
        <v>10000</v>
      </c>
      <c r="H539">
        <v>252438.95425416023</v>
      </c>
      <c r="I539">
        <v>47.089727786417399</v>
      </c>
    </row>
    <row r="540" spans="1:9" x14ac:dyDescent="0.2">
      <c r="A540">
        <v>530</v>
      </c>
      <c r="B540">
        <v>1518078.432670265</v>
      </c>
      <c r="C540">
        <v>139668.23722162971</v>
      </c>
      <c r="D540">
        <v>62304.405221921465</v>
      </c>
      <c r="E540">
        <v>177705.34549723897</v>
      </c>
      <c r="F540">
        <v>48302.677765193468</v>
      </c>
      <c r="G540">
        <v>10000</v>
      </c>
      <c r="H540">
        <v>417980.66570598359</v>
      </c>
      <c r="I540">
        <v>27.270502934813116</v>
      </c>
    </row>
    <row r="541" spans="1:9" x14ac:dyDescent="0.2">
      <c r="A541">
        <v>531</v>
      </c>
      <c r="B541">
        <v>1049640.2686743627</v>
      </c>
      <c r="C541">
        <v>89853.077597870157</v>
      </c>
      <c r="D541">
        <v>75766.225810013857</v>
      </c>
      <c r="E541">
        <v>91635.734832522838</v>
      </c>
      <c r="F541">
        <v>42344.012411482348</v>
      </c>
      <c r="G541">
        <v>10000</v>
      </c>
      <c r="H541">
        <v>289599.05065188924</v>
      </c>
      <c r="I541">
        <v>41.616382928956114</v>
      </c>
    </row>
    <row r="542" spans="1:9" x14ac:dyDescent="0.2">
      <c r="A542">
        <v>532</v>
      </c>
      <c r="B542">
        <v>1157382.7918381917</v>
      </c>
      <c r="C542">
        <v>112570.09569534859</v>
      </c>
      <c r="D542">
        <v>127003.76600139185</v>
      </c>
      <c r="E542">
        <v>50085.949937750025</v>
      </c>
      <c r="F542">
        <v>39467.488841844228</v>
      </c>
      <c r="G542">
        <v>10000</v>
      </c>
      <c r="H542">
        <v>319127.30047633464</v>
      </c>
      <c r="I542">
        <v>47.901716475010723</v>
      </c>
    </row>
    <row r="543" spans="1:9" x14ac:dyDescent="0.2">
      <c r="A543">
        <v>533</v>
      </c>
      <c r="B543">
        <v>1554277.7071120697</v>
      </c>
      <c r="C543">
        <v>100825.27427079358</v>
      </c>
      <c r="D543">
        <v>81794.363579019293</v>
      </c>
      <c r="E543">
        <v>205083.80371412309</v>
      </c>
      <c r="F543">
        <v>50198.109487900823</v>
      </c>
      <c r="G543">
        <v>10000</v>
      </c>
      <c r="H543">
        <v>427901.55105183675</v>
      </c>
      <c r="I543">
        <v>41.236772670453433</v>
      </c>
    </row>
    <row r="544" spans="1:9" x14ac:dyDescent="0.2">
      <c r="A544">
        <v>534</v>
      </c>
      <c r="B544">
        <v>1080077.2377030291</v>
      </c>
      <c r="C544">
        <v>139514.77760216742</v>
      </c>
      <c r="D544">
        <v>90524.010722438659</v>
      </c>
      <c r="E544">
        <v>39188.838928247707</v>
      </c>
      <c r="F544">
        <v>38713.073464263303</v>
      </c>
      <c r="G544">
        <v>10000</v>
      </c>
      <c r="H544">
        <v>297940.70071711706</v>
      </c>
      <c r="I544">
        <v>32.468399586790575</v>
      </c>
    </row>
    <row r="545" spans="1:9" x14ac:dyDescent="0.2">
      <c r="A545">
        <v>535</v>
      </c>
      <c r="B545">
        <v>1048427.6903940402</v>
      </c>
      <c r="C545">
        <v>149480.40724179574</v>
      </c>
      <c r="D545">
        <v>83546.501108668454</v>
      </c>
      <c r="E545">
        <v>28281.845425692263</v>
      </c>
      <c r="F545">
        <v>37957.973914086382</v>
      </c>
      <c r="G545">
        <v>10000</v>
      </c>
      <c r="H545">
        <v>289266.72769024281</v>
      </c>
      <c r="I545">
        <v>31.854276515461123</v>
      </c>
    </row>
    <row r="546" spans="1:9" x14ac:dyDescent="0.2">
      <c r="A546">
        <v>536</v>
      </c>
      <c r="B546">
        <v>1515682.8630111644</v>
      </c>
      <c r="C546">
        <v>112318.07833538466</v>
      </c>
      <c r="D546">
        <v>77040.132064858801</v>
      </c>
      <c r="E546">
        <v>188888.98811402742</v>
      </c>
      <c r="F546">
        <v>49076.92994635574</v>
      </c>
      <c r="G546">
        <v>10000</v>
      </c>
      <c r="H546">
        <v>417324.12846062664</v>
      </c>
      <c r="I546">
        <v>49.7147240541291</v>
      </c>
    </row>
    <row r="547" spans="1:9" x14ac:dyDescent="0.2">
      <c r="A547">
        <v>537</v>
      </c>
      <c r="B547">
        <v>1120853.0284537654</v>
      </c>
      <c r="C547">
        <v>94235.010512414665</v>
      </c>
      <c r="D547">
        <v>86836.915965919499</v>
      </c>
      <c r="E547">
        <v>95436.75394008882</v>
      </c>
      <c r="F547">
        <v>42607.15988816</v>
      </c>
      <c r="G547">
        <v>10000</v>
      </c>
      <c r="H547">
        <v>309115.84030658304</v>
      </c>
      <c r="I547">
        <v>35.354117466026807</v>
      </c>
    </row>
    <row r="548" spans="1:9" x14ac:dyDescent="0.2">
      <c r="A548">
        <v>538</v>
      </c>
      <c r="B548">
        <v>1418486.4213055335</v>
      </c>
      <c r="C548">
        <v>107699.52977353684</v>
      </c>
      <c r="D548">
        <v>115506.85805083573</v>
      </c>
      <c r="E548">
        <v>132319.22111956586</v>
      </c>
      <c r="F548">
        <v>45160.561462123798</v>
      </c>
      <c r="G548">
        <v>10000</v>
      </c>
      <c r="H548">
        <v>390686.17040606221</v>
      </c>
      <c r="I548">
        <v>34.60116332641789</v>
      </c>
    </row>
    <row r="549" spans="1:9" x14ac:dyDescent="0.2">
      <c r="A549">
        <v>539</v>
      </c>
      <c r="B549">
        <v>1280861.9628139674</v>
      </c>
      <c r="C549">
        <v>75271.171927344709</v>
      </c>
      <c r="D549">
        <v>54446.077052366891</v>
      </c>
      <c r="E549">
        <v>184479.47951860388</v>
      </c>
      <c r="F549">
        <v>48771.65627436489</v>
      </c>
      <c r="G549">
        <v>10000</v>
      </c>
      <c r="H549">
        <v>352968.38477268041</v>
      </c>
      <c r="I549">
        <v>26.160933040134456</v>
      </c>
    </row>
    <row r="550" spans="1:9" x14ac:dyDescent="0.2">
      <c r="A550">
        <v>540</v>
      </c>
      <c r="B550">
        <v>960167.08853117819</v>
      </c>
      <c r="C550">
        <v>101034.09430202346</v>
      </c>
      <c r="D550">
        <v>104074.25782734872</v>
      </c>
      <c r="E550">
        <v>31769.943819408349</v>
      </c>
      <c r="F550">
        <v>38199.457649035969</v>
      </c>
      <c r="G550">
        <v>10000</v>
      </c>
      <c r="H550">
        <v>265077.75359781651</v>
      </c>
      <c r="I550">
        <v>25.71665847986776</v>
      </c>
    </row>
    <row r="551" spans="1:9" x14ac:dyDescent="0.2">
      <c r="A551">
        <v>541</v>
      </c>
      <c r="B551">
        <v>1517986.2458572455</v>
      </c>
      <c r="C551">
        <v>128803.64327095989</v>
      </c>
      <c r="D551">
        <v>76146.721951254498</v>
      </c>
      <c r="E551">
        <v>174896.7957727355</v>
      </c>
      <c r="F551">
        <v>48108.239707343222</v>
      </c>
      <c r="G551">
        <v>10000</v>
      </c>
      <c r="H551">
        <v>417955.40070229309</v>
      </c>
      <c r="I551">
        <v>49.191808256566318</v>
      </c>
    </row>
    <row r="552" spans="1:9" x14ac:dyDescent="0.2">
      <c r="A552">
        <v>542</v>
      </c>
      <c r="B552">
        <v>1753762.2743078398</v>
      </c>
      <c r="C552">
        <v>141687.91493837765</v>
      </c>
      <c r="D552">
        <v>129488.62580106131</v>
      </c>
      <c r="E552">
        <v>173392.28761021543</v>
      </c>
      <c r="F552">
        <v>48004.081449937992</v>
      </c>
      <c r="G552">
        <v>10000</v>
      </c>
      <c r="H552">
        <v>482572.90979959239</v>
      </c>
      <c r="I552">
        <v>42.288057790812744</v>
      </c>
    </row>
    <row r="553" spans="1:9" x14ac:dyDescent="0.2">
      <c r="A553">
        <v>543</v>
      </c>
      <c r="B553">
        <v>1302325.4051374667</v>
      </c>
      <c r="C553">
        <v>112263.92994667591</v>
      </c>
      <c r="D553">
        <v>60332.819919556474</v>
      </c>
      <c r="E553">
        <v>149877.81594287325</v>
      </c>
      <c r="F553">
        <v>46376.156488352761</v>
      </c>
      <c r="G553">
        <v>10000</v>
      </c>
      <c r="H553">
        <v>358850.72229745839</v>
      </c>
      <c r="I553">
        <v>29.427871967218771</v>
      </c>
    </row>
    <row r="554" spans="1:9" x14ac:dyDescent="0.2">
      <c r="A554">
        <v>544</v>
      </c>
      <c r="B554">
        <v>855608.48710728053</v>
      </c>
      <c r="C554">
        <v>120189.49942762432</v>
      </c>
      <c r="D554">
        <v>27884.636356848605</v>
      </c>
      <c r="E554">
        <v>58311.044952176278</v>
      </c>
      <c r="F554">
        <v>40036.918496689126</v>
      </c>
      <c r="G554">
        <v>10000</v>
      </c>
      <c r="H554">
        <v>236422.09923333832</v>
      </c>
      <c r="I554">
        <v>39.762671136391369</v>
      </c>
    </row>
    <row r="555" spans="1:9" x14ac:dyDescent="0.2">
      <c r="A555">
        <v>545</v>
      </c>
      <c r="B555">
        <v>972716.30118247366</v>
      </c>
      <c r="C555">
        <v>83124.197981597346</v>
      </c>
      <c r="D555">
        <v>100453.04684573953</v>
      </c>
      <c r="E555">
        <v>55123.539819045509</v>
      </c>
      <c r="F555">
        <v>39816.245064395458</v>
      </c>
      <c r="G555">
        <v>10000</v>
      </c>
      <c r="H555">
        <v>268517.02971077786</v>
      </c>
      <c r="I555">
        <v>47.798057140840903</v>
      </c>
    </row>
    <row r="556" spans="1:9" x14ac:dyDescent="0.2">
      <c r="A556">
        <v>546</v>
      </c>
      <c r="B556">
        <v>1079741.3655663757</v>
      </c>
      <c r="C556">
        <v>117293.64365525437</v>
      </c>
      <c r="D556">
        <v>126549.81320492379</v>
      </c>
      <c r="E556">
        <v>26191.907775294894</v>
      </c>
      <c r="F556">
        <v>37813.28592290503</v>
      </c>
      <c r="G556">
        <v>10000</v>
      </c>
      <c r="H556">
        <v>297848.65055837808</v>
      </c>
      <c r="I556">
        <v>27.946033492203775</v>
      </c>
    </row>
    <row r="557" spans="1:9" x14ac:dyDescent="0.2">
      <c r="A557">
        <v>547</v>
      </c>
      <c r="B557">
        <v>1518812.2337463144</v>
      </c>
      <c r="C557">
        <v>131277.84678317735</v>
      </c>
      <c r="D557">
        <v>146696.069463522</v>
      </c>
      <c r="E557">
        <v>106813.1039089142</v>
      </c>
      <c r="F557">
        <v>43394.753347540209</v>
      </c>
      <c r="G557">
        <v>10000</v>
      </c>
      <c r="H557">
        <v>418181.77350315376</v>
      </c>
      <c r="I557">
        <v>24.2555198025563</v>
      </c>
    </row>
    <row r="558" spans="1:9" x14ac:dyDescent="0.2">
      <c r="A558">
        <v>548</v>
      </c>
      <c r="B558">
        <v>1508146.4894773236</v>
      </c>
      <c r="C558">
        <v>108675.24537479965</v>
      </c>
      <c r="D558">
        <v>113647.47722313106</v>
      </c>
      <c r="E558">
        <v>156127.16055173325</v>
      </c>
      <c r="F558">
        <v>46808.8034228123</v>
      </c>
      <c r="G558">
        <v>10000</v>
      </c>
      <c r="H558">
        <v>415258.68657247623</v>
      </c>
      <c r="I558">
        <v>46.967646982751504</v>
      </c>
    </row>
    <row r="559" spans="1:9" x14ac:dyDescent="0.2">
      <c r="A559">
        <v>549</v>
      </c>
      <c r="B559">
        <v>1560877.2209914082</v>
      </c>
      <c r="C559">
        <v>117074.7279876323</v>
      </c>
      <c r="D559">
        <v>113266.06992430275</v>
      </c>
      <c r="E559">
        <v>162144.07717826744</v>
      </c>
      <c r="F559">
        <v>47225.359189264673</v>
      </c>
      <c r="G559">
        <v>10000</v>
      </c>
      <c r="H559">
        <v>429710.23427946714</v>
      </c>
      <c r="I559">
        <v>37.547901526390419</v>
      </c>
    </row>
    <row r="560" spans="1:9" x14ac:dyDescent="0.2">
      <c r="A560">
        <v>550</v>
      </c>
      <c r="B560">
        <v>1144860.9537091784</v>
      </c>
      <c r="C560">
        <v>162224.45473203415</v>
      </c>
      <c r="D560">
        <v>78763.470540260518</v>
      </c>
      <c r="E560">
        <v>45553.871848018847</v>
      </c>
      <c r="F560">
        <v>39153.729589478222</v>
      </c>
      <c r="G560">
        <v>10000</v>
      </c>
      <c r="H560">
        <v>315695.52670979174</v>
      </c>
      <c r="I560">
        <v>37.205920807213701</v>
      </c>
    </row>
    <row r="561" spans="1:9" x14ac:dyDescent="0.2">
      <c r="A561">
        <v>551</v>
      </c>
      <c r="B561">
        <v>1983830.3112619244</v>
      </c>
      <c r="C561">
        <v>144276.88685165712</v>
      </c>
      <c r="D561">
        <v>158381.98722647631</v>
      </c>
      <c r="E561">
        <v>202918.95933237195</v>
      </c>
      <c r="F561">
        <v>50048.235646087291</v>
      </c>
      <c r="G561">
        <v>10000</v>
      </c>
      <c r="H561">
        <v>545626.06905659265</v>
      </c>
      <c r="I561">
        <v>29.142384033652089</v>
      </c>
    </row>
    <row r="562" spans="1:9" x14ac:dyDescent="0.2">
      <c r="A562">
        <v>552</v>
      </c>
      <c r="B562">
        <v>1222935.6444874273</v>
      </c>
      <c r="C562">
        <v>116871.77527989929</v>
      </c>
      <c r="D562">
        <v>67821.296447585395</v>
      </c>
      <c r="E562">
        <v>118215.68397685327</v>
      </c>
      <c r="F562">
        <v>44184.162736859071</v>
      </c>
      <c r="G562">
        <v>10000</v>
      </c>
      <c r="H562">
        <v>337092.91844119702</v>
      </c>
      <c r="I562">
        <v>30.476432019766332</v>
      </c>
    </row>
    <row r="563" spans="1:9" x14ac:dyDescent="0.2">
      <c r="A563">
        <v>553</v>
      </c>
      <c r="B563">
        <v>1304403.8591179778</v>
      </c>
      <c r="C563">
        <v>122377.78105506267</v>
      </c>
      <c r="D563">
        <v>42959.146408915454</v>
      </c>
      <c r="E563">
        <v>157200.32308278064</v>
      </c>
      <c r="F563">
        <v>46883.099290346356</v>
      </c>
      <c r="G563">
        <v>10000</v>
      </c>
      <c r="H563">
        <v>359420.34983710514</v>
      </c>
      <c r="I563">
        <v>42.457973695764991</v>
      </c>
    </row>
    <row r="564" spans="1:9" x14ac:dyDescent="0.2">
      <c r="A564">
        <v>554</v>
      </c>
      <c r="B564">
        <v>743146.42135949992</v>
      </c>
      <c r="C564">
        <v>93110.852052407252</v>
      </c>
      <c r="D564">
        <v>55836.630705835341</v>
      </c>
      <c r="E564">
        <v>28668.193120627286</v>
      </c>
      <c r="F564">
        <v>37984.72106219727</v>
      </c>
      <c r="G564">
        <v>10000</v>
      </c>
      <c r="H564">
        <v>205600.39694106713</v>
      </c>
      <c r="I564">
        <v>44.251630066483486</v>
      </c>
    </row>
    <row r="565" spans="1:9" x14ac:dyDescent="0.2">
      <c r="A565">
        <v>555</v>
      </c>
      <c r="B565">
        <v>1314307.4144017147</v>
      </c>
      <c r="C565">
        <v>120701.62700636963</v>
      </c>
      <c r="D565">
        <v>91106.491659780339</v>
      </c>
      <c r="E565">
        <v>116276.51747763193</v>
      </c>
      <c r="F565">
        <v>44049.912748451439</v>
      </c>
      <c r="G565">
        <v>10000</v>
      </c>
      <c r="H565">
        <v>362134.54889223335</v>
      </c>
      <c r="I565">
        <v>30.503512176927014</v>
      </c>
    </row>
    <row r="566" spans="1:9" x14ac:dyDescent="0.2">
      <c r="A566">
        <v>556</v>
      </c>
      <c r="B566">
        <v>1431182.2133076536</v>
      </c>
      <c r="C566">
        <v>89744.829906880113</v>
      </c>
      <c r="D566">
        <v>56548.977452843959</v>
      </c>
      <c r="E566">
        <v>207506.01042850612</v>
      </c>
      <c r="F566">
        <v>50365.800721973501</v>
      </c>
      <c r="G566">
        <v>10000</v>
      </c>
      <c r="H566">
        <v>394165.61851020367</v>
      </c>
      <c r="I566">
        <v>34.915417408207119</v>
      </c>
    </row>
    <row r="567" spans="1:9" x14ac:dyDescent="0.2">
      <c r="A567">
        <v>557</v>
      </c>
      <c r="B567">
        <v>1172134.396066526</v>
      </c>
      <c r="C567">
        <v>79356.648392863659</v>
      </c>
      <c r="D567">
        <v>45660.001077064946</v>
      </c>
      <c r="E567">
        <v>161006.8905000643</v>
      </c>
      <c r="F567">
        <v>47146.630880773686</v>
      </c>
      <c r="G567">
        <v>10000</v>
      </c>
      <c r="H567">
        <v>323170.17085076665</v>
      </c>
      <c r="I567">
        <v>35.875858686491142</v>
      </c>
    </row>
    <row r="568" spans="1:9" x14ac:dyDescent="0.2">
      <c r="A568">
        <v>558</v>
      </c>
      <c r="B568">
        <v>1425595.5123772542</v>
      </c>
      <c r="C568">
        <v>146853.80522067094</v>
      </c>
      <c r="D568">
        <v>88972.367086068043</v>
      </c>
      <c r="E568">
        <v>122338.73303677572</v>
      </c>
      <c r="F568">
        <v>44469.604594853707</v>
      </c>
      <c r="G568">
        <v>10000</v>
      </c>
      <c r="H568">
        <v>392634.5099383684</v>
      </c>
      <c r="I568">
        <v>31.736612376258726</v>
      </c>
    </row>
    <row r="569" spans="1:9" x14ac:dyDescent="0.2">
      <c r="A569">
        <v>559</v>
      </c>
      <c r="B569">
        <v>1073568.205315897</v>
      </c>
      <c r="C569">
        <v>116944.99597413422</v>
      </c>
      <c r="D569">
        <v>109984.77500950288</v>
      </c>
      <c r="E569">
        <v>40428.170782188907</v>
      </c>
      <c r="F569">
        <v>38798.873361843849</v>
      </c>
      <c r="G569">
        <v>10000</v>
      </c>
      <c r="H569">
        <v>296156.81512766983</v>
      </c>
      <c r="I569">
        <v>31.941201528237425</v>
      </c>
    </row>
    <row r="570" spans="1:9" x14ac:dyDescent="0.2">
      <c r="A570">
        <v>560</v>
      </c>
      <c r="B570">
        <v>1206533.7848145405</v>
      </c>
      <c r="C570">
        <v>119805.15222318367</v>
      </c>
      <c r="D570">
        <v>36155.327159425673</v>
      </c>
      <c r="E570">
        <v>140883.80066985975</v>
      </c>
      <c r="F570">
        <v>45753.493892528757</v>
      </c>
      <c r="G570">
        <v>10000</v>
      </c>
      <c r="H570">
        <v>332597.77394499787</v>
      </c>
      <c r="I570">
        <v>42.698046139010955</v>
      </c>
    </row>
    <row r="571" spans="1:9" x14ac:dyDescent="0.2">
      <c r="A571">
        <v>561</v>
      </c>
      <c r="B571">
        <v>1072718.0002400379</v>
      </c>
      <c r="C571">
        <v>104804.5113168706</v>
      </c>
      <c r="D571">
        <v>51750.594567309978</v>
      </c>
      <c r="E571">
        <v>106028.28001940197</v>
      </c>
      <c r="F571">
        <v>43340.419385958594</v>
      </c>
      <c r="G571">
        <v>10000</v>
      </c>
      <c r="H571">
        <v>295923.80528954114</v>
      </c>
      <c r="I571">
        <v>43.414016518324615</v>
      </c>
    </row>
    <row r="572" spans="1:9" x14ac:dyDescent="0.2">
      <c r="A572">
        <v>562</v>
      </c>
      <c r="B572">
        <v>1153566.1752499009</v>
      </c>
      <c r="C572">
        <v>120297.89993455155</v>
      </c>
      <c r="D572">
        <v>90422.888030253496</v>
      </c>
      <c r="E572">
        <v>76092.57148393133</v>
      </c>
      <c r="F572">
        <v>41267.947256579857</v>
      </c>
      <c r="G572">
        <v>10000</v>
      </c>
      <c r="H572">
        <v>318081.30670531624</v>
      </c>
      <c r="I572">
        <v>43.042072556583626</v>
      </c>
    </row>
    <row r="573" spans="1:9" x14ac:dyDescent="0.2">
      <c r="A573">
        <v>563</v>
      </c>
      <c r="B573">
        <v>1682089.5320394558</v>
      </c>
      <c r="C573">
        <v>136109.39824196635</v>
      </c>
      <c r="D573">
        <v>149575.55742915312</v>
      </c>
      <c r="E573">
        <v>141452.25202977986</v>
      </c>
      <c r="F573">
        <v>45792.848217446299</v>
      </c>
      <c r="G573">
        <v>10000</v>
      </c>
      <c r="H573">
        <v>462930.05591834564</v>
      </c>
      <c r="I573">
        <v>42.924490719796793</v>
      </c>
    </row>
    <row r="574" spans="1:9" x14ac:dyDescent="0.2">
      <c r="A574">
        <v>564</v>
      </c>
      <c r="B574">
        <v>1277079.7693558263</v>
      </c>
      <c r="C574">
        <v>117701.12192136933</v>
      </c>
      <c r="D574">
        <v>148549.38855326697</v>
      </c>
      <c r="E574">
        <v>55817.056854525632</v>
      </c>
      <c r="F574">
        <v>39864.257782236389</v>
      </c>
      <c r="G574">
        <v>10000</v>
      </c>
      <c r="H574">
        <v>351931.8251113983</v>
      </c>
      <c r="I574">
        <v>33.640459097008858</v>
      </c>
    </row>
    <row r="575" spans="1:9" x14ac:dyDescent="0.2">
      <c r="A575">
        <v>565</v>
      </c>
      <c r="B575">
        <v>1576184.4596319417</v>
      </c>
      <c r="C575">
        <v>129688.60862817224</v>
      </c>
      <c r="D575">
        <v>125190.20773085539</v>
      </c>
      <c r="E575">
        <v>143118.37218643312</v>
      </c>
      <c r="F575">
        <v>45908.194997522289</v>
      </c>
      <c r="G575">
        <v>10000</v>
      </c>
      <c r="H575">
        <v>433905.38354298304</v>
      </c>
      <c r="I575">
        <v>28.796948345691224</v>
      </c>
    </row>
    <row r="576" spans="1:9" x14ac:dyDescent="0.2">
      <c r="A576">
        <v>566</v>
      </c>
      <c r="B576">
        <v>943855.01897722075</v>
      </c>
      <c r="C576">
        <v>76126.033850217471</v>
      </c>
      <c r="D576">
        <v>72262.657834821293</v>
      </c>
      <c r="E576">
        <v>80636.031113177189</v>
      </c>
      <c r="F576">
        <v>41582.49446168149</v>
      </c>
      <c r="G576">
        <v>10000</v>
      </c>
      <c r="H576">
        <v>260607.21725989744</v>
      </c>
      <c r="I576">
        <v>29.676205998344642</v>
      </c>
    </row>
    <row r="577" spans="1:9" x14ac:dyDescent="0.2">
      <c r="A577">
        <v>567</v>
      </c>
      <c r="B577">
        <v>1290571.7488483752</v>
      </c>
      <c r="C577">
        <v>84363.691112531582</v>
      </c>
      <c r="D577">
        <v>73078.169438046534</v>
      </c>
      <c r="E577">
        <v>161038.77968278696</v>
      </c>
      <c r="F577">
        <v>47148.838593423716</v>
      </c>
      <c r="G577">
        <v>10000</v>
      </c>
      <c r="H577">
        <v>355629.47882678878</v>
      </c>
      <c r="I577">
        <v>41.583538980735412</v>
      </c>
    </row>
    <row r="578" spans="1:9" x14ac:dyDescent="0.2">
      <c r="A578">
        <v>568</v>
      </c>
      <c r="B578">
        <v>1363517.2068365831</v>
      </c>
      <c r="C578">
        <v>109785.27588162338</v>
      </c>
      <c r="D578">
        <v>108872.50255638284</v>
      </c>
      <c r="E578">
        <v>122483.71675550214</v>
      </c>
      <c r="F578">
        <v>44479.641929227073</v>
      </c>
      <c r="G578">
        <v>10000</v>
      </c>
      <c r="H578">
        <v>375621.1371227355</v>
      </c>
      <c r="I578">
        <v>44.037600717551904</v>
      </c>
    </row>
    <row r="579" spans="1:9" x14ac:dyDescent="0.2">
      <c r="A579">
        <v>569</v>
      </c>
      <c r="B579">
        <v>1290584.0590405383</v>
      </c>
      <c r="C579">
        <v>144573.29240490275</v>
      </c>
      <c r="D579">
        <v>79586.739227050493</v>
      </c>
      <c r="E579">
        <v>98643.645506135595</v>
      </c>
      <c r="F579">
        <v>42829.175458117083</v>
      </c>
      <c r="G579">
        <v>10000</v>
      </c>
      <c r="H579">
        <v>355632.85259620595</v>
      </c>
      <c r="I579">
        <v>29.025700160615443</v>
      </c>
    </row>
    <row r="580" spans="1:9" x14ac:dyDescent="0.2">
      <c r="A580">
        <v>570</v>
      </c>
      <c r="B580">
        <v>1231186.4393218241</v>
      </c>
      <c r="C580">
        <v>127486.81068600003</v>
      </c>
      <c r="D580">
        <v>114367.57211813709</v>
      </c>
      <c r="E580">
        <v>66870.292268603254</v>
      </c>
      <c r="F580">
        <v>40629.481772441759</v>
      </c>
      <c r="G580">
        <v>10000</v>
      </c>
      <c r="H580">
        <v>339354.15684518218</v>
      </c>
      <c r="I580">
        <v>33.654606793895283</v>
      </c>
    </row>
    <row r="581" spans="1:9" x14ac:dyDescent="0.2">
      <c r="A581">
        <v>571</v>
      </c>
      <c r="B581">
        <v>1608038.8902898408</v>
      </c>
      <c r="C581">
        <v>133226.78119710649</v>
      </c>
      <c r="D581">
        <v>146485.63133560208</v>
      </c>
      <c r="E581">
        <v>128057.57086587703</v>
      </c>
      <c r="F581">
        <v>44865.524136868415</v>
      </c>
      <c r="G581">
        <v>10000</v>
      </c>
      <c r="H581">
        <v>442635.50753545406</v>
      </c>
      <c r="I581">
        <v>35.318021312667284</v>
      </c>
    </row>
    <row r="582" spans="1:9" x14ac:dyDescent="0.2">
      <c r="A582">
        <v>572</v>
      </c>
      <c r="B582">
        <v>1543169.3702781894</v>
      </c>
      <c r="C582">
        <v>125696.38418193669</v>
      </c>
      <c r="D582">
        <v>81797.131880072906</v>
      </c>
      <c r="E582">
        <v>178973.19762576747</v>
      </c>
      <c r="F582">
        <v>48390.452143322364</v>
      </c>
      <c r="G582">
        <v>10000</v>
      </c>
      <c r="H582">
        <v>424857.16583109944</v>
      </c>
      <c r="I582">
        <v>35.360875496751071</v>
      </c>
    </row>
    <row r="583" spans="1:9" x14ac:dyDescent="0.2">
      <c r="A583">
        <v>573</v>
      </c>
      <c r="B583">
        <v>1451013.2908487255</v>
      </c>
      <c r="C583">
        <v>112041.58654129926</v>
      </c>
      <c r="D583">
        <v>123771.68502236305</v>
      </c>
      <c r="E583">
        <v>128865.83278836077</v>
      </c>
      <c r="F583">
        <v>44921.480731501899</v>
      </c>
      <c r="G583">
        <v>10000</v>
      </c>
      <c r="H583">
        <v>399600.58508352499</v>
      </c>
      <c r="I583">
        <v>49.432431820717277</v>
      </c>
    </row>
    <row r="584" spans="1:9" x14ac:dyDescent="0.2">
      <c r="A584">
        <v>574</v>
      </c>
      <c r="B584">
        <v>1103167.2721385178</v>
      </c>
      <c r="C584">
        <v>136690.09999526609</v>
      </c>
      <c r="D584">
        <v>55038.972116301673</v>
      </c>
      <c r="E584">
        <v>80936.461516246316</v>
      </c>
      <c r="F584">
        <v>41603.293489586278</v>
      </c>
      <c r="G584">
        <v>10000</v>
      </c>
      <c r="H584">
        <v>304268.82711740036</v>
      </c>
      <c r="I584">
        <v>24.445020114640741</v>
      </c>
    </row>
    <row r="585" spans="1:9" x14ac:dyDescent="0.2">
      <c r="A585">
        <v>575</v>
      </c>
      <c r="B585">
        <v>1431482.8920281052</v>
      </c>
      <c r="C585">
        <v>169932.36071027606</v>
      </c>
      <c r="D585">
        <v>146819.84545492555</v>
      </c>
      <c r="E585">
        <v>48161.555736063652</v>
      </c>
      <c r="F585">
        <v>39334.261550958254</v>
      </c>
      <c r="G585">
        <v>10000</v>
      </c>
      <c r="H585">
        <v>394248.02345222351</v>
      </c>
      <c r="I585">
        <v>31.617477401499045</v>
      </c>
    </row>
    <row r="586" spans="1:9" x14ac:dyDescent="0.2">
      <c r="A586">
        <v>576</v>
      </c>
      <c r="B586">
        <v>759424.6406758728</v>
      </c>
      <c r="C586">
        <v>99625.72051568942</v>
      </c>
      <c r="D586">
        <v>47620.056399917019</v>
      </c>
      <c r="E586">
        <v>34432.117295728072</v>
      </c>
      <c r="F586">
        <v>38383.761966627331</v>
      </c>
      <c r="G586">
        <v>10000</v>
      </c>
      <c r="H586">
        <v>210061.65617796182</v>
      </c>
      <c r="I586">
        <v>52.884489918000078</v>
      </c>
    </row>
    <row r="587" spans="1:9" x14ac:dyDescent="0.2">
      <c r="A587">
        <v>577</v>
      </c>
      <c r="B587">
        <v>1597162.5888268454</v>
      </c>
      <c r="C587">
        <v>149969.41537865766</v>
      </c>
      <c r="D587">
        <v>92840.527531845437</v>
      </c>
      <c r="E587">
        <v>159782.88004189683</v>
      </c>
      <c r="F587">
        <v>47061.891695208244</v>
      </c>
      <c r="G587">
        <v>10000</v>
      </c>
      <c r="H587">
        <v>439654.71464760823</v>
      </c>
      <c r="I587">
        <v>37.230208383743374</v>
      </c>
    </row>
    <row r="588" spans="1:9" x14ac:dyDescent="0.2">
      <c r="A588">
        <v>578</v>
      </c>
      <c r="B588">
        <v>1231749.7940519303</v>
      </c>
      <c r="C588">
        <v>111077.05073761991</v>
      </c>
      <c r="D588">
        <v>27175.785207295256</v>
      </c>
      <c r="E588">
        <v>163908.22326380236</v>
      </c>
      <c r="F588">
        <v>47347.492379801704</v>
      </c>
      <c r="G588">
        <v>10000</v>
      </c>
      <c r="H588">
        <v>339508.55158851924</v>
      </c>
      <c r="I588">
        <v>35.895117184399304</v>
      </c>
    </row>
    <row r="589" spans="1:9" x14ac:dyDescent="0.2">
      <c r="A589">
        <v>579</v>
      </c>
      <c r="B589">
        <v>1991888.0637628869</v>
      </c>
      <c r="C589">
        <v>149797.10250808866</v>
      </c>
      <c r="D589">
        <v>159314.43138502591</v>
      </c>
      <c r="E589">
        <v>198949.44469312709</v>
      </c>
      <c r="F589">
        <v>49773.423094139573</v>
      </c>
      <c r="G589">
        <v>10000</v>
      </c>
      <c r="H589">
        <v>547834.40168038115</v>
      </c>
      <c r="I589">
        <v>33.278906595708051</v>
      </c>
    </row>
    <row r="590" spans="1:9" x14ac:dyDescent="0.2">
      <c r="A590">
        <v>580</v>
      </c>
      <c r="B590">
        <v>1613955.6439923663</v>
      </c>
      <c r="C590">
        <v>148634.43686925617</v>
      </c>
      <c r="D590">
        <v>105847.08141822965</v>
      </c>
      <c r="E590">
        <v>153171.38060223276</v>
      </c>
      <c r="F590">
        <v>46604.172503231493</v>
      </c>
      <c r="G590">
        <v>10000</v>
      </c>
      <c r="H590">
        <v>444257.07139295008</v>
      </c>
      <c r="I590">
        <v>44.62152360492432</v>
      </c>
    </row>
    <row r="591" spans="1:9" x14ac:dyDescent="0.2">
      <c r="A591">
        <v>581</v>
      </c>
      <c r="B591">
        <v>1121832.0075154079</v>
      </c>
      <c r="C591">
        <v>85475.330808428393</v>
      </c>
      <c r="D591">
        <v>76082.591195416127</v>
      </c>
      <c r="E591">
        <v>113938.19168350782</v>
      </c>
      <c r="F591">
        <v>43888.02865501208</v>
      </c>
      <c r="G591">
        <v>10000</v>
      </c>
      <c r="H591">
        <v>309384.14234236442</v>
      </c>
      <c r="I591">
        <v>34.79662827473787</v>
      </c>
    </row>
    <row r="592" spans="1:9" x14ac:dyDescent="0.2">
      <c r="A592">
        <v>582</v>
      </c>
      <c r="B592">
        <v>1438914.9553424139</v>
      </c>
      <c r="C592">
        <v>123555.66732733045</v>
      </c>
      <c r="D592">
        <v>101067.23620988429</v>
      </c>
      <c r="E592">
        <v>136230.62337225719</v>
      </c>
      <c r="F592">
        <v>45431.350848848575</v>
      </c>
      <c r="G592">
        <v>10000</v>
      </c>
      <c r="H592">
        <v>396284.87775832054</v>
      </c>
      <c r="I592">
        <v>34.043170557575053</v>
      </c>
    </row>
    <row r="593" spans="1:9" x14ac:dyDescent="0.2">
      <c r="A593">
        <v>583</v>
      </c>
      <c r="B593">
        <v>1182023.0083113452</v>
      </c>
      <c r="C593">
        <v>162919.73154431322</v>
      </c>
      <c r="D593">
        <v>55620.408635844273</v>
      </c>
      <c r="E593">
        <v>76073.506983620347</v>
      </c>
      <c r="F593">
        <v>41266.627406558327</v>
      </c>
      <c r="G593">
        <v>10000</v>
      </c>
      <c r="H593">
        <v>325880.27457033616</v>
      </c>
      <c r="I593">
        <v>39.119545528548414</v>
      </c>
    </row>
    <row r="594" spans="1:9" x14ac:dyDescent="0.2">
      <c r="A594">
        <v>584</v>
      </c>
      <c r="B594">
        <v>1158343.1528395347</v>
      </c>
      <c r="C594">
        <v>144871.30847301366</v>
      </c>
      <c r="D594">
        <v>78715.277787580519</v>
      </c>
      <c r="E594">
        <v>65284.235860918867</v>
      </c>
      <c r="F594">
        <v>40519.677867294384</v>
      </c>
      <c r="G594">
        <v>10000</v>
      </c>
      <c r="H594">
        <v>319390.49998880748</v>
      </c>
      <c r="I594">
        <v>38.362999092866467</v>
      </c>
    </row>
    <row r="595" spans="1:9" x14ac:dyDescent="0.2">
      <c r="A595">
        <v>585</v>
      </c>
      <c r="B595">
        <v>661926.69676680875</v>
      </c>
      <c r="C595">
        <v>95974.349753764938</v>
      </c>
      <c r="D595">
        <v>33028.990323472834</v>
      </c>
      <c r="E595">
        <v>26502.910534671977</v>
      </c>
      <c r="F595">
        <v>37834.816883169595</v>
      </c>
      <c r="G595">
        <v>10000</v>
      </c>
      <c r="H595">
        <v>183341.06749507936</v>
      </c>
      <c r="I595">
        <v>35.902692989651527</v>
      </c>
    </row>
    <row r="596" spans="1:9" x14ac:dyDescent="0.2">
      <c r="A596">
        <v>586</v>
      </c>
      <c r="B596">
        <v>958374.26479653642</v>
      </c>
      <c r="C596">
        <v>95496.502009467338</v>
      </c>
      <c r="D596">
        <v>112672.71231533984</v>
      </c>
      <c r="E596">
        <v>28447.733940243466</v>
      </c>
      <c r="F596">
        <v>37969.458503555317</v>
      </c>
      <c r="G596">
        <v>10000</v>
      </c>
      <c r="H596">
        <v>264586.40676860593</v>
      </c>
      <c r="I596">
        <v>29.231724287224374</v>
      </c>
    </row>
    <row r="597" spans="1:9" x14ac:dyDescent="0.2">
      <c r="A597">
        <v>587</v>
      </c>
      <c r="B597">
        <v>992990.29522001999</v>
      </c>
      <c r="C597">
        <v>77385.339756736765</v>
      </c>
      <c r="D597">
        <v>110671.47426312757</v>
      </c>
      <c r="E597">
        <v>56130.604411212582</v>
      </c>
      <c r="F597">
        <v>39885.964920776256</v>
      </c>
      <c r="G597">
        <v>10000</v>
      </c>
      <c r="H597">
        <v>274073.38335185318</v>
      </c>
      <c r="I597">
        <v>32.051896992779675</v>
      </c>
    </row>
    <row r="598" spans="1:9" x14ac:dyDescent="0.2">
      <c r="A598">
        <v>588</v>
      </c>
      <c r="B598">
        <v>1454920.0795374764</v>
      </c>
      <c r="C598">
        <v>131764.23739808143</v>
      </c>
      <c r="D598">
        <v>72741.29212536526</v>
      </c>
      <c r="E598">
        <v>159147.83512902507</v>
      </c>
      <c r="F598">
        <v>47017.927047394041</v>
      </c>
      <c r="G598">
        <v>10000</v>
      </c>
      <c r="H598">
        <v>400671.29169986577</v>
      </c>
      <c r="I598">
        <v>37.104205007173022</v>
      </c>
    </row>
    <row r="599" spans="1:9" x14ac:dyDescent="0.2">
      <c r="A599">
        <v>589</v>
      </c>
      <c r="B599">
        <v>1963173.3698104457</v>
      </c>
      <c r="C599">
        <v>142355.6568792093</v>
      </c>
      <c r="D599">
        <v>158832.74464268377</v>
      </c>
      <c r="E599">
        <v>198999.47538132509</v>
      </c>
      <c r="F599">
        <v>49776.886757168657</v>
      </c>
      <c r="G599">
        <v>10000</v>
      </c>
      <c r="H599">
        <v>539964.7636603869</v>
      </c>
      <c r="I599">
        <v>37.359311372262994</v>
      </c>
    </row>
    <row r="600" spans="1:9" x14ac:dyDescent="0.2">
      <c r="A600">
        <v>590</v>
      </c>
      <c r="B600">
        <v>1428645.6277973172</v>
      </c>
      <c r="C600">
        <v>120588.04415376473</v>
      </c>
      <c r="D600">
        <v>36004.0403510701</v>
      </c>
      <c r="E600">
        <v>197224.35566503863</v>
      </c>
      <c r="F600">
        <v>49653.993853733446</v>
      </c>
      <c r="G600">
        <v>10000</v>
      </c>
      <c r="H600">
        <v>393470.43402360694</v>
      </c>
      <c r="I600">
        <v>39.961916371179228</v>
      </c>
    </row>
    <row r="601" spans="1:9" x14ac:dyDescent="0.2">
      <c r="A601">
        <v>591</v>
      </c>
      <c r="B601">
        <v>777376.37748470367</v>
      </c>
      <c r="C601">
        <v>95812.799295755278</v>
      </c>
      <c r="D601">
        <v>59344.718374451419</v>
      </c>
      <c r="E601">
        <v>31634.000917964426</v>
      </c>
      <c r="F601">
        <v>38190.046217397539</v>
      </c>
      <c r="G601">
        <v>10000</v>
      </c>
      <c r="H601">
        <v>214981.56480556866</v>
      </c>
      <c r="I601">
        <v>26.91057800353877</v>
      </c>
    </row>
    <row r="602" spans="1:9" x14ac:dyDescent="0.2">
      <c r="A602">
        <v>592</v>
      </c>
      <c r="B602">
        <v>1011958.3287746956</v>
      </c>
      <c r="C602">
        <v>161388.79718915123</v>
      </c>
      <c r="D602">
        <v>39002.0857603966</v>
      </c>
      <c r="E602">
        <v>49456.992809820207</v>
      </c>
      <c r="F602">
        <v>39423.945656064476</v>
      </c>
      <c r="G602">
        <v>10000</v>
      </c>
      <c r="H602">
        <v>279271.82141543255</v>
      </c>
      <c r="I602">
        <v>34.027144906679169</v>
      </c>
    </row>
    <row r="603" spans="1:9" x14ac:dyDescent="0.2">
      <c r="A603">
        <v>593</v>
      </c>
      <c r="B603">
        <v>813872.51591643505</v>
      </c>
      <c r="C603">
        <v>114647.37762533811</v>
      </c>
      <c r="D603">
        <v>55326.307918814273</v>
      </c>
      <c r="E603">
        <v>27131.770715211624</v>
      </c>
      <c r="F603">
        <v>37878.353357206957</v>
      </c>
      <c r="G603">
        <v>10000</v>
      </c>
      <c r="H603">
        <v>224983.809616571</v>
      </c>
      <c r="I603">
        <v>36.20548501639162</v>
      </c>
    </row>
    <row r="604" spans="1:9" x14ac:dyDescent="0.2">
      <c r="A604">
        <v>594</v>
      </c>
      <c r="B604">
        <v>1230659.2025633436</v>
      </c>
      <c r="C604">
        <v>107696.89997416474</v>
      </c>
      <c r="D604">
        <v>73451.158144935398</v>
      </c>
      <c r="E604">
        <v>123510.85133941431</v>
      </c>
      <c r="F604">
        <v>44550.751246574837</v>
      </c>
      <c r="G604">
        <v>10000</v>
      </c>
      <c r="H604">
        <v>339209.66070508928</v>
      </c>
      <c r="I604">
        <v>32.6610524508135</v>
      </c>
    </row>
    <row r="605" spans="1:9" x14ac:dyDescent="0.2">
      <c r="A605">
        <v>595</v>
      </c>
      <c r="B605">
        <v>817779.5555707668</v>
      </c>
      <c r="C605">
        <v>79398.743374024445</v>
      </c>
      <c r="D605">
        <v>65382.870487248256</v>
      </c>
      <c r="E605">
        <v>51694.145681767674</v>
      </c>
      <c r="F605">
        <v>39578.825470276228</v>
      </c>
      <c r="G605">
        <v>10000</v>
      </c>
      <c r="H605">
        <v>226054.58501331659</v>
      </c>
      <c r="I605">
        <v>39.124669376392774</v>
      </c>
    </row>
    <row r="606" spans="1:9" x14ac:dyDescent="0.2">
      <c r="A606">
        <v>596</v>
      </c>
      <c r="B606">
        <v>968177.22829367197</v>
      </c>
      <c r="C606">
        <v>116366.03867226117</v>
      </c>
      <c r="D606">
        <v>71602.982590243133</v>
      </c>
      <c r="E606">
        <v>49852.676894790551</v>
      </c>
      <c r="F606">
        <v>39451.339169639345</v>
      </c>
      <c r="G606">
        <v>10000</v>
      </c>
      <c r="H606">
        <v>267273.03732693422</v>
      </c>
      <c r="I606">
        <v>47.205296738001437</v>
      </c>
    </row>
    <row r="607" spans="1:9" x14ac:dyDescent="0.2">
      <c r="A607">
        <v>597</v>
      </c>
      <c r="B607">
        <v>1178077.5015851671</v>
      </c>
      <c r="C607">
        <v>109684.24186897765</v>
      </c>
      <c r="D607">
        <v>66967.705673135308</v>
      </c>
      <c r="E607">
        <v>114238.21006799312</v>
      </c>
      <c r="F607">
        <v>43908.799158553375</v>
      </c>
      <c r="G607">
        <v>10000</v>
      </c>
      <c r="H607">
        <v>324798.95676865941</v>
      </c>
      <c r="I607">
        <v>32.689437370153236</v>
      </c>
    </row>
    <row r="608" spans="1:9" x14ac:dyDescent="0.2">
      <c r="A608">
        <v>598</v>
      </c>
      <c r="B608">
        <v>1103558.3176911462</v>
      </c>
      <c r="C608">
        <v>105659.74907627066</v>
      </c>
      <c r="D608">
        <v>117021.80446022199</v>
      </c>
      <c r="E608">
        <v>52088.329610169792</v>
      </c>
      <c r="F608">
        <v>39606.115126857905</v>
      </c>
      <c r="G608">
        <v>10000</v>
      </c>
      <c r="H608">
        <v>304375.99827352032</v>
      </c>
      <c r="I608">
        <v>41.703536455784686</v>
      </c>
    </row>
    <row r="609" spans="1:9" x14ac:dyDescent="0.2">
      <c r="A609">
        <v>599</v>
      </c>
      <c r="B609">
        <v>1143849.2986645473</v>
      </c>
      <c r="C609">
        <v>119539.88510716321</v>
      </c>
      <c r="D609">
        <v>81401.197341167208</v>
      </c>
      <c r="E609">
        <v>82748.448221483675</v>
      </c>
      <c r="F609">
        <v>41728.738723025795</v>
      </c>
      <c r="G609">
        <v>10000</v>
      </c>
      <c r="H609">
        <v>315418.26939283987</v>
      </c>
      <c r="I609">
        <v>33.893963628735051</v>
      </c>
    </row>
    <row r="610" spans="1:9" x14ac:dyDescent="0.2">
      <c r="A610">
        <v>600</v>
      </c>
      <c r="B610">
        <v>1601012.5600953063</v>
      </c>
      <c r="C610">
        <v>88313.185064707548</v>
      </c>
      <c r="D610">
        <v>111905.79740951912</v>
      </c>
      <c r="E610">
        <v>200602.96935312991</v>
      </c>
      <c r="F610">
        <v>49887.89787829361</v>
      </c>
      <c r="G610">
        <v>10000</v>
      </c>
      <c r="H610">
        <v>440709.84970565018</v>
      </c>
      <c r="I610">
        <v>30.499314596837831</v>
      </c>
    </row>
    <row r="611" spans="1:9" x14ac:dyDescent="0.2">
      <c r="A611">
        <v>601</v>
      </c>
      <c r="B611">
        <v>1262309.967972277</v>
      </c>
      <c r="C611">
        <v>110807.13748911023</v>
      </c>
      <c r="D611">
        <v>30871.422753983104</v>
      </c>
      <c r="E611">
        <v>168537.43131125977</v>
      </c>
      <c r="F611">
        <v>47667.976013856445</v>
      </c>
      <c r="G611">
        <v>10000</v>
      </c>
      <c r="H611">
        <v>347883.96756820963</v>
      </c>
      <c r="I611">
        <v>40.405215515168976</v>
      </c>
    </row>
    <row r="612" spans="1:9" x14ac:dyDescent="0.2">
      <c r="A612">
        <v>602</v>
      </c>
      <c r="B612">
        <v>1442068.6650217869</v>
      </c>
      <c r="C612">
        <v>128235.95502500008</v>
      </c>
      <c r="D612">
        <v>76531.119388765859</v>
      </c>
      <c r="E612">
        <v>155609.17585010055</v>
      </c>
      <c r="F612">
        <v>46772.942943468501</v>
      </c>
      <c r="G612">
        <v>10000</v>
      </c>
      <c r="H612">
        <v>397149.19320733502</v>
      </c>
      <c r="I612">
        <v>30.158461656022101</v>
      </c>
    </row>
    <row r="613" spans="1:9" x14ac:dyDescent="0.2">
      <c r="A613">
        <v>603</v>
      </c>
      <c r="B613">
        <v>1567517.6277755601</v>
      </c>
      <c r="C613">
        <v>129124.14227144152</v>
      </c>
      <c r="D613">
        <v>94611.193037971083</v>
      </c>
      <c r="E613">
        <v>170023.90378711707</v>
      </c>
      <c r="F613">
        <v>47770.885646800409</v>
      </c>
      <c r="G613">
        <v>10000</v>
      </c>
      <c r="H613">
        <v>431530.12474333006</v>
      </c>
      <c r="I613">
        <v>34.098540748856109</v>
      </c>
    </row>
    <row r="614" spans="1:9" x14ac:dyDescent="0.2">
      <c r="A614">
        <v>604</v>
      </c>
      <c r="B614">
        <v>1328264.4354268857</v>
      </c>
      <c r="C614">
        <v>92403.335609699207</v>
      </c>
      <c r="D614">
        <v>117065.28305802186</v>
      </c>
      <c r="E614">
        <v>122041.97486527052</v>
      </c>
      <c r="F614">
        <v>44449.059798364877</v>
      </c>
      <c r="G614">
        <v>10000</v>
      </c>
      <c r="H614">
        <v>365959.65333135647</v>
      </c>
      <c r="I614">
        <v>29.41481003583548</v>
      </c>
    </row>
    <row r="615" spans="1:9" x14ac:dyDescent="0.2">
      <c r="A615">
        <v>605</v>
      </c>
      <c r="B615">
        <v>923926.09190509154</v>
      </c>
      <c r="C615">
        <v>133886.97916452272</v>
      </c>
      <c r="D615">
        <v>39043.730022240183</v>
      </c>
      <c r="E615">
        <v>52574.922244810543</v>
      </c>
      <c r="F615">
        <v>39639.802309256112</v>
      </c>
      <c r="G615">
        <v>10000</v>
      </c>
      <c r="H615">
        <v>255145.43374082958</v>
      </c>
      <c r="I615">
        <v>43.783042970270266</v>
      </c>
    </row>
    <row r="616" spans="1:9" x14ac:dyDescent="0.2">
      <c r="A616">
        <v>606</v>
      </c>
      <c r="B616">
        <v>1373122.6992260795</v>
      </c>
      <c r="C616">
        <v>74987.41476692172</v>
      </c>
      <c r="D616">
        <v>67589.696858054391</v>
      </c>
      <c r="E616">
        <v>196100.35788920737</v>
      </c>
      <c r="F616">
        <v>49576.178623098967</v>
      </c>
      <c r="G616">
        <v>10000</v>
      </c>
      <c r="H616">
        <v>378253.64813728246</v>
      </c>
      <c r="I616">
        <v>37.293987717437396</v>
      </c>
    </row>
    <row r="617" spans="1:9" x14ac:dyDescent="0.2">
      <c r="A617">
        <v>607</v>
      </c>
      <c r="B617">
        <v>1423900.2062916239</v>
      </c>
      <c r="C617">
        <v>124013.34765033842</v>
      </c>
      <c r="D617">
        <v>74645.668685782875</v>
      </c>
      <c r="E617">
        <v>156664.8450293591</v>
      </c>
      <c r="F617">
        <v>46846.027732801784</v>
      </c>
      <c r="G617">
        <v>10000</v>
      </c>
      <c r="H617">
        <v>392169.8890982822</v>
      </c>
      <c r="I617">
        <v>33.493694948042261</v>
      </c>
    </row>
    <row r="618" spans="1:9" x14ac:dyDescent="0.2">
      <c r="A618">
        <v>608</v>
      </c>
      <c r="B618">
        <v>1397589.8287107144</v>
      </c>
      <c r="C618">
        <v>113624.56890738502</v>
      </c>
      <c r="D618">
        <v>76933.716833602841</v>
      </c>
      <c r="E618">
        <v>157497.24435532858</v>
      </c>
      <c r="F618">
        <v>46903.655378445823</v>
      </c>
      <c r="G618">
        <v>10000</v>
      </c>
      <c r="H618">
        <v>384959.18547476229</v>
      </c>
      <c r="I618">
        <v>38.800496218578715</v>
      </c>
    </row>
    <row r="619" spans="1:9" x14ac:dyDescent="0.2">
      <c r="A619">
        <v>609</v>
      </c>
      <c r="B619">
        <v>1802022.9172632103</v>
      </c>
      <c r="C619">
        <v>130166.11357043483</v>
      </c>
      <c r="D619">
        <v>143971.70076122458</v>
      </c>
      <c r="E619">
        <v>182992.82295359933</v>
      </c>
      <c r="F619">
        <v>48668.733896787649</v>
      </c>
      <c r="G619">
        <v>10000</v>
      </c>
      <c r="H619">
        <v>495799.37118204636</v>
      </c>
      <c r="I619">
        <v>55.215774480420961</v>
      </c>
    </row>
    <row r="620" spans="1:9" x14ac:dyDescent="0.2">
      <c r="A620">
        <v>610</v>
      </c>
      <c r="B620">
        <v>1468617.2148713942</v>
      </c>
      <c r="C620">
        <v>130574.72567379606</v>
      </c>
      <c r="D620">
        <v>64396.010029025063</v>
      </c>
      <c r="E620">
        <v>171576.09062273931</v>
      </c>
      <c r="F620">
        <v>47878.344735420411</v>
      </c>
      <c r="G620">
        <v>10000</v>
      </c>
      <c r="H620">
        <v>404425.17106098088</v>
      </c>
      <c r="I620">
        <v>43.167428423347005</v>
      </c>
    </row>
    <row r="621" spans="1:9" x14ac:dyDescent="0.2">
      <c r="A621">
        <v>611</v>
      </c>
      <c r="B621">
        <v>1154672.624487699</v>
      </c>
      <c r="C621">
        <v>103770.68049063571</v>
      </c>
      <c r="D621">
        <v>61788.280213847582</v>
      </c>
      <c r="E621">
        <v>118613.85451842259</v>
      </c>
      <c r="F621">
        <v>44211.728389736956</v>
      </c>
      <c r="G621">
        <v>10000</v>
      </c>
      <c r="H621">
        <v>318384.54361264285</v>
      </c>
      <c r="I621">
        <v>32.449382318766773</v>
      </c>
    </row>
    <row r="622" spans="1:9" x14ac:dyDescent="0.2">
      <c r="A622">
        <v>612</v>
      </c>
      <c r="B622">
        <v>979659.88067898958</v>
      </c>
      <c r="C622">
        <v>118364.15426718537</v>
      </c>
      <c r="D622">
        <v>80388.490416487373</v>
      </c>
      <c r="E622">
        <v>42710.484264304541</v>
      </c>
      <c r="F622">
        <v>38956.879679836464</v>
      </c>
      <c r="G622">
        <v>10000</v>
      </c>
      <c r="H622">
        <v>270420.00862781378</v>
      </c>
      <c r="I622">
        <v>40.881086548528842</v>
      </c>
    </row>
    <row r="623" spans="1:9" x14ac:dyDescent="0.2">
      <c r="A623">
        <v>613</v>
      </c>
      <c r="B623">
        <v>1112831.1679929281</v>
      </c>
      <c r="C623">
        <v>124077.19015683082</v>
      </c>
      <c r="D623">
        <v>101958.36843295388</v>
      </c>
      <c r="E623">
        <v>51328.288855968829</v>
      </c>
      <c r="F623">
        <v>39553.496920797843</v>
      </c>
      <c r="G623">
        <v>10000</v>
      </c>
      <c r="H623">
        <v>306917.34436655138</v>
      </c>
      <c r="I623">
        <v>29.919004292035034</v>
      </c>
    </row>
    <row r="624" spans="1:9" x14ac:dyDescent="0.2">
      <c r="A624">
        <v>614</v>
      </c>
      <c r="B624">
        <v>1583994.0355485892</v>
      </c>
      <c r="C624">
        <v>125943.28932985733</v>
      </c>
      <c r="D624">
        <v>131892.30807124471</v>
      </c>
      <c r="E624">
        <v>142354.77232974005</v>
      </c>
      <c r="F624">
        <v>45855.330392058924</v>
      </c>
      <c r="G624">
        <v>10000</v>
      </c>
      <c r="H624">
        <v>436045.70012290101</v>
      </c>
      <c r="I624">
        <v>39.431500713681771</v>
      </c>
    </row>
    <row r="625" spans="1:9" x14ac:dyDescent="0.2">
      <c r="A625">
        <v>615</v>
      </c>
      <c r="B625">
        <v>1191594.9315767777</v>
      </c>
      <c r="C625">
        <v>153742.62564325586</v>
      </c>
      <c r="D625">
        <v>84752.412275603681</v>
      </c>
      <c r="E625">
        <v>59864.10927352115</v>
      </c>
      <c r="F625">
        <v>40144.438334320701</v>
      </c>
      <c r="G625">
        <v>10000</v>
      </c>
      <c r="H625">
        <v>328503.58552670141</v>
      </c>
      <c r="I625">
        <v>28.792065531659645</v>
      </c>
    </row>
    <row r="626" spans="1:9" x14ac:dyDescent="0.2">
      <c r="A626">
        <v>616</v>
      </c>
      <c r="B626">
        <v>1579548.8769433429</v>
      </c>
      <c r="C626">
        <v>116429.19624739161</v>
      </c>
      <c r="D626">
        <v>108170.66053548262</v>
      </c>
      <c r="E626">
        <v>172299.18432700963</v>
      </c>
      <c r="F626">
        <v>47928.40506879297</v>
      </c>
      <c r="G626">
        <v>10000</v>
      </c>
      <c r="H626">
        <v>434827.44617867679</v>
      </c>
      <c r="I626">
        <v>32.366084799647268</v>
      </c>
    </row>
    <row r="627" spans="1:9" x14ac:dyDescent="0.2">
      <c r="A627">
        <v>617</v>
      </c>
      <c r="B627">
        <v>1532605.4285706419</v>
      </c>
      <c r="C627">
        <v>99416.07885599148</v>
      </c>
      <c r="D627">
        <v>151195.74900749375</v>
      </c>
      <c r="E627">
        <v>135938.99048285972</v>
      </c>
      <c r="F627">
        <v>45411.160879582589</v>
      </c>
      <c r="G627">
        <v>10000</v>
      </c>
      <c r="H627">
        <v>421961.97922592756</v>
      </c>
      <c r="I627">
        <v>27.414339149351072</v>
      </c>
    </row>
    <row r="628" spans="1:9" x14ac:dyDescent="0.2">
      <c r="A628">
        <v>618</v>
      </c>
      <c r="B628">
        <v>1196789.916620858</v>
      </c>
      <c r="C628">
        <v>107033.50341313142</v>
      </c>
      <c r="D628">
        <v>76560.269536933629</v>
      </c>
      <c r="E628">
        <v>112542.1842893595</v>
      </c>
      <c r="F628">
        <v>43791.381989263347</v>
      </c>
      <c r="G628">
        <v>10000</v>
      </c>
      <c r="H628">
        <v>329927.33922868787</v>
      </c>
      <c r="I628">
        <v>40.496021231493728</v>
      </c>
    </row>
    <row r="629" spans="1:9" x14ac:dyDescent="0.2">
      <c r="A629">
        <v>619</v>
      </c>
      <c r="B629">
        <v>1230827.0768520774</v>
      </c>
      <c r="C629">
        <v>115882.19829335973</v>
      </c>
      <c r="D629">
        <v>51714.043804027046</v>
      </c>
      <c r="E629">
        <v>136228.24085052873</v>
      </c>
      <c r="F629">
        <v>45431.185905036604</v>
      </c>
      <c r="G629">
        <v>10000</v>
      </c>
      <c r="H629">
        <v>339255.66885295208</v>
      </c>
      <c r="I629">
        <v>46.476050909802424</v>
      </c>
    </row>
    <row r="630" spans="1:9" x14ac:dyDescent="0.2">
      <c r="A630">
        <v>620</v>
      </c>
      <c r="B630">
        <v>1231620.0022585662</v>
      </c>
      <c r="C630">
        <v>89663.706812303411</v>
      </c>
      <c r="D630">
        <v>140971.22396129908</v>
      </c>
      <c r="E630">
        <v>77474.43494668568</v>
      </c>
      <c r="F630">
        <v>41363.614727078246</v>
      </c>
      <c r="G630">
        <v>10000</v>
      </c>
      <c r="H630">
        <v>339472.98044736643</v>
      </c>
      <c r="I630">
        <v>41.021095947201943</v>
      </c>
    </row>
    <row r="631" spans="1:9" x14ac:dyDescent="0.2">
      <c r="A631">
        <v>621</v>
      </c>
      <c r="B631">
        <v>1460843.1590027562</v>
      </c>
      <c r="C631">
        <v>137917.82987438401</v>
      </c>
      <c r="D631">
        <v>108856.72208137834</v>
      </c>
      <c r="E631">
        <v>121133.84779688406</v>
      </c>
      <c r="F631">
        <v>44386.189462861206</v>
      </c>
      <c r="G631">
        <v>10000</v>
      </c>
      <c r="H631">
        <v>402294.58921550761</v>
      </c>
      <c r="I631">
        <v>33.78472661105873</v>
      </c>
    </row>
    <row r="632" spans="1:9" x14ac:dyDescent="0.2">
      <c r="A632">
        <v>622</v>
      </c>
      <c r="B632">
        <v>1320421.8505204883</v>
      </c>
      <c r="C632">
        <v>126292.48870916602</v>
      </c>
      <c r="D632">
        <v>56080.325717113083</v>
      </c>
      <c r="E632">
        <v>145373.17878623088</v>
      </c>
      <c r="F632">
        <v>46064.296992892901</v>
      </c>
      <c r="G632">
        <v>10000</v>
      </c>
      <c r="H632">
        <v>363810.29020540294</v>
      </c>
      <c r="I632">
        <v>39.59168313811854</v>
      </c>
    </row>
    <row r="633" spans="1:9" x14ac:dyDescent="0.2">
      <c r="A633">
        <v>623</v>
      </c>
      <c r="B633">
        <v>1108355.9772167169</v>
      </c>
      <c r="C633">
        <v>98535.014819555407</v>
      </c>
      <c r="D633">
        <v>143404.57062548978</v>
      </c>
      <c r="E633">
        <v>35306.947156587943</v>
      </c>
      <c r="F633">
        <v>38444.327110840699</v>
      </c>
      <c r="G633">
        <v>10000</v>
      </c>
      <c r="H633">
        <v>305690.85971247387</v>
      </c>
      <c r="I633">
        <v>40.631957415673284</v>
      </c>
    </row>
    <row r="634" spans="1:9" x14ac:dyDescent="0.2">
      <c r="A634">
        <v>624</v>
      </c>
      <c r="B634">
        <v>1053659.4057066273</v>
      </c>
      <c r="C634">
        <v>116322.90047718858</v>
      </c>
      <c r="D634">
        <v>68885.908154899487</v>
      </c>
      <c r="E634">
        <v>74344.792030774144</v>
      </c>
      <c r="F634">
        <v>41146.947140592056</v>
      </c>
      <c r="G634">
        <v>10000</v>
      </c>
      <c r="H634">
        <v>290700.54780345428</v>
      </c>
      <c r="I634">
        <v>34.665793478079742</v>
      </c>
    </row>
    <row r="635" spans="1:9" x14ac:dyDescent="0.2">
      <c r="A635">
        <v>625</v>
      </c>
      <c r="B635">
        <v>1318564.7545828004</v>
      </c>
      <c r="C635">
        <v>96630.252972521179</v>
      </c>
      <c r="D635">
        <v>111501.80780317949</v>
      </c>
      <c r="E635">
        <v>120805.79017965755</v>
      </c>
      <c r="F635">
        <v>44363.477781668596</v>
      </c>
      <c r="G635">
        <v>10000</v>
      </c>
      <c r="H635">
        <v>363301.32873702684</v>
      </c>
      <c r="I635">
        <v>24.286679324776117</v>
      </c>
    </row>
    <row r="636" spans="1:9" x14ac:dyDescent="0.2">
      <c r="A636">
        <v>626</v>
      </c>
      <c r="B636">
        <v>1457369.8164622758</v>
      </c>
      <c r="C636">
        <v>93289.813825649471</v>
      </c>
      <c r="D636">
        <v>114029.17754710265</v>
      </c>
      <c r="E636">
        <v>157144.45155938488</v>
      </c>
      <c r="F636">
        <v>46879.231261803572</v>
      </c>
      <c r="G636">
        <v>10000</v>
      </c>
      <c r="H636">
        <v>401342.67419394059</v>
      </c>
      <c r="I636">
        <v>35.845805010235914</v>
      </c>
    </row>
    <row r="637" spans="1:9" x14ac:dyDescent="0.2">
      <c r="A637">
        <v>627</v>
      </c>
      <c r="B637">
        <v>1470284.3006310356</v>
      </c>
      <c r="C637">
        <v>119509.98144520476</v>
      </c>
      <c r="D637">
        <v>92755.033174782206</v>
      </c>
      <c r="E637">
        <v>155828.8892592802</v>
      </c>
      <c r="F637">
        <v>46788.153871796327</v>
      </c>
      <c r="G637">
        <v>10000</v>
      </c>
      <c r="H637">
        <v>404882.05775106349</v>
      </c>
      <c r="I637">
        <v>33.353399910703999</v>
      </c>
    </row>
    <row r="638" spans="1:9" x14ac:dyDescent="0.2">
      <c r="A638">
        <v>628</v>
      </c>
      <c r="B638">
        <v>1451243.724007912</v>
      </c>
      <c r="C638">
        <v>132649.89746181568</v>
      </c>
      <c r="D638">
        <v>73852.5081013741</v>
      </c>
      <c r="E638">
        <v>156337.93710069053</v>
      </c>
      <c r="F638">
        <v>46823.395645432414</v>
      </c>
      <c r="G638">
        <v>10000</v>
      </c>
      <c r="H638">
        <v>399663.73830931273</v>
      </c>
      <c r="I638">
        <v>53.632981082775004</v>
      </c>
    </row>
    <row r="639" spans="1:9" x14ac:dyDescent="0.2">
      <c r="A639">
        <v>629</v>
      </c>
      <c r="B639">
        <v>1275498.7233322009</v>
      </c>
      <c r="C639">
        <v>106148.24911579519</v>
      </c>
      <c r="D639">
        <v>77403.359769819901</v>
      </c>
      <c r="E639">
        <v>132756.10273966959</v>
      </c>
      <c r="F639">
        <v>45190.807112746355</v>
      </c>
      <c r="G639">
        <v>10000</v>
      </c>
      <c r="H639">
        <v>351498.51873803098</v>
      </c>
      <c r="I639">
        <v>29.708497243658634</v>
      </c>
    </row>
    <row r="640" spans="1:9" x14ac:dyDescent="0.2">
      <c r="A640">
        <v>630</v>
      </c>
      <c r="B640">
        <v>1396043.0454729465</v>
      </c>
      <c r="C640">
        <v>149418.861489851</v>
      </c>
      <c r="D640">
        <v>45985.519886485068</v>
      </c>
      <c r="E640">
        <v>152568.45630031952</v>
      </c>
      <c r="F640">
        <v>46562.431590022119</v>
      </c>
      <c r="G640">
        <v>10000</v>
      </c>
      <c r="H640">
        <v>384535.26926667773</v>
      </c>
      <c r="I640">
        <v>38.040548197349409</v>
      </c>
    </row>
    <row r="641" spans="1:9" x14ac:dyDescent="0.2">
      <c r="A641">
        <v>631</v>
      </c>
      <c r="B641">
        <v>1161042.2972027573</v>
      </c>
      <c r="C641">
        <v>137743.30716742476</v>
      </c>
      <c r="D641">
        <v>113317.66384999314</v>
      </c>
      <c r="E641">
        <v>40280.607405276663</v>
      </c>
      <c r="F641">
        <v>38788.657435749919</v>
      </c>
      <c r="G641">
        <v>10000</v>
      </c>
      <c r="H641">
        <v>320130.23585844447</v>
      </c>
      <c r="I641">
        <v>37.813245918712141</v>
      </c>
    </row>
    <row r="642" spans="1:9" x14ac:dyDescent="0.2">
      <c r="A642">
        <v>632</v>
      </c>
      <c r="B642">
        <v>1575318.749005849</v>
      </c>
      <c r="C642">
        <v>119220.33281439227</v>
      </c>
      <c r="D642">
        <v>109945.85289248341</v>
      </c>
      <c r="E642">
        <v>166944.2590276784</v>
      </c>
      <c r="F642">
        <v>47557.679471146963</v>
      </c>
      <c r="G642">
        <v>10000</v>
      </c>
      <c r="H642">
        <v>433668.12420570105</v>
      </c>
      <c r="I642">
        <v>40.792705210708483</v>
      </c>
    </row>
    <row r="643" spans="1:9" x14ac:dyDescent="0.2">
      <c r="A643">
        <v>633</v>
      </c>
      <c r="B643">
        <v>1096065.6835301423</v>
      </c>
      <c r="C643">
        <v>125733.7643906578</v>
      </c>
      <c r="D643">
        <v>39416.018465617264</v>
      </c>
      <c r="E643">
        <v>103974.52456138753</v>
      </c>
      <c r="F643">
        <v>43198.236315788374</v>
      </c>
      <c r="G643">
        <v>10000</v>
      </c>
      <c r="H643">
        <v>302322.54373345093</v>
      </c>
      <c r="I643">
        <v>24.965309089463602</v>
      </c>
    </row>
    <row r="644" spans="1:9" x14ac:dyDescent="0.2">
      <c r="A644">
        <v>634</v>
      </c>
      <c r="B644">
        <v>1277719.8653375329</v>
      </c>
      <c r="C644">
        <v>101522.82867060936</v>
      </c>
      <c r="D644">
        <v>126180.32462725186</v>
      </c>
      <c r="E644">
        <v>92032.610109907197</v>
      </c>
      <c r="F644">
        <v>42371.488392224346</v>
      </c>
      <c r="G644">
        <v>10000</v>
      </c>
      <c r="H644">
        <v>352107.25179999281</v>
      </c>
      <c r="I644">
        <v>55.305870941264487</v>
      </c>
    </row>
    <row r="645" spans="1:9" x14ac:dyDescent="0.2">
      <c r="A645">
        <v>635</v>
      </c>
      <c r="B645">
        <v>1167492.9064809063</v>
      </c>
      <c r="C645">
        <v>117872.0371151602</v>
      </c>
      <c r="D645">
        <v>62485.984529264759</v>
      </c>
      <c r="E645">
        <v>108059.07528107397</v>
      </c>
      <c r="F645">
        <v>43481.012904074356</v>
      </c>
      <c r="G645">
        <v>10000</v>
      </c>
      <c r="H645">
        <v>321898.10982957325</v>
      </c>
      <c r="I645">
        <v>39.894666839714503</v>
      </c>
    </row>
    <row r="646" spans="1:9" x14ac:dyDescent="0.2">
      <c r="A646">
        <v>636</v>
      </c>
      <c r="B646">
        <v>1499784.8363248443</v>
      </c>
      <c r="C646">
        <v>106294.06891511747</v>
      </c>
      <c r="D646">
        <v>112629.89688928988</v>
      </c>
      <c r="E646">
        <v>157162.61168834619</v>
      </c>
      <c r="F646">
        <v>46880.488501500891</v>
      </c>
      <c r="G646">
        <v>10000</v>
      </c>
      <c r="H646">
        <v>412967.06599425443</v>
      </c>
      <c r="I646">
        <v>40.17537875075962</v>
      </c>
    </row>
    <row r="647" spans="1:9" x14ac:dyDescent="0.2">
      <c r="A647">
        <v>637</v>
      </c>
      <c r="B647">
        <v>1857508.5996751382</v>
      </c>
      <c r="C647">
        <v>129941.70322603807</v>
      </c>
      <c r="D647">
        <v>148819.71599232254</v>
      </c>
      <c r="E647">
        <v>192890.56767467537</v>
      </c>
      <c r="F647">
        <v>49353.962377477532</v>
      </c>
      <c r="G647">
        <v>10000</v>
      </c>
      <c r="H647">
        <v>511005.94927051355</v>
      </c>
      <c r="I647">
        <v>37.987069783641218</v>
      </c>
    </row>
    <row r="648" spans="1:9" x14ac:dyDescent="0.2">
      <c r="A648">
        <v>638</v>
      </c>
      <c r="B648">
        <v>1130291.6199899013</v>
      </c>
      <c r="C648">
        <v>101556.48976976796</v>
      </c>
      <c r="D648">
        <v>88796.166104037839</v>
      </c>
      <c r="E648">
        <v>89176.216048078946</v>
      </c>
      <c r="F648">
        <v>42173.738034097776</v>
      </c>
      <c r="G648">
        <v>10000</v>
      </c>
      <c r="H648">
        <v>311702.60995598254</v>
      </c>
      <c r="I648">
        <v>49.559432873963353</v>
      </c>
    </row>
    <row r="649" spans="1:9" x14ac:dyDescent="0.2">
      <c r="A649">
        <v>639</v>
      </c>
      <c r="B649">
        <v>1593706.5184394745</v>
      </c>
      <c r="C649">
        <v>124335.87670732164</v>
      </c>
      <c r="D649">
        <v>173379.67069338736</v>
      </c>
      <c r="E649">
        <v>107546.46161920043</v>
      </c>
      <c r="F649">
        <v>43445.524265944645</v>
      </c>
      <c r="G649">
        <v>10000</v>
      </c>
      <c r="H649">
        <v>438707.53328585409</v>
      </c>
      <c r="I649">
        <v>29.031285536691513</v>
      </c>
    </row>
    <row r="650" spans="1:9" x14ac:dyDescent="0.2">
      <c r="A650">
        <v>640</v>
      </c>
      <c r="B650">
        <v>816026.43500831397</v>
      </c>
      <c r="C650">
        <v>83962.779481399717</v>
      </c>
      <c r="D650">
        <v>53071.57476928705</v>
      </c>
      <c r="E650">
        <v>58490.42779870049</v>
      </c>
      <c r="F650">
        <v>40049.337309140807</v>
      </c>
      <c r="G650">
        <v>10000</v>
      </c>
      <c r="H650">
        <v>225574.11935852806</v>
      </c>
      <c r="I650">
        <v>51.634507926206268</v>
      </c>
    </row>
    <row r="651" spans="1:9" x14ac:dyDescent="0.2">
      <c r="A651">
        <v>641</v>
      </c>
      <c r="B651">
        <v>1791754.1406067356</v>
      </c>
      <c r="C651">
        <v>137408.4346872881</v>
      </c>
      <c r="D651">
        <v>126103.59063088178</v>
      </c>
      <c r="E651">
        <v>190298.53887743017</v>
      </c>
      <c r="F651">
        <v>49174.514229975939</v>
      </c>
      <c r="G651">
        <v>10000</v>
      </c>
      <c r="H651">
        <v>492985.07842557592</v>
      </c>
      <c r="I651">
        <v>41.418751218107516</v>
      </c>
    </row>
    <row r="652" spans="1:9" x14ac:dyDescent="0.2">
      <c r="A652">
        <v>642</v>
      </c>
      <c r="B652">
        <v>1518619.9415769768</v>
      </c>
      <c r="C652">
        <v>112257.0371481904</v>
      </c>
      <c r="D652">
        <v>143740.82386238774</v>
      </c>
      <c r="E652">
        <v>127316.96114825836</v>
      </c>
      <c r="F652">
        <v>44814.251156417886</v>
      </c>
      <c r="G652">
        <v>10000</v>
      </c>
      <c r="H652">
        <v>418129.07331525441</v>
      </c>
      <c r="I652">
        <v>28.191338549561927</v>
      </c>
    </row>
    <row r="653" spans="1:9" x14ac:dyDescent="0.2">
      <c r="A653">
        <v>643</v>
      </c>
      <c r="B653">
        <v>971717.04575240833</v>
      </c>
      <c r="C653">
        <v>115391.66788912454</v>
      </c>
      <c r="D653">
        <v>28027.980808303175</v>
      </c>
      <c r="E653">
        <v>92424.876665579286</v>
      </c>
      <c r="F653">
        <v>42398.645307617029</v>
      </c>
      <c r="G653">
        <v>10000</v>
      </c>
      <c r="H653">
        <v>268243.17067062401</v>
      </c>
      <c r="I653">
        <v>37.548151085196039</v>
      </c>
    </row>
    <row r="654" spans="1:9" x14ac:dyDescent="0.2">
      <c r="A654">
        <v>644</v>
      </c>
      <c r="B654">
        <v>1246960.2476726845</v>
      </c>
      <c r="C654">
        <v>131878.35388927942</v>
      </c>
      <c r="D654">
        <v>71310.531520516233</v>
      </c>
      <c r="E654">
        <v>107075.37936092012</v>
      </c>
      <c r="F654">
        <v>43412.910878832932</v>
      </c>
      <c r="G654">
        <v>10000</v>
      </c>
      <c r="H654">
        <v>343677.17564954871</v>
      </c>
      <c r="I654">
        <v>37.535271593029151</v>
      </c>
    </row>
    <row r="655" spans="1:9" x14ac:dyDescent="0.2">
      <c r="A655">
        <v>645</v>
      </c>
      <c r="B655">
        <v>1083084.9887891426</v>
      </c>
      <c r="C655">
        <v>102447.43770375445</v>
      </c>
      <c r="D655">
        <v>74468.088340681134</v>
      </c>
      <c r="E655">
        <v>89643.406283766657</v>
      </c>
      <c r="F655">
        <v>42206.081973491542</v>
      </c>
      <c r="G655">
        <v>10000</v>
      </c>
      <c r="H655">
        <v>298765.01430169377</v>
      </c>
      <c r="I655">
        <v>37.472364687101802</v>
      </c>
    </row>
    <row r="656" spans="1:9" x14ac:dyDescent="0.2">
      <c r="A656">
        <v>646</v>
      </c>
      <c r="B656">
        <v>669675.35841665929</v>
      </c>
      <c r="C656">
        <v>73694.50771139616</v>
      </c>
      <c r="D656">
        <v>55205.723670494597</v>
      </c>
      <c r="E656">
        <v>28585.464634866028</v>
      </c>
      <c r="F656">
        <v>37978.993705490728</v>
      </c>
      <c r="G656">
        <v>10000</v>
      </c>
      <c r="H656">
        <v>185464.68972224751</v>
      </c>
      <c r="I656">
        <v>35.263587664168924</v>
      </c>
    </row>
    <row r="657" spans="1:9" x14ac:dyDescent="0.2">
      <c r="A657">
        <v>647</v>
      </c>
      <c r="B657">
        <v>1364673.4604425209</v>
      </c>
      <c r="C657">
        <v>101167.83251611528</v>
      </c>
      <c r="D657">
        <v>107121.63287646671</v>
      </c>
      <c r="E657">
        <v>132477.06879860602</v>
      </c>
      <c r="F657">
        <v>45171.489378365033</v>
      </c>
      <c r="G657">
        <v>10000</v>
      </c>
      <c r="H657">
        <v>375938.0235695531</v>
      </c>
      <c r="I657">
        <v>47.28240788135102</v>
      </c>
    </row>
    <row r="658" spans="1:9" x14ac:dyDescent="0.2">
      <c r="A658">
        <v>648</v>
      </c>
      <c r="B658">
        <v>1215310.6464218942</v>
      </c>
      <c r="C658">
        <v>117725.85571036628</v>
      </c>
      <c r="D658">
        <v>87042.320447202554</v>
      </c>
      <c r="E658">
        <v>97485.982148304247</v>
      </c>
      <c r="F658">
        <v>42749.029533344139</v>
      </c>
      <c r="G658">
        <v>10000</v>
      </c>
      <c r="H658">
        <v>335003.18783921719</v>
      </c>
      <c r="I658">
        <v>25.036509140048992</v>
      </c>
    </row>
    <row r="659" spans="1:9" x14ac:dyDescent="0.2">
      <c r="A659">
        <v>649</v>
      </c>
      <c r="B659">
        <v>1481265.6306299567</v>
      </c>
      <c r="C659">
        <v>123196.51599325455</v>
      </c>
      <c r="D659">
        <v>148709.23132624183</v>
      </c>
      <c r="E659">
        <v>102864.49934901335</v>
      </c>
      <c r="F659">
        <v>43121.388416470152</v>
      </c>
      <c r="G659">
        <v>10000</v>
      </c>
      <c r="H659">
        <v>407891.63508497982</v>
      </c>
      <c r="I659">
        <v>43.248819475315216</v>
      </c>
    </row>
    <row r="660" spans="1:9" x14ac:dyDescent="0.2">
      <c r="A660">
        <v>650</v>
      </c>
      <c r="B660">
        <v>1598226.1994520465</v>
      </c>
      <c r="C660">
        <v>122444.97674875762</v>
      </c>
      <c r="D660">
        <v>87480.323805702588</v>
      </c>
      <c r="E660">
        <v>190810.92350560988</v>
      </c>
      <c r="F660">
        <v>49209.987011926845</v>
      </c>
      <c r="G660">
        <v>10000</v>
      </c>
      <c r="H660">
        <v>439946.21107199695</v>
      </c>
      <c r="I660">
        <v>34.438272954800283</v>
      </c>
    </row>
    <row r="661" spans="1:9" x14ac:dyDescent="0.2">
      <c r="A661">
        <v>651</v>
      </c>
      <c r="B661">
        <v>1413151.4862178047</v>
      </c>
      <c r="C661">
        <v>155385.86993074228</v>
      </c>
      <c r="D661">
        <v>59368.399712070925</v>
      </c>
      <c r="E661">
        <v>138856.63992382697</v>
      </c>
      <c r="F661">
        <v>45613.151994726482</v>
      </c>
      <c r="G661">
        <v>10000</v>
      </c>
      <c r="H661">
        <v>389224.06156136666</v>
      </c>
      <c r="I661">
        <v>29.580667144431118</v>
      </c>
    </row>
    <row r="662" spans="1:9" x14ac:dyDescent="0.2">
      <c r="A662">
        <v>652</v>
      </c>
      <c r="B662">
        <v>1271770.8907677059</v>
      </c>
      <c r="C662">
        <v>109052.23239013221</v>
      </c>
      <c r="D662">
        <v>62278.852807954216</v>
      </c>
      <c r="E662">
        <v>143229.85888615286</v>
      </c>
      <c r="F662">
        <v>45915.913307502888</v>
      </c>
      <c r="G662">
        <v>10000</v>
      </c>
      <c r="H662">
        <v>350476.85739174217</v>
      </c>
      <c r="I662">
        <v>33.752284195718758</v>
      </c>
    </row>
    <row r="663" spans="1:9" x14ac:dyDescent="0.2">
      <c r="A663">
        <v>653</v>
      </c>
      <c r="B663">
        <v>1215674.3293029931</v>
      </c>
      <c r="C663">
        <v>121353.86773713036</v>
      </c>
      <c r="D663">
        <v>52491.611568016058</v>
      </c>
      <c r="E663">
        <v>126499.70846698858</v>
      </c>
      <c r="F663">
        <v>44757.672124637676</v>
      </c>
      <c r="G663">
        <v>10000</v>
      </c>
      <c r="H663">
        <v>335102.85989677272</v>
      </c>
      <c r="I663">
        <v>32.899789785244394</v>
      </c>
    </row>
    <row r="664" spans="1:9" x14ac:dyDescent="0.2">
      <c r="A664">
        <v>654</v>
      </c>
      <c r="B664">
        <v>1318723.8339813715</v>
      </c>
      <c r="C664">
        <v>126129.57215507799</v>
      </c>
      <c r="D664">
        <v>127436.05296327306</v>
      </c>
      <c r="E664">
        <v>78354.742327472923</v>
      </c>
      <c r="F664">
        <v>41424.559084209664</v>
      </c>
      <c r="G664">
        <v>10000</v>
      </c>
      <c r="H664">
        <v>363344.92653003364</v>
      </c>
      <c r="I664">
        <v>42.479635074142067</v>
      </c>
    </row>
    <row r="665" spans="1:9" x14ac:dyDescent="0.2">
      <c r="A665">
        <v>655</v>
      </c>
      <c r="B665">
        <v>1283853.6717227947</v>
      </c>
      <c r="C665">
        <v>90240.631871560137</v>
      </c>
      <c r="D665">
        <v>40237.664669813435</v>
      </c>
      <c r="E665">
        <v>184534.53728142005</v>
      </c>
      <c r="F665">
        <v>48775.467965636766</v>
      </c>
      <c r="G665">
        <v>10000</v>
      </c>
      <c r="H665">
        <v>353788.30178843037</v>
      </c>
      <c r="I665">
        <v>32.994515993390507</v>
      </c>
    </row>
    <row r="666" spans="1:9" x14ac:dyDescent="0.2">
      <c r="A666">
        <v>656</v>
      </c>
      <c r="B666">
        <v>754169.69518625888</v>
      </c>
      <c r="C666">
        <v>98286.336030889666</v>
      </c>
      <c r="D666">
        <v>56209.516047462894</v>
      </c>
      <c r="E666">
        <v>26304.534307705006</v>
      </c>
      <c r="F666">
        <v>37821.083144379576</v>
      </c>
      <c r="G666">
        <v>10000</v>
      </c>
      <c r="H666">
        <v>208621.46953043714</v>
      </c>
      <c r="I666">
        <v>36.073704432979667</v>
      </c>
    </row>
    <row r="667" spans="1:9" x14ac:dyDescent="0.2">
      <c r="A667">
        <v>657</v>
      </c>
      <c r="B667">
        <v>1278524.1166857253</v>
      </c>
      <c r="C667">
        <v>88002.213797718709</v>
      </c>
      <c r="D667">
        <v>76043.320336036355</v>
      </c>
      <c r="E667">
        <v>151774.65702758211</v>
      </c>
      <c r="F667">
        <v>46507.47625575569</v>
      </c>
      <c r="G667">
        <v>10000</v>
      </c>
      <c r="H667">
        <v>352327.66741709289</v>
      </c>
      <c r="I667">
        <v>34.190470757769816</v>
      </c>
    </row>
    <row r="668" spans="1:9" x14ac:dyDescent="0.2">
      <c r="A668">
        <v>658</v>
      </c>
      <c r="B668">
        <v>1680613.7024302173</v>
      </c>
      <c r="C668">
        <v>125435.71490147374</v>
      </c>
      <c r="D668">
        <v>127290.20931830051</v>
      </c>
      <c r="E668">
        <v>171898.96377005498</v>
      </c>
      <c r="F668">
        <v>47900.697491773033</v>
      </c>
      <c r="G668">
        <v>10000</v>
      </c>
      <c r="H668">
        <v>462525.58548160229</v>
      </c>
      <c r="I668">
        <v>41.198060888804761</v>
      </c>
    </row>
    <row r="669" spans="1:9" x14ac:dyDescent="0.2">
      <c r="A669">
        <v>659</v>
      </c>
      <c r="B669">
        <v>1036025.5721847103</v>
      </c>
      <c r="C669">
        <v>90810.151623567959</v>
      </c>
      <c r="D669">
        <v>118331.22116369879</v>
      </c>
      <c r="E669">
        <v>47441.949304510839</v>
      </c>
      <c r="F669">
        <v>39284.442644158444</v>
      </c>
      <c r="G669">
        <v>10000</v>
      </c>
      <c r="H669">
        <v>285867.76473593601</v>
      </c>
      <c r="I669">
        <v>37.749396080571529</v>
      </c>
    </row>
    <row r="670" spans="1:9" x14ac:dyDescent="0.2">
      <c r="A670">
        <v>660</v>
      </c>
      <c r="B670">
        <v>1171039.9269765087</v>
      </c>
      <c r="C670">
        <v>126122.95918344781</v>
      </c>
      <c r="D670">
        <v>101558.80935414124</v>
      </c>
      <c r="E670">
        <v>64708.621107170038</v>
      </c>
      <c r="F670">
        <v>40479.827615111768</v>
      </c>
      <c r="G670">
        <v>10000</v>
      </c>
      <c r="H670">
        <v>322870.2172598709</v>
      </c>
      <c r="I670">
        <v>36.589014072833393</v>
      </c>
    </row>
    <row r="671" spans="1:9" x14ac:dyDescent="0.2">
      <c r="A671">
        <v>661</v>
      </c>
      <c r="B671">
        <v>1170976.461688332</v>
      </c>
      <c r="C671">
        <v>121170.56190130967</v>
      </c>
      <c r="D671">
        <v>84826.021787610807</v>
      </c>
      <c r="E671">
        <v>84973.461942868526</v>
      </c>
      <c r="F671">
        <v>41882.778134506283</v>
      </c>
      <c r="G671">
        <v>10000</v>
      </c>
      <c r="H671">
        <v>322852.82376629533</v>
      </c>
      <c r="I671">
        <v>25.002683091246858</v>
      </c>
    </row>
    <row r="672" spans="1:9" x14ac:dyDescent="0.2">
      <c r="A672">
        <v>662</v>
      </c>
      <c r="B672">
        <v>1595898.2261493255</v>
      </c>
      <c r="C672">
        <v>112250.46892340817</v>
      </c>
      <c r="D672">
        <v>89786.327448593176</v>
      </c>
      <c r="E672">
        <v>197591.95975398566</v>
      </c>
      <c r="F672">
        <v>49679.443367583619</v>
      </c>
      <c r="G672">
        <v>10000</v>
      </c>
      <c r="H672">
        <v>439308.19949357066</v>
      </c>
      <c r="I672">
        <v>24.209203601411815</v>
      </c>
    </row>
    <row r="673" spans="1:9" x14ac:dyDescent="0.2">
      <c r="A673">
        <v>663</v>
      </c>
      <c r="B673">
        <v>1691843.1985173293</v>
      </c>
      <c r="C673">
        <v>144204.54220001007</v>
      </c>
      <c r="D673">
        <v>103550.57061404551</v>
      </c>
      <c r="E673">
        <v>179426.24612903112</v>
      </c>
      <c r="F673">
        <v>48421.817039702153</v>
      </c>
      <c r="G673">
        <v>10000</v>
      </c>
      <c r="H673">
        <v>465603.17598278885</v>
      </c>
      <c r="I673">
        <v>38.849925354932623</v>
      </c>
    </row>
    <row r="674" spans="1:9" x14ac:dyDescent="0.2">
      <c r="A674">
        <v>664</v>
      </c>
      <c r="B674">
        <v>1562053.5921240353</v>
      </c>
      <c r="C674">
        <v>130250.02541196294</v>
      </c>
      <c r="D674">
        <v>128425.09838151695</v>
      </c>
      <c r="E674">
        <v>135945.87304019817</v>
      </c>
      <c r="F674">
        <v>45411.63736432141</v>
      </c>
      <c r="G674">
        <v>10000</v>
      </c>
      <c r="H674">
        <v>430032.63419799943</v>
      </c>
      <c r="I674">
        <v>40.13523947440595</v>
      </c>
    </row>
    <row r="675" spans="1:9" x14ac:dyDescent="0.2">
      <c r="A675">
        <v>665</v>
      </c>
      <c r="B675">
        <v>1311185.8502691309</v>
      </c>
      <c r="C675">
        <v>125858.14535843729</v>
      </c>
      <c r="D675">
        <v>74918.324234859771</v>
      </c>
      <c r="E675">
        <v>125793.77401837014</v>
      </c>
      <c r="F675">
        <v>44708.799739733317</v>
      </c>
      <c r="G675">
        <v>10000</v>
      </c>
      <c r="H675">
        <v>361279.04335140053</v>
      </c>
      <c r="I675">
        <v>46.886362552990619</v>
      </c>
    </row>
    <row r="676" spans="1:9" x14ac:dyDescent="0.2">
      <c r="A676">
        <v>666</v>
      </c>
      <c r="B676">
        <v>1026288.4254593574</v>
      </c>
      <c r="C676">
        <v>90508.938253891334</v>
      </c>
      <c r="D676">
        <v>50628.901545752589</v>
      </c>
      <c r="E676">
        <v>108546.56980169183</v>
      </c>
      <c r="F676">
        <v>43514.762524732512</v>
      </c>
      <c r="G676">
        <v>10000</v>
      </c>
      <c r="H676">
        <v>283199.17212606827</v>
      </c>
      <c r="I676">
        <v>48.619638575117271</v>
      </c>
    </row>
    <row r="677" spans="1:9" x14ac:dyDescent="0.2">
      <c r="A677">
        <v>667</v>
      </c>
      <c r="B677">
        <v>1202238.3294608677</v>
      </c>
      <c r="C677">
        <v>165128.33974899835</v>
      </c>
      <c r="D677">
        <v>94533.965808005989</v>
      </c>
      <c r="E677">
        <v>42795.478672756646</v>
      </c>
      <c r="F677">
        <v>38962.76390811392</v>
      </c>
      <c r="G677">
        <v>10000</v>
      </c>
      <c r="H677">
        <v>331420.54813787492</v>
      </c>
      <c r="I677">
        <v>39.68493851582933</v>
      </c>
    </row>
    <row r="678" spans="1:9" x14ac:dyDescent="0.2">
      <c r="A678">
        <v>668</v>
      </c>
      <c r="B678">
        <v>1346845.8936793057</v>
      </c>
      <c r="C678">
        <v>113773.71304443917</v>
      </c>
      <c r="D678">
        <v>79951.774626893428</v>
      </c>
      <c r="E678">
        <v>141528.5287824471</v>
      </c>
      <c r="F678">
        <v>45798.128915707879</v>
      </c>
      <c r="G678">
        <v>10000</v>
      </c>
      <c r="H678">
        <v>371052.14536948758</v>
      </c>
      <c r="I678">
        <v>39.880021171033619</v>
      </c>
    </row>
    <row r="679" spans="1:9" x14ac:dyDescent="0.2">
      <c r="A679">
        <v>669</v>
      </c>
      <c r="B679">
        <v>1529937.3952578444</v>
      </c>
      <c r="C679">
        <v>126657.98226532093</v>
      </c>
      <c r="D679">
        <v>109133.6244635746</v>
      </c>
      <c r="E679">
        <v>149115.76397394677</v>
      </c>
      <c r="F679">
        <v>46323.399044350161</v>
      </c>
      <c r="G679">
        <v>10000</v>
      </c>
      <c r="H679">
        <v>421230.76974719239</v>
      </c>
      <c r="I679">
        <v>32.71179567723992</v>
      </c>
    </row>
    <row r="680" spans="1:9" x14ac:dyDescent="0.2">
      <c r="A680">
        <v>670</v>
      </c>
      <c r="B680">
        <v>1241773.4055235744</v>
      </c>
      <c r="C680">
        <v>103955.02327345665</v>
      </c>
      <c r="D680">
        <v>111614.28911784582</v>
      </c>
      <c r="E680">
        <v>94167.081719626207</v>
      </c>
      <c r="F680">
        <v>42519.259503666435</v>
      </c>
      <c r="G680">
        <v>10000</v>
      </c>
      <c r="H680">
        <v>342255.65361459512</v>
      </c>
      <c r="I680">
        <v>44.167223676098118</v>
      </c>
    </row>
    <row r="681" spans="1:9" x14ac:dyDescent="0.2">
      <c r="A681">
        <v>671</v>
      </c>
      <c r="B681">
        <v>984893.05669090932</v>
      </c>
      <c r="C681">
        <v>102079.64969350579</v>
      </c>
      <c r="D681">
        <v>109712.67215756644</v>
      </c>
      <c r="E681">
        <v>31856.459984072644</v>
      </c>
      <c r="F681">
        <v>38205.447229666563</v>
      </c>
      <c r="G681">
        <v>10000</v>
      </c>
      <c r="H681">
        <v>271854.22906481149</v>
      </c>
      <c r="I681">
        <v>41.487156337877927</v>
      </c>
    </row>
    <row r="682" spans="1:9" x14ac:dyDescent="0.2">
      <c r="A682">
        <v>672</v>
      </c>
      <c r="B682">
        <v>1763890.0404123273</v>
      </c>
      <c r="C682">
        <v>110551.52001823782</v>
      </c>
      <c r="D682">
        <v>149291.17139217627</v>
      </c>
      <c r="E682">
        <v>186588.21939838753</v>
      </c>
      <c r="F682">
        <v>48917.645958349909</v>
      </c>
      <c r="G682">
        <v>10000</v>
      </c>
      <c r="H682">
        <v>485348.55676715157</v>
      </c>
      <c r="I682">
        <v>26.334204292480742</v>
      </c>
    </row>
    <row r="683" spans="1:9" x14ac:dyDescent="0.2">
      <c r="A683">
        <v>673</v>
      </c>
      <c r="B683">
        <v>1105794.6245076912</v>
      </c>
      <c r="C683">
        <v>78058.718862608002</v>
      </c>
      <c r="D683">
        <v>80833.229832198311</v>
      </c>
      <c r="E683">
        <v>112320.87797308508</v>
      </c>
      <c r="F683">
        <v>43776.060782752043</v>
      </c>
      <c r="G683">
        <v>10000</v>
      </c>
      <c r="H683">
        <v>304988.88745064347</v>
      </c>
      <c r="I683">
        <v>36.355601870724158</v>
      </c>
    </row>
    <row r="684" spans="1:9" x14ac:dyDescent="0.2">
      <c r="A684">
        <v>674</v>
      </c>
      <c r="B684">
        <v>1348854.3119126596</v>
      </c>
      <c r="C684">
        <v>124342.08244454862</v>
      </c>
      <c r="D684">
        <v>43498.620866209851</v>
      </c>
      <c r="E684">
        <v>166252.11366890851</v>
      </c>
      <c r="F684">
        <v>47509.761715539818</v>
      </c>
      <c r="G684">
        <v>10000</v>
      </c>
      <c r="H684">
        <v>371602.57869520679</v>
      </c>
      <c r="I684">
        <v>25.946771365900677</v>
      </c>
    </row>
    <row r="685" spans="1:9" x14ac:dyDescent="0.2">
      <c r="A685">
        <v>675</v>
      </c>
      <c r="B685">
        <v>1153511.9746001866</v>
      </c>
      <c r="C685">
        <v>134019.04469739064</v>
      </c>
      <c r="D685">
        <v>96838.660365325923</v>
      </c>
      <c r="E685">
        <v>57245.590948144971</v>
      </c>
      <c r="F685">
        <v>39963.156296410038</v>
      </c>
      <c r="G685">
        <v>10000</v>
      </c>
      <c r="H685">
        <v>318066.45230727154</v>
      </c>
      <c r="I685">
        <v>29.632930657375603</v>
      </c>
    </row>
    <row r="686" spans="1:9" x14ac:dyDescent="0.2">
      <c r="A686">
        <v>676</v>
      </c>
      <c r="B686">
        <v>988437.89405428711</v>
      </c>
      <c r="C686">
        <v>130144.53403715465</v>
      </c>
      <c r="D686">
        <v>50255.435215726655</v>
      </c>
      <c r="E686">
        <v>62124.819859077266</v>
      </c>
      <c r="F686">
        <v>40300.94906716689</v>
      </c>
      <c r="G686">
        <v>10000</v>
      </c>
      <c r="H686">
        <v>272825.73817912547</v>
      </c>
      <c r="I686">
        <v>35.219691030288608</v>
      </c>
    </row>
    <row r="687" spans="1:9" x14ac:dyDescent="0.2">
      <c r="A687">
        <v>677</v>
      </c>
      <c r="B687">
        <v>1434790.9659077795</v>
      </c>
      <c r="C687">
        <v>105918.88449597236</v>
      </c>
      <c r="D687">
        <v>92865.218949693081</v>
      </c>
      <c r="E687">
        <v>159339.35487967348</v>
      </c>
      <c r="F687">
        <v>47031.186107054316</v>
      </c>
      <c r="G687">
        <v>10000</v>
      </c>
      <c r="H687">
        <v>395154.64443239319</v>
      </c>
      <c r="I687">
        <v>40.344904815760202</v>
      </c>
    </row>
    <row r="688" spans="1:9" x14ac:dyDescent="0.2">
      <c r="A688">
        <v>678</v>
      </c>
      <c r="B688">
        <v>1337677.2167508574</v>
      </c>
      <c r="C688">
        <v>88695.029683670204</v>
      </c>
      <c r="D688">
        <v>69204.270051594343</v>
      </c>
      <c r="E688">
        <v>172684.93849235814</v>
      </c>
      <c r="F688">
        <v>47955.111126394018</v>
      </c>
      <c r="G688">
        <v>10000</v>
      </c>
      <c r="H688">
        <v>368539.34935401671</v>
      </c>
      <c r="I688">
        <v>38.264735240276323</v>
      </c>
    </row>
    <row r="689" spans="1:9" x14ac:dyDescent="0.2">
      <c r="A689">
        <v>679</v>
      </c>
      <c r="B689">
        <v>822043.19864863716</v>
      </c>
      <c r="C689">
        <v>105556.48881711163</v>
      </c>
      <c r="D689">
        <v>48609.873779431568</v>
      </c>
      <c r="E689">
        <v>44009.891042368668</v>
      </c>
      <c r="F689">
        <v>39046.83861062552</v>
      </c>
      <c r="G689">
        <v>10000</v>
      </c>
      <c r="H689">
        <v>227223.09224953741</v>
      </c>
      <c r="I689">
        <v>30.987891959510677</v>
      </c>
    </row>
    <row r="690" spans="1:9" x14ac:dyDescent="0.2">
      <c r="A690">
        <v>680</v>
      </c>
      <c r="B690">
        <v>1141270.3250544111</v>
      </c>
      <c r="C690">
        <v>125369.27711611372</v>
      </c>
      <c r="D690">
        <v>92100.875422890138</v>
      </c>
      <c r="E690">
        <v>66628.568315975004</v>
      </c>
      <c r="F690">
        <v>40612.747037259811</v>
      </c>
      <c r="G690">
        <v>10000</v>
      </c>
      <c r="H690">
        <v>314711.4678922387</v>
      </c>
      <c r="I690">
        <v>36.899014810805909</v>
      </c>
    </row>
    <row r="691" spans="1:9" x14ac:dyDescent="0.2">
      <c r="A691">
        <v>681</v>
      </c>
      <c r="B691">
        <v>814632.62642222352</v>
      </c>
      <c r="C691">
        <v>108796.3005896262</v>
      </c>
      <c r="D691">
        <v>54085.074251386264</v>
      </c>
      <c r="E691">
        <v>33959.697065869688</v>
      </c>
      <c r="F691">
        <v>38351.05595071405</v>
      </c>
      <c r="G691">
        <v>10000</v>
      </c>
      <c r="H691">
        <v>225192.12785759621</v>
      </c>
      <c r="I691">
        <v>33.804320177798559</v>
      </c>
    </row>
    <row r="692" spans="1:9" x14ac:dyDescent="0.2">
      <c r="A692">
        <v>682</v>
      </c>
      <c r="B692">
        <v>901490.00690356421</v>
      </c>
      <c r="C692">
        <v>116524.7922987551</v>
      </c>
      <c r="D692">
        <v>56786.993555589514</v>
      </c>
      <c r="E692">
        <v>46467.747023967189</v>
      </c>
      <c r="F692">
        <v>39216.997870890038</v>
      </c>
      <c r="G692">
        <v>10000</v>
      </c>
      <c r="H692">
        <v>248996.53074920183</v>
      </c>
      <c r="I692">
        <v>42.295199372914951</v>
      </c>
    </row>
    <row r="693" spans="1:9" x14ac:dyDescent="0.2">
      <c r="A693">
        <v>683</v>
      </c>
      <c r="B693">
        <v>1194163.383030727</v>
      </c>
      <c r="C693">
        <v>126364.50035264119</v>
      </c>
      <c r="D693">
        <v>74855.634981151321</v>
      </c>
      <c r="E693">
        <v>95383.869313961535</v>
      </c>
      <c r="F693">
        <v>42603.498644812717</v>
      </c>
      <c r="G693">
        <v>10000</v>
      </c>
      <c r="H693">
        <v>329207.50329256675</v>
      </c>
      <c r="I693">
        <v>37.074324560350789</v>
      </c>
    </row>
    <row r="694" spans="1:9" x14ac:dyDescent="0.2">
      <c r="A694">
        <v>684</v>
      </c>
      <c r="B694">
        <v>914858.91838884458</v>
      </c>
      <c r="C694">
        <v>114752.56052454423</v>
      </c>
      <c r="D694">
        <v>80795.953059312713</v>
      </c>
      <c r="E694">
        <v>29097.500162309836</v>
      </c>
      <c r="F694">
        <v>38014.442318929141</v>
      </c>
      <c r="G694">
        <v>10000</v>
      </c>
      <c r="H694">
        <v>252660.4560650959</v>
      </c>
      <c r="I694">
        <v>37.741719479232572</v>
      </c>
    </row>
    <row r="695" spans="1:9" x14ac:dyDescent="0.2">
      <c r="A695">
        <v>685</v>
      </c>
      <c r="B695">
        <v>1808228.8532283555</v>
      </c>
      <c r="C695">
        <v>142019.6818974787</v>
      </c>
      <c r="D695">
        <v>124891.38418885101</v>
      </c>
      <c r="E695">
        <v>191342.34538307812</v>
      </c>
      <c r="F695">
        <v>49246.777757290023</v>
      </c>
      <c r="G695">
        <v>10000</v>
      </c>
      <c r="H695">
        <v>497500.1892266979</v>
      </c>
      <c r="I695">
        <v>31.300111663997036</v>
      </c>
    </row>
    <row r="696" spans="1:9" x14ac:dyDescent="0.2">
      <c r="A696">
        <v>686</v>
      </c>
      <c r="B696">
        <v>1245185.731855819</v>
      </c>
      <c r="C696">
        <v>132779.67506884362</v>
      </c>
      <c r="D696">
        <v>125883.22223397258</v>
      </c>
      <c r="E696">
        <v>54738.369607821674</v>
      </c>
      <c r="F696">
        <v>39789.579434387655</v>
      </c>
      <c r="G696">
        <v>10000</v>
      </c>
      <c r="H696">
        <v>343190.84634502558</v>
      </c>
      <c r="I696">
        <v>52.653402689075897</v>
      </c>
    </row>
    <row r="697" spans="1:9" x14ac:dyDescent="0.2">
      <c r="A697">
        <v>687</v>
      </c>
      <c r="B697">
        <v>1097987.7113672092</v>
      </c>
      <c r="C697">
        <v>94312.006344932379</v>
      </c>
      <c r="D697">
        <v>77880.653102338008</v>
      </c>
      <c r="E697">
        <v>97880.311906321527</v>
      </c>
      <c r="F697">
        <v>42776.329285822263</v>
      </c>
      <c r="G697">
        <v>10000</v>
      </c>
      <c r="H697">
        <v>302849.30063941417</v>
      </c>
      <c r="I697">
        <v>42.346610711719613</v>
      </c>
    </row>
    <row r="698" spans="1:9" x14ac:dyDescent="0.2">
      <c r="A698">
        <v>688</v>
      </c>
      <c r="B698">
        <v>1498314.2024909048</v>
      </c>
      <c r="C698">
        <v>88602.619110568281</v>
      </c>
      <c r="D698">
        <v>107327.05108689475</v>
      </c>
      <c r="E698">
        <v>178291.11807872565</v>
      </c>
      <c r="F698">
        <v>48343.231251604091</v>
      </c>
      <c r="G698">
        <v>10000</v>
      </c>
      <c r="H698">
        <v>412564.01952779276</v>
      </c>
      <c r="I698">
        <v>40.819955266264344</v>
      </c>
    </row>
    <row r="699" spans="1:9" x14ac:dyDescent="0.2">
      <c r="A699">
        <v>689</v>
      </c>
      <c r="B699">
        <v>1155205.7860013861</v>
      </c>
      <c r="C699">
        <v>130473.68514954831</v>
      </c>
      <c r="D699">
        <v>109037.8156039958</v>
      </c>
      <c r="E699">
        <v>49586.267325723711</v>
      </c>
      <c r="F699">
        <v>39432.89543024241</v>
      </c>
      <c r="G699">
        <v>10000</v>
      </c>
      <c r="H699">
        <v>318530.66350951022</v>
      </c>
      <c r="I699">
        <v>29.563917855325553</v>
      </c>
    </row>
    <row r="700" spans="1:9" x14ac:dyDescent="0.2">
      <c r="A700">
        <v>690</v>
      </c>
      <c r="B700">
        <v>1368538.4199176491</v>
      </c>
      <c r="C700">
        <v>149879.98892237601</v>
      </c>
      <c r="D700">
        <v>64007.342070567676</v>
      </c>
      <c r="E700">
        <v>128232.31363577733</v>
      </c>
      <c r="F700">
        <v>44877.621713246124</v>
      </c>
      <c r="G700">
        <v>10000</v>
      </c>
      <c r="H700">
        <v>376997.26634196716</v>
      </c>
      <c r="I700">
        <v>44.692057577480412</v>
      </c>
    </row>
    <row r="701" spans="1:9" x14ac:dyDescent="0.2">
      <c r="A701">
        <v>691</v>
      </c>
      <c r="B701">
        <v>1395452.8071401445</v>
      </c>
      <c r="C701">
        <v>92193.782157629859</v>
      </c>
      <c r="D701">
        <v>98269.849604458272</v>
      </c>
      <c r="E701">
        <v>157038.01255043951</v>
      </c>
      <c r="F701">
        <v>46871.862407338122</v>
      </c>
      <c r="G701">
        <v>10000</v>
      </c>
      <c r="H701">
        <v>384373.50671986572</v>
      </c>
      <c r="I701">
        <v>49.519772765824015</v>
      </c>
    </row>
    <row r="702" spans="1:9" x14ac:dyDescent="0.2">
      <c r="A702">
        <v>692</v>
      </c>
      <c r="B702">
        <v>831602.16315543046</v>
      </c>
      <c r="C702">
        <v>114938.90364608668</v>
      </c>
      <c r="D702">
        <v>50915.070066304375</v>
      </c>
      <c r="E702">
        <v>35529.166452332887</v>
      </c>
      <c r="F702">
        <v>38459.711523623046</v>
      </c>
      <c r="G702">
        <v>10000</v>
      </c>
      <c r="H702">
        <v>229842.851688347</v>
      </c>
      <c r="I702">
        <v>37.434066606648884</v>
      </c>
    </row>
    <row r="703" spans="1:9" x14ac:dyDescent="0.2">
      <c r="A703">
        <v>693</v>
      </c>
      <c r="B703">
        <v>1175065.8838263371</v>
      </c>
      <c r="C703">
        <v>102617.08496306922</v>
      </c>
      <c r="D703">
        <v>101178.97982037516</v>
      </c>
      <c r="E703">
        <v>88079.69373728674</v>
      </c>
      <c r="F703">
        <v>42097.824951042923</v>
      </c>
      <c r="G703">
        <v>10000</v>
      </c>
      <c r="H703">
        <v>323973.58347177407</v>
      </c>
      <c r="I703">
        <v>41.108470717545551</v>
      </c>
    </row>
    <row r="704" spans="1:9" x14ac:dyDescent="0.2">
      <c r="A704">
        <v>694</v>
      </c>
      <c r="B704">
        <v>1536841.6277285223</v>
      </c>
      <c r="C704">
        <v>111904.06091310675</v>
      </c>
      <c r="D704">
        <v>150203.3278378988</v>
      </c>
      <c r="E704">
        <v>126273.56061078093</v>
      </c>
      <c r="F704">
        <v>44742.015734592533</v>
      </c>
      <c r="G704">
        <v>10000</v>
      </c>
      <c r="H704">
        <v>423122.96509637899</v>
      </c>
      <c r="I704">
        <v>43.35948183895691</v>
      </c>
    </row>
    <row r="705" spans="1:9" x14ac:dyDescent="0.2">
      <c r="A705">
        <v>695</v>
      </c>
      <c r="B705">
        <v>966214.02697977354</v>
      </c>
      <c r="C705">
        <v>100003.94566164982</v>
      </c>
      <c r="D705">
        <v>66884.601862223077</v>
      </c>
      <c r="E705">
        <v>69065.024026156447</v>
      </c>
      <c r="F705">
        <v>40781.42474027237</v>
      </c>
      <c r="G705">
        <v>10000</v>
      </c>
      <c r="H705">
        <v>266734.99629030167</v>
      </c>
      <c r="I705">
        <v>37.110870347151504</v>
      </c>
    </row>
    <row r="706" spans="1:9" x14ac:dyDescent="0.2">
      <c r="A706">
        <v>696</v>
      </c>
      <c r="B706">
        <v>1775178.3979481675</v>
      </c>
      <c r="C706">
        <v>78143.508629018135</v>
      </c>
      <c r="D706">
        <v>167003.01637703742</v>
      </c>
      <c r="E706">
        <v>203226.24476068732</v>
      </c>
      <c r="F706">
        <v>50069.509252662967</v>
      </c>
      <c r="G706">
        <v>10000</v>
      </c>
      <c r="H706">
        <v>488442.27901940577</v>
      </c>
      <c r="I706">
        <v>46.872916733971898</v>
      </c>
    </row>
    <row r="707" spans="1:9" x14ac:dyDescent="0.2">
      <c r="A707">
        <v>697</v>
      </c>
      <c r="B707">
        <v>1232312.9561014166</v>
      </c>
      <c r="C707">
        <v>89571.433165595852</v>
      </c>
      <c r="D707">
        <v>75518.210387539017</v>
      </c>
      <c r="E707">
        <v>138953.39925445724</v>
      </c>
      <c r="F707">
        <v>45619.850717616268</v>
      </c>
      <c r="G707">
        <v>10000</v>
      </c>
      <c r="H707">
        <v>339662.89352520835</v>
      </c>
      <c r="I707">
        <v>38.47585335902091</v>
      </c>
    </row>
    <row r="708" spans="1:9" x14ac:dyDescent="0.2">
      <c r="A708">
        <v>698</v>
      </c>
      <c r="B708">
        <v>1208582.8314310261</v>
      </c>
      <c r="C708">
        <v>114372.58410708664</v>
      </c>
      <c r="D708">
        <v>54295.757546225992</v>
      </c>
      <c r="E708">
        <v>129523.95716935719</v>
      </c>
      <c r="F708">
        <v>44967.043188647804</v>
      </c>
      <c r="G708">
        <v>10000</v>
      </c>
      <c r="H708">
        <v>333159.34201131761</v>
      </c>
      <c r="I708">
        <v>44.930489534219319</v>
      </c>
    </row>
    <row r="709" spans="1:9" x14ac:dyDescent="0.2">
      <c r="A709">
        <v>699</v>
      </c>
      <c r="B709">
        <v>1118307.2357473401</v>
      </c>
      <c r="C709">
        <v>78734.350698677154</v>
      </c>
      <c r="D709">
        <v>64991.780686600636</v>
      </c>
      <c r="E709">
        <v>129711.94345799729</v>
      </c>
      <c r="F709">
        <v>44980.057624015193</v>
      </c>
      <c r="G709">
        <v>10000</v>
      </c>
      <c r="H709">
        <v>308418.13246729027</v>
      </c>
      <c r="I709">
        <v>30.997265712043916</v>
      </c>
    </row>
    <row r="710" spans="1:9" x14ac:dyDescent="0.2">
      <c r="A710">
        <v>700</v>
      </c>
      <c r="B710">
        <v>1287222.5121763926</v>
      </c>
      <c r="C710">
        <v>113105.11597542079</v>
      </c>
      <c r="D710">
        <v>61091.795315161624</v>
      </c>
      <c r="E710">
        <v>144510.11867602964</v>
      </c>
      <c r="F710">
        <v>46004.546677571285</v>
      </c>
      <c r="G710">
        <v>10000</v>
      </c>
      <c r="H710">
        <v>354711.57664418337</v>
      </c>
      <c r="I710">
        <v>32.816503327372423</v>
      </c>
    </row>
    <row r="711" spans="1:9" x14ac:dyDescent="0.2">
      <c r="A711">
        <v>701</v>
      </c>
      <c r="B711">
        <v>1026892.8450125342</v>
      </c>
      <c r="C711">
        <v>99746.770374596337</v>
      </c>
      <c r="D711">
        <v>72669.337784391202</v>
      </c>
      <c r="E711">
        <v>79448.436677719932</v>
      </c>
      <c r="F711">
        <v>41500.27638538061</v>
      </c>
      <c r="G711">
        <v>10000</v>
      </c>
      <c r="H711">
        <v>283364.82122208807</v>
      </c>
      <c r="I711">
        <v>28.781382209050317</v>
      </c>
    </row>
    <row r="712" spans="1:9" x14ac:dyDescent="0.2">
      <c r="A712">
        <v>702</v>
      </c>
      <c r="B712">
        <v>1316571.2356633253</v>
      </c>
      <c r="C712">
        <v>110321.07847065465</v>
      </c>
      <c r="D712">
        <v>93197.559044555659</v>
      </c>
      <c r="E712">
        <v>124609.52778612032</v>
      </c>
      <c r="F712">
        <v>44626.813462116021</v>
      </c>
      <c r="G712">
        <v>10000</v>
      </c>
      <c r="H712">
        <v>362754.97876344662</v>
      </c>
      <c r="I712">
        <v>34.918138857775631</v>
      </c>
    </row>
    <row r="713" spans="1:9" x14ac:dyDescent="0.2">
      <c r="A713">
        <v>703</v>
      </c>
      <c r="B713">
        <v>904557.6380891942</v>
      </c>
      <c r="C713">
        <v>112386.57295072703</v>
      </c>
      <c r="D713">
        <v>53280.910103181806</v>
      </c>
      <c r="E713">
        <v>54403.384077113806</v>
      </c>
      <c r="F713">
        <v>39766.388128415572</v>
      </c>
      <c r="G713">
        <v>10000</v>
      </c>
      <c r="H713">
        <v>249837.25525943819</v>
      </c>
      <c r="I713">
        <v>41.126774308213669</v>
      </c>
    </row>
    <row r="714" spans="1:9" x14ac:dyDescent="0.2">
      <c r="A714">
        <v>704</v>
      </c>
      <c r="B714">
        <v>1400864.1171382051</v>
      </c>
      <c r="C714">
        <v>126451.26187759222</v>
      </c>
      <c r="D714">
        <v>161258.00916662527</v>
      </c>
      <c r="E714">
        <v>67475.869701058458</v>
      </c>
      <c r="F714">
        <v>40671.406363919428</v>
      </c>
      <c r="G714">
        <v>10000</v>
      </c>
      <c r="H714">
        <v>385856.54710919544</v>
      </c>
      <c r="I714">
        <v>26.282569650821991</v>
      </c>
    </row>
    <row r="715" spans="1:9" x14ac:dyDescent="0.2">
      <c r="A715">
        <v>705</v>
      </c>
      <c r="B715">
        <v>1665972.0628208979</v>
      </c>
      <c r="C715">
        <v>97251.260194131304</v>
      </c>
      <c r="D715">
        <v>152793.95879027396</v>
      </c>
      <c r="E715">
        <v>170653.18228574452</v>
      </c>
      <c r="F715">
        <v>47814.451081320774</v>
      </c>
      <c r="G715">
        <v>10000</v>
      </c>
      <c r="H715">
        <v>458512.85235147056</v>
      </c>
      <c r="I715">
        <v>35.562881994033646</v>
      </c>
    </row>
    <row r="716" spans="1:9" x14ac:dyDescent="0.2">
      <c r="A716">
        <v>706</v>
      </c>
      <c r="B716">
        <v>1214998.7317564792</v>
      </c>
      <c r="C716">
        <v>77754.398848455938</v>
      </c>
      <c r="D716">
        <v>32673.794655322919</v>
      </c>
      <c r="E716">
        <v>185637.67125624011</v>
      </c>
      <c r="F716">
        <v>48851.838779278165</v>
      </c>
      <c r="G716">
        <v>10000</v>
      </c>
      <c r="H716">
        <v>334917.70353929716</v>
      </c>
      <c r="I716">
        <v>40.659843842969877</v>
      </c>
    </row>
    <row r="717" spans="1:9" x14ac:dyDescent="0.2">
      <c r="A717">
        <v>707</v>
      </c>
      <c r="B717">
        <v>1130070.9905219197</v>
      </c>
      <c r="C717">
        <v>85627.870222262834</v>
      </c>
      <c r="D717">
        <v>131883.01043920906</v>
      </c>
      <c r="E717">
        <v>63719.886164269701</v>
      </c>
      <c r="F717">
        <v>40411.376734449434</v>
      </c>
      <c r="G717">
        <v>10000</v>
      </c>
      <c r="H717">
        <v>311642.14356019103</v>
      </c>
      <c r="I717">
        <v>28.682260113084631</v>
      </c>
    </row>
    <row r="718" spans="1:9" x14ac:dyDescent="0.2">
      <c r="A718">
        <v>708</v>
      </c>
      <c r="B718">
        <v>1251652.3725872084</v>
      </c>
      <c r="C718">
        <v>86306.207534980422</v>
      </c>
      <c r="D718">
        <v>79210.886331789719</v>
      </c>
      <c r="E718">
        <v>143510.66626107137</v>
      </c>
      <c r="F718">
        <v>45935.353818074167</v>
      </c>
      <c r="G718">
        <v>10000</v>
      </c>
      <c r="H718">
        <v>344963.11394591565</v>
      </c>
      <c r="I718">
        <v>38.940594647509052</v>
      </c>
    </row>
    <row r="719" spans="1:9" x14ac:dyDescent="0.2">
      <c r="A719">
        <v>709</v>
      </c>
      <c r="B719">
        <v>1443895.5055713041</v>
      </c>
      <c r="C719">
        <v>91029.551834505008</v>
      </c>
      <c r="D719">
        <v>88649.42775647185</v>
      </c>
      <c r="E719">
        <v>179541.11378350091</v>
      </c>
      <c r="F719">
        <v>48429.769415780836</v>
      </c>
      <c r="G719">
        <v>10000</v>
      </c>
      <c r="H719">
        <v>397649.8627902586</v>
      </c>
      <c r="I719">
        <v>33.962526707516886</v>
      </c>
    </row>
    <row r="720" spans="1:9" x14ac:dyDescent="0.2">
      <c r="A720">
        <v>710</v>
      </c>
      <c r="B720">
        <v>1287237.1288225292</v>
      </c>
      <c r="C720">
        <v>92517.232346573059</v>
      </c>
      <c r="D720">
        <v>80851.803755109446</v>
      </c>
      <c r="E720">
        <v>145288.13694503243</v>
      </c>
      <c r="F720">
        <v>46058.40948080994</v>
      </c>
      <c r="G720">
        <v>10000</v>
      </c>
      <c r="H720">
        <v>354715.58252752491</v>
      </c>
      <c r="I720">
        <v>42.070066318489395</v>
      </c>
    </row>
    <row r="721" spans="1:9" x14ac:dyDescent="0.2">
      <c r="A721">
        <v>711</v>
      </c>
      <c r="B721">
        <v>1253897.4241510711</v>
      </c>
      <c r="C721">
        <v>130857.98078268327</v>
      </c>
      <c r="D721">
        <v>105553.68003281835</v>
      </c>
      <c r="E721">
        <v>77781.84215547952</v>
      </c>
      <c r="F721">
        <v>41384.896764610115</v>
      </c>
      <c r="G721">
        <v>10000</v>
      </c>
      <c r="H721">
        <v>345578.39973559126</v>
      </c>
      <c r="I721">
        <v>41.387164237949314</v>
      </c>
    </row>
    <row r="722" spans="1:9" x14ac:dyDescent="0.2">
      <c r="A722">
        <v>712</v>
      </c>
      <c r="B722">
        <v>1019709.7770745861</v>
      </c>
      <c r="C722">
        <v>115033.27761933047</v>
      </c>
      <c r="D722">
        <v>68464.958475516556</v>
      </c>
      <c r="E722">
        <v>67242.706939144147</v>
      </c>
      <c r="F722">
        <v>40655.264326556135</v>
      </c>
      <c r="G722">
        <v>10000</v>
      </c>
      <c r="H722">
        <v>281396.20736054733</v>
      </c>
      <c r="I722">
        <v>33.352401403549869</v>
      </c>
    </row>
    <row r="723" spans="1:9" x14ac:dyDescent="0.2">
      <c r="A723">
        <v>713</v>
      </c>
      <c r="B723">
        <v>1190156.6196222077</v>
      </c>
      <c r="C723">
        <v>104947.8600965292</v>
      </c>
      <c r="D723">
        <v>70557.962041237319</v>
      </c>
      <c r="E723">
        <v>118406.22136977036</v>
      </c>
      <c r="F723">
        <v>44197.353787137945</v>
      </c>
      <c r="G723">
        <v>10000</v>
      </c>
      <c r="H723">
        <v>328109.39729467483</v>
      </c>
      <c r="I723">
        <v>28.828243352792637</v>
      </c>
    </row>
    <row r="724" spans="1:9" x14ac:dyDescent="0.2">
      <c r="A724">
        <v>714</v>
      </c>
      <c r="B724">
        <v>993743.96836542722</v>
      </c>
      <c r="C724">
        <v>107835.42775207671</v>
      </c>
      <c r="D724">
        <v>104614.46678088991</v>
      </c>
      <c r="E724">
        <v>33510.111987098411</v>
      </c>
      <c r="F724">
        <v>38319.930829876044</v>
      </c>
      <c r="G724">
        <v>10000</v>
      </c>
      <c r="H724">
        <v>274279.93734994106</v>
      </c>
      <c r="I724">
        <v>30.876419275648111</v>
      </c>
    </row>
    <row r="725" spans="1:9" x14ac:dyDescent="0.2">
      <c r="A725">
        <v>715</v>
      </c>
      <c r="B725">
        <v>771186.95443216723</v>
      </c>
      <c r="C725">
        <v>84069.480930237696</v>
      </c>
      <c r="D725">
        <v>70738.377283677721</v>
      </c>
      <c r="E725">
        <v>30374.559974901189</v>
      </c>
      <c r="F725">
        <v>38102.854152108543</v>
      </c>
      <c r="G725">
        <v>10000</v>
      </c>
      <c r="H725">
        <v>213285.27234092518</v>
      </c>
      <c r="I725">
        <v>53.806256142496807</v>
      </c>
    </row>
    <row r="726" spans="1:9" x14ac:dyDescent="0.2">
      <c r="A726">
        <v>716</v>
      </c>
      <c r="B726">
        <v>1122600.4964309796</v>
      </c>
      <c r="C726">
        <v>116650.79948455951</v>
      </c>
      <c r="D726">
        <v>62497.303990277724</v>
      </c>
      <c r="E726">
        <v>97683.920372630368</v>
      </c>
      <c r="F726">
        <v>42762.732948874407</v>
      </c>
      <c r="G726">
        <v>10000</v>
      </c>
      <c r="H726">
        <v>309594.75679634203</v>
      </c>
      <c r="I726">
        <v>30.415732004920109</v>
      </c>
    </row>
    <row r="727" spans="1:9" x14ac:dyDescent="0.2">
      <c r="A727">
        <v>717</v>
      </c>
      <c r="B727">
        <v>919225.40366316529</v>
      </c>
      <c r="C727">
        <v>79717.499469570714</v>
      </c>
      <c r="D727">
        <v>113934.10615920887</v>
      </c>
      <c r="E727">
        <v>31990.79554009021</v>
      </c>
      <c r="F727">
        <v>38214.747383544702</v>
      </c>
      <c r="G727">
        <v>10000</v>
      </c>
      <c r="H727">
        <v>253857.1485524145</v>
      </c>
      <c r="I727">
        <v>35.573676238310718</v>
      </c>
    </row>
    <row r="728" spans="1:9" x14ac:dyDescent="0.2">
      <c r="A728">
        <v>718</v>
      </c>
      <c r="B728">
        <v>1055919.007217576</v>
      </c>
      <c r="C728">
        <v>134555.84874930754</v>
      </c>
      <c r="D728">
        <v>54800.573444263253</v>
      </c>
      <c r="E728">
        <v>71044.905542516368</v>
      </c>
      <c r="F728">
        <v>40918.493460635749</v>
      </c>
      <c r="G728">
        <v>10000</v>
      </c>
      <c r="H728">
        <v>291319.82119672291</v>
      </c>
      <c r="I728">
        <v>33.883390456850137</v>
      </c>
    </row>
    <row r="729" spans="1:9" x14ac:dyDescent="0.2">
      <c r="A729">
        <v>719</v>
      </c>
      <c r="B729">
        <v>1040124.2428551425</v>
      </c>
      <c r="C729">
        <v>72624.256202864388</v>
      </c>
      <c r="D729">
        <v>102453.93279478014</v>
      </c>
      <c r="E729">
        <v>80350.166304173079</v>
      </c>
      <c r="F729">
        <v>41562.70382105813</v>
      </c>
      <c r="G729">
        <v>10000</v>
      </c>
      <c r="H729">
        <v>286991.05912287574</v>
      </c>
      <c r="I729">
        <v>43.077149915291656</v>
      </c>
    </row>
    <row r="730" spans="1:9" x14ac:dyDescent="0.2">
      <c r="A730">
        <v>720</v>
      </c>
      <c r="B730">
        <v>1393471.7139032444</v>
      </c>
      <c r="C730">
        <v>119071.59546552144</v>
      </c>
      <c r="D730">
        <v>84569.604258400388</v>
      </c>
      <c r="E730">
        <v>144205.8785442255</v>
      </c>
      <c r="F730">
        <v>45983.483899215607</v>
      </c>
      <c r="G730">
        <v>10000</v>
      </c>
      <c r="H730">
        <v>383830.56216736289</v>
      </c>
      <c r="I730">
        <v>37.45032666088143</v>
      </c>
    </row>
    <row r="731" spans="1:9" x14ac:dyDescent="0.2">
      <c r="A731">
        <v>721</v>
      </c>
      <c r="B731">
        <v>1577888.6795434125</v>
      </c>
      <c r="C731">
        <v>91064.774736663268</v>
      </c>
      <c r="D731">
        <v>147748.91372385219</v>
      </c>
      <c r="E731">
        <v>158580.13419804123</v>
      </c>
      <c r="F731">
        <v>46978.624675249011</v>
      </c>
      <c r="G731">
        <v>10000</v>
      </c>
      <c r="H731">
        <v>434372.44733380573</v>
      </c>
      <c r="I731">
        <v>38.310138061558703</v>
      </c>
    </row>
    <row r="732" spans="1:9" x14ac:dyDescent="0.2">
      <c r="A732">
        <v>722</v>
      </c>
      <c r="B732">
        <v>1687593.5368062137</v>
      </c>
      <c r="C732">
        <v>98265.670378618845</v>
      </c>
      <c r="D732">
        <v>152232.12370704385</v>
      </c>
      <c r="E732">
        <v>175771.88371862861</v>
      </c>
      <c r="F732">
        <v>48168.822718981981</v>
      </c>
      <c r="G732">
        <v>10000</v>
      </c>
      <c r="H732">
        <v>464438.50052327331</v>
      </c>
      <c r="I732">
        <v>42.871952043921702</v>
      </c>
    </row>
    <row r="733" spans="1:9" x14ac:dyDescent="0.2">
      <c r="A733">
        <v>723</v>
      </c>
      <c r="B733">
        <v>1240833.1699388388</v>
      </c>
      <c r="C733">
        <v>124353.06871630989</v>
      </c>
      <c r="D733">
        <v>144593.38327988537</v>
      </c>
      <c r="E733">
        <v>44005.016591345498</v>
      </c>
      <c r="F733">
        <v>39046.501148631614</v>
      </c>
      <c r="G733">
        <v>10000</v>
      </c>
      <c r="H733">
        <v>341997.96973617235</v>
      </c>
      <c r="I733">
        <v>34.819720581382633</v>
      </c>
    </row>
    <row r="734" spans="1:9" x14ac:dyDescent="0.2">
      <c r="A734">
        <v>724</v>
      </c>
      <c r="B734">
        <v>790135.71055864613</v>
      </c>
      <c r="C734">
        <v>87278.160353893283</v>
      </c>
      <c r="D734">
        <v>54723.309512144093</v>
      </c>
      <c r="E734">
        <v>47208.66510703144</v>
      </c>
      <c r="F734">
        <v>39268.292199717558</v>
      </c>
      <c r="G734">
        <v>10000</v>
      </c>
      <c r="H734">
        <v>218478.42717278638</v>
      </c>
      <c r="I734">
        <v>46.092860914036336</v>
      </c>
    </row>
    <row r="735" spans="1:9" x14ac:dyDescent="0.2">
      <c r="A735">
        <v>725</v>
      </c>
      <c r="B735">
        <v>1057066.9138779887</v>
      </c>
      <c r="C735">
        <v>96152.452028528161</v>
      </c>
      <c r="D735">
        <v>40377.099521134674</v>
      </c>
      <c r="E735">
        <v>120745.5604714767</v>
      </c>
      <c r="F735">
        <v>44359.308032640693</v>
      </c>
      <c r="G735">
        <v>10000</v>
      </c>
      <c r="H735">
        <v>291634.4200537802</v>
      </c>
      <c r="I735">
        <v>37.676942715416295</v>
      </c>
    </row>
    <row r="736" spans="1:9" x14ac:dyDescent="0.2">
      <c r="A736">
        <v>726</v>
      </c>
      <c r="B736">
        <v>1418274.5216199839</v>
      </c>
      <c r="C736">
        <v>108181.37926444529</v>
      </c>
      <c r="D736">
        <v>139237.91496786926</v>
      </c>
      <c r="E736">
        <v>109619.74314815924</v>
      </c>
      <c r="F736">
        <v>43589.05914102641</v>
      </c>
      <c r="G736">
        <v>10000</v>
      </c>
      <c r="H736">
        <v>390628.09652150021</v>
      </c>
      <c r="I736">
        <v>55.990626785031878</v>
      </c>
    </row>
    <row r="737" spans="1:9" x14ac:dyDescent="0.2">
      <c r="A737">
        <v>727</v>
      </c>
      <c r="B737">
        <v>1447288.7942251365</v>
      </c>
      <c r="C737">
        <v>115936.10916575715</v>
      </c>
      <c r="D737">
        <v>112856.83916677425</v>
      </c>
      <c r="E737">
        <v>134476.94716684255</v>
      </c>
      <c r="F737">
        <v>45309.942496166019</v>
      </c>
      <c r="G737">
        <v>10000</v>
      </c>
      <c r="H737">
        <v>398579.83799554</v>
      </c>
      <c r="I737">
        <v>23.826176447925192</v>
      </c>
    </row>
    <row r="738" spans="1:9" x14ac:dyDescent="0.2">
      <c r="A738">
        <v>728</v>
      </c>
      <c r="B738">
        <v>1714643.0130512193</v>
      </c>
      <c r="C738">
        <v>107910.9918019723</v>
      </c>
      <c r="D738">
        <v>129108.42141494704</v>
      </c>
      <c r="E738">
        <v>195310.83149681694</v>
      </c>
      <c r="F738">
        <v>49521.519103625789</v>
      </c>
      <c r="G738">
        <v>10000</v>
      </c>
      <c r="H738">
        <v>471851.76381736208</v>
      </c>
      <c r="I738">
        <v>49.359147591146659</v>
      </c>
    </row>
    <row r="739" spans="1:9" x14ac:dyDescent="0.2">
      <c r="A739">
        <v>729</v>
      </c>
      <c r="B739">
        <v>1805499.4412012198</v>
      </c>
      <c r="C739">
        <v>127912.10143451976</v>
      </c>
      <c r="D739">
        <v>145181.50677936751</v>
      </c>
      <c r="E739">
        <v>184860.51428878488</v>
      </c>
      <c r="F739">
        <v>48798.03560460818</v>
      </c>
      <c r="G739">
        <v>10000</v>
      </c>
      <c r="H739">
        <v>496752.15810728032</v>
      </c>
      <c r="I739">
        <v>37.074476749400233</v>
      </c>
    </row>
    <row r="740" spans="1:9" x14ac:dyDescent="0.2">
      <c r="A740">
        <v>730</v>
      </c>
      <c r="B740">
        <v>849256.12542022276</v>
      </c>
      <c r="C740">
        <v>107943.61278521625</v>
      </c>
      <c r="D740">
        <v>50700.864105989698</v>
      </c>
      <c r="E740">
        <v>46796.889736267425</v>
      </c>
      <c r="F740">
        <v>39239.784674049282</v>
      </c>
      <c r="G740">
        <v>10000</v>
      </c>
      <c r="H740">
        <v>234681.15130152262</v>
      </c>
      <c r="I740">
        <v>34.605948095639263</v>
      </c>
    </row>
    <row r="741" spans="1:9" x14ac:dyDescent="0.2">
      <c r="A741">
        <v>731</v>
      </c>
      <c r="B741">
        <v>964700.66490298626</v>
      </c>
      <c r="C741">
        <v>109173.43286139356</v>
      </c>
      <c r="D741">
        <v>91399.175026144658</v>
      </c>
      <c r="E741">
        <v>37174.04403750442</v>
      </c>
      <c r="F741">
        <v>38573.587664134917</v>
      </c>
      <c r="G741">
        <v>10000</v>
      </c>
      <c r="H741">
        <v>266320.23958917754</v>
      </c>
      <c r="I741">
        <v>29.559473108643047</v>
      </c>
    </row>
    <row r="742" spans="1:9" x14ac:dyDescent="0.2">
      <c r="A742">
        <v>732</v>
      </c>
      <c r="B742">
        <v>1502359.5933503334</v>
      </c>
      <c r="C742">
        <v>128435.30412187531</v>
      </c>
      <c r="D742">
        <v>76274.205555353808</v>
      </c>
      <c r="E742">
        <v>171116.66393495016</v>
      </c>
      <c r="F742">
        <v>47846.538272419624</v>
      </c>
      <c r="G742">
        <v>10000</v>
      </c>
      <c r="H742">
        <v>413672.71188459883</v>
      </c>
      <c r="I742">
        <v>34.614199135519812</v>
      </c>
    </row>
    <row r="743" spans="1:9" x14ac:dyDescent="0.2">
      <c r="A743">
        <v>733</v>
      </c>
      <c r="B743">
        <v>1093923.9501549962</v>
      </c>
      <c r="C743">
        <v>106838.70926914478</v>
      </c>
      <c r="D743">
        <v>78640.98390658485</v>
      </c>
      <c r="E743">
        <v>84411.974541278469</v>
      </c>
      <c r="F743">
        <v>41843.905929780813</v>
      </c>
      <c r="G743">
        <v>10000</v>
      </c>
      <c r="H743">
        <v>301735.57364678889</v>
      </c>
      <c r="I743">
        <v>40.197976853038369</v>
      </c>
    </row>
    <row r="744" spans="1:9" x14ac:dyDescent="0.2">
      <c r="A744">
        <v>734</v>
      </c>
      <c r="B744">
        <v>943176.9640673087</v>
      </c>
      <c r="C744">
        <v>110158.34852484871</v>
      </c>
      <c r="D744">
        <v>38722.513575448575</v>
      </c>
      <c r="E744">
        <v>80001.930164276389</v>
      </c>
      <c r="F744">
        <v>41538.595165219136</v>
      </c>
      <c r="G744">
        <v>10000</v>
      </c>
      <c r="H744">
        <v>260421.38742979284</v>
      </c>
      <c r="I744">
        <v>40.241316546414893</v>
      </c>
    </row>
    <row r="745" spans="1:9" x14ac:dyDescent="0.2">
      <c r="A745">
        <v>735</v>
      </c>
      <c r="B745">
        <v>1022067.3503648255</v>
      </c>
      <c r="C745">
        <v>122377.3277615939</v>
      </c>
      <c r="D745">
        <v>35010.129309764932</v>
      </c>
      <c r="E745">
        <v>92267.148468714469</v>
      </c>
      <c r="F745">
        <v>42387.725663218698</v>
      </c>
      <c r="G745">
        <v>10000</v>
      </c>
      <c r="H745">
        <v>282042.33120329201</v>
      </c>
      <c r="I745">
        <v>29.999939840804316</v>
      </c>
    </row>
    <row r="746" spans="1:9" x14ac:dyDescent="0.2">
      <c r="A746">
        <v>736</v>
      </c>
      <c r="B746">
        <v>1379526.0332909317</v>
      </c>
      <c r="C746">
        <v>105045.60099866882</v>
      </c>
      <c r="D746">
        <v>102314.94550749275</v>
      </c>
      <c r="E746">
        <v>137152.82372230617</v>
      </c>
      <c r="F746">
        <v>45495.195488467347</v>
      </c>
      <c r="G746">
        <v>10000</v>
      </c>
      <c r="H746">
        <v>380008.56571693509</v>
      </c>
      <c r="I746">
        <v>27.525924431672408</v>
      </c>
    </row>
    <row r="747" spans="1:9" x14ac:dyDescent="0.2">
      <c r="A747">
        <v>737</v>
      </c>
      <c r="B747">
        <v>806426.55938499258</v>
      </c>
      <c r="C747">
        <v>87813.900034369552</v>
      </c>
      <c r="D747">
        <v>47076.065057236272</v>
      </c>
      <c r="E747">
        <v>58035.350633768066</v>
      </c>
      <c r="F747">
        <v>40017.83196695317</v>
      </c>
      <c r="G747">
        <v>10000</v>
      </c>
      <c r="H747">
        <v>222943.14769232707</v>
      </c>
      <c r="I747">
        <v>45.894840903156435</v>
      </c>
    </row>
    <row r="748" spans="1:9" x14ac:dyDescent="0.2">
      <c r="A748">
        <v>738</v>
      </c>
      <c r="B748">
        <v>1387500.5485588412</v>
      </c>
      <c r="C748">
        <v>108500.24701611169</v>
      </c>
      <c r="D748">
        <v>91577.86714900806</v>
      </c>
      <c r="E748">
        <v>146007.74352373902</v>
      </c>
      <c r="F748">
        <v>46108.228397797313</v>
      </c>
      <c r="G748">
        <v>10000</v>
      </c>
      <c r="H748">
        <v>382194.08608665608</v>
      </c>
      <c r="I748">
        <v>35.68883814095939</v>
      </c>
    </row>
    <row r="749" spans="1:9" x14ac:dyDescent="0.2">
      <c r="A749">
        <v>739</v>
      </c>
      <c r="B749">
        <v>747926.59700566321</v>
      </c>
      <c r="C749">
        <v>99740.530305402717</v>
      </c>
      <c r="D749">
        <v>47391.926434120513</v>
      </c>
      <c r="E749">
        <v>31590.944561593609</v>
      </c>
      <c r="F749">
        <v>38187.065392725708</v>
      </c>
      <c r="G749">
        <v>10000</v>
      </c>
      <c r="H749">
        <v>206910.46669384255</v>
      </c>
      <c r="I749">
        <v>29.226215954572908</v>
      </c>
    </row>
    <row r="750" spans="1:9" x14ac:dyDescent="0.2">
      <c r="A750">
        <v>740</v>
      </c>
      <c r="B750">
        <v>1428883.133462566</v>
      </c>
      <c r="C750">
        <v>112629.9645345561</v>
      </c>
      <c r="D750">
        <v>89506.88481351528</v>
      </c>
      <c r="E750">
        <v>154689.40940901492</v>
      </c>
      <c r="F750">
        <v>46709.266805239487</v>
      </c>
      <c r="G750">
        <v>10000</v>
      </c>
      <c r="H750">
        <v>393535.52556232578</v>
      </c>
      <c r="I750">
        <v>32.884194892665363</v>
      </c>
    </row>
    <row r="751" spans="1:9" x14ac:dyDescent="0.2">
      <c r="A751">
        <v>741</v>
      </c>
      <c r="B751">
        <v>1125702.2903513371</v>
      </c>
      <c r="C751">
        <v>85692.382028055014</v>
      </c>
      <c r="D751">
        <v>117797.4245818518</v>
      </c>
      <c r="E751">
        <v>75713.344369871251</v>
      </c>
      <c r="F751">
        <v>41241.69307176031</v>
      </c>
      <c r="G751">
        <v>10000</v>
      </c>
      <c r="H751">
        <v>310444.84405153833</v>
      </c>
      <c r="I751">
        <v>36.124186298396566</v>
      </c>
    </row>
    <row r="752" spans="1:9" x14ac:dyDescent="0.2">
      <c r="A752">
        <v>742</v>
      </c>
      <c r="B752">
        <v>1098866.6911108829</v>
      </c>
      <c r="C752">
        <v>111202.06576694093</v>
      </c>
      <c r="D752">
        <v>92114.681550767331</v>
      </c>
      <c r="E752">
        <v>68996.751082604547</v>
      </c>
      <c r="F752">
        <v>40776.698151872617</v>
      </c>
      <c r="G752">
        <v>10000</v>
      </c>
      <c r="H752">
        <v>303090.19655218546</v>
      </c>
      <c r="I752">
        <v>32.830484174804297</v>
      </c>
    </row>
    <row r="753" spans="1:9" x14ac:dyDescent="0.2">
      <c r="A753">
        <v>743</v>
      </c>
      <c r="B753">
        <v>1079388.5522212666</v>
      </c>
      <c r="C753">
        <v>93824.017349671441</v>
      </c>
      <c r="D753">
        <v>147253.45082062596</v>
      </c>
      <c r="E753">
        <v>28688.371259007487</v>
      </c>
      <c r="F753">
        <v>37986.118010238977</v>
      </c>
      <c r="G753">
        <v>10000</v>
      </c>
      <c r="H753">
        <v>297751.95743954385</v>
      </c>
      <c r="I753">
        <v>45.329026681822882</v>
      </c>
    </row>
    <row r="754" spans="1:9" x14ac:dyDescent="0.2">
      <c r="A754">
        <v>744</v>
      </c>
      <c r="B754">
        <v>1250724.5872901878</v>
      </c>
      <c r="C754">
        <v>149430.09591547708</v>
      </c>
      <c r="D754">
        <v>69415.387328125173</v>
      </c>
      <c r="E754">
        <v>93397.386104192614</v>
      </c>
      <c r="F754">
        <v>42465.972884136405</v>
      </c>
      <c r="G754">
        <v>10000</v>
      </c>
      <c r="H754">
        <v>344708.84223193134</v>
      </c>
      <c r="I754">
        <v>37.04030886801258</v>
      </c>
    </row>
    <row r="755" spans="1:9" x14ac:dyDescent="0.2">
      <c r="A755">
        <v>745</v>
      </c>
      <c r="B755">
        <v>1259800.0005482098</v>
      </c>
      <c r="C755">
        <v>117673.59419630513</v>
      </c>
      <c r="D755">
        <v>70662.365623645979</v>
      </c>
      <c r="E755">
        <v>124257.66459420633</v>
      </c>
      <c r="F755">
        <v>44602.453702675826</v>
      </c>
      <c r="G755">
        <v>10000</v>
      </c>
      <c r="H755">
        <v>347196.07811683323</v>
      </c>
      <c r="I755">
        <v>42.501050049312823</v>
      </c>
    </row>
    <row r="756" spans="1:9" x14ac:dyDescent="0.2">
      <c r="A756">
        <v>746</v>
      </c>
      <c r="B756">
        <v>1089623.9969712072</v>
      </c>
      <c r="C756">
        <v>95310.438893458238</v>
      </c>
      <c r="D756">
        <v>74367.080352563455</v>
      </c>
      <c r="E756">
        <v>98088.830701940446</v>
      </c>
      <c r="F756">
        <v>42790.765202442031</v>
      </c>
      <c r="G756">
        <v>10000</v>
      </c>
      <c r="H756">
        <v>300557.11515040416</v>
      </c>
      <c r="I756">
        <v>35.806711446458451</v>
      </c>
    </row>
    <row r="757" spans="1:9" x14ac:dyDescent="0.2">
      <c r="A757">
        <v>747</v>
      </c>
      <c r="B757">
        <v>1087678.6266717105</v>
      </c>
      <c r="C757">
        <v>109495.91872004243</v>
      </c>
      <c r="D757">
        <v>84763.095728708009</v>
      </c>
      <c r="E757">
        <v>74600.309665121749</v>
      </c>
      <c r="F757">
        <v>41164.636822969966</v>
      </c>
      <c r="G757">
        <v>10000</v>
      </c>
      <c r="H757">
        <v>300023.96093684214</v>
      </c>
      <c r="I757">
        <v>35.091087795229996</v>
      </c>
    </row>
    <row r="758" spans="1:9" x14ac:dyDescent="0.2">
      <c r="A758">
        <v>748</v>
      </c>
      <c r="B758">
        <v>1426728.4996930026</v>
      </c>
      <c r="C758">
        <v>136518.29754554931</v>
      </c>
      <c r="D758">
        <v>175799.84691260059</v>
      </c>
      <c r="E758">
        <v>51089.883556884095</v>
      </c>
      <c r="F758">
        <v>39536.99193855351</v>
      </c>
      <c r="G758">
        <v>10000</v>
      </c>
      <c r="H758">
        <v>392945.0199535875</v>
      </c>
      <c r="I758">
        <v>28.827670487944388</v>
      </c>
    </row>
    <row r="759" spans="1:9" x14ac:dyDescent="0.2">
      <c r="A759">
        <v>749</v>
      </c>
      <c r="B759">
        <v>898019.85487041366</v>
      </c>
      <c r="C759">
        <v>122638.48657827036</v>
      </c>
      <c r="D759">
        <v>64347.228247596729</v>
      </c>
      <c r="E759">
        <v>32789.717908434082</v>
      </c>
      <c r="F759">
        <v>38270.05739366082</v>
      </c>
      <c r="G759">
        <v>10000</v>
      </c>
      <c r="H759">
        <v>248045.490127962</v>
      </c>
      <c r="I759">
        <v>27.951903126577211</v>
      </c>
    </row>
    <row r="760" spans="1:9" x14ac:dyDescent="0.2">
      <c r="A760">
        <v>750</v>
      </c>
      <c r="B760">
        <v>1281957.6558774635</v>
      </c>
      <c r="C760">
        <v>148043.33693614704</v>
      </c>
      <c r="D760">
        <v>110956.67851519851</v>
      </c>
      <c r="E760">
        <v>63848.385514859292</v>
      </c>
      <c r="F760">
        <v>40420.272843336417</v>
      </c>
      <c r="G760">
        <v>10000</v>
      </c>
      <c r="H760">
        <v>353268.67380954121</v>
      </c>
      <c r="I760">
        <v>32.316977983926748</v>
      </c>
    </row>
    <row r="761" spans="1:9" x14ac:dyDescent="0.2">
      <c r="A761">
        <v>751</v>
      </c>
      <c r="B761">
        <v>1280630.9709252897</v>
      </c>
      <c r="C761">
        <v>111019.20313678806</v>
      </c>
      <c r="D761">
        <v>77369.368794563328</v>
      </c>
      <c r="E761">
        <v>129547.81182368837</v>
      </c>
      <c r="F761">
        <v>44968.694664716881</v>
      </c>
      <c r="G761">
        <v>10000</v>
      </c>
      <c r="H761">
        <v>352905.07841975667</v>
      </c>
      <c r="I761">
        <v>41.420467392187831</v>
      </c>
    </row>
    <row r="762" spans="1:9" x14ac:dyDescent="0.2">
      <c r="A762">
        <v>752</v>
      </c>
      <c r="B762">
        <v>1880341.2827316369</v>
      </c>
      <c r="C762">
        <v>143264.64412546088</v>
      </c>
      <c r="D762">
        <v>134887.12641389031</v>
      </c>
      <c r="E762">
        <v>199313.17050315425</v>
      </c>
      <c r="F762">
        <v>49798.604111756831</v>
      </c>
      <c r="G762">
        <v>10000</v>
      </c>
      <c r="H762">
        <v>517263.54515426222</v>
      </c>
      <c r="I762">
        <v>49.283827132316013</v>
      </c>
    </row>
    <row r="763" spans="1:9" x14ac:dyDescent="0.2">
      <c r="A763">
        <v>753</v>
      </c>
      <c r="B763">
        <v>1196757.121981483</v>
      </c>
      <c r="C763">
        <v>92041.769174482673</v>
      </c>
      <c r="D763">
        <v>55361.609926113648</v>
      </c>
      <c r="E763">
        <v>146380.90937112173</v>
      </c>
      <c r="F763">
        <v>46134.062956462272</v>
      </c>
      <c r="G763">
        <v>10000</v>
      </c>
      <c r="H763">
        <v>329918.35142818035</v>
      </c>
      <c r="I763">
        <v>35.562554948264456</v>
      </c>
    </row>
    <row r="764" spans="1:9" x14ac:dyDescent="0.2">
      <c r="A764">
        <v>754</v>
      </c>
      <c r="B764">
        <v>1370072.0587885431</v>
      </c>
      <c r="C764">
        <v>107053.56700300873</v>
      </c>
      <c r="D764">
        <v>50589.588757294543</v>
      </c>
      <c r="E764">
        <v>181227.8789388288</v>
      </c>
      <c r="F764">
        <v>48546.545464995834</v>
      </c>
      <c r="G764">
        <v>10000</v>
      </c>
      <c r="H764">
        <v>377417.58016412792</v>
      </c>
      <c r="I764">
        <v>47.560561709561966</v>
      </c>
    </row>
    <row r="765" spans="1:9" x14ac:dyDescent="0.2">
      <c r="A765">
        <v>755</v>
      </c>
      <c r="B765">
        <v>1214645.3840386253</v>
      </c>
      <c r="C765">
        <v>108801.49031672531</v>
      </c>
      <c r="D765">
        <v>97599.314770186131</v>
      </c>
      <c r="E765">
        <v>95788.544277849694</v>
      </c>
      <c r="F765">
        <v>42631.514603851138</v>
      </c>
      <c r="G765">
        <v>10000</v>
      </c>
      <c r="H765">
        <v>334820.86396861228</v>
      </c>
      <c r="I765">
        <v>37.596621432369332</v>
      </c>
    </row>
    <row r="766" spans="1:9" x14ac:dyDescent="0.2">
      <c r="A766">
        <v>756</v>
      </c>
      <c r="B766">
        <v>899949.10712559917</v>
      </c>
      <c r="C766">
        <v>100624.73930111094</v>
      </c>
      <c r="D766">
        <v>70430.157850498901</v>
      </c>
      <c r="E766">
        <v>48183.545882990133</v>
      </c>
      <c r="F766">
        <v>39335.783945745476</v>
      </c>
      <c r="G766">
        <v>10000</v>
      </c>
      <c r="H766">
        <v>248574.22698034541</v>
      </c>
      <c r="I766">
        <v>42.613536726560483</v>
      </c>
    </row>
    <row r="767" spans="1:9" x14ac:dyDescent="0.2">
      <c r="A767">
        <v>757</v>
      </c>
      <c r="B767">
        <v>1771803.4233373061</v>
      </c>
      <c r="C767">
        <v>119476.67008242686</v>
      </c>
      <c r="D767">
        <v>136541.86312297932</v>
      </c>
      <c r="E767">
        <v>192193.11277390219</v>
      </c>
      <c r="F767">
        <v>49305.677038193222</v>
      </c>
      <c r="G767">
        <v>10000</v>
      </c>
      <c r="H767">
        <v>487517.32301750162</v>
      </c>
      <c r="I767">
        <v>37.343993135933786</v>
      </c>
    </row>
    <row r="768" spans="1:9" x14ac:dyDescent="0.2">
      <c r="A768">
        <v>758</v>
      </c>
      <c r="B768">
        <v>1559190.4799560939</v>
      </c>
      <c r="C768">
        <v>117908.14617659005</v>
      </c>
      <c r="D768">
        <v>119894.06285117799</v>
      </c>
      <c r="E768">
        <v>154733.43691266369</v>
      </c>
      <c r="F768">
        <v>46712.314863184409</v>
      </c>
      <c r="G768">
        <v>10000</v>
      </c>
      <c r="H768">
        <v>429247.96080361615</v>
      </c>
      <c r="I768">
        <v>33.206866703092672</v>
      </c>
    </row>
    <row r="769" spans="1:9" x14ac:dyDescent="0.2">
      <c r="A769">
        <v>759</v>
      </c>
      <c r="B769">
        <v>1257390.6468206812</v>
      </c>
      <c r="C769">
        <v>136579.15576981948</v>
      </c>
      <c r="D769">
        <v>144122.14676391269</v>
      </c>
      <c r="E769">
        <v>37255.250951941591</v>
      </c>
      <c r="F769">
        <v>38579.209681288266</v>
      </c>
      <c r="G769">
        <v>10000</v>
      </c>
      <c r="H769">
        <v>346535.76316696202</v>
      </c>
      <c r="I769">
        <v>34.734445429144941</v>
      </c>
    </row>
    <row r="770" spans="1:9" x14ac:dyDescent="0.2">
      <c r="A770">
        <v>760</v>
      </c>
      <c r="B770">
        <v>929150.27759804064</v>
      </c>
      <c r="C770">
        <v>79359.966216511893</v>
      </c>
      <c r="D770">
        <v>57314.641013626773</v>
      </c>
      <c r="E770">
        <v>87822.559671158408</v>
      </c>
      <c r="F770">
        <v>42080.023361849431</v>
      </c>
      <c r="G770">
        <v>10000</v>
      </c>
      <c r="H770">
        <v>256577.19026314653</v>
      </c>
      <c r="I770">
        <v>51.749543436178527</v>
      </c>
    </row>
    <row r="771" spans="1:9" x14ac:dyDescent="0.2">
      <c r="A771">
        <v>761</v>
      </c>
      <c r="B771">
        <v>1570005.085809754</v>
      </c>
      <c r="C771">
        <v>104921.91328260604</v>
      </c>
      <c r="D771">
        <v>88729.199950919763</v>
      </c>
      <c r="E771">
        <v>198797.80687657354</v>
      </c>
      <c r="F771">
        <v>49762.925091455094</v>
      </c>
      <c r="G771">
        <v>10000</v>
      </c>
      <c r="H771">
        <v>432211.84520155448</v>
      </c>
      <c r="I771">
        <v>34.916143785305273</v>
      </c>
    </row>
    <row r="772" spans="1:9" x14ac:dyDescent="0.2">
      <c r="A772">
        <v>762</v>
      </c>
      <c r="B772">
        <v>1142200.2735160398</v>
      </c>
      <c r="C772">
        <v>148502.68656853752</v>
      </c>
      <c r="D772">
        <v>56265.680737818118</v>
      </c>
      <c r="E772">
        <v>78746.298335613988</v>
      </c>
      <c r="F772">
        <v>41451.666807850197</v>
      </c>
      <c r="G772">
        <v>10000</v>
      </c>
      <c r="H772">
        <v>314966.33244981983</v>
      </c>
      <c r="I772">
        <v>35.407069536860149</v>
      </c>
    </row>
    <row r="773" spans="1:9" x14ac:dyDescent="0.2">
      <c r="A773">
        <v>763</v>
      </c>
      <c r="B773">
        <v>1473096.0458682138</v>
      </c>
      <c r="C773">
        <v>104352.82992744757</v>
      </c>
      <c r="D773">
        <v>81680.32403534789</v>
      </c>
      <c r="E773">
        <v>181082.98505260894</v>
      </c>
      <c r="F773">
        <v>48536.514349796002</v>
      </c>
      <c r="G773">
        <v>10000</v>
      </c>
      <c r="H773">
        <v>405652.65336520039</v>
      </c>
      <c r="I773">
        <v>35.842697383825289</v>
      </c>
    </row>
    <row r="774" spans="1:9" x14ac:dyDescent="0.2">
      <c r="A774">
        <v>764</v>
      </c>
      <c r="B774">
        <v>1457434.5619502272</v>
      </c>
      <c r="C774">
        <v>113383.40189251608</v>
      </c>
      <c r="D774">
        <v>73003.822631563118</v>
      </c>
      <c r="E774">
        <v>176737.51958607289</v>
      </c>
      <c r="F774">
        <v>48235.67443288197</v>
      </c>
      <c r="G774">
        <v>10000</v>
      </c>
      <c r="H774">
        <v>401360.41854303406</v>
      </c>
      <c r="I774">
        <v>33.714356108346379</v>
      </c>
    </row>
    <row r="775" spans="1:9" x14ac:dyDescent="0.2">
      <c r="A775">
        <v>765</v>
      </c>
      <c r="B775">
        <v>872539.81683389249</v>
      </c>
      <c r="C775">
        <v>97693.006793435838</v>
      </c>
      <c r="D775">
        <v>37925.690331771882</v>
      </c>
      <c r="E775">
        <v>74299.821043676871</v>
      </c>
      <c r="F775">
        <v>41143.833764562245</v>
      </c>
      <c r="G775">
        <v>10000</v>
      </c>
      <c r="H775">
        <v>241062.35193344683</v>
      </c>
      <c r="I775">
        <v>44.010861345500587</v>
      </c>
    </row>
    <row r="776" spans="1:9" x14ac:dyDescent="0.2">
      <c r="A776">
        <v>766</v>
      </c>
      <c r="B776">
        <v>934840.35203230917</v>
      </c>
      <c r="C776">
        <v>108238.97399877901</v>
      </c>
      <c r="D776">
        <v>40964.660354938678</v>
      </c>
      <c r="E776">
        <v>77563.233055651566</v>
      </c>
      <c r="F776">
        <v>41369.762288468191</v>
      </c>
      <c r="G776">
        <v>10000</v>
      </c>
      <c r="H776">
        <v>258136.6296978374</v>
      </c>
      <c r="I776">
        <v>50.297781136401618</v>
      </c>
    </row>
    <row r="777" spans="1:9" x14ac:dyDescent="0.2">
      <c r="A777">
        <v>767</v>
      </c>
      <c r="B777">
        <v>1368861.4885152103</v>
      </c>
      <c r="C777">
        <v>143138.22369842394</v>
      </c>
      <c r="D777">
        <v>60450.374238505981</v>
      </c>
      <c r="E777">
        <v>137947.03054821715</v>
      </c>
      <c r="F777">
        <v>45550.179037953494</v>
      </c>
      <c r="G777">
        <v>10000</v>
      </c>
      <c r="H777">
        <v>377085.80752310058</v>
      </c>
      <c r="I777">
        <v>27.085135636914195</v>
      </c>
    </row>
    <row r="778" spans="1:9" x14ac:dyDescent="0.2">
      <c r="A778">
        <v>768</v>
      </c>
      <c r="B778">
        <v>1571365.259838677</v>
      </c>
      <c r="C778">
        <v>140245.75216058508</v>
      </c>
      <c r="D778">
        <v>143167.3203234681</v>
      </c>
      <c r="E778">
        <v>115196.41014078278</v>
      </c>
      <c r="F778">
        <v>43975.136086669583</v>
      </c>
      <c r="G778">
        <v>10000</v>
      </c>
      <c r="H778">
        <v>432584.61871150555</v>
      </c>
      <c r="I778">
        <v>38.507644183319655</v>
      </c>
    </row>
    <row r="779" spans="1:9" x14ac:dyDescent="0.2">
      <c r="A779">
        <v>769</v>
      </c>
      <c r="B779">
        <v>1329220.6668319928</v>
      </c>
      <c r="C779">
        <v>135702.48723188732</v>
      </c>
      <c r="D779">
        <v>90634.488137863838</v>
      </c>
      <c r="E779">
        <v>106510.91324847141</v>
      </c>
      <c r="F779">
        <v>43373.832455663403</v>
      </c>
      <c r="G779">
        <v>10000</v>
      </c>
      <c r="H779">
        <v>366221.72107388597</v>
      </c>
      <c r="I779">
        <v>28.092044957325481</v>
      </c>
    </row>
    <row r="780" spans="1:9" x14ac:dyDescent="0.2">
      <c r="A780">
        <v>770</v>
      </c>
      <c r="B780">
        <v>786910.53988366015</v>
      </c>
      <c r="C780">
        <v>95269.227871194962</v>
      </c>
      <c r="D780">
        <v>64407.385275546287</v>
      </c>
      <c r="E780">
        <v>29851.286245771447</v>
      </c>
      <c r="F780">
        <v>38066.627509322643</v>
      </c>
      <c r="G780">
        <v>10000</v>
      </c>
      <c r="H780">
        <v>217594.52690183534</v>
      </c>
      <c r="I780">
        <v>39.372990940293128</v>
      </c>
    </row>
    <row r="781" spans="1:9" x14ac:dyDescent="0.2">
      <c r="A781">
        <v>771</v>
      </c>
      <c r="B781">
        <v>1023410.0777600122</v>
      </c>
      <c r="C781">
        <v>127567.47994769804</v>
      </c>
      <c r="D781">
        <v>69989.022205466361</v>
      </c>
      <c r="E781">
        <v>55043.142018729479</v>
      </c>
      <c r="F781">
        <v>39810.679062835115</v>
      </c>
      <c r="G781">
        <v>10000</v>
      </c>
      <c r="H781">
        <v>282410.323234729</v>
      </c>
      <c r="I781">
        <v>41.438082157777885</v>
      </c>
    </row>
    <row r="782" spans="1:9" x14ac:dyDescent="0.2">
      <c r="A782">
        <v>772</v>
      </c>
      <c r="B782">
        <v>1621139.6865262969</v>
      </c>
      <c r="C782">
        <v>119895.92368805321</v>
      </c>
      <c r="D782">
        <v>137287.53352407576</v>
      </c>
      <c r="E782">
        <v>152485.78682453572</v>
      </c>
      <c r="F782">
        <v>46556.708318621699</v>
      </c>
      <c r="G782">
        <v>10000</v>
      </c>
      <c r="H782">
        <v>446225.9523552864</v>
      </c>
      <c r="I782">
        <v>36.048010814575818</v>
      </c>
    </row>
    <row r="783" spans="1:9" x14ac:dyDescent="0.2">
      <c r="A783">
        <v>773</v>
      </c>
      <c r="B783">
        <v>1095865.8139805757</v>
      </c>
      <c r="C783">
        <v>95774.929082871939</v>
      </c>
      <c r="D783">
        <v>76634.445126844468</v>
      </c>
      <c r="E783">
        <v>97133.748526750103</v>
      </c>
      <c r="F783">
        <v>42724.644128775013</v>
      </c>
      <c r="G783">
        <v>10000</v>
      </c>
      <c r="H783">
        <v>302267.76686524146</v>
      </c>
      <c r="I783">
        <v>31.339577329636121</v>
      </c>
    </row>
    <row r="784" spans="1:9" x14ac:dyDescent="0.2">
      <c r="A784">
        <v>774</v>
      </c>
      <c r="B784">
        <v>1617298.0270705968</v>
      </c>
      <c r="C784">
        <v>129374.06838776708</v>
      </c>
      <c r="D784">
        <v>128192.76429070954</v>
      </c>
      <c r="E784">
        <v>151142.54773662871</v>
      </c>
      <c r="F784">
        <v>46463.714843305061</v>
      </c>
      <c r="G784">
        <v>10000</v>
      </c>
      <c r="H784">
        <v>445173.09525841044</v>
      </c>
      <c r="I784">
        <v>33.344338600368062</v>
      </c>
    </row>
    <row r="785" spans="1:9" x14ac:dyDescent="0.2">
      <c r="A785">
        <v>775</v>
      </c>
      <c r="B785">
        <v>1533034.8171215039</v>
      </c>
      <c r="C785">
        <v>156394.76285523074</v>
      </c>
      <c r="D785">
        <v>144187.28198479229</v>
      </c>
      <c r="E785">
        <v>89314.315198448661</v>
      </c>
      <c r="F785">
        <v>42183.298744507985</v>
      </c>
      <c r="G785">
        <v>10000</v>
      </c>
      <c r="H785">
        <v>422079.65878297971</v>
      </c>
      <c r="I785">
        <v>34.412221082405338</v>
      </c>
    </row>
    <row r="786" spans="1:9" x14ac:dyDescent="0.2">
      <c r="A786">
        <v>776</v>
      </c>
      <c r="B786">
        <v>1442528.0629955004</v>
      </c>
      <c r="C786">
        <v>78914.45646342852</v>
      </c>
      <c r="D786">
        <v>119635.83553825918</v>
      </c>
      <c r="E786">
        <v>161541.18475508975</v>
      </c>
      <c r="F786">
        <v>47183.620483044673</v>
      </c>
      <c r="G786">
        <v>10000</v>
      </c>
      <c r="H786">
        <v>397275.09723982209</v>
      </c>
      <c r="I786">
        <v>38.419050533575309</v>
      </c>
    </row>
    <row r="787" spans="1:9" x14ac:dyDescent="0.2">
      <c r="A787">
        <v>777</v>
      </c>
      <c r="B787">
        <v>1345108.8805504944</v>
      </c>
      <c r="C787">
        <v>139344.37992916489</v>
      </c>
      <c r="D787">
        <v>35737.514891878884</v>
      </c>
      <c r="E787">
        <v>158519.75478481522</v>
      </c>
      <c r="F787">
        <v>46974.444562025674</v>
      </c>
      <c r="G787">
        <v>10000</v>
      </c>
      <c r="H787">
        <v>370576.09416788461</v>
      </c>
      <c r="I787">
        <v>29.648093214883392</v>
      </c>
    </row>
    <row r="788" spans="1:9" x14ac:dyDescent="0.2">
      <c r="A788">
        <v>778</v>
      </c>
      <c r="B788">
        <v>1358443.6110537732</v>
      </c>
      <c r="C788">
        <v>110322.79141239503</v>
      </c>
      <c r="D788">
        <v>90935.515987529448</v>
      </c>
      <c r="E788">
        <v>137456.14938085375</v>
      </c>
      <c r="F788">
        <v>45516.194957136024</v>
      </c>
      <c r="G788">
        <v>10000</v>
      </c>
      <c r="H788">
        <v>374230.65173791425</v>
      </c>
      <c r="I788">
        <v>31.01089640149765</v>
      </c>
    </row>
    <row r="789" spans="1:9" x14ac:dyDescent="0.2">
      <c r="A789">
        <v>779</v>
      </c>
      <c r="B789">
        <v>1476637.4139332832</v>
      </c>
      <c r="C789">
        <v>105482.76880962776</v>
      </c>
      <c r="D789">
        <v>156132.82440605707</v>
      </c>
      <c r="E789">
        <v>111302.08920455945</v>
      </c>
      <c r="F789">
        <v>43705.529252623346</v>
      </c>
      <c r="G789">
        <v>10000</v>
      </c>
      <c r="H789">
        <v>406623.21167286759</v>
      </c>
      <c r="I789">
        <v>37.475601730223758</v>
      </c>
    </row>
    <row r="790" spans="1:9" x14ac:dyDescent="0.2">
      <c r="A790">
        <v>780</v>
      </c>
      <c r="B790">
        <v>1249093.7583773185</v>
      </c>
      <c r="C790">
        <v>102252.70046404748</v>
      </c>
      <c r="D790">
        <v>158028.38779978134</v>
      </c>
      <c r="E790">
        <v>54226.651168605815</v>
      </c>
      <c r="F790">
        <v>39754.152773211172</v>
      </c>
      <c r="G790">
        <v>10000</v>
      </c>
      <c r="H790">
        <v>344261.89220564585</v>
      </c>
      <c r="I790">
        <v>44.206324980589301</v>
      </c>
    </row>
    <row r="791" spans="1:9" x14ac:dyDescent="0.2">
      <c r="A791">
        <v>781</v>
      </c>
      <c r="B791">
        <v>1078804.8522834401</v>
      </c>
      <c r="C791">
        <v>107613.85834354044</v>
      </c>
      <c r="D791">
        <v>72642.036320518542</v>
      </c>
      <c r="E791">
        <v>85422.244467556433</v>
      </c>
      <c r="F791">
        <v>41913.847693907759</v>
      </c>
      <c r="G791">
        <v>10000</v>
      </c>
      <c r="H791">
        <v>297591.98682552314</v>
      </c>
      <c r="I791">
        <v>33.276291484753656</v>
      </c>
    </row>
    <row r="792" spans="1:9" x14ac:dyDescent="0.2">
      <c r="A792">
        <v>782</v>
      </c>
      <c r="B792">
        <v>1310974.6129453066</v>
      </c>
      <c r="C792">
        <v>121148.61766569145</v>
      </c>
      <c r="D792">
        <v>123928.92034361111</v>
      </c>
      <c r="E792">
        <v>84306.976174371433</v>
      </c>
      <c r="F792">
        <v>41836.636812071869</v>
      </c>
      <c r="G792">
        <v>10000</v>
      </c>
      <c r="H792">
        <v>361221.15099574591</v>
      </c>
      <c r="I792">
        <v>29.727095148094055</v>
      </c>
    </row>
    <row r="793" spans="1:9" x14ac:dyDescent="0.2">
      <c r="A793">
        <v>783</v>
      </c>
      <c r="B793">
        <v>1398282.561615373</v>
      </c>
      <c r="C793">
        <v>144106.18600533865</v>
      </c>
      <c r="D793">
        <v>151313.2434142165</v>
      </c>
      <c r="E793">
        <v>59603.23104795441</v>
      </c>
      <c r="F793">
        <v>40126.377534089152</v>
      </c>
      <c r="G793">
        <v>10000</v>
      </c>
      <c r="H793">
        <v>385149.03800159867</v>
      </c>
      <c r="I793">
        <v>33.522359578913949</v>
      </c>
    </row>
    <row r="794" spans="1:9" x14ac:dyDescent="0.2">
      <c r="A794">
        <v>784</v>
      </c>
      <c r="B794">
        <v>1074394.6186869415</v>
      </c>
      <c r="C794">
        <v>92537.456108963204</v>
      </c>
      <c r="D794">
        <v>88712.660243187609</v>
      </c>
      <c r="E794">
        <v>83361.974561780822</v>
      </c>
      <c r="F794">
        <v>41771.213623507902</v>
      </c>
      <c r="G794">
        <v>10000</v>
      </c>
      <c r="H794">
        <v>296383.30453743949</v>
      </c>
      <c r="I794">
        <v>33.114566890358006</v>
      </c>
    </row>
    <row r="795" spans="1:9" x14ac:dyDescent="0.2">
      <c r="A795">
        <v>785</v>
      </c>
      <c r="B795">
        <v>1057452.3910546133</v>
      </c>
      <c r="C795">
        <v>105861.56435440021</v>
      </c>
      <c r="D795">
        <v>60061.988526926099</v>
      </c>
      <c r="E795">
        <v>93353.572600607717</v>
      </c>
      <c r="F795">
        <v>42462.939641580539</v>
      </c>
      <c r="G795">
        <v>10000</v>
      </c>
      <c r="H795">
        <v>291740.06512351451</v>
      </c>
      <c r="I795">
        <v>30.320017809047883</v>
      </c>
    </row>
    <row r="796" spans="1:9" x14ac:dyDescent="0.2">
      <c r="A796">
        <v>786</v>
      </c>
      <c r="B796">
        <v>1490350.2570969178</v>
      </c>
      <c r="C796">
        <v>95408.513724962366</v>
      </c>
      <c r="D796">
        <v>78065.946799266734</v>
      </c>
      <c r="E796">
        <v>197251.09070512498</v>
      </c>
      <c r="F796">
        <v>49655.844741124034</v>
      </c>
      <c r="G796">
        <v>10000</v>
      </c>
      <c r="H796">
        <v>410381.39597047813</v>
      </c>
      <c r="I796">
        <v>36.697807214983925</v>
      </c>
    </row>
    <row r="797" spans="1:9" x14ac:dyDescent="0.2">
      <c r="A797">
        <v>787</v>
      </c>
      <c r="B797">
        <v>1006558.7641040226</v>
      </c>
      <c r="C797">
        <v>118955.96212670364</v>
      </c>
      <c r="D797">
        <v>93991.270347759273</v>
      </c>
      <c r="E797">
        <v>36329.63868072359</v>
      </c>
      <c r="F797">
        <v>38515.128831742404</v>
      </c>
      <c r="G797">
        <v>10000</v>
      </c>
      <c r="H797">
        <v>277791.99998692889</v>
      </c>
      <c r="I797">
        <v>38.397270998591303</v>
      </c>
    </row>
    <row r="798" spans="1:9" x14ac:dyDescent="0.2">
      <c r="A798">
        <v>788</v>
      </c>
      <c r="B798">
        <v>1201164.0023357947</v>
      </c>
      <c r="C798">
        <v>96738.651782225337</v>
      </c>
      <c r="D798">
        <v>105469.4113474874</v>
      </c>
      <c r="E798">
        <v>96254.292850781669</v>
      </c>
      <c r="F798">
        <v>42663.758735823343</v>
      </c>
      <c r="G798">
        <v>10000</v>
      </c>
      <c r="H798">
        <v>331126.11471631774</v>
      </c>
      <c r="I798">
        <v>35.511558678960156</v>
      </c>
    </row>
    <row r="799" spans="1:9" x14ac:dyDescent="0.2">
      <c r="A799">
        <v>789</v>
      </c>
      <c r="B799">
        <v>981530.82058884611</v>
      </c>
      <c r="C799">
        <v>110216.74090150198</v>
      </c>
      <c r="D799">
        <v>87466.083556723985</v>
      </c>
      <c r="E799">
        <v>44190.591142336729</v>
      </c>
      <c r="F799">
        <v>39059.348617546391</v>
      </c>
      <c r="G799">
        <v>10000</v>
      </c>
      <c r="H799">
        <v>270932.76421810908</v>
      </c>
      <c r="I799">
        <v>30.239849658954654</v>
      </c>
    </row>
    <row r="800" spans="1:9" x14ac:dyDescent="0.2">
      <c r="A800">
        <v>790</v>
      </c>
      <c r="B800">
        <v>1356396.1242771754</v>
      </c>
      <c r="C800">
        <v>138284.2755449625</v>
      </c>
      <c r="D800">
        <v>28576.914265982898</v>
      </c>
      <c r="E800">
        <v>169101.30774227635</v>
      </c>
      <c r="F800">
        <v>47707.013612926821</v>
      </c>
      <c r="G800">
        <v>10000</v>
      </c>
      <c r="H800">
        <v>373669.51116614859</v>
      </c>
      <c r="I800">
        <v>37.623587856137519</v>
      </c>
    </row>
    <row r="801" spans="1:9" x14ac:dyDescent="0.2">
      <c r="A801">
        <v>791</v>
      </c>
      <c r="B801">
        <v>892590.46751404635</v>
      </c>
      <c r="C801">
        <v>139650.9879398566</v>
      </c>
      <c r="D801">
        <v>51451.92175594248</v>
      </c>
      <c r="E801">
        <v>27547.454257399342</v>
      </c>
      <c r="F801">
        <v>37907.131448589185</v>
      </c>
      <c r="G801">
        <v>10000</v>
      </c>
      <c r="H801">
        <v>246557.4954017876</v>
      </c>
      <c r="I801">
        <v>45.743439300537872</v>
      </c>
    </row>
    <row r="802" spans="1:9" x14ac:dyDescent="0.2">
      <c r="A802">
        <v>792</v>
      </c>
      <c r="B802">
        <v>1538889.5943158437</v>
      </c>
      <c r="C802">
        <v>113432.87754080385</v>
      </c>
      <c r="D802">
        <v>118646.41335301659</v>
      </c>
      <c r="E802">
        <v>154882.32385220123</v>
      </c>
      <c r="F802">
        <v>46722.622420537009</v>
      </c>
      <c r="G802">
        <v>10000</v>
      </c>
      <c r="H802">
        <v>423684.23716655868</v>
      </c>
      <c r="I802">
        <v>49.017055887371697</v>
      </c>
    </row>
    <row r="803" spans="1:9" x14ac:dyDescent="0.2">
      <c r="A803">
        <v>793</v>
      </c>
      <c r="B803">
        <v>929702.82832925708</v>
      </c>
      <c r="C803">
        <v>118837.56871493316</v>
      </c>
      <c r="D803">
        <v>71618.105966873452</v>
      </c>
      <c r="E803">
        <v>37665.348310383641</v>
      </c>
      <c r="F803">
        <v>38607.601036872715</v>
      </c>
      <c r="G803">
        <v>10000</v>
      </c>
      <c r="H803">
        <v>256728.62402906298</v>
      </c>
      <c r="I803">
        <v>40.228155696086958</v>
      </c>
    </row>
    <row r="804" spans="1:9" x14ac:dyDescent="0.2">
      <c r="A804">
        <v>794</v>
      </c>
      <c r="B804">
        <v>1251363.8644843022</v>
      </c>
      <c r="C804">
        <v>120848.34271725442</v>
      </c>
      <c r="D804">
        <v>111375.13677180758</v>
      </c>
      <c r="E804">
        <v>81049.449310502343</v>
      </c>
      <c r="F804">
        <v>41611.115721496317</v>
      </c>
      <c r="G804">
        <v>10000</v>
      </c>
      <c r="H804">
        <v>344884.04452106066</v>
      </c>
      <c r="I804">
        <v>30.148609885723438</v>
      </c>
    </row>
    <row r="805" spans="1:9" x14ac:dyDescent="0.2">
      <c r="A805">
        <v>795</v>
      </c>
      <c r="B805">
        <v>1624118.0422421233</v>
      </c>
      <c r="C805">
        <v>141116.667436516</v>
      </c>
      <c r="D805">
        <v>140282.22167220185</v>
      </c>
      <c r="E805">
        <v>130601.66679015625</v>
      </c>
      <c r="F805">
        <v>45041.653854703123</v>
      </c>
      <c r="G805">
        <v>10000</v>
      </c>
      <c r="H805">
        <v>447042.20975357719</v>
      </c>
      <c r="I805">
        <v>45.259847794997697</v>
      </c>
    </row>
    <row r="806" spans="1:9" x14ac:dyDescent="0.2">
      <c r="A806">
        <v>796</v>
      </c>
      <c r="B806">
        <v>1408983.9674664156</v>
      </c>
      <c r="C806">
        <v>106201.53001552212</v>
      </c>
      <c r="D806">
        <v>85414.885184502768</v>
      </c>
      <c r="E806">
        <v>159428.14980772699</v>
      </c>
      <c r="F806">
        <v>47037.333448227248</v>
      </c>
      <c r="G806">
        <v>10000</v>
      </c>
      <c r="H806">
        <v>388081.89845597919</v>
      </c>
      <c r="I806">
        <v>47.812643787152126</v>
      </c>
    </row>
    <row r="807" spans="1:9" x14ac:dyDescent="0.2">
      <c r="A807">
        <v>797</v>
      </c>
      <c r="B807">
        <v>1352538.5409065669</v>
      </c>
      <c r="C807">
        <v>99665.798447600217</v>
      </c>
      <c r="D807">
        <v>167276.42185010403</v>
      </c>
      <c r="E807">
        <v>74511.575898075142</v>
      </c>
      <c r="F807">
        <v>41158.493716020588</v>
      </c>
      <c r="G807">
        <v>10000</v>
      </c>
      <c r="H807">
        <v>372612.28991179995</v>
      </c>
      <c r="I807">
        <v>26.40768501545957</v>
      </c>
    </row>
    <row r="808" spans="1:9" x14ac:dyDescent="0.2">
      <c r="A808">
        <v>798</v>
      </c>
      <c r="B808">
        <v>1389122.713980187</v>
      </c>
      <c r="C808">
        <v>119901.82365069445</v>
      </c>
      <c r="D808">
        <v>90317.367786642761</v>
      </c>
      <c r="E808">
        <v>136939.07297262346</v>
      </c>
      <c r="F808">
        <v>45480.397359643161</v>
      </c>
      <c r="G808">
        <v>10000</v>
      </c>
      <c r="H808">
        <v>382638.66176960384</v>
      </c>
      <c r="I808">
        <v>31.733790107845316</v>
      </c>
    </row>
    <row r="809" spans="1:9" x14ac:dyDescent="0.2">
      <c r="A809">
        <v>799</v>
      </c>
      <c r="B809">
        <v>1203824.4209657926</v>
      </c>
      <c r="C809">
        <v>144448.94318942452</v>
      </c>
      <c r="D809">
        <v>56427.373075524178</v>
      </c>
      <c r="E809">
        <v>98181.724701076731</v>
      </c>
      <c r="F809">
        <v>42797.196325459161</v>
      </c>
      <c r="G809">
        <v>10000</v>
      </c>
      <c r="H809">
        <v>331855.23729148461</v>
      </c>
      <c r="I809">
        <v>32.168829602647293</v>
      </c>
    </row>
    <row r="810" spans="1:9" x14ac:dyDescent="0.2">
      <c r="A810">
        <v>800</v>
      </c>
      <c r="B810">
        <v>1550828.574597527</v>
      </c>
      <c r="C810">
        <v>129280.9503021704</v>
      </c>
      <c r="D810">
        <v>141701.62960851067</v>
      </c>
      <c r="E810">
        <v>121558.12845512992</v>
      </c>
      <c r="F810">
        <v>44415.562739201305</v>
      </c>
      <c r="G810">
        <v>10000</v>
      </c>
      <c r="H810">
        <v>426956.27110501227</v>
      </c>
      <c r="I810">
        <v>41.509825782316419</v>
      </c>
    </row>
    <row r="811" spans="1:9" x14ac:dyDescent="0.2">
      <c r="A811">
        <v>801</v>
      </c>
      <c r="B811">
        <v>1364551.8329161447</v>
      </c>
      <c r="C811">
        <v>86344.297742514667</v>
      </c>
      <c r="D811">
        <v>59652.36797040185</v>
      </c>
      <c r="E811">
        <v>190705.34641132184</v>
      </c>
      <c r="F811">
        <v>49202.677828476131</v>
      </c>
      <c r="G811">
        <v>10000</v>
      </c>
      <c r="H811">
        <v>375904.68995271449</v>
      </c>
      <c r="I811">
        <v>28.323064725026441</v>
      </c>
    </row>
    <row r="812" spans="1:9" x14ac:dyDescent="0.2">
      <c r="A812">
        <v>802</v>
      </c>
      <c r="B812">
        <v>1453561.8436879104</v>
      </c>
      <c r="C812">
        <v>124797.16151518104</v>
      </c>
      <c r="D812">
        <v>139596.00063974739</v>
      </c>
      <c r="E812">
        <v>102789.67869349374</v>
      </c>
      <c r="F812">
        <v>43116.208524934184</v>
      </c>
      <c r="G812">
        <v>10000</v>
      </c>
      <c r="H812">
        <v>400299.04937335633</v>
      </c>
      <c r="I812">
        <v>50.762913955494746</v>
      </c>
    </row>
    <row r="813" spans="1:9" x14ac:dyDescent="0.2">
      <c r="A813">
        <v>803</v>
      </c>
      <c r="B813">
        <v>1519657.6515007941</v>
      </c>
      <c r="C813">
        <v>123929.41471070502</v>
      </c>
      <c r="D813">
        <v>47968.926761582239</v>
      </c>
      <c r="E813">
        <v>206237.17179361064</v>
      </c>
      <c r="F813">
        <v>50277.958047249973</v>
      </c>
      <c r="G813">
        <v>10000</v>
      </c>
      <c r="H813">
        <v>418413.47131314786</v>
      </c>
      <c r="I813">
        <v>29.826124586280397</v>
      </c>
    </row>
    <row r="814" spans="1:9" x14ac:dyDescent="0.2">
      <c r="A814">
        <v>804</v>
      </c>
      <c r="B814">
        <v>1400443.0940565555</v>
      </c>
      <c r="C814">
        <v>111358.28046355139</v>
      </c>
      <c r="D814">
        <v>41723.832865887314</v>
      </c>
      <c r="E814">
        <v>193278.24529198639</v>
      </c>
      <c r="F814">
        <v>49380.801597137521</v>
      </c>
      <c r="G814">
        <v>10000</v>
      </c>
      <c r="H814">
        <v>385741.16021856264</v>
      </c>
      <c r="I814">
        <v>31.029500970363067</v>
      </c>
    </row>
    <row r="815" spans="1:9" x14ac:dyDescent="0.2">
      <c r="A815">
        <v>805</v>
      </c>
      <c r="B815">
        <v>1138582.1051281064</v>
      </c>
      <c r="C815">
        <v>107200.13186246362</v>
      </c>
      <c r="D815">
        <v>131415.60209888799</v>
      </c>
      <c r="E815">
        <v>46163.086086458105</v>
      </c>
      <c r="F815">
        <v>39195.905959831718</v>
      </c>
      <c r="G815">
        <v>10000</v>
      </c>
      <c r="H815">
        <v>313974.72600764147</v>
      </c>
      <c r="I815">
        <v>40.442927792986751</v>
      </c>
    </row>
    <row r="816" spans="1:9" x14ac:dyDescent="0.2">
      <c r="A816">
        <v>806</v>
      </c>
      <c r="B816">
        <v>1680070.9939285386</v>
      </c>
      <c r="C816">
        <v>129398.4591716854</v>
      </c>
      <c r="D816">
        <v>133364.14828462061</v>
      </c>
      <c r="E816">
        <v>162373.03176021882</v>
      </c>
      <c r="F816">
        <v>47241.209891092069</v>
      </c>
      <c r="G816">
        <v>10000</v>
      </c>
      <c r="H816">
        <v>462376.84910761687</v>
      </c>
      <c r="I816">
        <v>39.438882909751158</v>
      </c>
    </row>
    <row r="817" spans="1:9" x14ac:dyDescent="0.2">
      <c r="A817">
        <v>807</v>
      </c>
      <c r="B817">
        <v>1451490.4317093752</v>
      </c>
      <c r="C817">
        <v>109939.61226578332</v>
      </c>
      <c r="D817">
        <v>53422.884762144946</v>
      </c>
      <c r="E817">
        <v>196747.84977429392</v>
      </c>
      <c r="F817">
        <v>49621.004984374194</v>
      </c>
      <c r="G817">
        <v>10000</v>
      </c>
      <c r="H817">
        <v>399731.35178659641</v>
      </c>
      <c r="I817">
        <v>36.934071710635202</v>
      </c>
    </row>
    <row r="818" spans="1:9" x14ac:dyDescent="0.2">
      <c r="A818">
        <v>808</v>
      </c>
      <c r="B818">
        <v>1248749.9185917643</v>
      </c>
      <c r="C818">
        <v>102797.21062252471</v>
      </c>
      <c r="D818">
        <v>95241.616529883904</v>
      </c>
      <c r="E818">
        <v>112350.7054911728</v>
      </c>
      <c r="F818">
        <v>43778.125764773504</v>
      </c>
      <c r="G818">
        <v>10000</v>
      </c>
      <c r="H818">
        <v>344167.65840835491</v>
      </c>
      <c r="I818">
        <v>40.865470746518668</v>
      </c>
    </row>
    <row r="819" spans="1:9" x14ac:dyDescent="0.2">
      <c r="A819">
        <v>809</v>
      </c>
      <c r="B819">
        <v>1212917.2763950157</v>
      </c>
      <c r="C819">
        <v>82935.988767653747</v>
      </c>
      <c r="D819">
        <v>136476.41977473837</v>
      </c>
      <c r="E819">
        <v>83176.47363765465</v>
      </c>
      <c r="F819">
        <v>41758.371251837634</v>
      </c>
      <c r="G819">
        <v>10000</v>
      </c>
      <c r="H819">
        <v>334347.2534318844</v>
      </c>
      <c r="I819">
        <v>35.132362958211132</v>
      </c>
    </row>
    <row r="820" spans="1:9" x14ac:dyDescent="0.2">
      <c r="A820">
        <v>810</v>
      </c>
      <c r="B820">
        <v>1203686.7567202421</v>
      </c>
      <c r="C820">
        <v>78176.723437243025</v>
      </c>
      <c r="D820">
        <v>77223.389461151964</v>
      </c>
      <c r="E820">
        <v>140678.13986638773</v>
      </c>
      <c r="F820">
        <v>45739.255836903765</v>
      </c>
      <c r="G820">
        <v>10000</v>
      </c>
      <c r="H820">
        <v>331817.50860168651</v>
      </c>
      <c r="I820">
        <v>27.624642897920562</v>
      </c>
    </row>
    <row r="821" spans="1:9" x14ac:dyDescent="0.2">
      <c r="A821">
        <v>811</v>
      </c>
      <c r="B821">
        <v>1179187.1764583034</v>
      </c>
      <c r="C821">
        <v>126507.7633444938</v>
      </c>
      <c r="D821">
        <v>53239.056800458915</v>
      </c>
      <c r="E821">
        <v>111628.15455125664</v>
      </c>
      <c r="F821">
        <v>43728.103007394689</v>
      </c>
      <c r="G821">
        <v>10000</v>
      </c>
      <c r="H821">
        <v>325103.07770360407</v>
      </c>
      <c r="I821">
        <v>33.880153018102163</v>
      </c>
    </row>
    <row r="822" spans="1:9" x14ac:dyDescent="0.2">
      <c r="A822">
        <v>812</v>
      </c>
      <c r="B822">
        <v>1561969.9996316354</v>
      </c>
      <c r="C822">
        <v>151357.7854626581</v>
      </c>
      <c r="D822">
        <v>79299.17952342717</v>
      </c>
      <c r="E822">
        <v>162128.48019617249</v>
      </c>
      <c r="F822">
        <v>47224.279398196551</v>
      </c>
      <c r="G822">
        <v>10000</v>
      </c>
      <c r="H822">
        <v>430009.72458045429</v>
      </c>
      <c r="I822">
        <v>32.813855744842328</v>
      </c>
    </row>
    <row r="823" spans="1:9" x14ac:dyDescent="0.2">
      <c r="A823">
        <v>813</v>
      </c>
      <c r="B823">
        <v>1443444.7880131088</v>
      </c>
      <c r="C823">
        <v>120913.4730788164</v>
      </c>
      <c r="D823">
        <v>116488.94503696339</v>
      </c>
      <c r="E823">
        <v>125439.63705801689</v>
      </c>
      <c r="F823">
        <v>44684.282565555011</v>
      </c>
      <c r="G823">
        <v>10000</v>
      </c>
      <c r="H823">
        <v>397526.33773935167</v>
      </c>
      <c r="I823">
        <v>30.6309456361152</v>
      </c>
    </row>
    <row r="824" spans="1:9" x14ac:dyDescent="0.2">
      <c r="A824">
        <v>814</v>
      </c>
      <c r="B824">
        <v>1487734.0478923409</v>
      </c>
      <c r="C824">
        <v>81127.654297385059</v>
      </c>
      <c r="D824">
        <v>95832.324993186397</v>
      </c>
      <c r="E824">
        <v>193320.6714819824</v>
      </c>
      <c r="F824">
        <v>49383.738794906472</v>
      </c>
      <c r="G824">
        <v>10000</v>
      </c>
      <c r="H824">
        <v>409664.38956746034</v>
      </c>
      <c r="I824">
        <v>44.952082038463303</v>
      </c>
    </row>
    <row r="825" spans="1:9" x14ac:dyDescent="0.2">
      <c r="A825">
        <v>815</v>
      </c>
      <c r="B825">
        <v>1652663.7227348126</v>
      </c>
      <c r="C825">
        <v>104619.65148308298</v>
      </c>
      <c r="D825">
        <v>126040.9340385807</v>
      </c>
      <c r="E825">
        <v>185371.52839503353</v>
      </c>
      <c r="F825">
        <v>48833.413504271557</v>
      </c>
      <c r="G825">
        <v>10000</v>
      </c>
      <c r="H825">
        <v>454865.52742096875</v>
      </c>
      <c r="I825">
        <v>32.622137408024628</v>
      </c>
    </row>
    <row r="826" spans="1:9" x14ac:dyDescent="0.2">
      <c r="A826">
        <v>816</v>
      </c>
      <c r="B826">
        <v>1607767.4413216035</v>
      </c>
      <c r="C826">
        <v>133005.95898426499</v>
      </c>
      <c r="D826">
        <v>72025.649055024129</v>
      </c>
      <c r="E826">
        <v>197833.35032792613</v>
      </c>
      <c r="F826">
        <v>49696.155022702573</v>
      </c>
      <c r="G826">
        <v>10000</v>
      </c>
      <c r="H826">
        <v>442561.11338991782</v>
      </c>
      <c r="I826">
        <v>42.375712544918102</v>
      </c>
    </row>
    <row r="827" spans="1:9" x14ac:dyDescent="0.2">
      <c r="A827">
        <v>817</v>
      </c>
      <c r="B827">
        <v>1177786.5525112243</v>
      </c>
      <c r="C827">
        <v>135775.88033846574</v>
      </c>
      <c r="D827">
        <v>88172.633840689246</v>
      </c>
      <c r="E827">
        <v>69929.435568295186</v>
      </c>
      <c r="F827">
        <v>40841.268616266585</v>
      </c>
      <c r="G827">
        <v>10000</v>
      </c>
      <c r="H827">
        <v>324719.21836371679</v>
      </c>
      <c r="I827">
        <v>38.204259617367327</v>
      </c>
    </row>
    <row r="828" spans="1:9" x14ac:dyDescent="0.2">
      <c r="A828">
        <v>818</v>
      </c>
      <c r="B828">
        <v>1330639.5447675278</v>
      </c>
      <c r="C828">
        <v>157014.63317667512</v>
      </c>
      <c r="D828">
        <v>138833.93943157999</v>
      </c>
      <c r="E828">
        <v>41863.750874258738</v>
      </c>
      <c r="F828">
        <v>38898.259675910223</v>
      </c>
      <c r="G828">
        <v>10000</v>
      </c>
      <c r="H828">
        <v>366610.58315842407</v>
      </c>
      <c r="I828">
        <v>54.007989047323058</v>
      </c>
    </row>
    <row r="829" spans="1:9" x14ac:dyDescent="0.2">
      <c r="A829">
        <v>819</v>
      </c>
      <c r="B829">
        <v>1040318.3331710544</v>
      </c>
      <c r="C829">
        <v>127076.28223472463</v>
      </c>
      <c r="D829">
        <v>95253.9810877321</v>
      </c>
      <c r="E829">
        <v>36207.327649010032</v>
      </c>
      <c r="F829">
        <v>38506.661144931466</v>
      </c>
      <c r="G829">
        <v>10000</v>
      </c>
      <c r="H829">
        <v>287044.25211639825</v>
      </c>
      <c r="I829">
        <v>32.01959960054009</v>
      </c>
    </row>
    <row r="830" spans="1:9" x14ac:dyDescent="0.2">
      <c r="A830">
        <v>820</v>
      </c>
      <c r="B830">
        <v>1670650.4943817644</v>
      </c>
      <c r="C830">
        <v>115616.95559321117</v>
      </c>
      <c r="D830">
        <v>126832.90213731604</v>
      </c>
      <c r="E830">
        <v>178955.92381055932</v>
      </c>
      <c r="F830">
        <v>48389.256263807954</v>
      </c>
      <c r="G830">
        <v>10000</v>
      </c>
      <c r="H830">
        <v>459795.03780489444</v>
      </c>
      <c r="I830">
        <v>38.010429815600219</v>
      </c>
    </row>
    <row r="831" spans="1:9" x14ac:dyDescent="0.2">
      <c r="A831">
        <v>821</v>
      </c>
      <c r="B831">
        <v>1319548.8531022915</v>
      </c>
      <c r="C831">
        <v>104138.83883083698</v>
      </c>
      <c r="D831">
        <v>61173.595259951151</v>
      </c>
      <c r="E831">
        <v>161105.16522119154</v>
      </c>
      <c r="F831">
        <v>47153.43451531326</v>
      </c>
      <c r="G831">
        <v>10000</v>
      </c>
      <c r="H831">
        <v>363571.03382729291</v>
      </c>
      <c r="I831">
        <v>41.770961905856666</v>
      </c>
    </row>
    <row r="832" spans="1:9" x14ac:dyDescent="0.2">
      <c r="A832">
        <v>822</v>
      </c>
      <c r="B832">
        <v>1298282.9313399144</v>
      </c>
      <c r="C832">
        <v>115689.38667902762</v>
      </c>
      <c r="D832">
        <v>118843.80833237855</v>
      </c>
      <c r="E832">
        <v>90915.485399096666</v>
      </c>
      <c r="F832">
        <v>42294.148989168229</v>
      </c>
      <c r="G832">
        <v>10000</v>
      </c>
      <c r="H832">
        <v>357742.82939967106</v>
      </c>
      <c r="I832">
        <v>33.50646881286545</v>
      </c>
    </row>
    <row r="833" spans="1:9" x14ac:dyDescent="0.2">
      <c r="A833">
        <v>823</v>
      </c>
      <c r="B833">
        <v>1753400.5134233418</v>
      </c>
      <c r="C833">
        <v>123115.05271872388</v>
      </c>
      <c r="D833">
        <v>164065.61623654221</v>
      </c>
      <c r="E833">
        <v>158331.67208320205</v>
      </c>
      <c r="F833">
        <v>46961.423451913994</v>
      </c>
      <c r="G833">
        <v>10000</v>
      </c>
      <c r="H833">
        <v>482473.76449038211</v>
      </c>
      <c r="I833">
        <v>36.847523929817704</v>
      </c>
    </row>
    <row r="834" spans="1:9" x14ac:dyDescent="0.2">
      <c r="A834">
        <v>824</v>
      </c>
      <c r="B834">
        <v>1326806.9833480171</v>
      </c>
      <c r="C834">
        <v>102264.68876617815</v>
      </c>
      <c r="D834">
        <v>68157.63253752733</v>
      </c>
      <c r="E834">
        <v>158186.52349064001</v>
      </c>
      <c r="F834">
        <v>46951.374703198155</v>
      </c>
      <c r="G834">
        <v>10000</v>
      </c>
      <c r="H834">
        <v>365560.21949754364</v>
      </c>
      <c r="I834">
        <v>54.01406659144331</v>
      </c>
    </row>
    <row r="835" spans="1:9" x14ac:dyDescent="0.2">
      <c r="A835">
        <v>825</v>
      </c>
      <c r="B835">
        <v>960541.50327867246</v>
      </c>
      <c r="C835">
        <v>100383.62433994215</v>
      </c>
      <c r="D835">
        <v>44439.946069189005</v>
      </c>
      <c r="E835">
        <v>88247.363590826149</v>
      </c>
      <c r="F835">
        <v>42109.43286398027</v>
      </c>
      <c r="G835">
        <v>10000</v>
      </c>
      <c r="H835">
        <v>265180.36686393758</v>
      </c>
      <c r="I835">
        <v>31.49638542410927</v>
      </c>
    </row>
    <row r="836" spans="1:9" x14ac:dyDescent="0.2">
      <c r="A836">
        <v>826</v>
      </c>
      <c r="B836">
        <v>973741.75972284772</v>
      </c>
      <c r="C836">
        <v>126253.72950703654</v>
      </c>
      <c r="D836">
        <v>75626.764745777895</v>
      </c>
      <c r="E836">
        <v>38268.236363209777</v>
      </c>
      <c r="F836">
        <v>38649.339440529911</v>
      </c>
      <c r="G836">
        <v>10000</v>
      </c>
      <c r="H836">
        <v>268798.07005655416</v>
      </c>
      <c r="I836">
        <v>39.193050397609213</v>
      </c>
    </row>
    <row r="837" spans="1:9" x14ac:dyDescent="0.2">
      <c r="A837">
        <v>827</v>
      </c>
      <c r="B837">
        <v>1366799.278995459</v>
      </c>
      <c r="C837">
        <v>130812.02083440783</v>
      </c>
      <c r="D837">
        <v>99758.132256810408</v>
      </c>
      <c r="E837">
        <v>112183.90112902678</v>
      </c>
      <c r="F837">
        <v>43766.577770471085</v>
      </c>
      <c r="G837">
        <v>10000</v>
      </c>
      <c r="H837">
        <v>376520.63199071609</v>
      </c>
      <c r="I837">
        <v>30.551573350795014</v>
      </c>
    </row>
    <row r="838" spans="1:9" x14ac:dyDescent="0.2">
      <c r="A838">
        <v>828</v>
      </c>
      <c r="B838">
        <v>1519329.66612227</v>
      </c>
      <c r="C838">
        <v>145773.55505772022</v>
      </c>
      <c r="D838">
        <v>126364.99027921796</v>
      </c>
      <c r="E838">
        <v>112403.27228266277</v>
      </c>
      <c r="F838">
        <v>43781.765004184344</v>
      </c>
      <c r="G838">
        <v>10000</v>
      </c>
      <c r="H838">
        <v>418323.58262378525</v>
      </c>
      <c r="I838">
        <v>26.717025758875138</v>
      </c>
    </row>
    <row r="839" spans="1:9" x14ac:dyDescent="0.2">
      <c r="A839">
        <v>829</v>
      </c>
      <c r="B839">
        <v>1345734.9741561988</v>
      </c>
      <c r="C839">
        <v>167905.79916405759</v>
      </c>
      <c r="D839">
        <v>71134.456691470521</v>
      </c>
      <c r="E839">
        <v>98863.061659210231</v>
      </c>
      <c r="F839">
        <v>42844.365807176095</v>
      </c>
      <c r="G839">
        <v>10000</v>
      </c>
      <c r="H839">
        <v>370747.68332191446</v>
      </c>
      <c r="I839">
        <v>46.828229353055264</v>
      </c>
    </row>
    <row r="840" spans="1:9" x14ac:dyDescent="0.2">
      <c r="A840">
        <v>830</v>
      </c>
      <c r="B840">
        <v>1262607.2774816642</v>
      </c>
      <c r="C840">
        <v>124275.11533042671</v>
      </c>
      <c r="D840">
        <v>96827.279834229135</v>
      </c>
      <c r="E840">
        <v>94332.352633015325</v>
      </c>
      <c r="F840">
        <v>42530.701336131831</v>
      </c>
      <c r="G840">
        <v>10000</v>
      </c>
      <c r="H840">
        <v>347965.44913380302</v>
      </c>
      <c r="I840">
        <v>28.218938355286276</v>
      </c>
    </row>
    <row r="841" spans="1:9" x14ac:dyDescent="0.2">
      <c r="A841">
        <v>831</v>
      </c>
      <c r="B841">
        <v>1522802.763899185</v>
      </c>
      <c r="C841">
        <v>112738.91796287619</v>
      </c>
      <c r="D841">
        <v>66814.110559809094</v>
      </c>
      <c r="E841">
        <v>199884.2609025951</v>
      </c>
      <c r="F841">
        <v>49838.141139410429</v>
      </c>
      <c r="G841">
        <v>10000</v>
      </c>
      <c r="H841">
        <v>419275.43056469085</v>
      </c>
      <c r="I841">
        <v>35.231720994497081</v>
      </c>
    </row>
    <row r="842" spans="1:9" x14ac:dyDescent="0.2">
      <c r="A842">
        <v>832</v>
      </c>
      <c r="B842">
        <v>995278.97741431254</v>
      </c>
      <c r="C842">
        <v>120125.57412722123</v>
      </c>
      <c r="D842">
        <v>62757.835998100447</v>
      </c>
      <c r="E842">
        <v>61555.670165905896</v>
      </c>
      <c r="F842">
        <v>40261.546396101185</v>
      </c>
      <c r="G842">
        <v>10000</v>
      </c>
      <c r="H842">
        <v>274700.6266873288</v>
      </c>
      <c r="I842">
        <v>43.976482305720282</v>
      </c>
    </row>
    <row r="843" spans="1:9" x14ac:dyDescent="0.2">
      <c r="A843">
        <v>833</v>
      </c>
      <c r="B843">
        <v>1654345.555452799</v>
      </c>
      <c r="C843">
        <v>89526.857328644692</v>
      </c>
      <c r="D843">
        <v>132415.50933637994</v>
      </c>
      <c r="E843">
        <v>193956.34227055873</v>
      </c>
      <c r="F843">
        <v>49427.746772577135</v>
      </c>
      <c r="G843">
        <v>10000</v>
      </c>
      <c r="H843">
        <v>455326.45570816047</v>
      </c>
      <c r="I843">
        <v>34.619191190322098</v>
      </c>
    </row>
    <row r="844" spans="1:9" x14ac:dyDescent="0.2">
      <c r="A844">
        <v>834</v>
      </c>
      <c r="B844">
        <v>1454844.555648484</v>
      </c>
      <c r="C844">
        <v>152807.44694091342</v>
      </c>
      <c r="D844">
        <v>41602.258937530663</v>
      </c>
      <c r="E844">
        <v>168570.61421829744</v>
      </c>
      <c r="F844">
        <v>47670.273292035978</v>
      </c>
      <c r="G844">
        <v>10000</v>
      </c>
      <c r="H844">
        <v>400650.59338877752</v>
      </c>
      <c r="I844">
        <v>43.913593786599385</v>
      </c>
    </row>
    <row r="845" spans="1:9" x14ac:dyDescent="0.2">
      <c r="A845">
        <v>835</v>
      </c>
      <c r="B845">
        <v>1269267.0222102248</v>
      </c>
      <c r="C845">
        <v>129080.49807000483</v>
      </c>
      <c r="D845">
        <v>105190.82627791294</v>
      </c>
      <c r="E845">
        <v>83723.100422118587</v>
      </c>
      <c r="F845">
        <v>41796.214644608212</v>
      </c>
      <c r="G845">
        <v>10000</v>
      </c>
      <c r="H845">
        <v>349790.63941464457</v>
      </c>
      <c r="I845">
        <v>44.384411808863248</v>
      </c>
    </row>
    <row r="846" spans="1:9" x14ac:dyDescent="0.2">
      <c r="A846">
        <v>836</v>
      </c>
      <c r="B846">
        <v>1173687.4377962111</v>
      </c>
      <c r="C846">
        <v>95743.672079471988</v>
      </c>
      <c r="D846">
        <v>70397.546565945435</v>
      </c>
      <c r="E846">
        <v>122943.13577385849</v>
      </c>
      <c r="F846">
        <v>44511.447861267123</v>
      </c>
      <c r="G846">
        <v>10000</v>
      </c>
      <c r="H846">
        <v>323595.80228054302</v>
      </c>
      <c r="I846">
        <v>31.754155819954569</v>
      </c>
    </row>
    <row r="847" spans="1:9" x14ac:dyDescent="0.2">
      <c r="A847">
        <v>837</v>
      </c>
      <c r="B847">
        <v>1098062.6812104252</v>
      </c>
      <c r="C847">
        <v>113599.87975424241</v>
      </c>
      <c r="D847">
        <v>70634.506658723796</v>
      </c>
      <c r="E847">
        <v>86637.481224635747</v>
      </c>
      <c r="F847">
        <v>41997.979469397862</v>
      </c>
      <c r="G847">
        <v>10000</v>
      </c>
      <c r="H847">
        <v>302869.84710699983</v>
      </c>
      <c r="I847">
        <v>36.788561571660452</v>
      </c>
    </row>
    <row r="848" spans="1:9" x14ac:dyDescent="0.2">
      <c r="A848">
        <v>838</v>
      </c>
      <c r="B848">
        <v>1592611.4857947826</v>
      </c>
      <c r="C848">
        <v>140470.40998452649</v>
      </c>
      <c r="D848">
        <v>124306.58295827218</v>
      </c>
      <c r="E848">
        <v>138071.62733338453</v>
      </c>
      <c r="F848">
        <v>45558.804969234312</v>
      </c>
      <c r="G848">
        <v>10000</v>
      </c>
      <c r="H848">
        <v>438407.42524541751</v>
      </c>
      <c r="I848">
        <v>39.626531151483704</v>
      </c>
    </row>
    <row r="849" spans="1:9" x14ac:dyDescent="0.2">
      <c r="A849">
        <v>839</v>
      </c>
      <c r="B849">
        <v>1042538.1173168791</v>
      </c>
      <c r="C849">
        <v>99267.251581693214</v>
      </c>
      <c r="D849">
        <v>69243.69457280614</v>
      </c>
      <c r="E849">
        <v>87110.911474876601</v>
      </c>
      <c r="F849">
        <v>42030.755409799145</v>
      </c>
      <c r="G849">
        <v>10000</v>
      </c>
      <c r="H849">
        <v>287652.61303917511</v>
      </c>
      <c r="I849">
        <v>31.988237781456554</v>
      </c>
    </row>
    <row r="850" spans="1:9" x14ac:dyDescent="0.2">
      <c r="A850">
        <v>840</v>
      </c>
      <c r="B850">
        <v>1407941.8936983454</v>
      </c>
      <c r="C850">
        <v>119676.57695158791</v>
      </c>
      <c r="D850">
        <v>73073.384544531407</v>
      </c>
      <c r="E850">
        <v>158100.89632465559</v>
      </c>
      <c r="F850">
        <v>46945.44666863</v>
      </c>
      <c r="G850">
        <v>10000</v>
      </c>
      <c r="H850">
        <v>387796.30448940489</v>
      </c>
      <c r="I850">
        <v>38.192329831646916</v>
      </c>
    </row>
    <row r="851" spans="1:9" x14ac:dyDescent="0.2">
      <c r="A851">
        <v>841</v>
      </c>
      <c r="B851">
        <v>1728143.6343107142</v>
      </c>
      <c r="C851">
        <v>122055.92702002337</v>
      </c>
      <c r="D851">
        <v>152994.18847863973</v>
      </c>
      <c r="E851">
        <v>163203.00111552427</v>
      </c>
      <c r="F851">
        <v>47298.669307997836</v>
      </c>
      <c r="G851">
        <v>10000</v>
      </c>
      <c r="H851">
        <v>475551.78592218523</v>
      </c>
      <c r="I851">
        <v>29.153699216051137</v>
      </c>
    </row>
    <row r="852" spans="1:9" x14ac:dyDescent="0.2">
      <c r="A852">
        <v>842</v>
      </c>
      <c r="B852">
        <v>1358611.7744657195</v>
      </c>
      <c r="C852">
        <v>133174.71232747118</v>
      </c>
      <c r="D852">
        <v>145802.28509274567</v>
      </c>
      <c r="E852">
        <v>64812.708068081367</v>
      </c>
      <c r="F852">
        <v>40487.033635482556</v>
      </c>
      <c r="G852">
        <v>10000</v>
      </c>
      <c r="H852">
        <v>374276.73912378075</v>
      </c>
      <c r="I852">
        <v>42.441172787985465</v>
      </c>
    </row>
    <row r="853" spans="1:9" x14ac:dyDescent="0.2">
      <c r="A853">
        <v>843</v>
      </c>
      <c r="B853">
        <v>1310452.3453295475</v>
      </c>
      <c r="C853">
        <v>116249.87611563531</v>
      </c>
      <c r="D853">
        <v>52901.044601641479</v>
      </c>
      <c r="E853">
        <v>155183.61496125223</v>
      </c>
      <c r="F853">
        <v>46743.481035778997</v>
      </c>
      <c r="G853">
        <v>10000</v>
      </c>
      <c r="H853">
        <v>361078.01671430806</v>
      </c>
      <c r="I853">
        <v>29.450584525428631</v>
      </c>
    </row>
    <row r="854" spans="1:9" x14ac:dyDescent="0.2">
      <c r="A854">
        <v>844</v>
      </c>
      <c r="B854">
        <v>842112.69923970324</v>
      </c>
      <c r="C854">
        <v>112215.36605004047</v>
      </c>
      <c r="D854">
        <v>40814.401439069967</v>
      </c>
      <c r="E854">
        <v>50217.068044536682</v>
      </c>
      <c r="F854">
        <v>39476.566249237156</v>
      </c>
      <c r="G854">
        <v>10000</v>
      </c>
      <c r="H854">
        <v>232723.40178288429</v>
      </c>
      <c r="I854">
        <v>29.313311899391241</v>
      </c>
    </row>
    <row r="855" spans="1:9" x14ac:dyDescent="0.2">
      <c r="A855">
        <v>845</v>
      </c>
      <c r="B855">
        <v>1343981.9125322327</v>
      </c>
      <c r="C855">
        <v>85605.485950818416</v>
      </c>
      <c r="D855">
        <v>102934.94482210791</v>
      </c>
      <c r="E855">
        <v>145643.77263394478</v>
      </c>
      <c r="F855">
        <v>46083.030413119253</v>
      </c>
      <c r="G855">
        <v>10000</v>
      </c>
      <c r="H855">
        <v>370267.2338199903</v>
      </c>
      <c r="I855">
        <v>26.526772246163368</v>
      </c>
    </row>
    <row r="856" spans="1:9" x14ac:dyDescent="0.2">
      <c r="A856">
        <v>846</v>
      </c>
      <c r="B856">
        <v>980965.08018157678</v>
      </c>
      <c r="C856">
        <v>95842.775518403199</v>
      </c>
      <c r="D856">
        <v>80123.572117039366</v>
      </c>
      <c r="E856">
        <v>64355.955695847399</v>
      </c>
      <c r="F856">
        <v>40455.412317404822</v>
      </c>
      <c r="G856">
        <v>10000</v>
      </c>
      <c r="H856">
        <v>270777.71564869478</v>
      </c>
      <c r="I856">
        <v>43.731848959941246</v>
      </c>
    </row>
    <row r="857" spans="1:9" x14ac:dyDescent="0.2">
      <c r="A857">
        <v>847</v>
      </c>
      <c r="B857">
        <v>1368903.9179527252</v>
      </c>
      <c r="C857">
        <v>141927.82437905908</v>
      </c>
      <c r="D857">
        <v>89474.70452919176</v>
      </c>
      <c r="E857">
        <v>111944.87701107588</v>
      </c>
      <c r="F857">
        <v>43750.029946920637</v>
      </c>
      <c r="G857">
        <v>10000</v>
      </c>
      <c r="H857">
        <v>377097.43586624734</v>
      </c>
      <c r="I857">
        <v>34.882211244168957</v>
      </c>
    </row>
    <row r="858" spans="1:9" x14ac:dyDescent="0.2">
      <c r="A858">
        <v>848</v>
      </c>
      <c r="B858">
        <v>1288733.8065632191</v>
      </c>
      <c r="C858">
        <v>105017.8624216484</v>
      </c>
      <c r="D858">
        <v>83283.126808377448</v>
      </c>
      <c r="E858">
        <v>131706.62638064116</v>
      </c>
      <c r="F858">
        <v>45118.151057121315</v>
      </c>
      <c r="G858">
        <v>10000</v>
      </c>
      <c r="H858">
        <v>355125.76666778838</v>
      </c>
      <c r="I858">
        <v>41.780499032948704</v>
      </c>
    </row>
    <row r="859" spans="1:9" x14ac:dyDescent="0.2">
      <c r="A859">
        <v>849</v>
      </c>
      <c r="B859">
        <v>1338631.8121301804</v>
      </c>
      <c r="C859">
        <v>131368.87715317245</v>
      </c>
      <c r="D859">
        <v>141007.64485218644</v>
      </c>
      <c r="E859">
        <v>65864.590454645804</v>
      </c>
      <c r="F859">
        <v>40559.856262244713</v>
      </c>
      <c r="G859">
        <v>10000</v>
      </c>
      <c r="H859">
        <v>368800.96872224938</v>
      </c>
      <c r="I859">
        <v>51.152075718989245</v>
      </c>
    </row>
    <row r="860" spans="1:9" x14ac:dyDescent="0.2">
      <c r="A860">
        <v>850</v>
      </c>
      <c r="B860">
        <v>1594178.3886621876</v>
      </c>
      <c r="C860">
        <v>114556.41011795754</v>
      </c>
      <c r="D860">
        <v>79967.523850765385</v>
      </c>
      <c r="E860">
        <v>204177.55251272261</v>
      </c>
      <c r="F860">
        <v>50135.369020111568</v>
      </c>
      <c r="G860">
        <v>10000</v>
      </c>
      <c r="H860">
        <v>438836.85550155712</v>
      </c>
      <c r="I860">
        <v>45.533562331208529</v>
      </c>
    </row>
    <row r="861" spans="1:9" x14ac:dyDescent="0.2">
      <c r="A861">
        <v>851</v>
      </c>
      <c r="B861">
        <v>1058954.6548733194</v>
      </c>
      <c r="C861">
        <v>94805.292642141678</v>
      </c>
      <c r="D861">
        <v>46942.544297907858</v>
      </c>
      <c r="E861">
        <v>116349.01168349449</v>
      </c>
      <c r="F861">
        <v>44054.931578088086</v>
      </c>
      <c r="G861">
        <v>10000</v>
      </c>
      <c r="H861">
        <v>292151.78020163212</v>
      </c>
      <c r="I861">
        <v>46.51393067333575</v>
      </c>
    </row>
    <row r="862" spans="1:9" x14ac:dyDescent="0.2">
      <c r="A862">
        <v>852</v>
      </c>
      <c r="B862">
        <v>1407877.3280947285</v>
      </c>
      <c r="C862">
        <v>102247.72316114834</v>
      </c>
      <c r="D862">
        <v>137251.82078714776</v>
      </c>
      <c r="E862">
        <v>114361.71592746448</v>
      </c>
      <c r="F862">
        <v>43917.349564209078</v>
      </c>
      <c r="G862">
        <v>10000</v>
      </c>
      <c r="H862">
        <v>387778.60943996964</v>
      </c>
      <c r="I862">
        <v>25.711971333600026</v>
      </c>
    </row>
    <row r="863" spans="1:9" x14ac:dyDescent="0.2">
      <c r="A863">
        <v>853</v>
      </c>
      <c r="B863">
        <v>844218.33898993558</v>
      </c>
      <c r="C863">
        <v>116466.6195928996</v>
      </c>
      <c r="D863">
        <v>39110.855814430455</v>
      </c>
      <c r="E863">
        <v>48374.03301507904</v>
      </c>
      <c r="F863">
        <v>39348.971516428552</v>
      </c>
      <c r="G863">
        <v>10000</v>
      </c>
      <c r="H863">
        <v>233300.47993883764</v>
      </c>
      <c r="I863">
        <v>36.212171086475649</v>
      </c>
    </row>
    <row r="864" spans="1:9" x14ac:dyDescent="0.2">
      <c r="A864">
        <v>854</v>
      </c>
      <c r="B864">
        <v>1404646.6775825683</v>
      </c>
      <c r="C864">
        <v>107266.70976877728</v>
      </c>
      <c r="D864">
        <v>147540.5067512583</v>
      </c>
      <c r="E864">
        <v>99217.113723863527</v>
      </c>
      <c r="F864">
        <v>42868.877103959778</v>
      </c>
      <c r="G864">
        <v>10000</v>
      </c>
      <c r="H864">
        <v>386893.20734785893</v>
      </c>
      <c r="I864">
        <v>40.452489257336829</v>
      </c>
    </row>
    <row r="865" spans="1:9" x14ac:dyDescent="0.2">
      <c r="A865">
        <v>855</v>
      </c>
      <c r="B865">
        <v>1351805.020558354</v>
      </c>
      <c r="C865">
        <v>129883.31070776809</v>
      </c>
      <c r="D865">
        <v>54519.871296317062</v>
      </c>
      <c r="E865">
        <v>151518.34544028138</v>
      </c>
      <c r="F865">
        <v>46489.731607404094</v>
      </c>
      <c r="G865">
        <v>10000</v>
      </c>
      <c r="H865">
        <v>372411.25905177061</v>
      </c>
      <c r="I865">
        <v>43.809949149305282</v>
      </c>
    </row>
    <row r="866" spans="1:9" x14ac:dyDescent="0.2">
      <c r="A866">
        <v>856</v>
      </c>
      <c r="B866">
        <v>1450914.7863230994</v>
      </c>
      <c r="C866">
        <v>140953.74855915067</v>
      </c>
      <c r="D866">
        <v>73164.44210647844</v>
      </c>
      <c r="E866">
        <v>149130.94773453264</v>
      </c>
      <c r="F866">
        <v>46324.450227775334</v>
      </c>
      <c r="G866">
        <v>10000</v>
      </c>
      <c r="H866">
        <v>399573.58862793708</v>
      </c>
      <c r="I866">
        <v>45.495659334181624</v>
      </c>
    </row>
    <row r="867" spans="1:9" x14ac:dyDescent="0.2">
      <c r="A867">
        <v>857</v>
      </c>
      <c r="B867">
        <v>1784790.6644825831</v>
      </c>
      <c r="C867">
        <v>125600.79425117781</v>
      </c>
      <c r="D867">
        <v>128345.38703193545</v>
      </c>
      <c r="E867">
        <v>197460.14739725785</v>
      </c>
      <c r="F867">
        <v>49670.317896733235</v>
      </c>
      <c r="G867">
        <v>10000</v>
      </c>
      <c r="H867">
        <v>491076.64657710434</v>
      </c>
      <c r="I867">
        <v>45.093463160443775</v>
      </c>
    </row>
    <row r="868" spans="1:9" x14ac:dyDescent="0.2">
      <c r="A868">
        <v>858</v>
      </c>
      <c r="B868">
        <v>1547526.2282672059</v>
      </c>
      <c r="C868">
        <v>118887.85779836743</v>
      </c>
      <c r="D868">
        <v>100302.98201003511</v>
      </c>
      <c r="E868">
        <v>169149.99570811319</v>
      </c>
      <c r="F868">
        <v>47710.384318253986</v>
      </c>
      <c r="G868">
        <v>10000</v>
      </c>
      <c r="H868">
        <v>426051.21983476973</v>
      </c>
      <c r="I868">
        <v>42.399167648581212</v>
      </c>
    </row>
    <row r="869" spans="1:9" x14ac:dyDescent="0.2">
      <c r="A869">
        <v>859</v>
      </c>
      <c r="B869">
        <v>1337448.3215189418</v>
      </c>
      <c r="C869">
        <v>86028.39893462797</v>
      </c>
      <c r="D869">
        <v>128137.17026187734</v>
      </c>
      <c r="E869">
        <v>120003.13881085577</v>
      </c>
      <c r="F869">
        <v>44307.909609982322</v>
      </c>
      <c r="G869">
        <v>10000</v>
      </c>
      <c r="H869">
        <v>368476.61761734338</v>
      </c>
      <c r="I869">
        <v>30.538242674270776</v>
      </c>
    </row>
    <row r="870" spans="1:9" x14ac:dyDescent="0.2">
      <c r="A870">
        <v>860</v>
      </c>
      <c r="B870">
        <v>1295233.7704756805</v>
      </c>
      <c r="C870">
        <v>86361.004903655237</v>
      </c>
      <c r="D870">
        <v>110567.88631845212</v>
      </c>
      <c r="E870">
        <v>125303.42331734565</v>
      </c>
      <c r="F870">
        <v>44674.852383508543</v>
      </c>
      <c r="G870">
        <v>10000</v>
      </c>
      <c r="H870">
        <v>356907.16692296154</v>
      </c>
      <c r="I870">
        <v>27.233267520493492</v>
      </c>
    </row>
    <row r="871" spans="1:9" x14ac:dyDescent="0.2">
      <c r="A871">
        <v>861</v>
      </c>
      <c r="B871">
        <v>1422699.6412556919</v>
      </c>
      <c r="C871">
        <v>106907.77480989907</v>
      </c>
      <c r="D871">
        <v>143145.24116037018</v>
      </c>
      <c r="E871">
        <v>108290.78799954231</v>
      </c>
      <c r="F871">
        <v>43497.054553814465</v>
      </c>
      <c r="G871">
        <v>10000</v>
      </c>
      <c r="H871">
        <v>391840.858523626</v>
      </c>
      <c r="I871">
        <v>33.657211629070375</v>
      </c>
    </row>
    <row r="872" spans="1:9" x14ac:dyDescent="0.2">
      <c r="A872">
        <v>862</v>
      </c>
      <c r="B872">
        <v>699407.77443646174</v>
      </c>
      <c r="C872">
        <v>83890.14984731919</v>
      </c>
      <c r="D872">
        <v>54364.372128523151</v>
      </c>
      <c r="E872">
        <v>27457.801136349251</v>
      </c>
      <c r="F872">
        <v>37900.924694054949</v>
      </c>
      <c r="G872">
        <v>10000</v>
      </c>
      <c r="H872">
        <v>193613.24780624651</v>
      </c>
      <c r="I872">
        <v>26.69021147171884</v>
      </c>
    </row>
    <row r="873" spans="1:9" x14ac:dyDescent="0.2">
      <c r="A873">
        <v>863</v>
      </c>
      <c r="B873">
        <v>1343606.7471285691</v>
      </c>
      <c r="C873">
        <v>93593.444842713987</v>
      </c>
      <c r="D873">
        <v>63503.156405253882</v>
      </c>
      <c r="E873">
        <v>174955.50910242336</v>
      </c>
      <c r="F873">
        <v>48112.304476321617</v>
      </c>
      <c r="G873">
        <v>10000</v>
      </c>
      <c r="H873">
        <v>370164.41482671286</v>
      </c>
      <c r="I873">
        <v>39.509772006950122</v>
      </c>
    </row>
    <row r="874" spans="1:9" x14ac:dyDescent="0.2">
      <c r="A874">
        <v>864</v>
      </c>
      <c r="B874">
        <v>964226.95946383313</v>
      </c>
      <c r="C874">
        <v>84281.888780542082</v>
      </c>
      <c r="D874">
        <v>117991.63865111319</v>
      </c>
      <c r="E874">
        <v>35461.836740811443</v>
      </c>
      <c r="F874">
        <v>38455.050235902338</v>
      </c>
      <c r="G874">
        <v>10000</v>
      </c>
      <c r="H874">
        <v>266190.41440836905</v>
      </c>
      <c r="I874">
        <v>45.811653015933338</v>
      </c>
    </row>
    <row r="875" spans="1:9" x14ac:dyDescent="0.2">
      <c r="A875">
        <v>865</v>
      </c>
      <c r="B875">
        <v>768426.30759514996</v>
      </c>
      <c r="C875">
        <v>87972.414577657692</v>
      </c>
      <c r="D875">
        <v>55934.770574806309</v>
      </c>
      <c r="E875">
        <v>39861.830567132376</v>
      </c>
      <c r="F875">
        <v>38759.665193109162</v>
      </c>
      <c r="G875">
        <v>10000</v>
      </c>
      <c r="H875">
        <v>212528.68091270552</v>
      </c>
      <c r="I875">
        <v>34.445295610576423</v>
      </c>
    </row>
    <row r="876" spans="1:9" x14ac:dyDescent="0.2">
      <c r="A876">
        <v>866</v>
      </c>
      <c r="B876">
        <v>1435116.7044480371</v>
      </c>
      <c r="C876">
        <v>93881.401052668094</v>
      </c>
      <c r="D876">
        <v>86500.378503618151</v>
      </c>
      <c r="E876">
        <v>176633.65404821147</v>
      </c>
      <c r="F876">
        <v>48228.483741799253</v>
      </c>
      <c r="G876">
        <v>10000</v>
      </c>
      <c r="H876">
        <v>395243.91734629695</v>
      </c>
      <c r="I876">
        <v>29.851741581257034</v>
      </c>
    </row>
    <row r="877" spans="1:9" x14ac:dyDescent="0.2">
      <c r="A877">
        <v>867</v>
      </c>
      <c r="B877">
        <v>1247365.5075934301</v>
      </c>
      <c r="C877">
        <v>134911.88710079316</v>
      </c>
      <c r="D877">
        <v>103282.38452270452</v>
      </c>
      <c r="E877">
        <v>74440.404360242668</v>
      </c>
      <c r="F877">
        <v>41153.566455709108</v>
      </c>
      <c r="G877">
        <v>10000</v>
      </c>
      <c r="H877">
        <v>343788.24243944947</v>
      </c>
      <c r="I877">
        <v>28.049240933543196</v>
      </c>
    </row>
    <row r="878" spans="1:9" x14ac:dyDescent="0.2">
      <c r="A878">
        <v>868</v>
      </c>
      <c r="B878">
        <v>1585017.6207370893</v>
      </c>
      <c r="C878">
        <v>105194.77054759352</v>
      </c>
      <c r="D878">
        <v>105362.19671437459</v>
      </c>
      <c r="E878">
        <v>186834.55951591019</v>
      </c>
      <c r="F878">
        <v>48934.700274178394</v>
      </c>
      <c r="G878">
        <v>10000</v>
      </c>
      <c r="H878">
        <v>436326.2270520567</v>
      </c>
      <c r="I878">
        <v>31.541456150286894</v>
      </c>
    </row>
    <row r="879" spans="1:9" x14ac:dyDescent="0.2">
      <c r="A879">
        <v>869</v>
      </c>
      <c r="B879">
        <v>935371.44513228873</v>
      </c>
      <c r="C879">
        <v>103054.30724444655</v>
      </c>
      <c r="D879">
        <v>97084.825152033547</v>
      </c>
      <c r="E879">
        <v>30061.845625222631</v>
      </c>
      <c r="F879">
        <v>38081.204697130794</v>
      </c>
      <c r="G879">
        <v>10000</v>
      </c>
      <c r="H879">
        <v>258282.1827188335</v>
      </c>
      <c r="I879">
        <v>52.382967653623226</v>
      </c>
    </row>
    <row r="880" spans="1:9" x14ac:dyDescent="0.2">
      <c r="A880">
        <v>870</v>
      </c>
      <c r="B880">
        <v>1293293.610876587</v>
      </c>
      <c r="C880">
        <v>145021.23685139959</v>
      </c>
      <c r="D880">
        <v>94721.266200300786</v>
      </c>
      <c r="E880">
        <v>84764.618010015445</v>
      </c>
      <c r="F880">
        <v>41868.319708385687</v>
      </c>
      <c r="G880">
        <v>10000</v>
      </c>
      <c r="H880">
        <v>356375.4407701015</v>
      </c>
      <c r="I880">
        <v>42.181061707559593</v>
      </c>
    </row>
    <row r="881" spans="1:9" x14ac:dyDescent="0.2">
      <c r="A881">
        <v>871</v>
      </c>
      <c r="B881">
        <v>1219778.6353462695</v>
      </c>
      <c r="C881">
        <v>111684.39319579372</v>
      </c>
      <c r="D881">
        <v>43524.002667951419</v>
      </c>
      <c r="E881">
        <v>144982.08181872594</v>
      </c>
      <c r="F881">
        <v>46037.221048988722</v>
      </c>
      <c r="G881">
        <v>10000</v>
      </c>
      <c r="H881">
        <v>336227.69873145979</v>
      </c>
      <c r="I881">
        <v>39.958118662575799</v>
      </c>
    </row>
    <row r="882" spans="1:9" x14ac:dyDescent="0.2">
      <c r="A882">
        <v>872</v>
      </c>
      <c r="B882">
        <v>1028201.0446254902</v>
      </c>
      <c r="C882">
        <v>74448.800092863661</v>
      </c>
      <c r="D882">
        <v>77215.807308651143</v>
      </c>
      <c r="E882">
        <v>99191.630200935469</v>
      </c>
      <c r="F882">
        <v>42867.112860064764</v>
      </c>
      <c r="G882">
        <v>10000</v>
      </c>
      <c r="H882">
        <v>283723.35046251502</v>
      </c>
      <c r="I882">
        <v>45.921454145525381</v>
      </c>
    </row>
    <row r="883" spans="1:9" x14ac:dyDescent="0.2">
      <c r="A883">
        <v>873</v>
      </c>
      <c r="B883">
        <v>1430168.3666529921</v>
      </c>
      <c r="C883">
        <v>137927.1627086685</v>
      </c>
      <c r="D883">
        <v>160109.44002612558</v>
      </c>
      <c r="E883">
        <v>65328.420981817544</v>
      </c>
      <c r="F883">
        <v>40522.736837202756</v>
      </c>
      <c r="G883">
        <v>10000</v>
      </c>
      <c r="H883">
        <v>393887.76055381435</v>
      </c>
      <c r="I883">
        <v>43.306232227268893</v>
      </c>
    </row>
    <row r="884" spans="1:9" x14ac:dyDescent="0.2">
      <c r="A884">
        <v>874</v>
      </c>
      <c r="B884">
        <v>1279936.1810189562</v>
      </c>
      <c r="C884">
        <v>110389.38135863934</v>
      </c>
      <c r="D884">
        <v>72124.273482817443</v>
      </c>
      <c r="E884">
        <v>134864.25143465618</v>
      </c>
      <c r="F884">
        <v>45336.755868553118</v>
      </c>
      <c r="G884">
        <v>10000</v>
      </c>
      <c r="H884">
        <v>352714.66214466613</v>
      </c>
      <c r="I884">
        <v>27.71292278017539</v>
      </c>
    </row>
    <row r="885" spans="1:9" x14ac:dyDescent="0.2">
      <c r="A885">
        <v>875</v>
      </c>
      <c r="B885">
        <v>1410059.2989210128</v>
      </c>
      <c r="C885">
        <v>98164.635682983295</v>
      </c>
      <c r="D885">
        <v>156280.77132593209</v>
      </c>
      <c r="E885">
        <v>100942.84903148779</v>
      </c>
      <c r="F885">
        <v>42988.351086795308</v>
      </c>
      <c r="G885">
        <v>10000</v>
      </c>
      <c r="H885">
        <v>388376.60712719848</v>
      </c>
      <c r="I885">
        <v>38.355367630321595</v>
      </c>
    </row>
    <row r="886" spans="1:9" x14ac:dyDescent="0.2">
      <c r="A886">
        <v>876</v>
      </c>
      <c r="B886">
        <v>1024126.6565261394</v>
      </c>
      <c r="C886">
        <v>106035.97729313633</v>
      </c>
      <c r="D886">
        <v>73144.931097023684</v>
      </c>
      <c r="E886">
        <v>72412.621176069224</v>
      </c>
      <c r="F886">
        <v>41013.181466035559</v>
      </c>
      <c r="G886">
        <v>10000</v>
      </c>
      <c r="H886">
        <v>282606.71103226481</v>
      </c>
      <c r="I886">
        <v>32.238066254394369</v>
      </c>
    </row>
    <row r="887" spans="1:9" x14ac:dyDescent="0.2">
      <c r="A887">
        <v>877</v>
      </c>
      <c r="B887">
        <v>1129720.0549753397</v>
      </c>
      <c r="C887">
        <v>115684.86317247893</v>
      </c>
      <c r="D887">
        <v>129177.56852148798</v>
      </c>
      <c r="E887">
        <v>38049.347767969128</v>
      </c>
      <c r="F887">
        <v>38634.185614705559</v>
      </c>
      <c r="G887">
        <v>10000</v>
      </c>
      <c r="H887">
        <v>311545.96507664159</v>
      </c>
      <c r="I887">
        <v>33.242937720622322</v>
      </c>
    </row>
    <row r="888" spans="1:9" x14ac:dyDescent="0.2">
      <c r="A888">
        <v>878</v>
      </c>
      <c r="B888">
        <v>1222826.3747570731</v>
      </c>
      <c r="C888">
        <v>103219.15743147835</v>
      </c>
      <c r="D888">
        <v>39551.011364386337</v>
      </c>
      <c r="E888">
        <v>157396.14654509618</v>
      </c>
      <c r="F888">
        <v>46896.656299275892</v>
      </c>
      <c r="G888">
        <v>10000</v>
      </c>
      <c r="H888">
        <v>337062.97164023673</v>
      </c>
      <c r="I888">
        <v>35.581961312295888</v>
      </c>
    </row>
    <row r="889" spans="1:9" x14ac:dyDescent="0.2">
      <c r="A889">
        <v>879</v>
      </c>
      <c r="B889">
        <v>1184010.4382458888</v>
      </c>
      <c r="C889">
        <v>145264.91844352655</v>
      </c>
      <c r="D889">
        <v>61759.528298050966</v>
      </c>
      <c r="E889">
        <v>87352.994062686266</v>
      </c>
      <c r="F889">
        <v>42047.514973570585</v>
      </c>
      <c r="G889">
        <v>10000</v>
      </c>
      <c r="H889">
        <v>326424.9557778344</v>
      </c>
      <c r="I889">
        <v>36.086002842355242</v>
      </c>
    </row>
    <row r="890" spans="1:9" x14ac:dyDescent="0.2">
      <c r="A890">
        <v>880</v>
      </c>
      <c r="B890">
        <v>1678982.9407642588</v>
      </c>
      <c r="C890">
        <v>139531.34373110966</v>
      </c>
      <c r="D890">
        <v>99262.791171460645</v>
      </c>
      <c r="E890">
        <v>184510.70120678871</v>
      </c>
      <c r="F890">
        <v>48773.817775854601</v>
      </c>
      <c r="G890">
        <v>10000</v>
      </c>
      <c r="H890">
        <v>462078.65388521366</v>
      </c>
      <c r="I890">
        <v>26.801161719291834</v>
      </c>
    </row>
    <row r="891" spans="1:9" x14ac:dyDescent="0.2">
      <c r="A891">
        <v>881</v>
      </c>
      <c r="B891">
        <v>823509.7527071432</v>
      </c>
      <c r="C891">
        <v>79039.308107089513</v>
      </c>
      <c r="D891">
        <v>84133.693523087495</v>
      </c>
      <c r="E891">
        <v>35962.319899927366</v>
      </c>
      <c r="F891">
        <v>38489.699069994967</v>
      </c>
      <c r="G891">
        <v>10000</v>
      </c>
      <c r="H891">
        <v>227625.02060009935</v>
      </c>
      <c r="I891">
        <v>36.112477942225595</v>
      </c>
    </row>
    <row r="892" spans="1:9" x14ac:dyDescent="0.2">
      <c r="A892">
        <v>882</v>
      </c>
      <c r="B892">
        <v>1496453.8585301153</v>
      </c>
      <c r="C892">
        <v>99465.826138165532</v>
      </c>
      <c r="D892">
        <v>93121.474838020091</v>
      </c>
      <c r="E892">
        <v>180940.23524887706</v>
      </c>
      <c r="F892">
        <v>48526.631671076102</v>
      </c>
      <c r="G892">
        <v>10000</v>
      </c>
      <c r="H892">
        <v>412054.1678961388</v>
      </c>
      <c r="I892">
        <v>29.403894741581691</v>
      </c>
    </row>
    <row r="893" spans="1:9" x14ac:dyDescent="0.2">
      <c r="A893">
        <v>883</v>
      </c>
      <c r="B893">
        <v>1224184.2554351825</v>
      </c>
      <c r="C893">
        <v>123089.99093616275</v>
      </c>
      <c r="D893">
        <v>79483.901291744303</v>
      </c>
      <c r="E893">
        <v>101812.65591315371</v>
      </c>
      <c r="F893">
        <v>43048.568486295255</v>
      </c>
      <c r="G893">
        <v>10000</v>
      </c>
      <c r="H893">
        <v>337435.11662735598</v>
      </c>
      <c r="I893">
        <v>25.56601933524249</v>
      </c>
    </row>
    <row r="894" spans="1:9" x14ac:dyDescent="0.2">
      <c r="A894">
        <v>884</v>
      </c>
      <c r="B894">
        <v>1619089.9949790728</v>
      </c>
      <c r="C894">
        <v>110288.21763767111</v>
      </c>
      <c r="D894">
        <v>121781.27813871062</v>
      </c>
      <c r="E894">
        <v>175448.29157491241</v>
      </c>
      <c r="F894">
        <v>48146.420185955474</v>
      </c>
      <c r="G894">
        <v>10000</v>
      </c>
      <c r="H894">
        <v>445664.20753724966</v>
      </c>
      <c r="I894">
        <v>40.560455503665978</v>
      </c>
    </row>
    <row r="895" spans="1:9" x14ac:dyDescent="0.2">
      <c r="A895">
        <v>885</v>
      </c>
      <c r="B895">
        <v>1058791.7937409682</v>
      </c>
      <c r="C895">
        <v>117409.78207946179</v>
      </c>
      <c r="D895">
        <v>71519.973412188963</v>
      </c>
      <c r="E895">
        <v>72180.293257756988</v>
      </c>
      <c r="F895">
        <v>40997.097225537022</v>
      </c>
      <c r="G895">
        <v>10000</v>
      </c>
      <c r="H895">
        <v>292107.14597494475</v>
      </c>
      <c r="I895">
        <v>48.199308569677719</v>
      </c>
    </row>
    <row r="896" spans="1:9" x14ac:dyDescent="0.2">
      <c r="A896">
        <v>886</v>
      </c>
      <c r="B896">
        <v>1386529.3498887355</v>
      </c>
      <c r="C896">
        <v>103164.61052462237</v>
      </c>
      <c r="D896">
        <v>50835.713848485837</v>
      </c>
      <c r="E896">
        <v>188853.1435933671</v>
      </c>
      <c r="F896">
        <v>49074.448402617723</v>
      </c>
      <c r="G896">
        <v>10000</v>
      </c>
      <c r="H896">
        <v>381927.916369093</v>
      </c>
      <c r="I896">
        <v>35.582055829830722</v>
      </c>
    </row>
    <row r="897" spans="1:9" x14ac:dyDescent="0.2">
      <c r="A897">
        <v>887</v>
      </c>
      <c r="B897">
        <v>1071001.5282662394</v>
      </c>
      <c r="C897">
        <v>88736.385528161074</v>
      </c>
      <c r="D897">
        <v>82948.322809020232</v>
      </c>
      <c r="E897">
        <v>91438.329439116234</v>
      </c>
      <c r="F897">
        <v>42330.345884246504</v>
      </c>
      <c r="G897">
        <v>10000</v>
      </c>
      <c r="H897">
        <v>295453.38366054406</v>
      </c>
      <c r="I897">
        <v>37.628038663040201</v>
      </c>
    </row>
    <row r="898" spans="1:9" x14ac:dyDescent="0.2">
      <c r="A898">
        <v>888</v>
      </c>
      <c r="B898">
        <v>1044912.7168107691</v>
      </c>
      <c r="C898">
        <v>81309.357490552371</v>
      </c>
      <c r="D898">
        <v>54779.196938333582</v>
      </c>
      <c r="E898">
        <v>118042.66425850958</v>
      </c>
      <c r="F898">
        <v>44172.184448666048</v>
      </c>
      <c r="G898">
        <v>10000</v>
      </c>
      <c r="H898">
        <v>288303.40313606156</v>
      </c>
      <c r="I898">
        <v>40.008204570601158</v>
      </c>
    </row>
    <row r="899" spans="1:9" x14ac:dyDescent="0.2">
      <c r="A899">
        <v>889</v>
      </c>
      <c r="B899">
        <v>1111085.8434022737</v>
      </c>
      <c r="C899">
        <v>101220.64053112328</v>
      </c>
      <c r="D899">
        <v>133094.5940709025</v>
      </c>
      <c r="E899">
        <v>43137.348854179247</v>
      </c>
      <c r="F899">
        <v>38986.43184375087</v>
      </c>
      <c r="G899">
        <v>10000</v>
      </c>
      <c r="H899">
        <v>306439.01529995591</v>
      </c>
      <c r="I899">
        <v>32.013010199908877</v>
      </c>
    </row>
    <row r="900" spans="1:9" x14ac:dyDescent="0.2">
      <c r="A900">
        <v>890</v>
      </c>
      <c r="B900">
        <v>1251553.0131703573</v>
      </c>
      <c r="C900">
        <v>114395.65444891994</v>
      </c>
      <c r="D900">
        <v>147194.92371062006</v>
      </c>
      <c r="E900">
        <v>53632.299674563801</v>
      </c>
      <c r="F900">
        <v>39713.005362085183</v>
      </c>
      <c r="G900">
        <v>10000</v>
      </c>
      <c r="H900">
        <v>344935.88319618901</v>
      </c>
      <c r="I900">
        <v>38.78896767031641</v>
      </c>
    </row>
    <row r="901" spans="1:9" x14ac:dyDescent="0.2">
      <c r="A901">
        <v>891</v>
      </c>
      <c r="B901">
        <v>1651890.2663551667</v>
      </c>
      <c r="C901">
        <v>105049.70641089919</v>
      </c>
      <c r="D901">
        <v>162670.64981507772</v>
      </c>
      <c r="E901">
        <v>150513.06039218613</v>
      </c>
      <c r="F901">
        <v>46420.134950228268</v>
      </c>
      <c r="G901">
        <v>10000</v>
      </c>
      <c r="H901">
        <v>454653.55156839127</v>
      </c>
      <c r="I901">
        <v>35.083831389492786</v>
      </c>
    </row>
    <row r="902" spans="1:9" x14ac:dyDescent="0.2">
      <c r="A902">
        <v>892</v>
      </c>
      <c r="B902">
        <v>1115490.8324654088</v>
      </c>
      <c r="C902">
        <v>126501.34703416945</v>
      </c>
      <c r="D902">
        <v>116978.82056160031</v>
      </c>
      <c r="E902">
        <v>35694.906803570149</v>
      </c>
      <c r="F902">
        <v>38471.185855631782</v>
      </c>
      <c r="G902">
        <v>10000</v>
      </c>
      <c r="H902">
        <v>307646.26025497168</v>
      </c>
      <c r="I902">
        <v>31.036442896141565</v>
      </c>
    </row>
    <row r="903" spans="1:9" x14ac:dyDescent="0.2">
      <c r="A903">
        <v>893</v>
      </c>
      <c r="B903">
        <v>1326358.7212081943</v>
      </c>
      <c r="C903">
        <v>151828.05178753106</v>
      </c>
      <c r="D903">
        <v>79047.096008291046</v>
      </c>
      <c r="E903">
        <v>101533.01112769713</v>
      </c>
      <c r="F903">
        <v>43029.208462686729</v>
      </c>
      <c r="G903">
        <v>10000</v>
      </c>
      <c r="H903">
        <v>365437.36738620599</v>
      </c>
      <c r="I903">
        <v>40.170575652045613</v>
      </c>
    </row>
    <row r="904" spans="1:9" x14ac:dyDescent="0.2">
      <c r="A904">
        <v>894</v>
      </c>
      <c r="B904">
        <v>1434430.2652596324</v>
      </c>
      <c r="C904">
        <v>90393.24072931995</v>
      </c>
      <c r="D904">
        <v>145542.93994972215</v>
      </c>
      <c r="E904">
        <v>124500.3537557853</v>
      </c>
      <c r="F904">
        <v>44619.255260015903</v>
      </c>
      <c r="G904">
        <v>10000</v>
      </c>
      <c r="H904">
        <v>395055.78969484329</v>
      </c>
      <c r="I904">
        <v>43.58827390497072</v>
      </c>
    </row>
    <row r="905" spans="1:9" x14ac:dyDescent="0.2">
      <c r="A905">
        <v>895</v>
      </c>
      <c r="B905">
        <v>858569.68586676789</v>
      </c>
      <c r="C905">
        <v>114933.6482507648</v>
      </c>
      <c r="D905">
        <v>51710.423849575935</v>
      </c>
      <c r="E905">
        <v>41702.487176588074</v>
      </c>
      <c r="F905">
        <v>38887.095266071483</v>
      </c>
      <c r="G905">
        <v>10000</v>
      </c>
      <c r="H905">
        <v>237233.65454300027</v>
      </c>
      <c r="I905">
        <v>47.137790529107079</v>
      </c>
    </row>
    <row r="906" spans="1:9" x14ac:dyDescent="0.2">
      <c r="A906">
        <v>896</v>
      </c>
      <c r="B906">
        <v>1880744.7026833161</v>
      </c>
      <c r="C906">
        <v>139187.70890665185</v>
      </c>
      <c r="D906">
        <v>147872.3591207006</v>
      </c>
      <c r="E906">
        <v>191085.07305319514</v>
      </c>
      <c r="F906">
        <v>49228.966595990431</v>
      </c>
      <c r="G906">
        <v>10000</v>
      </c>
      <c r="H906">
        <v>517374.10767653806</v>
      </c>
      <c r="I906">
        <v>33.494401421953256</v>
      </c>
    </row>
    <row r="907" spans="1:9" x14ac:dyDescent="0.2">
      <c r="A907">
        <v>897</v>
      </c>
      <c r="B907">
        <v>1397350.4096887182</v>
      </c>
      <c r="C907">
        <v>114493.74059400735</v>
      </c>
      <c r="D907">
        <v>143055.38578098681</v>
      </c>
      <c r="E907">
        <v>94782.572758805574</v>
      </c>
      <c r="F907">
        <v>42561.870421763459</v>
      </c>
      <c r="G907">
        <v>10000</v>
      </c>
      <c r="H907">
        <v>384893.56955556321</v>
      </c>
      <c r="I907">
        <v>36.605682228437601</v>
      </c>
    </row>
    <row r="908" spans="1:9" x14ac:dyDescent="0.2">
      <c r="A908">
        <v>898</v>
      </c>
      <c r="B908">
        <v>1207893.2606311084</v>
      </c>
      <c r="C908">
        <v>157345.7297106717</v>
      </c>
      <c r="D908">
        <v>40454.106361619226</v>
      </c>
      <c r="E908">
        <v>102101.92520643221</v>
      </c>
      <c r="F908">
        <v>43068.594821983766</v>
      </c>
      <c r="G908">
        <v>10000</v>
      </c>
      <c r="H908">
        <v>332970.35610070691</v>
      </c>
      <c r="I908">
        <v>43.514146790034644</v>
      </c>
    </row>
    <row r="909" spans="1:9" x14ac:dyDescent="0.2">
      <c r="A909">
        <v>899</v>
      </c>
      <c r="B909">
        <v>1299623.7507703956</v>
      </c>
      <c r="C909">
        <v>101846.32600448607</v>
      </c>
      <c r="D909">
        <v>31221.602609088779</v>
      </c>
      <c r="E909">
        <v>186154.7344527024</v>
      </c>
      <c r="F909">
        <v>48887.635462110164</v>
      </c>
      <c r="G909">
        <v>10000</v>
      </c>
      <c r="H909">
        <v>358110.29852838744</v>
      </c>
      <c r="I909">
        <v>34.410281749517594</v>
      </c>
    </row>
    <row r="910" spans="1:9" x14ac:dyDescent="0.2">
      <c r="A910">
        <v>900</v>
      </c>
      <c r="B910">
        <v>1559404.5169475181</v>
      </c>
      <c r="C910">
        <v>97086.836827611391</v>
      </c>
      <c r="D910">
        <v>161252.2045631053</v>
      </c>
      <c r="E910">
        <v>135581.18904343425</v>
      </c>
      <c r="F910">
        <v>45386.390010699288</v>
      </c>
      <c r="G910">
        <v>10000</v>
      </c>
      <c r="H910">
        <v>429306.62044485018</v>
      </c>
      <c r="I910">
        <v>33.697469838980574</v>
      </c>
    </row>
    <row r="911" spans="1:9" x14ac:dyDescent="0.2">
      <c r="A911">
        <v>901</v>
      </c>
      <c r="B911">
        <v>1541320.5492614836</v>
      </c>
      <c r="C911">
        <v>106036.69090160956</v>
      </c>
      <c r="D911">
        <v>164687.17066042457</v>
      </c>
      <c r="E911">
        <v>119363.01715577979</v>
      </c>
      <c r="F911">
        <v>44263.593495400135</v>
      </c>
      <c r="G911">
        <v>10000</v>
      </c>
      <c r="H911">
        <v>424350.47221321403</v>
      </c>
      <c r="I911">
        <v>28.489455686150905</v>
      </c>
    </row>
    <row r="912" spans="1:9" x14ac:dyDescent="0.2">
      <c r="A912">
        <v>902</v>
      </c>
      <c r="B912">
        <v>887894.68698781682</v>
      </c>
      <c r="C912">
        <v>135938.10725471069</v>
      </c>
      <c r="D912">
        <v>43280.247098510736</v>
      </c>
      <c r="E912">
        <v>37458.892913023745</v>
      </c>
      <c r="F912">
        <v>38593.307970901646</v>
      </c>
      <c r="G912">
        <v>10000</v>
      </c>
      <c r="H912">
        <v>245270.55523714679</v>
      </c>
      <c r="I912">
        <v>32.208271999413242</v>
      </c>
    </row>
    <row r="913" spans="1:9" x14ac:dyDescent="0.2">
      <c r="A913">
        <v>903</v>
      </c>
      <c r="B913">
        <v>1323113.2298644572</v>
      </c>
      <c r="C913">
        <v>150642.09145471881</v>
      </c>
      <c r="D913">
        <v>45495.901728158424</v>
      </c>
      <c r="E913">
        <v>133189.11958488912</v>
      </c>
      <c r="F913">
        <v>45220.785202030791</v>
      </c>
      <c r="G913">
        <v>10000</v>
      </c>
      <c r="H913">
        <v>364547.89796979714</v>
      </c>
      <c r="I913">
        <v>52.835217286376889</v>
      </c>
    </row>
    <row r="914" spans="1:9" x14ac:dyDescent="0.2">
      <c r="A914">
        <v>904</v>
      </c>
      <c r="B914">
        <v>1276507.2017330958</v>
      </c>
      <c r="C914">
        <v>134581.63556609408</v>
      </c>
      <c r="D914">
        <v>49568.191119471478</v>
      </c>
      <c r="E914">
        <v>132455.10963968816</v>
      </c>
      <c r="F914">
        <v>45169.969128901488</v>
      </c>
      <c r="G914">
        <v>10000</v>
      </c>
      <c r="H914">
        <v>351774.90545415517</v>
      </c>
      <c r="I914">
        <v>34.716594234419134</v>
      </c>
    </row>
    <row r="915" spans="1:9" x14ac:dyDescent="0.2">
      <c r="A915">
        <v>905</v>
      </c>
      <c r="B915">
        <v>932484.23625335598</v>
      </c>
      <c r="C915">
        <v>121593.56903843451</v>
      </c>
      <c r="D915">
        <v>80039.761239645246</v>
      </c>
      <c r="E915">
        <v>27924.350744744777</v>
      </c>
      <c r="F915">
        <v>37933.224282328483</v>
      </c>
      <c r="G915">
        <v>10000</v>
      </c>
      <c r="H915">
        <v>257490.90530515305</v>
      </c>
      <c r="I915">
        <v>43.207487169462098</v>
      </c>
    </row>
    <row r="916" spans="1:9" x14ac:dyDescent="0.2">
      <c r="A916">
        <v>906</v>
      </c>
      <c r="B916">
        <v>1573824.24872891</v>
      </c>
      <c r="C916">
        <v>101271.13019025566</v>
      </c>
      <c r="D916">
        <v>132183.59786717573</v>
      </c>
      <c r="E916">
        <v>162550.32474936062</v>
      </c>
      <c r="F916">
        <v>47253.48402110958</v>
      </c>
      <c r="G916">
        <v>10000</v>
      </c>
      <c r="H916">
        <v>433258.53682790161</v>
      </c>
      <c r="I916">
        <v>29.333045850986526</v>
      </c>
    </row>
    <row r="917" spans="1:9" x14ac:dyDescent="0.2">
      <c r="A917">
        <v>907</v>
      </c>
      <c r="B917">
        <v>1423875.4853669531</v>
      </c>
      <c r="C917">
        <v>109731.24681609808</v>
      </c>
      <c r="D917">
        <v>157296.04397320826</v>
      </c>
      <c r="E917">
        <v>92716.956964363955</v>
      </c>
      <c r="F917">
        <v>42418.86625137904</v>
      </c>
      <c r="G917">
        <v>10000</v>
      </c>
      <c r="H917">
        <v>392163.11400504934</v>
      </c>
      <c r="I917">
        <v>35.719353021090811</v>
      </c>
    </row>
    <row r="918" spans="1:9" x14ac:dyDescent="0.2">
      <c r="A918">
        <v>908</v>
      </c>
      <c r="B918">
        <v>1001264.8918321941</v>
      </c>
      <c r="C918">
        <v>139259.86773484654</v>
      </c>
      <c r="D918">
        <v>79640.995244863603</v>
      </c>
      <c r="E918">
        <v>29404.580255143181</v>
      </c>
      <c r="F918">
        <v>38035.70170997145</v>
      </c>
      <c r="G918">
        <v>10000</v>
      </c>
      <c r="H918">
        <v>276341.1449448248</v>
      </c>
      <c r="I918">
        <v>34.425806500183384</v>
      </c>
    </row>
    <row r="919" spans="1:9" x14ac:dyDescent="0.2">
      <c r="A919">
        <v>909</v>
      </c>
      <c r="B919">
        <v>1310959.9452999481</v>
      </c>
      <c r="C919">
        <v>106317.51507223802</v>
      </c>
      <c r="D919">
        <v>81013.192793811075</v>
      </c>
      <c r="E919">
        <v>138311.04334543573</v>
      </c>
      <c r="F919">
        <v>45575.379923914777</v>
      </c>
      <c r="G919">
        <v>10000</v>
      </c>
      <c r="H919">
        <v>361217.13113539957</v>
      </c>
      <c r="I919">
        <v>34.578146424071392</v>
      </c>
    </row>
    <row r="920" spans="1:9" x14ac:dyDescent="0.2">
      <c r="A920">
        <v>910</v>
      </c>
      <c r="B920">
        <v>982615.50933883071</v>
      </c>
      <c r="C920">
        <v>76358.200633257045</v>
      </c>
      <c r="D920">
        <v>70117.920221137727</v>
      </c>
      <c r="E920">
        <v>92359.778044317311</v>
      </c>
      <c r="F920">
        <v>42394.138479991198</v>
      </c>
      <c r="G920">
        <v>10000</v>
      </c>
      <c r="H920">
        <v>271230.03737870324</v>
      </c>
      <c r="I920">
        <v>42.946495565986922</v>
      </c>
    </row>
    <row r="921" spans="1:9" x14ac:dyDescent="0.2">
      <c r="A921">
        <v>911</v>
      </c>
      <c r="B921">
        <v>1123022.6297124249</v>
      </c>
      <c r="C921">
        <v>80692.183148962722</v>
      </c>
      <c r="D921">
        <v>137142.74422332869</v>
      </c>
      <c r="E921">
        <v>61610.199103111074</v>
      </c>
      <c r="F921">
        <v>40265.32147636923</v>
      </c>
      <c r="G921">
        <v>10000</v>
      </c>
      <c r="H921">
        <v>309710.44795177167</v>
      </c>
      <c r="I921">
        <v>27.072911157792682</v>
      </c>
    </row>
    <row r="922" spans="1:9" x14ac:dyDescent="0.2">
      <c r="A922">
        <v>912</v>
      </c>
      <c r="B922">
        <v>1217736.275561315</v>
      </c>
      <c r="C922">
        <v>104617.94186385459</v>
      </c>
      <c r="D922">
        <v>124575.97624815078</v>
      </c>
      <c r="E922">
        <v>75263.495479842604</v>
      </c>
      <c r="F922">
        <v>41210.549687066021</v>
      </c>
      <c r="G922">
        <v>10000</v>
      </c>
      <c r="H922">
        <v>335667.96327891399</v>
      </c>
      <c r="I922">
        <v>29.768788349392487</v>
      </c>
    </row>
    <row r="923" spans="1:9" x14ac:dyDescent="0.2">
      <c r="A923">
        <v>913</v>
      </c>
      <c r="B923">
        <v>1113929.2935973897</v>
      </c>
      <c r="C923">
        <v>78989.161937198718</v>
      </c>
      <c r="D923">
        <v>133086.93696005834</v>
      </c>
      <c r="E923">
        <v>64665.368006210665</v>
      </c>
      <c r="F923">
        <v>40476.833169660735</v>
      </c>
      <c r="G923">
        <v>10000</v>
      </c>
      <c r="H923">
        <v>307218.30007312843</v>
      </c>
      <c r="I923">
        <v>33.646537768972699</v>
      </c>
    </row>
    <row r="924" spans="1:9" x14ac:dyDescent="0.2">
      <c r="A924">
        <v>914</v>
      </c>
      <c r="B924">
        <v>1454694.2738036376</v>
      </c>
      <c r="C924">
        <v>128037.78401616286</v>
      </c>
      <c r="D924">
        <v>51260.364707553133</v>
      </c>
      <c r="E924">
        <v>182665.20528342674</v>
      </c>
      <c r="F924">
        <v>48646.052673468002</v>
      </c>
      <c r="G924">
        <v>10000</v>
      </c>
      <c r="H924">
        <v>400609.40668061073</v>
      </c>
      <c r="I924">
        <v>36.482160005902017</v>
      </c>
    </row>
    <row r="925" spans="1:9" x14ac:dyDescent="0.2">
      <c r="A925">
        <v>915</v>
      </c>
      <c r="B925">
        <v>984909.27533230674</v>
      </c>
      <c r="C925">
        <v>135901.20025316428</v>
      </c>
      <c r="D925">
        <v>54454.132332253634</v>
      </c>
      <c r="E925">
        <v>51909.599880343718</v>
      </c>
      <c r="F925">
        <v>39593.741530177642</v>
      </c>
      <c r="G925">
        <v>10000</v>
      </c>
      <c r="H925">
        <v>271858.67399593926</v>
      </c>
      <c r="I925">
        <v>34.700090346773493</v>
      </c>
    </row>
    <row r="926" spans="1:9" x14ac:dyDescent="0.2">
      <c r="A926">
        <v>916</v>
      </c>
      <c r="B926">
        <v>1728575.9372494528</v>
      </c>
      <c r="C926">
        <v>118086.17339337882</v>
      </c>
      <c r="D926">
        <v>109662.52497758644</v>
      </c>
      <c r="E926">
        <v>207552.54358617269</v>
      </c>
      <c r="F926">
        <v>50369.022248273497</v>
      </c>
      <c r="G926">
        <v>10000</v>
      </c>
      <c r="H926">
        <v>475670.26420541143</v>
      </c>
      <c r="I926">
        <v>26.131388550837222</v>
      </c>
    </row>
    <row r="927" spans="1:9" x14ac:dyDescent="0.2">
      <c r="A927">
        <v>917</v>
      </c>
      <c r="B927">
        <v>1610105.5534622369</v>
      </c>
      <c r="C927">
        <v>161825.50906012233</v>
      </c>
      <c r="D927">
        <v>148343.72901193684</v>
      </c>
      <c r="E927">
        <v>100102.49298626932</v>
      </c>
      <c r="F927">
        <v>42930.172591357106</v>
      </c>
      <c r="G927">
        <v>10000</v>
      </c>
      <c r="H927">
        <v>443201.90364968561</v>
      </c>
      <c r="I927">
        <v>30.440697500609311</v>
      </c>
    </row>
    <row r="928" spans="1:9" x14ac:dyDescent="0.2">
      <c r="A928">
        <v>918</v>
      </c>
      <c r="B928">
        <v>1504320.6673533991</v>
      </c>
      <c r="C928">
        <v>97904.136290542796</v>
      </c>
      <c r="D928">
        <v>75625.180992564172</v>
      </c>
      <c r="E928">
        <v>200780.65353017396</v>
      </c>
      <c r="F928">
        <v>49900.199090550508</v>
      </c>
      <c r="G928">
        <v>10000</v>
      </c>
      <c r="H928">
        <v>414210.16990383144</v>
      </c>
      <c r="I928">
        <v>35.356701318520152</v>
      </c>
    </row>
    <row r="929" spans="1:9" x14ac:dyDescent="0.2">
      <c r="A929">
        <v>919</v>
      </c>
      <c r="B929">
        <v>1251168.4800787708</v>
      </c>
      <c r="C929">
        <v>112264.0389134922</v>
      </c>
      <c r="D929">
        <v>54317.870708268252</v>
      </c>
      <c r="E929">
        <v>142390.7650479392</v>
      </c>
      <c r="F929">
        <v>45857.822195626562</v>
      </c>
      <c r="G929">
        <v>10000</v>
      </c>
      <c r="H929">
        <v>344830.49686532619</v>
      </c>
      <c r="I929">
        <v>37.644246773235267</v>
      </c>
    </row>
    <row r="930" spans="1:9" x14ac:dyDescent="0.2">
      <c r="A930">
        <v>920</v>
      </c>
      <c r="B930">
        <v>1531132.6887427708</v>
      </c>
      <c r="C930">
        <v>132633.9764753145</v>
      </c>
      <c r="D930">
        <v>126025.28571016561</v>
      </c>
      <c r="E930">
        <v>128035.12332258295</v>
      </c>
      <c r="F930">
        <v>44863.970076178826</v>
      </c>
      <c r="G930">
        <v>10000</v>
      </c>
      <c r="H930">
        <v>421558.35558424186</v>
      </c>
      <c r="I930">
        <v>28.853075011458454</v>
      </c>
    </row>
    <row r="931" spans="1:9" x14ac:dyDescent="0.2">
      <c r="A931">
        <v>921</v>
      </c>
      <c r="B931">
        <v>1622902.2309142407</v>
      </c>
      <c r="C931">
        <v>112759.87352645204</v>
      </c>
      <c r="D931">
        <v>135915.29699743216</v>
      </c>
      <c r="E931">
        <v>160894.94911634232</v>
      </c>
      <c r="F931">
        <v>47138.88109266985</v>
      </c>
      <c r="G931">
        <v>10000</v>
      </c>
      <c r="H931">
        <v>446709.00073289633</v>
      </c>
      <c r="I931">
        <v>37.019898404841136</v>
      </c>
    </row>
    <row r="932" spans="1:9" x14ac:dyDescent="0.2">
      <c r="A932">
        <v>922</v>
      </c>
      <c r="B932">
        <v>957920.95508535311</v>
      </c>
      <c r="C932">
        <v>102448.86321521974</v>
      </c>
      <c r="D932">
        <v>29903.777430662289</v>
      </c>
      <c r="E932">
        <v>99239.129392687537</v>
      </c>
      <c r="F932">
        <v>42870.401265647597</v>
      </c>
      <c r="G932">
        <v>10000</v>
      </c>
      <c r="H932">
        <v>264462.17130421719</v>
      </c>
      <c r="I932">
        <v>48.59945276302485</v>
      </c>
    </row>
    <row r="933" spans="1:9" x14ac:dyDescent="0.2">
      <c r="A933">
        <v>923</v>
      </c>
      <c r="B933">
        <v>1056231.3387775754</v>
      </c>
      <c r="C933">
        <v>112336.7392547387</v>
      </c>
      <c r="D933">
        <v>95465.941716641406</v>
      </c>
      <c r="E933">
        <v>53873.06504668358</v>
      </c>
      <c r="F933">
        <v>39729.673734001175</v>
      </c>
      <c r="G933">
        <v>10000</v>
      </c>
      <c r="H933">
        <v>291405.41975206486</v>
      </c>
      <c r="I933">
        <v>32.881420834579018</v>
      </c>
    </row>
    <row r="934" spans="1:9" x14ac:dyDescent="0.2">
      <c r="A934">
        <v>924</v>
      </c>
      <c r="B934">
        <v>1497494.817533945</v>
      </c>
      <c r="C934">
        <v>131575.82333917488</v>
      </c>
      <c r="D934">
        <v>84219.272522397005</v>
      </c>
      <c r="E934">
        <v>159501.9198784302</v>
      </c>
      <c r="F934">
        <v>47042.440606968245</v>
      </c>
      <c r="G934">
        <v>10000</v>
      </c>
      <c r="H934">
        <v>412339.45634697034</v>
      </c>
      <c r="I934">
        <v>36.416163459670557</v>
      </c>
    </row>
    <row r="935" spans="1:9" x14ac:dyDescent="0.2">
      <c r="A935">
        <v>925</v>
      </c>
      <c r="B935">
        <v>1759970.0171061053</v>
      </c>
      <c r="C935">
        <v>134219.63285607999</v>
      </c>
      <c r="D935">
        <v>149516.5816396802</v>
      </c>
      <c r="E935">
        <v>163236.98639942385</v>
      </c>
      <c r="F935">
        <v>47301.022135344727</v>
      </c>
      <c r="G935">
        <v>10000</v>
      </c>
      <c r="H935">
        <v>484274.22303052875</v>
      </c>
      <c r="I935">
        <v>43.008045768575627</v>
      </c>
    </row>
    <row r="936" spans="1:9" x14ac:dyDescent="0.2">
      <c r="A936">
        <v>926</v>
      </c>
      <c r="B936">
        <v>1065526.7137419479</v>
      </c>
      <c r="C936">
        <v>92018.476903965318</v>
      </c>
      <c r="D936">
        <v>118842.38600941341</v>
      </c>
      <c r="E936">
        <v>53395.466865988848</v>
      </c>
      <c r="F936">
        <v>39696.609244568463</v>
      </c>
      <c r="G936">
        <v>10000</v>
      </c>
      <c r="H936">
        <v>293952.93902393605</v>
      </c>
      <c r="I936">
        <v>26.824775822641367</v>
      </c>
    </row>
    <row r="937" spans="1:9" x14ac:dyDescent="0.2">
      <c r="A937">
        <v>927</v>
      </c>
      <c r="B937">
        <v>1587873.0081713921</v>
      </c>
      <c r="C937">
        <v>118434.76179850179</v>
      </c>
      <c r="D937">
        <v>81356.258909835684</v>
      </c>
      <c r="E937">
        <v>197635.31760845918</v>
      </c>
      <c r="F937">
        <v>49682.44506520102</v>
      </c>
      <c r="G937">
        <v>10000</v>
      </c>
      <c r="H937">
        <v>437108.78338199772</v>
      </c>
      <c r="I937">
        <v>27.995466415409155</v>
      </c>
    </row>
    <row r="938" spans="1:9" x14ac:dyDescent="0.2">
      <c r="A938">
        <v>928</v>
      </c>
      <c r="B938">
        <v>1467746.5440576375</v>
      </c>
      <c r="C938">
        <v>139035.01015750525</v>
      </c>
      <c r="D938">
        <v>120673.4473382928</v>
      </c>
      <c r="E938">
        <v>110806.85127377369</v>
      </c>
      <c r="F938">
        <v>43671.243549722793</v>
      </c>
      <c r="G938">
        <v>10000</v>
      </c>
      <c r="H938">
        <v>404186.55231929454</v>
      </c>
      <c r="I938">
        <v>30.513846991643579</v>
      </c>
    </row>
    <row r="939" spans="1:9" x14ac:dyDescent="0.2">
      <c r="A939">
        <v>929</v>
      </c>
      <c r="B939">
        <v>1318368.7162097844</v>
      </c>
      <c r="C939">
        <v>81896.049984469151</v>
      </c>
      <c r="D939">
        <v>105592.59839556518</v>
      </c>
      <c r="E939">
        <v>140062.33058616775</v>
      </c>
      <c r="F939">
        <v>45696.622886734687</v>
      </c>
      <c r="G939">
        <v>10000</v>
      </c>
      <c r="H939">
        <v>363247.60185293673</v>
      </c>
      <c r="I939">
        <v>46.41825484294327</v>
      </c>
    </row>
    <row r="940" spans="1:9" x14ac:dyDescent="0.2">
      <c r="A940">
        <v>930</v>
      </c>
      <c r="B940">
        <v>1376322.9812618403</v>
      </c>
      <c r="C940">
        <v>118655.1990792687</v>
      </c>
      <c r="D940">
        <v>103361.95672631751</v>
      </c>
      <c r="E940">
        <v>122624.20360327842</v>
      </c>
      <c r="F940">
        <v>44489.367941765435</v>
      </c>
      <c r="G940">
        <v>10000</v>
      </c>
      <c r="H940">
        <v>379130.7273506301</v>
      </c>
      <c r="I940">
        <v>33.693008569065604</v>
      </c>
    </row>
    <row r="941" spans="1:9" x14ac:dyDescent="0.2">
      <c r="A941">
        <v>931</v>
      </c>
      <c r="B941">
        <v>1058870.0128211491</v>
      </c>
      <c r="C941">
        <v>162774.00736773267</v>
      </c>
      <c r="D941">
        <v>54931.693221924936</v>
      </c>
      <c r="E941">
        <v>45287.58780825424</v>
      </c>
      <c r="F941">
        <v>39135.294540571449</v>
      </c>
      <c r="G941">
        <v>10000</v>
      </c>
      <c r="H941">
        <v>292128.58293848333</v>
      </c>
      <c r="I941">
        <v>29.990146940898807</v>
      </c>
    </row>
    <row r="942" spans="1:9" x14ac:dyDescent="0.2">
      <c r="A942">
        <v>932</v>
      </c>
      <c r="B942">
        <v>1329364.6769515357</v>
      </c>
      <c r="C942">
        <v>141646.04471132567</v>
      </c>
      <c r="D942">
        <v>52899.51745169994</v>
      </c>
      <c r="E942">
        <v>136280.80201562474</v>
      </c>
      <c r="F942">
        <v>45434.824754927868</v>
      </c>
      <c r="G942">
        <v>10000</v>
      </c>
      <c r="H942">
        <v>366261.1889335782</v>
      </c>
      <c r="I942">
        <v>26.332408458913591</v>
      </c>
    </row>
    <row r="943" spans="1:9" x14ac:dyDescent="0.2">
      <c r="A943">
        <v>933</v>
      </c>
      <c r="B943">
        <v>1340657.4675100311</v>
      </c>
      <c r="C943">
        <v>132490.43282273962</v>
      </c>
      <c r="D943">
        <v>77000.730972600635</v>
      </c>
      <c r="E943">
        <v>125197.44677262317</v>
      </c>
      <c r="F943">
        <v>44667.515545796989</v>
      </c>
      <c r="G943">
        <v>10000</v>
      </c>
      <c r="H943">
        <v>369356.12611376046</v>
      </c>
      <c r="I943">
        <v>36.019307565280378</v>
      </c>
    </row>
    <row r="944" spans="1:9" x14ac:dyDescent="0.2">
      <c r="A944">
        <v>934</v>
      </c>
      <c r="B944">
        <v>1617176.5766279593</v>
      </c>
      <c r="C944">
        <v>127572.49696902676</v>
      </c>
      <c r="D944">
        <v>119957.49930722278</v>
      </c>
      <c r="E944">
        <v>160498.38709832574</v>
      </c>
      <c r="F944">
        <v>47111.426799114859</v>
      </c>
      <c r="G944">
        <v>10000</v>
      </c>
      <c r="H944">
        <v>445139.81017369014</v>
      </c>
      <c r="I944">
        <v>32.156579688402118</v>
      </c>
    </row>
    <row r="945" spans="1:9" x14ac:dyDescent="0.2">
      <c r="A945">
        <v>935</v>
      </c>
      <c r="B945">
        <v>1138679.8294339427</v>
      </c>
      <c r="C945">
        <v>111075.04587306194</v>
      </c>
      <c r="D945">
        <v>83004.811282441311</v>
      </c>
      <c r="E945">
        <v>87840.393468887865</v>
      </c>
      <c r="F945">
        <v>42081.258009384546</v>
      </c>
      <c r="G945">
        <v>10000</v>
      </c>
      <c r="H945">
        <v>314001.50863377569</v>
      </c>
      <c r="I945">
        <v>33.145768586826506</v>
      </c>
    </row>
    <row r="946" spans="1:9" x14ac:dyDescent="0.2">
      <c r="A946">
        <v>936</v>
      </c>
      <c r="B946">
        <v>982244.92209237535</v>
      </c>
      <c r="C946">
        <v>79906.383464413593</v>
      </c>
      <c r="D946">
        <v>70978.168765477472</v>
      </c>
      <c r="E946">
        <v>88141.796487291314</v>
      </c>
      <c r="F946">
        <v>42102.12437219709</v>
      </c>
      <c r="G946">
        <v>10000</v>
      </c>
      <c r="H946">
        <v>271128.47308937949</v>
      </c>
      <c r="I946">
        <v>27.051935633512137</v>
      </c>
    </row>
    <row r="947" spans="1:9" x14ac:dyDescent="0.2">
      <c r="A947">
        <v>937</v>
      </c>
      <c r="B947">
        <v>1610552.5767830685</v>
      </c>
      <c r="C947">
        <v>129235.96033805172</v>
      </c>
      <c r="D947">
        <v>100178.57307598343</v>
      </c>
      <c r="E947">
        <v>175743.05588643224</v>
      </c>
      <c r="F947">
        <v>48166.826945983776</v>
      </c>
      <c r="G947">
        <v>10000</v>
      </c>
      <c r="H947">
        <v>443324.4162464512</v>
      </c>
      <c r="I947">
        <v>31.640714553694469</v>
      </c>
    </row>
    <row r="948" spans="1:9" x14ac:dyDescent="0.2">
      <c r="A948">
        <v>938</v>
      </c>
      <c r="B948">
        <v>936181.70537929202</v>
      </c>
      <c r="C948">
        <v>128186.67571896077</v>
      </c>
      <c r="D948">
        <v>41939.436992682786</v>
      </c>
      <c r="E948">
        <v>58339.260557005684</v>
      </c>
      <c r="F948">
        <v>40038.87188471578</v>
      </c>
      <c r="G948">
        <v>10000</v>
      </c>
      <c r="H948">
        <v>258504.24515336502</v>
      </c>
      <c r="I948">
        <v>43.946591157227743</v>
      </c>
    </row>
    <row r="949" spans="1:9" x14ac:dyDescent="0.2">
      <c r="A949">
        <v>939</v>
      </c>
      <c r="B949">
        <v>1149956.0971211249</v>
      </c>
      <c r="C949">
        <v>107607.37067593461</v>
      </c>
      <c r="D949">
        <v>101564.08883636404</v>
      </c>
      <c r="E949">
        <v>76616.255676287343</v>
      </c>
      <c r="F949">
        <v>41304.202316050665</v>
      </c>
      <c r="G949">
        <v>10000</v>
      </c>
      <c r="H949">
        <v>317091.91750463663</v>
      </c>
      <c r="I949">
        <v>47.122323910898089</v>
      </c>
    </row>
    <row r="950" spans="1:9" x14ac:dyDescent="0.2">
      <c r="A950">
        <v>940</v>
      </c>
      <c r="B950">
        <v>1111229.4868556999</v>
      </c>
      <c r="C950">
        <v>143719.22564440488</v>
      </c>
      <c r="D950">
        <v>58403.303888401373</v>
      </c>
      <c r="E950">
        <v>73282.45257434994</v>
      </c>
      <c r="F950">
        <v>41073.400562839612</v>
      </c>
      <c r="G950">
        <v>10000</v>
      </c>
      <c r="H950">
        <v>306478.38266999577</v>
      </c>
      <c r="I950">
        <v>40.388000333990064</v>
      </c>
    </row>
    <row r="951" spans="1:9" x14ac:dyDescent="0.2">
      <c r="A951">
        <v>941</v>
      </c>
      <c r="B951">
        <v>1794040.2721445407</v>
      </c>
      <c r="C951">
        <v>147382.46585515386</v>
      </c>
      <c r="D951">
        <v>121765.3008746858</v>
      </c>
      <c r="E951">
        <v>185613.67826439309</v>
      </c>
      <c r="F951">
        <v>48850.177725996444</v>
      </c>
      <c r="G951">
        <v>10000</v>
      </c>
      <c r="H951">
        <v>493611.62272022921</v>
      </c>
      <c r="I951">
        <v>45.41026911428974</v>
      </c>
    </row>
    <row r="952" spans="1:9" x14ac:dyDescent="0.2">
      <c r="A952">
        <v>942</v>
      </c>
      <c r="B952">
        <v>1230942.3656567938</v>
      </c>
      <c r="C952">
        <v>110794.00917426523</v>
      </c>
      <c r="D952">
        <v>129117.48755768692</v>
      </c>
      <c r="E952">
        <v>68624.819486744862</v>
      </c>
      <c r="F952">
        <v>40750.949041390028</v>
      </c>
      <c r="G952">
        <v>10000</v>
      </c>
      <c r="H952">
        <v>339287.26526008704</v>
      </c>
      <c r="I952">
        <v>43.524444766381777</v>
      </c>
    </row>
    <row r="953" spans="1:9" x14ac:dyDescent="0.2">
      <c r="A953">
        <v>943</v>
      </c>
      <c r="B953">
        <v>1253592.9582859511</v>
      </c>
      <c r="C953">
        <v>98597.785089900208</v>
      </c>
      <c r="D953">
        <v>82170.138967881503</v>
      </c>
      <c r="E953">
        <v>129744.70695319402</v>
      </c>
      <c r="F953">
        <v>44982.325865990351</v>
      </c>
      <c r="G953">
        <v>10000</v>
      </c>
      <c r="H953">
        <v>345494.95687696605</v>
      </c>
      <c r="I953">
        <v>33.066226606814482</v>
      </c>
    </row>
    <row r="954" spans="1:9" x14ac:dyDescent="0.2">
      <c r="A954">
        <v>944</v>
      </c>
      <c r="B954">
        <v>1755971.9896510565</v>
      </c>
      <c r="C954">
        <v>138652.62559628297</v>
      </c>
      <c r="D954">
        <v>117731.26718293923</v>
      </c>
      <c r="E954">
        <v>187793.52805227877</v>
      </c>
      <c r="F954">
        <v>49001.090403619302</v>
      </c>
      <c r="G954">
        <v>10000</v>
      </c>
      <c r="H954">
        <v>483178.5112351203</v>
      </c>
      <c r="I954">
        <v>26.074845688745242</v>
      </c>
    </row>
    <row r="955" spans="1:9" x14ac:dyDescent="0.2">
      <c r="A955">
        <v>945</v>
      </c>
      <c r="B955">
        <v>1055662.1631439831</v>
      </c>
      <c r="C955">
        <v>85122.030675791029</v>
      </c>
      <c r="D955">
        <v>93990.18306799636</v>
      </c>
      <c r="E955">
        <v>80559.986159077293</v>
      </c>
      <c r="F955">
        <v>41577.229811013043</v>
      </c>
      <c r="G955">
        <v>10000</v>
      </c>
      <c r="H955">
        <v>291249.42971387773</v>
      </c>
      <c r="I955">
        <v>28.723732837787605</v>
      </c>
    </row>
    <row r="956" spans="1:9" x14ac:dyDescent="0.2">
      <c r="A956">
        <v>946</v>
      </c>
      <c r="B956">
        <v>970280.33144058136</v>
      </c>
      <c r="C956">
        <v>129944.35801482509</v>
      </c>
      <c r="D956">
        <v>57644.908459861552</v>
      </c>
      <c r="E956">
        <v>50746.906449267823</v>
      </c>
      <c r="F956">
        <v>39513.247369564699</v>
      </c>
      <c r="G956">
        <v>10000</v>
      </c>
      <c r="H956">
        <v>267849.42029351916</v>
      </c>
      <c r="I956">
        <v>40.251689465689715</v>
      </c>
    </row>
    <row r="957" spans="1:9" x14ac:dyDescent="0.2">
      <c r="A957">
        <v>947</v>
      </c>
      <c r="B957">
        <v>1681911.7731099757</v>
      </c>
      <c r="C957">
        <v>122913.80198543413</v>
      </c>
      <c r="D957">
        <v>124228.80468955079</v>
      </c>
      <c r="E957">
        <v>177453.49043473773</v>
      </c>
      <c r="F957">
        <v>48285.241645481845</v>
      </c>
      <c r="G957">
        <v>10000</v>
      </c>
      <c r="H957">
        <v>462881.33875520452</v>
      </c>
      <c r="I957">
        <v>34.600499302100602</v>
      </c>
    </row>
    <row r="958" spans="1:9" x14ac:dyDescent="0.2">
      <c r="A958">
        <v>948</v>
      </c>
      <c r="B958">
        <v>1338606.7322812891</v>
      </c>
      <c r="C958">
        <v>121619.35839887241</v>
      </c>
      <c r="D958">
        <v>91667.883591098987</v>
      </c>
      <c r="E958">
        <v>121121.51744784828</v>
      </c>
      <c r="F958">
        <v>44385.335823312576</v>
      </c>
      <c r="G958">
        <v>10000</v>
      </c>
      <c r="H958">
        <v>368794.09526113229</v>
      </c>
      <c r="I958">
        <v>32.092113803042785</v>
      </c>
    </row>
    <row r="959" spans="1:9" x14ac:dyDescent="0.2">
      <c r="A959">
        <v>949</v>
      </c>
      <c r="B959">
        <v>1252782.5009765283</v>
      </c>
      <c r="C959">
        <v>121370.47945531885</v>
      </c>
      <c r="D959">
        <v>75735.345394626245</v>
      </c>
      <c r="E959">
        <v>114256.92105067459</v>
      </c>
      <c r="F959">
        <v>43910.094534277465</v>
      </c>
      <c r="G959">
        <v>10000</v>
      </c>
      <c r="H959">
        <v>345272.84043489711</v>
      </c>
      <c r="I959">
        <v>42.66377090475077</v>
      </c>
    </row>
    <row r="960" spans="1:9" x14ac:dyDescent="0.2">
      <c r="A960">
        <v>950</v>
      </c>
      <c r="B960">
        <v>1597815.9470250353</v>
      </c>
      <c r="C960">
        <v>137555.20589024294</v>
      </c>
      <c r="D960">
        <v>113568.68811213675</v>
      </c>
      <c r="E960">
        <v>152174.70980098483</v>
      </c>
      <c r="F960">
        <v>46535.172216991261</v>
      </c>
      <c r="G960">
        <v>10000</v>
      </c>
      <c r="H960">
        <v>439833.77602035576</v>
      </c>
      <c r="I960">
        <v>39.138209924458522</v>
      </c>
    </row>
    <row r="961" spans="1:9" x14ac:dyDescent="0.2">
      <c r="A961">
        <v>951</v>
      </c>
      <c r="B961">
        <v>892596.627535776</v>
      </c>
      <c r="C961">
        <v>104473.37096525435</v>
      </c>
      <c r="D961">
        <v>50207.96978282676</v>
      </c>
      <c r="E961">
        <v>61612.371046661501</v>
      </c>
      <c r="F961">
        <v>40265.471841691957</v>
      </c>
      <c r="G961">
        <v>10000</v>
      </c>
      <c r="H961">
        <v>246559.18363643458</v>
      </c>
      <c r="I961">
        <v>25.192900054352883</v>
      </c>
    </row>
    <row r="962" spans="1:9" x14ac:dyDescent="0.2">
      <c r="A962">
        <v>952</v>
      </c>
      <c r="B962">
        <v>1369747.2602752596</v>
      </c>
      <c r="C962">
        <v>118842.90755350768</v>
      </c>
      <c r="D962">
        <v>114596.28888839303</v>
      </c>
      <c r="E962">
        <v>110256.24386009944</v>
      </c>
      <c r="F962">
        <v>43633.124574929963</v>
      </c>
      <c r="G962">
        <v>10000</v>
      </c>
      <c r="H962">
        <v>377328.56487693009</v>
      </c>
      <c r="I962">
        <v>27.395629913174929</v>
      </c>
    </row>
    <row r="963" spans="1:9" x14ac:dyDescent="0.2">
      <c r="A963">
        <v>953</v>
      </c>
      <c r="B963">
        <v>1493806.6237937256</v>
      </c>
      <c r="C963">
        <v>98604.523189393367</v>
      </c>
      <c r="D963">
        <v>140109.75341179152</v>
      </c>
      <c r="E963">
        <v>137121.36440294184</v>
      </c>
      <c r="F963">
        <v>45493.017535588275</v>
      </c>
      <c r="G963">
        <v>10000</v>
      </c>
      <c r="H963">
        <v>411328.65853971505</v>
      </c>
      <c r="I963">
        <v>30.119480419279487</v>
      </c>
    </row>
    <row r="964" spans="1:9" x14ac:dyDescent="0.2">
      <c r="A964">
        <v>954</v>
      </c>
      <c r="B964">
        <v>957469.63071249367</v>
      </c>
      <c r="C964">
        <v>120604.42870260539</v>
      </c>
      <c r="D964">
        <v>47446.621445560777</v>
      </c>
      <c r="E964">
        <v>65736.44513635074</v>
      </c>
      <c r="F964">
        <v>40550.984663285817</v>
      </c>
      <c r="G964">
        <v>10000</v>
      </c>
      <c r="H964">
        <v>264338.47994780273</v>
      </c>
      <c r="I964">
        <v>32.688479661029724</v>
      </c>
    </row>
    <row r="965" spans="1:9" x14ac:dyDescent="0.2">
      <c r="A965">
        <v>955</v>
      </c>
      <c r="B965">
        <v>1279416.1893483177</v>
      </c>
      <c r="C965">
        <v>101374.20635879719</v>
      </c>
      <c r="D965">
        <v>78776.894256427942</v>
      </c>
      <c r="E965">
        <v>136940.55129550339</v>
      </c>
      <c r="F965">
        <v>45480.499705073315</v>
      </c>
      <c r="G965">
        <v>10000</v>
      </c>
      <c r="H965">
        <v>352572.15161580185</v>
      </c>
      <c r="I965">
        <v>32.948859444046619</v>
      </c>
    </row>
    <row r="966" spans="1:9" x14ac:dyDescent="0.2">
      <c r="A966">
        <v>956</v>
      </c>
      <c r="B966">
        <v>1247117.7850958793</v>
      </c>
      <c r="C966">
        <v>107463.58160329131</v>
      </c>
      <c r="D966">
        <v>114364.03429656535</v>
      </c>
      <c r="E966">
        <v>89683.852825462367</v>
      </c>
      <c r="F966">
        <v>42208.882118685855</v>
      </c>
      <c r="G966">
        <v>10000</v>
      </c>
      <c r="H966">
        <v>343720.35084400489</v>
      </c>
      <c r="I966">
        <v>28.68817130059</v>
      </c>
    </row>
    <row r="967" spans="1:9" x14ac:dyDescent="0.2">
      <c r="A967">
        <v>957</v>
      </c>
      <c r="B967">
        <v>1761053.0397532005</v>
      </c>
      <c r="C967">
        <v>138058.63228957937</v>
      </c>
      <c r="D967">
        <v>155749.42736990968</v>
      </c>
      <c r="E967">
        <v>154094.87330115525</v>
      </c>
      <c r="F967">
        <v>46668.106613156902</v>
      </c>
      <c r="G967">
        <v>10000</v>
      </c>
      <c r="H967">
        <v>484571.03957380127</v>
      </c>
      <c r="I967">
        <v>27.318410090881439</v>
      </c>
    </row>
    <row r="968" spans="1:9" x14ac:dyDescent="0.2">
      <c r="A968">
        <v>958</v>
      </c>
      <c r="B968">
        <v>1594902.9371511242</v>
      </c>
      <c r="C968">
        <v>144124.36382523581</v>
      </c>
      <c r="D968">
        <v>100252.62516078231</v>
      </c>
      <c r="E968">
        <v>157738.10796835332</v>
      </c>
      <c r="F968">
        <v>46920.330551655228</v>
      </c>
      <c r="G968">
        <v>10000</v>
      </c>
      <c r="H968">
        <v>439035.42750602664</v>
      </c>
      <c r="I968">
        <v>44.818488286206559</v>
      </c>
    </row>
    <row r="969" spans="1:9" x14ac:dyDescent="0.2">
      <c r="A969">
        <v>959</v>
      </c>
      <c r="B969">
        <v>1215572.6023808678</v>
      </c>
      <c r="C969">
        <v>151103.35123639498</v>
      </c>
      <c r="D969">
        <v>63311.769088361762</v>
      </c>
      <c r="E969">
        <v>88530.80429452745</v>
      </c>
      <c r="F969">
        <v>42129.055681928818</v>
      </c>
      <c r="G969">
        <v>10000</v>
      </c>
      <c r="H969">
        <v>335074.98030121304</v>
      </c>
      <c r="I969">
        <v>36.23406948361464</v>
      </c>
    </row>
    <row r="970" spans="1:9" x14ac:dyDescent="0.2">
      <c r="A970">
        <v>960</v>
      </c>
      <c r="B970">
        <v>1313906.3494700817</v>
      </c>
      <c r="C970">
        <v>122522.28226932893</v>
      </c>
      <c r="D970">
        <v>122679.82661994683</v>
      </c>
      <c r="E970">
        <v>84941.927896551773</v>
      </c>
      <c r="F970">
        <v>41880.595008222816</v>
      </c>
      <c r="G970">
        <v>10000</v>
      </c>
      <c r="H970">
        <v>362024.63179405034</v>
      </c>
      <c r="I970">
        <v>31.750565797005923</v>
      </c>
    </row>
    <row r="971" spans="1:9" x14ac:dyDescent="0.2">
      <c r="A971">
        <v>961</v>
      </c>
      <c r="B971">
        <v>1330418.1887288564</v>
      </c>
      <c r="C971">
        <v>98221.098123683798</v>
      </c>
      <c r="D971">
        <v>166714.99238119545</v>
      </c>
      <c r="E971">
        <v>70717.96782086305</v>
      </c>
      <c r="F971">
        <v>40895.859310675136</v>
      </c>
      <c r="G971">
        <v>10000</v>
      </c>
      <c r="H971">
        <v>366549.91763641743</v>
      </c>
      <c r="I971">
        <v>35.441697818402425</v>
      </c>
    </row>
    <row r="972" spans="1:9" x14ac:dyDescent="0.2">
      <c r="A972">
        <v>962</v>
      </c>
      <c r="B972">
        <v>1686839.0974248094</v>
      </c>
      <c r="C972">
        <v>154446.31040223813</v>
      </c>
      <c r="D972">
        <v>71242.899411161532</v>
      </c>
      <c r="E972">
        <v>198780.78038072353</v>
      </c>
      <c r="F972">
        <v>49761.746334050091</v>
      </c>
      <c r="G972">
        <v>10000</v>
      </c>
      <c r="H972">
        <v>464231.73652817326</v>
      </c>
      <c r="I972">
        <v>29.36424557097677</v>
      </c>
    </row>
    <row r="973" spans="1:9" x14ac:dyDescent="0.2">
      <c r="A973">
        <v>963</v>
      </c>
      <c r="B973">
        <v>1403943.6811109036</v>
      </c>
      <c r="C973">
        <v>115005.68621675161</v>
      </c>
      <c r="D973">
        <v>70219.995825047765</v>
      </c>
      <c r="E973">
        <v>164113.17833705872</v>
      </c>
      <c r="F973">
        <v>47361.681577180992</v>
      </c>
      <c r="G973">
        <v>10000</v>
      </c>
      <c r="H973">
        <v>386700.54195603903</v>
      </c>
      <c r="I973">
        <v>50.917950389439433</v>
      </c>
    </row>
    <row r="974" spans="1:9" x14ac:dyDescent="0.2">
      <c r="A974">
        <v>964</v>
      </c>
      <c r="B974">
        <v>975367.64310871984</v>
      </c>
      <c r="C974">
        <v>142691.110774881</v>
      </c>
      <c r="D974">
        <v>36203.723056962357</v>
      </c>
      <c r="E974">
        <v>60182.359801368118</v>
      </c>
      <c r="F974">
        <v>40166.471063171637</v>
      </c>
      <c r="G974">
        <v>10000</v>
      </c>
      <c r="H974">
        <v>269243.66469638312</v>
      </c>
      <c r="I974">
        <v>36.815673152386083</v>
      </c>
    </row>
    <row r="975" spans="1:9" x14ac:dyDescent="0.2">
      <c r="A975">
        <v>965</v>
      </c>
      <c r="B975">
        <v>1212753.1325402281</v>
      </c>
      <c r="C975">
        <v>92744.55302604803</v>
      </c>
      <c r="D975">
        <v>84718.826760649172</v>
      </c>
      <c r="E975">
        <v>122367.30520366722</v>
      </c>
      <c r="F975">
        <v>44471.58266794619</v>
      </c>
      <c r="G975">
        <v>10000</v>
      </c>
      <c r="H975">
        <v>334302.26765831059</v>
      </c>
      <c r="I975">
        <v>36.442615562794792</v>
      </c>
    </row>
    <row r="976" spans="1:9" x14ac:dyDescent="0.2">
      <c r="A976">
        <v>966</v>
      </c>
      <c r="B976">
        <v>909427.59206797497</v>
      </c>
      <c r="C976">
        <v>124169.33798892528</v>
      </c>
      <c r="D976">
        <v>63607.077621699733</v>
      </c>
      <c r="E976">
        <v>34974.222034948405</v>
      </c>
      <c r="F976">
        <v>38421.292294727202</v>
      </c>
      <c r="G976">
        <v>10000</v>
      </c>
      <c r="H976">
        <v>251171.92994030062</v>
      </c>
      <c r="I976">
        <v>35.033258183990412</v>
      </c>
    </row>
    <row r="977" spans="1:9" x14ac:dyDescent="0.2">
      <c r="A977">
        <v>967</v>
      </c>
      <c r="B977">
        <v>927496.1303954008</v>
      </c>
      <c r="C977">
        <v>84705.106893809614</v>
      </c>
      <c r="D977">
        <v>61670.536425067439</v>
      </c>
      <c r="E977">
        <v>78325.660507758919</v>
      </c>
      <c r="F977">
        <v>41422.545727460238</v>
      </c>
      <c r="G977">
        <v>10000</v>
      </c>
      <c r="H977">
        <v>256123.84955409623</v>
      </c>
      <c r="I977">
        <v>28.910647175369789</v>
      </c>
    </row>
    <row r="978" spans="1:9" x14ac:dyDescent="0.2">
      <c r="A978">
        <v>968</v>
      </c>
      <c r="B978">
        <v>988878.04784166114</v>
      </c>
      <c r="C978">
        <v>117089.16870916623</v>
      </c>
      <c r="D978">
        <v>53699.08893457301</v>
      </c>
      <c r="E978">
        <v>71227.009770128119</v>
      </c>
      <c r="F978">
        <v>40931.100676393486</v>
      </c>
      <c r="G978">
        <v>10000</v>
      </c>
      <c r="H978">
        <v>272946.36809026083</v>
      </c>
      <c r="I978">
        <v>29.436521367709105</v>
      </c>
    </row>
    <row r="979" spans="1:9" x14ac:dyDescent="0.2">
      <c r="A979">
        <v>969</v>
      </c>
      <c r="B979">
        <v>1268342.2878126064</v>
      </c>
      <c r="C979">
        <v>102304.80821789797</v>
      </c>
      <c r="D979">
        <v>74748.740679654875</v>
      </c>
      <c r="E979">
        <v>136999.10174436626</v>
      </c>
      <c r="F979">
        <v>45484.553197686895</v>
      </c>
      <c r="G979">
        <v>10000</v>
      </c>
      <c r="H979">
        <v>349537.20383960602</v>
      </c>
      <c r="I979">
        <v>54.2740876202487</v>
      </c>
    </row>
    <row r="980" spans="1:9" x14ac:dyDescent="0.2">
      <c r="A980">
        <v>970</v>
      </c>
      <c r="B980">
        <v>1410789.3066988369</v>
      </c>
      <c r="C980">
        <v>135687.13234501521</v>
      </c>
      <c r="D980">
        <v>83622.517230232275</v>
      </c>
      <c r="E980">
        <v>133990.74350350272</v>
      </c>
      <c r="F980">
        <v>45276.282242550187</v>
      </c>
      <c r="G980">
        <v>10000</v>
      </c>
      <c r="H980">
        <v>388576.6753213004</v>
      </c>
      <c r="I980">
        <v>39.680920210781366</v>
      </c>
    </row>
    <row r="981" spans="1:9" x14ac:dyDescent="0.2">
      <c r="A981">
        <v>971</v>
      </c>
      <c r="B981">
        <v>1522403.9248085925</v>
      </c>
      <c r="C981">
        <v>120029.16656242828</v>
      </c>
      <c r="D981">
        <v>63053.460322565938</v>
      </c>
      <c r="E981">
        <v>196480.96804541734</v>
      </c>
      <c r="F981">
        <v>49602.52855699043</v>
      </c>
      <c r="G981">
        <v>10000</v>
      </c>
      <c r="H981">
        <v>419166.12348740199</v>
      </c>
      <c r="I981">
        <v>26.235721560084265</v>
      </c>
    </row>
    <row r="982" spans="1:9" x14ac:dyDescent="0.2">
      <c r="A982">
        <v>972</v>
      </c>
      <c r="B982">
        <v>1003327.8736343837</v>
      </c>
      <c r="C982">
        <v>80197.356916034711</v>
      </c>
      <c r="D982">
        <v>67495.4640725426</v>
      </c>
      <c r="E982">
        <v>96530.808982428571</v>
      </c>
      <c r="F982">
        <v>42682.902160321981</v>
      </c>
      <c r="G982">
        <v>10000</v>
      </c>
      <c r="H982">
        <v>276906.5321313279</v>
      </c>
      <c r="I982">
        <v>37.107389090828221</v>
      </c>
    </row>
    <row r="983" spans="1:9" x14ac:dyDescent="0.2">
      <c r="A983">
        <v>973</v>
      </c>
      <c r="B983">
        <v>1380007.2864660395</v>
      </c>
      <c r="C983">
        <v>153233.67594515256</v>
      </c>
      <c r="D983">
        <v>83956.568011500363</v>
      </c>
      <c r="E983">
        <v>109377.89938568261</v>
      </c>
      <c r="F983">
        <v>43572.31611131649</v>
      </c>
      <c r="G983">
        <v>10000</v>
      </c>
      <c r="H983">
        <v>380140.45945365203</v>
      </c>
      <c r="I983">
        <v>43.192370915689665</v>
      </c>
    </row>
    <row r="984" spans="1:9" x14ac:dyDescent="0.2">
      <c r="A984">
        <v>974</v>
      </c>
      <c r="B984">
        <v>1904455.5394081408</v>
      </c>
      <c r="C984">
        <v>128725.0875192666</v>
      </c>
      <c r="D984">
        <v>149785.43496678761</v>
      </c>
      <c r="E984">
        <v>205158.56530021853</v>
      </c>
      <c r="F984">
        <v>50203.285290015134</v>
      </c>
      <c r="G984">
        <v>10000</v>
      </c>
      <c r="H984">
        <v>523872.37307628791</v>
      </c>
      <c r="I984">
        <v>27.075998476230076</v>
      </c>
    </row>
    <row r="985" spans="1:9" x14ac:dyDescent="0.2">
      <c r="A985">
        <v>975</v>
      </c>
      <c r="B985">
        <v>1484735.4292005142</v>
      </c>
      <c r="C985">
        <v>125701.02743899934</v>
      </c>
      <c r="D985">
        <v>40163.633490863183</v>
      </c>
      <c r="E985">
        <v>202928.98796898877</v>
      </c>
      <c r="F985">
        <v>50048.929936314613</v>
      </c>
      <c r="G985">
        <v>10000</v>
      </c>
      <c r="H985">
        <v>408842.57883516594</v>
      </c>
      <c r="I985">
        <v>49.767767493774734</v>
      </c>
    </row>
    <row r="986" spans="1:9" x14ac:dyDescent="0.2">
      <c r="A986">
        <v>976</v>
      </c>
      <c r="B986">
        <v>1593558.8092043241</v>
      </c>
      <c r="C986">
        <v>83053.844840598438</v>
      </c>
      <c r="D986">
        <v>120905.53123123987</v>
      </c>
      <c r="E986">
        <v>195194.22894403318</v>
      </c>
      <c r="F986">
        <v>49513.446619202296</v>
      </c>
      <c r="G986">
        <v>10000</v>
      </c>
      <c r="H986">
        <v>438667.05163507373</v>
      </c>
      <c r="I986">
        <v>41.179895057927638</v>
      </c>
    </row>
    <row r="987" spans="1:9" x14ac:dyDescent="0.2">
      <c r="A987">
        <v>977</v>
      </c>
      <c r="B987">
        <v>960218.19921683671</v>
      </c>
      <c r="C987">
        <v>79779.832033650906</v>
      </c>
      <c r="D987">
        <v>52791.460562038068</v>
      </c>
      <c r="E987">
        <v>99623.459799683609</v>
      </c>
      <c r="F987">
        <v>42897.008755362709</v>
      </c>
      <c r="G987">
        <v>10000</v>
      </c>
      <c r="H987">
        <v>265091.76115073531</v>
      </c>
      <c r="I987">
        <v>26.893383962480812</v>
      </c>
    </row>
    <row r="988" spans="1:9" x14ac:dyDescent="0.2">
      <c r="A988">
        <v>978</v>
      </c>
      <c r="B988">
        <v>1801762.9978580384</v>
      </c>
      <c r="C988">
        <v>121495.96335154008</v>
      </c>
      <c r="D988">
        <v>160371.05390335282</v>
      </c>
      <c r="E988">
        <v>175697.44999440704</v>
      </c>
      <c r="F988">
        <v>48163.669614997401</v>
      </c>
      <c r="G988">
        <v>10000</v>
      </c>
      <c r="H988">
        <v>495728.13686429738</v>
      </c>
      <c r="I988">
        <v>36.371577176909369</v>
      </c>
    </row>
    <row r="989" spans="1:9" x14ac:dyDescent="0.2">
      <c r="A989">
        <v>979</v>
      </c>
      <c r="B989">
        <v>1027786.2804159506</v>
      </c>
      <c r="C989">
        <v>111253.58444105237</v>
      </c>
      <c r="D989">
        <v>57955.00267281961</v>
      </c>
      <c r="E989">
        <v>82677.280085660706</v>
      </c>
      <c r="F989">
        <v>41723.811698238052</v>
      </c>
      <c r="G989">
        <v>10000</v>
      </c>
      <c r="H989">
        <v>283609.67889777076</v>
      </c>
      <c r="I989">
        <v>43.920418659523698</v>
      </c>
    </row>
    <row r="990" spans="1:9" x14ac:dyDescent="0.2">
      <c r="A990">
        <v>980</v>
      </c>
      <c r="B990">
        <v>1539682.237579569</v>
      </c>
      <c r="C990">
        <v>110162.44881310507</v>
      </c>
      <c r="D990">
        <v>126786.76291440405</v>
      </c>
      <c r="E990">
        <v>150530.89037489687</v>
      </c>
      <c r="F990">
        <v>46421.369333646711</v>
      </c>
      <c r="G990">
        <v>10000</v>
      </c>
      <c r="H990">
        <v>423901.4714360527</v>
      </c>
      <c r="I990">
        <v>50.40473183584993</v>
      </c>
    </row>
    <row r="991" spans="1:9" x14ac:dyDescent="0.2">
      <c r="A991">
        <v>981</v>
      </c>
      <c r="B991">
        <v>1328883.9094007057</v>
      </c>
      <c r="C991">
        <v>160854.31274092838</v>
      </c>
      <c r="D991">
        <v>36213.932075714234</v>
      </c>
      <c r="E991">
        <v>133798.22914639369</v>
      </c>
      <c r="F991">
        <v>45262.95432551956</v>
      </c>
      <c r="G991">
        <v>10000</v>
      </c>
      <c r="H991">
        <v>366129.42828855588</v>
      </c>
      <c r="I991">
        <v>29.121367778290008</v>
      </c>
    </row>
    <row r="992" spans="1:9" x14ac:dyDescent="0.2">
      <c r="A992">
        <v>982</v>
      </c>
      <c r="B992">
        <v>840255.21629830729</v>
      </c>
      <c r="C992">
        <v>88613.098126004639</v>
      </c>
      <c r="D992">
        <v>51435.733257133783</v>
      </c>
      <c r="E992">
        <v>61881.405559938328</v>
      </c>
      <c r="F992">
        <v>40284.097307995733</v>
      </c>
      <c r="G992">
        <v>10000</v>
      </c>
      <c r="H992">
        <v>232214.33425107249</v>
      </c>
      <c r="I992">
        <v>29.5562296884139</v>
      </c>
    </row>
    <row r="993" spans="1:9" x14ac:dyDescent="0.2">
      <c r="A993">
        <v>983</v>
      </c>
      <c r="B993">
        <v>1296438.3410679623</v>
      </c>
      <c r="C993">
        <v>87721.886688927974</v>
      </c>
      <c r="D993">
        <v>123012.76912516552</v>
      </c>
      <c r="E993">
        <v>112700.31028512618</v>
      </c>
      <c r="F993">
        <v>43802.329173585655</v>
      </c>
      <c r="G993">
        <v>10000</v>
      </c>
      <c r="H993">
        <v>357237.29527280526</v>
      </c>
      <c r="I993">
        <v>45.282107440197919</v>
      </c>
    </row>
    <row r="994" spans="1:9" x14ac:dyDescent="0.2">
      <c r="A994">
        <v>984</v>
      </c>
      <c r="B994">
        <v>1425732.8473930934</v>
      </c>
      <c r="C994">
        <v>133125.00327665755</v>
      </c>
      <c r="D994">
        <v>126292.06892737659</v>
      </c>
      <c r="E994">
        <v>100310.50291564212</v>
      </c>
      <c r="F994">
        <v>42944.573278775228</v>
      </c>
      <c r="G994">
        <v>10000</v>
      </c>
      <c r="H994">
        <v>392672.14839845145</v>
      </c>
      <c r="I994">
        <v>37.601546842438353</v>
      </c>
    </row>
    <row r="995" spans="1:9" x14ac:dyDescent="0.2">
      <c r="A995">
        <v>985</v>
      </c>
      <c r="B995">
        <v>1503964.3704775567</v>
      </c>
      <c r="C995">
        <v>121209.85277408262</v>
      </c>
      <c r="D995">
        <v>120264.44480818819</v>
      </c>
      <c r="E995">
        <v>137143.66319722743</v>
      </c>
      <c r="F995">
        <v>45494.561298269589</v>
      </c>
      <c r="G995">
        <v>10000</v>
      </c>
      <c r="H995">
        <v>414112.52207776782</v>
      </c>
      <c r="I995">
        <v>34.646560481327299</v>
      </c>
    </row>
    <row r="996" spans="1:9" x14ac:dyDescent="0.2">
      <c r="A996">
        <v>986</v>
      </c>
      <c r="B996">
        <v>1293057.0113193507</v>
      </c>
      <c r="C996">
        <v>100603.28962385669</v>
      </c>
      <c r="D996">
        <v>102470.02462844996</v>
      </c>
      <c r="E996">
        <v>118998.89805956837</v>
      </c>
      <c r="F996">
        <v>44238.38525027781</v>
      </c>
      <c r="G996">
        <v>10000</v>
      </c>
      <c r="H996">
        <v>356310.59756215283</v>
      </c>
      <c r="I996">
        <v>47.949945218052548</v>
      </c>
    </row>
    <row r="997" spans="1:9" x14ac:dyDescent="0.2">
      <c r="A997">
        <v>987</v>
      </c>
      <c r="B997">
        <v>929688.19480801735</v>
      </c>
      <c r="C997">
        <v>106384.82106357937</v>
      </c>
      <c r="D997">
        <v>57410.726719360435</v>
      </c>
      <c r="E997">
        <v>62595.529107424576</v>
      </c>
      <c r="F997">
        <v>40333.536630514012</v>
      </c>
      <c r="G997">
        <v>10000</v>
      </c>
      <c r="H997">
        <v>256724.61352087837</v>
      </c>
      <c r="I997">
        <v>35.631880232424535</v>
      </c>
    </row>
    <row r="998" spans="1:9" x14ac:dyDescent="0.2">
      <c r="A998">
        <v>988</v>
      </c>
      <c r="B998">
        <v>1536581.7268658068</v>
      </c>
      <c r="C998">
        <v>116034.11259729047</v>
      </c>
      <c r="D998">
        <v>99542.082529952662</v>
      </c>
      <c r="E998">
        <v>169725.32586557328</v>
      </c>
      <c r="F998">
        <v>47750.214867616611</v>
      </c>
      <c r="G998">
        <v>10000</v>
      </c>
      <c r="H998">
        <v>423051.73586043302</v>
      </c>
      <c r="I998">
        <v>29.638578389990066</v>
      </c>
    </row>
    <row r="999" spans="1:9" x14ac:dyDescent="0.2">
      <c r="A999">
        <v>989</v>
      </c>
      <c r="B999">
        <v>1273886.688601095</v>
      </c>
      <c r="C999">
        <v>98368.014042929732</v>
      </c>
      <c r="D999">
        <v>69091.538429666049</v>
      </c>
      <c r="E999">
        <v>147393.03391374712</v>
      </c>
      <c r="F999">
        <v>46204.133117105572</v>
      </c>
      <c r="G999">
        <v>10000</v>
      </c>
      <c r="H999">
        <v>351056.71950344846</v>
      </c>
      <c r="I999">
        <v>49.107966894443777</v>
      </c>
    </row>
    <row r="1000" spans="1:9" x14ac:dyDescent="0.2">
      <c r="A1000">
        <v>990</v>
      </c>
      <c r="B1000">
        <v>1647553.8550211282</v>
      </c>
      <c r="C1000">
        <v>93822.037760257474</v>
      </c>
      <c r="D1000">
        <v>162461.11132588363</v>
      </c>
      <c r="E1000">
        <v>160098.22863156651</v>
      </c>
      <c r="F1000">
        <v>47083.723520646905</v>
      </c>
      <c r="G1000">
        <v>10000</v>
      </c>
      <c r="H1000">
        <v>453465.10123835452</v>
      </c>
      <c r="I1000">
        <v>26.454497074886135</v>
      </c>
    </row>
    <row r="1001" spans="1:9" x14ac:dyDescent="0.2">
      <c r="A1001">
        <v>991</v>
      </c>
      <c r="B1001">
        <v>1410841.6058417</v>
      </c>
      <c r="C1001">
        <v>106550.20130195402</v>
      </c>
      <c r="D1001">
        <v>125558.79507399593</v>
      </c>
      <c r="E1001">
        <v>122033.53659978019</v>
      </c>
      <c r="F1001">
        <v>44448.475610754009</v>
      </c>
      <c r="G1001">
        <v>10000</v>
      </c>
      <c r="H1001">
        <v>388591.00858648412</v>
      </c>
      <c r="I1001">
        <v>29.357537869969988</v>
      </c>
    </row>
    <row r="1002" spans="1:9" x14ac:dyDescent="0.2">
      <c r="A1002">
        <v>992</v>
      </c>
      <c r="B1002">
        <v>875082.05128572835</v>
      </c>
      <c r="C1002">
        <v>108621.4593770119</v>
      </c>
      <c r="D1002">
        <v>71528.554690821664</v>
      </c>
      <c r="E1002">
        <v>33303.447247635006</v>
      </c>
      <c r="F1002">
        <v>38305.623270990116</v>
      </c>
      <c r="G1002">
        <v>10000</v>
      </c>
      <c r="H1002">
        <v>241759.08458645866</v>
      </c>
      <c r="I1002">
        <v>47.343665105290398</v>
      </c>
    </row>
    <row r="1003" spans="1:9" x14ac:dyDescent="0.2">
      <c r="A1003">
        <v>993</v>
      </c>
      <c r="B1003">
        <v>802560.23490291927</v>
      </c>
      <c r="C1003">
        <v>119459.07547659776</v>
      </c>
      <c r="D1003">
        <v>43671.152603277667</v>
      </c>
      <c r="E1003">
        <v>30632.585298276772</v>
      </c>
      <c r="F1003">
        <v>38120.717443726855</v>
      </c>
      <c r="G1003">
        <v>10000</v>
      </c>
      <c r="H1003">
        <v>221883.53082187905</v>
      </c>
      <c r="I1003">
        <v>42.54113231627867</v>
      </c>
    </row>
    <row r="1004" spans="1:9" x14ac:dyDescent="0.2">
      <c r="A1004">
        <v>994</v>
      </c>
      <c r="B1004">
        <v>1193853.3452188894</v>
      </c>
      <c r="C1004">
        <v>122491.75746741713</v>
      </c>
      <c r="D1004">
        <v>89680.465293688976</v>
      </c>
      <c r="E1004">
        <v>85061.44157568604</v>
      </c>
      <c r="F1004">
        <v>41888.869032162875</v>
      </c>
      <c r="G1004">
        <v>10000</v>
      </c>
      <c r="H1004">
        <v>329122.53336895502</v>
      </c>
      <c r="I1004">
        <v>29.36061756985616</v>
      </c>
    </row>
    <row r="1005" spans="1:9" x14ac:dyDescent="0.2">
      <c r="A1005">
        <v>995</v>
      </c>
      <c r="B1005">
        <v>1347481.1287244949</v>
      </c>
      <c r="C1005">
        <v>123860.14491728588</v>
      </c>
      <c r="D1005">
        <v>59386.849330109617</v>
      </c>
      <c r="E1005">
        <v>151491.38078386115</v>
      </c>
      <c r="F1005">
        <v>46487.864823498086</v>
      </c>
      <c r="G1005">
        <v>10000</v>
      </c>
      <c r="H1005">
        <v>371226.23985475471</v>
      </c>
      <c r="I1005">
        <v>35.448746252457155</v>
      </c>
    </row>
    <row r="1006" spans="1:9" x14ac:dyDescent="0.2">
      <c r="A1006">
        <v>996</v>
      </c>
      <c r="B1006">
        <v>1217409.6481580066</v>
      </c>
      <c r="C1006">
        <v>153545.23157266638</v>
      </c>
      <c r="D1006">
        <v>89278.125159299001</v>
      </c>
      <c r="E1006">
        <v>62432.818012249605</v>
      </c>
      <c r="F1006">
        <v>40322.272016232666</v>
      </c>
      <c r="G1006">
        <v>10000</v>
      </c>
      <c r="H1006">
        <v>335578.44676044764</v>
      </c>
      <c r="I1006">
        <v>28.149797476589644</v>
      </c>
    </row>
    <row r="1007" spans="1:9" x14ac:dyDescent="0.2">
      <c r="A1007">
        <v>997</v>
      </c>
      <c r="B1007">
        <v>996602.5036357519</v>
      </c>
      <c r="C1007">
        <v>117691.33551304346</v>
      </c>
      <c r="D1007">
        <v>100358.71204982627</v>
      </c>
      <c r="E1007">
        <v>29005.252855770646</v>
      </c>
      <c r="F1007">
        <v>38008.055966937973</v>
      </c>
      <c r="G1007">
        <v>10000</v>
      </c>
      <c r="H1007">
        <v>275063.35638557834</v>
      </c>
      <c r="I1007">
        <v>51.622489047303269</v>
      </c>
    </row>
    <row r="1008" spans="1:9" x14ac:dyDescent="0.2">
      <c r="A1008">
        <v>998</v>
      </c>
      <c r="B1008">
        <v>1834959.253697972</v>
      </c>
      <c r="C1008">
        <v>139065.30591978531</v>
      </c>
      <c r="D1008">
        <v>126075.4862150663</v>
      </c>
      <c r="E1008">
        <v>199849.48024246574</v>
      </c>
      <c r="F1008">
        <v>49835.733247555319</v>
      </c>
      <c r="G1008">
        <v>10000</v>
      </c>
      <c r="H1008">
        <v>504826.00562487269</v>
      </c>
      <c r="I1008">
        <v>33.653120470286908</v>
      </c>
    </row>
    <row r="1009" spans="1:9" x14ac:dyDescent="0.2">
      <c r="A1009">
        <v>999</v>
      </c>
      <c r="B1009">
        <v>1560498.8681039503</v>
      </c>
      <c r="C1009">
        <v>131279.97510637745</v>
      </c>
      <c r="D1009">
        <v>148466.48589500444</v>
      </c>
      <c r="E1009">
        <v>115840.36325687511</v>
      </c>
      <c r="F1009">
        <v>44019.717456245198</v>
      </c>
      <c r="G1009">
        <v>10000</v>
      </c>
      <c r="H1009">
        <v>429606.54171450215</v>
      </c>
      <c r="I1009">
        <v>34.687260162523714</v>
      </c>
    </row>
    <row r="1010" spans="1:9" x14ac:dyDescent="0.2">
      <c r="A1010">
        <v>1000</v>
      </c>
      <c r="B1010">
        <v>1344919.8229806423</v>
      </c>
      <c r="C1010">
        <v>102729.81644830754</v>
      </c>
      <c r="D1010">
        <v>76912.837377436983</v>
      </c>
      <c r="E1010">
        <v>154205.83786343952</v>
      </c>
      <c r="F1010">
        <v>46675.788775161192</v>
      </c>
      <c r="G1010">
        <v>10000</v>
      </c>
      <c r="H1010">
        <v>370524.28046434524</v>
      </c>
      <c r="I1010">
        <v>36.502162084471884</v>
      </c>
    </row>
    <row r="1015" spans="1:9" ht="19" x14ac:dyDescent="0.25">
      <c r="A1015" s="4" t="s">
        <v>491</v>
      </c>
    </row>
    <row r="1016" spans="1:9" x14ac:dyDescent="0.2">
      <c r="A1016" t="s">
        <v>492</v>
      </c>
      <c r="B1016" s="15">
        <f>AVERAGE(B11:B1010)</f>
        <v>1285539.4358465441</v>
      </c>
    </row>
    <row r="1017" spans="1:9" x14ac:dyDescent="0.2">
      <c r="A1017" t="s">
        <v>493</v>
      </c>
      <c r="B1017" s="15">
        <f>PERCENTILE(B11:B1010,0.1)</f>
        <v>940336.38768291741</v>
      </c>
    </row>
    <row r="1018" spans="1:9" x14ac:dyDescent="0.2">
      <c r="A1018" t="s">
        <v>494</v>
      </c>
      <c r="B1018" s="15">
        <f>PERCENTILE(B11:B1010,0.5)</f>
        <v>1287229.8204994609</v>
      </c>
    </row>
    <row r="1019" spans="1:9" x14ac:dyDescent="0.2">
      <c r="A1019" t="s">
        <v>495</v>
      </c>
      <c r="B1019" s="15">
        <f>PERCENTILE(B11:B1010,0.9)</f>
        <v>1623023.8120470289</v>
      </c>
    </row>
    <row r="1020" spans="1:9" x14ac:dyDescent="0.2">
      <c r="A1020" t="s">
        <v>496</v>
      </c>
      <c r="B1020" s="15">
        <f>STDEV(B11:B1010)</f>
        <v>259966.26860261636</v>
      </c>
    </row>
    <row r="1021" spans="1:9" x14ac:dyDescent="0.2">
      <c r="A1021" t="s">
        <v>497</v>
      </c>
      <c r="B1021" s="22">
        <f>COUNTIF(B11:B1010,"&gt;0")/1000</f>
        <v>1</v>
      </c>
    </row>
    <row r="1023" spans="1:9" ht="19" x14ac:dyDescent="0.25">
      <c r="A1023" s="4" t="s">
        <v>498</v>
      </c>
    </row>
    <row r="1024" spans="1:9" x14ac:dyDescent="0.2">
      <c r="A1024" t="s">
        <v>499</v>
      </c>
      <c r="B1024" s="20">
        <f>IFERROR(AVERAGE(I11:I1010),"Run MC")</f>
        <v>36.759617296200609</v>
      </c>
    </row>
    <row r="1025" spans="1:2" x14ac:dyDescent="0.2">
      <c r="A1025" t="s">
        <v>500</v>
      </c>
      <c r="B1025" s="20">
        <f>IFERROR(PERCENTILE(I11:I1010,0.1),"Run MC")</f>
        <v>28.485945885201598</v>
      </c>
    </row>
    <row r="1026" spans="1:2" x14ac:dyDescent="0.2">
      <c r="A1026" t="s">
        <v>501</v>
      </c>
      <c r="B1026" s="20">
        <f>IFERROR(PERCENTILE(I11:I1010,0.5),"Run MC")</f>
        <v>35.904322484624792</v>
      </c>
    </row>
    <row r="1027" spans="1:2" x14ac:dyDescent="0.2">
      <c r="A1027" t="s">
        <v>502</v>
      </c>
      <c r="B1027" s="20">
        <f>IFERROR(PERCENTILE(I11:I1010,0.9),"Run MC")</f>
        <v>46.4798003624148</v>
      </c>
    </row>
    <row r="1028" spans="1:2" x14ac:dyDescent="0.2">
      <c r="A1028" t="s">
        <v>503</v>
      </c>
      <c r="B1028" s="22">
        <f>IFERROR(COUNTIF(I11:I1010,"&lt;="&amp;Season_Length)/1000,"Run MC")</f>
        <v>1</v>
      </c>
    </row>
  </sheetData>
  <mergeCells count="2">
    <mergeCell ref="A4:E4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D4"/>
  <sheetViews>
    <sheetView workbookViewId="0"/>
  </sheetViews>
  <sheetFormatPr baseColWidth="10" defaultColWidth="8.83203125" defaultRowHeight="15" x14ac:dyDescent="0.2"/>
  <cols>
    <col min="1" max="1" width="60" customWidth="1"/>
    <col min="2" max="4" width="13" customWidth="1"/>
  </cols>
  <sheetData>
    <row r="1" spans="1:4" ht="21" x14ac:dyDescent="0.25">
      <c r="A1" s="5" t="s">
        <v>504</v>
      </c>
    </row>
    <row r="3" spans="1:4" x14ac:dyDescent="0.2">
      <c r="A3" s="32" t="s">
        <v>505</v>
      </c>
      <c r="B3" s="30"/>
      <c r="C3" s="30"/>
      <c r="D3" s="31"/>
    </row>
    <row r="4" spans="1:4" ht="312" customHeight="1" x14ac:dyDescent="0.2">
      <c r="A4" s="29" t="s">
        <v>506</v>
      </c>
      <c r="B4" s="30"/>
      <c r="C4" s="30"/>
      <c r="D4" s="31"/>
    </row>
  </sheetData>
  <mergeCells count="2">
    <mergeCell ref="A4:D4"/>
    <mergeCell ref="A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472C4"/>
  </sheetPr>
  <dimension ref="A1:J23"/>
  <sheetViews>
    <sheetView workbookViewId="0"/>
  </sheetViews>
  <sheetFormatPr baseColWidth="10" defaultColWidth="8.83203125" defaultRowHeight="15" x14ac:dyDescent="0.2"/>
  <cols>
    <col min="1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4" customWidth="1"/>
  </cols>
  <sheetData>
    <row r="1" spans="1:10" ht="21" x14ac:dyDescent="0.25">
      <c r="A1" s="5" t="s">
        <v>507</v>
      </c>
    </row>
    <row r="3" spans="1:10" x14ac:dyDescent="0.2">
      <c r="A3" s="32" t="s">
        <v>508</v>
      </c>
      <c r="B3" s="30"/>
      <c r="C3" s="30"/>
      <c r="D3" s="30"/>
      <c r="E3" s="30"/>
      <c r="F3" s="30"/>
      <c r="G3" s="30"/>
      <c r="H3" s="30"/>
      <c r="I3" s="30"/>
      <c r="J3" s="31"/>
    </row>
    <row r="4" spans="1:10" ht="249.5" customHeight="1" x14ac:dyDescent="0.2">
      <c r="A4" s="29" t="s">
        <v>509</v>
      </c>
      <c r="B4" s="30"/>
      <c r="C4" s="30"/>
      <c r="D4" s="30"/>
      <c r="E4" s="30"/>
      <c r="F4" s="30"/>
      <c r="G4" s="30"/>
      <c r="H4" s="30"/>
      <c r="I4" s="30"/>
      <c r="J4" s="31"/>
    </row>
    <row r="6" spans="1:10" x14ac:dyDescent="0.2">
      <c r="A6" s="6" t="s">
        <v>507</v>
      </c>
    </row>
    <row r="7" spans="1:10" ht="15.5" customHeight="1" x14ac:dyDescent="0.2">
      <c r="A7" s="7" t="s">
        <v>46</v>
      </c>
      <c r="B7" s="27" t="s">
        <v>510</v>
      </c>
      <c r="C7" s="28"/>
      <c r="D7" s="28"/>
      <c r="E7" s="28"/>
      <c r="F7" s="28"/>
      <c r="G7" s="28"/>
      <c r="H7" s="28"/>
      <c r="I7" s="28"/>
      <c r="J7" s="28"/>
    </row>
    <row r="8" spans="1:10" ht="15.5" customHeight="1" x14ac:dyDescent="0.2">
      <c r="A8" s="7" t="s">
        <v>48</v>
      </c>
      <c r="B8" s="27" t="s">
        <v>511</v>
      </c>
      <c r="C8" s="28"/>
      <c r="D8" s="28"/>
      <c r="E8" s="28"/>
      <c r="F8" s="28"/>
      <c r="G8" s="28"/>
      <c r="H8" s="28"/>
      <c r="I8" s="28"/>
      <c r="J8" s="28"/>
    </row>
    <row r="9" spans="1:10" ht="46.75" customHeight="1" x14ac:dyDescent="0.2">
      <c r="A9" s="7" t="s">
        <v>50</v>
      </c>
      <c r="B9" s="27" t="s">
        <v>512</v>
      </c>
      <c r="C9" s="28"/>
      <c r="D9" s="28"/>
      <c r="E9" s="28"/>
      <c r="F9" s="28"/>
      <c r="G9" s="28"/>
      <c r="H9" s="28"/>
      <c r="I9" s="28"/>
      <c r="J9" s="28"/>
    </row>
    <row r="10" spans="1:10" ht="15.5" customHeight="1" x14ac:dyDescent="0.2">
      <c r="A10" s="7" t="s">
        <v>52</v>
      </c>
      <c r="B10" s="27" t="s">
        <v>513</v>
      </c>
      <c r="C10" s="28"/>
      <c r="D10" s="28"/>
      <c r="E10" s="28"/>
      <c r="F10" s="28"/>
      <c r="G10" s="28"/>
      <c r="H10" s="28"/>
      <c r="I10" s="28"/>
      <c r="J10" s="28"/>
    </row>
    <row r="11" spans="1:10" ht="15.5" customHeight="1" x14ac:dyDescent="0.2">
      <c r="A11" s="7" t="s">
        <v>54</v>
      </c>
      <c r="B11" s="27" t="s">
        <v>514</v>
      </c>
      <c r="C11" s="28"/>
      <c r="D11" s="28"/>
      <c r="E11" s="28"/>
      <c r="F11" s="28"/>
      <c r="G11" s="28"/>
      <c r="H11" s="28"/>
      <c r="I11" s="28"/>
      <c r="J11" s="28"/>
    </row>
    <row r="12" spans="1:10" x14ac:dyDescent="0.2">
      <c r="A12" s="8" t="s">
        <v>250</v>
      </c>
      <c r="B12" s="8" t="s">
        <v>515</v>
      </c>
      <c r="C12" s="8" t="s">
        <v>516</v>
      </c>
      <c r="D12" s="8" t="s">
        <v>517</v>
      </c>
      <c r="E12" s="8" t="s">
        <v>518</v>
      </c>
      <c r="F12" s="8" t="s">
        <v>519</v>
      </c>
      <c r="G12" s="8" t="s">
        <v>520</v>
      </c>
      <c r="H12" s="8" t="s">
        <v>521</v>
      </c>
      <c r="I12" s="8" t="s">
        <v>412</v>
      </c>
      <c r="J12" s="8" t="s">
        <v>522</v>
      </c>
    </row>
    <row r="13" spans="1:10" x14ac:dyDescent="0.2">
      <c r="A13">
        <f>Base_Year+0</f>
        <v>2026</v>
      </c>
      <c r="B13" s="15">
        <f ca="1">S1_Value*INDEX(Timeline_LearningMult,2)</f>
        <v>60827.162645400502</v>
      </c>
      <c r="C13" s="15">
        <f ca="1">S2_Value*INDEX(Timeline_LearningMult,2)</f>
        <v>69489.053259188062</v>
      </c>
      <c r="D13" s="15">
        <f ca="1">S3_Value*INDEX(Timeline_LearningMult,2)</f>
        <v>74077.496782823117</v>
      </c>
      <c r="E13" s="15">
        <f ca="1">S4_Value*INDEX(Timeline_LearningMult,2)</f>
        <v>23128.442084964678</v>
      </c>
      <c r="F13" s="15">
        <f ca="1">SUM(B13:E13)</f>
        <v>227522.15477237638</v>
      </c>
      <c r="G13" s="15">
        <f>Testing_Cost</f>
        <v>10000</v>
      </c>
      <c r="H13" s="15">
        <f ca="1">F13-G13</f>
        <v>217522.15477237638</v>
      </c>
      <c r="I13">
        <f>INDEX(Timeline_DiscountFactor,2)</f>
        <v>0.95419847328244267</v>
      </c>
      <c r="J13" s="15">
        <f ca="1">H13*I13</f>
        <v>207559.30798890875</v>
      </c>
    </row>
    <row r="14" spans="1:10" x14ac:dyDescent="0.2">
      <c r="A14">
        <f>Base_Year+1</f>
        <v>2027</v>
      </c>
      <c r="B14" s="15">
        <f ca="1">S1_Value*INDEX(Timeline_LearningMult,3)</f>
        <v>91240.743968100753</v>
      </c>
      <c r="C14" s="15">
        <f ca="1">S2_Value*INDEX(Timeline_LearningMult,3)</f>
        <v>104233.57988878209</v>
      </c>
      <c r="D14" s="15">
        <f ca="1">S3_Value*INDEX(Timeline_LearningMult,3)</f>
        <v>111116.24517423467</v>
      </c>
      <c r="E14" s="15">
        <f ca="1">S4_Value*INDEX(Timeline_LearningMult,3)</f>
        <v>34692.663127447013</v>
      </c>
      <c r="F14" s="15">
        <f ca="1">SUM(B14:E14)</f>
        <v>341283.2321585645</v>
      </c>
      <c r="G14" s="15">
        <f>Testing_Cost</f>
        <v>10000</v>
      </c>
      <c r="H14" s="15">
        <f ca="1">F14-G14</f>
        <v>331283.2321585645</v>
      </c>
      <c r="I14">
        <f>INDEX(Timeline_DiscountFactor,3)</f>
        <v>0.91049472641454443</v>
      </c>
      <c r="J14" s="15">
        <f ca="1">H14*I14</f>
        <v>301631.63582993817</v>
      </c>
    </row>
    <row r="15" spans="1:10" x14ac:dyDescent="0.2">
      <c r="A15">
        <f>Base_Year+2</f>
        <v>2028</v>
      </c>
      <c r="B15" s="15">
        <f ca="1">S1_Value*INDEX(Timeline_LearningMult,4)</f>
        <v>121654.325290801</v>
      </c>
      <c r="C15" s="15">
        <f ca="1">S2_Value*INDEX(Timeline_LearningMult,4)</f>
        <v>138978.10651837612</v>
      </c>
      <c r="D15" s="15">
        <f ca="1">S3_Value*INDEX(Timeline_LearningMult,4)</f>
        <v>148154.99356564623</v>
      </c>
      <c r="E15" s="15">
        <f ca="1">S4_Value*INDEX(Timeline_LearningMult,4)</f>
        <v>46256.884169929355</v>
      </c>
      <c r="F15" s="15">
        <f ca="1">SUM(B15:E15)</f>
        <v>455044.30954475276</v>
      </c>
      <c r="G15" s="15">
        <f>Testing_Cost</f>
        <v>10000</v>
      </c>
      <c r="H15" s="15">
        <f ca="1">F15-G15</f>
        <v>445044.30954475276</v>
      </c>
      <c r="I15">
        <f>INDEX(Timeline_DiscountFactor,4)</f>
        <v>0.86879267787647374</v>
      </c>
      <c r="J15" s="15">
        <f ca="1">H15*I15</f>
        <v>386651.23746307206</v>
      </c>
    </row>
    <row r="16" spans="1:10" x14ac:dyDescent="0.2">
      <c r="A16">
        <f>Base_Year+3</f>
        <v>2029</v>
      </c>
      <c r="B16" s="15">
        <f ca="1">S1_Value*INDEX(Timeline_LearningMult,5)</f>
        <v>121654.325290801</v>
      </c>
      <c r="C16" s="15">
        <f ca="1">S2_Value*INDEX(Timeline_LearningMult,5)</f>
        <v>138978.10651837612</v>
      </c>
      <c r="D16" s="15">
        <f ca="1">S3_Value*INDEX(Timeline_LearningMult,5)</f>
        <v>148154.99356564623</v>
      </c>
      <c r="E16" s="15">
        <f ca="1">S4_Value*INDEX(Timeline_LearningMult,5)</f>
        <v>46256.884169929355</v>
      </c>
      <c r="F16" s="15">
        <f ca="1">SUM(B16:E16)</f>
        <v>455044.30954475276</v>
      </c>
      <c r="G16" s="15">
        <f>Testing_Cost</f>
        <v>10000</v>
      </c>
      <c r="H16" s="15">
        <f ca="1">F16-G16</f>
        <v>445044.30954475276</v>
      </c>
      <c r="I16">
        <f>INDEX(Timeline_DiscountFactor,5)</f>
        <v>0.82900064682869612</v>
      </c>
      <c r="J16" s="15">
        <f ca="1">H16*I16</f>
        <v>368942.02048003051</v>
      </c>
    </row>
    <row r="17" spans="1:10" x14ac:dyDescent="0.2">
      <c r="A17">
        <f>Base_Year+4</f>
        <v>2030</v>
      </c>
      <c r="B17" s="15">
        <f ca="1">S1_Value*INDEX(Timeline_LearningMult,6)</f>
        <v>121654.325290801</v>
      </c>
      <c r="C17" s="15">
        <f ca="1">S2_Value*INDEX(Timeline_LearningMult,6)</f>
        <v>138978.10651837612</v>
      </c>
      <c r="D17" s="15">
        <f ca="1">S3_Value*INDEX(Timeline_LearningMult,6)</f>
        <v>148154.99356564623</v>
      </c>
      <c r="E17" s="15">
        <f ca="1">S4_Value*INDEX(Timeline_LearningMult,6)</f>
        <v>46256.884169929355</v>
      </c>
      <c r="F17" s="15">
        <f ca="1">SUM(B17:E17)</f>
        <v>455044.30954475276</v>
      </c>
      <c r="G17" s="15">
        <f>Testing_Cost</f>
        <v>10000</v>
      </c>
      <c r="H17" s="15">
        <f ca="1">F17-G17</f>
        <v>445044.30954475276</v>
      </c>
      <c r="I17">
        <f>INDEX(Timeline_DiscountFactor,6)</f>
        <v>0.79103115155409931</v>
      </c>
      <c r="J17" s="15">
        <f ca="1">H17*I17</f>
        <v>352043.91267178481</v>
      </c>
    </row>
    <row r="20" spans="1:10" ht="19" x14ac:dyDescent="0.25">
      <c r="A20" s="4" t="s">
        <v>523</v>
      </c>
    </row>
    <row r="21" spans="1:10" x14ac:dyDescent="0.2">
      <c r="A21" t="s">
        <v>524</v>
      </c>
      <c r="B21" s="15">
        <f ca="1">SUM(J13:J17)</f>
        <v>1616828.1144337344</v>
      </c>
    </row>
    <row r="22" spans="1:10" x14ac:dyDescent="0.2">
      <c r="A22" t="s">
        <v>525</v>
      </c>
      <c r="B22" s="15">
        <f ca="1">SUM(F13:F17)</f>
        <v>1933938.3155651994</v>
      </c>
    </row>
    <row r="23" spans="1:10" x14ac:dyDescent="0.2">
      <c r="A23" t="s">
        <v>526</v>
      </c>
      <c r="B23" s="15">
        <f ca="1">SUM(H13:H17)</f>
        <v>1883938.3155651994</v>
      </c>
    </row>
  </sheetData>
  <mergeCells count="7">
    <mergeCell ref="B7:J7"/>
    <mergeCell ref="B11:J11"/>
    <mergeCell ref="B10:J10"/>
    <mergeCell ref="A3:J3"/>
    <mergeCell ref="B9:J9"/>
    <mergeCell ref="A4:J4"/>
    <mergeCell ref="B8:J8"/>
  </mergeCell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472C4"/>
  </sheetPr>
  <dimension ref="A1:D17"/>
  <sheetViews>
    <sheetView workbookViewId="0"/>
  </sheetViews>
  <sheetFormatPr baseColWidth="10" defaultColWidth="8.83203125" defaultRowHeight="15" x14ac:dyDescent="0.2"/>
  <cols>
    <col min="1" max="1" width="12" customWidth="1"/>
    <col min="2" max="4" width="16" customWidth="1"/>
  </cols>
  <sheetData>
    <row r="1" spans="1:4" ht="21" x14ac:dyDescent="0.25">
      <c r="A1" s="5" t="s">
        <v>527</v>
      </c>
    </row>
    <row r="3" spans="1:4" x14ac:dyDescent="0.2">
      <c r="A3" s="32" t="s">
        <v>528</v>
      </c>
      <c r="B3" s="30"/>
      <c r="C3" s="30"/>
      <c r="D3" s="31"/>
    </row>
    <row r="4" spans="1:4" ht="312" customHeight="1" x14ac:dyDescent="0.2">
      <c r="A4" s="29" t="s">
        <v>529</v>
      </c>
      <c r="B4" s="30"/>
      <c r="C4" s="30"/>
      <c r="D4" s="31"/>
    </row>
    <row r="6" spans="1:4" x14ac:dyDescent="0.2">
      <c r="A6" s="6" t="s">
        <v>530</v>
      </c>
    </row>
    <row r="7" spans="1:4" ht="31.25" customHeight="1" x14ac:dyDescent="0.2">
      <c r="A7" s="7" t="s">
        <v>46</v>
      </c>
      <c r="B7" s="27" t="s">
        <v>531</v>
      </c>
      <c r="C7" s="28"/>
      <c r="D7" s="28"/>
    </row>
    <row r="8" spans="1:4" ht="31.25" customHeight="1" x14ac:dyDescent="0.2">
      <c r="A8" s="7" t="s">
        <v>48</v>
      </c>
      <c r="B8" s="27" t="s">
        <v>532</v>
      </c>
      <c r="C8" s="28"/>
      <c r="D8" s="28"/>
    </row>
    <row r="9" spans="1:4" ht="62.5" customHeight="1" x14ac:dyDescent="0.2">
      <c r="A9" s="7" t="s">
        <v>50</v>
      </c>
      <c r="B9" s="27" t="s">
        <v>533</v>
      </c>
      <c r="C9" s="28"/>
      <c r="D9" s="28"/>
    </row>
    <row r="10" spans="1:4" ht="15.5" customHeight="1" x14ac:dyDescent="0.2">
      <c r="A10" s="7" t="s">
        <v>52</v>
      </c>
      <c r="B10" s="27" t="s">
        <v>534</v>
      </c>
      <c r="C10" s="28"/>
      <c r="D10" s="28"/>
    </row>
    <row r="11" spans="1:4" ht="15.5" customHeight="1" x14ac:dyDescent="0.2">
      <c r="A11" s="7" t="s">
        <v>54</v>
      </c>
      <c r="B11" s="27" t="s">
        <v>535</v>
      </c>
      <c r="C11" s="28"/>
      <c r="D11" s="28"/>
    </row>
    <row r="12" spans="1:4" x14ac:dyDescent="0.2">
      <c r="A12" s="8" t="s">
        <v>250</v>
      </c>
      <c r="B12" s="8" t="s">
        <v>536</v>
      </c>
      <c r="C12" s="8" t="s">
        <v>537</v>
      </c>
      <c r="D12" s="8" t="s">
        <v>538</v>
      </c>
    </row>
    <row r="13" spans="1:4" x14ac:dyDescent="0.2">
      <c r="A13">
        <f>Base_Year+0</f>
        <v>2026</v>
      </c>
      <c r="B13" s="15">
        <f ca="1">INDEX(tbl_Annual[Net_Annual],1)</f>
        <v>217522.15477237638</v>
      </c>
      <c r="C13" s="15">
        <f ca="1">B13</f>
        <v>217522.15477237638</v>
      </c>
      <c r="D13" s="15">
        <f ca="1">INDEX(tbl_Annual[Discounted],1)</f>
        <v>207559.30798890875</v>
      </c>
    </row>
    <row r="14" spans="1:4" x14ac:dyDescent="0.2">
      <c r="A14">
        <f>Base_Year+1</f>
        <v>2027</v>
      </c>
      <c r="B14" s="15">
        <f ca="1">INDEX(tbl_Annual[Net_Annual],2)</f>
        <v>331283.2321585645</v>
      </c>
      <c r="C14" s="15">
        <f ca="1">C13+B14</f>
        <v>548805.38693094091</v>
      </c>
      <c r="D14" s="15">
        <f ca="1">D13+INDEX(tbl_Annual[Discounted],2)</f>
        <v>509190.94381884695</v>
      </c>
    </row>
    <row r="15" spans="1:4" x14ac:dyDescent="0.2">
      <c r="A15">
        <f>Base_Year+2</f>
        <v>2028</v>
      </c>
      <c r="B15" s="15">
        <f ca="1">INDEX(tbl_Annual[Net_Annual],3)</f>
        <v>445044.30954475276</v>
      </c>
      <c r="C15" s="15">
        <f ca="1">C14+B15</f>
        <v>993849.69647569372</v>
      </c>
      <c r="D15" s="15">
        <f ca="1">D14+INDEX(tbl_Annual[Discounted],3)</f>
        <v>895842.18128191901</v>
      </c>
    </row>
    <row r="16" spans="1:4" x14ac:dyDescent="0.2">
      <c r="A16">
        <f>Base_Year+3</f>
        <v>2029</v>
      </c>
      <c r="B16" s="15">
        <f ca="1">INDEX(tbl_Annual[Net_Annual],4)</f>
        <v>445044.30954475276</v>
      </c>
      <c r="C16" s="15">
        <f ca="1">C15+B16</f>
        <v>1438894.0060204465</v>
      </c>
      <c r="D16" s="15">
        <f ca="1">D15+INDEX(tbl_Annual[Discounted],4)</f>
        <v>1264784.2017619496</v>
      </c>
    </row>
    <row r="17" spans="1:4" x14ac:dyDescent="0.2">
      <c r="A17">
        <f>Base_Year+4</f>
        <v>2030</v>
      </c>
      <c r="B17" s="15">
        <f ca="1">INDEX(tbl_Annual[Net_Annual],5)</f>
        <v>445044.30954475276</v>
      </c>
      <c r="C17" s="15">
        <f ca="1">C16+B17</f>
        <v>1883938.3155651994</v>
      </c>
      <c r="D17" s="15">
        <f ca="1">D16+INDEX(tbl_Annual[Discounted],5)</f>
        <v>1616828.1144337344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D26"/>
  <sheetViews>
    <sheetView workbookViewId="0"/>
  </sheetViews>
  <sheetFormatPr baseColWidth="10" defaultColWidth="8.83203125" defaultRowHeight="15" x14ac:dyDescent="0.2"/>
  <cols>
    <col min="1" max="1" width="28" customWidth="1"/>
    <col min="2" max="2" width="18" customWidth="1"/>
    <col min="3" max="3" width="10" customWidth="1"/>
    <col min="4" max="4" width="25" customWidth="1"/>
  </cols>
  <sheetData>
    <row r="1" spans="1:4" ht="21" x14ac:dyDescent="0.25">
      <c r="A1" s="5" t="s">
        <v>539</v>
      </c>
    </row>
    <row r="3" spans="1:4" x14ac:dyDescent="0.2">
      <c r="A3" s="32" t="s">
        <v>540</v>
      </c>
      <c r="B3" s="30"/>
      <c r="C3" s="30"/>
      <c r="D3" s="31"/>
    </row>
    <row r="4" spans="1:4" ht="327.5" customHeight="1" x14ac:dyDescent="0.2">
      <c r="A4" s="29" t="s">
        <v>541</v>
      </c>
      <c r="B4" s="30"/>
      <c r="C4" s="30"/>
      <c r="D4" s="31"/>
    </row>
    <row r="6" spans="1:4" x14ac:dyDescent="0.2">
      <c r="A6" s="6" t="s">
        <v>539</v>
      </c>
    </row>
    <row r="7" spans="1:4" ht="31.25" customHeight="1" x14ac:dyDescent="0.2">
      <c r="A7" s="7" t="s">
        <v>46</v>
      </c>
      <c r="B7" s="27" t="s">
        <v>542</v>
      </c>
      <c r="C7" s="28"/>
      <c r="D7" s="28"/>
    </row>
    <row r="8" spans="1:4" ht="31.25" customHeight="1" x14ac:dyDescent="0.2">
      <c r="A8" s="7" t="s">
        <v>48</v>
      </c>
      <c r="B8" s="27" t="s">
        <v>543</v>
      </c>
      <c r="C8" s="28"/>
      <c r="D8" s="28"/>
    </row>
    <row r="9" spans="1:4" ht="78" customHeight="1" x14ac:dyDescent="0.2">
      <c r="A9" s="7" t="s">
        <v>50</v>
      </c>
      <c r="B9" s="27" t="s">
        <v>544</v>
      </c>
      <c r="C9" s="28"/>
      <c r="D9" s="28"/>
    </row>
    <row r="10" spans="1:4" ht="31.25" customHeight="1" x14ac:dyDescent="0.2">
      <c r="A10" s="7" t="s">
        <v>52</v>
      </c>
      <c r="B10" s="27" t="s">
        <v>545</v>
      </c>
      <c r="C10" s="28"/>
      <c r="D10" s="28"/>
    </row>
    <row r="11" spans="1:4" ht="15.5" customHeight="1" x14ac:dyDescent="0.2">
      <c r="A11" s="7" t="s">
        <v>54</v>
      </c>
      <c r="B11" s="27" t="s">
        <v>546</v>
      </c>
      <c r="C11" s="28"/>
      <c r="D11" s="28"/>
    </row>
    <row r="12" spans="1:4" x14ac:dyDescent="0.2">
      <c r="A12" s="8" t="s">
        <v>416</v>
      </c>
      <c r="B12" s="8" t="s">
        <v>57</v>
      </c>
      <c r="C12" s="8" t="s">
        <v>182</v>
      </c>
      <c r="D12" s="8" t="s">
        <v>417</v>
      </c>
    </row>
    <row r="13" spans="1:4" x14ac:dyDescent="0.2">
      <c r="A13" t="s">
        <v>547</v>
      </c>
      <c r="B13">
        <f>Annual_Throughput</f>
        <v>50000</v>
      </c>
      <c r="C13" t="s">
        <v>228</v>
      </c>
      <c r="D13" t="s">
        <v>548</v>
      </c>
    </row>
    <row r="14" spans="1:4" x14ac:dyDescent="0.2">
      <c r="A14" t="s">
        <v>549</v>
      </c>
      <c r="B14" s="24">
        <f ca="1">Gross_Value</f>
        <v>455044.30954475276</v>
      </c>
      <c r="C14" t="s">
        <v>242</v>
      </c>
      <c r="D14" t="s">
        <v>550</v>
      </c>
    </row>
    <row r="15" spans="1:4" x14ac:dyDescent="0.2">
      <c r="A15" t="s">
        <v>551</v>
      </c>
      <c r="B15" s="24">
        <f>Testing_Cost</f>
        <v>10000</v>
      </c>
      <c r="C15" t="s">
        <v>242</v>
      </c>
      <c r="D15" t="s">
        <v>552</v>
      </c>
    </row>
    <row r="16" spans="1:4" x14ac:dyDescent="0.2">
      <c r="A16" t="s">
        <v>553</v>
      </c>
      <c r="B16" s="24">
        <f ca="1">Gross_Value-Testing_Cost</f>
        <v>445044.30954475276</v>
      </c>
      <c r="C16" t="s">
        <v>242</v>
      </c>
      <c r="D16" t="s">
        <v>554</v>
      </c>
    </row>
    <row r="17" spans="1:4" x14ac:dyDescent="0.2">
      <c r="A17" t="s">
        <v>555</v>
      </c>
      <c r="B17" s="24">
        <f ca="1">Gross_Value/Annual_Throughput</f>
        <v>9.1008861908950553</v>
      </c>
      <c r="C17" t="s">
        <v>231</v>
      </c>
      <c r="D17" t="s">
        <v>556</v>
      </c>
    </row>
    <row r="18" spans="1:4" x14ac:dyDescent="0.2">
      <c r="A18" t="s">
        <v>557</v>
      </c>
      <c r="B18" s="24">
        <f ca="1">(Gross_Value-Testing_Cost)/Annual_Throughput</f>
        <v>8.9008861908950561</v>
      </c>
      <c r="C18" t="s">
        <v>231</v>
      </c>
      <c r="D18" t="s">
        <v>558</v>
      </c>
    </row>
    <row r="19" spans="1:4" x14ac:dyDescent="0.2">
      <c r="A19" t="s">
        <v>559</v>
      </c>
      <c r="B19" s="24">
        <f>Testing_Cost/Annual_Throughput</f>
        <v>0.2</v>
      </c>
      <c r="C19" t="s">
        <v>231</v>
      </c>
      <c r="D19" t="s">
        <v>560</v>
      </c>
    </row>
    <row r="20" spans="1:4" x14ac:dyDescent="0.2">
      <c r="A20" t="s">
        <v>561</v>
      </c>
      <c r="B20" s="24">
        <f ca="1">NPV_Total/(Annual_Throughput*5)</f>
        <v>6.4673124577349377</v>
      </c>
      <c r="C20" t="s">
        <v>231</v>
      </c>
      <c r="D20" t="s">
        <v>562</v>
      </c>
    </row>
    <row r="23" spans="1:4" ht="19" x14ac:dyDescent="0.25">
      <c r="A23" s="4" t="s">
        <v>563</v>
      </c>
    </row>
    <row r="24" spans="1:4" x14ac:dyDescent="0.2">
      <c r="A24" t="s">
        <v>564</v>
      </c>
      <c r="B24" s="15">
        <f>INDEX(TestOpt_Cost,MATCH(Testing_Option,TestOpt_Option,0))</f>
        <v>10</v>
      </c>
    </row>
    <row r="25" spans="1:4" x14ac:dyDescent="0.2">
      <c r="A25" t="s">
        <v>565</v>
      </c>
      <c r="B25">
        <f>Testing_Cost/INDEX(TestOpt_Cost,MATCH(Testing_Option,TestOpt_Option,0))</f>
        <v>1000</v>
      </c>
    </row>
    <row r="26" spans="1:4" x14ac:dyDescent="0.2">
      <c r="A26" t="s">
        <v>566</v>
      </c>
      <c r="B26" s="24">
        <f ca="1">(Gross_Value-Testing_Cost)/(Testing_Cost/INDEX(TestOpt_Cost,MATCH(Testing_Option,TestOpt_Option,0)))</f>
        <v>445.04430954475276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472C4"/>
  </sheetPr>
  <dimension ref="A1:G27"/>
  <sheetViews>
    <sheetView workbookViewId="0"/>
  </sheetViews>
  <sheetFormatPr baseColWidth="10" defaultColWidth="8.83203125" defaultRowHeight="15" x14ac:dyDescent="0.2"/>
  <cols>
    <col min="1" max="1" width="18" customWidth="1"/>
    <col min="2" max="4" width="12" customWidth="1"/>
    <col min="5" max="7" width="15" customWidth="1"/>
  </cols>
  <sheetData>
    <row r="1" spans="1:7" ht="21" x14ac:dyDescent="0.25">
      <c r="A1" s="5" t="s">
        <v>567</v>
      </c>
    </row>
    <row r="3" spans="1:7" x14ac:dyDescent="0.2">
      <c r="A3" s="32" t="s">
        <v>568</v>
      </c>
      <c r="B3" s="30"/>
      <c r="C3" s="30"/>
      <c r="D3" s="30"/>
      <c r="E3" s="30"/>
      <c r="F3" s="30"/>
      <c r="G3" s="31"/>
    </row>
    <row r="4" spans="1:7" ht="374.5" customHeight="1" x14ac:dyDescent="0.2">
      <c r="A4" s="29" t="s">
        <v>569</v>
      </c>
      <c r="B4" s="30"/>
      <c r="C4" s="30"/>
      <c r="D4" s="30"/>
      <c r="E4" s="30"/>
      <c r="F4" s="30"/>
      <c r="G4" s="31"/>
    </row>
    <row r="6" spans="1:7" x14ac:dyDescent="0.2">
      <c r="A6" s="6" t="s">
        <v>567</v>
      </c>
    </row>
    <row r="7" spans="1:7" ht="31.25" customHeight="1" x14ac:dyDescent="0.2">
      <c r="A7" s="7" t="s">
        <v>46</v>
      </c>
      <c r="B7" s="27" t="s">
        <v>570</v>
      </c>
      <c r="C7" s="28"/>
      <c r="D7" s="28"/>
      <c r="E7" s="28"/>
      <c r="F7" s="28"/>
      <c r="G7" s="28"/>
    </row>
    <row r="8" spans="1:7" ht="15.5" customHeight="1" x14ac:dyDescent="0.2">
      <c r="A8" s="7" t="s">
        <v>48</v>
      </c>
      <c r="B8" s="27" t="s">
        <v>571</v>
      </c>
      <c r="C8" s="28"/>
      <c r="D8" s="28"/>
      <c r="E8" s="28"/>
      <c r="F8" s="28"/>
      <c r="G8" s="28"/>
    </row>
    <row r="9" spans="1:7" ht="46.75" customHeight="1" x14ac:dyDescent="0.2">
      <c r="A9" s="7" t="s">
        <v>50</v>
      </c>
      <c r="B9" s="27" t="s">
        <v>572</v>
      </c>
      <c r="C9" s="28"/>
      <c r="D9" s="28"/>
      <c r="E9" s="28"/>
      <c r="F9" s="28"/>
      <c r="G9" s="28"/>
    </row>
    <row r="10" spans="1:7" ht="15.5" customHeight="1" x14ac:dyDescent="0.2">
      <c r="A10" s="7" t="s">
        <v>52</v>
      </c>
      <c r="B10" s="27" t="s">
        <v>573</v>
      </c>
      <c r="C10" s="28"/>
      <c r="D10" s="28"/>
      <c r="E10" s="28"/>
      <c r="F10" s="28"/>
      <c r="G10" s="28"/>
    </row>
    <row r="11" spans="1:7" ht="15.5" customHeight="1" x14ac:dyDescent="0.2">
      <c r="A11" s="7" t="s">
        <v>54</v>
      </c>
      <c r="B11" s="27" t="s">
        <v>574</v>
      </c>
      <c r="C11" s="28"/>
      <c r="D11" s="28"/>
      <c r="E11" s="28"/>
      <c r="F11" s="28"/>
      <c r="G11" s="28"/>
    </row>
    <row r="12" spans="1:7" x14ac:dyDescent="0.2">
      <c r="A12" s="8" t="s">
        <v>56</v>
      </c>
      <c r="B12" s="8" t="s">
        <v>393</v>
      </c>
      <c r="C12" s="8" t="s">
        <v>65</v>
      </c>
      <c r="D12" s="8" t="s">
        <v>394</v>
      </c>
      <c r="E12" s="8" t="s">
        <v>575</v>
      </c>
      <c r="F12" s="8" t="s">
        <v>576</v>
      </c>
      <c r="G12" s="8" t="s">
        <v>577</v>
      </c>
    </row>
    <row r="13" spans="1:7" x14ac:dyDescent="0.2">
      <c r="A13" t="s">
        <v>578</v>
      </c>
      <c r="B13">
        <v>3</v>
      </c>
      <c r="C13">
        <v>5</v>
      </c>
      <c r="D13">
        <v>10</v>
      </c>
      <c r="E13" s="15">
        <f ca="1">NPV_Total*(B13/C13)</f>
        <v>970096.86866024067</v>
      </c>
      <c r="F13" s="15">
        <f ca="1">NPV_Total*(D13/C13)</f>
        <v>3233656.2288674689</v>
      </c>
      <c r="G13" s="15">
        <f ca="1">ABS(F13-E13)</f>
        <v>2263559.360207228</v>
      </c>
    </row>
    <row r="14" spans="1:7" x14ac:dyDescent="0.2">
      <c r="A14" t="s">
        <v>67</v>
      </c>
      <c r="B14">
        <v>0.04</v>
      </c>
      <c r="C14">
        <v>4.8000000000000001E-2</v>
      </c>
      <c r="D14">
        <v>0.06</v>
      </c>
      <c r="E14" s="15">
        <f ca="1">NPV_Total*((1+C14)/(1+B14))^2.5</f>
        <v>1648100.5743617252</v>
      </c>
      <c r="F14" s="15">
        <f ca="1">NPV_Total*((1+C14)/(1+D14))^2.5</f>
        <v>1571456.6163162617</v>
      </c>
      <c r="G14" s="15">
        <f ca="1">ABS(F14-E14)</f>
        <v>76643.958045463543</v>
      </c>
    </row>
    <row r="15" spans="1:7" x14ac:dyDescent="0.2">
      <c r="A15" t="s">
        <v>579</v>
      </c>
      <c r="B15">
        <v>80</v>
      </c>
      <c r="C15">
        <v>100</v>
      </c>
      <c r="D15">
        <v>120</v>
      </c>
      <c r="E15" s="15">
        <f ca="1">NPV_Total*(B15/C15)</f>
        <v>1293462.4915469876</v>
      </c>
      <c r="F15" s="15">
        <f ca="1">NPV_Total*(D15/C15)</f>
        <v>1940193.7373204813</v>
      </c>
      <c r="G15" s="15">
        <f ca="1">ABS(F15-E15)</f>
        <v>646731.24577349378</v>
      </c>
    </row>
    <row r="16" spans="1:7" x14ac:dyDescent="0.2">
      <c r="A16" t="s">
        <v>580</v>
      </c>
      <c r="B16">
        <v>0.5</v>
      </c>
      <c r="C16">
        <v>1</v>
      </c>
      <c r="D16">
        <v>2</v>
      </c>
      <c r="E16" s="15">
        <f ca="1">NPV_Total*(B16/C16)</f>
        <v>808414.05721686722</v>
      </c>
      <c r="F16" s="15">
        <f ca="1">NPV_Total*(D16/C16)</f>
        <v>3233656.2288674689</v>
      </c>
      <c r="G16" s="15">
        <f ca="1">ABS(F16-E16)</f>
        <v>2425242.1716506016</v>
      </c>
    </row>
    <row r="19" spans="1:1" ht="19" x14ac:dyDescent="0.25">
      <c r="A19" s="4" t="s">
        <v>581</v>
      </c>
    </row>
    <row r="20" spans="1:1" x14ac:dyDescent="0.2">
      <c r="A20" t="s">
        <v>582</v>
      </c>
    </row>
    <row r="21" spans="1:1" x14ac:dyDescent="0.2">
      <c r="A21" t="s">
        <v>583</v>
      </c>
    </row>
    <row r="22" spans="1:1" x14ac:dyDescent="0.2">
      <c r="A22" t="s">
        <v>584</v>
      </c>
    </row>
    <row r="24" spans="1:1" ht="19" x14ac:dyDescent="0.25">
      <c r="A24" s="4" t="s">
        <v>585</v>
      </c>
    </row>
    <row r="25" spans="1:1" x14ac:dyDescent="0.2">
      <c r="A25" t="s">
        <v>586</v>
      </c>
    </row>
    <row r="26" spans="1:1" x14ac:dyDescent="0.2">
      <c r="A26" t="s">
        <v>587</v>
      </c>
    </row>
    <row r="27" spans="1:1" x14ac:dyDescent="0.2">
      <c r="A27" t="s">
        <v>588</v>
      </c>
    </row>
  </sheetData>
  <mergeCells count="7">
    <mergeCell ref="B11:G11"/>
    <mergeCell ref="B10:G10"/>
    <mergeCell ref="A3:G3"/>
    <mergeCell ref="B9:G9"/>
    <mergeCell ref="A4:G4"/>
    <mergeCell ref="B8:G8"/>
    <mergeCell ref="B7:G7"/>
  </mergeCells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D67"/>
  <sheetViews>
    <sheetView workbookViewId="0"/>
  </sheetViews>
  <sheetFormatPr baseColWidth="10" defaultColWidth="8.83203125" defaultRowHeight="15" x14ac:dyDescent="0.2"/>
  <cols>
    <col min="1" max="1" width="30" customWidth="1"/>
    <col min="2" max="2" width="18" customWidth="1"/>
    <col min="3" max="3" width="16" customWidth="1"/>
    <col min="4" max="4" width="18" customWidth="1"/>
  </cols>
  <sheetData>
    <row r="1" spans="1:4" ht="21" x14ac:dyDescent="0.25">
      <c r="A1" s="5" t="s">
        <v>589</v>
      </c>
    </row>
    <row r="3" spans="1:4" x14ac:dyDescent="0.2">
      <c r="A3" s="32" t="s">
        <v>590</v>
      </c>
      <c r="B3" s="30"/>
      <c r="C3" s="30"/>
      <c r="D3" s="31"/>
    </row>
    <row r="4" spans="1:4" ht="280.75" customHeight="1" x14ac:dyDescent="0.2">
      <c r="A4" s="29" t="s">
        <v>591</v>
      </c>
      <c r="B4" s="30"/>
      <c r="C4" s="30"/>
      <c r="D4" s="31"/>
    </row>
    <row r="6" spans="1:4" x14ac:dyDescent="0.2">
      <c r="A6" s="6" t="s">
        <v>592</v>
      </c>
    </row>
    <row r="7" spans="1:4" ht="31.25" customHeight="1" x14ac:dyDescent="0.2">
      <c r="A7" s="7" t="s">
        <v>46</v>
      </c>
      <c r="B7" s="27" t="s">
        <v>593</v>
      </c>
      <c r="C7" s="28"/>
      <c r="D7" s="28"/>
    </row>
    <row r="8" spans="1:4" ht="31.25" customHeight="1" x14ac:dyDescent="0.2">
      <c r="A8" s="7" t="s">
        <v>48</v>
      </c>
      <c r="B8" s="27" t="s">
        <v>594</v>
      </c>
      <c r="C8" s="28"/>
      <c r="D8" s="28"/>
    </row>
    <row r="9" spans="1:4" ht="124.75" customHeight="1" x14ac:dyDescent="0.2">
      <c r="A9" s="7" t="s">
        <v>50</v>
      </c>
      <c r="B9" s="27" t="s">
        <v>595</v>
      </c>
      <c r="C9" s="28"/>
      <c r="D9" s="28"/>
    </row>
    <row r="10" spans="1:4" ht="31.25" customHeight="1" x14ac:dyDescent="0.2">
      <c r="A10" s="7" t="s">
        <v>52</v>
      </c>
      <c r="B10" s="27" t="s">
        <v>596</v>
      </c>
      <c r="C10" s="28"/>
      <c r="D10" s="28"/>
    </row>
    <row r="11" spans="1:4" ht="15.5" customHeight="1" x14ac:dyDescent="0.2">
      <c r="A11" s="7" t="s">
        <v>54</v>
      </c>
      <c r="B11" s="27" t="s">
        <v>597</v>
      </c>
      <c r="C11" s="28"/>
      <c r="D11" s="28"/>
    </row>
    <row r="12" spans="1:4" x14ac:dyDescent="0.2">
      <c r="A12" s="8" t="s">
        <v>416</v>
      </c>
      <c r="B12" s="8" t="s">
        <v>57</v>
      </c>
    </row>
    <row r="13" spans="1:4" x14ac:dyDescent="0.2">
      <c r="A13" t="s">
        <v>598</v>
      </c>
      <c r="B13" t="str">
        <f>Testing_Option</f>
        <v>Daily_Biosensor</v>
      </c>
    </row>
    <row r="14" spans="1:4" x14ac:dyDescent="0.2">
      <c r="A14" t="s">
        <v>599</v>
      </c>
      <c r="B14" s="15">
        <f ca="1">NPV_Total</f>
        <v>1616828.1144337344</v>
      </c>
    </row>
    <row r="15" spans="1:4" x14ac:dyDescent="0.2">
      <c r="A15" t="s">
        <v>600</v>
      </c>
      <c r="B15" s="15">
        <f>MC_P10</f>
        <v>940336.38768291741</v>
      </c>
    </row>
    <row r="16" spans="1:4" x14ac:dyDescent="0.2">
      <c r="A16" t="s">
        <v>601</v>
      </c>
      <c r="B16" s="15">
        <f>MC_P50</f>
        <v>1287229.8204994609</v>
      </c>
    </row>
    <row r="17" spans="1:4" x14ac:dyDescent="0.2">
      <c r="A17" t="s">
        <v>602</v>
      </c>
      <c r="B17" s="15">
        <f>MC_P90</f>
        <v>1623023.8120470289</v>
      </c>
    </row>
    <row r="18" spans="1:4" x14ac:dyDescent="0.2">
      <c r="A18" t="s">
        <v>603</v>
      </c>
      <c r="B18" s="22">
        <f>MC_Prob_Positive</f>
        <v>1</v>
      </c>
    </row>
    <row r="19" spans="1:4" x14ac:dyDescent="0.2">
      <c r="A19" t="s">
        <v>604</v>
      </c>
      <c r="B19" s="15">
        <f>Testing_Cost</f>
        <v>10000</v>
      </c>
    </row>
    <row r="20" spans="1:4" x14ac:dyDescent="0.2">
      <c r="A20" t="s">
        <v>605</v>
      </c>
      <c r="B20" s="15">
        <f ca="1">Year1_Gross_Value</f>
        <v>227522.15477237638</v>
      </c>
    </row>
    <row r="21" spans="1:4" x14ac:dyDescent="0.2">
      <c r="A21" t="s">
        <v>606</v>
      </c>
      <c r="B21" s="15">
        <f ca="1">Year1_Net_Value</f>
        <v>217522.15477237638</v>
      </c>
    </row>
    <row r="23" spans="1:4" x14ac:dyDescent="0.2">
      <c r="A23" s="6" t="s">
        <v>607</v>
      </c>
    </row>
    <row r="24" spans="1:4" ht="31.25" customHeight="1" x14ac:dyDescent="0.2">
      <c r="A24" s="7" t="s">
        <v>46</v>
      </c>
      <c r="B24" s="27" t="s">
        <v>608</v>
      </c>
      <c r="C24" s="28"/>
      <c r="D24" s="28"/>
    </row>
    <row r="25" spans="1:4" ht="31.25" customHeight="1" x14ac:dyDescent="0.2">
      <c r="A25" s="7" t="s">
        <v>48</v>
      </c>
      <c r="B25" s="27" t="s">
        <v>609</v>
      </c>
      <c r="C25" s="28"/>
      <c r="D25" s="28"/>
    </row>
    <row r="26" spans="1:4" ht="124.75" customHeight="1" x14ac:dyDescent="0.2">
      <c r="A26" s="7" t="s">
        <v>50</v>
      </c>
      <c r="B26" s="27" t="s">
        <v>610</v>
      </c>
      <c r="C26" s="28"/>
      <c r="D26" s="28"/>
    </row>
    <row r="27" spans="1:4" ht="31.25" customHeight="1" x14ac:dyDescent="0.2">
      <c r="A27" s="7" t="s">
        <v>52</v>
      </c>
      <c r="B27" s="27" t="s">
        <v>611</v>
      </c>
      <c r="C27" s="28"/>
      <c r="D27" s="28"/>
    </row>
    <row r="28" spans="1:4" ht="15.5" customHeight="1" x14ac:dyDescent="0.2">
      <c r="A28" s="7" t="s">
        <v>54</v>
      </c>
      <c r="B28" s="27" t="s">
        <v>612</v>
      </c>
      <c r="C28" s="28"/>
      <c r="D28" s="28"/>
    </row>
    <row r="29" spans="1:4" x14ac:dyDescent="0.2">
      <c r="A29" s="8" t="s">
        <v>93</v>
      </c>
      <c r="B29" s="8" t="s">
        <v>457</v>
      </c>
      <c r="C29" s="8" t="s">
        <v>613</v>
      </c>
    </row>
    <row r="30" spans="1:4" x14ac:dyDescent="0.2">
      <c r="A30" t="s">
        <v>97</v>
      </c>
      <c r="B30" s="15">
        <f ca="1">S1_Value</f>
        <v>121654.325290801</v>
      </c>
      <c r="C30" t="str">
        <f>INDEX(Gate_S1,MATCH(Testing_Option,TestOpt_Option,0))</f>
        <v>ENABLED</v>
      </c>
    </row>
    <row r="31" spans="1:4" x14ac:dyDescent="0.2">
      <c r="A31" t="s">
        <v>101</v>
      </c>
      <c r="B31" s="15">
        <f ca="1">S2_Value</f>
        <v>138978.10651837612</v>
      </c>
      <c r="C31" t="str">
        <f>INDEX(Gate_S2,MATCH(Testing_Option,TestOpt_Option,0))</f>
        <v>ENABLED</v>
      </c>
    </row>
    <row r="32" spans="1:4" x14ac:dyDescent="0.2">
      <c r="A32" t="s">
        <v>102</v>
      </c>
      <c r="B32" s="15">
        <f ca="1">S3_Value</f>
        <v>148154.99356564623</v>
      </c>
      <c r="C32" t="str">
        <f>INDEX(Gate_S3,MATCH(Testing_Option,TestOpt_Option,0))</f>
        <v>ENABLED</v>
      </c>
    </row>
    <row r="33" spans="1:4" x14ac:dyDescent="0.2">
      <c r="A33" t="s">
        <v>104</v>
      </c>
      <c r="B33" s="15">
        <f ca="1">S4_Value</f>
        <v>46256.884169929355</v>
      </c>
      <c r="C33" t="str">
        <f>INDEX(Gate_S4,MATCH(Testing_Option,TestOpt_Option,0))</f>
        <v>ENABLED</v>
      </c>
    </row>
    <row r="35" spans="1:4" x14ac:dyDescent="0.2">
      <c r="A35" s="6" t="s">
        <v>414</v>
      </c>
    </row>
    <row r="36" spans="1:4" ht="31.25" customHeight="1" x14ac:dyDescent="0.2">
      <c r="A36" s="7" t="s">
        <v>46</v>
      </c>
      <c r="B36" s="27" t="s">
        <v>614</v>
      </c>
      <c r="C36" s="28"/>
      <c r="D36" s="28"/>
    </row>
    <row r="37" spans="1:4" ht="31.25" customHeight="1" x14ac:dyDescent="0.2">
      <c r="A37" s="7" t="s">
        <v>48</v>
      </c>
      <c r="B37" s="27" t="s">
        <v>615</v>
      </c>
      <c r="C37" s="28"/>
      <c r="D37" s="28"/>
    </row>
    <row r="38" spans="1:4" ht="124.75" customHeight="1" x14ac:dyDescent="0.2">
      <c r="A38" s="7" t="s">
        <v>50</v>
      </c>
      <c r="B38" s="27" t="s">
        <v>616</v>
      </c>
      <c r="C38" s="28"/>
      <c r="D38" s="28"/>
    </row>
    <row r="39" spans="1:4" ht="15.5" customHeight="1" x14ac:dyDescent="0.2">
      <c r="A39" s="7" t="s">
        <v>52</v>
      </c>
      <c r="B39" s="27" t="s">
        <v>617</v>
      </c>
      <c r="C39" s="28"/>
      <c r="D39" s="28"/>
    </row>
    <row r="40" spans="1:4" ht="15.5" customHeight="1" x14ac:dyDescent="0.2">
      <c r="A40" s="7" t="s">
        <v>54</v>
      </c>
      <c r="B40" s="27" t="s">
        <v>618</v>
      </c>
      <c r="C40" s="28"/>
      <c r="D40" s="28"/>
    </row>
    <row r="41" spans="1:4" x14ac:dyDescent="0.2">
      <c r="A41" s="8" t="s">
        <v>416</v>
      </c>
      <c r="B41" s="8" t="s">
        <v>57</v>
      </c>
      <c r="C41" s="8" t="s">
        <v>613</v>
      </c>
    </row>
    <row r="42" spans="1:4" x14ac:dyDescent="0.2">
      <c r="A42" t="s">
        <v>619</v>
      </c>
      <c r="B42" s="25">
        <f>Initial_NAFC</f>
        <v>63.1</v>
      </c>
      <c r="C42" t="str">
        <f>IF(Initial_NAFC&gt;Target_NAFC,"Above Target","At/Below Target")</f>
        <v>Above Target</v>
      </c>
    </row>
    <row r="43" spans="1:4" x14ac:dyDescent="0.2">
      <c r="A43" t="s">
        <v>620</v>
      </c>
      <c r="B43" s="25">
        <f>Target_NAFC</f>
        <v>50</v>
      </c>
      <c r="C43" t="s">
        <v>621</v>
      </c>
    </row>
    <row r="44" spans="1:4" x14ac:dyDescent="0.2">
      <c r="A44" t="s">
        <v>622</v>
      </c>
      <c r="B44" s="26">
        <f ca="1">Days_to_Compliance</f>
        <v>27.97346590171496</v>
      </c>
      <c r="C44" t="str">
        <f ca="1">Compliance_Status</f>
        <v>ACHIEVABLE</v>
      </c>
    </row>
    <row r="45" spans="1:4" x14ac:dyDescent="0.2">
      <c r="A45" t="s">
        <v>623</v>
      </c>
      <c r="B45" s="21">
        <f ca="1">Circulation_Cycles</f>
        <v>2</v>
      </c>
      <c r="C45" t="str">
        <f ca="1">IF(Circulation_Cycles&lt;=3,"Standard","Extended")</f>
        <v>Standard</v>
      </c>
    </row>
    <row r="46" spans="1:4" x14ac:dyDescent="0.2">
      <c r="A46" t="s">
        <v>624</v>
      </c>
      <c r="B46" s="22">
        <f>Treatment_Efficiency</f>
        <v>0.2076069730586371</v>
      </c>
      <c r="C46" t="str">
        <f>IF(Treatment_Efficiency&gt;0.2,"Good","Low")</f>
        <v>Good</v>
      </c>
    </row>
    <row r="47" spans="1:4" x14ac:dyDescent="0.2">
      <c r="A47" t="s">
        <v>625</v>
      </c>
      <c r="B47" s="26">
        <f>MC_Expected_Days</f>
        <v>36.759617296200609</v>
      </c>
      <c r="C47" t="str">
        <f>IF(MC_Expected_Days&lt;=Season_Length,"Achievable","Risk")</f>
        <v>Achievable</v>
      </c>
    </row>
    <row r="48" spans="1:4" x14ac:dyDescent="0.2">
      <c r="A48" t="s">
        <v>626</v>
      </c>
      <c r="B48" s="26">
        <f>MC_P90_Days</f>
        <v>46.4798003624148</v>
      </c>
      <c r="C48" t="str">
        <f>IF(MC_P90_Days&lt;=Season_Length,"Low Risk","High Risk")</f>
        <v>Low Risk</v>
      </c>
    </row>
    <row r="49" spans="1:4" x14ac:dyDescent="0.2">
      <c r="A49" t="s">
        <v>627</v>
      </c>
      <c r="B49" s="22">
        <f>MC_Prob_Achievable</f>
        <v>1</v>
      </c>
      <c r="C49" t="str">
        <f>IF(MC_Prob_Achievable&gt;=0.9,"High Confidence","Review Required")</f>
        <v>High Confidence</v>
      </c>
    </row>
    <row r="51" spans="1:4" x14ac:dyDescent="0.2">
      <c r="A51" s="6" t="s">
        <v>628</v>
      </c>
    </row>
    <row r="52" spans="1:4" ht="31.25" customHeight="1" x14ac:dyDescent="0.2">
      <c r="A52" s="7" t="s">
        <v>46</v>
      </c>
      <c r="B52" s="27" t="s">
        <v>629</v>
      </c>
      <c r="C52" s="28"/>
      <c r="D52" s="28"/>
    </row>
    <row r="53" spans="1:4" ht="31.25" customHeight="1" x14ac:dyDescent="0.2">
      <c r="A53" s="7" t="s">
        <v>48</v>
      </c>
      <c r="B53" s="27" t="s">
        <v>630</v>
      </c>
      <c r="C53" s="28"/>
      <c r="D53" s="28"/>
    </row>
    <row r="54" spans="1:4" ht="78" customHeight="1" x14ac:dyDescent="0.2">
      <c r="A54" s="7" t="s">
        <v>50</v>
      </c>
      <c r="B54" s="27" t="s">
        <v>631</v>
      </c>
      <c r="C54" s="28"/>
      <c r="D54" s="28"/>
    </row>
    <row r="55" spans="1:4" ht="31.25" customHeight="1" x14ac:dyDescent="0.2">
      <c r="A55" s="7" t="s">
        <v>52</v>
      </c>
      <c r="B55" s="27" t="s">
        <v>632</v>
      </c>
      <c r="C55" s="28"/>
      <c r="D55" s="28"/>
    </row>
    <row r="56" spans="1:4" ht="15.5" customHeight="1" x14ac:dyDescent="0.2">
      <c r="A56" s="7" t="s">
        <v>54</v>
      </c>
      <c r="B56" s="27" t="s">
        <v>633</v>
      </c>
      <c r="C56" s="28"/>
      <c r="D56" s="28"/>
    </row>
    <row r="57" spans="1:4" x14ac:dyDescent="0.2">
      <c r="A57" s="8" t="s">
        <v>416</v>
      </c>
      <c r="B57" s="8" t="s">
        <v>267</v>
      </c>
      <c r="C57" s="8" t="s">
        <v>268</v>
      </c>
      <c r="D57" s="8" t="s">
        <v>61</v>
      </c>
    </row>
    <row r="58" spans="1:4" x14ac:dyDescent="0.2">
      <c r="A58" t="s">
        <v>634</v>
      </c>
      <c r="B58" t="s">
        <v>99</v>
      </c>
      <c r="C58" t="s">
        <v>99</v>
      </c>
      <c r="D58" t="s">
        <v>100</v>
      </c>
    </row>
    <row r="59" spans="1:4" x14ac:dyDescent="0.2">
      <c r="A59" t="s">
        <v>635</v>
      </c>
      <c r="B59" t="s">
        <v>99</v>
      </c>
      <c r="C59" t="s">
        <v>99</v>
      </c>
      <c r="D59" t="s">
        <v>100</v>
      </c>
    </row>
    <row r="60" spans="1:4" x14ac:dyDescent="0.2">
      <c r="A60" t="s">
        <v>636</v>
      </c>
      <c r="B60" t="s">
        <v>99</v>
      </c>
      <c r="C60" t="s">
        <v>100</v>
      </c>
      <c r="D60" t="s">
        <v>100</v>
      </c>
    </row>
    <row r="61" spans="1:4" x14ac:dyDescent="0.2">
      <c r="A61" t="s">
        <v>637</v>
      </c>
      <c r="B61" t="s">
        <v>99</v>
      </c>
      <c r="C61" t="s">
        <v>99</v>
      </c>
      <c r="D61" t="s">
        <v>100</v>
      </c>
    </row>
    <row r="62" spans="1:4" x14ac:dyDescent="0.2">
      <c r="A62" t="s">
        <v>638</v>
      </c>
      <c r="B62" t="s">
        <v>639</v>
      </c>
      <c r="C62" t="s">
        <v>640</v>
      </c>
      <c r="D62" t="s">
        <v>641</v>
      </c>
    </row>
    <row r="63" spans="1:4" x14ac:dyDescent="0.2">
      <c r="A63" t="s">
        <v>642</v>
      </c>
      <c r="B63" t="s">
        <v>643</v>
      </c>
      <c r="C63" t="s">
        <v>644</v>
      </c>
      <c r="D63" t="s">
        <v>645</v>
      </c>
    </row>
    <row r="65" spans="1:2" ht="19" x14ac:dyDescent="0.25">
      <c r="A65" s="4" t="s">
        <v>646</v>
      </c>
    </row>
    <row r="66" spans="1:2" x14ac:dyDescent="0.2">
      <c r="A66" t="s">
        <v>647</v>
      </c>
      <c r="B66" t="str">
        <f ca="1">IF(COUNTIF('17_Checks'!D:D,"FAIL")=0,"HEALTHY","REVIEW REQUIRED")</f>
        <v>HEALTHY</v>
      </c>
    </row>
    <row r="67" spans="1:2" x14ac:dyDescent="0.2">
      <c r="A67" t="s">
        <v>648</v>
      </c>
      <c r="B67">
        <f ca="1">COUNTIF('17_Checks'!D:D,"FAIL")</f>
        <v>0</v>
      </c>
    </row>
  </sheetData>
  <mergeCells count="22">
    <mergeCell ref="A3:D3"/>
    <mergeCell ref="B27:D27"/>
    <mergeCell ref="B56:D56"/>
    <mergeCell ref="B52:D52"/>
    <mergeCell ref="B39:D39"/>
    <mergeCell ref="B55:D55"/>
    <mergeCell ref="B24:D24"/>
    <mergeCell ref="B36:D36"/>
    <mergeCell ref="B26:D26"/>
    <mergeCell ref="B7:D7"/>
    <mergeCell ref="B25:D25"/>
    <mergeCell ref="B54:D54"/>
    <mergeCell ref="B11:D11"/>
    <mergeCell ref="A4:D4"/>
    <mergeCell ref="B8:D8"/>
    <mergeCell ref="B53:D53"/>
    <mergeCell ref="B38:D38"/>
    <mergeCell ref="B10:D10"/>
    <mergeCell ref="B28:D28"/>
    <mergeCell ref="B37:D37"/>
    <mergeCell ref="B40:D40"/>
    <mergeCell ref="B9:D9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D33"/>
  <sheetViews>
    <sheetView workbookViewId="0"/>
  </sheetViews>
  <sheetFormatPr baseColWidth="10" defaultColWidth="8.83203125" defaultRowHeight="15" x14ac:dyDescent="0.2"/>
  <cols>
    <col min="1" max="2" width="12" customWidth="1"/>
    <col min="3" max="3" width="40" customWidth="1"/>
    <col min="4" max="4" width="12" customWidth="1"/>
  </cols>
  <sheetData>
    <row r="1" spans="1:4" ht="21" x14ac:dyDescent="0.25">
      <c r="A1" s="5" t="s">
        <v>649</v>
      </c>
    </row>
    <row r="3" spans="1:4" x14ac:dyDescent="0.2">
      <c r="A3" s="32" t="s">
        <v>650</v>
      </c>
      <c r="B3" s="30"/>
      <c r="C3" s="30"/>
      <c r="D3" s="31"/>
    </row>
    <row r="4" spans="1:4" ht="343.25" customHeight="1" x14ac:dyDescent="0.2">
      <c r="A4" s="29" t="s">
        <v>651</v>
      </c>
      <c r="B4" s="30"/>
      <c r="C4" s="30"/>
      <c r="D4" s="31"/>
    </row>
    <row r="6" spans="1:4" x14ac:dyDescent="0.2">
      <c r="A6" s="6" t="s">
        <v>649</v>
      </c>
    </row>
    <row r="7" spans="1:4" ht="31.25" customHeight="1" x14ac:dyDescent="0.2">
      <c r="A7" s="7" t="s">
        <v>46</v>
      </c>
      <c r="B7" s="27" t="s">
        <v>652</v>
      </c>
      <c r="C7" s="28"/>
      <c r="D7" s="28"/>
    </row>
    <row r="8" spans="1:4" ht="31.25" customHeight="1" x14ac:dyDescent="0.2">
      <c r="A8" s="7" t="s">
        <v>48</v>
      </c>
      <c r="B8" s="27" t="s">
        <v>653</v>
      </c>
      <c r="C8" s="28"/>
      <c r="D8" s="28"/>
    </row>
    <row r="9" spans="1:4" ht="78" customHeight="1" x14ac:dyDescent="0.2">
      <c r="A9" s="7" t="s">
        <v>50</v>
      </c>
      <c r="B9" s="27" t="s">
        <v>654</v>
      </c>
      <c r="C9" s="28"/>
      <c r="D9" s="28"/>
    </row>
    <row r="10" spans="1:4" ht="31.25" customHeight="1" x14ac:dyDescent="0.2">
      <c r="A10" s="7" t="s">
        <v>52</v>
      </c>
      <c r="B10" s="27" t="s">
        <v>655</v>
      </c>
      <c r="C10" s="28"/>
      <c r="D10" s="28"/>
    </row>
    <row r="11" spans="1:4" ht="15.5" customHeight="1" x14ac:dyDescent="0.2">
      <c r="A11" s="7" t="s">
        <v>54</v>
      </c>
      <c r="B11" s="27" t="s">
        <v>656</v>
      </c>
      <c r="C11" s="28"/>
      <c r="D11" s="28"/>
    </row>
    <row r="12" spans="1:4" x14ac:dyDescent="0.2">
      <c r="A12" s="8" t="s">
        <v>657</v>
      </c>
      <c r="B12" s="8" t="s">
        <v>658</v>
      </c>
      <c r="C12" s="8" t="s">
        <v>59</v>
      </c>
      <c r="D12" s="8" t="s">
        <v>613</v>
      </c>
    </row>
    <row r="13" spans="1:4" x14ac:dyDescent="0.2">
      <c r="A13" t="s">
        <v>659</v>
      </c>
      <c r="B13" t="s">
        <v>660</v>
      </c>
      <c r="C13" t="s">
        <v>661</v>
      </c>
      <c r="D13" t="str">
        <f>IF(AND(Discount_Rate&gt;=0,Discount_Rate&lt;=0.15),"PASS","FAIL")</f>
        <v>PASS</v>
      </c>
    </row>
    <row r="14" spans="1:4" x14ac:dyDescent="0.2">
      <c r="A14" t="s">
        <v>662</v>
      </c>
      <c r="B14" t="s">
        <v>660</v>
      </c>
      <c r="C14" t="s">
        <v>663</v>
      </c>
      <c r="D14" t="str">
        <f>IF(AND(Season_Length&gt;=60,Season_Length&lt;=150),"PASS","FAIL")</f>
        <v>PASS</v>
      </c>
    </row>
    <row r="15" spans="1:4" x14ac:dyDescent="0.2">
      <c r="A15" t="s">
        <v>664</v>
      </c>
      <c r="B15" t="s">
        <v>660</v>
      </c>
      <c r="C15" t="s">
        <v>665</v>
      </c>
      <c r="D15" t="str">
        <f>IF(AND(Projection_Years&gt;=1,Projection_Years&lt;=10),"PASS","FAIL")</f>
        <v>PASS</v>
      </c>
    </row>
    <row r="16" spans="1:4" x14ac:dyDescent="0.2">
      <c r="A16" t="s">
        <v>666</v>
      </c>
      <c r="B16" t="s">
        <v>660</v>
      </c>
      <c r="C16" t="s">
        <v>667</v>
      </c>
      <c r="D16" t="str">
        <f>IF(Value_Per_M3&gt;0,"PASS","FAIL")</f>
        <v>PASS</v>
      </c>
    </row>
    <row r="17" spans="1:4" x14ac:dyDescent="0.2">
      <c r="A17" t="s">
        <v>668</v>
      </c>
      <c r="B17" t="s">
        <v>669</v>
      </c>
      <c r="C17" t="s">
        <v>670</v>
      </c>
      <c r="D17" t="str">
        <f>IF(COUNTIF(List_TestingOptions,Testing_Option)=1,"PASS","FAIL")</f>
        <v>PASS</v>
      </c>
    </row>
    <row r="18" spans="1:4" x14ac:dyDescent="0.2">
      <c r="A18" t="s">
        <v>671</v>
      </c>
      <c r="B18" t="s">
        <v>669</v>
      </c>
      <c r="C18" t="s">
        <v>672</v>
      </c>
      <c r="D18" t="str">
        <f>IF(COUNTIF(List_Scenarios,Scenario_Select)=1,"PASS","FAIL")</f>
        <v>PASS</v>
      </c>
    </row>
    <row r="19" spans="1:4" x14ac:dyDescent="0.2">
      <c r="A19" t="s">
        <v>673</v>
      </c>
      <c r="B19" t="s">
        <v>674</v>
      </c>
      <c r="C19" t="s">
        <v>675</v>
      </c>
      <c r="D19" t="str">
        <f ca="1">IF(AND(NPV_Total&gt;-1000000,NPV_Total&lt;10000000),"PASS","FAIL")</f>
        <v>PASS</v>
      </c>
    </row>
    <row r="20" spans="1:4" x14ac:dyDescent="0.2">
      <c r="A20" t="s">
        <v>676</v>
      </c>
      <c r="B20" t="s">
        <v>674</v>
      </c>
      <c r="C20" t="s">
        <v>677</v>
      </c>
      <c r="D20" t="str">
        <f>IF(Testing_Cost&gt;0,"PASS","FAIL")</f>
        <v>PASS</v>
      </c>
    </row>
    <row r="21" spans="1:4" x14ac:dyDescent="0.2">
      <c r="A21" t="s">
        <v>678</v>
      </c>
      <c r="B21" t="s">
        <v>674</v>
      </c>
      <c r="C21" t="s">
        <v>679</v>
      </c>
      <c r="D21" t="str">
        <f ca="1">IF(Gross_Value&gt;=0,"PASS","FAIL")</f>
        <v>PASS</v>
      </c>
    </row>
    <row r="22" spans="1:4" x14ac:dyDescent="0.2">
      <c r="A22" t="s">
        <v>680</v>
      </c>
      <c r="B22" t="s">
        <v>681</v>
      </c>
      <c r="C22" t="s">
        <v>682</v>
      </c>
      <c r="D22" t="str">
        <f>IF(ISERROR(Testing_Option),"FAIL","PASS")</f>
        <v>PASS</v>
      </c>
    </row>
    <row r="23" spans="1:4" x14ac:dyDescent="0.2">
      <c r="A23" t="s">
        <v>683</v>
      </c>
      <c r="B23" t="s">
        <v>660</v>
      </c>
      <c r="C23" t="s">
        <v>684</v>
      </c>
      <c r="D23" t="str">
        <f>IF(AND(Initial_NAFC&gt;=40,Initial_NAFC&lt;=100),"PASS","FAIL")</f>
        <v>PASS</v>
      </c>
    </row>
    <row r="24" spans="1:4" x14ac:dyDescent="0.2">
      <c r="A24" t="s">
        <v>685</v>
      </c>
      <c r="B24" t="s">
        <v>669</v>
      </c>
      <c r="C24" t="s">
        <v>686</v>
      </c>
      <c r="D24" t="str">
        <f>IF(Target_NAFC&lt;Initial_NAFC,"PASS","FAIL")</f>
        <v>PASS</v>
      </c>
    </row>
    <row r="25" spans="1:4" x14ac:dyDescent="0.2">
      <c r="A25" t="s">
        <v>687</v>
      </c>
      <c r="B25" t="s">
        <v>674</v>
      </c>
      <c r="C25" t="s">
        <v>688</v>
      </c>
      <c r="D25" t="str">
        <f ca="1">IF(Days_to_Compliance&lt;=Season_Length,"PASS","FAIL")</f>
        <v>PASS</v>
      </c>
    </row>
    <row r="26" spans="1:4" x14ac:dyDescent="0.2">
      <c r="A26" t="s">
        <v>689</v>
      </c>
      <c r="B26" t="s">
        <v>660</v>
      </c>
      <c r="C26" t="s">
        <v>690</v>
      </c>
      <c r="D26" t="str">
        <f ca="1">IF(AND(Eff_Rapid_Rate&gt;0,Eff_Slow_Rate&gt;0),"PASS","FAIL")</f>
        <v>PASS</v>
      </c>
    </row>
    <row r="29" spans="1:4" ht="19" x14ac:dyDescent="0.25">
      <c r="A29" s="4" t="s">
        <v>691</v>
      </c>
    </row>
    <row r="30" spans="1:4" x14ac:dyDescent="0.2">
      <c r="A30" t="s">
        <v>692</v>
      </c>
      <c r="B30">
        <f>COUNTA(tbl_Checks[Check_ID])</f>
        <v>14</v>
      </c>
    </row>
    <row r="31" spans="1:4" x14ac:dyDescent="0.2">
      <c r="A31" t="s">
        <v>693</v>
      </c>
      <c r="B31">
        <f ca="1">COUNTIF(tbl_Checks[Status],"PASS")</f>
        <v>14</v>
      </c>
    </row>
    <row r="32" spans="1:4" x14ac:dyDescent="0.2">
      <c r="A32" t="s">
        <v>694</v>
      </c>
      <c r="B32">
        <f ca="1">COUNTIF(tbl_Checks[Status],"FAIL")</f>
        <v>0</v>
      </c>
    </row>
    <row r="33" spans="1:2" x14ac:dyDescent="0.2">
      <c r="A33" t="s">
        <v>695</v>
      </c>
      <c r="B33" t="str">
        <f ca="1">IF(COUNTIF(tbl_Checks[Status],"FAIL")=0,"HEALTHY","REVIEW REQUIRED")</f>
        <v>HEALTHY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97</vt:i4>
      </vt:variant>
    </vt:vector>
  </HeadingPairs>
  <TitlesOfParts>
    <vt:vector size="115" baseType="lpstr">
      <vt:lpstr>0_Cover</vt:lpstr>
      <vt:lpstr>1_TOC</vt:lpstr>
      <vt:lpstr>2_Instructions</vt:lpstr>
      <vt:lpstr>3_Assumptions</vt:lpstr>
      <vt:lpstr>4_Scenarios</vt:lpstr>
      <vt:lpstr>5_ServiceModels</vt:lpstr>
      <vt:lpstr>6_Calc_Timeline</vt:lpstr>
      <vt:lpstr>7_Calc_Stochastic</vt:lpstr>
      <vt:lpstr>8_Calc_Value</vt:lpstr>
      <vt:lpstr>9_Calc_Costs</vt:lpstr>
      <vt:lpstr>10_Calc_Sim</vt:lpstr>
      <vt:lpstr>11_PL_Monthly</vt:lpstr>
      <vt:lpstr>12_PL_Annual</vt:lpstr>
      <vt:lpstr>13_CashFlow</vt:lpstr>
      <vt:lpstr>14_UnitEconomics</vt:lpstr>
      <vt:lpstr>15_Sensitivity</vt:lpstr>
      <vt:lpstr>16_Dashboard</vt:lpstr>
      <vt:lpstr>17_Checks</vt:lpstr>
      <vt:lpstr>Annual_Throughput</vt:lpstr>
      <vt:lpstr>AnnualThroughput_M3</vt:lpstr>
      <vt:lpstr>Base_Year</vt:lpstr>
      <vt:lpstr>Beta_Efficiency_Gain_Alpha</vt:lpstr>
      <vt:lpstr>Beta_Efficiency_Gain_Beta</vt:lpstr>
      <vt:lpstr>Beta_Efficiency_Gain_Max</vt:lpstr>
      <vt:lpstr>Beta_Efficiency_Gain_Min</vt:lpstr>
      <vt:lpstr>Circulation_Cycles</vt:lpstr>
      <vt:lpstr>Compliance_Status</vt:lpstr>
      <vt:lpstr>Day_80_Survival</vt:lpstr>
      <vt:lpstr>Day_LC50</vt:lpstr>
      <vt:lpstr>Day_Nontoxic</vt:lpstr>
      <vt:lpstr>Days_to_Compliance</vt:lpstr>
      <vt:lpstr>Discount_Rate</vt:lpstr>
      <vt:lpstr>DowntimeCostPerDay</vt:lpstr>
      <vt:lpstr>Eff_Rapid_Rate</vt:lpstr>
      <vt:lpstr>Eff_Slow_Rate</vt:lpstr>
      <vt:lpstr>Gate_S1</vt:lpstr>
      <vt:lpstr>Gate_S2</vt:lpstr>
      <vt:lpstr>Gate_S3</vt:lpstr>
      <vt:lpstr>Gate_S4</vt:lpstr>
      <vt:lpstr>Gross_Value</vt:lpstr>
      <vt:lpstr>Initial_NAFC</vt:lpstr>
      <vt:lpstr>LaborPerDay</vt:lpstr>
      <vt:lpstr>LearningCurve_Mult</vt:lpstr>
      <vt:lpstr>List_Scenarios</vt:lpstr>
      <vt:lpstr>List_TestingOptions</vt:lpstr>
      <vt:lpstr>MC_Anchor</vt:lpstr>
      <vt:lpstr>MC_Expected_Days</vt:lpstr>
      <vt:lpstr>MC_Expected_NPV</vt:lpstr>
      <vt:lpstr>MC_P10</vt:lpstr>
      <vt:lpstr>MC_P10_Days</vt:lpstr>
      <vt:lpstr>MC_P50</vt:lpstr>
      <vt:lpstr>MC_P50_Days</vt:lpstr>
      <vt:lpstr>MC_P90</vt:lpstr>
      <vt:lpstr>MC_P90_Days</vt:lpstr>
      <vt:lpstr>MC_Prob_Achievable</vt:lpstr>
      <vt:lpstr>MC_Prob_Positive</vt:lpstr>
      <vt:lpstr>MC_StdDev</vt:lpstr>
      <vt:lpstr>NAFC_After_Rapid</vt:lpstr>
      <vt:lpstr>NPV_Total</vt:lpstr>
      <vt:lpstr>Projection_Years</vt:lpstr>
      <vt:lpstr>Rapid_Phase_Duration</vt:lpstr>
      <vt:lpstr>Rapid_Phase_Rate</vt:lpstr>
      <vt:lpstr>Recirculation_Cycle</vt:lpstr>
      <vt:lpstr>RegulatoryPenalty</vt:lpstr>
      <vt:lpstr>S1_Value</vt:lpstr>
      <vt:lpstr>S2_Value</vt:lpstr>
      <vt:lpstr>S3_Value</vt:lpstr>
      <vt:lpstr>S4_Value</vt:lpstr>
      <vt:lpstr>Scenario_BaseValues</vt:lpstr>
      <vt:lpstr>Scenario_Select</vt:lpstr>
      <vt:lpstr>Season_End_Day</vt:lpstr>
      <vt:lpstr>Season_End_Month</vt:lpstr>
      <vt:lpstr>Season_Length</vt:lpstr>
      <vt:lpstr>Season_Start_Day</vt:lpstr>
      <vt:lpstr>Season_Start_Month</vt:lpstr>
      <vt:lpstr>Slow_Phase_Rate</vt:lpstr>
      <vt:lpstr>Stoch_Efficiency</vt:lpstr>
      <vt:lpstr>Stoch_ExtValue</vt:lpstr>
      <vt:lpstr>Stoch_Interventions</vt:lpstr>
      <vt:lpstr>Stoch_SeasonExt</vt:lpstr>
      <vt:lpstr>Stoch_TreatmentRate</vt:lpstr>
      <vt:lpstr>System_Capacity</vt:lpstr>
      <vt:lpstr>Target_NAFC</vt:lpstr>
      <vt:lpstr>Testing_Cost</vt:lpstr>
      <vt:lpstr>Testing_Option</vt:lpstr>
      <vt:lpstr>TestOpt_Cost</vt:lpstr>
      <vt:lpstr>TestOpt_Interval</vt:lpstr>
      <vt:lpstr>TestOpt_Latency</vt:lpstr>
      <vt:lpstr>TestOpt_Method</vt:lpstr>
      <vt:lpstr>TestOpt_Option</vt:lpstr>
      <vt:lpstr>TestOpt_Points</vt:lpstr>
      <vt:lpstr>Timeline_DiscountFactor</vt:lpstr>
      <vt:lpstr>Timeline_LearningMult</vt:lpstr>
      <vt:lpstr>Treatment_Cells</vt:lpstr>
      <vt:lpstr>Treatment_Days</vt:lpstr>
      <vt:lpstr>Treatment_Efficiency</vt:lpstr>
      <vt:lpstr>TreatmentCells</vt:lpstr>
      <vt:lpstr>Tri_Extension_Value_Per_Day_Max</vt:lpstr>
      <vt:lpstr>Tri_Extension_Value_Per_Day_Min</vt:lpstr>
      <vt:lpstr>Tri_Extension_Value_Per_Day_Mode</vt:lpstr>
      <vt:lpstr>Tri_Interventions_Avoided_Max</vt:lpstr>
      <vt:lpstr>Tri_Interventions_Avoided_Min</vt:lpstr>
      <vt:lpstr>Tri_Interventions_Avoided_Mode</vt:lpstr>
      <vt:lpstr>Tri_Season_Extension_Days_Max</vt:lpstr>
      <vt:lpstr>Tri_Season_Extension_Days_Min</vt:lpstr>
      <vt:lpstr>Tri_Season_Extension_Days_Mode</vt:lpstr>
      <vt:lpstr>Tri_Treatment_Rate_Factor_Max</vt:lpstr>
      <vt:lpstr>Tri_Treatment_Rate_Factor_Min</vt:lpstr>
      <vt:lpstr>Tri_Treatment_Rate_Factor_Mode</vt:lpstr>
      <vt:lpstr>Value_Per_M3</vt:lpstr>
      <vt:lpstr>ValuePer_M3</vt:lpstr>
      <vt:lpstr>Wetland_Area</vt:lpstr>
      <vt:lpstr>WetlandArea_Ha</vt:lpstr>
      <vt:lpstr>Year1_Gross_Value</vt:lpstr>
      <vt:lpstr>Year1_Net_Value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Greg Saunders</cp:lastModifiedBy>
  <dcterms:created xsi:type="dcterms:W3CDTF">2026-01-31T00:41:06Z</dcterms:created>
  <dcterms:modified xsi:type="dcterms:W3CDTF">2026-01-31T00:42:42Z</dcterms:modified>
</cp:coreProperties>
</file>